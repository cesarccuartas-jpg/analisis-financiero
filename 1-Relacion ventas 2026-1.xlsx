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ercol585-my.sharepoint.com/personal/cesar_cuartas_tercol_com_co/Documents/Escritorio/"/>
    </mc:Choice>
  </mc:AlternateContent>
  <xr:revisionPtr revIDLastSave="6" documentId="8_{FE4C1157-3E8F-4D0A-B929-4218DCCA5338}" xr6:coauthVersionLast="47" xr6:coauthVersionMax="47" xr10:uidLastSave="{FF259447-2FD2-45B0-9ACC-3FAC7CAAFD61}"/>
  <bookViews>
    <workbookView xWindow="-108" yWindow="-108" windowWidth="23256" windowHeight="13896" tabRatio="891" activeTab="4" xr2:uid="{AADE262F-352B-4467-A3EE-B0968D968CBF}"/>
  </bookViews>
  <sheets>
    <sheet name="Ene" sheetId="1" r:id="rId1"/>
    <sheet name="Ene PUV lista" sheetId="19" state="hidden" r:id="rId2"/>
    <sheet name="Feb" sheetId="13" r:id="rId3"/>
    <sheet name="Feb PUV lista" sheetId="18" state="hidden" r:id="rId4"/>
    <sheet name="Mar" sheetId="14" r:id="rId5"/>
    <sheet name="Mar PUV Lista" sheetId="21" state="hidden" r:id="rId6"/>
    <sheet name="Abril" sheetId="22" r:id="rId7"/>
    <sheet name="Totales resumido" sheetId="11" r:id="rId8"/>
    <sheet name="Totales sin resumir" sheetId="8" r:id="rId9"/>
    <sheet name="Totales resumido 2026Vs2025" sheetId="16" r:id="rId10"/>
    <sheet name="Datos sin resumir" sheetId="7" state="hidden" r:id="rId11"/>
    <sheet name="Datos resumido" sheetId="9" state="hidden" r:id="rId12"/>
    <sheet name="Grupos" sheetId="12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6" hidden="1">Abril!$A$4:$S$368</definedName>
    <definedName name="_xlnm._FilterDatabase" localSheetId="0" hidden="1">Ene!$A$4:$S$365</definedName>
    <definedName name="_xlnm._FilterDatabase" localSheetId="1" hidden="1">'Ene PUV lista'!$A$4:$V$334</definedName>
    <definedName name="_xlnm._FilterDatabase" localSheetId="2" hidden="1">Feb!$A$4:$S$384</definedName>
    <definedName name="_xlnm._FilterDatabase" localSheetId="3" hidden="1">'Feb PUV lista'!$A$4:$V$349</definedName>
    <definedName name="_xlnm._FilterDatabase" localSheetId="4" hidden="1">Mar!$A$4:$S$374</definedName>
    <definedName name="_xlnm._FilterDatabase" localSheetId="5" hidden="1">'Mar PUV Lista'!$A$4:$V$340</definedName>
    <definedName name="SegmentaciónDeDatos_AÑO">#N/A</definedName>
    <definedName name="SegmentaciónDeDatos_AÑO1">#N/A</definedName>
    <definedName name="SegmentaciónDeDatos_MES">#N/A</definedName>
    <definedName name="SegmentaciónDeDatos_MES1">#N/A</definedName>
  </definedNames>
  <calcPr calcId="191028" iterateDelta="1E-4"/>
  <pivotCaches>
    <pivotCache cacheId="0" r:id="rId18"/>
    <pivotCache cacheId="1" r:id="rId19"/>
  </pivotCaches>
  <extLst>
    <ext xmlns:x14="http://schemas.microsoft.com/office/spreadsheetml/2009/9/main" uri="{BBE1A952-AA13-448e-AADC-164F8A28A991}">
      <x14:slicerCaches>
        <x14:slicerCache r:id="rId20"/>
        <x14:slicerCache r:id="rId21"/>
        <x14:slicerCache r:id="rId22"/>
        <x14:slicerCache r:id="rId2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5" i="9" l="1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Q293" i="22" l="1"/>
  <c r="D293" i="22"/>
  <c r="Q281" i="22"/>
  <c r="D281" i="22"/>
  <c r="Q274" i="22"/>
  <c r="D274" i="22"/>
  <c r="Q269" i="22"/>
  <c r="D269" i="22"/>
  <c r="Q263" i="22"/>
  <c r="D263" i="22"/>
  <c r="Q245" i="22"/>
  <c r="D245" i="22"/>
  <c r="Q239" i="22"/>
  <c r="D239" i="22"/>
  <c r="Q234" i="22"/>
  <c r="D234" i="22"/>
  <c r="Q219" i="22"/>
  <c r="D219" i="22"/>
  <c r="Q214" i="22"/>
  <c r="D214" i="22"/>
  <c r="Q174" i="22"/>
  <c r="D174" i="22"/>
  <c r="Q162" i="22"/>
  <c r="D162" i="22"/>
  <c r="Q156" i="22"/>
  <c r="D156" i="22"/>
  <c r="Q148" i="22"/>
  <c r="D148" i="22"/>
  <c r="Q142" i="22"/>
  <c r="D142" i="22"/>
  <c r="Q132" i="22"/>
  <c r="D132" i="22"/>
  <c r="Q129" i="22"/>
  <c r="D129" i="22"/>
  <c r="Q119" i="22"/>
  <c r="D119" i="22"/>
  <c r="Q114" i="22"/>
  <c r="D114" i="22"/>
  <c r="Q107" i="22"/>
  <c r="D107" i="22"/>
  <c r="Q95" i="22"/>
  <c r="D95" i="22"/>
  <c r="Q89" i="22"/>
  <c r="D89" i="22"/>
  <c r="Q81" i="22"/>
  <c r="D81" i="22"/>
  <c r="Q77" i="22"/>
  <c r="D77" i="22"/>
  <c r="Q73" i="22"/>
  <c r="D73" i="22"/>
  <c r="Q52" i="22"/>
  <c r="D52" i="22"/>
  <c r="Q44" i="22"/>
  <c r="D44" i="22"/>
  <c r="Q37" i="22"/>
  <c r="D37" i="22"/>
  <c r="X12" i="14"/>
  <c r="X20" i="14"/>
  <c r="X28" i="14"/>
  <c r="X36" i="14"/>
  <c r="X44" i="14"/>
  <c r="X52" i="14"/>
  <c r="X60" i="14"/>
  <c r="X68" i="14"/>
  <c r="X76" i="14"/>
  <c r="W6" i="14"/>
  <c r="X6" i="14" s="1"/>
  <c r="W7" i="14"/>
  <c r="X7" i="14" s="1"/>
  <c r="W8" i="14"/>
  <c r="X8" i="14" s="1"/>
  <c r="W9" i="14"/>
  <c r="X9" i="14" s="1"/>
  <c r="W10" i="14"/>
  <c r="X10" i="14" s="1"/>
  <c r="W11" i="14"/>
  <c r="X11" i="14" s="1"/>
  <c r="W12" i="14"/>
  <c r="W13" i="14"/>
  <c r="X13" i="14" s="1"/>
  <c r="W14" i="14"/>
  <c r="X14" i="14" s="1"/>
  <c r="W15" i="14"/>
  <c r="X15" i="14" s="1"/>
  <c r="W16" i="14"/>
  <c r="X16" i="14" s="1"/>
  <c r="W17" i="14"/>
  <c r="X17" i="14" s="1"/>
  <c r="W18" i="14"/>
  <c r="X18" i="14" s="1"/>
  <c r="W19" i="14"/>
  <c r="X19" i="14" s="1"/>
  <c r="W20" i="14"/>
  <c r="W21" i="14"/>
  <c r="X21" i="14" s="1"/>
  <c r="W22" i="14"/>
  <c r="X22" i="14" s="1"/>
  <c r="W23" i="14"/>
  <c r="X23" i="14" s="1"/>
  <c r="W24" i="14"/>
  <c r="X24" i="14" s="1"/>
  <c r="W25" i="14"/>
  <c r="X25" i="14" s="1"/>
  <c r="W26" i="14"/>
  <c r="X26" i="14" s="1"/>
  <c r="W27" i="14"/>
  <c r="X27" i="14" s="1"/>
  <c r="W28" i="14"/>
  <c r="W29" i="14"/>
  <c r="X29" i="14" s="1"/>
  <c r="W30" i="14"/>
  <c r="X30" i="14" s="1"/>
  <c r="W31" i="14"/>
  <c r="X31" i="14" s="1"/>
  <c r="W32" i="14"/>
  <c r="X32" i="14" s="1"/>
  <c r="W33" i="14"/>
  <c r="X33" i="14" s="1"/>
  <c r="W34" i="14"/>
  <c r="X34" i="14" s="1"/>
  <c r="W35" i="14"/>
  <c r="X35" i="14" s="1"/>
  <c r="W36" i="14"/>
  <c r="W37" i="14"/>
  <c r="X37" i="14" s="1"/>
  <c r="W38" i="14"/>
  <c r="X38" i="14" s="1"/>
  <c r="W39" i="14"/>
  <c r="X39" i="14" s="1"/>
  <c r="W40" i="14"/>
  <c r="X40" i="14" s="1"/>
  <c r="W41" i="14"/>
  <c r="X41" i="14" s="1"/>
  <c r="W42" i="14"/>
  <c r="X42" i="14" s="1"/>
  <c r="W43" i="14"/>
  <c r="X43" i="14" s="1"/>
  <c r="W44" i="14"/>
  <c r="W45" i="14"/>
  <c r="X45" i="14" s="1"/>
  <c r="W46" i="14"/>
  <c r="X46" i="14" s="1"/>
  <c r="W47" i="14"/>
  <c r="X47" i="14" s="1"/>
  <c r="W48" i="14"/>
  <c r="X48" i="14" s="1"/>
  <c r="W49" i="14"/>
  <c r="X49" i="14" s="1"/>
  <c r="W50" i="14"/>
  <c r="X50" i="14" s="1"/>
  <c r="W51" i="14"/>
  <c r="X51" i="14" s="1"/>
  <c r="W52" i="14"/>
  <c r="W53" i="14"/>
  <c r="X53" i="14" s="1"/>
  <c r="W54" i="14"/>
  <c r="X54" i="14" s="1"/>
  <c r="W55" i="14"/>
  <c r="X55" i="14" s="1"/>
  <c r="W56" i="14"/>
  <c r="X56" i="14" s="1"/>
  <c r="W57" i="14"/>
  <c r="X57" i="14" s="1"/>
  <c r="W58" i="14"/>
  <c r="X58" i="14" s="1"/>
  <c r="W59" i="14"/>
  <c r="X59" i="14" s="1"/>
  <c r="W60" i="14"/>
  <c r="W61" i="14"/>
  <c r="X61" i="14" s="1"/>
  <c r="W62" i="14"/>
  <c r="X62" i="14" s="1"/>
  <c r="W63" i="14"/>
  <c r="X63" i="14" s="1"/>
  <c r="W64" i="14"/>
  <c r="X64" i="14" s="1"/>
  <c r="W65" i="14"/>
  <c r="X65" i="14" s="1"/>
  <c r="W66" i="14"/>
  <c r="X66" i="14" s="1"/>
  <c r="W67" i="14"/>
  <c r="X67" i="14" s="1"/>
  <c r="W68" i="14"/>
  <c r="W69" i="14"/>
  <c r="X69" i="14" s="1"/>
  <c r="W70" i="14"/>
  <c r="X70" i="14" s="1"/>
  <c r="W71" i="14"/>
  <c r="X71" i="14" s="1"/>
  <c r="W72" i="14"/>
  <c r="X72" i="14" s="1"/>
  <c r="W73" i="14"/>
  <c r="X73" i="14" s="1"/>
  <c r="W74" i="14"/>
  <c r="X74" i="14" s="1"/>
  <c r="W75" i="14"/>
  <c r="X75" i="14" s="1"/>
  <c r="W76" i="14"/>
  <c r="W77" i="14"/>
  <c r="X77" i="14" s="1"/>
  <c r="W78" i="14"/>
  <c r="X78" i="14" s="1"/>
  <c r="W79" i="14"/>
  <c r="X79" i="14" s="1"/>
  <c r="W80" i="14"/>
  <c r="X80" i="14" s="1"/>
  <c r="W81" i="14"/>
  <c r="X81" i="14" s="1"/>
  <c r="W82" i="14"/>
  <c r="X82" i="14" s="1"/>
  <c r="W83" i="14"/>
  <c r="X83" i="14" s="1"/>
  <c r="W84" i="14"/>
  <c r="X84" i="14" s="1"/>
  <c r="W85" i="14"/>
  <c r="X85" i="14" s="1"/>
  <c r="W86" i="14"/>
  <c r="X86" i="14" s="1"/>
  <c r="W87" i="14"/>
  <c r="X87" i="14" s="1"/>
  <c r="W88" i="14"/>
  <c r="X88" i="14" s="1"/>
  <c r="W89" i="14"/>
  <c r="X89" i="14" s="1"/>
  <c r="W90" i="14"/>
  <c r="X90" i="14" s="1"/>
  <c r="W91" i="14"/>
  <c r="X91" i="14" s="1"/>
  <c r="W92" i="14"/>
  <c r="X92" i="14" s="1"/>
  <c r="W93" i="14"/>
  <c r="X93" i="14" s="1"/>
  <c r="W94" i="14"/>
  <c r="X94" i="14" s="1"/>
  <c r="W95" i="14"/>
  <c r="X95" i="14" s="1"/>
  <c r="W96" i="14"/>
  <c r="X96" i="14" s="1"/>
  <c r="W97" i="14"/>
  <c r="X97" i="14" s="1"/>
  <c r="W98" i="14"/>
  <c r="X98" i="14" s="1"/>
  <c r="W99" i="14"/>
  <c r="X99" i="14" s="1"/>
  <c r="W100" i="14"/>
  <c r="X100" i="14" s="1"/>
  <c r="W101" i="14"/>
  <c r="X101" i="14" s="1"/>
  <c r="W102" i="14"/>
  <c r="X102" i="14" s="1"/>
  <c r="W103" i="14"/>
  <c r="X103" i="14" s="1"/>
  <c r="W104" i="14"/>
  <c r="X104" i="14" s="1"/>
  <c r="W105" i="14"/>
  <c r="X105" i="14" s="1"/>
  <c r="W106" i="14"/>
  <c r="X106" i="14" s="1"/>
  <c r="W107" i="14"/>
  <c r="X107" i="14" s="1"/>
  <c r="W108" i="14"/>
  <c r="X108" i="14" s="1"/>
  <c r="W109" i="14"/>
  <c r="X109" i="14" s="1"/>
  <c r="W110" i="14"/>
  <c r="X110" i="14" s="1"/>
  <c r="W111" i="14"/>
  <c r="X111" i="14" s="1"/>
  <c r="W112" i="14"/>
  <c r="X112" i="14" s="1"/>
  <c r="W113" i="14"/>
  <c r="X113" i="14" s="1"/>
  <c r="W114" i="14"/>
  <c r="X114" i="14" s="1"/>
  <c r="W115" i="14"/>
  <c r="X115" i="14" s="1"/>
  <c r="W116" i="14"/>
  <c r="X116" i="14" s="1"/>
  <c r="W117" i="14"/>
  <c r="X117" i="14" s="1"/>
  <c r="W118" i="14"/>
  <c r="X118" i="14" s="1"/>
  <c r="W119" i="14"/>
  <c r="X119" i="14" s="1"/>
  <c r="W120" i="14"/>
  <c r="X120" i="14" s="1"/>
  <c r="W121" i="14"/>
  <c r="X121" i="14" s="1"/>
  <c r="W122" i="14"/>
  <c r="X122" i="14" s="1"/>
  <c r="W123" i="14"/>
  <c r="X123" i="14" s="1"/>
  <c r="W124" i="14"/>
  <c r="X124" i="14" s="1"/>
  <c r="W125" i="14"/>
  <c r="X125" i="14" s="1"/>
  <c r="W126" i="14"/>
  <c r="X126" i="14" s="1"/>
  <c r="W127" i="14"/>
  <c r="X127" i="14" s="1"/>
  <c r="W128" i="14"/>
  <c r="X128" i="14" s="1"/>
  <c r="W129" i="14"/>
  <c r="X129" i="14" s="1"/>
  <c r="W130" i="14"/>
  <c r="X130" i="14" s="1"/>
  <c r="W131" i="14"/>
  <c r="X131" i="14" s="1"/>
  <c r="W132" i="14"/>
  <c r="X132" i="14" s="1"/>
  <c r="W133" i="14"/>
  <c r="X133" i="14" s="1"/>
  <c r="W134" i="14"/>
  <c r="X134" i="14" s="1"/>
  <c r="W135" i="14"/>
  <c r="X135" i="14" s="1"/>
  <c r="W136" i="14"/>
  <c r="X136" i="14" s="1"/>
  <c r="W137" i="14"/>
  <c r="X137" i="14" s="1"/>
  <c r="W138" i="14"/>
  <c r="X138" i="14" s="1"/>
  <c r="W139" i="14"/>
  <c r="X139" i="14" s="1"/>
  <c r="W140" i="14"/>
  <c r="X140" i="14" s="1"/>
  <c r="W141" i="14"/>
  <c r="X141" i="14" s="1"/>
  <c r="W142" i="14"/>
  <c r="X142" i="14" s="1"/>
  <c r="W143" i="14"/>
  <c r="X143" i="14" s="1"/>
  <c r="W144" i="14"/>
  <c r="X144" i="14" s="1"/>
  <c r="W145" i="14"/>
  <c r="X145" i="14" s="1"/>
  <c r="W146" i="14"/>
  <c r="X146" i="14" s="1"/>
  <c r="W147" i="14"/>
  <c r="X147" i="14" s="1"/>
  <c r="W148" i="14"/>
  <c r="X148" i="14" s="1"/>
  <c r="W149" i="14"/>
  <c r="X149" i="14" s="1"/>
  <c r="W150" i="14"/>
  <c r="X150" i="14" s="1"/>
  <c r="W151" i="14"/>
  <c r="X151" i="14" s="1"/>
  <c r="W152" i="14"/>
  <c r="X152" i="14" s="1"/>
  <c r="W153" i="14"/>
  <c r="X153" i="14" s="1"/>
  <c r="W154" i="14"/>
  <c r="X154" i="14" s="1"/>
  <c r="W155" i="14"/>
  <c r="X155" i="14" s="1"/>
  <c r="W156" i="14"/>
  <c r="X156" i="14" s="1"/>
  <c r="W157" i="14"/>
  <c r="X157" i="14" s="1"/>
  <c r="W158" i="14"/>
  <c r="X158" i="14" s="1"/>
  <c r="W159" i="14"/>
  <c r="X159" i="14" s="1"/>
  <c r="W160" i="14"/>
  <c r="X160" i="14" s="1"/>
  <c r="W161" i="14"/>
  <c r="X161" i="14" s="1"/>
  <c r="W162" i="14"/>
  <c r="X162" i="14" s="1"/>
  <c r="W163" i="14"/>
  <c r="X163" i="14" s="1"/>
  <c r="W164" i="14"/>
  <c r="X164" i="14" s="1"/>
  <c r="W165" i="14"/>
  <c r="X165" i="14" s="1"/>
  <c r="W166" i="14"/>
  <c r="X166" i="14" s="1"/>
  <c r="W167" i="14"/>
  <c r="X167" i="14" s="1"/>
  <c r="W168" i="14"/>
  <c r="X168" i="14" s="1"/>
  <c r="W169" i="14"/>
  <c r="X169" i="14" s="1"/>
  <c r="W170" i="14"/>
  <c r="X170" i="14" s="1"/>
  <c r="W171" i="14"/>
  <c r="X171" i="14" s="1"/>
  <c r="W172" i="14"/>
  <c r="X172" i="14" s="1"/>
  <c r="W173" i="14"/>
  <c r="X173" i="14" s="1"/>
  <c r="W174" i="14"/>
  <c r="X174" i="14" s="1"/>
  <c r="W175" i="14"/>
  <c r="X175" i="14" s="1"/>
  <c r="W176" i="14"/>
  <c r="X176" i="14" s="1"/>
  <c r="W177" i="14"/>
  <c r="X177" i="14" s="1"/>
  <c r="W178" i="14"/>
  <c r="X178" i="14" s="1"/>
  <c r="W179" i="14"/>
  <c r="X179" i="14" s="1"/>
  <c r="W180" i="14"/>
  <c r="X180" i="14" s="1"/>
  <c r="W181" i="14"/>
  <c r="X181" i="14" s="1"/>
  <c r="W182" i="14"/>
  <c r="X182" i="14" s="1"/>
  <c r="W183" i="14"/>
  <c r="X183" i="14" s="1"/>
  <c r="W184" i="14"/>
  <c r="X184" i="14" s="1"/>
  <c r="W185" i="14"/>
  <c r="X185" i="14" s="1"/>
  <c r="W186" i="14"/>
  <c r="X186" i="14" s="1"/>
  <c r="W187" i="14"/>
  <c r="X187" i="14" s="1"/>
  <c r="W188" i="14"/>
  <c r="X188" i="14" s="1"/>
  <c r="W189" i="14"/>
  <c r="X189" i="14" s="1"/>
  <c r="W190" i="14"/>
  <c r="X190" i="14" s="1"/>
  <c r="W191" i="14"/>
  <c r="X191" i="14" s="1"/>
  <c r="W192" i="14"/>
  <c r="X192" i="14" s="1"/>
  <c r="W193" i="14"/>
  <c r="X193" i="14" s="1"/>
  <c r="W194" i="14"/>
  <c r="X194" i="14" s="1"/>
  <c r="W195" i="14"/>
  <c r="X195" i="14" s="1"/>
  <c r="W196" i="14"/>
  <c r="X196" i="14" s="1"/>
  <c r="W197" i="14"/>
  <c r="X197" i="14" s="1"/>
  <c r="W198" i="14"/>
  <c r="X198" i="14" s="1"/>
  <c r="W199" i="14"/>
  <c r="X199" i="14" s="1"/>
  <c r="W200" i="14"/>
  <c r="X200" i="14" s="1"/>
  <c r="W201" i="14"/>
  <c r="X201" i="14" s="1"/>
  <c r="W202" i="14"/>
  <c r="X202" i="14" s="1"/>
  <c r="W203" i="14"/>
  <c r="X203" i="14" s="1"/>
  <c r="W204" i="14"/>
  <c r="X204" i="14" s="1"/>
  <c r="W205" i="14"/>
  <c r="X205" i="14" s="1"/>
  <c r="W206" i="14"/>
  <c r="X206" i="14" s="1"/>
  <c r="W207" i="14"/>
  <c r="X207" i="14" s="1"/>
  <c r="W208" i="14"/>
  <c r="X208" i="14" s="1"/>
  <c r="W209" i="14"/>
  <c r="X209" i="14" s="1"/>
  <c r="W210" i="14"/>
  <c r="X210" i="14" s="1"/>
  <c r="W211" i="14"/>
  <c r="X211" i="14" s="1"/>
  <c r="W212" i="14"/>
  <c r="X212" i="14" s="1"/>
  <c r="W213" i="14"/>
  <c r="X213" i="14" s="1"/>
  <c r="W214" i="14"/>
  <c r="X214" i="14" s="1"/>
  <c r="W215" i="14"/>
  <c r="X215" i="14" s="1"/>
  <c r="W216" i="14"/>
  <c r="X216" i="14" s="1"/>
  <c r="W217" i="14"/>
  <c r="X217" i="14" s="1"/>
  <c r="W218" i="14"/>
  <c r="X218" i="14" s="1"/>
  <c r="W219" i="14"/>
  <c r="X219" i="14" s="1"/>
  <c r="W220" i="14"/>
  <c r="X220" i="14" s="1"/>
  <c r="W221" i="14"/>
  <c r="X221" i="14" s="1"/>
  <c r="W222" i="14"/>
  <c r="X222" i="14" s="1"/>
  <c r="W223" i="14"/>
  <c r="X223" i="14" s="1"/>
  <c r="W224" i="14"/>
  <c r="X224" i="14" s="1"/>
  <c r="W225" i="14"/>
  <c r="X225" i="14" s="1"/>
  <c r="W226" i="14"/>
  <c r="X226" i="14" s="1"/>
  <c r="W227" i="14"/>
  <c r="X227" i="14" s="1"/>
  <c r="W228" i="14"/>
  <c r="X228" i="14" s="1"/>
  <c r="W229" i="14"/>
  <c r="X229" i="14" s="1"/>
  <c r="W230" i="14"/>
  <c r="X230" i="14" s="1"/>
  <c r="W231" i="14"/>
  <c r="X231" i="14" s="1"/>
  <c r="W232" i="14"/>
  <c r="X232" i="14" s="1"/>
  <c r="W233" i="14"/>
  <c r="X233" i="14" s="1"/>
  <c r="W234" i="14"/>
  <c r="X234" i="14" s="1"/>
  <c r="W235" i="14"/>
  <c r="X235" i="14" s="1"/>
  <c r="W236" i="14"/>
  <c r="X236" i="14" s="1"/>
  <c r="W237" i="14"/>
  <c r="X237" i="14" s="1"/>
  <c r="W238" i="14"/>
  <c r="X238" i="14" s="1"/>
  <c r="W239" i="14"/>
  <c r="X239" i="14" s="1"/>
  <c r="W240" i="14"/>
  <c r="X240" i="14" s="1"/>
  <c r="W241" i="14"/>
  <c r="X241" i="14" s="1"/>
  <c r="W242" i="14"/>
  <c r="X242" i="14" s="1"/>
  <c r="W243" i="14"/>
  <c r="X243" i="14" s="1"/>
  <c r="W244" i="14"/>
  <c r="X244" i="14" s="1"/>
  <c r="W245" i="14"/>
  <c r="X245" i="14" s="1"/>
  <c r="W246" i="14"/>
  <c r="X246" i="14" s="1"/>
  <c r="W247" i="14"/>
  <c r="X247" i="14" s="1"/>
  <c r="W248" i="14"/>
  <c r="X248" i="14" s="1"/>
  <c r="W249" i="14"/>
  <c r="X249" i="14" s="1"/>
  <c r="W250" i="14"/>
  <c r="X250" i="14" s="1"/>
  <c r="W251" i="14"/>
  <c r="X251" i="14" s="1"/>
  <c r="W252" i="14"/>
  <c r="X252" i="14" s="1"/>
  <c r="W253" i="14"/>
  <c r="X253" i="14" s="1"/>
  <c r="W254" i="14"/>
  <c r="X254" i="14" s="1"/>
  <c r="W255" i="14"/>
  <c r="X255" i="14" s="1"/>
  <c r="W256" i="14"/>
  <c r="X256" i="14" s="1"/>
  <c r="W257" i="14"/>
  <c r="X257" i="14" s="1"/>
  <c r="W258" i="14"/>
  <c r="X258" i="14" s="1"/>
  <c r="W259" i="14"/>
  <c r="X259" i="14" s="1"/>
  <c r="W260" i="14"/>
  <c r="X260" i="14" s="1"/>
  <c r="W261" i="14"/>
  <c r="X261" i="14" s="1"/>
  <c r="W262" i="14"/>
  <c r="X262" i="14" s="1"/>
  <c r="W263" i="14"/>
  <c r="X263" i="14" s="1"/>
  <c r="W264" i="14"/>
  <c r="X264" i="14" s="1"/>
  <c r="W265" i="14"/>
  <c r="X265" i="14" s="1"/>
  <c r="W266" i="14"/>
  <c r="X266" i="14" s="1"/>
  <c r="W267" i="14"/>
  <c r="X267" i="14" s="1"/>
  <c r="W268" i="14"/>
  <c r="X268" i="14" s="1"/>
  <c r="W269" i="14"/>
  <c r="X269" i="14" s="1"/>
  <c r="W270" i="14"/>
  <c r="X270" i="14" s="1"/>
  <c r="W271" i="14"/>
  <c r="X271" i="14" s="1"/>
  <c r="W272" i="14"/>
  <c r="X272" i="14" s="1"/>
  <c r="W273" i="14"/>
  <c r="X273" i="14" s="1"/>
  <c r="W274" i="14"/>
  <c r="X274" i="14" s="1"/>
  <c r="W275" i="14"/>
  <c r="X275" i="14" s="1"/>
  <c r="W276" i="14"/>
  <c r="X276" i="14" s="1"/>
  <c r="W277" i="14"/>
  <c r="X277" i="14" s="1"/>
  <c r="W278" i="14"/>
  <c r="X278" i="14" s="1"/>
  <c r="W279" i="14"/>
  <c r="X279" i="14" s="1"/>
  <c r="W280" i="14"/>
  <c r="X280" i="14" s="1"/>
  <c r="W281" i="14"/>
  <c r="X281" i="14" s="1"/>
  <c r="W282" i="14"/>
  <c r="X282" i="14" s="1"/>
  <c r="W283" i="14"/>
  <c r="X283" i="14" s="1"/>
  <c r="W284" i="14"/>
  <c r="X284" i="14" s="1"/>
  <c r="W285" i="14"/>
  <c r="X285" i="14" s="1"/>
  <c r="W286" i="14"/>
  <c r="X286" i="14" s="1"/>
  <c r="W287" i="14"/>
  <c r="X287" i="14" s="1"/>
  <c r="W288" i="14"/>
  <c r="X288" i="14" s="1"/>
  <c r="W289" i="14"/>
  <c r="X289" i="14" s="1"/>
  <c r="W290" i="14"/>
  <c r="X290" i="14" s="1"/>
  <c r="W291" i="14"/>
  <c r="X291" i="14" s="1"/>
  <c r="W292" i="14"/>
  <c r="X292" i="14" s="1"/>
  <c r="W293" i="14"/>
  <c r="X293" i="14" s="1"/>
  <c r="W294" i="14"/>
  <c r="X294" i="14" s="1"/>
  <c r="W295" i="14"/>
  <c r="X295" i="14" s="1"/>
  <c r="W296" i="14"/>
  <c r="X296" i="14" s="1"/>
  <c r="W297" i="14"/>
  <c r="X297" i="14" s="1"/>
  <c r="W298" i="14"/>
  <c r="X298" i="14" s="1"/>
  <c r="W299" i="14"/>
  <c r="X299" i="14" s="1"/>
  <c r="W5" i="14"/>
  <c r="X5" i="14" s="1"/>
  <c r="X6" i="13"/>
  <c r="W6" i="13"/>
  <c r="W7" i="13"/>
  <c r="X7" i="13" s="1"/>
  <c r="W8" i="13"/>
  <c r="X8" i="13" s="1"/>
  <c r="W9" i="13"/>
  <c r="X9" i="13" s="1"/>
  <c r="W10" i="13"/>
  <c r="X10" i="13" s="1"/>
  <c r="W11" i="13"/>
  <c r="X11" i="13" s="1"/>
  <c r="W12" i="13"/>
  <c r="X12" i="13" s="1"/>
  <c r="W13" i="13"/>
  <c r="X13" i="13" s="1"/>
  <c r="W14" i="13"/>
  <c r="X14" i="13" s="1"/>
  <c r="W15" i="13"/>
  <c r="X15" i="13" s="1"/>
  <c r="W16" i="13"/>
  <c r="X16" i="13" s="1"/>
  <c r="W17" i="13"/>
  <c r="X17" i="13" s="1"/>
  <c r="W18" i="13"/>
  <c r="X18" i="13" s="1"/>
  <c r="W19" i="13"/>
  <c r="X19" i="13" s="1"/>
  <c r="W20" i="13"/>
  <c r="X20" i="13" s="1"/>
  <c r="W21" i="13"/>
  <c r="X21" i="13" s="1"/>
  <c r="W22" i="13"/>
  <c r="X22" i="13" s="1"/>
  <c r="W23" i="13"/>
  <c r="X23" i="13" s="1"/>
  <c r="W24" i="13"/>
  <c r="X24" i="13" s="1"/>
  <c r="W25" i="13"/>
  <c r="X25" i="13" s="1"/>
  <c r="W26" i="13"/>
  <c r="X26" i="13" s="1"/>
  <c r="W27" i="13"/>
  <c r="X27" i="13" s="1"/>
  <c r="W28" i="13"/>
  <c r="X28" i="13" s="1"/>
  <c r="W29" i="13"/>
  <c r="X29" i="13" s="1"/>
  <c r="W30" i="13"/>
  <c r="X30" i="13" s="1"/>
  <c r="W31" i="13"/>
  <c r="X31" i="13" s="1"/>
  <c r="W32" i="13"/>
  <c r="X32" i="13" s="1"/>
  <c r="W33" i="13"/>
  <c r="X33" i="13" s="1"/>
  <c r="W34" i="13"/>
  <c r="X34" i="13" s="1"/>
  <c r="W35" i="13"/>
  <c r="X35" i="13" s="1"/>
  <c r="W36" i="13"/>
  <c r="X36" i="13" s="1"/>
  <c r="W37" i="13"/>
  <c r="X37" i="13" s="1"/>
  <c r="W38" i="13"/>
  <c r="X38" i="13" s="1"/>
  <c r="W39" i="13"/>
  <c r="X39" i="13" s="1"/>
  <c r="W40" i="13"/>
  <c r="X40" i="13" s="1"/>
  <c r="W41" i="13"/>
  <c r="X41" i="13" s="1"/>
  <c r="W42" i="13"/>
  <c r="X42" i="13" s="1"/>
  <c r="W43" i="13"/>
  <c r="X43" i="13" s="1"/>
  <c r="W44" i="13"/>
  <c r="X44" i="13" s="1"/>
  <c r="W45" i="13"/>
  <c r="X45" i="13" s="1"/>
  <c r="W46" i="13"/>
  <c r="X46" i="13" s="1"/>
  <c r="W47" i="13"/>
  <c r="X47" i="13" s="1"/>
  <c r="W48" i="13"/>
  <c r="X48" i="13" s="1"/>
  <c r="W49" i="13"/>
  <c r="X49" i="13" s="1"/>
  <c r="W50" i="13"/>
  <c r="X50" i="13" s="1"/>
  <c r="W51" i="13"/>
  <c r="X51" i="13" s="1"/>
  <c r="W52" i="13"/>
  <c r="X52" i="13" s="1"/>
  <c r="W53" i="13"/>
  <c r="X53" i="13" s="1"/>
  <c r="W54" i="13"/>
  <c r="X54" i="13" s="1"/>
  <c r="W55" i="13"/>
  <c r="X55" i="13" s="1"/>
  <c r="W56" i="13"/>
  <c r="X56" i="13" s="1"/>
  <c r="W57" i="13"/>
  <c r="X57" i="13" s="1"/>
  <c r="W58" i="13"/>
  <c r="X58" i="13" s="1"/>
  <c r="W59" i="13"/>
  <c r="X59" i="13" s="1"/>
  <c r="W60" i="13"/>
  <c r="X60" i="13" s="1"/>
  <c r="W61" i="13"/>
  <c r="X61" i="13" s="1"/>
  <c r="W62" i="13"/>
  <c r="X62" i="13" s="1"/>
  <c r="W63" i="13"/>
  <c r="X63" i="13" s="1"/>
  <c r="W64" i="13"/>
  <c r="X64" i="13" s="1"/>
  <c r="W65" i="13"/>
  <c r="X65" i="13" s="1"/>
  <c r="W66" i="13"/>
  <c r="X66" i="13" s="1"/>
  <c r="W67" i="13"/>
  <c r="X67" i="13" s="1"/>
  <c r="W68" i="13"/>
  <c r="X68" i="13" s="1"/>
  <c r="W69" i="13"/>
  <c r="X69" i="13" s="1"/>
  <c r="W70" i="13"/>
  <c r="X70" i="13" s="1"/>
  <c r="W71" i="13"/>
  <c r="X71" i="13" s="1"/>
  <c r="W72" i="13"/>
  <c r="X72" i="13" s="1"/>
  <c r="W73" i="13"/>
  <c r="X73" i="13" s="1"/>
  <c r="W74" i="13"/>
  <c r="X74" i="13" s="1"/>
  <c r="W75" i="13"/>
  <c r="X75" i="13" s="1"/>
  <c r="W76" i="13"/>
  <c r="X76" i="13" s="1"/>
  <c r="W77" i="13"/>
  <c r="X77" i="13" s="1"/>
  <c r="W78" i="13"/>
  <c r="X78" i="13" s="1"/>
  <c r="W79" i="13"/>
  <c r="X79" i="13" s="1"/>
  <c r="W80" i="13"/>
  <c r="X80" i="13" s="1"/>
  <c r="W81" i="13"/>
  <c r="X81" i="13" s="1"/>
  <c r="W82" i="13"/>
  <c r="X82" i="13" s="1"/>
  <c r="W83" i="13"/>
  <c r="X83" i="13" s="1"/>
  <c r="W84" i="13"/>
  <c r="X84" i="13" s="1"/>
  <c r="W85" i="13"/>
  <c r="X85" i="13" s="1"/>
  <c r="W86" i="13"/>
  <c r="X86" i="13" s="1"/>
  <c r="W87" i="13"/>
  <c r="X87" i="13" s="1"/>
  <c r="W88" i="13"/>
  <c r="X88" i="13" s="1"/>
  <c r="W89" i="13"/>
  <c r="X89" i="13" s="1"/>
  <c r="W90" i="13"/>
  <c r="X90" i="13" s="1"/>
  <c r="W91" i="13"/>
  <c r="X91" i="13" s="1"/>
  <c r="W92" i="13"/>
  <c r="X92" i="13" s="1"/>
  <c r="W93" i="13"/>
  <c r="X93" i="13" s="1"/>
  <c r="W94" i="13"/>
  <c r="X94" i="13" s="1"/>
  <c r="W95" i="13"/>
  <c r="X95" i="13" s="1"/>
  <c r="W96" i="13"/>
  <c r="X96" i="13" s="1"/>
  <c r="W97" i="13"/>
  <c r="X97" i="13" s="1"/>
  <c r="W98" i="13"/>
  <c r="X98" i="13" s="1"/>
  <c r="W99" i="13"/>
  <c r="X99" i="13" s="1"/>
  <c r="W100" i="13"/>
  <c r="X100" i="13" s="1"/>
  <c r="W101" i="13"/>
  <c r="X101" i="13" s="1"/>
  <c r="W102" i="13"/>
  <c r="X102" i="13" s="1"/>
  <c r="W103" i="13"/>
  <c r="X103" i="13" s="1"/>
  <c r="W104" i="13"/>
  <c r="X104" i="13" s="1"/>
  <c r="W105" i="13"/>
  <c r="X105" i="13" s="1"/>
  <c r="W106" i="13"/>
  <c r="X106" i="13" s="1"/>
  <c r="W107" i="13"/>
  <c r="X107" i="13" s="1"/>
  <c r="W108" i="13"/>
  <c r="X108" i="13" s="1"/>
  <c r="W109" i="13"/>
  <c r="X109" i="13" s="1"/>
  <c r="W110" i="13"/>
  <c r="X110" i="13" s="1"/>
  <c r="W111" i="13"/>
  <c r="X111" i="13" s="1"/>
  <c r="W112" i="13"/>
  <c r="X112" i="13" s="1"/>
  <c r="W113" i="13"/>
  <c r="X113" i="13" s="1"/>
  <c r="W114" i="13"/>
  <c r="X114" i="13" s="1"/>
  <c r="W115" i="13"/>
  <c r="X115" i="13" s="1"/>
  <c r="W116" i="13"/>
  <c r="X116" i="13" s="1"/>
  <c r="W117" i="13"/>
  <c r="X117" i="13" s="1"/>
  <c r="W118" i="13"/>
  <c r="X118" i="13" s="1"/>
  <c r="W119" i="13"/>
  <c r="X119" i="13" s="1"/>
  <c r="W120" i="13"/>
  <c r="X120" i="13" s="1"/>
  <c r="W121" i="13"/>
  <c r="X121" i="13" s="1"/>
  <c r="W122" i="13"/>
  <c r="X122" i="13" s="1"/>
  <c r="W123" i="13"/>
  <c r="X123" i="13" s="1"/>
  <c r="W124" i="13"/>
  <c r="X124" i="13" s="1"/>
  <c r="W125" i="13"/>
  <c r="X125" i="13" s="1"/>
  <c r="W126" i="13"/>
  <c r="X126" i="13" s="1"/>
  <c r="W127" i="13"/>
  <c r="X127" i="13" s="1"/>
  <c r="W128" i="13"/>
  <c r="X128" i="13" s="1"/>
  <c r="W129" i="13"/>
  <c r="X129" i="13" s="1"/>
  <c r="W130" i="13"/>
  <c r="X130" i="13" s="1"/>
  <c r="W131" i="13"/>
  <c r="X131" i="13" s="1"/>
  <c r="W132" i="13"/>
  <c r="X132" i="13" s="1"/>
  <c r="W133" i="13"/>
  <c r="X133" i="13" s="1"/>
  <c r="W134" i="13"/>
  <c r="X134" i="13" s="1"/>
  <c r="W135" i="13"/>
  <c r="X135" i="13" s="1"/>
  <c r="W136" i="13"/>
  <c r="X136" i="13" s="1"/>
  <c r="W137" i="13"/>
  <c r="X137" i="13" s="1"/>
  <c r="W138" i="13"/>
  <c r="X138" i="13" s="1"/>
  <c r="W139" i="13"/>
  <c r="X139" i="13" s="1"/>
  <c r="W140" i="13"/>
  <c r="X140" i="13" s="1"/>
  <c r="W141" i="13"/>
  <c r="X141" i="13" s="1"/>
  <c r="W142" i="13"/>
  <c r="X142" i="13" s="1"/>
  <c r="W143" i="13"/>
  <c r="X143" i="13" s="1"/>
  <c r="W144" i="13"/>
  <c r="X144" i="13" s="1"/>
  <c r="W145" i="13"/>
  <c r="X145" i="13" s="1"/>
  <c r="W146" i="13"/>
  <c r="X146" i="13" s="1"/>
  <c r="W147" i="13"/>
  <c r="X147" i="13" s="1"/>
  <c r="W148" i="13"/>
  <c r="X148" i="13" s="1"/>
  <c r="W149" i="13"/>
  <c r="X149" i="13" s="1"/>
  <c r="W150" i="13"/>
  <c r="X150" i="13" s="1"/>
  <c r="W151" i="13"/>
  <c r="X151" i="13" s="1"/>
  <c r="W152" i="13"/>
  <c r="X152" i="13" s="1"/>
  <c r="W153" i="13"/>
  <c r="X153" i="13" s="1"/>
  <c r="W154" i="13"/>
  <c r="X154" i="13" s="1"/>
  <c r="W155" i="13"/>
  <c r="X155" i="13" s="1"/>
  <c r="W156" i="13"/>
  <c r="X156" i="13" s="1"/>
  <c r="W157" i="13"/>
  <c r="X157" i="13" s="1"/>
  <c r="W158" i="13"/>
  <c r="X158" i="13" s="1"/>
  <c r="W159" i="13"/>
  <c r="X159" i="13" s="1"/>
  <c r="W160" i="13"/>
  <c r="X160" i="13" s="1"/>
  <c r="W161" i="13"/>
  <c r="X161" i="13" s="1"/>
  <c r="W162" i="13"/>
  <c r="X162" i="13" s="1"/>
  <c r="W163" i="13"/>
  <c r="X163" i="13" s="1"/>
  <c r="W164" i="13"/>
  <c r="X164" i="13" s="1"/>
  <c r="W165" i="13"/>
  <c r="X165" i="13" s="1"/>
  <c r="W166" i="13"/>
  <c r="X166" i="13" s="1"/>
  <c r="W167" i="13"/>
  <c r="X167" i="13" s="1"/>
  <c r="W168" i="13"/>
  <c r="X168" i="13" s="1"/>
  <c r="W169" i="13"/>
  <c r="X169" i="13" s="1"/>
  <c r="W170" i="13"/>
  <c r="X170" i="13" s="1"/>
  <c r="W171" i="13"/>
  <c r="X171" i="13" s="1"/>
  <c r="W172" i="13"/>
  <c r="X172" i="13" s="1"/>
  <c r="W173" i="13"/>
  <c r="X173" i="13" s="1"/>
  <c r="W174" i="13"/>
  <c r="X174" i="13" s="1"/>
  <c r="W175" i="13"/>
  <c r="X175" i="13" s="1"/>
  <c r="W176" i="13"/>
  <c r="X176" i="13" s="1"/>
  <c r="W177" i="13"/>
  <c r="X177" i="13" s="1"/>
  <c r="W178" i="13"/>
  <c r="X178" i="13" s="1"/>
  <c r="W179" i="13"/>
  <c r="X179" i="13" s="1"/>
  <c r="W180" i="13"/>
  <c r="X180" i="13" s="1"/>
  <c r="W181" i="13"/>
  <c r="X181" i="13" s="1"/>
  <c r="W182" i="13"/>
  <c r="X182" i="13" s="1"/>
  <c r="W183" i="13"/>
  <c r="X183" i="13" s="1"/>
  <c r="W184" i="13"/>
  <c r="X184" i="13" s="1"/>
  <c r="W185" i="13"/>
  <c r="X185" i="13" s="1"/>
  <c r="W186" i="13"/>
  <c r="X186" i="13" s="1"/>
  <c r="W187" i="13"/>
  <c r="X187" i="13" s="1"/>
  <c r="W188" i="13"/>
  <c r="X188" i="13" s="1"/>
  <c r="W189" i="13"/>
  <c r="X189" i="13" s="1"/>
  <c r="W190" i="13"/>
  <c r="X190" i="13" s="1"/>
  <c r="W191" i="13"/>
  <c r="X191" i="13" s="1"/>
  <c r="W192" i="13"/>
  <c r="X192" i="13" s="1"/>
  <c r="W193" i="13"/>
  <c r="X193" i="13" s="1"/>
  <c r="W194" i="13"/>
  <c r="X194" i="13" s="1"/>
  <c r="W195" i="13"/>
  <c r="X195" i="13" s="1"/>
  <c r="W196" i="13"/>
  <c r="X196" i="13" s="1"/>
  <c r="W197" i="13"/>
  <c r="X197" i="13" s="1"/>
  <c r="W198" i="13"/>
  <c r="X198" i="13" s="1"/>
  <c r="W199" i="13"/>
  <c r="X199" i="13" s="1"/>
  <c r="W200" i="13"/>
  <c r="X200" i="13" s="1"/>
  <c r="W201" i="13"/>
  <c r="X201" i="13" s="1"/>
  <c r="W202" i="13"/>
  <c r="X202" i="13" s="1"/>
  <c r="W203" i="13"/>
  <c r="X203" i="13" s="1"/>
  <c r="W204" i="13"/>
  <c r="X204" i="13" s="1"/>
  <c r="W205" i="13"/>
  <c r="X205" i="13" s="1"/>
  <c r="W206" i="13"/>
  <c r="X206" i="13" s="1"/>
  <c r="W207" i="13"/>
  <c r="X207" i="13" s="1"/>
  <c r="W208" i="13"/>
  <c r="X208" i="13" s="1"/>
  <c r="W209" i="13"/>
  <c r="X209" i="13" s="1"/>
  <c r="W210" i="13"/>
  <c r="X210" i="13" s="1"/>
  <c r="W211" i="13"/>
  <c r="X211" i="13" s="1"/>
  <c r="W212" i="13"/>
  <c r="X212" i="13" s="1"/>
  <c r="W213" i="13"/>
  <c r="X213" i="13" s="1"/>
  <c r="W214" i="13"/>
  <c r="X214" i="13" s="1"/>
  <c r="W215" i="13"/>
  <c r="X215" i="13" s="1"/>
  <c r="W216" i="13"/>
  <c r="X216" i="13" s="1"/>
  <c r="W217" i="13"/>
  <c r="X217" i="13" s="1"/>
  <c r="W218" i="13"/>
  <c r="X218" i="13" s="1"/>
  <c r="W219" i="13"/>
  <c r="X219" i="13" s="1"/>
  <c r="W220" i="13"/>
  <c r="X220" i="13" s="1"/>
  <c r="W221" i="13"/>
  <c r="X221" i="13" s="1"/>
  <c r="W222" i="13"/>
  <c r="X222" i="13" s="1"/>
  <c r="W223" i="13"/>
  <c r="X223" i="13" s="1"/>
  <c r="W224" i="13"/>
  <c r="X224" i="13" s="1"/>
  <c r="W225" i="13"/>
  <c r="X225" i="13" s="1"/>
  <c r="W226" i="13"/>
  <c r="X226" i="13" s="1"/>
  <c r="W227" i="13"/>
  <c r="X227" i="13" s="1"/>
  <c r="W228" i="13"/>
  <c r="X228" i="13" s="1"/>
  <c r="W229" i="13"/>
  <c r="X229" i="13" s="1"/>
  <c r="W230" i="13"/>
  <c r="X230" i="13" s="1"/>
  <c r="W231" i="13"/>
  <c r="X231" i="13" s="1"/>
  <c r="W232" i="13"/>
  <c r="X232" i="13" s="1"/>
  <c r="W233" i="13"/>
  <c r="X233" i="13" s="1"/>
  <c r="W234" i="13"/>
  <c r="X234" i="13" s="1"/>
  <c r="W235" i="13"/>
  <c r="X235" i="13" s="1"/>
  <c r="W236" i="13"/>
  <c r="X236" i="13" s="1"/>
  <c r="W237" i="13"/>
  <c r="X237" i="13" s="1"/>
  <c r="W238" i="13"/>
  <c r="X238" i="13" s="1"/>
  <c r="W239" i="13"/>
  <c r="X239" i="13" s="1"/>
  <c r="W240" i="13"/>
  <c r="X240" i="13" s="1"/>
  <c r="W241" i="13"/>
  <c r="X241" i="13" s="1"/>
  <c r="W242" i="13"/>
  <c r="X242" i="13" s="1"/>
  <c r="W243" i="13"/>
  <c r="X243" i="13" s="1"/>
  <c r="W244" i="13"/>
  <c r="X244" i="13" s="1"/>
  <c r="W245" i="13"/>
  <c r="X245" i="13" s="1"/>
  <c r="W246" i="13"/>
  <c r="X246" i="13" s="1"/>
  <c r="W247" i="13"/>
  <c r="X247" i="13" s="1"/>
  <c r="W248" i="13"/>
  <c r="X248" i="13" s="1"/>
  <c r="W249" i="13"/>
  <c r="X249" i="13" s="1"/>
  <c r="W250" i="13"/>
  <c r="X250" i="13" s="1"/>
  <c r="W251" i="13"/>
  <c r="X251" i="13" s="1"/>
  <c r="W252" i="13"/>
  <c r="X252" i="13" s="1"/>
  <c r="W253" i="13"/>
  <c r="X253" i="13" s="1"/>
  <c r="W254" i="13"/>
  <c r="X254" i="13" s="1"/>
  <c r="W255" i="13"/>
  <c r="X255" i="13" s="1"/>
  <c r="W256" i="13"/>
  <c r="X256" i="13" s="1"/>
  <c r="W257" i="13"/>
  <c r="X257" i="13" s="1"/>
  <c r="W258" i="13"/>
  <c r="X258" i="13" s="1"/>
  <c r="W259" i="13"/>
  <c r="X259" i="13" s="1"/>
  <c r="W260" i="13"/>
  <c r="X260" i="13" s="1"/>
  <c r="W261" i="13"/>
  <c r="X261" i="13" s="1"/>
  <c r="W262" i="13"/>
  <c r="X262" i="13" s="1"/>
  <c r="W263" i="13"/>
  <c r="X263" i="13" s="1"/>
  <c r="W264" i="13"/>
  <c r="X264" i="13" s="1"/>
  <c r="W265" i="13"/>
  <c r="X265" i="13" s="1"/>
  <c r="W266" i="13"/>
  <c r="X266" i="13" s="1"/>
  <c r="W267" i="13"/>
  <c r="X267" i="13" s="1"/>
  <c r="W268" i="13"/>
  <c r="X268" i="13" s="1"/>
  <c r="W269" i="13"/>
  <c r="X269" i="13" s="1"/>
  <c r="W270" i="13"/>
  <c r="X270" i="13" s="1"/>
  <c r="W271" i="13"/>
  <c r="X271" i="13" s="1"/>
  <c r="W272" i="13"/>
  <c r="X272" i="13" s="1"/>
  <c r="W273" i="13"/>
  <c r="X273" i="13" s="1"/>
  <c r="W274" i="13"/>
  <c r="X274" i="13" s="1"/>
  <c r="W275" i="13"/>
  <c r="X275" i="13" s="1"/>
  <c r="W276" i="13"/>
  <c r="X276" i="13" s="1"/>
  <c r="W277" i="13"/>
  <c r="X277" i="13" s="1"/>
  <c r="W278" i="13"/>
  <c r="X278" i="13" s="1"/>
  <c r="W279" i="13"/>
  <c r="X279" i="13" s="1"/>
  <c r="W280" i="13"/>
  <c r="X280" i="13" s="1"/>
  <c r="W281" i="13"/>
  <c r="X281" i="13" s="1"/>
  <c r="W282" i="13"/>
  <c r="X282" i="13" s="1"/>
  <c r="W283" i="13"/>
  <c r="X283" i="13" s="1"/>
  <c r="W284" i="13"/>
  <c r="X284" i="13" s="1"/>
  <c r="W285" i="13"/>
  <c r="X285" i="13" s="1"/>
  <c r="W286" i="13"/>
  <c r="X286" i="13" s="1"/>
  <c r="W287" i="13"/>
  <c r="X287" i="13" s="1"/>
  <c r="W288" i="13"/>
  <c r="X288" i="13" s="1"/>
  <c r="W289" i="13"/>
  <c r="X289" i="13" s="1"/>
  <c r="W290" i="13"/>
  <c r="X290" i="13" s="1"/>
  <c r="W291" i="13"/>
  <c r="X291" i="13" s="1"/>
  <c r="W292" i="13"/>
  <c r="X292" i="13" s="1"/>
  <c r="W293" i="13"/>
  <c r="X293" i="13" s="1"/>
  <c r="W294" i="13"/>
  <c r="X294" i="13" s="1"/>
  <c r="W295" i="13"/>
  <c r="X295" i="13" s="1"/>
  <c r="W296" i="13"/>
  <c r="X296" i="13" s="1"/>
  <c r="W297" i="13"/>
  <c r="X297" i="13" s="1"/>
  <c r="W298" i="13"/>
  <c r="X298" i="13" s="1"/>
  <c r="W299" i="13"/>
  <c r="X299" i="13" s="1"/>
  <c r="W300" i="13"/>
  <c r="X300" i="13" s="1"/>
  <c r="W301" i="13"/>
  <c r="X301" i="13" s="1"/>
  <c r="W302" i="13"/>
  <c r="X302" i="13" s="1"/>
  <c r="W303" i="13"/>
  <c r="X303" i="13" s="1"/>
  <c r="W304" i="13"/>
  <c r="X304" i="13" s="1"/>
  <c r="W305" i="13"/>
  <c r="X305" i="13" s="1"/>
  <c r="W5" i="13"/>
  <c r="X5" i="13" s="1"/>
  <c r="Q294" i="22" l="1"/>
  <c r="Q295" i="22" s="1"/>
  <c r="S219" i="22" s="1"/>
  <c r="D294" i="22"/>
  <c r="D295" i="22" s="1"/>
  <c r="S148" i="22" l="1"/>
  <c r="S234" i="22"/>
  <c r="S77" i="22"/>
  <c r="S89" i="22"/>
  <c r="S132" i="22"/>
  <c r="S245" i="22"/>
  <c r="S81" i="22"/>
  <c r="S142" i="22"/>
  <c r="S239" i="22"/>
  <c r="S95" i="22"/>
  <c r="S156" i="22"/>
  <c r="S263" i="22"/>
  <c r="S107" i="22"/>
  <c r="S162" i="22"/>
  <c r="S269" i="22"/>
  <c r="S44" i="22"/>
  <c r="S114" i="22"/>
  <c r="S174" i="22"/>
  <c r="S274" i="22"/>
  <c r="S52" i="22"/>
  <c r="S119" i="22"/>
  <c r="S214" i="22"/>
  <c r="S281" i="22"/>
  <c r="S73" i="22"/>
  <c r="S129" i="22"/>
  <c r="S37" i="22"/>
  <c r="S293" i="22"/>
  <c r="K373" i="22" l="1"/>
  <c r="Q360" i="22"/>
  <c r="Q347" i="22"/>
  <c r="F359" i="22"/>
  <c r="F358" i="22"/>
  <c r="F357" i="22"/>
  <c r="F356" i="22"/>
  <c r="F351" i="22"/>
  <c r="F350" i="22"/>
  <c r="F349" i="22"/>
  <c r="F348" i="22"/>
  <c r="K367" i="22"/>
  <c r="Q361" i="22" l="1"/>
  <c r="S295" i="22" s="1"/>
  <c r="I6" i="22"/>
  <c r="I9" i="22"/>
  <c r="I24" i="22"/>
  <c r="I25" i="22"/>
  <c r="I26" i="22"/>
  <c r="I70" i="22"/>
  <c r="I96" i="22"/>
  <c r="I97" i="22"/>
  <c r="I98" i="22"/>
  <c r="I99" i="22"/>
  <c r="I100" i="22"/>
  <c r="I101" i="22"/>
  <c r="I102" i="22"/>
  <c r="I103" i="22"/>
  <c r="I104" i="22"/>
  <c r="I105" i="22"/>
  <c r="I106" i="22"/>
  <c r="I113" i="22"/>
  <c r="I115" i="22"/>
  <c r="I116" i="22"/>
  <c r="I117" i="22"/>
  <c r="I118" i="22"/>
  <c r="I120" i="22"/>
  <c r="I128" i="22"/>
  <c r="I283" i="22"/>
  <c r="I284" i="22"/>
  <c r="I5" i="22"/>
  <c r="H297" i="22"/>
  <c r="H304" i="22"/>
  <c r="H306" i="22"/>
  <c r="H307" i="22"/>
  <c r="H308" i="22"/>
  <c r="H309" i="22"/>
  <c r="H321" i="22"/>
  <c r="H296" i="22"/>
  <c r="H6" i="22"/>
  <c r="H9" i="22"/>
  <c r="H24" i="22"/>
  <c r="H25" i="22"/>
  <c r="H26" i="22"/>
  <c r="H70" i="22"/>
  <c r="H96" i="22"/>
  <c r="H97" i="22"/>
  <c r="H98" i="22"/>
  <c r="H99" i="22"/>
  <c r="H100" i="22"/>
  <c r="H101" i="22"/>
  <c r="H102" i="22"/>
  <c r="H103" i="22"/>
  <c r="H104" i="22"/>
  <c r="H105" i="22"/>
  <c r="H106" i="22"/>
  <c r="H113" i="22"/>
  <c r="H115" i="22"/>
  <c r="H116" i="22"/>
  <c r="H117" i="22"/>
  <c r="H118" i="22"/>
  <c r="H120" i="22"/>
  <c r="H128" i="22"/>
  <c r="H283" i="22"/>
  <c r="H284" i="22"/>
  <c r="H5" i="22"/>
  <c r="D360" i="22"/>
  <c r="D347" i="22"/>
  <c r="G297" i="22"/>
  <c r="G304" i="22"/>
  <c r="G306" i="22"/>
  <c r="G307" i="22"/>
  <c r="G308" i="22"/>
  <c r="G309" i="22"/>
  <c r="G321" i="22"/>
  <c r="G296" i="22"/>
  <c r="G6" i="22"/>
  <c r="G9" i="22"/>
  <c r="G24" i="22"/>
  <c r="G25" i="22"/>
  <c r="G26" i="22"/>
  <c r="G70" i="22"/>
  <c r="G96" i="22"/>
  <c r="G97" i="22"/>
  <c r="G98" i="22"/>
  <c r="G99" i="22"/>
  <c r="G100" i="22"/>
  <c r="G101" i="22"/>
  <c r="G102" i="22"/>
  <c r="G103" i="22"/>
  <c r="G104" i="22"/>
  <c r="G105" i="22"/>
  <c r="G106" i="22"/>
  <c r="G113" i="22"/>
  <c r="G115" i="22"/>
  <c r="G116" i="22"/>
  <c r="G117" i="22"/>
  <c r="G118" i="22"/>
  <c r="G120" i="22"/>
  <c r="G128" i="22"/>
  <c r="G283" i="22"/>
  <c r="G284" i="22"/>
  <c r="G5" i="22"/>
  <c r="E359" i="22"/>
  <c r="G359" i="22" s="1"/>
  <c r="E358" i="22"/>
  <c r="G358" i="22" s="1"/>
  <c r="E357" i="22"/>
  <c r="G357" i="22" s="1"/>
  <c r="E356" i="22"/>
  <c r="G356" i="22" s="1"/>
  <c r="E355" i="22"/>
  <c r="G355" i="22" s="1"/>
  <c r="E354" i="22"/>
  <c r="G354" i="22" s="1"/>
  <c r="E353" i="22"/>
  <c r="H353" i="22" s="1"/>
  <c r="E352" i="22"/>
  <c r="H352" i="22" s="1"/>
  <c r="E351" i="22"/>
  <c r="G351" i="22" s="1"/>
  <c r="E350" i="22"/>
  <c r="G350" i="22" s="1"/>
  <c r="E349" i="22"/>
  <c r="G349" i="22" s="1"/>
  <c r="E348" i="22"/>
  <c r="H348" i="22" s="1"/>
  <c r="S347" i="22" l="1"/>
  <c r="S360" i="22"/>
  <c r="I119" i="22"/>
  <c r="H107" i="22"/>
  <c r="I107" i="22"/>
  <c r="H119" i="22"/>
  <c r="D361" i="22"/>
  <c r="H359" i="22"/>
  <c r="G352" i="22"/>
  <c r="H351" i="22"/>
  <c r="G348" i="22"/>
  <c r="G353" i="22"/>
  <c r="H358" i="22"/>
  <c r="H350" i="22"/>
  <c r="H357" i="22"/>
  <c r="H349" i="22"/>
  <c r="H356" i="22"/>
  <c r="H355" i="22"/>
  <c r="H354" i="22"/>
  <c r="E329" i="22"/>
  <c r="E328" i="22"/>
  <c r="E323" i="22"/>
  <c r="E320" i="22"/>
  <c r="E318" i="22"/>
  <c r="E316" i="22"/>
  <c r="E315" i="22"/>
  <c r="E346" i="22"/>
  <c r="E345" i="22"/>
  <c r="E344" i="22"/>
  <c r="E343" i="22"/>
  <c r="E342" i="22"/>
  <c r="E341" i="22"/>
  <c r="E340" i="22"/>
  <c r="E339" i="22"/>
  <c r="E338" i="22"/>
  <c r="E337" i="22"/>
  <c r="E336" i="22"/>
  <c r="E335" i="22"/>
  <c r="E334" i="22"/>
  <c r="E333" i="22"/>
  <c r="E332" i="22"/>
  <c r="E331" i="22"/>
  <c r="E330" i="22"/>
  <c r="E327" i="22"/>
  <c r="E326" i="22"/>
  <c r="E325" i="22"/>
  <c r="E324" i="22"/>
  <c r="E322" i="22"/>
  <c r="E319" i="22"/>
  <c r="E317" i="22"/>
  <c r="E314" i="22"/>
  <c r="E313" i="22"/>
  <c r="E312" i="22"/>
  <c r="E311" i="22"/>
  <c r="E310" i="22"/>
  <c r="E305" i="22"/>
  <c r="E303" i="22"/>
  <c r="E302" i="22"/>
  <c r="E301" i="22"/>
  <c r="E300" i="22"/>
  <c r="E299" i="22"/>
  <c r="E298" i="22"/>
  <c r="H360" i="22" l="1"/>
  <c r="H329" i="22"/>
  <c r="G329" i="22"/>
  <c r="J329" i="22" s="1"/>
  <c r="H345" i="22"/>
  <c r="G345" i="22"/>
  <c r="G301" i="22"/>
  <c r="H301" i="22"/>
  <c r="G314" i="22"/>
  <c r="H314" i="22"/>
  <c r="G330" i="22"/>
  <c r="H330" i="22"/>
  <c r="G338" i="22"/>
  <c r="H338" i="22"/>
  <c r="G346" i="22"/>
  <c r="H346" i="22"/>
  <c r="G339" i="22"/>
  <c r="H339" i="22"/>
  <c r="G315" i="22"/>
  <c r="H315" i="22"/>
  <c r="G340" i="22"/>
  <c r="H340" i="22"/>
  <c r="G316" i="22"/>
  <c r="H316" i="22"/>
  <c r="G300" i="22"/>
  <c r="H300" i="22"/>
  <c r="G331" i="22"/>
  <c r="H331" i="22"/>
  <c r="H305" i="22"/>
  <c r="G305" i="22"/>
  <c r="G333" i="22"/>
  <c r="H333" i="22"/>
  <c r="G341" i="22"/>
  <c r="H341" i="22"/>
  <c r="H318" i="22"/>
  <c r="G318" i="22"/>
  <c r="J318" i="22" s="1"/>
  <c r="H337" i="22"/>
  <c r="G337" i="22"/>
  <c r="G302" i="22"/>
  <c r="H302" i="22"/>
  <c r="G319" i="22"/>
  <c r="H319" i="22"/>
  <c r="G322" i="22"/>
  <c r="H322" i="22"/>
  <c r="G310" i="22"/>
  <c r="H310" i="22"/>
  <c r="G324" i="22"/>
  <c r="H324" i="22"/>
  <c r="G334" i="22"/>
  <c r="H334" i="22"/>
  <c r="G342" i="22"/>
  <c r="H342" i="22"/>
  <c r="H320" i="22"/>
  <c r="G320" i="22"/>
  <c r="G327" i="22"/>
  <c r="H327" i="22"/>
  <c r="G332" i="22"/>
  <c r="H332" i="22"/>
  <c r="G298" i="22"/>
  <c r="H298" i="22"/>
  <c r="G311" i="22"/>
  <c r="H311" i="22"/>
  <c r="G325" i="22"/>
  <c r="H325" i="22"/>
  <c r="G335" i="22"/>
  <c r="H335" i="22"/>
  <c r="G343" i="22"/>
  <c r="H343" i="22"/>
  <c r="G323" i="22"/>
  <c r="J323" i="22" s="1"/>
  <c r="H323" i="22"/>
  <c r="H313" i="22"/>
  <c r="G313" i="22"/>
  <c r="G317" i="22"/>
  <c r="H317" i="22"/>
  <c r="G303" i="22"/>
  <c r="H303" i="22"/>
  <c r="G299" i="22"/>
  <c r="H299" i="22"/>
  <c r="H312" i="22"/>
  <c r="G312" i="22"/>
  <c r="G326" i="22"/>
  <c r="H326" i="22"/>
  <c r="H336" i="22"/>
  <c r="G336" i="22"/>
  <c r="H344" i="22"/>
  <c r="G344" i="22"/>
  <c r="H328" i="22"/>
  <c r="G328" i="22"/>
  <c r="F292" i="22"/>
  <c r="I292" i="22" s="1"/>
  <c r="F291" i="22"/>
  <c r="I291" i="22" s="1"/>
  <c r="F290" i="22"/>
  <c r="I290" i="22" s="1"/>
  <c r="F289" i="22"/>
  <c r="I289" i="22" s="1"/>
  <c r="F288" i="22"/>
  <c r="I288" i="22" s="1"/>
  <c r="F287" i="22"/>
  <c r="I287" i="22" s="1"/>
  <c r="F286" i="22"/>
  <c r="I286" i="22" s="1"/>
  <c r="F285" i="22"/>
  <c r="I285" i="22" s="1"/>
  <c r="F282" i="22"/>
  <c r="I282" i="22" s="1"/>
  <c r="F280" i="22"/>
  <c r="I280" i="22" s="1"/>
  <c r="F279" i="22"/>
  <c r="I279" i="22" s="1"/>
  <c r="F278" i="22"/>
  <c r="I278" i="22" s="1"/>
  <c r="F277" i="22"/>
  <c r="I277" i="22" s="1"/>
  <c r="F276" i="22"/>
  <c r="I276" i="22" s="1"/>
  <c r="F275" i="22"/>
  <c r="I275" i="22" s="1"/>
  <c r="F273" i="22"/>
  <c r="I273" i="22" s="1"/>
  <c r="F272" i="22"/>
  <c r="I272" i="22" s="1"/>
  <c r="F271" i="22"/>
  <c r="I271" i="22" s="1"/>
  <c r="F270" i="22"/>
  <c r="I270" i="22" s="1"/>
  <c r="F268" i="22"/>
  <c r="I268" i="22" s="1"/>
  <c r="F267" i="22"/>
  <c r="I267" i="22" s="1"/>
  <c r="F266" i="22"/>
  <c r="I266" i="22" s="1"/>
  <c r="F265" i="22"/>
  <c r="I265" i="22" s="1"/>
  <c r="F264" i="22"/>
  <c r="I264" i="22" s="1"/>
  <c r="F262" i="22"/>
  <c r="I262" i="22" s="1"/>
  <c r="F261" i="22"/>
  <c r="I261" i="22" s="1"/>
  <c r="F260" i="22"/>
  <c r="I260" i="22" s="1"/>
  <c r="F259" i="22"/>
  <c r="I259" i="22" s="1"/>
  <c r="F258" i="22"/>
  <c r="I258" i="22" s="1"/>
  <c r="F257" i="22"/>
  <c r="I257" i="22" s="1"/>
  <c r="F256" i="22"/>
  <c r="I256" i="22" s="1"/>
  <c r="F255" i="22"/>
  <c r="I255" i="22" s="1"/>
  <c r="F254" i="22"/>
  <c r="I254" i="22" s="1"/>
  <c r="F253" i="22"/>
  <c r="I253" i="22" s="1"/>
  <c r="F252" i="22"/>
  <c r="I252" i="22" s="1"/>
  <c r="F251" i="22"/>
  <c r="I251" i="22" s="1"/>
  <c r="F250" i="22"/>
  <c r="I250" i="22" s="1"/>
  <c r="F249" i="22"/>
  <c r="I249" i="22" s="1"/>
  <c r="F248" i="22"/>
  <c r="I248" i="22" s="1"/>
  <c r="F247" i="22"/>
  <c r="I247" i="22" s="1"/>
  <c r="F246" i="22"/>
  <c r="I246" i="22" s="1"/>
  <c r="F244" i="22"/>
  <c r="I244" i="22" s="1"/>
  <c r="F243" i="22"/>
  <c r="I243" i="22" s="1"/>
  <c r="F242" i="22"/>
  <c r="I242" i="22" s="1"/>
  <c r="F241" i="22"/>
  <c r="I241" i="22" s="1"/>
  <c r="F240" i="22"/>
  <c r="I240" i="22" s="1"/>
  <c r="F238" i="22"/>
  <c r="I238" i="22" s="1"/>
  <c r="F237" i="22"/>
  <c r="I237" i="22" s="1"/>
  <c r="F236" i="22"/>
  <c r="I236" i="22" s="1"/>
  <c r="F235" i="22"/>
  <c r="I235" i="22" s="1"/>
  <c r="F233" i="22"/>
  <c r="I233" i="22" s="1"/>
  <c r="F232" i="22"/>
  <c r="I232" i="22" s="1"/>
  <c r="F231" i="22"/>
  <c r="I231" i="22" s="1"/>
  <c r="F230" i="22"/>
  <c r="I230" i="22" s="1"/>
  <c r="F229" i="22"/>
  <c r="I229" i="22" s="1"/>
  <c r="F228" i="22"/>
  <c r="I228" i="22" s="1"/>
  <c r="F227" i="22"/>
  <c r="I227" i="22" s="1"/>
  <c r="F226" i="22"/>
  <c r="I226" i="22" s="1"/>
  <c r="F225" i="22"/>
  <c r="I225" i="22" s="1"/>
  <c r="F224" i="22"/>
  <c r="I224" i="22" s="1"/>
  <c r="F223" i="22"/>
  <c r="I223" i="22" s="1"/>
  <c r="F222" i="22"/>
  <c r="I222" i="22" s="1"/>
  <c r="F221" i="22"/>
  <c r="I221" i="22" s="1"/>
  <c r="F220" i="22"/>
  <c r="I220" i="22" s="1"/>
  <c r="F218" i="22"/>
  <c r="I218" i="22" s="1"/>
  <c r="F217" i="22"/>
  <c r="I217" i="22" s="1"/>
  <c r="F216" i="22"/>
  <c r="I216" i="22" s="1"/>
  <c r="F215" i="22"/>
  <c r="I215" i="22" s="1"/>
  <c r="I219" i="22" s="1"/>
  <c r="F213" i="22"/>
  <c r="I213" i="22" s="1"/>
  <c r="F212" i="22"/>
  <c r="I212" i="22" s="1"/>
  <c r="F211" i="22"/>
  <c r="I211" i="22" s="1"/>
  <c r="F210" i="22"/>
  <c r="I210" i="22" s="1"/>
  <c r="F209" i="22"/>
  <c r="I209" i="22" s="1"/>
  <c r="F208" i="22"/>
  <c r="I208" i="22" s="1"/>
  <c r="F207" i="22"/>
  <c r="I207" i="22" s="1"/>
  <c r="F206" i="22"/>
  <c r="I206" i="22" s="1"/>
  <c r="F205" i="22"/>
  <c r="I205" i="22" s="1"/>
  <c r="F204" i="22"/>
  <c r="I204" i="22" s="1"/>
  <c r="F203" i="22"/>
  <c r="I203" i="22" s="1"/>
  <c r="F202" i="22"/>
  <c r="I202" i="22" s="1"/>
  <c r="F201" i="22"/>
  <c r="I201" i="22" s="1"/>
  <c r="F200" i="22"/>
  <c r="I200" i="22" s="1"/>
  <c r="F199" i="22"/>
  <c r="I199" i="22" s="1"/>
  <c r="F198" i="22"/>
  <c r="I198" i="22" s="1"/>
  <c r="F197" i="22"/>
  <c r="I197" i="22" s="1"/>
  <c r="F196" i="22"/>
  <c r="I196" i="22" s="1"/>
  <c r="F195" i="22"/>
  <c r="I195" i="22" s="1"/>
  <c r="F194" i="22"/>
  <c r="I194" i="22" s="1"/>
  <c r="F193" i="22"/>
  <c r="I193" i="22" s="1"/>
  <c r="F192" i="22"/>
  <c r="I192" i="22" s="1"/>
  <c r="F191" i="22"/>
  <c r="I191" i="22" s="1"/>
  <c r="F190" i="22"/>
  <c r="I190" i="22" s="1"/>
  <c r="F189" i="22"/>
  <c r="I189" i="22" s="1"/>
  <c r="F188" i="22"/>
  <c r="I188" i="22" s="1"/>
  <c r="F187" i="22"/>
  <c r="I187" i="22" s="1"/>
  <c r="F186" i="22"/>
  <c r="I186" i="22" s="1"/>
  <c r="F185" i="22"/>
  <c r="I185" i="22" s="1"/>
  <c r="F184" i="22"/>
  <c r="I184" i="22" s="1"/>
  <c r="F183" i="22"/>
  <c r="I183" i="22" s="1"/>
  <c r="F182" i="22"/>
  <c r="I182" i="22" s="1"/>
  <c r="F181" i="22"/>
  <c r="I181" i="22" s="1"/>
  <c r="F180" i="22"/>
  <c r="I180" i="22" s="1"/>
  <c r="F179" i="22"/>
  <c r="I179" i="22" s="1"/>
  <c r="F178" i="22"/>
  <c r="I178" i="22" s="1"/>
  <c r="F177" i="22"/>
  <c r="I177" i="22" s="1"/>
  <c r="F176" i="22"/>
  <c r="I176" i="22" s="1"/>
  <c r="F175" i="22"/>
  <c r="I175" i="22" s="1"/>
  <c r="F173" i="22"/>
  <c r="I173" i="22" s="1"/>
  <c r="F172" i="22"/>
  <c r="I172" i="22" s="1"/>
  <c r="F171" i="22"/>
  <c r="I171" i="22" s="1"/>
  <c r="F170" i="22"/>
  <c r="I170" i="22" s="1"/>
  <c r="F169" i="22"/>
  <c r="I169" i="22" s="1"/>
  <c r="F168" i="22"/>
  <c r="I168" i="22" s="1"/>
  <c r="F167" i="22"/>
  <c r="I167" i="22" s="1"/>
  <c r="F166" i="22"/>
  <c r="I166" i="22" s="1"/>
  <c r="F165" i="22"/>
  <c r="I165" i="22" s="1"/>
  <c r="F164" i="22"/>
  <c r="I164" i="22" s="1"/>
  <c r="F163" i="22"/>
  <c r="I163" i="22" s="1"/>
  <c r="F161" i="22"/>
  <c r="I161" i="22" s="1"/>
  <c r="F160" i="22"/>
  <c r="I160" i="22" s="1"/>
  <c r="F159" i="22"/>
  <c r="I159" i="22" s="1"/>
  <c r="F158" i="22"/>
  <c r="I158" i="22" s="1"/>
  <c r="F157" i="22"/>
  <c r="I157" i="22" s="1"/>
  <c r="F155" i="22"/>
  <c r="I155" i="22" s="1"/>
  <c r="F154" i="22"/>
  <c r="I154" i="22" s="1"/>
  <c r="F153" i="22"/>
  <c r="I153" i="22" s="1"/>
  <c r="F152" i="22"/>
  <c r="I152" i="22" s="1"/>
  <c r="F151" i="22"/>
  <c r="F150" i="22"/>
  <c r="I150" i="22" s="1"/>
  <c r="F149" i="22"/>
  <c r="I149" i="22" s="1"/>
  <c r="F147" i="22"/>
  <c r="I147" i="22" s="1"/>
  <c r="F146" i="22"/>
  <c r="I146" i="22" s="1"/>
  <c r="F145" i="22"/>
  <c r="I145" i="22" s="1"/>
  <c r="F144" i="22"/>
  <c r="I144" i="22" s="1"/>
  <c r="F143" i="22"/>
  <c r="I143" i="22" s="1"/>
  <c r="F141" i="22"/>
  <c r="I141" i="22" s="1"/>
  <c r="F140" i="22"/>
  <c r="I140" i="22" s="1"/>
  <c r="F139" i="22"/>
  <c r="I139" i="22" s="1"/>
  <c r="F138" i="22"/>
  <c r="I138" i="22" s="1"/>
  <c r="F137" i="22"/>
  <c r="I137" i="22" s="1"/>
  <c r="F136" i="22"/>
  <c r="I136" i="22" s="1"/>
  <c r="F135" i="22"/>
  <c r="I135" i="22" s="1"/>
  <c r="F134" i="22"/>
  <c r="I134" i="22" s="1"/>
  <c r="F133" i="22"/>
  <c r="I133" i="22" s="1"/>
  <c r="F131" i="22"/>
  <c r="I131" i="22" s="1"/>
  <c r="F130" i="22"/>
  <c r="I130" i="22" s="1"/>
  <c r="I132" i="22" s="1"/>
  <c r="F127" i="22"/>
  <c r="I127" i="22" s="1"/>
  <c r="F126" i="22"/>
  <c r="I126" i="22" s="1"/>
  <c r="F125" i="22"/>
  <c r="I125" i="22" s="1"/>
  <c r="F124" i="22"/>
  <c r="I124" i="22" s="1"/>
  <c r="F123" i="22"/>
  <c r="I123" i="22" s="1"/>
  <c r="F122" i="22"/>
  <c r="I122" i="22" s="1"/>
  <c r="F121" i="22"/>
  <c r="I121" i="22" s="1"/>
  <c r="F112" i="22"/>
  <c r="I112" i="22" s="1"/>
  <c r="F111" i="22"/>
  <c r="I111" i="22" s="1"/>
  <c r="F110" i="22"/>
  <c r="I110" i="22" s="1"/>
  <c r="F109" i="22"/>
  <c r="I109" i="22" s="1"/>
  <c r="F108" i="22"/>
  <c r="I108" i="22" s="1"/>
  <c r="J103" i="22"/>
  <c r="F94" i="22"/>
  <c r="I94" i="22" s="1"/>
  <c r="F93" i="22"/>
  <c r="I93" i="22" s="1"/>
  <c r="F92" i="22"/>
  <c r="I92" i="22" s="1"/>
  <c r="F91" i="22"/>
  <c r="I91" i="22" s="1"/>
  <c r="F90" i="22"/>
  <c r="I90" i="22" s="1"/>
  <c r="F88" i="22"/>
  <c r="I88" i="22" s="1"/>
  <c r="F87" i="22"/>
  <c r="I87" i="22" s="1"/>
  <c r="F86" i="22"/>
  <c r="I86" i="22" s="1"/>
  <c r="F85" i="22"/>
  <c r="I85" i="22" s="1"/>
  <c r="F84" i="22"/>
  <c r="I84" i="22" s="1"/>
  <c r="F83" i="22"/>
  <c r="I83" i="22" s="1"/>
  <c r="F82" i="22"/>
  <c r="I82" i="22" s="1"/>
  <c r="F80" i="22"/>
  <c r="I80" i="22" s="1"/>
  <c r="F79" i="22"/>
  <c r="I79" i="22" s="1"/>
  <c r="F78" i="22"/>
  <c r="I78" i="22" s="1"/>
  <c r="F76" i="22"/>
  <c r="I76" i="22" s="1"/>
  <c r="F75" i="22"/>
  <c r="I75" i="22" s="1"/>
  <c r="F74" i="22"/>
  <c r="I74" i="22" s="1"/>
  <c r="F72" i="22"/>
  <c r="I72" i="22" s="1"/>
  <c r="F71" i="22"/>
  <c r="I71" i="22" s="1"/>
  <c r="F69" i="22"/>
  <c r="I69" i="22" s="1"/>
  <c r="F68" i="22"/>
  <c r="I68" i="22" s="1"/>
  <c r="F67" i="22"/>
  <c r="I67" i="22" s="1"/>
  <c r="F66" i="22"/>
  <c r="I66" i="22" s="1"/>
  <c r="F65" i="22"/>
  <c r="I65" i="22" s="1"/>
  <c r="F64" i="22"/>
  <c r="I64" i="22" s="1"/>
  <c r="F63" i="22"/>
  <c r="I63" i="22" s="1"/>
  <c r="F62" i="22"/>
  <c r="I62" i="22" s="1"/>
  <c r="F61" i="22"/>
  <c r="I61" i="22" s="1"/>
  <c r="F60" i="22"/>
  <c r="I60" i="22" s="1"/>
  <c r="F59" i="22"/>
  <c r="I59" i="22" s="1"/>
  <c r="F58" i="22"/>
  <c r="I58" i="22" s="1"/>
  <c r="F57" i="22"/>
  <c r="I57" i="22" s="1"/>
  <c r="F56" i="22"/>
  <c r="I56" i="22" s="1"/>
  <c r="F55" i="22"/>
  <c r="I55" i="22" s="1"/>
  <c r="F54" i="22"/>
  <c r="I54" i="22" s="1"/>
  <c r="F53" i="22"/>
  <c r="I53" i="22" s="1"/>
  <c r="F51" i="22"/>
  <c r="I51" i="22" s="1"/>
  <c r="F50" i="22"/>
  <c r="I50" i="22" s="1"/>
  <c r="F49" i="22"/>
  <c r="I49" i="22" s="1"/>
  <c r="F48" i="22"/>
  <c r="I48" i="22" s="1"/>
  <c r="F47" i="22"/>
  <c r="I47" i="22" s="1"/>
  <c r="F46" i="22"/>
  <c r="I46" i="22" s="1"/>
  <c r="F45" i="22"/>
  <c r="I45" i="22" s="1"/>
  <c r="F43" i="22"/>
  <c r="I43" i="22" s="1"/>
  <c r="F42" i="22"/>
  <c r="I42" i="22" s="1"/>
  <c r="F41" i="22"/>
  <c r="I41" i="22" s="1"/>
  <c r="F40" i="22"/>
  <c r="I40" i="22" s="1"/>
  <c r="F39" i="22"/>
  <c r="I39" i="22" s="1"/>
  <c r="F38" i="22"/>
  <c r="I38" i="22" s="1"/>
  <c r="F36" i="22"/>
  <c r="I36" i="22" s="1"/>
  <c r="F35" i="22"/>
  <c r="I35" i="22" s="1"/>
  <c r="F34" i="22"/>
  <c r="I34" i="22" s="1"/>
  <c r="F33" i="22"/>
  <c r="I33" i="22" s="1"/>
  <c r="F32" i="22"/>
  <c r="I32" i="22" s="1"/>
  <c r="F31" i="22"/>
  <c r="I31" i="22" s="1"/>
  <c r="F30" i="22"/>
  <c r="I30" i="22" s="1"/>
  <c r="F29" i="22"/>
  <c r="I29" i="22" s="1"/>
  <c r="F28" i="22"/>
  <c r="I28" i="22" s="1"/>
  <c r="F27" i="22"/>
  <c r="I27" i="22" s="1"/>
  <c r="J24" i="22"/>
  <c r="F23" i="22"/>
  <c r="I23" i="22" s="1"/>
  <c r="F22" i="22"/>
  <c r="I22" i="22" s="1"/>
  <c r="F21" i="22"/>
  <c r="I21" i="22" s="1"/>
  <c r="F20" i="22"/>
  <c r="I20" i="22" s="1"/>
  <c r="F19" i="22"/>
  <c r="I19" i="22" s="1"/>
  <c r="F18" i="22"/>
  <c r="I18" i="22" s="1"/>
  <c r="F17" i="22"/>
  <c r="I17" i="22" s="1"/>
  <c r="F16" i="22"/>
  <c r="I16" i="22" s="1"/>
  <c r="F15" i="22"/>
  <c r="I15" i="22" s="1"/>
  <c r="F14" i="22"/>
  <c r="I14" i="22" s="1"/>
  <c r="F13" i="22"/>
  <c r="I13" i="22" s="1"/>
  <c r="F12" i="22"/>
  <c r="I12" i="22" s="1"/>
  <c r="F11" i="22"/>
  <c r="I11" i="22" s="1"/>
  <c r="F10" i="22"/>
  <c r="I10" i="22" s="1"/>
  <c r="F8" i="22"/>
  <c r="I8" i="22" s="1"/>
  <c r="F7" i="22"/>
  <c r="I7" i="22" s="1"/>
  <c r="E292" i="22"/>
  <c r="E291" i="22"/>
  <c r="E290" i="22"/>
  <c r="E289" i="22"/>
  <c r="E288" i="22"/>
  <c r="E287" i="22"/>
  <c r="E286" i="22"/>
  <c r="E285" i="22"/>
  <c r="E282" i="22"/>
  <c r="E280" i="22"/>
  <c r="E279" i="22"/>
  <c r="E278" i="22"/>
  <c r="E277" i="22"/>
  <c r="E276" i="22"/>
  <c r="E275" i="22"/>
  <c r="E273" i="22"/>
  <c r="E272" i="22"/>
  <c r="E271" i="22"/>
  <c r="E270" i="22"/>
  <c r="E268" i="22"/>
  <c r="E267" i="22"/>
  <c r="E266" i="22"/>
  <c r="E265" i="22"/>
  <c r="E264" i="22"/>
  <c r="E262" i="22"/>
  <c r="E261" i="22"/>
  <c r="E260" i="22"/>
  <c r="E259" i="22"/>
  <c r="E258" i="22"/>
  <c r="E257" i="22"/>
  <c r="E256" i="22"/>
  <c r="E255" i="22"/>
  <c r="E254" i="22"/>
  <c r="E253" i="22"/>
  <c r="E252" i="22"/>
  <c r="E251" i="22"/>
  <c r="E250" i="22"/>
  <c r="E249" i="22"/>
  <c r="E248" i="22"/>
  <c r="E247" i="22"/>
  <c r="E246" i="22"/>
  <c r="E244" i="22"/>
  <c r="E243" i="22"/>
  <c r="E242" i="22"/>
  <c r="E241" i="22"/>
  <c r="E240" i="22"/>
  <c r="E238" i="22"/>
  <c r="E237" i="22"/>
  <c r="E236" i="22"/>
  <c r="E235" i="22"/>
  <c r="E233" i="22"/>
  <c r="E232" i="22"/>
  <c r="E231" i="22"/>
  <c r="E230" i="22"/>
  <c r="E229" i="22"/>
  <c r="E228" i="22"/>
  <c r="E227" i="22"/>
  <c r="E226" i="22"/>
  <c r="E225" i="22"/>
  <c r="E224" i="22"/>
  <c r="E223" i="22"/>
  <c r="E222" i="22"/>
  <c r="E221" i="22"/>
  <c r="E220" i="22"/>
  <c r="E218" i="22"/>
  <c r="E217" i="22"/>
  <c r="E216" i="22"/>
  <c r="E215" i="22"/>
  <c r="E213" i="22"/>
  <c r="E212" i="22"/>
  <c r="E211" i="22"/>
  <c r="E210" i="22"/>
  <c r="E209" i="22"/>
  <c r="E208" i="22"/>
  <c r="E207" i="22"/>
  <c r="E206" i="22"/>
  <c r="E205" i="22"/>
  <c r="E204" i="22"/>
  <c r="E203" i="22"/>
  <c r="E202" i="22"/>
  <c r="E201" i="22"/>
  <c r="E200" i="22"/>
  <c r="E199" i="22"/>
  <c r="E198" i="22"/>
  <c r="E197" i="22"/>
  <c r="E196" i="22"/>
  <c r="E195" i="22"/>
  <c r="E194" i="22"/>
  <c r="E193" i="22"/>
  <c r="E192" i="22"/>
  <c r="E191" i="22"/>
  <c r="E190" i="22"/>
  <c r="E189" i="22"/>
  <c r="E188" i="22"/>
  <c r="E187" i="22"/>
  <c r="E186" i="22"/>
  <c r="E185" i="22"/>
  <c r="E184" i="22"/>
  <c r="E183" i="22"/>
  <c r="E182" i="22"/>
  <c r="E181" i="22"/>
  <c r="E180" i="22"/>
  <c r="E179" i="22"/>
  <c r="E178" i="22"/>
  <c r="E177" i="22"/>
  <c r="E176" i="22"/>
  <c r="E175" i="22"/>
  <c r="E173" i="22"/>
  <c r="E172" i="22"/>
  <c r="E171" i="22"/>
  <c r="E170" i="22"/>
  <c r="E169" i="22"/>
  <c r="E168" i="22"/>
  <c r="E167" i="22"/>
  <c r="E166" i="22"/>
  <c r="E165" i="22"/>
  <c r="E164" i="22"/>
  <c r="E163" i="22"/>
  <c r="E161" i="22"/>
  <c r="E160" i="22"/>
  <c r="E159" i="22"/>
  <c r="E158" i="22"/>
  <c r="E157" i="22"/>
  <c r="E155" i="22"/>
  <c r="E154" i="22"/>
  <c r="E153" i="22"/>
  <c r="E152" i="22"/>
  <c r="E151" i="22"/>
  <c r="E150" i="22"/>
  <c r="E149" i="22"/>
  <c r="E147" i="22"/>
  <c r="E146" i="22"/>
  <c r="E145" i="22"/>
  <c r="E144" i="22"/>
  <c r="E143" i="22"/>
  <c r="E141" i="22"/>
  <c r="E140" i="22"/>
  <c r="E139" i="22"/>
  <c r="E138" i="22"/>
  <c r="E137" i="22"/>
  <c r="E136" i="22"/>
  <c r="E135" i="22"/>
  <c r="E134" i="22"/>
  <c r="E133" i="22"/>
  <c r="E131" i="22"/>
  <c r="E130" i="22"/>
  <c r="E127" i="22"/>
  <c r="E126" i="22"/>
  <c r="E125" i="22"/>
  <c r="E124" i="22"/>
  <c r="E123" i="22"/>
  <c r="E122" i="22"/>
  <c r="E121" i="22"/>
  <c r="E112" i="22"/>
  <c r="E111" i="22"/>
  <c r="E110" i="22"/>
  <c r="E109" i="22"/>
  <c r="E108" i="22"/>
  <c r="E94" i="22"/>
  <c r="E93" i="22"/>
  <c r="E92" i="22"/>
  <c r="E91" i="22"/>
  <c r="E90" i="22"/>
  <c r="E88" i="22"/>
  <c r="E87" i="22"/>
  <c r="E86" i="22"/>
  <c r="E85" i="22"/>
  <c r="E84" i="22"/>
  <c r="E83" i="22"/>
  <c r="E82" i="22"/>
  <c r="E80" i="22"/>
  <c r="E79" i="22"/>
  <c r="E78" i="22"/>
  <c r="E76" i="22"/>
  <c r="E75" i="22"/>
  <c r="E74" i="22"/>
  <c r="E72" i="22"/>
  <c r="E71" i="22"/>
  <c r="E69" i="22"/>
  <c r="E68" i="22"/>
  <c r="E67" i="22"/>
  <c r="E66" i="22"/>
  <c r="E65" i="22"/>
  <c r="E64" i="22"/>
  <c r="E63" i="22"/>
  <c r="E62" i="22"/>
  <c r="E61" i="22"/>
  <c r="E60" i="22"/>
  <c r="E59" i="22"/>
  <c r="E58" i="22"/>
  <c r="E57" i="22"/>
  <c r="E56" i="22"/>
  <c r="E55" i="22"/>
  <c r="E54" i="22"/>
  <c r="E53" i="22"/>
  <c r="E51" i="22"/>
  <c r="E50" i="22"/>
  <c r="E49" i="22"/>
  <c r="E48" i="22"/>
  <c r="E47" i="22"/>
  <c r="E46" i="22"/>
  <c r="E45" i="22"/>
  <c r="E43" i="22"/>
  <c r="E42" i="22"/>
  <c r="E41" i="22"/>
  <c r="E40" i="22"/>
  <c r="E39" i="22"/>
  <c r="E38" i="22"/>
  <c r="E36" i="22"/>
  <c r="E35" i="22"/>
  <c r="E34" i="22"/>
  <c r="E33" i="22"/>
  <c r="E32" i="22"/>
  <c r="E31" i="22"/>
  <c r="E30" i="22"/>
  <c r="E29" i="22"/>
  <c r="E28" i="22"/>
  <c r="E27" i="22"/>
  <c r="E23" i="22"/>
  <c r="E22" i="22"/>
  <c r="E21" i="22"/>
  <c r="E20" i="22"/>
  <c r="E19" i="22"/>
  <c r="E18" i="22"/>
  <c r="E17" i="22"/>
  <c r="E16" i="22"/>
  <c r="E15" i="22"/>
  <c r="E14" i="22"/>
  <c r="E13" i="22"/>
  <c r="E12" i="22"/>
  <c r="E11" i="22"/>
  <c r="E10" i="22"/>
  <c r="E8" i="22"/>
  <c r="E7" i="22"/>
  <c r="K371" i="22"/>
  <c r="P359" i="22"/>
  <c r="I359" i="22"/>
  <c r="J359" i="22"/>
  <c r="A359" i="22"/>
  <c r="P358" i="22"/>
  <c r="I358" i="22"/>
  <c r="J358" i="22"/>
  <c r="A358" i="22"/>
  <c r="P357" i="22"/>
  <c r="I357" i="22"/>
  <c r="J357" i="22"/>
  <c r="A357" i="22"/>
  <c r="P356" i="22"/>
  <c r="I356" i="22"/>
  <c r="A356" i="22"/>
  <c r="P355" i="22"/>
  <c r="I355" i="22"/>
  <c r="J355" i="22"/>
  <c r="A355" i="22"/>
  <c r="P354" i="22"/>
  <c r="I354" i="22"/>
  <c r="J354" i="22"/>
  <c r="A354" i="22"/>
  <c r="P353" i="22"/>
  <c r="I353" i="22"/>
  <c r="A353" i="22"/>
  <c r="P352" i="22"/>
  <c r="I352" i="22"/>
  <c r="J352" i="22"/>
  <c r="A352" i="22"/>
  <c r="P351" i="22"/>
  <c r="I351" i="22"/>
  <c r="J351" i="22"/>
  <c r="A351" i="22"/>
  <c r="D363" i="22"/>
  <c r="P350" i="22"/>
  <c r="I350" i="22"/>
  <c r="J350" i="22"/>
  <c r="A350" i="22"/>
  <c r="P349" i="22"/>
  <c r="I349" i="22"/>
  <c r="J349" i="22"/>
  <c r="A349" i="22"/>
  <c r="P348" i="22"/>
  <c r="I348" i="22"/>
  <c r="A348" i="22"/>
  <c r="P273" i="22"/>
  <c r="A273" i="22"/>
  <c r="P280" i="22"/>
  <c r="A280" i="22"/>
  <c r="P272" i="22"/>
  <c r="A272" i="22"/>
  <c r="P279" i="22"/>
  <c r="A279" i="22"/>
  <c r="P278" i="22"/>
  <c r="A278" i="22"/>
  <c r="P238" i="22"/>
  <c r="A238" i="22"/>
  <c r="P237" i="22"/>
  <c r="A237" i="22"/>
  <c r="P268" i="22"/>
  <c r="A268" i="22"/>
  <c r="P267" i="22"/>
  <c r="A267" i="22"/>
  <c r="P236" i="22"/>
  <c r="A236" i="22"/>
  <c r="P266" i="22"/>
  <c r="A266" i="22"/>
  <c r="P235" i="22"/>
  <c r="A235" i="22"/>
  <c r="P265" i="22"/>
  <c r="A265" i="22"/>
  <c r="P264" i="22"/>
  <c r="A264" i="22"/>
  <c r="P271" i="22"/>
  <c r="A271" i="22"/>
  <c r="P277" i="22"/>
  <c r="A277" i="22"/>
  <c r="P270" i="22"/>
  <c r="A270" i="22"/>
  <c r="P276" i="22"/>
  <c r="A276" i="22"/>
  <c r="P275" i="22"/>
  <c r="A275" i="22"/>
  <c r="P173" i="22"/>
  <c r="A173" i="22"/>
  <c r="P213" i="22"/>
  <c r="A213" i="22"/>
  <c r="P212" i="22"/>
  <c r="A212" i="22"/>
  <c r="P172" i="22"/>
  <c r="A172" i="22"/>
  <c r="P211" i="22"/>
  <c r="A211" i="22"/>
  <c r="P171" i="22"/>
  <c r="A171" i="22"/>
  <c r="P210" i="22"/>
  <c r="A210" i="22"/>
  <c r="P209" i="22"/>
  <c r="A209" i="22"/>
  <c r="P170" i="22"/>
  <c r="A170" i="22"/>
  <c r="P208" i="22"/>
  <c r="A208" i="22"/>
  <c r="P207" i="22"/>
  <c r="A207" i="22"/>
  <c r="P169" i="22"/>
  <c r="A169" i="22"/>
  <c r="P206" i="22"/>
  <c r="A206" i="22"/>
  <c r="P205" i="22"/>
  <c r="A205" i="22"/>
  <c r="P168" i="22"/>
  <c r="A168" i="22"/>
  <c r="P204" i="22"/>
  <c r="A204" i="22"/>
  <c r="P167" i="22"/>
  <c r="A167" i="22"/>
  <c r="P203" i="22"/>
  <c r="A203" i="22"/>
  <c r="P202" i="22"/>
  <c r="A202" i="22"/>
  <c r="P166" i="22"/>
  <c r="A166" i="22"/>
  <c r="P201" i="22"/>
  <c r="A201" i="22"/>
  <c r="P200" i="22"/>
  <c r="A200" i="22"/>
  <c r="P165" i="22"/>
  <c r="A165" i="22"/>
  <c r="P199" i="22"/>
  <c r="A199" i="22"/>
  <c r="P198" i="22"/>
  <c r="A198" i="22"/>
  <c r="P164" i="22"/>
  <c r="A164" i="22"/>
  <c r="P197" i="22"/>
  <c r="A197" i="22"/>
  <c r="P196" i="22"/>
  <c r="A196" i="22"/>
  <c r="P163" i="22"/>
  <c r="A163" i="22"/>
  <c r="P195" i="22"/>
  <c r="A195" i="22"/>
  <c r="P194" i="22"/>
  <c r="A194" i="22"/>
  <c r="P193" i="22"/>
  <c r="A193" i="22"/>
  <c r="P192" i="22"/>
  <c r="A192" i="22"/>
  <c r="P191" i="22"/>
  <c r="A191" i="22"/>
  <c r="P190" i="22"/>
  <c r="A190" i="22"/>
  <c r="P189" i="22"/>
  <c r="A189" i="22"/>
  <c r="P188" i="22"/>
  <c r="A188" i="22"/>
  <c r="P187" i="22"/>
  <c r="A187" i="22"/>
  <c r="P186" i="22"/>
  <c r="A186" i="22"/>
  <c r="P185" i="22"/>
  <c r="A185" i="22"/>
  <c r="P184" i="22"/>
  <c r="A184" i="22"/>
  <c r="P183" i="22"/>
  <c r="A183" i="22"/>
  <c r="P182" i="22"/>
  <c r="A182" i="22"/>
  <c r="P181" i="22"/>
  <c r="A181" i="22"/>
  <c r="P180" i="22"/>
  <c r="A180" i="22"/>
  <c r="P179" i="22"/>
  <c r="A179" i="22"/>
  <c r="P178" i="22"/>
  <c r="A178" i="22"/>
  <c r="P177" i="22"/>
  <c r="A177" i="22"/>
  <c r="P176" i="22"/>
  <c r="A176" i="22"/>
  <c r="P175" i="22"/>
  <c r="A175" i="22"/>
  <c r="P292" i="22"/>
  <c r="A292" i="22"/>
  <c r="P291" i="22"/>
  <c r="A291" i="22"/>
  <c r="P290" i="22"/>
  <c r="A290" i="22"/>
  <c r="P289" i="22"/>
  <c r="A289" i="22"/>
  <c r="P288" i="22"/>
  <c r="A288" i="22"/>
  <c r="P287" i="22"/>
  <c r="A287" i="22"/>
  <c r="P147" i="22"/>
  <c r="A147" i="22"/>
  <c r="P161" i="22"/>
  <c r="A161" i="22"/>
  <c r="P146" i="22"/>
  <c r="A146" i="22"/>
  <c r="P160" i="22"/>
  <c r="A160" i="22"/>
  <c r="P159" i="22"/>
  <c r="A159" i="22"/>
  <c r="P145" i="22"/>
  <c r="A145" i="22"/>
  <c r="P144" i="22"/>
  <c r="A144" i="22"/>
  <c r="P158" i="22"/>
  <c r="A158" i="22"/>
  <c r="P157" i="22"/>
  <c r="A157" i="22"/>
  <c r="P143" i="22"/>
  <c r="A143" i="22"/>
  <c r="P36" i="22"/>
  <c r="A36" i="22"/>
  <c r="P35" i="22"/>
  <c r="A35" i="22"/>
  <c r="P34" i="22"/>
  <c r="A34" i="22"/>
  <c r="P33" i="22"/>
  <c r="A33" i="22"/>
  <c r="P32" i="22"/>
  <c r="A32" i="22"/>
  <c r="P31" i="22"/>
  <c r="A31" i="22"/>
  <c r="P30" i="22"/>
  <c r="A30" i="22"/>
  <c r="P29" i="22"/>
  <c r="A29" i="22"/>
  <c r="P28" i="22"/>
  <c r="A28" i="22"/>
  <c r="P131" i="22"/>
  <c r="A131" i="22"/>
  <c r="P130" i="22"/>
  <c r="A130" i="22"/>
  <c r="P218" i="22"/>
  <c r="A218" i="22"/>
  <c r="P233" i="22"/>
  <c r="A233" i="22"/>
  <c r="P262" i="22"/>
  <c r="A262" i="22"/>
  <c r="P232" i="22"/>
  <c r="A232" i="22"/>
  <c r="P261" i="22"/>
  <c r="A261" i="22"/>
  <c r="P260" i="22"/>
  <c r="A260" i="22"/>
  <c r="P217" i="22"/>
  <c r="A217" i="22"/>
  <c r="P244" i="22"/>
  <c r="A244" i="22"/>
  <c r="P243" i="22"/>
  <c r="A243" i="22"/>
  <c r="P242" i="22"/>
  <c r="A242" i="22"/>
  <c r="P241" i="22"/>
  <c r="A241" i="22"/>
  <c r="P231" i="22"/>
  <c r="A231" i="22"/>
  <c r="P259" i="22"/>
  <c r="A259" i="22"/>
  <c r="P230" i="22"/>
  <c r="A230" i="22"/>
  <c r="P258" i="22"/>
  <c r="A258" i="22"/>
  <c r="P229" i="22"/>
  <c r="A229" i="22"/>
  <c r="P257" i="22"/>
  <c r="A257" i="22"/>
  <c r="P228" i="22"/>
  <c r="A228" i="22"/>
  <c r="P256" i="22"/>
  <c r="A256" i="22"/>
  <c r="P216" i="22"/>
  <c r="A216" i="22"/>
  <c r="P240" i="22"/>
  <c r="A240" i="22"/>
  <c r="P227" i="22"/>
  <c r="A227" i="22"/>
  <c r="P255" i="22"/>
  <c r="A255" i="22"/>
  <c r="P226" i="22"/>
  <c r="A226" i="22"/>
  <c r="P254" i="22"/>
  <c r="A254" i="22"/>
  <c r="P225" i="22"/>
  <c r="A225" i="22"/>
  <c r="P253" i="22"/>
  <c r="A253" i="22"/>
  <c r="P224" i="22"/>
  <c r="A224" i="22"/>
  <c r="P223" i="22"/>
  <c r="A223" i="22"/>
  <c r="P252" i="22"/>
  <c r="A252" i="22"/>
  <c r="P251" i="22"/>
  <c r="A251" i="22"/>
  <c r="P250" i="22"/>
  <c r="A250" i="22"/>
  <c r="P222" i="22"/>
  <c r="A222" i="22"/>
  <c r="P249" i="22"/>
  <c r="A249" i="22"/>
  <c r="P221" i="22"/>
  <c r="A221" i="22"/>
  <c r="P248" i="22"/>
  <c r="A248" i="22"/>
  <c r="P220" i="22"/>
  <c r="A220" i="22"/>
  <c r="P247" i="22"/>
  <c r="A247" i="22"/>
  <c r="P246" i="22"/>
  <c r="A246" i="22"/>
  <c r="P215" i="22"/>
  <c r="A215" i="22"/>
  <c r="P27" i="22"/>
  <c r="A27" i="22"/>
  <c r="P26" i="22"/>
  <c r="A26" i="22"/>
  <c r="P25" i="22"/>
  <c r="A25" i="22"/>
  <c r="P24" i="22"/>
  <c r="A24" i="22"/>
  <c r="P141" i="22"/>
  <c r="A141" i="22"/>
  <c r="P155" i="22"/>
  <c r="A155" i="22"/>
  <c r="P140" i="22"/>
  <c r="A140" i="22"/>
  <c r="P154" i="22"/>
  <c r="A154" i="22"/>
  <c r="P139" i="22"/>
  <c r="A139" i="22"/>
  <c r="P138" i="22"/>
  <c r="A138" i="22"/>
  <c r="P153" i="22"/>
  <c r="A153" i="22"/>
  <c r="P137" i="22"/>
  <c r="A137" i="22"/>
  <c r="P136" i="22"/>
  <c r="A136" i="22"/>
  <c r="P152" i="22"/>
  <c r="A152" i="22"/>
  <c r="P135" i="22"/>
  <c r="A135" i="22"/>
  <c r="P151" i="22"/>
  <c r="A151" i="22"/>
  <c r="P134" i="22"/>
  <c r="A134" i="22"/>
  <c r="P150" i="22"/>
  <c r="A150" i="22"/>
  <c r="P133" i="22"/>
  <c r="A133" i="22"/>
  <c r="P149" i="22"/>
  <c r="A149" i="22"/>
  <c r="P286" i="22"/>
  <c r="A286" i="22"/>
  <c r="P23" i="22"/>
  <c r="A23" i="22"/>
  <c r="P285" i="22"/>
  <c r="A285" i="22"/>
  <c r="P284" i="22"/>
  <c r="J284" i="22"/>
  <c r="A284" i="22"/>
  <c r="P283" i="22"/>
  <c r="A283" i="22"/>
  <c r="P22" i="22"/>
  <c r="A22" i="22"/>
  <c r="P21" i="22"/>
  <c r="A21" i="22"/>
  <c r="P20" i="22"/>
  <c r="A20" i="22"/>
  <c r="P282" i="22"/>
  <c r="A282" i="22"/>
  <c r="P19" i="22"/>
  <c r="A19" i="22"/>
  <c r="P118" i="22"/>
  <c r="A118" i="22"/>
  <c r="P117" i="22"/>
  <c r="A117" i="22"/>
  <c r="P116" i="22"/>
  <c r="J116" i="22"/>
  <c r="A116" i="22"/>
  <c r="P115" i="22"/>
  <c r="J115" i="22"/>
  <c r="A115" i="22"/>
  <c r="P128" i="22"/>
  <c r="A128" i="22"/>
  <c r="P127" i="22"/>
  <c r="A127" i="22"/>
  <c r="P126" i="22"/>
  <c r="A126" i="22"/>
  <c r="P125" i="22"/>
  <c r="A125" i="22"/>
  <c r="P124" i="22"/>
  <c r="A124" i="22"/>
  <c r="P18" i="22"/>
  <c r="A18" i="22"/>
  <c r="P17" i="22"/>
  <c r="A17" i="22"/>
  <c r="P16" i="22"/>
  <c r="A16" i="22"/>
  <c r="P15" i="22"/>
  <c r="A15" i="22"/>
  <c r="P14" i="22"/>
  <c r="A14" i="22"/>
  <c r="P13" i="22"/>
  <c r="A13" i="22"/>
  <c r="P12" i="22"/>
  <c r="A12" i="22"/>
  <c r="P346" i="22"/>
  <c r="I346" i="22"/>
  <c r="J346" i="22"/>
  <c r="A346" i="22"/>
  <c r="P345" i="22"/>
  <c r="I345" i="22"/>
  <c r="J345" i="22"/>
  <c r="A345" i="22"/>
  <c r="P344" i="22"/>
  <c r="I344" i="22"/>
  <c r="A344" i="22"/>
  <c r="P343" i="22"/>
  <c r="I343" i="22"/>
  <c r="J343" i="22"/>
  <c r="A343" i="22"/>
  <c r="P342" i="22"/>
  <c r="I342" i="22"/>
  <c r="A342" i="22"/>
  <c r="P341" i="22"/>
  <c r="I341" i="22"/>
  <c r="J341" i="22"/>
  <c r="A341" i="22"/>
  <c r="P340" i="22"/>
  <c r="I340" i="22"/>
  <c r="A340" i="22"/>
  <c r="P339" i="22"/>
  <c r="I339" i="22"/>
  <c r="J339" i="22"/>
  <c r="A339" i="22"/>
  <c r="P338" i="22"/>
  <c r="I338" i="22"/>
  <c r="A338" i="22"/>
  <c r="P337" i="22"/>
  <c r="I337" i="22"/>
  <c r="J337" i="22"/>
  <c r="A337" i="22"/>
  <c r="P336" i="22"/>
  <c r="I336" i="22"/>
  <c r="A336" i="22"/>
  <c r="P335" i="22"/>
  <c r="I335" i="22"/>
  <c r="A335" i="22"/>
  <c r="P334" i="22"/>
  <c r="I334" i="22"/>
  <c r="A334" i="22"/>
  <c r="P333" i="22"/>
  <c r="I333" i="22"/>
  <c r="J333" i="22"/>
  <c r="A333" i="22"/>
  <c r="P332" i="22"/>
  <c r="I332" i="22"/>
  <c r="J332" i="22"/>
  <c r="A332" i="22"/>
  <c r="P331" i="22"/>
  <c r="I331" i="22"/>
  <c r="J331" i="22"/>
  <c r="A331" i="22"/>
  <c r="P330" i="22"/>
  <c r="I330" i="22"/>
  <c r="A330" i="22"/>
  <c r="P329" i="22"/>
  <c r="I329" i="22"/>
  <c r="A329" i="22"/>
  <c r="P328" i="22"/>
  <c r="I328" i="22"/>
  <c r="A328" i="22"/>
  <c r="P327" i="22"/>
  <c r="I327" i="22"/>
  <c r="J327" i="22"/>
  <c r="A327" i="22"/>
  <c r="P326" i="22"/>
  <c r="I326" i="22"/>
  <c r="J326" i="22"/>
  <c r="A326" i="22"/>
  <c r="P325" i="22"/>
  <c r="I325" i="22"/>
  <c r="J325" i="22"/>
  <c r="A325" i="22"/>
  <c r="P324" i="22"/>
  <c r="I324" i="22"/>
  <c r="J324" i="22"/>
  <c r="A324" i="22"/>
  <c r="P323" i="22"/>
  <c r="I323" i="22"/>
  <c r="A323" i="22"/>
  <c r="P322" i="22"/>
  <c r="I322" i="22"/>
  <c r="J322" i="22"/>
  <c r="A322" i="22"/>
  <c r="P321" i="22"/>
  <c r="I321" i="22"/>
  <c r="J321" i="22"/>
  <c r="A321" i="22"/>
  <c r="P320" i="22"/>
  <c r="I320" i="22"/>
  <c r="A320" i="22"/>
  <c r="P319" i="22"/>
  <c r="I319" i="22"/>
  <c r="J319" i="22"/>
  <c r="A319" i="22"/>
  <c r="P318" i="22"/>
  <c r="I318" i="22"/>
  <c r="A318" i="22"/>
  <c r="P317" i="22"/>
  <c r="I317" i="22"/>
  <c r="J317" i="22"/>
  <c r="A317" i="22"/>
  <c r="P316" i="22"/>
  <c r="I316" i="22"/>
  <c r="A316" i="22"/>
  <c r="P315" i="22"/>
  <c r="I315" i="22"/>
  <c r="J315" i="22"/>
  <c r="A315" i="22"/>
  <c r="P314" i="22"/>
  <c r="I314" i="22"/>
  <c r="J314" i="22"/>
  <c r="A314" i="22"/>
  <c r="P313" i="22"/>
  <c r="I313" i="22"/>
  <c r="J313" i="22"/>
  <c r="A313" i="22"/>
  <c r="P312" i="22"/>
  <c r="I312" i="22"/>
  <c r="J312" i="22"/>
  <c r="A312" i="22"/>
  <c r="P311" i="22"/>
  <c r="I311" i="22"/>
  <c r="J311" i="22"/>
  <c r="A311" i="22"/>
  <c r="P310" i="22"/>
  <c r="I310" i="22"/>
  <c r="J310" i="22"/>
  <c r="A310" i="22"/>
  <c r="P309" i="22"/>
  <c r="I309" i="22"/>
  <c r="J309" i="22"/>
  <c r="A309" i="22"/>
  <c r="P308" i="22"/>
  <c r="I308" i="22"/>
  <c r="J308" i="22"/>
  <c r="A308" i="22"/>
  <c r="P307" i="22"/>
  <c r="I307" i="22"/>
  <c r="J307" i="22"/>
  <c r="A307" i="22"/>
  <c r="P306" i="22"/>
  <c r="I306" i="22"/>
  <c r="A306" i="22"/>
  <c r="P305" i="22"/>
  <c r="I305" i="22"/>
  <c r="J305" i="22"/>
  <c r="A305" i="22"/>
  <c r="P304" i="22"/>
  <c r="I304" i="22"/>
  <c r="A304" i="22"/>
  <c r="P303" i="22"/>
  <c r="I303" i="22"/>
  <c r="J303" i="22"/>
  <c r="A303" i="22"/>
  <c r="P302" i="22"/>
  <c r="I302" i="22"/>
  <c r="A302" i="22"/>
  <c r="P301" i="22"/>
  <c r="I301" i="22"/>
  <c r="A301" i="22"/>
  <c r="P300" i="22"/>
  <c r="I300" i="22"/>
  <c r="J300" i="22"/>
  <c r="A300" i="22"/>
  <c r="P299" i="22"/>
  <c r="I299" i="22"/>
  <c r="J299" i="22"/>
  <c r="A299" i="22"/>
  <c r="P298" i="22"/>
  <c r="I298" i="22"/>
  <c r="J298" i="22"/>
  <c r="A298" i="22"/>
  <c r="P297" i="22"/>
  <c r="I297" i="22"/>
  <c r="J297" i="22"/>
  <c r="A297" i="22"/>
  <c r="P296" i="22"/>
  <c r="I296" i="22"/>
  <c r="A296" i="22"/>
  <c r="P113" i="22"/>
  <c r="A113" i="22"/>
  <c r="P112" i="22"/>
  <c r="A112" i="22"/>
  <c r="P111" i="22"/>
  <c r="A111" i="22"/>
  <c r="P110" i="22"/>
  <c r="A110" i="22"/>
  <c r="P109" i="22"/>
  <c r="A109" i="22"/>
  <c r="P108" i="22"/>
  <c r="A108" i="22"/>
  <c r="P11" i="22"/>
  <c r="A11" i="22"/>
  <c r="P10" i="22"/>
  <c r="A10" i="22"/>
  <c r="P123" i="22"/>
  <c r="A123" i="22"/>
  <c r="P122" i="22"/>
  <c r="A122" i="22"/>
  <c r="P121" i="22"/>
  <c r="A121" i="22"/>
  <c r="P120" i="22"/>
  <c r="A120" i="22"/>
  <c r="P9" i="22"/>
  <c r="J9" i="22"/>
  <c r="A9" i="22"/>
  <c r="P106" i="22"/>
  <c r="A106" i="22"/>
  <c r="P105" i="22"/>
  <c r="J105" i="22"/>
  <c r="A105" i="22"/>
  <c r="P104" i="22"/>
  <c r="A104" i="22"/>
  <c r="P103" i="22"/>
  <c r="A103" i="22"/>
  <c r="P102" i="22"/>
  <c r="A102" i="22"/>
  <c r="P101" i="22"/>
  <c r="A101" i="22"/>
  <c r="P100" i="22"/>
  <c r="A100" i="22"/>
  <c r="P99" i="22"/>
  <c r="A99" i="22"/>
  <c r="P98" i="22"/>
  <c r="A98" i="22"/>
  <c r="P97" i="22"/>
  <c r="A97" i="22"/>
  <c r="P96" i="22"/>
  <c r="A96" i="22"/>
  <c r="P8" i="22"/>
  <c r="A8" i="22"/>
  <c r="P88" i="22"/>
  <c r="A88" i="22"/>
  <c r="P87" i="22"/>
  <c r="A87" i="22"/>
  <c r="P86" i="22"/>
  <c r="A86" i="22"/>
  <c r="P85" i="22"/>
  <c r="A85" i="22"/>
  <c r="P84" i="22"/>
  <c r="A84" i="22"/>
  <c r="P83" i="22"/>
  <c r="A83" i="22"/>
  <c r="P82" i="22"/>
  <c r="A82" i="22"/>
  <c r="P76" i="22"/>
  <c r="A76" i="22"/>
  <c r="P80" i="22"/>
  <c r="A80" i="22"/>
  <c r="P79" i="22"/>
  <c r="A79" i="22"/>
  <c r="P75" i="22"/>
  <c r="A75" i="22"/>
  <c r="P78" i="22"/>
  <c r="A78" i="22"/>
  <c r="P74" i="22"/>
  <c r="A74" i="22"/>
  <c r="P72" i="22"/>
  <c r="A72" i="22"/>
  <c r="P7" i="22"/>
  <c r="A7" i="22"/>
  <c r="P71" i="22"/>
  <c r="A71" i="22"/>
  <c r="P70" i="22"/>
  <c r="A70" i="22"/>
  <c r="P69" i="22"/>
  <c r="A69" i="22"/>
  <c r="P68" i="22"/>
  <c r="A68" i="22"/>
  <c r="P67" i="22"/>
  <c r="A67" i="22"/>
  <c r="P66" i="22"/>
  <c r="A66" i="22"/>
  <c r="P65" i="22"/>
  <c r="A65" i="22"/>
  <c r="P64" i="22"/>
  <c r="A64" i="22"/>
  <c r="P63" i="22"/>
  <c r="A63" i="22"/>
  <c r="P62" i="22"/>
  <c r="A62" i="22"/>
  <c r="P61" i="22"/>
  <c r="A61" i="22"/>
  <c r="P60" i="22"/>
  <c r="A60" i="22"/>
  <c r="P59" i="22"/>
  <c r="A59" i="22"/>
  <c r="P58" i="22"/>
  <c r="A58" i="22"/>
  <c r="P57" i="22"/>
  <c r="A57" i="22"/>
  <c r="P56" i="22"/>
  <c r="A56" i="22"/>
  <c r="P55" i="22"/>
  <c r="A55" i="22"/>
  <c r="P54" i="22"/>
  <c r="A54" i="22"/>
  <c r="P53" i="22"/>
  <c r="A53" i="22"/>
  <c r="P94" i="22"/>
  <c r="A94" i="22"/>
  <c r="P93" i="22"/>
  <c r="A93" i="22"/>
  <c r="P92" i="22"/>
  <c r="A92" i="22"/>
  <c r="P91" i="22"/>
  <c r="A91" i="22"/>
  <c r="P90" i="22"/>
  <c r="A90" i="22"/>
  <c r="P51" i="22"/>
  <c r="A51" i="22"/>
  <c r="P50" i="22"/>
  <c r="A50" i="22"/>
  <c r="P49" i="22"/>
  <c r="A49" i="22"/>
  <c r="P48" i="22"/>
  <c r="A48" i="22"/>
  <c r="P47" i="22"/>
  <c r="A47" i="22"/>
  <c r="P46" i="22"/>
  <c r="A46" i="22"/>
  <c r="P45" i="22"/>
  <c r="A45" i="22"/>
  <c r="P6" i="22"/>
  <c r="A6" i="22"/>
  <c r="P43" i="22"/>
  <c r="A43" i="22"/>
  <c r="P42" i="22"/>
  <c r="A42" i="22"/>
  <c r="P41" i="22"/>
  <c r="A41" i="22"/>
  <c r="P40" i="22"/>
  <c r="A40" i="22"/>
  <c r="P39" i="22"/>
  <c r="A39" i="22"/>
  <c r="P38" i="22"/>
  <c r="A38" i="22"/>
  <c r="P5" i="22"/>
  <c r="J5" i="22"/>
  <c r="A5" i="22"/>
  <c r="S328" i="21"/>
  <c r="S331" i="21"/>
  <c r="S277" i="21"/>
  <c r="S285" i="21"/>
  <c r="S293" i="21"/>
  <c r="S301" i="21"/>
  <c r="S309" i="21"/>
  <c r="S317" i="21"/>
  <c r="S92" i="21"/>
  <c r="S100" i="21"/>
  <c r="S108" i="21"/>
  <c r="S116" i="21"/>
  <c r="S124" i="21"/>
  <c r="S132" i="21"/>
  <c r="S140" i="21"/>
  <c r="S148" i="21"/>
  <c r="S156" i="21"/>
  <c r="S164" i="21"/>
  <c r="S172" i="21"/>
  <c r="S180" i="21"/>
  <c r="S188" i="21"/>
  <c r="S196" i="21"/>
  <c r="S204" i="21"/>
  <c r="S212" i="21"/>
  <c r="S220" i="21"/>
  <c r="S228" i="21"/>
  <c r="S236" i="21"/>
  <c r="S244" i="21"/>
  <c r="S252" i="21"/>
  <c r="S260" i="21"/>
  <c r="S268" i="21"/>
  <c r="R335" i="21"/>
  <c r="S335" i="21" s="1"/>
  <c r="R334" i="21"/>
  <c r="S334" i="21" s="1"/>
  <c r="R333" i="21"/>
  <c r="S333" i="21" s="1"/>
  <c r="R332" i="21"/>
  <c r="S332" i="21" s="1"/>
  <c r="R331" i="21"/>
  <c r="R330" i="21"/>
  <c r="S330" i="21" s="1"/>
  <c r="R329" i="21"/>
  <c r="S329" i="21" s="1"/>
  <c r="R328" i="21"/>
  <c r="R327" i="21"/>
  <c r="S327" i="21" s="1"/>
  <c r="R326" i="21"/>
  <c r="S326" i="21" s="1"/>
  <c r="R325" i="21"/>
  <c r="S325" i="21" s="1"/>
  <c r="R324" i="21"/>
  <c r="S324" i="21" s="1"/>
  <c r="R322" i="21"/>
  <c r="S322" i="21" s="1"/>
  <c r="R321" i="21"/>
  <c r="S321" i="21" s="1"/>
  <c r="R320" i="21"/>
  <c r="S320" i="21" s="1"/>
  <c r="R319" i="21"/>
  <c r="S319" i="21" s="1"/>
  <c r="R318" i="21"/>
  <c r="S318" i="21" s="1"/>
  <c r="R317" i="21"/>
  <c r="R316" i="21"/>
  <c r="S316" i="21" s="1"/>
  <c r="R315" i="21"/>
  <c r="S315" i="21" s="1"/>
  <c r="R314" i="21"/>
  <c r="S314" i="21" s="1"/>
  <c r="R313" i="21"/>
  <c r="S313" i="21" s="1"/>
  <c r="R312" i="21"/>
  <c r="S312" i="21" s="1"/>
  <c r="R311" i="21"/>
  <c r="S311" i="21" s="1"/>
  <c r="R310" i="21"/>
  <c r="S310" i="21" s="1"/>
  <c r="R309" i="21"/>
  <c r="R308" i="21"/>
  <c r="S308" i="21" s="1"/>
  <c r="R307" i="21"/>
  <c r="S307" i="21" s="1"/>
  <c r="R306" i="21"/>
  <c r="S306" i="21" s="1"/>
  <c r="R305" i="21"/>
  <c r="S305" i="21" s="1"/>
  <c r="R304" i="21"/>
  <c r="S304" i="21" s="1"/>
  <c r="R303" i="21"/>
  <c r="S303" i="21" s="1"/>
  <c r="R302" i="21"/>
  <c r="S302" i="21" s="1"/>
  <c r="R301" i="21"/>
  <c r="R300" i="21"/>
  <c r="S300" i="21" s="1"/>
  <c r="R299" i="21"/>
  <c r="S299" i="21" s="1"/>
  <c r="R298" i="21"/>
  <c r="S298" i="21" s="1"/>
  <c r="R297" i="21"/>
  <c r="S297" i="21" s="1"/>
  <c r="R296" i="21"/>
  <c r="S296" i="21" s="1"/>
  <c r="R295" i="21"/>
  <c r="S295" i="21" s="1"/>
  <c r="R294" i="21"/>
  <c r="S294" i="21" s="1"/>
  <c r="R293" i="21"/>
  <c r="R292" i="21"/>
  <c r="S292" i="21" s="1"/>
  <c r="R291" i="21"/>
  <c r="S291" i="21" s="1"/>
  <c r="R290" i="21"/>
  <c r="S290" i="21" s="1"/>
  <c r="R289" i="21"/>
  <c r="S289" i="21" s="1"/>
  <c r="R288" i="21"/>
  <c r="S288" i="21" s="1"/>
  <c r="R287" i="21"/>
  <c r="S287" i="21" s="1"/>
  <c r="R286" i="21"/>
  <c r="S286" i="21" s="1"/>
  <c r="R285" i="21"/>
  <c r="R284" i="21"/>
  <c r="S284" i="21" s="1"/>
  <c r="R283" i="21"/>
  <c r="S283" i="21" s="1"/>
  <c r="R282" i="21"/>
  <c r="S282" i="21" s="1"/>
  <c r="R281" i="21"/>
  <c r="S281" i="21" s="1"/>
  <c r="R280" i="21"/>
  <c r="S280" i="21" s="1"/>
  <c r="R279" i="21"/>
  <c r="S279" i="21" s="1"/>
  <c r="R278" i="21"/>
  <c r="S278" i="21" s="1"/>
  <c r="R277" i="21"/>
  <c r="R276" i="21"/>
  <c r="S276" i="21" s="1"/>
  <c r="R275" i="21"/>
  <c r="S275" i="21" s="1"/>
  <c r="R7" i="21"/>
  <c r="S7" i="21" s="1"/>
  <c r="R8" i="21"/>
  <c r="S8" i="21" s="1"/>
  <c r="R9" i="21"/>
  <c r="S9" i="21" s="1"/>
  <c r="R10" i="21"/>
  <c r="S10" i="21" s="1"/>
  <c r="R11" i="21"/>
  <c r="S11" i="21" s="1"/>
  <c r="R12" i="21"/>
  <c r="S12" i="21" s="1"/>
  <c r="R13" i="21"/>
  <c r="S13" i="21" s="1"/>
  <c r="R14" i="21"/>
  <c r="S14" i="21" s="1"/>
  <c r="R15" i="21"/>
  <c r="S15" i="21" s="1"/>
  <c r="R16" i="21"/>
  <c r="S16" i="21" s="1"/>
  <c r="R17" i="21"/>
  <c r="S17" i="21" s="1"/>
  <c r="R18" i="21"/>
  <c r="S18" i="21" s="1"/>
  <c r="R19" i="21"/>
  <c r="S19" i="21" s="1"/>
  <c r="R20" i="21"/>
  <c r="S20" i="21" s="1"/>
  <c r="R21" i="21"/>
  <c r="S21" i="21" s="1"/>
  <c r="R22" i="21"/>
  <c r="S22" i="21" s="1"/>
  <c r="R23" i="21"/>
  <c r="S23" i="21" s="1"/>
  <c r="R24" i="21"/>
  <c r="S24" i="21" s="1"/>
  <c r="R25" i="21"/>
  <c r="S25" i="21" s="1"/>
  <c r="R26" i="21"/>
  <c r="S26" i="21" s="1"/>
  <c r="R27" i="21"/>
  <c r="S27" i="21" s="1"/>
  <c r="R28" i="21"/>
  <c r="S28" i="21" s="1"/>
  <c r="R29" i="21"/>
  <c r="S29" i="21" s="1"/>
  <c r="R30" i="21"/>
  <c r="S30" i="21" s="1"/>
  <c r="R31" i="21"/>
  <c r="S31" i="21" s="1"/>
  <c r="R32" i="21"/>
  <c r="S32" i="21" s="1"/>
  <c r="R33" i="21"/>
  <c r="S33" i="21" s="1"/>
  <c r="R34" i="21"/>
  <c r="S34" i="21" s="1"/>
  <c r="R35" i="21"/>
  <c r="S35" i="21" s="1"/>
  <c r="R36" i="21"/>
  <c r="S36" i="21" s="1"/>
  <c r="R37" i="21"/>
  <c r="S37" i="21" s="1"/>
  <c r="R38" i="21"/>
  <c r="S38" i="21" s="1"/>
  <c r="R39" i="21"/>
  <c r="S39" i="21" s="1"/>
  <c r="R40" i="21"/>
  <c r="S40" i="21" s="1"/>
  <c r="R41" i="21"/>
  <c r="S41" i="21" s="1"/>
  <c r="R42" i="21"/>
  <c r="S42" i="21" s="1"/>
  <c r="R43" i="21"/>
  <c r="S43" i="21" s="1"/>
  <c r="R44" i="21"/>
  <c r="S44" i="21" s="1"/>
  <c r="R45" i="21"/>
  <c r="S45" i="21" s="1"/>
  <c r="R46" i="21"/>
  <c r="S46" i="21" s="1"/>
  <c r="R47" i="21"/>
  <c r="S47" i="21" s="1"/>
  <c r="R48" i="21"/>
  <c r="S48" i="21" s="1"/>
  <c r="R49" i="21"/>
  <c r="S49" i="21" s="1"/>
  <c r="R50" i="21"/>
  <c r="S50" i="21" s="1"/>
  <c r="R51" i="21"/>
  <c r="S51" i="21" s="1"/>
  <c r="R52" i="21"/>
  <c r="S52" i="21" s="1"/>
  <c r="R53" i="21"/>
  <c r="S53" i="21" s="1"/>
  <c r="R54" i="21"/>
  <c r="S54" i="21" s="1"/>
  <c r="R55" i="21"/>
  <c r="S55" i="21" s="1"/>
  <c r="R56" i="21"/>
  <c r="S56" i="21" s="1"/>
  <c r="R57" i="21"/>
  <c r="S57" i="21" s="1"/>
  <c r="R58" i="21"/>
  <c r="S58" i="21" s="1"/>
  <c r="R59" i="21"/>
  <c r="S59" i="21" s="1"/>
  <c r="R60" i="21"/>
  <c r="S60" i="21" s="1"/>
  <c r="R61" i="21"/>
  <c r="S61" i="21" s="1"/>
  <c r="R62" i="21"/>
  <c r="S62" i="21" s="1"/>
  <c r="R63" i="21"/>
  <c r="S63" i="21" s="1"/>
  <c r="R64" i="21"/>
  <c r="S64" i="21" s="1"/>
  <c r="R65" i="21"/>
  <c r="S65" i="21" s="1"/>
  <c r="R66" i="21"/>
  <c r="S66" i="21" s="1"/>
  <c r="R67" i="21"/>
  <c r="S67" i="21" s="1"/>
  <c r="R68" i="21"/>
  <c r="S68" i="21" s="1"/>
  <c r="R69" i="21"/>
  <c r="S69" i="21" s="1"/>
  <c r="R70" i="21"/>
  <c r="S70" i="21" s="1"/>
  <c r="R71" i="21"/>
  <c r="S71" i="21" s="1"/>
  <c r="R72" i="21"/>
  <c r="S72" i="21" s="1"/>
  <c r="R73" i="21"/>
  <c r="S73" i="21" s="1"/>
  <c r="R74" i="21"/>
  <c r="S74" i="21" s="1"/>
  <c r="R75" i="21"/>
  <c r="S75" i="21" s="1"/>
  <c r="R76" i="21"/>
  <c r="S76" i="21" s="1"/>
  <c r="R77" i="21"/>
  <c r="S77" i="21" s="1"/>
  <c r="R78" i="21"/>
  <c r="S78" i="21" s="1"/>
  <c r="R79" i="21"/>
  <c r="S79" i="21" s="1"/>
  <c r="R80" i="21"/>
  <c r="S80" i="21" s="1"/>
  <c r="R81" i="21"/>
  <c r="S81" i="21" s="1"/>
  <c r="R82" i="21"/>
  <c r="S82" i="21" s="1"/>
  <c r="R83" i="21"/>
  <c r="S83" i="21" s="1"/>
  <c r="R84" i="21"/>
  <c r="S84" i="21" s="1"/>
  <c r="R85" i="21"/>
  <c r="S85" i="21" s="1"/>
  <c r="R86" i="21"/>
  <c r="S86" i="21" s="1"/>
  <c r="R87" i="21"/>
  <c r="S87" i="21" s="1"/>
  <c r="R88" i="21"/>
  <c r="S88" i="21" s="1"/>
  <c r="R89" i="21"/>
  <c r="S89" i="21" s="1"/>
  <c r="R90" i="21"/>
  <c r="S90" i="21" s="1"/>
  <c r="R91" i="21"/>
  <c r="S91" i="21" s="1"/>
  <c r="R92" i="21"/>
  <c r="R93" i="21"/>
  <c r="S93" i="21" s="1"/>
  <c r="R94" i="21"/>
  <c r="S94" i="21" s="1"/>
  <c r="R95" i="21"/>
  <c r="S95" i="21" s="1"/>
  <c r="R96" i="21"/>
  <c r="S96" i="21" s="1"/>
  <c r="R97" i="21"/>
  <c r="S97" i="21" s="1"/>
  <c r="R98" i="21"/>
  <c r="S98" i="21" s="1"/>
  <c r="R99" i="21"/>
  <c r="S99" i="21" s="1"/>
  <c r="R100" i="21"/>
  <c r="R101" i="21"/>
  <c r="S101" i="21" s="1"/>
  <c r="R102" i="21"/>
  <c r="S102" i="21" s="1"/>
  <c r="R103" i="21"/>
  <c r="S103" i="21" s="1"/>
  <c r="R104" i="21"/>
  <c r="S104" i="21" s="1"/>
  <c r="R105" i="21"/>
  <c r="S105" i="21" s="1"/>
  <c r="R106" i="21"/>
  <c r="S106" i="21" s="1"/>
  <c r="R107" i="21"/>
  <c r="S107" i="21" s="1"/>
  <c r="R108" i="21"/>
  <c r="R109" i="21"/>
  <c r="S109" i="21" s="1"/>
  <c r="R110" i="21"/>
  <c r="S110" i="21" s="1"/>
  <c r="R111" i="21"/>
  <c r="S111" i="21" s="1"/>
  <c r="R112" i="21"/>
  <c r="S112" i="21" s="1"/>
  <c r="R113" i="21"/>
  <c r="S113" i="21" s="1"/>
  <c r="R114" i="21"/>
  <c r="S114" i="21" s="1"/>
  <c r="R115" i="21"/>
  <c r="S115" i="21" s="1"/>
  <c r="R116" i="21"/>
  <c r="R117" i="21"/>
  <c r="S117" i="21" s="1"/>
  <c r="R118" i="21"/>
  <c r="S118" i="21" s="1"/>
  <c r="R119" i="21"/>
  <c r="S119" i="21" s="1"/>
  <c r="R120" i="21"/>
  <c r="S120" i="21" s="1"/>
  <c r="R121" i="21"/>
  <c r="S121" i="21" s="1"/>
  <c r="R122" i="21"/>
  <c r="S122" i="21" s="1"/>
  <c r="R123" i="21"/>
  <c r="S123" i="21" s="1"/>
  <c r="R124" i="21"/>
  <c r="R125" i="21"/>
  <c r="S125" i="21" s="1"/>
  <c r="R126" i="21"/>
  <c r="S126" i="21" s="1"/>
  <c r="R127" i="21"/>
  <c r="S127" i="21" s="1"/>
  <c r="R128" i="21"/>
  <c r="S128" i="21" s="1"/>
  <c r="R129" i="21"/>
  <c r="S129" i="21" s="1"/>
  <c r="R130" i="21"/>
  <c r="S130" i="21" s="1"/>
  <c r="R131" i="21"/>
  <c r="S131" i="21" s="1"/>
  <c r="R132" i="21"/>
  <c r="R133" i="21"/>
  <c r="S133" i="21" s="1"/>
  <c r="R134" i="21"/>
  <c r="S134" i="21" s="1"/>
  <c r="R135" i="21"/>
  <c r="S135" i="21" s="1"/>
  <c r="R136" i="21"/>
  <c r="S136" i="21" s="1"/>
  <c r="R137" i="21"/>
  <c r="S137" i="21" s="1"/>
  <c r="R138" i="21"/>
  <c r="S138" i="21" s="1"/>
  <c r="R139" i="21"/>
  <c r="S139" i="21" s="1"/>
  <c r="R140" i="21"/>
  <c r="R141" i="21"/>
  <c r="S141" i="21" s="1"/>
  <c r="R142" i="21"/>
  <c r="S142" i="21" s="1"/>
  <c r="R143" i="21"/>
  <c r="S143" i="21" s="1"/>
  <c r="R144" i="21"/>
  <c r="S144" i="21" s="1"/>
  <c r="R145" i="21"/>
  <c r="S145" i="21" s="1"/>
  <c r="R146" i="21"/>
  <c r="S146" i="21" s="1"/>
  <c r="R147" i="21"/>
  <c r="S147" i="21" s="1"/>
  <c r="R148" i="21"/>
  <c r="R149" i="21"/>
  <c r="S149" i="21" s="1"/>
  <c r="R150" i="21"/>
  <c r="S150" i="21" s="1"/>
  <c r="R151" i="21"/>
  <c r="S151" i="21" s="1"/>
  <c r="R152" i="21"/>
  <c r="S152" i="21" s="1"/>
  <c r="R153" i="21"/>
  <c r="S153" i="21" s="1"/>
  <c r="R154" i="21"/>
  <c r="S154" i="21" s="1"/>
  <c r="R155" i="21"/>
  <c r="S155" i="21" s="1"/>
  <c r="R156" i="21"/>
  <c r="R157" i="21"/>
  <c r="S157" i="21" s="1"/>
  <c r="R158" i="21"/>
  <c r="S158" i="21" s="1"/>
  <c r="R159" i="21"/>
  <c r="S159" i="21" s="1"/>
  <c r="R160" i="21"/>
  <c r="S160" i="21" s="1"/>
  <c r="R161" i="21"/>
  <c r="S161" i="21" s="1"/>
  <c r="R162" i="21"/>
  <c r="S162" i="21" s="1"/>
  <c r="R163" i="21"/>
  <c r="S163" i="21" s="1"/>
  <c r="R164" i="21"/>
  <c r="R165" i="21"/>
  <c r="S165" i="21" s="1"/>
  <c r="R166" i="21"/>
  <c r="S166" i="21" s="1"/>
  <c r="R167" i="21"/>
  <c r="S167" i="21" s="1"/>
  <c r="R168" i="21"/>
  <c r="S168" i="21" s="1"/>
  <c r="R169" i="21"/>
  <c r="S169" i="21" s="1"/>
  <c r="R170" i="21"/>
  <c r="S170" i="21" s="1"/>
  <c r="R171" i="21"/>
  <c r="S171" i="21" s="1"/>
  <c r="R172" i="21"/>
  <c r="R173" i="21"/>
  <c r="S173" i="21" s="1"/>
  <c r="R174" i="21"/>
  <c r="S174" i="21" s="1"/>
  <c r="R175" i="21"/>
  <c r="S175" i="21" s="1"/>
  <c r="R176" i="21"/>
  <c r="S176" i="21" s="1"/>
  <c r="R177" i="21"/>
  <c r="S177" i="21" s="1"/>
  <c r="R178" i="21"/>
  <c r="S178" i="21" s="1"/>
  <c r="R179" i="21"/>
  <c r="S179" i="21" s="1"/>
  <c r="R180" i="21"/>
  <c r="R181" i="21"/>
  <c r="S181" i="21" s="1"/>
  <c r="R182" i="21"/>
  <c r="S182" i="21" s="1"/>
  <c r="R183" i="21"/>
  <c r="S183" i="21" s="1"/>
  <c r="R184" i="21"/>
  <c r="S184" i="21" s="1"/>
  <c r="R185" i="21"/>
  <c r="S185" i="21" s="1"/>
  <c r="R186" i="21"/>
  <c r="S186" i="21" s="1"/>
  <c r="R187" i="21"/>
  <c r="S187" i="21" s="1"/>
  <c r="R188" i="21"/>
  <c r="R189" i="21"/>
  <c r="S189" i="21" s="1"/>
  <c r="R190" i="21"/>
  <c r="S190" i="21" s="1"/>
  <c r="R191" i="21"/>
  <c r="S191" i="21" s="1"/>
  <c r="R192" i="21"/>
  <c r="S192" i="21" s="1"/>
  <c r="R193" i="21"/>
  <c r="S193" i="21" s="1"/>
  <c r="R194" i="21"/>
  <c r="S194" i="21" s="1"/>
  <c r="R195" i="21"/>
  <c r="S195" i="21" s="1"/>
  <c r="R196" i="21"/>
  <c r="R197" i="21"/>
  <c r="S197" i="21" s="1"/>
  <c r="R198" i="21"/>
  <c r="S198" i="21" s="1"/>
  <c r="R199" i="21"/>
  <c r="S199" i="21" s="1"/>
  <c r="R200" i="21"/>
  <c r="S200" i="21" s="1"/>
  <c r="R201" i="21"/>
  <c r="S201" i="21" s="1"/>
  <c r="R202" i="21"/>
  <c r="S202" i="21" s="1"/>
  <c r="R203" i="21"/>
  <c r="S203" i="21" s="1"/>
  <c r="R204" i="21"/>
  <c r="R205" i="21"/>
  <c r="S205" i="21" s="1"/>
  <c r="R206" i="21"/>
  <c r="S206" i="21" s="1"/>
  <c r="R207" i="21"/>
  <c r="S207" i="21" s="1"/>
  <c r="R208" i="21"/>
  <c r="S208" i="21" s="1"/>
  <c r="R209" i="21"/>
  <c r="S209" i="21" s="1"/>
  <c r="R210" i="21"/>
  <c r="S210" i="21" s="1"/>
  <c r="R211" i="21"/>
  <c r="S211" i="21" s="1"/>
  <c r="R212" i="21"/>
  <c r="R213" i="21"/>
  <c r="S213" i="21" s="1"/>
  <c r="R214" i="21"/>
  <c r="S214" i="21" s="1"/>
  <c r="R215" i="21"/>
  <c r="S215" i="21" s="1"/>
  <c r="R216" i="21"/>
  <c r="S216" i="21" s="1"/>
  <c r="R217" i="21"/>
  <c r="S217" i="21" s="1"/>
  <c r="R218" i="21"/>
  <c r="S218" i="21" s="1"/>
  <c r="R219" i="21"/>
  <c r="S219" i="21" s="1"/>
  <c r="R220" i="21"/>
  <c r="R221" i="21"/>
  <c r="S221" i="21" s="1"/>
  <c r="R222" i="21"/>
  <c r="S222" i="21" s="1"/>
  <c r="R223" i="21"/>
  <c r="S223" i="21" s="1"/>
  <c r="R224" i="21"/>
  <c r="S224" i="21" s="1"/>
  <c r="R225" i="21"/>
  <c r="S225" i="21" s="1"/>
  <c r="R226" i="21"/>
  <c r="S226" i="21" s="1"/>
  <c r="R227" i="21"/>
  <c r="S227" i="21" s="1"/>
  <c r="R228" i="21"/>
  <c r="R229" i="21"/>
  <c r="S229" i="21" s="1"/>
  <c r="R230" i="21"/>
  <c r="S230" i="21" s="1"/>
  <c r="R231" i="21"/>
  <c r="S231" i="21" s="1"/>
  <c r="R232" i="21"/>
  <c r="S232" i="21" s="1"/>
  <c r="R233" i="21"/>
  <c r="S233" i="21" s="1"/>
  <c r="R234" i="21"/>
  <c r="S234" i="21" s="1"/>
  <c r="R235" i="21"/>
  <c r="S235" i="21" s="1"/>
  <c r="R236" i="21"/>
  <c r="R237" i="21"/>
  <c r="S237" i="21" s="1"/>
  <c r="R238" i="21"/>
  <c r="S238" i="21" s="1"/>
  <c r="R239" i="21"/>
  <c r="S239" i="21" s="1"/>
  <c r="R240" i="21"/>
  <c r="S240" i="21" s="1"/>
  <c r="R241" i="21"/>
  <c r="S241" i="21" s="1"/>
  <c r="R242" i="21"/>
  <c r="S242" i="21" s="1"/>
  <c r="R243" i="21"/>
  <c r="S243" i="21" s="1"/>
  <c r="R244" i="21"/>
  <c r="R245" i="21"/>
  <c r="S245" i="21" s="1"/>
  <c r="R246" i="21"/>
  <c r="S246" i="21" s="1"/>
  <c r="R247" i="21"/>
  <c r="S247" i="21" s="1"/>
  <c r="R248" i="21"/>
  <c r="S248" i="21" s="1"/>
  <c r="R249" i="21"/>
  <c r="S249" i="21" s="1"/>
  <c r="R250" i="21"/>
  <c r="S250" i="21" s="1"/>
  <c r="R251" i="21"/>
  <c r="S251" i="21" s="1"/>
  <c r="R252" i="21"/>
  <c r="R253" i="21"/>
  <c r="S253" i="21" s="1"/>
  <c r="R254" i="21"/>
  <c r="S254" i="21" s="1"/>
  <c r="R255" i="21"/>
  <c r="S255" i="21" s="1"/>
  <c r="R256" i="21"/>
  <c r="S256" i="21" s="1"/>
  <c r="R257" i="21"/>
  <c r="S257" i="21" s="1"/>
  <c r="R258" i="21"/>
  <c r="S258" i="21" s="1"/>
  <c r="R259" i="21"/>
  <c r="S259" i="21" s="1"/>
  <c r="R260" i="21"/>
  <c r="R261" i="21"/>
  <c r="S261" i="21" s="1"/>
  <c r="R262" i="21"/>
  <c r="S262" i="21" s="1"/>
  <c r="R263" i="21"/>
  <c r="S263" i="21" s="1"/>
  <c r="R264" i="21"/>
  <c r="S264" i="21" s="1"/>
  <c r="R265" i="21"/>
  <c r="S265" i="21" s="1"/>
  <c r="R266" i="21"/>
  <c r="S266" i="21" s="1"/>
  <c r="R267" i="21"/>
  <c r="S267" i="21" s="1"/>
  <c r="R268" i="21"/>
  <c r="R269" i="21"/>
  <c r="S269" i="21" s="1"/>
  <c r="R270" i="21"/>
  <c r="S270" i="21" s="1"/>
  <c r="R271" i="21"/>
  <c r="S271" i="21" s="1"/>
  <c r="R272" i="21"/>
  <c r="S272" i="21" s="1"/>
  <c r="R273" i="21"/>
  <c r="S273" i="21" s="1"/>
  <c r="R6" i="21"/>
  <c r="T274" i="21"/>
  <c r="D274" i="21"/>
  <c r="T337" i="21"/>
  <c r="D337" i="21"/>
  <c r="P336" i="21"/>
  <c r="I336" i="21"/>
  <c r="H336" i="21"/>
  <c r="G336" i="21"/>
  <c r="J336" i="21" s="1"/>
  <c r="A336" i="21"/>
  <c r="P335" i="21"/>
  <c r="I335" i="21"/>
  <c r="H335" i="21"/>
  <c r="G335" i="21"/>
  <c r="J335" i="21" s="1"/>
  <c r="A335" i="21"/>
  <c r="P334" i="21"/>
  <c r="I334" i="21"/>
  <c r="H334" i="21"/>
  <c r="G334" i="21"/>
  <c r="A334" i="21"/>
  <c r="P333" i="21"/>
  <c r="I333" i="21"/>
  <c r="H333" i="21"/>
  <c r="G333" i="21"/>
  <c r="J333" i="21" s="1"/>
  <c r="A333" i="21"/>
  <c r="P332" i="21"/>
  <c r="I332" i="21"/>
  <c r="H332" i="21"/>
  <c r="G332" i="21"/>
  <c r="J332" i="21" s="1"/>
  <c r="A332" i="21"/>
  <c r="P331" i="21"/>
  <c r="I331" i="21"/>
  <c r="H331" i="21"/>
  <c r="G331" i="21"/>
  <c r="J331" i="21" s="1"/>
  <c r="A331" i="21"/>
  <c r="P330" i="21"/>
  <c r="I330" i="21"/>
  <c r="H330" i="21"/>
  <c r="G330" i="21"/>
  <c r="J330" i="21" s="1"/>
  <c r="A330" i="21"/>
  <c r="P329" i="21"/>
  <c r="I329" i="21"/>
  <c r="H329" i="21"/>
  <c r="G329" i="21"/>
  <c r="A329" i="21"/>
  <c r="P328" i="21"/>
  <c r="I328" i="21"/>
  <c r="H328" i="21"/>
  <c r="G328" i="21"/>
  <c r="J328" i="21" s="1"/>
  <c r="A328" i="21"/>
  <c r="P327" i="21"/>
  <c r="I327" i="21"/>
  <c r="H327" i="21"/>
  <c r="G327" i="21"/>
  <c r="J327" i="21" s="1"/>
  <c r="A327" i="21"/>
  <c r="P326" i="21"/>
  <c r="I326" i="21"/>
  <c r="H326" i="21"/>
  <c r="G326" i="21"/>
  <c r="A326" i="21"/>
  <c r="P325" i="21"/>
  <c r="I325" i="21"/>
  <c r="H325" i="21"/>
  <c r="G325" i="21"/>
  <c r="J325" i="21" s="1"/>
  <c r="A325" i="21"/>
  <c r="P324" i="21"/>
  <c r="I324" i="21"/>
  <c r="H324" i="21"/>
  <c r="G324" i="21"/>
  <c r="J324" i="21" s="1"/>
  <c r="A324" i="21"/>
  <c r="T323" i="21"/>
  <c r="D323" i="21"/>
  <c r="P322" i="21"/>
  <c r="I322" i="21"/>
  <c r="H322" i="21"/>
  <c r="G322" i="21"/>
  <c r="A322" i="21"/>
  <c r="P321" i="21"/>
  <c r="I321" i="21"/>
  <c r="H321" i="21"/>
  <c r="G321" i="21"/>
  <c r="J321" i="21" s="1"/>
  <c r="A321" i="21"/>
  <c r="P320" i="21"/>
  <c r="I320" i="21"/>
  <c r="H320" i="21"/>
  <c r="G320" i="21"/>
  <c r="A320" i="21"/>
  <c r="P319" i="21"/>
  <c r="I319" i="21"/>
  <c r="H319" i="21"/>
  <c r="G319" i="21"/>
  <c r="J319" i="21" s="1"/>
  <c r="A319" i="21"/>
  <c r="P318" i="21"/>
  <c r="I318" i="21"/>
  <c r="H318" i="21"/>
  <c r="G318" i="21"/>
  <c r="J318" i="21" s="1"/>
  <c r="A318" i="21"/>
  <c r="P317" i="21"/>
  <c r="I317" i="21"/>
  <c r="H317" i="21"/>
  <c r="G317" i="21"/>
  <c r="A317" i="21"/>
  <c r="P316" i="21"/>
  <c r="I316" i="21"/>
  <c r="H316" i="21"/>
  <c r="G316" i="21"/>
  <c r="J316" i="21" s="1"/>
  <c r="A316" i="21"/>
  <c r="P315" i="21"/>
  <c r="I315" i="21"/>
  <c r="H315" i="21"/>
  <c r="G315" i="21"/>
  <c r="J315" i="21" s="1"/>
  <c r="A315" i="21"/>
  <c r="P314" i="21"/>
  <c r="I314" i="21"/>
  <c r="H314" i="21"/>
  <c r="G314" i="21"/>
  <c r="J314" i="21" s="1"/>
  <c r="A314" i="21"/>
  <c r="P313" i="21"/>
  <c r="I313" i="21"/>
  <c r="H313" i="21"/>
  <c r="G313" i="21"/>
  <c r="J313" i="21" s="1"/>
  <c r="A313" i="21"/>
  <c r="P312" i="21"/>
  <c r="I312" i="21"/>
  <c r="H312" i="21"/>
  <c r="G312" i="21"/>
  <c r="A312" i="21"/>
  <c r="P311" i="21"/>
  <c r="I311" i="21"/>
  <c r="H311" i="21"/>
  <c r="G311" i="21"/>
  <c r="J311" i="21" s="1"/>
  <c r="A311" i="21"/>
  <c r="P310" i="21"/>
  <c r="I310" i="21"/>
  <c r="H310" i="21"/>
  <c r="G310" i="21"/>
  <c r="J310" i="21" s="1"/>
  <c r="A310" i="21"/>
  <c r="P309" i="21"/>
  <c r="I309" i="21"/>
  <c r="H309" i="21"/>
  <c r="G309" i="21"/>
  <c r="A309" i="21"/>
  <c r="P308" i="21"/>
  <c r="I308" i="21"/>
  <c r="H308" i="21"/>
  <c r="G308" i="21"/>
  <c r="J308" i="21" s="1"/>
  <c r="A308" i="21"/>
  <c r="P307" i="21"/>
  <c r="I307" i="21"/>
  <c r="H307" i="21"/>
  <c r="G307" i="21"/>
  <c r="J307" i="21" s="1"/>
  <c r="A307" i="21"/>
  <c r="P306" i="21"/>
  <c r="I306" i="21"/>
  <c r="H306" i="21"/>
  <c r="G306" i="21"/>
  <c r="J306" i="21" s="1"/>
  <c r="A306" i="21"/>
  <c r="P305" i="21"/>
  <c r="I305" i="21"/>
  <c r="H305" i="21"/>
  <c r="G305" i="21"/>
  <c r="J305" i="21" s="1"/>
  <c r="A305" i="21"/>
  <c r="P304" i="21"/>
  <c r="I304" i="21"/>
  <c r="H304" i="21"/>
  <c r="G304" i="21"/>
  <c r="A304" i="21"/>
  <c r="P303" i="21"/>
  <c r="I303" i="21"/>
  <c r="H303" i="21"/>
  <c r="G303" i="21"/>
  <c r="J303" i="21" s="1"/>
  <c r="A303" i="21"/>
  <c r="P302" i="21"/>
  <c r="I302" i="21"/>
  <c r="H302" i="21"/>
  <c r="G302" i="21"/>
  <c r="J302" i="21" s="1"/>
  <c r="A302" i="21"/>
  <c r="P301" i="21"/>
  <c r="I301" i="21"/>
  <c r="H301" i="21"/>
  <c r="G301" i="21"/>
  <c r="A301" i="21"/>
  <c r="P300" i="21"/>
  <c r="I300" i="21"/>
  <c r="H300" i="21"/>
  <c r="G300" i="21"/>
  <c r="J300" i="21" s="1"/>
  <c r="A300" i="21"/>
  <c r="P299" i="21"/>
  <c r="I299" i="21"/>
  <c r="H299" i="21"/>
  <c r="G299" i="21"/>
  <c r="J299" i="21" s="1"/>
  <c r="A299" i="21"/>
  <c r="P298" i="21"/>
  <c r="I298" i="21"/>
  <c r="H298" i="21"/>
  <c r="G298" i="21"/>
  <c r="J298" i="21" s="1"/>
  <c r="A298" i="21"/>
  <c r="P297" i="21"/>
  <c r="I297" i="21"/>
  <c r="H297" i="21"/>
  <c r="G297" i="21"/>
  <c r="J297" i="21" s="1"/>
  <c r="A297" i="21"/>
  <c r="P296" i="21"/>
  <c r="I296" i="21"/>
  <c r="H296" i="21"/>
  <c r="G296" i="21"/>
  <c r="A296" i="21"/>
  <c r="P295" i="21"/>
  <c r="I295" i="21"/>
  <c r="H295" i="21"/>
  <c r="G295" i="21"/>
  <c r="J295" i="21" s="1"/>
  <c r="A295" i="21"/>
  <c r="P294" i="21"/>
  <c r="I294" i="21"/>
  <c r="H294" i="21"/>
  <c r="G294" i="21"/>
  <c r="J294" i="21" s="1"/>
  <c r="A294" i="21"/>
  <c r="P293" i="21"/>
  <c r="I293" i="21"/>
  <c r="H293" i="21"/>
  <c r="G293" i="21"/>
  <c r="A293" i="21"/>
  <c r="P292" i="21"/>
  <c r="I292" i="21"/>
  <c r="H292" i="21"/>
  <c r="G292" i="21"/>
  <c r="J292" i="21" s="1"/>
  <c r="A292" i="21"/>
  <c r="P291" i="21"/>
  <c r="I291" i="21"/>
  <c r="H291" i="21"/>
  <c r="G291" i="21"/>
  <c r="J291" i="21" s="1"/>
  <c r="A291" i="21"/>
  <c r="P290" i="21"/>
  <c r="I290" i="21"/>
  <c r="H290" i="21"/>
  <c r="G290" i="21"/>
  <c r="J290" i="21" s="1"/>
  <c r="A290" i="21"/>
  <c r="P289" i="21"/>
  <c r="I289" i="21"/>
  <c r="H289" i="21"/>
  <c r="G289" i="21"/>
  <c r="J289" i="21" s="1"/>
  <c r="A289" i="21"/>
  <c r="P288" i="21"/>
  <c r="I288" i="21"/>
  <c r="H288" i="21"/>
  <c r="G288" i="21"/>
  <c r="A288" i="21"/>
  <c r="P287" i="21"/>
  <c r="I287" i="21"/>
  <c r="H287" i="21"/>
  <c r="G287" i="21"/>
  <c r="J287" i="21" s="1"/>
  <c r="A287" i="21"/>
  <c r="P286" i="21"/>
  <c r="I286" i="21"/>
  <c r="H286" i="21"/>
  <c r="G286" i="21"/>
  <c r="J286" i="21" s="1"/>
  <c r="A286" i="21"/>
  <c r="P285" i="21"/>
  <c r="I285" i="21"/>
  <c r="H285" i="21"/>
  <c r="G285" i="21"/>
  <c r="A285" i="21"/>
  <c r="P284" i="21"/>
  <c r="I284" i="21"/>
  <c r="H284" i="21"/>
  <c r="G284" i="21"/>
  <c r="J284" i="21" s="1"/>
  <c r="A284" i="21"/>
  <c r="P283" i="21"/>
  <c r="I283" i="21"/>
  <c r="H283" i="21"/>
  <c r="G283" i="21"/>
  <c r="J283" i="21" s="1"/>
  <c r="A283" i="21"/>
  <c r="P282" i="21"/>
  <c r="I282" i="21"/>
  <c r="H282" i="21"/>
  <c r="G282" i="21"/>
  <c r="J282" i="21" s="1"/>
  <c r="A282" i="21"/>
  <c r="P281" i="21"/>
  <c r="I281" i="21"/>
  <c r="H281" i="21"/>
  <c r="G281" i="21"/>
  <c r="J281" i="21" s="1"/>
  <c r="A281" i="21"/>
  <c r="P280" i="21"/>
  <c r="I280" i="21"/>
  <c r="H280" i="21"/>
  <c r="G280" i="21"/>
  <c r="A280" i="21"/>
  <c r="P279" i="21"/>
  <c r="I279" i="21"/>
  <c r="H279" i="21"/>
  <c r="G279" i="21"/>
  <c r="J279" i="21" s="1"/>
  <c r="A279" i="21"/>
  <c r="P278" i="21"/>
  <c r="I278" i="21"/>
  <c r="H278" i="21"/>
  <c r="G278" i="21"/>
  <c r="J278" i="21" s="1"/>
  <c r="A278" i="21"/>
  <c r="P277" i="21"/>
  <c r="I277" i="21"/>
  <c r="H277" i="21"/>
  <c r="G277" i="21"/>
  <c r="A277" i="21"/>
  <c r="P276" i="21"/>
  <c r="I276" i="21"/>
  <c r="H276" i="21"/>
  <c r="G276" i="21"/>
  <c r="J276" i="21" s="1"/>
  <c r="A276" i="21"/>
  <c r="P275" i="21"/>
  <c r="I275" i="21"/>
  <c r="H275" i="21"/>
  <c r="G275" i="21"/>
  <c r="A275" i="21"/>
  <c r="P273" i="21"/>
  <c r="I273" i="21"/>
  <c r="H273" i="21"/>
  <c r="G273" i="21"/>
  <c r="J273" i="21" s="1"/>
  <c r="A273" i="21"/>
  <c r="P272" i="21"/>
  <c r="I272" i="21"/>
  <c r="H272" i="21"/>
  <c r="G272" i="21"/>
  <c r="J272" i="21" s="1"/>
  <c r="A272" i="21"/>
  <c r="P271" i="21"/>
  <c r="J271" i="21"/>
  <c r="I271" i="21"/>
  <c r="H271" i="21"/>
  <c r="G271" i="21"/>
  <c r="A271" i="21"/>
  <c r="P270" i="21"/>
  <c r="I270" i="21"/>
  <c r="H270" i="21"/>
  <c r="G270" i="21"/>
  <c r="J270" i="21" s="1"/>
  <c r="A270" i="21"/>
  <c r="P269" i="21"/>
  <c r="I269" i="21"/>
  <c r="H269" i="21"/>
  <c r="G269" i="21"/>
  <c r="J269" i="21" s="1"/>
  <c r="A269" i="21"/>
  <c r="P268" i="21"/>
  <c r="I268" i="21"/>
  <c r="H268" i="21"/>
  <c r="G268" i="21"/>
  <c r="J268" i="21" s="1"/>
  <c r="A268" i="21"/>
  <c r="P267" i="21"/>
  <c r="J267" i="21"/>
  <c r="I267" i="21"/>
  <c r="H267" i="21"/>
  <c r="G267" i="21"/>
  <c r="A267" i="21"/>
  <c r="P266" i="21"/>
  <c r="I266" i="21"/>
  <c r="H266" i="21"/>
  <c r="G266" i="21"/>
  <c r="J266" i="21" s="1"/>
  <c r="A266" i="21"/>
  <c r="P265" i="21"/>
  <c r="I265" i="21"/>
  <c r="H265" i="21"/>
  <c r="G265" i="21"/>
  <c r="A265" i="21"/>
  <c r="P264" i="21"/>
  <c r="I264" i="21"/>
  <c r="H264" i="21"/>
  <c r="G264" i="21"/>
  <c r="J264" i="21" s="1"/>
  <c r="A264" i="21"/>
  <c r="P263" i="21"/>
  <c r="I263" i="21"/>
  <c r="H263" i="21"/>
  <c r="G263" i="21"/>
  <c r="J263" i="21" s="1"/>
  <c r="A263" i="21"/>
  <c r="P262" i="21"/>
  <c r="I262" i="21"/>
  <c r="H262" i="21"/>
  <c r="G262" i="21"/>
  <c r="J262" i="21" s="1"/>
  <c r="A262" i="21"/>
  <c r="P261" i="21"/>
  <c r="I261" i="21"/>
  <c r="H261" i="21"/>
  <c r="G261" i="21"/>
  <c r="J261" i="21" s="1"/>
  <c r="A261" i="21"/>
  <c r="P260" i="21"/>
  <c r="I260" i="21"/>
  <c r="H260" i="21"/>
  <c r="G260" i="21"/>
  <c r="J260" i="21" s="1"/>
  <c r="A260" i="21"/>
  <c r="P259" i="21"/>
  <c r="I259" i="21"/>
  <c r="H259" i="21"/>
  <c r="G259" i="21"/>
  <c r="J259" i="21" s="1"/>
  <c r="A259" i="21"/>
  <c r="P258" i="21"/>
  <c r="I258" i="21"/>
  <c r="H258" i="21"/>
  <c r="G258" i="21"/>
  <c r="J258" i="21" s="1"/>
  <c r="A258" i="21"/>
  <c r="P257" i="21"/>
  <c r="I257" i="21"/>
  <c r="H257" i="21"/>
  <c r="G257" i="21"/>
  <c r="J257" i="21" s="1"/>
  <c r="A257" i="21"/>
  <c r="P256" i="21"/>
  <c r="I256" i="21"/>
  <c r="H256" i="21"/>
  <c r="G256" i="21"/>
  <c r="J256" i="21" s="1"/>
  <c r="A256" i="21"/>
  <c r="P255" i="21"/>
  <c r="I255" i="21"/>
  <c r="H255" i="21"/>
  <c r="G255" i="21"/>
  <c r="J255" i="21" s="1"/>
  <c r="A255" i="21"/>
  <c r="P254" i="21"/>
  <c r="I254" i="21"/>
  <c r="H254" i="21"/>
  <c r="G254" i="21"/>
  <c r="J254" i="21" s="1"/>
  <c r="A254" i="21"/>
  <c r="P253" i="21"/>
  <c r="I253" i="21"/>
  <c r="H253" i="21"/>
  <c r="G253" i="21"/>
  <c r="J253" i="21" s="1"/>
  <c r="A253" i="21"/>
  <c r="P252" i="21"/>
  <c r="I252" i="21"/>
  <c r="H252" i="21"/>
  <c r="G252" i="21"/>
  <c r="J252" i="21" s="1"/>
  <c r="A252" i="21"/>
  <c r="P251" i="21"/>
  <c r="I251" i="21"/>
  <c r="H251" i="21"/>
  <c r="G251" i="21"/>
  <c r="J251" i="21" s="1"/>
  <c r="A251" i="21"/>
  <c r="P250" i="21"/>
  <c r="I250" i="21"/>
  <c r="H250" i="21"/>
  <c r="G250" i="21"/>
  <c r="J250" i="21" s="1"/>
  <c r="A250" i="21"/>
  <c r="P249" i="21"/>
  <c r="I249" i="21"/>
  <c r="H249" i="21"/>
  <c r="G249" i="21"/>
  <c r="J249" i="21" s="1"/>
  <c r="A249" i="21"/>
  <c r="P248" i="21"/>
  <c r="I248" i="21"/>
  <c r="H248" i="21"/>
  <c r="G248" i="21"/>
  <c r="J248" i="21" s="1"/>
  <c r="A248" i="21"/>
  <c r="P247" i="21"/>
  <c r="I247" i="21"/>
  <c r="H247" i="21"/>
  <c r="G247" i="21"/>
  <c r="J247" i="21" s="1"/>
  <c r="A247" i="21"/>
  <c r="P246" i="21"/>
  <c r="I246" i="21"/>
  <c r="H246" i="21"/>
  <c r="G246" i="21"/>
  <c r="A246" i="21"/>
  <c r="P245" i="21"/>
  <c r="I245" i="21"/>
  <c r="H245" i="21"/>
  <c r="G245" i="21"/>
  <c r="J245" i="21" s="1"/>
  <c r="A245" i="21"/>
  <c r="P244" i="21"/>
  <c r="I244" i="21"/>
  <c r="H244" i="21"/>
  <c r="G244" i="21"/>
  <c r="J244" i="21" s="1"/>
  <c r="A244" i="21"/>
  <c r="P243" i="21"/>
  <c r="I243" i="21"/>
  <c r="H243" i="21"/>
  <c r="G243" i="21"/>
  <c r="J243" i="21" s="1"/>
  <c r="A243" i="21"/>
  <c r="P242" i="21"/>
  <c r="I242" i="21"/>
  <c r="H242" i="21"/>
  <c r="G242" i="21"/>
  <c r="J242" i="21" s="1"/>
  <c r="A242" i="21"/>
  <c r="P241" i="21"/>
  <c r="I241" i="21"/>
  <c r="H241" i="21"/>
  <c r="G241" i="21"/>
  <c r="J241" i="21" s="1"/>
  <c r="A241" i="21"/>
  <c r="P240" i="21"/>
  <c r="I240" i="21"/>
  <c r="H240" i="21"/>
  <c r="G240" i="21"/>
  <c r="J240" i="21" s="1"/>
  <c r="A240" i="21"/>
  <c r="P239" i="21"/>
  <c r="I239" i="21"/>
  <c r="H239" i="21"/>
  <c r="G239" i="21"/>
  <c r="J239" i="21" s="1"/>
  <c r="A239" i="21"/>
  <c r="P238" i="21"/>
  <c r="I238" i="21"/>
  <c r="H238" i="21"/>
  <c r="G238" i="21"/>
  <c r="J238" i="21" s="1"/>
  <c r="A238" i="21"/>
  <c r="P237" i="21"/>
  <c r="I237" i="21"/>
  <c r="H237" i="21"/>
  <c r="G237" i="21"/>
  <c r="J237" i="21" s="1"/>
  <c r="A237" i="21"/>
  <c r="P236" i="21"/>
  <c r="I236" i="21"/>
  <c r="H236" i="21"/>
  <c r="G236" i="21"/>
  <c r="J236" i="21" s="1"/>
  <c r="A236" i="21"/>
  <c r="P235" i="21"/>
  <c r="I235" i="21"/>
  <c r="H235" i="21"/>
  <c r="G235" i="21"/>
  <c r="J235" i="21" s="1"/>
  <c r="A235" i="21"/>
  <c r="P234" i="21"/>
  <c r="I234" i="21"/>
  <c r="H234" i="21"/>
  <c r="G234" i="21"/>
  <c r="J234" i="21" s="1"/>
  <c r="A234" i="21"/>
  <c r="P233" i="21"/>
  <c r="I233" i="21"/>
  <c r="H233" i="21"/>
  <c r="G233" i="21"/>
  <c r="J233" i="21" s="1"/>
  <c r="A233" i="21"/>
  <c r="P232" i="21"/>
  <c r="I232" i="21"/>
  <c r="H232" i="21"/>
  <c r="G232" i="21"/>
  <c r="J232" i="21" s="1"/>
  <c r="A232" i="21"/>
  <c r="P231" i="21"/>
  <c r="I231" i="21"/>
  <c r="H231" i="21"/>
  <c r="G231" i="21"/>
  <c r="J231" i="21" s="1"/>
  <c r="A231" i="21"/>
  <c r="P230" i="21"/>
  <c r="I230" i="21"/>
  <c r="H230" i="21"/>
  <c r="G230" i="21"/>
  <c r="J230" i="21" s="1"/>
  <c r="A230" i="21"/>
  <c r="P229" i="21"/>
  <c r="I229" i="21"/>
  <c r="H229" i="21"/>
  <c r="G229" i="21"/>
  <c r="J229" i="21" s="1"/>
  <c r="A229" i="21"/>
  <c r="P228" i="21"/>
  <c r="I228" i="21"/>
  <c r="H228" i="21"/>
  <c r="G228" i="21"/>
  <c r="J228" i="21" s="1"/>
  <c r="A228" i="21"/>
  <c r="P227" i="21"/>
  <c r="I227" i="21"/>
  <c r="H227" i="21"/>
  <c r="G227" i="21"/>
  <c r="J227" i="21" s="1"/>
  <c r="A227" i="21"/>
  <c r="P226" i="21"/>
  <c r="I226" i="21"/>
  <c r="H226" i="21"/>
  <c r="G226" i="21"/>
  <c r="J226" i="21" s="1"/>
  <c r="A226" i="21"/>
  <c r="P225" i="21"/>
  <c r="I225" i="21"/>
  <c r="H225" i="21"/>
  <c r="G225" i="21"/>
  <c r="J225" i="21" s="1"/>
  <c r="A225" i="21"/>
  <c r="P224" i="21"/>
  <c r="I224" i="21"/>
  <c r="H224" i="21"/>
  <c r="G224" i="21"/>
  <c r="A224" i="21"/>
  <c r="P223" i="21"/>
  <c r="I223" i="21"/>
  <c r="H223" i="21"/>
  <c r="G223" i="21"/>
  <c r="A223" i="21"/>
  <c r="P222" i="21"/>
  <c r="I222" i="21"/>
  <c r="H222" i="21"/>
  <c r="G222" i="21"/>
  <c r="J222" i="21" s="1"/>
  <c r="A222" i="21"/>
  <c r="P221" i="21"/>
  <c r="I221" i="21"/>
  <c r="H221" i="21"/>
  <c r="G221" i="21"/>
  <c r="J221" i="21" s="1"/>
  <c r="A221" i="21"/>
  <c r="P220" i="21"/>
  <c r="I220" i="21"/>
  <c r="H220" i="21"/>
  <c r="G220" i="21"/>
  <c r="J220" i="21" s="1"/>
  <c r="A220" i="21"/>
  <c r="P219" i="21"/>
  <c r="I219" i="21"/>
  <c r="H219" i="21"/>
  <c r="G219" i="21"/>
  <c r="J219" i="21" s="1"/>
  <c r="A219" i="21"/>
  <c r="P218" i="21"/>
  <c r="I218" i="21"/>
  <c r="H218" i="21"/>
  <c r="G218" i="21"/>
  <c r="J218" i="21" s="1"/>
  <c r="A218" i="21"/>
  <c r="P217" i="21"/>
  <c r="I217" i="21"/>
  <c r="H217" i="21"/>
  <c r="G217" i="21"/>
  <c r="J217" i="21" s="1"/>
  <c r="A217" i="21"/>
  <c r="P216" i="21"/>
  <c r="I216" i="21"/>
  <c r="H216" i="21"/>
  <c r="G216" i="21"/>
  <c r="J216" i="21" s="1"/>
  <c r="A216" i="21"/>
  <c r="P215" i="21"/>
  <c r="I215" i="21"/>
  <c r="H215" i="21"/>
  <c r="G215" i="21"/>
  <c r="J215" i="21" s="1"/>
  <c r="A215" i="21"/>
  <c r="P214" i="21"/>
  <c r="I214" i="21"/>
  <c r="H214" i="21"/>
  <c r="G214" i="21"/>
  <c r="J214" i="21" s="1"/>
  <c r="A214" i="21"/>
  <c r="P213" i="21"/>
  <c r="I213" i="21"/>
  <c r="H213" i="21"/>
  <c r="G213" i="21"/>
  <c r="J213" i="21" s="1"/>
  <c r="A213" i="21"/>
  <c r="P212" i="21"/>
  <c r="I212" i="21"/>
  <c r="H212" i="21"/>
  <c r="G212" i="21"/>
  <c r="J212" i="21" s="1"/>
  <c r="A212" i="21"/>
  <c r="P211" i="21"/>
  <c r="I211" i="21"/>
  <c r="H211" i="21"/>
  <c r="G211" i="21"/>
  <c r="J211" i="21" s="1"/>
  <c r="A211" i="21"/>
  <c r="P210" i="21"/>
  <c r="I210" i="21"/>
  <c r="H210" i="21"/>
  <c r="G210" i="21"/>
  <c r="J210" i="21" s="1"/>
  <c r="A210" i="21"/>
  <c r="P209" i="21"/>
  <c r="I209" i="21"/>
  <c r="H209" i="21"/>
  <c r="G209" i="21"/>
  <c r="J209" i="21" s="1"/>
  <c r="A209" i="21"/>
  <c r="P208" i="21"/>
  <c r="I208" i="21"/>
  <c r="H208" i="21"/>
  <c r="G208" i="21"/>
  <c r="J208" i="21" s="1"/>
  <c r="A208" i="21"/>
  <c r="P207" i="21"/>
  <c r="I207" i="21"/>
  <c r="H207" i="21"/>
  <c r="G207" i="21"/>
  <c r="J207" i="21" s="1"/>
  <c r="A207" i="21"/>
  <c r="P206" i="21"/>
  <c r="I206" i="21"/>
  <c r="H206" i="21"/>
  <c r="G206" i="21"/>
  <c r="J206" i="21" s="1"/>
  <c r="A206" i="21"/>
  <c r="P205" i="21"/>
  <c r="I205" i="21"/>
  <c r="H205" i="21"/>
  <c r="G205" i="21"/>
  <c r="J205" i="21" s="1"/>
  <c r="A205" i="21"/>
  <c r="P204" i="21"/>
  <c r="I204" i="21"/>
  <c r="H204" i="21"/>
  <c r="G204" i="21"/>
  <c r="J204" i="21" s="1"/>
  <c r="A204" i="21"/>
  <c r="P203" i="21"/>
  <c r="I203" i="21"/>
  <c r="H203" i="21"/>
  <c r="G203" i="21"/>
  <c r="J203" i="21" s="1"/>
  <c r="A203" i="21"/>
  <c r="P202" i="21"/>
  <c r="I202" i="21"/>
  <c r="H202" i="21"/>
  <c r="G202" i="21"/>
  <c r="A202" i="21"/>
  <c r="P201" i="21"/>
  <c r="I201" i="21"/>
  <c r="H201" i="21"/>
  <c r="G201" i="21"/>
  <c r="J201" i="21" s="1"/>
  <c r="A201" i="21"/>
  <c r="P200" i="21"/>
  <c r="I200" i="21"/>
  <c r="H200" i="21"/>
  <c r="G200" i="21"/>
  <c r="J200" i="21" s="1"/>
  <c r="A200" i="21"/>
  <c r="P199" i="21"/>
  <c r="I199" i="21"/>
  <c r="H199" i="21"/>
  <c r="G199" i="21"/>
  <c r="J199" i="21" s="1"/>
  <c r="A199" i="21"/>
  <c r="P198" i="21"/>
  <c r="I198" i="21"/>
  <c r="H198" i="21"/>
  <c r="G198" i="21"/>
  <c r="J198" i="21" s="1"/>
  <c r="A198" i="21"/>
  <c r="P197" i="21"/>
  <c r="I197" i="21"/>
  <c r="H197" i="21"/>
  <c r="G197" i="21"/>
  <c r="J197" i="21" s="1"/>
  <c r="A197" i="21"/>
  <c r="P196" i="21"/>
  <c r="I196" i="21"/>
  <c r="H196" i="21"/>
  <c r="G196" i="21"/>
  <c r="J196" i="21" s="1"/>
  <c r="A196" i="21"/>
  <c r="P195" i="21"/>
  <c r="I195" i="21"/>
  <c r="H195" i="21"/>
  <c r="G195" i="21"/>
  <c r="J195" i="21" s="1"/>
  <c r="A195" i="21"/>
  <c r="P194" i="21"/>
  <c r="I194" i="21"/>
  <c r="H194" i="21"/>
  <c r="G194" i="21"/>
  <c r="J194" i="21" s="1"/>
  <c r="A194" i="21"/>
  <c r="P193" i="21"/>
  <c r="I193" i="21"/>
  <c r="H193" i="21"/>
  <c r="G193" i="21"/>
  <c r="J193" i="21" s="1"/>
  <c r="A193" i="21"/>
  <c r="P192" i="21"/>
  <c r="I192" i="21"/>
  <c r="H192" i="21"/>
  <c r="G192" i="21"/>
  <c r="J192" i="21" s="1"/>
  <c r="A192" i="21"/>
  <c r="P191" i="21"/>
  <c r="I191" i="21"/>
  <c r="H191" i="21"/>
  <c r="G191" i="21"/>
  <c r="J191" i="21" s="1"/>
  <c r="A191" i="21"/>
  <c r="P190" i="21"/>
  <c r="I190" i="21"/>
  <c r="H190" i="21"/>
  <c r="G190" i="21"/>
  <c r="J190" i="21" s="1"/>
  <c r="A190" i="21"/>
  <c r="P189" i="21"/>
  <c r="I189" i="21"/>
  <c r="H189" i="21"/>
  <c r="G189" i="21"/>
  <c r="J189" i="21" s="1"/>
  <c r="A189" i="21"/>
  <c r="P188" i="21"/>
  <c r="I188" i="21"/>
  <c r="H188" i="21"/>
  <c r="G188" i="21"/>
  <c r="J188" i="21" s="1"/>
  <c r="A188" i="21"/>
  <c r="P187" i="21"/>
  <c r="I187" i="21"/>
  <c r="H187" i="21"/>
  <c r="G187" i="21"/>
  <c r="J187" i="21" s="1"/>
  <c r="A187" i="21"/>
  <c r="P186" i="21"/>
  <c r="I186" i="21"/>
  <c r="H186" i="21"/>
  <c r="G186" i="21"/>
  <c r="J186" i="21" s="1"/>
  <c r="A186" i="21"/>
  <c r="P185" i="21"/>
  <c r="I185" i="21"/>
  <c r="H185" i="21"/>
  <c r="G185" i="21"/>
  <c r="J185" i="21" s="1"/>
  <c r="A185" i="21"/>
  <c r="P184" i="21"/>
  <c r="I184" i="21"/>
  <c r="H184" i="21"/>
  <c r="G184" i="21"/>
  <c r="J184" i="21" s="1"/>
  <c r="A184" i="21"/>
  <c r="P183" i="21"/>
  <c r="I183" i="21"/>
  <c r="H183" i="21"/>
  <c r="G183" i="21"/>
  <c r="J183" i="21" s="1"/>
  <c r="A183" i="21"/>
  <c r="P182" i="21"/>
  <c r="I182" i="21"/>
  <c r="H182" i="21"/>
  <c r="G182" i="21"/>
  <c r="J182" i="21" s="1"/>
  <c r="A182" i="21"/>
  <c r="P181" i="21"/>
  <c r="I181" i="21"/>
  <c r="H181" i="21"/>
  <c r="G181" i="21"/>
  <c r="J181" i="21" s="1"/>
  <c r="A181" i="21"/>
  <c r="P180" i="21"/>
  <c r="I180" i="21"/>
  <c r="H180" i="21"/>
  <c r="G180" i="21"/>
  <c r="J180" i="21" s="1"/>
  <c r="A180" i="21"/>
  <c r="P179" i="21"/>
  <c r="I179" i="21"/>
  <c r="H179" i="21"/>
  <c r="G179" i="21"/>
  <c r="J179" i="21" s="1"/>
  <c r="A179" i="21"/>
  <c r="P178" i="21"/>
  <c r="I178" i="21"/>
  <c r="H178" i="21"/>
  <c r="G178" i="21"/>
  <c r="J178" i="21" s="1"/>
  <c r="A178" i="21"/>
  <c r="P177" i="21"/>
  <c r="I177" i="21"/>
  <c r="H177" i="21"/>
  <c r="G177" i="21"/>
  <c r="J177" i="21" s="1"/>
  <c r="A177" i="21"/>
  <c r="P176" i="21"/>
  <c r="I176" i="21"/>
  <c r="H176" i="21"/>
  <c r="G176" i="21"/>
  <c r="J176" i="21" s="1"/>
  <c r="A176" i="21"/>
  <c r="P175" i="21"/>
  <c r="I175" i="21"/>
  <c r="H175" i="21"/>
  <c r="G175" i="21"/>
  <c r="J175" i="21" s="1"/>
  <c r="A175" i="21"/>
  <c r="P174" i="21"/>
  <c r="I174" i="21"/>
  <c r="H174" i="21"/>
  <c r="G174" i="21"/>
  <c r="J174" i="21" s="1"/>
  <c r="A174" i="21"/>
  <c r="P173" i="21"/>
  <c r="I173" i="21"/>
  <c r="H173" i="21"/>
  <c r="G173" i="21"/>
  <c r="J173" i="21" s="1"/>
  <c r="A173" i="21"/>
  <c r="P172" i="21"/>
  <c r="I172" i="21"/>
  <c r="H172" i="21"/>
  <c r="G172" i="21"/>
  <c r="A172" i="21"/>
  <c r="P171" i="21"/>
  <c r="I171" i="21"/>
  <c r="H171" i="21"/>
  <c r="G171" i="21"/>
  <c r="J171" i="21" s="1"/>
  <c r="A171" i="21"/>
  <c r="P170" i="21"/>
  <c r="I170" i="21"/>
  <c r="H170" i="21"/>
  <c r="G170" i="21"/>
  <c r="J170" i="21" s="1"/>
  <c r="A170" i="21"/>
  <c r="P169" i="21"/>
  <c r="I169" i="21"/>
  <c r="H169" i="21"/>
  <c r="G169" i="21"/>
  <c r="J169" i="21" s="1"/>
  <c r="A169" i="21"/>
  <c r="P168" i="21"/>
  <c r="I168" i="21"/>
  <c r="H168" i="21"/>
  <c r="G168" i="21"/>
  <c r="J168" i="21" s="1"/>
  <c r="A168" i="21"/>
  <c r="P167" i="21"/>
  <c r="I167" i="21"/>
  <c r="H167" i="21"/>
  <c r="G167" i="21"/>
  <c r="A167" i="21"/>
  <c r="P166" i="21"/>
  <c r="I166" i="21"/>
  <c r="H166" i="21"/>
  <c r="G166" i="21"/>
  <c r="J166" i="21" s="1"/>
  <c r="A166" i="21"/>
  <c r="P165" i="21"/>
  <c r="I165" i="21"/>
  <c r="H165" i="21"/>
  <c r="G165" i="21"/>
  <c r="J165" i="21" s="1"/>
  <c r="A165" i="21"/>
  <c r="P164" i="21"/>
  <c r="I164" i="21"/>
  <c r="H164" i="21"/>
  <c r="G164" i="21"/>
  <c r="J164" i="21" s="1"/>
  <c r="A164" i="21"/>
  <c r="P163" i="21"/>
  <c r="I163" i="21"/>
  <c r="H163" i="21"/>
  <c r="G163" i="21"/>
  <c r="A163" i="21"/>
  <c r="P162" i="21"/>
  <c r="I162" i="21"/>
  <c r="H162" i="21"/>
  <c r="G162" i="21"/>
  <c r="J162" i="21" s="1"/>
  <c r="A162" i="21"/>
  <c r="P161" i="21"/>
  <c r="I161" i="21"/>
  <c r="H161" i="21"/>
  <c r="G161" i="21"/>
  <c r="J161" i="21" s="1"/>
  <c r="A161" i="21"/>
  <c r="P160" i="21"/>
  <c r="I160" i="21"/>
  <c r="H160" i="21"/>
  <c r="G160" i="21"/>
  <c r="J160" i="21" s="1"/>
  <c r="A160" i="21"/>
  <c r="P159" i="21"/>
  <c r="I159" i="21"/>
  <c r="H159" i="21"/>
  <c r="G159" i="21"/>
  <c r="A159" i="21"/>
  <c r="P158" i="21"/>
  <c r="I158" i="21"/>
  <c r="H158" i="21"/>
  <c r="G158" i="21"/>
  <c r="J158" i="21" s="1"/>
  <c r="A158" i="21"/>
  <c r="P157" i="21"/>
  <c r="I157" i="21"/>
  <c r="H157" i="21"/>
  <c r="G157" i="21"/>
  <c r="J157" i="21" s="1"/>
  <c r="A157" i="21"/>
  <c r="P156" i="21"/>
  <c r="I156" i="21"/>
  <c r="H156" i="21"/>
  <c r="G156" i="21"/>
  <c r="J156" i="21" s="1"/>
  <c r="A156" i="21"/>
  <c r="P155" i="21"/>
  <c r="I155" i="21"/>
  <c r="H155" i="21"/>
  <c r="G155" i="21"/>
  <c r="J155" i="21" s="1"/>
  <c r="A155" i="21"/>
  <c r="P154" i="21"/>
  <c r="I154" i="21"/>
  <c r="H154" i="21"/>
  <c r="G154" i="21"/>
  <c r="J154" i="21" s="1"/>
  <c r="A154" i="21"/>
  <c r="P153" i="21"/>
  <c r="I153" i="21"/>
  <c r="H153" i="21"/>
  <c r="G153" i="21"/>
  <c r="J153" i="21" s="1"/>
  <c r="A153" i="21"/>
  <c r="P152" i="21"/>
  <c r="I152" i="21"/>
  <c r="H152" i="21"/>
  <c r="G152" i="21"/>
  <c r="J152" i="21" s="1"/>
  <c r="A152" i="21"/>
  <c r="P151" i="21"/>
  <c r="I151" i="21"/>
  <c r="H151" i="21"/>
  <c r="G151" i="21"/>
  <c r="J151" i="21" s="1"/>
  <c r="A151" i="21"/>
  <c r="P150" i="21"/>
  <c r="I150" i="21"/>
  <c r="H150" i="21"/>
  <c r="G150" i="21"/>
  <c r="J150" i="21" s="1"/>
  <c r="A150" i="21"/>
  <c r="P149" i="21"/>
  <c r="I149" i="21"/>
  <c r="H149" i="21"/>
  <c r="G149" i="21"/>
  <c r="J149" i="21" s="1"/>
  <c r="A149" i="21"/>
  <c r="P148" i="21"/>
  <c r="I148" i="21"/>
  <c r="H148" i="21"/>
  <c r="G148" i="21"/>
  <c r="J148" i="21" s="1"/>
  <c r="A148" i="21"/>
  <c r="P147" i="21"/>
  <c r="I147" i="21"/>
  <c r="H147" i="21"/>
  <c r="G147" i="21"/>
  <c r="J147" i="21" s="1"/>
  <c r="A147" i="21"/>
  <c r="P146" i="21"/>
  <c r="I146" i="21"/>
  <c r="H146" i="21"/>
  <c r="G146" i="21"/>
  <c r="J146" i="21" s="1"/>
  <c r="A146" i="21"/>
  <c r="P145" i="21"/>
  <c r="I145" i="21"/>
  <c r="H145" i="21"/>
  <c r="G145" i="21"/>
  <c r="J145" i="21" s="1"/>
  <c r="A145" i="21"/>
  <c r="P144" i="21"/>
  <c r="I144" i="21"/>
  <c r="H144" i="21"/>
  <c r="G144" i="21"/>
  <c r="J144" i="21" s="1"/>
  <c r="A144" i="21"/>
  <c r="P143" i="21"/>
  <c r="I143" i="21"/>
  <c r="H143" i="21"/>
  <c r="G143" i="21"/>
  <c r="A143" i="21"/>
  <c r="P142" i="21"/>
  <c r="I142" i="21"/>
  <c r="H142" i="21"/>
  <c r="G142" i="21"/>
  <c r="J142" i="21" s="1"/>
  <c r="A142" i="21"/>
  <c r="P141" i="21"/>
  <c r="I141" i="21"/>
  <c r="H141" i="21"/>
  <c r="G141" i="21"/>
  <c r="A141" i="21"/>
  <c r="P140" i="21"/>
  <c r="I140" i="21"/>
  <c r="H140" i="21"/>
  <c r="G140" i="21"/>
  <c r="J140" i="21" s="1"/>
  <c r="A140" i="21"/>
  <c r="P139" i="21"/>
  <c r="I139" i="21"/>
  <c r="H139" i="21"/>
  <c r="G139" i="21"/>
  <c r="J139" i="21" s="1"/>
  <c r="A139" i="21"/>
  <c r="P138" i="21"/>
  <c r="I138" i="21"/>
  <c r="H138" i="21"/>
  <c r="G138" i="21"/>
  <c r="J138" i="21" s="1"/>
  <c r="A138" i="21"/>
  <c r="P137" i="21"/>
  <c r="I137" i="21"/>
  <c r="H137" i="21"/>
  <c r="G137" i="21"/>
  <c r="J137" i="21" s="1"/>
  <c r="A137" i="21"/>
  <c r="P136" i="21"/>
  <c r="I136" i="21"/>
  <c r="H136" i="21"/>
  <c r="G136" i="21"/>
  <c r="J136" i="21" s="1"/>
  <c r="A136" i="21"/>
  <c r="P135" i="21"/>
  <c r="I135" i="21"/>
  <c r="H135" i="21"/>
  <c r="G135" i="21"/>
  <c r="J135" i="21" s="1"/>
  <c r="A135" i="21"/>
  <c r="P134" i="21"/>
  <c r="I134" i="21"/>
  <c r="H134" i="21"/>
  <c r="G134" i="21"/>
  <c r="A134" i="21"/>
  <c r="P133" i="21"/>
  <c r="I133" i="21"/>
  <c r="H133" i="21"/>
  <c r="G133" i="21"/>
  <c r="J133" i="21" s="1"/>
  <c r="A133" i="21"/>
  <c r="P132" i="21"/>
  <c r="I132" i="21"/>
  <c r="H132" i="21"/>
  <c r="G132" i="21"/>
  <c r="J132" i="21" s="1"/>
  <c r="A132" i="21"/>
  <c r="P131" i="21"/>
  <c r="I131" i="21"/>
  <c r="H131" i="21"/>
  <c r="G131" i="21"/>
  <c r="A131" i="21"/>
  <c r="P130" i="21"/>
  <c r="I130" i="21"/>
  <c r="H130" i="21"/>
  <c r="G130" i="21"/>
  <c r="A130" i="21"/>
  <c r="P129" i="21"/>
  <c r="I129" i="21"/>
  <c r="H129" i="21"/>
  <c r="G129" i="21"/>
  <c r="J129" i="21" s="1"/>
  <c r="A129" i="21"/>
  <c r="P128" i="21"/>
  <c r="I128" i="21"/>
  <c r="H128" i="21"/>
  <c r="G128" i="21"/>
  <c r="J128" i="21" s="1"/>
  <c r="A128" i="21"/>
  <c r="P127" i="21"/>
  <c r="I127" i="21"/>
  <c r="H127" i="21"/>
  <c r="G127" i="21"/>
  <c r="J127" i="21" s="1"/>
  <c r="A127" i="21"/>
  <c r="P126" i="21"/>
  <c r="I126" i="21"/>
  <c r="H126" i="21"/>
  <c r="G126" i="21"/>
  <c r="J126" i="21" s="1"/>
  <c r="A126" i="21"/>
  <c r="P125" i="21"/>
  <c r="I125" i="21"/>
  <c r="H125" i="21"/>
  <c r="G125" i="21"/>
  <c r="J125" i="21" s="1"/>
  <c r="A125" i="21"/>
  <c r="P124" i="21"/>
  <c r="I124" i="21"/>
  <c r="H124" i="21"/>
  <c r="G124" i="21"/>
  <c r="J124" i="21" s="1"/>
  <c r="A124" i="21"/>
  <c r="P123" i="21"/>
  <c r="I123" i="21"/>
  <c r="H123" i="21"/>
  <c r="G123" i="21"/>
  <c r="J123" i="21" s="1"/>
  <c r="A123" i="21"/>
  <c r="P122" i="21"/>
  <c r="I122" i="21"/>
  <c r="H122" i="21"/>
  <c r="G122" i="21"/>
  <c r="J122" i="21" s="1"/>
  <c r="A122" i="21"/>
  <c r="P121" i="21"/>
  <c r="I121" i="21"/>
  <c r="H121" i="21"/>
  <c r="G121" i="21"/>
  <c r="J121" i="21" s="1"/>
  <c r="A121" i="21"/>
  <c r="P120" i="21"/>
  <c r="I120" i="21"/>
  <c r="H120" i="21"/>
  <c r="G120" i="21"/>
  <c r="J120" i="21" s="1"/>
  <c r="A120" i="21"/>
  <c r="P119" i="21"/>
  <c r="I119" i="21"/>
  <c r="H119" i="21"/>
  <c r="G119" i="21"/>
  <c r="J119" i="21" s="1"/>
  <c r="A119" i="21"/>
  <c r="P118" i="21"/>
  <c r="I118" i="21"/>
  <c r="H118" i="21"/>
  <c r="G118" i="21"/>
  <c r="A118" i="21"/>
  <c r="P117" i="21"/>
  <c r="I117" i="21"/>
  <c r="H117" i="21"/>
  <c r="G117" i="21"/>
  <c r="J117" i="21" s="1"/>
  <c r="A117" i="21"/>
  <c r="P116" i="21"/>
  <c r="I116" i="21"/>
  <c r="H116" i="21"/>
  <c r="G116" i="21"/>
  <c r="J116" i="21" s="1"/>
  <c r="A116" i="21"/>
  <c r="P115" i="21"/>
  <c r="I115" i="21"/>
  <c r="H115" i="21"/>
  <c r="G115" i="21"/>
  <c r="A115" i="21"/>
  <c r="P114" i="21"/>
  <c r="I114" i="21"/>
  <c r="H114" i="21"/>
  <c r="G114" i="21"/>
  <c r="A114" i="21"/>
  <c r="P113" i="21"/>
  <c r="I113" i="21"/>
  <c r="H113" i="21"/>
  <c r="G113" i="21"/>
  <c r="J113" i="21" s="1"/>
  <c r="A113" i="21"/>
  <c r="P112" i="21"/>
  <c r="I112" i="21"/>
  <c r="H112" i="21"/>
  <c r="G112" i="21"/>
  <c r="J112" i="21" s="1"/>
  <c r="A112" i="21"/>
  <c r="P111" i="21"/>
  <c r="I111" i="21"/>
  <c r="H111" i="21"/>
  <c r="G111" i="21"/>
  <c r="J111" i="21" s="1"/>
  <c r="A111" i="21"/>
  <c r="P110" i="21"/>
  <c r="I110" i="21"/>
  <c r="H110" i="21"/>
  <c r="G110" i="21"/>
  <c r="J110" i="21" s="1"/>
  <c r="A110" i="21"/>
  <c r="P109" i="21"/>
  <c r="I109" i="21"/>
  <c r="H109" i="21"/>
  <c r="G109" i="21"/>
  <c r="A109" i="21"/>
  <c r="P108" i="21"/>
  <c r="I108" i="21"/>
  <c r="H108" i="21"/>
  <c r="G108" i="21"/>
  <c r="J108" i="21" s="1"/>
  <c r="A108" i="21"/>
  <c r="P107" i="21"/>
  <c r="I107" i="21"/>
  <c r="H107" i="21"/>
  <c r="G107" i="21"/>
  <c r="J107" i="21" s="1"/>
  <c r="A107" i="21"/>
  <c r="P106" i="21"/>
  <c r="I106" i="21"/>
  <c r="H106" i="21"/>
  <c r="G106" i="21"/>
  <c r="J106" i="21" s="1"/>
  <c r="A106" i="21"/>
  <c r="P105" i="21"/>
  <c r="I105" i="21"/>
  <c r="H105" i="21"/>
  <c r="G105" i="21"/>
  <c r="A105" i="21"/>
  <c r="P104" i="21"/>
  <c r="I104" i="21"/>
  <c r="H104" i="21"/>
  <c r="G104" i="21"/>
  <c r="A104" i="21"/>
  <c r="P103" i="21"/>
  <c r="I103" i="21"/>
  <c r="H103" i="21"/>
  <c r="G103" i="21"/>
  <c r="J103" i="21" s="1"/>
  <c r="A103" i="21"/>
  <c r="P102" i="21"/>
  <c r="I102" i="21"/>
  <c r="H102" i="21"/>
  <c r="G102" i="21"/>
  <c r="J102" i="21" s="1"/>
  <c r="A102" i="21"/>
  <c r="P101" i="21"/>
  <c r="I101" i="21"/>
  <c r="H101" i="21"/>
  <c r="G101" i="21"/>
  <c r="J101" i="21" s="1"/>
  <c r="A101" i="21"/>
  <c r="P100" i="21"/>
  <c r="I100" i="21"/>
  <c r="H100" i="21"/>
  <c r="G100" i="21"/>
  <c r="J100" i="21" s="1"/>
  <c r="A100" i="21"/>
  <c r="P99" i="21"/>
  <c r="I99" i="21"/>
  <c r="H99" i="21"/>
  <c r="G99" i="21"/>
  <c r="J99" i="21" s="1"/>
  <c r="A99" i="21"/>
  <c r="P98" i="21"/>
  <c r="I98" i="21"/>
  <c r="H98" i="21"/>
  <c r="G98" i="21"/>
  <c r="J98" i="21" s="1"/>
  <c r="A98" i="21"/>
  <c r="P97" i="21"/>
  <c r="I97" i="21"/>
  <c r="H97" i="21"/>
  <c r="G97" i="21"/>
  <c r="J97" i="21" s="1"/>
  <c r="A97" i="21"/>
  <c r="P96" i="21"/>
  <c r="I96" i="21"/>
  <c r="H96" i="21"/>
  <c r="G96" i="21"/>
  <c r="J96" i="21" s="1"/>
  <c r="A96" i="21"/>
  <c r="P95" i="21"/>
  <c r="I95" i="21"/>
  <c r="H95" i="21"/>
  <c r="G95" i="21"/>
  <c r="J95" i="21" s="1"/>
  <c r="A95" i="21"/>
  <c r="P94" i="21"/>
  <c r="I94" i="21"/>
  <c r="H94" i="21"/>
  <c r="G94" i="21"/>
  <c r="J94" i="21" s="1"/>
  <c r="A94" i="21"/>
  <c r="P93" i="21"/>
  <c r="I93" i="21"/>
  <c r="H93" i="21"/>
  <c r="G93" i="21"/>
  <c r="J93" i="21" s="1"/>
  <c r="A93" i="21"/>
  <c r="P92" i="21"/>
  <c r="I92" i="21"/>
  <c r="H92" i="21"/>
  <c r="G92" i="21"/>
  <c r="J92" i="21" s="1"/>
  <c r="A92" i="21"/>
  <c r="P91" i="21"/>
  <c r="I91" i="21"/>
  <c r="H91" i="21"/>
  <c r="G91" i="21"/>
  <c r="J91" i="21" s="1"/>
  <c r="A91" i="21"/>
  <c r="P90" i="21"/>
  <c r="I90" i="21"/>
  <c r="H90" i="21"/>
  <c r="G90" i="21"/>
  <c r="J90" i="21" s="1"/>
  <c r="A90" i="21"/>
  <c r="P89" i="21"/>
  <c r="I89" i="21"/>
  <c r="H89" i="21"/>
  <c r="G89" i="21"/>
  <c r="J89" i="21" s="1"/>
  <c r="A89" i="21"/>
  <c r="P88" i="21"/>
  <c r="I88" i="21"/>
  <c r="H88" i="21"/>
  <c r="G88" i="21"/>
  <c r="J88" i="21" s="1"/>
  <c r="A88" i="21"/>
  <c r="P87" i="21"/>
  <c r="I87" i="21"/>
  <c r="H87" i="21"/>
  <c r="G87" i="21"/>
  <c r="J87" i="21" s="1"/>
  <c r="A87" i="21"/>
  <c r="P86" i="21"/>
  <c r="J86" i="21"/>
  <c r="I86" i="21"/>
  <c r="H86" i="21"/>
  <c r="G86" i="21"/>
  <c r="A86" i="21"/>
  <c r="P85" i="21"/>
  <c r="I85" i="21"/>
  <c r="H85" i="21"/>
  <c r="G85" i="21"/>
  <c r="J85" i="21" s="1"/>
  <c r="A85" i="21"/>
  <c r="P84" i="21"/>
  <c r="I84" i="21"/>
  <c r="H84" i="21"/>
  <c r="G84" i="21"/>
  <c r="J84" i="21" s="1"/>
  <c r="A84" i="21"/>
  <c r="P83" i="21"/>
  <c r="I83" i="21"/>
  <c r="H83" i="21"/>
  <c r="G83" i="21"/>
  <c r="J83" i="21" s="1"/>
  <c r="A83" i="21"/>
  <c r="P82" i="21"/>
  <c r="I82" i="21"/>
  <c r="H82" i="21"/>
  <c r="G82" i="21"/>
  <c r="J82" i="21" s="1"/>
  <c r="A82" i="21"/>
  <c r="P81" i="21"/>
  <c r="I81" i="21"/>
  <c r="H81" i="21"/>
  <c r="G81" i="21"/>
  <c r="A81" i="21"/>
  <c r="P80" i="21"/>
  <c r="I80" i="21"/>
  <c r="H80" i="21"/>
  <c r="G80" i="21"/>
  <c r="A80" i="21"/>
  <c r="P79" i="21"/>
  <c r="I79" i="21"/>
  <c r="H79" i="21"/>
  <c r="G79" i="21"/>
  <c r="J79" i="21" s="1"/>
  <c r="A79" i="21"/>
  <c r="P78" i="21"/>
  <c r="I78" i="21"/>
  <c r="H78" i="21"/>
  <c r="G78" i="21"/>
  <c r="J78" i="21" s="1"/>
  <c r="A78" i="21"/>
  <c r="P77" i="21"/>
  <c r="I77" i="21"/>
  <c r="H77" i="21"/>
  <c r="G77" i="21"/>
  <c r="A77" i="21"/>
  <c r="P76" i="21"/>
  <c r="I76" i="21"/>
  <c r="H76" i="21"/>
  <c r="G76" i="21"/>
  <c r="J76" i="21" s="1"/>
  <c r="A76" i="21"/>
  <c r="P75" i="21"/>
  <c r="I75" i="21"/>
  <c r="H75" i="21"/>
  <c r="G75" i="21"/>
  <c r="J75" i="21" s="1"/>
  <c r="A75" i="21"/>
  <c r="P74" i="21"/>
  <c r="I74" i="21"/>
  <c r="H74" i="21"/>
  <c r="G74" i="21"/>
  <c r="J74" i="21" s="1"/>
  <c r="A74" i="21"/>
  <c r="P73" i="21"/>
  <c r="I73" i="21"/>
  <c r="H73" i="21"/>
  <c r="G73" i="21"/>
  <c r="J73" i="21" s="1"/>
  <c r="A73" i="21"/>
  <c r="P72" i="21"/>
  <c r="I72" i="21"/>
  <c r="H72" i="21"/>
  <c r="G72" i="21"/>
  <c r="J72" i="21" s="1"/>
  <c r="A72" i="21"/>
  <c r="P71" i="21"/>
  <c r="I71" i="21"/>
  <c r="H71" i="21"/>
  <c r="G71" i="21"/>
  <c r="J71" i="21" s="1"/>
  <c r="A71" i="21"/>
  <c r="P70" i="21"/>
  <c r="I70" i="21"/>
  <c r="H70" i="21"/>
  <c r="G70" i="21"/>
  <c r="A70" i="21"/>
  <c r="P69" i="21"/>
  <c r="I69" i="21"/>
  <c r="H69" i="21"/>
  <c r="G69" i="21"/>
  <c r="J69" i="21" s="1"/>
  <c r="A69" i="21"/>
  <c r="P68" i="21"/>
  <c r="I68" i="21"/>
  <c r="H68" i="21"/>
  <c r="G68" i="21"/>
  <c r="A68" i="21"/>
  <c r="P67" i="21"/>
  <c r="I67" i="21"/>
  <c r="H67" i="21"/>
  <c r="G67" i="21"/>
  <c r="J67" i="21" s="1"/>
  <c r="A67" i="21"/>
  <c r="P66" i="21"/>
  <c r="I66" i="21"/>
  <c r="H66" i="21"/>
  <c r="G66" i="21"/>
  <c r="J66" i="21" s="1"/>
  <c r="A66" i="21"/>
  <c r="P65" i="21"/>
  <c r="I65" i="21"/>
  <c r="H65" i="21"/>
  <c r="G65" i="21"/>
  <c r="J65" i="21" s="1"/>
  <c r="A65" i="21"/>
  <c r="P64" i="21"/>
  <c r="I64" i="21"/>
  <c r="H64" i="21"/>
  <c r="G64" i="21"/>
  <c r="J64" i="21" s="1"/>
  <c r="A64" i="21"/>
  <c r="P63" i="21"/>
  <c r="I63" i="21"/>
  <c r="H63" i="21"/>
  <c r="G63" i="21"/>
  <c r="J63" i="21" s="1"/>
  <c r="A63" i="21"/>
  <c r="P62" i="21"/>
  <c r="I62" i="21"/>
  <c r="H62" i="21"/>
  <c r="G62" i="21"/>
  <c r="A62" i="21"/>
  <c r="P61" i="21"/>
  <c r="I61" i="21"/>
  <c r="H61" i="21"/>
  <c r="G61" i="21"/>
  <c r="J61" i="21" s="1"/>
  <c r="A61" i="21"/>
  <c r="P60" i="21"/>
  <c r="I60" i="21"/>
  <c r="H60" i="21"/>
  <c r="G60" i="21"/>
  <c r="J60" i="21" s="1"/>
  <c r="A60" i="21"/>
  <c r="P59" i="21"/>
  <c r="I59" i="21"/>
  <c r="H59" i="21"/>
  <c r="G59" i="21"/>
  <c r="J59" i="21" s="1"/>
  <c r="A59" i="21"/>
  <c r="P58" i="21"/>
  <c r="I58" i="21"/>
  <c r="H58" i="21"/>
  <c r="G58" i="21"/>
  <c r="J58" i="21" s="1"/>
  <c r="A58" i="21"/>
  <c r="P57" i="21"/>
  <c r="I57" i="21"/>
  <c r="H57" i="21"/>
  <c r="G57" i="21"/>
  <c r="J57" i="21" s="1"/>
  <c r="A57" i="21"/>
  <c r="P56" i="21"/>
  <c r="J56" i="21"/>
  <c r="I56" i="21"/>
  <c r="H56" i="21"/>
  <c r="G56" i="21"/>
  <c r="A56" i="21"/>
  <c r="P55" i="21"/>
  <c r="I55" i="21"/>
  <c r="H55" i="21"/>
  <c r="G55" i="21"/>
  <c r="J55" i="21" s="1"/>
  <c r="A55" i="21"/>
  <c r="P54" i="21"/>
  <c r="I54" i="21"/>
  <c r="H54" i="21"/>
  <c r="G54" i="21"/>
  <c r="J54" i="21" s="1"/>
  <c r="A54" i="21"/>
  <c r="P53" i="21"/>
  <c r="I53" i="21"/>
  <c r="H53" i="21"/>
  <c r="G53" i="21"/>
  <c r="A53" i="21"/>
  <c r="P52" i="21"/>
  <c r="I52" i="21"/>
  <c r="H52" i="21"/>
  <c r="G52" i="21"/>
  <c r="J52" i="21" s="1"/>
  <c r="A52" i="21"/>
  <c r="P51" i="21"/>
  <c r="I51" i="21"/>
  <c r="H51" i="21"/>
  <c r="G51" i="21"/>
  <c r="J51" i="21" s="1"/>
  <c r="A51" i="21"/>
  <c r="P50" i="21"/>
  <c r="I50" i="21"/>
  <c r="H50" i="21"/>
  <c r="G50" i="21"/>
  <c r="J50" i="21" s="1"/>
  <c r="A50" i="21"/>
  <c r="P49" i="21"/>
  <c r="I49" i="21"/>
  <c r="H49" i="21"/>
  <c r="G49" i="21"/>
  <c r="J49" i="21" s="1"/>
  <c r="A49" i="21"/>
  <c r="P48" i="21"/>
  <c r="I48" i="21"/>
  <c r="H48" i="21"/>
  <c r="G48" i="21"/>
  <c r="J48" i="21" s="1"/>
  <c r="A48" i="21"/>
  <c r="P47" i="21"/>
  <c r="I47" i="21"/>
  <c r="H47" i="21"/>
  <c r="G47" i="21"/>
  <c r="J47" i="21" s="1"/>
  <c r="A47" i="21"/>
  <c r="P46" i="21"/>
  <c r="I46" i="21"/>
  <c r="H46" i="21"/>
  <c r="G46" i="21"/>
  <c r="A46" i="21"/>
  <c r="P45" i="21"/>
  <c r="I45" i="21"/>
  <c r="H45" i="21"/>
  <c r="G45" i="21"/>
  <c r="J45" i="21" s="1"/>
  <c r="A45" i="21"/>
  <c r="P44" i="21"/>
  <c r="I44" i="21"/>
  <c r="H44" i="21"/>
  <c r="G44" i="21"/>
  <c r="J44" i="21" s="1"/>
  <c r="A44" i="21"/>
  <c r="P43" i="21"/>
  <c r="I43" i="21"/>
  <c r="H43" i="21"/>
  <c r="G43" i="21"/>
  <c r="J43" i="21" s="1"/>
  <c r="A43" i="21"/>
  <c r="P42" i="21"/>
  <c r="I42" i="21"/>
  <c r="H42" i="21"/>
  <c r="G42" i="21"/>
  <c r="J42" i="21" s="1"/>
  <c r="A42" i="21"/>
  <c r="P41" i="21"/>
  <c r="I41" i="21"/>
  <c r="H41" i="21"/>
  <c r="G41" i="21"/>
  <c r="J41" i="21" s="1"/>
  <c r="A41" i="21"/>
  <c r="P40" i="21"/>
  <c r="I40" i="21"/>
  <c r="H40" i="21"/>
  <c r="G40" i="21"/>
  <c r="J40" i="21" s="1"/>
  <c r="A40" i="21"/>
  <c r="P39" i="21"/>
  <c r="I39" i="21"/>
  <c r="H39" i="21"/>
  <c r="G39" i="21"/>
  <c r="J39" i="21" s="1"/>
  <c r="A39" i="21"/>
  <c r="P38" i="21"/>
  <c r="I38" i="21"/>
  <c r="H38" i="21"/>
  <c r="G38" i="21"/>
  <c r="J38" i="21" s="1"/>
  <c r="A38" i="21"/>
  <c r="P37" i="21"/>
  <c r="I37" i="21"/>
  <c r="H37" i="21"/>
  <c r="G37" i="21"/>
  <c r="J37" i="21" s="1"/>
  <c r="A37" i="21"/>
  <c r="P36" i="21"/>
  <c r="I36" i="21"/>
  <c r="H36" i="21"/>
  <c r="G36" i="21"/>
  <c r="A36" i="21"/>
  <c r="P35" i="21"/>
  <c r="I35" i="21"/>
  <c r="H35" i="21"/>
  <c r="G35" i="21"/>
  <c r="J35" i="21" s="1"/>
  <c r="A35" i="21"/>
  <c r="P34" i="21"/>
  <c r="I34" i="21"/>
  <c r="H34" i="21"/>
  <c r="G34" i="21"/>
  <c r="J34" i="21" s="1"/>
  <c r="A34" i="21"/>
  <c r="P33" i="21"/>
  <c r="I33" i="21"/>
  <c r="H33" i="21"/>
  <c r="G33" i="21"/>
  <c r="J33" i="21" s="1"/>
  <c r="A33" i="21"/>
  <c r="P32" i="21"/>
  <c r="I32" i="21"/>
  <c r="H32" i="21"/>
  <c r="G32" i="21"/>
  <c r="A32" i="21"/>
  <c r="P31" i="21"/>
  <c r="I31" i="21"/>
  <c r="H31" i="21"/>
  <c r="G31" i="21"/>
  <c r="J31" i="21" s="1"/>
  <c r="A31" i="21"/>
  <c r="P30" i="21"/>
  <c r="I30" i="21"/>
  <c r="H30" i="21"/>
  <c r="G30" i="21"/>
  <c r="J30" i="21" s="1"/>
  <c r="A30" i="21"/>
  <c r="P29" i="21"/>
  <c r="I29" i="21"/>
  <c r="H29" i="21"/>
  <c r="G29" i="21"/>
  <c r="J29" i="21" s="1"/>
  <c r="A29" i="21"/>
  <c r="P28" i="21"/>
  <c r="I28" i="21"/>
  <c r="H28" i="21"/>
  <c r="G28" i="21"/>
  <c r="A28" i="21"/>
  <c r="P27" i="21"/>
  <c r="I27" i="21"/>
  <c r="H27" i="21"/>
  <c r="G27" i="21"/>
  <c r="J27" i="21" s="1"/>
  <c r="A27" i="21"/>
  <c r="P26" i="21"/>
  <c r="I26" i="21"/>
  <c r="H26" i="21"/>
  <c r="G26" i="21"/>
  <c r="J26" i="21" s="1"/>
  <c r="A26" i="21"/>
  <c r="P25" i="21"/>
  <c r="I25" i="21"/>
  <c r="H25" i="21"/>
  <c r="G25" i="21"/>
  <c r="J25" i="21" s="1"/>
  <c r="A25" i="21"/>
  <c r="P24" i="21"/>
  <c r="I24" i="21"/>
  <c r="H24" i="21"/>
  <c r="G24" i="21"/>
  <c r="J24" i="21" s="1"/>
  <c r="A24" i="21"/>
  <c r="P23" i="21"/>
  <c r="I23" i="21"/>
  <c r="H23" i="21"/>
  <c r="G23" i="21"/>
  <c r="J23" i="21" s="1"/>
  <c r="A23" i="21"/>
  <c r="P22" i="21"/>
  <c r="I22" i="21"/>
  <c r="H22" i="21"/>
  <c r="G22" i="21"/>
  <c r="J22" i="21" s="1"/>
  <c r="A22" i="21"/>
  <c r="P21" i="21"/>
  <c r="I21" i="21"/>
  <c r="H21" i="21"/>
  <c r="G21" i="21"/>
  <c r="J21" i="21" s="1"/>
  <c r="A21" i="21"/>
  <c r="P20" i="21"/>
  <c r="I20" i="21"/>
  <c r="H20" i="21"/>
  <c r="G20" i="21"/>
  <c r="J20" i="21" s="1"/>
  <c r="A20" i="21"/>
  <c r="P19" i="21"/>
  <c r="I19" i="21"/>
  <c r="H19" i="21"/>
  <c r="G19" i="21"/>
  <c r="J19" i="21" s="1"/>
  <c r="A19" i="21"/>
  <c r="P18" i="21"/>
  <c r="I18" i="21"/>
  <c r="H18" i="21"/>
  <c r="G18" i="21"/>
  <c r="J18" i="21" s="1"/>
  <c r="A18" i="21"/>
  <c r="P17" i="21"/>
  <c r="I17" i="21"/>
  <c r="H17" i="21"/>
  <c r="G17" i="21"/>
  <c r="J17" i="21" s="1"/>
  <c r="A17" i="21"/>
  <c r="P16" i="21"/>
  <c r="I16" i="21"/>
  <c r="H16" i="21"/>
  <c r="G16" i="21"/>
  <c r="J16" i="21" s="1"/>
  <c r="A16" i="21"/>
  <c r="P15" i="21"/>
  <c r="I15" i="21"/>
  <c r="H15" i="21"/>
  <c r="G15" i="21"/>
  <c r="J15" i="21" s="1"/>
  <c r="A15" i="21"/>
  <c r="P14" i="21"/>
  <c r="I14" i="21"/>
  <c r="H14" i="21"/>
  <c r="G14" i="21"/>
  <c r="J14" i="21" s="1"/>
  <c r="A14" i="21"/>
  <c r="P13" i="21"/>
  <c r="I13" i="21"/>
  <c r="H13" i="21"/>
  <c r="G13" i="21"/>
  <c r="J13" i="21" s="1"/>
  <c r="A13" i="21"/>
  <c r="P12" i="21"/>
  <c r="I12" i="21"/>
  <c r="H12" i="21"/>
  <c r="G12" i="21"/>
  <c r="J12" i="21" s="1"/>
  <c r="A12" i="21"/>
  <c r="P11" i="21"/>
  <c r="I11" i="21"/>
  <c r="H11" i="21"/>
  <c r="G11" i="21"/>
  <c r="J11" i="21" s="1"/>
  <c r="A11" i="21"/>
  <c r="P10" i="21"/>
  <c r="I10" i="21"/>
  <c r="H10" i="21"/>
  <c r="G10" i="21"/>
  <c r="J10" i="21" s="1"/>
  <c r="A10" i="21"/>
  <c r="P9" i="21"/>
  <c r="I9" i="21"/>
  <c r="H9" i="21"/>
  <c r="G9" i="21"/>
  <c r="J9" i="21" s="1"/>
  <c r="A9" i="21"/>
  <c r="P8" i="21"/>
  <c r="I8" i="21"/>
  <c r="H8" i="21"/>
  <c r="G8" i="21"/>
  <c r="J8" i="21" s="1"/>
  <c r="A8" i="21"/>
  <c r="P7" i="21"/>
  <c r="I7" i="21"/>
  <c r="H7" i="21"/>
  <c r="G7" i="21"/>
  <c r="J7" i="21" s="1"/>
  <c r="A7" i="21"/>
  <c r="P6" i="21"/>
  <c r="I6" i="21"/>
  <c r="H6" i="21"/>
  <c r="G6" i="21"/>
  <c r="J6" i="21" s="1"/>
  <c r="A6" i="21"/>
  <c r="P5" i="21"/>
  <c r="I5" i="21"/>
  <c r="H5" i="21"/>
  <c r="G5" i="21"/>
  <c r="J5" i="21" s="1"/>
  <c r="A5" i="21"/>
  <c r="Q221" i="14"/>
  <c r="T7" i="14"/>
  <c r="U7" i="14" s="1"/>
  <c r="T8" i="14"/>
  <c r="U8" i="14" s="1"/>
  <c r="T9" i="14"/>
  <c r="U9" i="14" s="1"/>
  <c r="T10" i="14"/>
  <c r="U10" i="14" s="1"/>
  <c r="T11" i="14"/>
  <c r="U11" i="14" s="1"/>
  <c r="T12" i="14"/>
  <c r="U12" i="14" s="1"/>
  <c r="T13" i="14"/>
  <c r="U13" i="14" s="1"/>
  <c r="T14" i="14"/>
  <c r="U14" i="14" s="1"/>
  <c r="T15" i="14"/>
  <c r="U15" i="14" s="1"/>
  <c r="T16" i="14"/>
  <c r="U16" i="14" s="1"/>
  <c r="T17" i="14"/>
  <c r="U17" i="14" s="1"/>
  <c r="T18" i="14"/>
  <c r="U18" i="14" s="1"/>
  <c r="T19" i="14"/>
  <c r="U19" i="14" s="1"/>
  <c r="T20" i="14"/>
  <c r="U20" i="14" s="1"/>
  <c r="T21" i="14"/>
  <c r="U21" i="14" s="1"/>
  <c r="T22" i="14"/>
  <c r="U22" i="14" s="1"/>
  <c r="T23" i="14"/>
  <c r="U23" i="14" s="1"/>
  <c r="T24" i="14"/>
  <c r="U24" i="14" s="1"/>
  <c r="T25" i="14"/>
  <c r="U25" i="14" s="1"/>
  <c r="T26" i="14"/>
  <c r="U26" i="14" s="1"/>
  <c r="T27" i="14"/>
  <c r="U27" i="14" s="1"/>
  <c r="T28" i="14"/>
  <c r="U28" i="14" s="1"/>
  <c r="T29" i="14"/>
  <c r="U29" i="14" s="1"/>
  <c r="T30" i="14"/>
  <c r="U30" i="14" s="1"/>
  <c r="T31" i="14"/>
  <c r="U31" i="14" s="1"/>
  <c r="T32" i="14"/>
  <c r="U32" i="14" s="1"/>
  <c r="T33" i="14"/>
  <c r="U33" i="14" s="1"/>
  <c r="T34" i="14"/>
  <c r="U34" i="14" s="1"/>
  <c r="T35" i="14"/>
  <c r="U35" i="14" s="1"/>
  <c r="T36" i="14"/>
  <c r="U36" i="14" s="1"/>
  <c r="T37" i="14"/>
  <c r="U37" i="14" s="1"/>
  <c r="T38" i="14"/>
  <c r="U38" i="14" s="1"/>
  <c r="T39" i="14"/>
  <c r="U39" i="14" s="1"/>
  <c r="T40" i="14"/>
  <c r="U40" i="14" s="1"/>
  <c r="T41" i="14"/>
  <c r="U41" i="14" s="1"/>
  <c r="T42" i="14"/>
  <c r="U42" i="14" s="1"/>
  <c r="T43" i="14"/>
  <c r="U43" i="14" s="1"/>
  <c r="T44" i="14"/>
  <c r="U44" i="14" s="1"/>
  <c r="T45" i="14"/>
  <c r="U45" i="14" s="1"/>
  <c r="T46" i="14"/>
  <c r="U46" i="14" s="1"/>
  <c r="T47" i="14"/>
  <c r="U47" i="14" s="1"/>
  <c r="T48" i="14"/>
  <c r="U48" i="14" s="1"/>
  <c r="T49" i="14"/>
  <c r="U49" i="14" s="1"/>
  <c r="T50" i="14"/>
  <c r="U50" i="14" s="1"/>
  <c r="T51" i="14"/>
  <c r="U51" i="14" s="1"/>
  <c r="T52" i="14"/>
  <c r="U52" i="14" s="1"/>
  <c r="T53" i="14"/>
  <c r="U53" i="14" s="1"/>
  <c r="T54" i="14"/>
  <c r="U54" i="14" s="1"/>
  <c r="T55" i="14"/>
  <c r="U55" i="14" s="1"/>
  <c r="T56" i="14"/>
  <c r="U56" i="14" s="1"/>
  <c r="T57" i="14"/>
  <c r="U57" i="14" s="1"/>
  <c r="T58" i="14"/>
  <c r="U58" i="14" s="1"/>
  <c r="T59" i="14"/>
  <c r="U59" i="14" s="1"/>
  <c r="T60" i="14"/>
  <c r="U60" i="14" s="1"/>
  <c r="T61" i="14"/>
  <c r="U61" i="14" s="1"/>
  <c r="T62" i="14"/>
  <c r="U62" i="14" s="1"/>
  <c r="T63" i="14"/>
  <c r="U63" i="14" s="1"/>
  <c r="T64" i="14"/>
  <c r="U64" i="14" s="1"/>
  <c r="T65" i="14"/>
  <c r="U65" i="14" s="1"/>
  <c r="T66" i="14"/>
  <c r="U66" i="14" s="1"/>
  <c r="T67" i="14"/>
  <c r="U67" i="14" s="1"/>
  <c r="T68" i="14"/>
  <c r="U68" i="14" s="1"/>
  <c r="T69" i="14"/>
  <c r="U69" i="14" s="1"/>
  <c r="T70" i="14"/>
  <c r="U70" i="14" s="1"/>
  <c r="T71" i="14"/>
  <c r="U71" i="14" s="1"/>
  <c r="T72" i="14"/>
  <c r="U72" i="14" s="1"/>
  <c r="T73" i="14"/>
  <c r="U73" i="14" s="1"/>
  <c r="T74" i="14"/>
  <c r="U74" i="14" s="1"/>
  <c r="T75" i="14"/>
  <c r="U75" i="14" s="1"/>
  <c r="T76" i="14"/>
  <c r="U76" i="14" s="1"/>
  <c r="T77" i="14"/>
  <c r="U77" i="14" s="1"/>
  <c r="T78" i="14"/>
  <c r="U78" i="14" s="1"/>
  <c r="T79" i="14"/>
  <c r="U79" i="14" s="1"/>
  <c r="T80" i="14"/>
  <c r="U80" i="14" s="1"/>
  <c r="T81" i="14"/>
  <c r="U81" i="14" s="1"/>
  <c r="T82" i="14"/>
  <c r="U82" i="14" s="1"/>
  <c r="T83" i="14"/>
  <c r="U83" i="14" s="1"/>
  <c r="T84" i="14"/>
  <c r="U84" i="14" s="1"/>
  <c r="T85" i="14"/>
  <c r="U85" i="14" s="1"/>
  <c r="T86" i="14"/>
  <c r="U86" i="14" s="1"/>
  <c r="T87" i="14"/>
  <c r="U87" i="14" s="1"/>
  <c r="T88" i="14"/>
  <c r="U88" i="14" s="1"/>
  <c r="T89" i="14"/>
  <c r="U89" i="14" s="1"/>
  <c r="T90" i="14"/>
  <c r="U90" i="14" s="1"/>
  <c r="T91" i="14"/>
  <c r="U91" i="14" s="1"/>
  <c r="T92" i="14"/>
  <c r="U92" i="14" s="1"/>
  <c r="T93" i="14"/>
  <c r="U93" i="14" s="1"/>
  <c r="T94" i="14"/>
  <c r="U94" i="14" s="1"/>
  <c r="T95" i="14"/>
  <c r="U95" i="14" s="1"/>
  <c r="T96" i="14"/>
  <c r="U96" i="14" s="1"/>
  <c r="T97" i="14"/>
  <c r="U97" i="14" s="1"/>
  <c r="T98" i="14"/>
  <c r="U98" i="14" s="1"/>
  <c r="T99" i="14"/>
  <c r="U99" i="14" s="1"/>
  <c r="T100" i="14"/>
  <c r="U100" i="14" s="1"/>
  <c r="T101" i="14"/>
  <c r="U101" i="14" s="1"/>
  <c r="T102" i="14"/>
  <c r="U102" i="14" s="1"/>
  <c r="T103" i="14"/>
  <c r="U103" i="14" s="1"/>
  <c r="T104" i="14"/>
  <c r="U104" i="14" s="1"/>
  <c r="T105" i="14"/>
  <c r="U105" i="14" s="1"/>
  <c r="T106" i="14"/>
  <c r="U106" i="14" s="1"/>
  <c r="T107" i="14"/>
  <c r="U107" i="14" s="1"/>
  <c r="T108" i="14"/>
  <c r="U108" i="14" s="1"/>
  <c r="T109" i="14"/>
  <c r="U109" i="14" s="1"/>
  <c r="T110" i="14"/>
  <c r="U110" i="14" s="1"/>
  <c r="T111" i="14"/>
  <c r="U111" i="14" s="1"/>
  <c r="T112" i="14"/>
  <c r="U112" i="14" s="1"/>
  <c r="T113" i="14"/>
  <c r="U113" i="14" s="1"/>
  <c r="T114" i="14"/>
  <c r="U114" i="14" s="1"/>
  <c r="T115" i="14"/>
  <c r="U115" i="14" s="1"/>
  <c r="T116" i="14"/>
  <c r="U116" i="14" s="1"/>
  <c r="T117" i="14"/>
  <c r="U117" i="14" s="1"/>
  <c r="T118" i="14"/>
  <c r="U118" i="14" s="1"/>
  <c r="T119" i="14"/>
  <c r="U119" i="14" s="1"/>
  <c r="T120" i="14"/>
  <c r="U120" i="14" s="1"/>
  <c r="T121" i="14"/>
  <c r="U121" i="14" s="1"/>
  <c r="T122" i="14"/>
  <c r="U122" i="14" s="1"/>
  <c r="T123" i="14"/>
  <c r="U123" i="14" s="1"/>
  <c r="T124" i="14"/>
  <c r="U124" i="14" s="1"/>
  <c r="T125" i="14"/>
  <c r="U125" i="14" s="1"/>
  <c r="T126" i="14"/>
  <c r="U126" i="14" s="1"/>
  <c r="T127" i="14"/>
  <c r="U127" i="14" s="1"/>
  <c r="T128" i="14"/>
  <c r="U128" i="14" s="1"/>
  <c r="T129" i="14"/>
  <c r="U129" i="14" s="1"/>
  <c r="T130" i="14"/>
  <c r="U130" i="14" s="1"/>
  <c r="T131" i="14"/>
  <c r="U131" i="14" s="1"/>
  <c r="T132" i="14"/>
  <c r="U132" i="14" s="1"/>
  <c r="T133" i="14"/>
  <c r="U133" i="14" s="1"/>
  <c r="T134" i="14"/>
  <c r="U134" i="14" s="1"/>
  <c r="T135" i="14"/>
  <c r="U135" i="14" s="1"/>
  <c r="T136" i="14"/>
  <c r="U136" i="14" s="1"/>
  <c r="T137" i="14"/>
  <c r="U137" i="14" s="1"/>
  <c r="T138" i="14"/>
  <c r="U138" i="14" s="1"/>
  <c r="T139" i="14"/>
  <c r="U139" i="14" s="1"/>
  <c r="T140" i="14"/>
  <c r="U140" i="14" s="1"/>
  <c r="T141" i="14"/>
  <c r="U141" i="14" s="1"/>
  <c r="T142" i="14"/>
  <c r="U142" i="14" s="1"/>
  <c r="T143" i="14"/>
  <c r="U143" i="14" s="1"/>
  <c r="T144" i="14"/>
  <c r="U144" i="14" s="1"/>
  <c r="T145" i="14"/>
  <c r="U145" i="14" s="1"/>
  <c r="T146" i="14"/>
  <c r="U146" i="14" s="1"/>
  <c r="T147" i="14"/>
  <c r="U147" i="14" s="1"/>
  <c r="T148" i="14"/>
  <c r="U148" i="14" s="1"/>
  <c r="T149" i="14"/>
  <c r="U149" i="14" s="1"/>
  <c r="T150" i="14"/>
  <c r="U150" i="14" s="1"/>
  <c r="T151" i="14"/>
  <c r="U151" i="14" s="1"/>
  <c r="T152" i="14"/>
  <c r="U152" i="14" s="1"/>
  <c r="T153" i="14"/>
  <c r="U153" i="14" s="1"/>
  <c r="T154" i="14"/>
  <c r="U154" i="14" s="1"/>
  <c r="T155" i="14"/>
  <c r="U155" i="14" s="1"/>
  <c r="T156" i="14"/>
  <c r="U156" i="14" s="1"/>
  <c r="T157" i="14"/>
  <c r="U157" i="14" s="1"/>
  <c r="T158" i="14"/>
  <c r="U158" i="14" s="1"/>
  <c r="T159" i="14"/>
  <c r="U159" i="14" s="1"/>
  <c r="T160" i="14"/>
  <c r="U160" i="14" s="1"/>
  <c r="T161" i="14"/>
  <c r="U161" i="14" s="1"/>
  <c r="T162" i="14"/>
  <c r="U162" i="14" s="1"/>
  <c r="T163" i="14"/>
  <c r="U163" i="14" s="1"/>
  <c r="T164" i="14"/>
  <c r="U164" i="14" s="1"/>
  <c r="T165" i="14"/>
  <c r="U165" i="14" s="1"/>
  <c r="T166" i="14"/>
  <c r="U166" i="14" s="1"/>
  <c r="T167" i="14"/>
  <c r="U167" i="14" s="1"/>
  <c r="T168" i="14"/>
  <c r="U168" i="14" s="1"/>
  <c r="T169" i="14"/>
  <c r="U169" i="14" s="1"/>
  <c r="T170" i="14"/>
  <c r="U170" i="14" s="1"/>
  <c r="T171" i="14"/>
  <c r="U171" i="14" s="1"/>
  <c r="T172" i="14"/>
  <c r="U172" i="14" s="1"/>
  <c r="T173" i="14"/>
  <c r="U173" i="14" s="1"/>
  <c r="T174" i="14"/>
  <c r="U174" i="14" s="1"/>
  <c r="T175" i="14"/>
  <c r="U175" i="14" s="1"/>
  <c r="T176" i="14"/>
  <c r="U176" i="14" s="1"/>
  <c r="T177" i="14"/>
  <c r="U177" i="14" s="1"/>
  <c r="T178" i="14"/>
  <c r="U178" i="14" s="1"/>
  <c r="T179" i="14"/>
  <c r="U179" i="14" s="1"/>
  <c r="T180" i="14"/>
  <c r="U180" i="14" s="1"/>
  <c r="T181" i="14"/>
  <c r="U181" i="14" s="1"/>
  <c r="T182" i="14"/>
  <c r="U182" i="14" s="1"/>
  <c r="T183" i="14"/>
  <c r="U183" i="14" s="1"/>
  <c r="T184" i="14"/>
  <c r="U184" i="14" s="1"/>
  <c r="T185" i="14"/>
  <c r="U185" i="14" s="1"/>
  <c r="T186" i="14"/>
  <c r="U186" i="14" s="1"/>
  <c r="T187" i="14"/>
  <c r="U187" i="14" s="1"/>
  <c r="T188" i="14"/>
  <c r="U188" i="14" s="1"/>
  <c r="T189" i="14"/>
  <c r="U189" i="14" s="1"/>
  <c r="T190" i="14"/>
  <c r="U190" i="14" s="1"/>
  <c r="T191" i="14"/>
  <c r="U191" i="14" s="1"/>
  <c r="T192" i="14"/>
  <c r="U192" i="14" s="1"/>
  <c r="T193" i="14"/>
  <c r="U193" i="14" s="1"/>
  <c r="T194" i="14"/>
  <c r="U194" i="14" s="1"/>
  <c r="T195" i="14"/>
  <c r="U195" i="14" s="1"/>
  <c r="T196" i="14"/>
  <c r="U196" i="14" s="1"/>
  <c r="T197" i="14"/>
  <c r="U197" i="14" s="1"/>
  <c r="T198" i="14"/>
  <c r="U198" i="14" s="1"/>
  <c r="T199" i="14"/>
  <c r="U199" i="14" s="1"/>
  <c r="T200" i="14"/>
  <c r="U200" i="14" s="1"/>
  <c r="T201" i="14"/>
  <c r="U201" i="14" s="1"/>
  <c r="T202" i="14"/>
  <c r="U202" i="14" s="1"/>
  <c r="T203" i="14"/>
  <c r="U203" i="14" s="1"/>
  <c r="T204" i="14"/>
  <c r="U204" i="14" s="1"/>
  <c r="T205" i="14"/>
  <c r="U205" i="14" s="1"/>
  <c r="T206" i="14"/>
  <c r="U206" i="14" s="1"/>
  <c r="T207" i="14"/>
  <c r="U207" i="14" s="1"/>
  <c r="T208" i="14"/>
  <c r="U208" i="14" s="1"/>
  <c r="T209" i="14"/>
  <c r="U209" i="14" s="1"/>
  <c r="T210" i="14"/>
  <c r="U210" i="14" s="1"/>
  <c r="T211" i="14"/>
  <c r="U211" i="14" s="1"/>
  <c r="T212" i="14"/>
  <c r="U212" i="14" s="1"/>
  <c r="T213" i="14"/>
  <c r="U213" i="14" s="1"/>
  <c r="T214" i="14"/>
  <c r="U214" i="14" s="1"/>
  <c r="T215" i="14"/>
  <c r="U215" i="14" s="1"/>
  <c r="T216" i="14"/>
  <c r="U216" i="14" s="1"/>
  <c r="T217" i="14"/>
  <c r="U217" i="14" s="1"/>
  <c r="T218" i="14"/>
  <c r="U218" i="14" s="1"/>
  <c r="T219" i="14"/>
  <c r="U219" i="14" s="1"/>
  <c r="T220" i="14"/>
  <c r="U220" i="14" s="1"/>
  <c r="T221" i="14"/>
  <c r="U221" i="14" s="1"/>
  <c r="T222" i="14"/>
  <c r="U222" i="14" s="1"/>
  <c r="T223" i="14"/>
  <c r="U223" i="14" s="1"/>
  <c r="T224" i="14"/>
  <c r="U224" i="14" s="1"/>
  <c r="T225" i="14"/>
  <c r="U225" i="14" s="1"/>
  <c r="T226" i="14"/>
  <c r="U226" i="14" s="1"/>
  <c r="T227" i="14"/>
  <c r="U227" i="14" s="1"/>
  <c r="T228" i="14"/>
  <c r="U228" i="14" s="1"/>
  <c r="T229" i="14"/>
  <c r="U229" i="14" s="1"/>
  <c r="T230" i="14"/>
  <c r="U230" i="14" s="1"/>
  <c r="T231" i="14"/>
  <c r="U231" i="14" s="1"/>
  <c r="T232" i="14"/>
  <c r="U232" i="14" s="1"/>
  <c r="T233" i="14"/>
  <c r="U233" i="14" s="1"/>
  <c r="T234" i="14"/>
  <c r="U234" i="14" s="1"/>
  <c r="T235" i="14"/>
  <c r="U235" i="14" s="1"/>
  <c r="T236" i="14"/>
  <c r="U236" i="14" s="1"/>
  <c r="T237" i="14"/>
  <c r="U237" i="14" s="1"/>
  <c r="T238" i="14"/>
  <c r="U238" i="14" s="1"/>
  <c r="T239" i="14"/>
  <c r="U239" i="14" s="1"/>
  <c r="T240" i="14"/>
  <c r="U240" i="14" s="1"/>
  <c r="T241" i="14"/>
  <c r="U241" i="14" s="1"/>
  <c r="T242" i="14"/>
  <c r="U242" i="14" s="1"/>
  <c r="T243" i="14"/>
  <c r="U243" i="14" s="1"/>
  <c r="T244" i="14"/>
  <c r="U244" i="14" s="1"/>
  <c r="T245" i="14"/>
  <c r="U245" i="14" s="1"/>
  <c r="T246" i="14"/>
  <c r="U246" i="14" s="1"/>
  <c r="T247" i="14"/>
  <c r="U247" i="14" s="1"/>
  <c r="T248" i="14"/>
  <c r="U248" i="14" s="1"/>
  <c r="T249" i="14"/>
  <c r="U249" i="14" s="1"/>
  <c r="T250" i="14"/>
  <c r="U250" i="14" s="1"/>
  <c r="T251" i="14"/>
  <c r="U251" i="14" s="1"/>
  <c r="T252" i="14"/>
  <c r="U252" i="14" s="1"/>
  <c r="T253" i="14"/>
  <c r="U253" i="14" s="1"/>
  <c r="T254" i="14"/>
  <c r="U254" i="14" s="1"/>
  <c r="T255" i="14"/>
  <c r="U255" i="14" s="1"/>
  <c r="T256" i="14"/>
  <c r="U256" i="14" s="1"/>
  <c r="T257" i="14"/>
  <c r="U257" i="14" s="1"/>
  <c r="T258" i="14"/>
  <c r="U258" i="14" s="1"/>
  <c r="T259" i="14"/>
  <c r="U259" i="14" s="1"/>
  <c r="T260" i="14"/>
  <c r="U260" i="14" s="1"/>
  <c r="T261" i="14"/>
  <c r="U261" i="14" s="1"/>
  <c r="T262" i="14"/>
  <c r="U262" i="14" s="1"/>
  <c r="T263" i="14"/>
  <c r="U263" i="14" s="1"/>
  <c r="T264" i="14"/>
  <c r="U264" i="14" s="1"/>
  <c r="T265" i="14"/>
  <c r="U265" i="14" s="1"/>
  <c r="T266" i="14"/>
  <c r="U266" i="14" s="1"/>
  <c r="T267" i="14"/>
  <c r="U267" i="14" s="1"/>
  <c r="T268" i="14"/>
  <c r="U268" i="14" s="1"/>
  <c r="T269" i="14"/>
  <c r="U269" i="14" s="1"/>
  <c r="T270" i="14"/>
  <c r="U270" i="14" s="1"/>
  <c r="T271" i="14"/>
  <c r="U271" i="14" s="1"/>
  <c r="T272" i="14"/>
  <c r="U272" i="14" s="1"/>
  <c r="T273" i="14"/>
  <c r="U273" i="14" s="1"/>
  <c r="T274" i="14"/>
  <c r="U274" i="14" s="1"/>
  <c r="T275" i="14"/>
  <c r="U275" i="14" s="1"/>
  <c r="T276" i="14"/>
  <c r="U276" i="14" s="1"/>
  <c r="T277" i="14"/>
  <c r="U277" i="14" s="1"/>
  <c r="T278" i="14"/>
  <c r="U278" i="14" s="1"/>
  <c r="T279" i="14"/>
  <c r="U279" i="14" s="1"/>
  <c r="T280" i="14"/>
  <c r="U280" i="14" s="1"/>
  <c r="T281" i="14"/>
  <c r="U281" i="14" s="1"/>
  <c r="T282" i="14"/>
  <c r="U282" i="14" s="1"/>
  <c r="T283" i="14"/>
  <c r="U283" i="14" s="1"/>
  <c r="T284" i="14"/>
  <c r="U284" i="14" s="1"/>
  <c r="T285" i="14"/>
  <c r="U285" i="14" s="1"/>
  <c r="T286" i="14"/>
  <c r="U286" i="14" s="1"/>
  <c r="T287" i="14"/>
  <c r="U287" i="14" s="1"/>
  <c r="T288" i="14"/>
  <c r="U288" i="14" s="1"/>
  <c r="T289" i="14"/>
  <c r="U289" i="14" s="1"/>
  <c r="T290" i="14"/>
  <c r="U290" i="14" s="1"/>
  <c r="T291" i="14"/>
  <c r="U291" i="14" s="1"/>
  <c r="T292" i="14"/>
  <c r="U292" i="14" s="1"/>
  <c r="T293" i="14"/>
  <c r="U293" i="14" s="1"/>
  <c r="T294" i="14"/>
  <c r="U294" i="14" s="1"/>
  <c r="T295" i="14"/>
  <c r="U295" i="14" s="1"/>
  <c r="T296" i="14"/>
  <c r="U296" i="14" s="1"/>
  <c r="T297" i="14"/>
  <c r="U297" i="14" s="1"/>
  <c r="T298" i="14"/>
  <c r="U298" i="14" s="1"/>
  <c r="T299" i="14"/>
  <c r="U299" i="14" s="1"/>
  <c r="T6" i="14"/>
  <c r="U6" i="14" s="1"/>
  <c r="T277" i="18"/>
  <c r="F276" i="18"/>
  <c r="F275" i="18"/>
  <c r="F274" i="18"/>
  <c r="F273" i="18"/>
  <c r="F272" i="18"/>
  <c r="F271" i="18"/>
  <c r="F270" i="18"/>
  <c r="F269" i="18"/>
  <c r="F268" i="18"/>
  <c r="F267" i="18"/>
  <c r="F266" i="18"/>
  <c r="F265" i="18"/>
  <c r="F264" i="18"/>
  <c r="F263" i="18"/>
  <c r="F262" i="18"/>
  <c r="F261" i="18"/>
  <c r="F260" i="18"/>
  <c r="F259" i="18"/>
  <c r="F258" i="18"/>
  <c r="F257" i="18"/>
  <c r="F256" i="18"/>
  <c r="F255" i="18"/>
  <c r="F254" i="18"/>
  <c r="F253" i="18"/>
  <c r="F252" i="18"/>
  <c r="F251" i="18"/>
  <c r="F250" i="18"/>
  <c r="F249" i="18"/>
  <c r="F248" i="18"/>
  <c r="F247" i="18"/>
  <c r="F246" i="18"/>
  <c r="F245" i="18"/>
  <c r="F244" i="18"/>
  <c r="F243" i="18"/>
  <c r="F242" i="18"/>
  <c r="F241" i="18"/>
  <c r="F240" i="18"/>
  <c r="F239" i="18"/>
  <c r="F238" i="18"/>
  <c r="F237" i="18"/>
  <c r="F236" i="18"/>
  <c r="F235" i="18"/>
  <c r="F234" i="18"/>
  <c r="F233" i="18"/>
  <c r="F232" i="18"/>
  <c r="F231" i="18"/>
  <c r="F230" i="18"/>
  <c r="F229" i="18"/>
  <c r="F228" i="18"/>
  <c r="F227" i="18"/>
  <c r="F226" i="18"/>
  <c r="F225" i="18"/>
  <c r="F224" i="18"/>
  <c r="F223" i="18"/>
  <c r="F222" i="18"/>
  <c r="F221" i="18"/>
  <c r="F220" i="18"/>
  <c r="F219" i="18"/>
  <c r="F218" i="18"/>
  <c r="F217" i="18"/>
  <c r="F216" i="18"/>
  <c r="F215" i="18"/>
  <c r="F214" i="18"/>
  <c r="F213" i="18"/>
  <c r="F212" i="18"/>
  <c r="F211" i="18"/>
  <c r="F210" i="18"/>
  <c r="F209" i="18"/>
  <c r="F208" i="18"/>
  <c r="F207" i="18"/>
  <c r="F206" i="18"/>
  <c r="F205" i="18"/>
  <c r="F204" i="18"/>
  <c r="F203" i="18"/>
  <c r="F202" i="18"/>
  <c r="F201" i="18"/>
  <c r="F200" i="18"/>
  <c r="F199" i="18"/>
  <c r="F198" i="18"/>
  <c r="F197" i="18"/>
  <c r="F196" i="18"/>
  <c r="F195" i="18"/>
  <c r="F194" i="18"/>
  <c r="F193" i="18"/>
  <c r="F192" i="18"/>
  <c r="F191" i="18"/>
  <c r="F190" i="18"/>
  <c r="F189" i="18"/>
  <c r="F188" i="18"/>
  <c r="F187" i="18"/>
  <c r="F186" i="18"/>
  <c r="F185" i="18"/>
  <c r="F184" i="18"/>
  <c r="F183" i="18"/>
  <c r="F182" i="18"/>
  <c r="F181" i="18"/>
  <c r="F180" i="18"/>
  <c r="F179" i="18"/>
  <c r="F178" i="18"/>
  <c r="F177" i="18"/>
  <c r="F176" i="18"/>
  <c r="F175" i="18"/>
  <c r="F174" i="18"/>
  <c r="F173" i="18"/>
  <c r="F172" i="18"/>
  <c r="F171" i="18"/>
  <c r="F170" i="18"/>
  <c r="F169" i="18"/>
  <c r="F168" i="18"/>
  <c r="F167" i="18"/>
  <c r="F166" i="18"/>
  <c r="F165" i="18"/>
  <c r="F164" i="18"/>
  <c r="F163" i="18"/>
  <c r="F162" i="18"/>
  <c r="F161" i="18"/>
  <c r="F160" i="18"/>
  <c r="F159" i="18"/>
  <c r="F158" i="18"/>
  <c r="F157" i="18"/>
  <c r="F156" i="18"/>
  <c r="F155" i="18"/>
  <c r="F154" i="18"/>
  <c r="F153" i="18"/>
  <c r="F152" i="18"/>
  <c r="F151" i="18"/>
  <c r="F150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F127" i="18"/>
  <c r="F126" i="18"/>
  <c r="F125" i="18"/>
  <c r="F124" i="18"/>
  <c r="F123" i="18"/>
  <c r="F120" i="18"/>
  <c r="F119" i="18"/>
  <c r="F118" i="18"/>
  <c r="F117" i="18"/>
  <c r="F116" i="18"/>
  <c r="F115" i="18"/>
  <c r="F114" i="18"/>
  <c r="F113" i="18"/>
  <c r="F112" i="18"/>
  <c r="F111" i="18"/>
  <c r="F110" i="18"/>
  <c r="F109" i="18"/>
  <c r="F108" i="18"/>
  <c r="F107" i="18"/>
  <c r="F106" i="18"/>
  <c r="F105" i="18"/>
  <c r="F104" i="18"/>
  <c r="F103" i="18"/>
  <c r="F102" i="18"/>
  <c r="F101" i="18"/>
  <c r="F100" i="18"/>
  <c r="F99" i="18"/>
  <c r="F98" i="18"/>
  <c r="F97" i="18"/>
  <c r="F96" i="18"/>
  <c r="F95" i="18"/>
  <c r="F94" i="18"/>
  <c r="F93" i="18"/>
  <c r="F92" i="18"/>
  <c r="F91" i="18"/>
  <c r="F90" i="18"/>
  <c r="F89" i="18"/>
  <c r="F88" i="18"/>
  <c r="F87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T5" i="13"/>
  <c r="U5" i="13" s="1"/>
  <c r="T6" i="13"/>
  <c r="U6" i="13" s="1"/>
  <c r="T7" i="13"/>
  <c r="U7" i="13" s="1"/>
  <c r="T8" i="13"/>
  <c r="U8" i="13" s="1"/>
  <c r="T9" i="13"/>
  <c r="U9" i="13" s="1"/>
  <c r="T10" i="13"/>
  <c r="U10" i="13" s="1"/>
  <c r="T11" i="13"/>
  <c r="U11" i="13" s="1"/>
  <c r="T12" i="13"/>
  <c r="U12" i="13" s="1"/>
  <c r="T13" i="13"/>
  <c r="U13" i="13" s="1"/>
  <c r="T14" i="13"/>
  <c r="U14" i="13" s="1"/>
  <c r="T15" i="13"/>
  <c r="U15" i="13" s="1"/>
  <c r="T16" i="13"/>
  <c r="U16" i="13" s="1"/>
  <c r="T17" i="13"/>
  <c r="U17" i="13" s="1"/>
  <c r="T18" i="13"/>
  <c r="U18" i="13" s="1"/>
  <c r="T19" i="13"/>
  <c r="U19" i="13" s="1"/>
  <c r="T20" i="13"/>
  <c r="U20" i="13" s="1"/>
  <c r="T21" i="13"/>
  <c r="U21" i="13" s="1"/>
  <c r="T22" i="13"/>
  <c r="U22" i="13" s="1"/>
  <c r="T23" i="13"/>
  <c r="U23" i="13" s="1"/>
  <c r="T24" i="13"/>
  <c r="U24" i="13" s="1"/>
  <c r="T25" i="13"/>
  <c r="U25" i="13" s="1"/>
  <c r="T26" i="13"/>
  <c r="U26" i="13" s="1"/>
  <c r="T27" i="13"/>
  <c r="U27" i="13" s="1"/>
  <c r="T28" i="13"/>
  <c r="U28" i="13" s="1"/>
  <c r="T29" i="13"/>
  <c r="U29" i="13" s="1"/>
  <c r="T30" i="13"/>
  <c r="U30" i="13" s="1"/>
  <c r="T31" i="13"/>
  <c r="U31" i="13" s="1"/>
  <c r="T32" i="13"/>
  <c r="U32" i="13" s="1"/>
  <c r="T33" i="13"/>
  <c r="U33" i="13" s="1"/>
  <c r="T34" i="13"/>
  <c r="U34" i="13" s="1"/>
  <c r="T35" i="13"/>
  <c r="U35" i="13" s="1"/>
  <c r="T36" i="13"/>
  <c r="U36" i="13" s="1"/>
  <c r="T37" i="13"/>
  <c r="U37" i="13" s="1"/>
  <c r="T38" i="13"/>
  <c r="U38" i="13" s="1"/>
  <c r="T39" i="13"/>
  <c r="U39" i="13" s="1"/>
  <c r="T40" i="13"/>
  <c r="U40" i="13" s="1"/>
  <c r="T41" i="13"/>
  <c r="U41" i="13" s="1"/>
  <c r="T42" i="13"/>
  <c r="U42" i="13" s="1"/>
  <c r="T43" i="13"/>
  <c r="U43" i="13" s="1"/>
  <c r="T44" i="13"/>
  <c r="U44" i="13" s="1"/>
  <c r="T45" i="13"/>
  <c r="U45" i="13" s="1"/>
  <c r="T46" i="13"/>
  <c r="U46" i="13" s="1"/>
  <c r="T47" i="13"/>
  <c r="U47" i="13" s="1"/>
  <c r="T48" i="13"/>
  <c r="U48" i="13" s="1"/>
  <c r="T49" i="13"/>
  <c r="U49" i="13" s="1"/>
  <c r="T50" i="13"/>
  <c r="U50" i="13" s="1"/>
  <c r="T51" i="13"/>
  <c r="U51" i="13" s="1"/>
  <c r="T52" i="13"/>
  <c r="U52" i="13" s="1"/>
  <c r="T53" i="13"/>
  <c r="U53" i="13" s="1"/>
  <c r="T54" i="13"/>
  <c r="U54" i="13" s="1"/>
  <c r="T55" i="13"/>
  <c r="U55" i="13" s="1"/>
  <c r="T56" i="13"/>
  <c r="U56" i="13" s="1"/>
  <c r="T57" i="13"/>
  <c r="U57" i="13" s="1"/>
  <c r="T58" i="13"/>
  <c r="U58" i="13" s="1"/>
  <c r="T59" i="13"/>
  <c r="U59" i="13" s="1"/>
  <c r="T60" i="13"/>
  <c r="U60" i="13" s="1"/>
  <c r="T61" i="13"/>
  <c r="U61" i="13" s="1"/>
  <c r="T62" i="13"/>
  <c r="U62" i="13" s="1"/>
  <c r="T63" i="13"/>
  <c r="U63" i="13" s="1"/>
  <c r="T64" i="13"/>
  <c r="U64" i="13" s="1"/>
  <c r="T65" i="13"/>
  <c r="U65" i="13" s="1"/>
  <c r="T66" i="13"/>
  <c r="U66" i="13" s="1"/>
  <c r="T67" i="13"/>
  <c r="U67" i="13" s="1"/>
  <c r="T68" i="13"/>
  <c r="U68" i="13" s="1"/>
  <c r="T69" i="13"/>
  <c r="U69" i="13" s="1"/>
  <c r="T70" i="13"/>
  <c r="U70" i="13" s="1"/>
  <c r="T71" i="13"/>
  <c r="U71" i="13" s="1"/>
  <c r="T72" i="13"/>
  <c r="U72" i="13" s="1"/>
  <c r="T73" i="13"/>
  <c r="U73" i="13" s="1"/>
  <c r="T74" i="13"/>
  <c r="U74" i="13" s="1"/>
  <c r="T75" i="13"/>
  <c r="U75" i="13" s="1"/>
  <c r="T76" i="13"/>
  <c r="U76" i="13" s="1"/>
  <c r="T77" i="13"/>
  <c r="U77" i="13" s="1"/>
  <c r="T78" i="13"/>
  <c r="U78" i="13" s="1"/>
  <c r="T79" i="13"/>
  <c r="U79" i="13" s="1"/>
  <c r="T80" i="13"/>
  <c r="U80" i="13" s="1"/>
  <c r="T81" i="13"/>
  <c r="U81" i="13" s="1"/>
  <c r="T82" i="13"/>
  <c r="U82" i="13" s="1"/>
  <c r="T83" i="13"/>
  <c r="U83" i="13" s="1"/>
  <c r="T84" i="13"/>
  <c r="U84" i="13" s="1"/>
  <c r="T85" i="13"/>
  <c r="U85" i="13" s="1"/>
  <c r="T86" i="13"/>
  <c r="U86" i="13" s="1"/>
  <c r="T87" i="13"/>
  <c r="U87" i="13" s="1"/>
  <c r="T88" i="13"/>
  <c r="U88" i="13" s="1"/>
  <c r="T89" i="13"/>
  <c r="U89" i="13" s="1"/>
  <c r="T90" i="13"/>
  <c r="U90" i="13" s="1"/>
  <c r="T91" i="13"/>
  <c r="U91" i="13" s="1"/>
  <c r="T92" i="13"/>
  <c r="U92" i="13" s="1"/>
  <c r="T93" i="13"/>
  <c r="U93" i="13" s="1"/>
  <c r="T94" i="13"/>
  <c r="U94" i="13" s="1"/>
  <c r="T95" i="13"/>
  <c r="U95" i="13" s="1"/>
  <c r="T96" i="13"/>
  <c r="U96" i="13" s="1"/>
  <c r="T97" i="13"/>
  <c r="U97" i="13" s="1"/>
  <c r="T98" i="13"/>
  <c r="U98" i="13" s="1"/>
  <c r="T99" i="13"/>
  <c r="U99" i="13" s="1"/>
  <c r="T100" i="13"/>
  <c r="U100" i="13" s="1"/>
  <c r="T101" i="13"/>
  <c r="U101" i="13" s="1"/>
  <c r="T102" i="13"/>
  <c r="U102" i="13" s="1"/>
  <c r="T103" i="13"/>
  <c r="U103" i="13" s="1"/>
  <c r="T104" i="13"/>
  <c r="U104" i="13" s="1"/>
  <c r="T105" i="13"/>
  <c r="U105" i="13" s="1"/>
  <c r="T106" i="13"/>
  <c r="U106" i="13" s="1"/>
  <c r="T107" i="13"/>
  <c r="U107" i="13" s="1"/>
  <c r="T108" i="13"/>
  <c r="U108" i="13" s="1"/>
  <c r="T109" i="13"/>
  <c r="U109" i="13" s="1"/>
  <c r="T110" i="13"/>
  <c r="U110" i="13" s="1"/>
  <c r="T111" i="13"/>
  <c r="U111" i="13" s="1"/>
  <c r="T112" i="13"/>
  <c r="U112" i="13" s="1"/>
  <c r="T113" i="13"/>
  <c r="U113" i="13" s="1"/>
  <c r="T114" i="13"/>
  <c r="U114" i="13" s="1"/>
  <c r="T115" i="13"/>
  <c r="U115" i="13" s="1"/>
  <c r="T116" i="13"/>
  <c r="U116" i="13" s="1"/>
  <c r="T117" i="13"/>
  <c r="U117" i="13" s="1"/>
  <c r="T118" i="13"/>
  <c r="U118" i="13" s="1"/>
  <c r="T119" i="13"/>
  <c r="U119" i="13" s="1"/>
  <c r="T120" i="13"/>
  <c r="U120" i="13" s="1"/>
  <c r="T121" i="13"/>
  <c r="U121" i="13" s="1"/>
  <c r="T122" i="13"/>
  <c r="U122" i="13" s="1"/>
  <c r="T123" i="13"/>
  <c r="U123" i="13" s="1"/>
  <c r="T124" i="13"/>
  <c r="U124" i="13" s="1"/>
  <c r="T125" i="13"/>
  <c r="U125" i="13" s="1"/>
  <c r="T126" i="13"/>
  <c r="U126" i="13" s="1"/>
  <c r="T127" i="13"/>
  <c r="U127" i="13" s="1"/>
  <c r="T128" i="13"/>
  <c r="U128" i="13" s="1"/>
  <c r="T129" i="13"/>
  <c r="U129" i="13" s="1"/>
  <c r="T130" i="13"/>
  <c r="U130" i="13" s="1"/>
  <c r="T131" i="13"/>
  <c r="U131" i="13" s="1"/>
  <c r="T132" i="13"/>
  <c r="U132" i="13" s="1"/>
  <c r="T133" i="13"/>
  <c r="U133" i="13" s="1"/>
  <c r="T134" i="13"/>
  <c r="U134" i="13" s="1"/>
  <c r="T135" i="13"/>
  <c r="T136" i="13"/>
  <c r="T137" i="13"/>
  <c r="U137" i="13" s="1"/>
  <c r="T138" i="13"/>
  <c r="U138" i="13" s="1"/>
  <c r="T139" i="13"/>
  <c r="U139" i="13" s="1"/>
  <c r="T140" i="13"/>
  <c r="U140" i="13" s="1"/>
  <c r="T141" i="13"/>
  <c r="U141" i="13" s="1"/>
  <c r="T142" i="13"/>
  <c r="U142" i="13" s="1"/>
  <c r="T143" i="13"/>
  <c r="U143" i="13" s="1"/>
  <c r="T144" i="13"/>
  <c r="U144" i="13" s="1"/>
  <c r="T145" i="13"/>
  <c r="U145" i="13" s="1"/>
  <c r="T146" i="13"/>
  <c r="U146" i="13" s="1"/>
  <c r="T147" i="13"/>
  <c r="U147" i="13" s="1"/>
  <c r="T148" i="13"/>
  <c r="U148" i="13" s="1"/>
  <c r="T149" i="13"/>
  <c r="U149" i="13" s="1"/>
  <c r="T150" i="13"/>
  <c r="U150" i="13" s="1"/>
  <c r="T151" i="13"/>
  <c r="U151" i="13" s="1"/>
  <c r="T152" i="13"/>
  <c r="U152" i="13" s="1"/>
  <c r="T153" i="13"/>
  <c r="U153" i="13" s="1"/>
  <c r="T154" i="13"/>
  <c r="U154" i="13" s="1"/>
  <c r="T155" i="13"/>
  <c r="U155" i="13" s="1"/>
  <c r="T156" i="13"/>
  <c r="U156" i="13" s="1"/>
  <c r="T157" i="13"/>
  <c r="U157" i="13" s="1"/>
  <c r="T158" i="13"/>
  <c r="U158" i="13" s="1"/>
  <c r="T159" i="13"/>
  <c r="U159" i="13" s="1"/>
  <c r="T160" i="13"/>
  <c r="U160" i="13" s="1"/>
  <c r="T161" i="13"/>
  <c r="U161" i="13" s="1"/>
  <c r="T162" i="13"/>
  <c r="U162" i="13" s="1"/>
  <c r="T163" i="13"/>
  <c r="U163" i="13" s="1"/>
  <c r="T164" i="13"/>
  <c r="U164" i="13" s="1"/>
  <c r="T165" i="13"/>
  <c r="U165" i="13" s="1"/>
  <c r="T166" i="13"/>
  <c r="U166" i="13" s="1"/>
  <c r="T167" i="13"/>
  <c r="U167" i="13" s="1"/>
  <c r="T168" i="13"/>
  <c r="U168" i="13" s="1"/>
  <c r="T169" i="13"/>
  <c r="U169" i="13" s="1"/>
  <c r="T170" i="13"/>
  <c r="U170" i="13" s="1"/>
  <c r="T171" i="13"/>
  <c r="U171" i="13" s="1"/>
  <c r="T172" i="13"/>
  <c r="U172" i="13" s="1"/>
  <c r="T173" i="13"/>
  <c r="U173" i="13" s="1"/>
  <c r="T174" i="13"/>
  <c r="U174" i="13" s="1"/>
  <c r="T175" i="13"/>
  <c r="U175" i="13" s="1"/>
  <c r="T176" i="13"/>
  <c r="U176" i="13" s="1"/>
  <c r="T177" i="13"/>
  <c r="U177" i="13" s="1"/>
  <c r="T178" i="13"/>
  <c r="U178" i="13" s="1"/>
  <c r="T179" i="13"/>
  <c r="U179" i="13" s="1"/>
  <c r="T180" i="13"/>
  <c r="U180" i="13" s="1"/>
  <c r="T181" i="13"/>
  <c r="U181" i="13" s="1"/>
  <c r="T182" i="13"/>
  <c r="U182" i="13" s="1"/>
  <c r="T183" i="13"/>
  <c r="U183" i="13" s="1"/>
  <c r="T184" i="13"/>
  <c r="U184" i="13" s="1"/>
  <c r="T185" i="13"/>
  <c r="U185" i="13" s="1"/>
  <c r="T186" i="13"/>
  <c r="U186" i="13" s="1"/>
  <c r="T187" i="13"/>
  <c r="U187" i="13" s="1"/>
  <c r="T188" i="13"/>
  <c r="U188" i="13" s="1"/>
  <c r="T189" i="13"/>
  <c r="U189" i="13" s="1"/>
  <c r="T190" i="13"/>
  <c r="U190" i="13" s="1"/>
  <c r="T191" i="13"/>
  <c r="U191" i="13" s="1"/>
  <c r="T192" i="13"/>
  <c r="U192" i="13" s="1"/>
  <c r="T193" i="13"/>
  <c r="U193" i="13" s="1"/>
  <c r="T194" i="13"/>
  <c r="U194" i="13" s="1"/>
  <c r="T195" i="13"/>
  <c r="U195" i="13" s="1"/>
  <c r="T196" i="13"/>
  <c r="U196" i="13" s="1"/>
  <c r="T197" i="13"/>
  <c r="U197" i="13" s="1"/>
  <c r="T198" i="13"/>
  <c r="U198" i="13" s="1"/>
  <c r="T199" i="13"/>
  <c r="U199" i="13" s="1"/>
  <c r="T200" i="13"/>
  <c r="U200" i="13" s="1"/>
  <c r="T201" i="13"/>
  <c r="U201" i="13" s="1"/>
  <c r="T202" i="13"/>
  <c r="U202" i="13" s="1"/>
  <c r="T203" i="13"/>
  <c r="U203" i="13" s="1"/>
  <c r="T204" i="13"/>
  <c r="U204" i="13" s="1"/>
  <c r="T205" i="13"/>
  <c r="U205" i="13" s="1"/>
  <c r="T206" i="13"/>
  <c r="U206" i="13" s="1"/>
  <c r="T207" i="13"/>
  <c r="U207" i="13" s="1"/>
  <c r="T208" i="13"/>
  <c r="U208" i="13" s="1"/>
  <c r="T209" i="13"/>
  <c r="U209" i="13" s="1"/>
  <c r="T210" i="13"/>
  <c r="U210" i="13" s="1"/>
  <c r="T211" i="13"/>
  <c r="U211" i="13" s="1"/>
  <c r="T212" i="13"/>
  <c r="U212" i="13" s="1"/>
  <c r="T213" i="13"/>
  <c r="U213" i="13" s="1"/>
  <c r="T214" i="13"/>
  <c r="U214" i="13" s="1"/>
  <c r="T215" i="13"/>
  <c r="U215" i="13" s="1"/>
  <c r="T216" i="13"/>
  <c r="U216" i="13" s="1"/>
  <c r="T217" i="13"/>
  <c r="U217" i="13" s="1"/>
  <c r="T218" i="13"/>
  <c r="U218" i="13" s="1"/>
  <c r="T219" i="13"/>
  <c r="U219" i="13" s="1"/>
  <c r="T220" i="13"/>
  <c r="U220" i="13" s="1"/>
  <c r="T221" i="13"/>
  <c r="U221" i="13" s="1"/>
  <c r="T222" i="13"/>
  <c r="U222" i="13" s="1"/>
  <c r="T223" i="13"/>
  <c r="U223" i="13" s="1"/>
  <c r="T224" i="13"/>
  <c r="U224" i="13" s="1"/>
  <c r="T225" i="13"/>
  <c r="U225" i="13" s="1"/>
  <c r="T226" i="13"/>
  <c r="U226" i="13" s="1"/>
  <c r="T227" i="13"/>
  <c r="U227" i="13" s="1"/>
  <c r="T228" i="13"/>
  <c r="U228" i="13" s="1"/>
  <c r="T229" i="13"/>
  <c r="U229" i="13" s="1"/>
  <c r="T230" i="13"/>
  <c r="U230" i="13" s="1"/>
  <c r="T231" i="13"/>
  <c r="U231" i="13" s="1"/>
  <c r="T232" i="13"/>
  <c r="U232" i="13" s="1"/>
  <c r="T233" i="13"/>
  <c r="U233" i="13" s="1"/>
  <c r="T234" i="13"/>
  <c r="U234" i="13" s="1"/>
  <c r="T235" i="13"/>
  <c r="U235" i="13" s="1"/>
  <c r="T236" i="13"/>
  <c r="U236" i="13" s="1"/>
  <c r="T237" i="13"/>
  <c r="U237" i="13" s="1"/>
  <c r="T238" i="13"/>
  <c r="U238" i="13" s="1"/>
  <c r="T239" i="13"/>
  <c r="U239" i="13" s="1"/>
  <c r="T240" i="13"/>
  <c r="U240" i="13" s="1"/>
  <c r="T241" i="13"/>
  <c r="U241" i="13" s="1"/>
  <c r="T242" i="13"/>
  <c r="U242" i="13" s="1"/>
  <c r="T243" i="13"/>
  <c r="U243" i="13" s="1"/>
  <c r="T244" i="13"/>
  <c r="U244" i="13" s="1"/>
  <c r="T245" i="13"/>
  <c r="U245" i="13" s="1"/>
  <c r="T246" i="13"/>
  <c r="U246" i="13" s="1"/>
  <c r="T247" i="13"/>
  <c r="U247" i="13" s="1"/>
  <c r="T248" i="13"/>
  <c r="U248" i="13" s="1"/>
  <c r="T249" i="13"/>
  <c r="U249" i="13" s="1"/>
  <c r="T250" i="13"/>
  <c r="U250" i="13" s="1"/>
  <c r="T251" i="13"/>
  <c r="U251" i="13" s="1"/>
  <c r="T252" i="13"/>
  <c r="U252" i="13" s="1"/>
  <c r="T253" i="13"/>
  <c r="U253" i="13" s="1"/>
  <c r="T254" i="13"/>
  <c r="U254" i="13" s="1"/>
  <c r="T255" i="13"/>
  <c r="U255" i="13" s="1"/>
  <c r="T256" i="13"/>
  <c r="U256" i="13" s="1"/>
  <c r="T257" i="13"/>
  <c r="U257" i="13" s="1"/>
  <c r="T258" i="13"/>
  <c r="U258" i="13" s="1"/>
  <c r="T259" i="13"/>
  <c r="U259" i="13" s="1"/>
  <c r="T260" i="13"/>
  <c r="U260" i="13" s="1"/>
  <c r="T261" i="13"/>
  <c r="U261" i="13" s="1"/>
  <c r="T262" i="13"/>
  <c r="U262" i="13" s="1"/>
  <c r="T263" i="13"/>
  <c r="U263" i="13" s="1"/>
  <c r="T264" i="13"/>
  <c r="U264" i="13" s="1"/>
  <c r="T265" i="13"/>
  <c r="U265" i="13" s="1"/>
  <c r="T266" i="13"/>
  <c r="U266" i="13" s="1"/>
  <c r="T267" i="13"/>
  <c r="U267" i="13" s="1"/>
  <c r="T268" i="13"/>
  <c r="U268" i="13" s="1"/>
  <c r="T269" i="13"/>
  <c r="U269" i="13" s="1"/>
  <c r="T270" i="13"/>
  <c r="U270" i="13" s="1"/>
  <c r="T271" i="13"/>
  <c r="U271" i="13" s="1"/>
  <c r="T272" i="13"/>
  <c r="U272" i="13" s="1"/>
  <c r="T273" i="13"/>
  <c r="U273" i="13" s="1"/>
  <c r="T274" i="13"/>
  <c r="U274" i="13" s="1"/>
  <c r="T275" i="13"/>
  <c r="U275" i="13" s="1"/>
  <c r="T276" i="13"/>
  <c r="U276" i="13" s="1"/>
  <c r="T277" i="13"/>
  <c r="U277" i="13" s="1"/>
  <c r="T278" i="13"/>
  <c r="U278" i="13" s="1"/>
  <c r="T279" i="13"/>
  <c r="U279" i="13" s="1"/>
  <c r="T280" i="13"/>
  <c r="U280" i="13" s="1"/>
  <c r="T281" i="13"/>
  <c r="U281" i="13" s="1"/>
  <c r="T282" i="13"/>
  <c r="U282" i="13" s="1"/>
  <c r="T283" i="13"/>
  <c r="U283" i="13" s="1"/>
  <c r="T284" i="13"/>
  <c r="U284" i="13" s="1"/>
  <c r="T285" i="13"/>
  <c r="U285" i="13" s="1"/>
  <c r="T286" i="13"/>
  <c r="U286" i="13" s="1"/>
  <c r="T287" i="13"/>
  <c r="U287" i="13" s="1"/>
  <c r="T288" i="13"/>
  <c r="U288" i="13" s="1"/>
  <c r="T289" i="13"/>
  <c r="U289" i="13" s="1"/>
  <c r="T290" i="13"/>
  <c r="U290" i="13" s="1"/>
  <c r="T291" i="13"/>
  <c r="U291" i="13" s="1"/>
  <c r="T292" i="13"/>
  <c r="U292" i="13" s="1"/>
  <c r="T293" i="13"/>
  <c r="U293" i="13" s="1"/>
  <c r="T294" i="13"/>
  <c r="U294" i="13" s="1"/>
  <c r="T295" i="13"/>
  <c r="U295" i="13" s="1"/>
  <c r="T296" i="13"/>
  <c r="U296" i="13" s="1"/>
  <c r="T297" i="13"/>
  <c r="U297" i="13" s="1"/>
  <c r="T298" i="13"/>
  <c r="U298" i="13" s="1"/>
  <c r="T299" i="13"/>
  <c r="U299" i="13" s="1"/>
  <c r="T300" i="13"/>
  <c r="U300" i="13" s="1"/>
  <c r="T301" i="13"/>
  <c r="U301" i="13" s="1"/>
  <c r="T302" i="13"/>
  <c r="U302" i="13" s="1"/>
  <c r="T303" i="13"/>
  <c r="U303" i="13" s="1"/>
  <c r="T304" i="13"/>
  <c r="U304" i="13" s="1"/>
  <c r="T305" i="13"/>
  <c r="U305" i="13" s="1"/>
  <c r="I293" i="22" l="1"/>
  <c r="I81" i="22"/>
  <c r="I114" i="22"/>
  <c r="I174" i="22"/>
  <c r="I245" i="22"/>
  <c r="I162" i="22"/>
  <c r="I239" i="22"/>
  <c r="I44" i="22"/>
  <c r="I77" i="22"/>
  <c r="I129" i="22"/>
  <c r="I263" i="22"/>
  <c r="I142" i="22"/>
  <c r="I234" i="22"/>
  <c r="I269" i="22"/>
  <c r="I148" i="22"/>
  <c r="I281" i="22"/>
  <c r="I37" i="22"/>
  <c r="I73" i="22"/>
  <c r="I95" i="22"/>
  <c r="I52" i="22"/>
  <c r="I89" i="22"/>
  <c r="I214" i="22"/>
  <c r="I274" i="22"/>
  <c r="H347" i="22"/>
  <c r="I347" i="22"/>
  <c r="I360" i="22"/>
  <c r="H16" i="22"/>
  <c r="G16" i="22"/>
  <c r="G54" i="22"/>
  <c r="H54" i="22"/>
  <c r="H112" i="22"/>
  <c r="G112" i="22"/>
  <c r="J112" i="22" s="1"/>
  <c r="H166" i="22"/>
  <c r="G166" i="22"/>
  <c r="H199" i="22"/>
  <c r="G199" i="22"/>
  <c r="H243" i="22"/>
  <c r="G243" i="22"/>
  <c r="J243" i="22" s="1"/>
  <c r="G35" i="22"/>
  <c r="J35" i="22" s="1"/>
  <c r="H35" i="22"/>
  <c r="G62" i="22"/>
  <c r="J62" i="22" s="1"/>
  <c r="H62" i="22"/>
  <c r="H130" i="22"/>
  <c r="G130" i="22"/>
  <c r="J130" i="22" s="1"/>
  <c r="H175" i="22"/>
  <c r="G175" i="22"/>
  <c r="J175" i="22" s="1"/>
  <c r="H216" i="22"/>
  <c r="G216" i="22"/>
  <c r="J216" i="22" s="1"/>
  <c r="H260" i="22"/>
  <c r="G260" i="22"/>
  <c r="G36" i="22"/>
  <c r="H36" i="22"/>
  <c r="H72" i="22"/>
  <c r="G72" i="22"/>
  <c r="J72" i="22" s="1"/>
  <c r="H131" i="22"/>
  <c r="G131" i="22"/>
  <c r="H150" i="22"/>
  <c r="G150" i="22"/>
  <c r="J150" i="22" s="1"/>
  <c r="H184" i="22"/>
  <c r="G184" i="22"/>
  <c r="J184" i="22" s="1"/>
  <c r="H208" i="22"/>
  <c r="G208" i="22"/>
  <c r="H244" i="22"/>
  <c r="G244" i="22"/>
  <c r="H271" i="22"/>
  <c r="G271" i="22"/>
  <c r="H10" i="22"/>
  <c r="G10" i="22"/>
  <c r="H18" i="22"/>
  <c r="G18" i="22"/>
  <c r="J18" i="22" s="1"/>
  <c r="H29" i="22"/>
  <c r="G29" i="22"/>
  <c r="J29" i="22" s="1"/>
  <c r="H38" i="22"/>
  <c r="G38" i="22"/>
  <c r="J38" i="22" s="1"/>
  <c r="H47" i="22"/>
  <c r="G47" i="22"/>
  <c r="H56" i="22"/>
  <c r="G56" i="22"/>
  <c r="H64" i="22"/>
  <c r="G64" i="22"/>
  <c r="J64" i="22" s="1"/>
  <c r="H74" i="22"/>
  <c r="G74" i="22"/>
  <c r="H84" i="22"/>
  <c r="G84" i="22"/>
  <c r="H93" i="22"/>
  <c r="G93" i="22"/>
  <c r="J93" i="22" s="1"/>
  <c r="H122" i="22"/>
  <c r="G122" i="22"/>
  <c r="H133" i="22"/>
  <c r="G133" i="22"/>
  <c r="H141" i="22"/>
  <c r="G141" i="22"/>
  <c r="H151" i="22"/>
  <c r="G151" i="22"/>
  <c r="J151" i="22" s="1"/>
  <c r="H160" i="22"/>
  <c r="G160" i="22"/>
  <c r="J160" i="22" s="1"/>
  <c r="H168" i="22"/>
  <c r="G168" i="22"/>
  <c r="H177" i="22"/>
  <c r="G177" i="22"/>
  <c r="H185" i="22"/>
  <c r="G185" i="22"/>
  <c r="H193" i="22"/>
  <c r="G193" i="22"/>
  <c r="J193" i="22" s="1"/>
  <c r="H201" i="22"/>
  <c r="G201" i="22"/>
  <c r="J201" i="22" s="1"/>
  <c r="H209" i="22"/>
  <c r="G209" i="22"/>
  <c r="H218" i="22"/>
  <c r="G218" i="22"/>
  <c r="J218" i="22" s="1"/>
  <c r="H227" i="22"/>
  <c r="G227" i="22"/>
  <c r="H236" i="22"/>
  <c r="G236" i="22"/>
  <c r="H246" i="22"/>
  <c r="G246" i="22"/>
  <c r="H254" i="22"/>
  <c r="G254" i="22"/>
  <c r="H262" i="22"/>
  <c r="G262" i="22"/>
  <c r="J262" i="22" s="1"/>
  <c r="H272" i="22"/>
  <c r="G272" i="22"/>
  <c r="H282" i="22"/>
  <c r="G282" i="22"/>
  <c r="H292" i="22"/>
  <c r="G292" i="22"/>
  <c r="G11" i="22"/>
  <c r="J11" i="22" s="1"/>
  <c r="H11" i="22"/>
  <c r="G19" i="22"/>
  <c r="H19" i="22"/>
  <c r="H30" i="22"/>
  <c r="G30" i="22"/>
  <c r="J30" i="22" s="1"/>
  <c r="H39" i="22"/>
  <c r="G39" i="22"/>
  <c r="J39" i="22" s="1"/>
  <c r="H48" i="22"/>
  <c r="G48" i="22"/>
  <c r="J48" i="22" s="1"/>
  <c r="H57" i="22"/>
  <c r="G57" i="22"/>
  <c r="H65" i="22"/>
  <c r="G65" i="22"/>
  <c r="H75" i="22"/>
  <c r="G75" i="22"/>
  <c r="J75" i="22" s="1"/>
  <c r="H85" i="22"/>
  <c r="G85" i="22"/>
  <c r="J85" i="22" s="1"/>
  <c r="H94" i="22"/>
  <c r="G94" i="22"/>
  <c r="H123" i="22"/>
  <c r="G123" i="22"/>
  <c r="H134" i="22"/>
  <c r="G134" i="22"/>
  <c r="H143" i="22"/>
  <c r="G143" i="22"/>
  <c r="H152" i="22"/>
  <c r="G152" i="22"/>
  <c r="H161" i="22"/>
  <c r="G161" i="22"/>
  <c r="J161" i="22" s="1"/>
  <c r="H169" i="22"/>
  <c r="G169" i="22"/>
  <c r="J169" i="22" s="1"/>
  <c r="H178" i="22"/>
  <c r="G178" i="22"/>
  <c r="H186" i="22"/>
  <c r="G186" i="22"/>
  <c r="H194" i="22"/>
  <c r="G194" i="22"/>
  <c r="G202" i="22"/>
  <c r="J202" i="22" s="1"/>
  <c r="H202" i="22"/>
  <c r="G210" i="22"/>
  <c r="J210" i="22" s="1"/>
  <c r="H210" i="22"/>
  <c r="G220" i="22"/>
  <c r="H220" i="22"/>
  <c r="G228" i="22"/>
  <c r="H228" i="22"/>
  <c r="G237" i="22"/>
  <c r="H237" i="22"/>
  <c r="H247" i="22"/>
  <c r="G247" i="22"/>
  <c r="G255" i="22"/>
  <c r="H255" i="22"/>
  <c r="G264" i="22"/>
  <c r="H264" i="22"/>
  <c r="G273" i="22"/>
  <c r="H273" i="22"/>
  <c r="G285" i="22"/>
  <c r="H285" i="22"/>
  <c r="H7" i="22"/>
  <c r="G7" i="22"/>
  <c r="G71" i="22"/>
  <c r="H71" i="22"/>
  <c r="H139" i="22"/>
  <c r="G139" i="22"/>
  <c r="H191" i="22"/>
  <c r="G191" i="22"/>
  <c r="J191" i="22" s="1"/>
  <c r="H225" i="22"/>
  <c r="G225" i="22"/>
  <c r="H279" i="22"/>
  <c r="G279" i="22"/>
  <c r="G28" i="22"/>
  <c r="H28" i="22"/>
  <c r="G63" i="22"/>
  <c r="J63" i="22" s="1"/>
  <c r="H63" i="22"/>
  <c r="H121" i="22"/>
  <c r="G121" i="22"/>
  <c r="H167" i="22"/>
  <c r="G167" i="22"/>
  <c r="H200" i="22"/>
  <c r="G200" i="22"/>
  <c r="J200" i="22" s="1"/>
  <c r="H235" i="22"/>
  <c r="G235" i="22"/>
  <c r="J235" i="22" s="1"/>
  <c r="H280" i="22"/>
  <c r="G280" i="22"/>
  <c r="G12" i="22"/>
  <c r="H12" i="22"/>
  <c r="H20" i="22"/>
  <c r="G20" i="22"/>
  <c r="J20" i="22" s="1"/>
  <c r="H31" i="22"/>
  <c r="G31" i="22"/>
  <c r="J31" i="22" s="1"/>
  <c r="H40" i="22"/>
  <c r="G40" i="22"/>
  <c r="H49" i="22"/>
  <c r="G49" i="22"/>
  <c r="J49" i="22" s="1"/>
  <c r="H58" i="22"/>
  <c r="G58" i="22"/>
  <c r="H66" i="22"/>
  <c r="G66" i="22"/>
  <c r="J66" i="22" s="1"/>
  <c r="H76" i="22"/>
  <c r="G76" i="22"/>
  <c r="H86" i="22"/>
  <c r="G86" i="22"/>
  <c r="G108" i="22"/>
  <c r="H108" i="22"/>
  <c r="H124" i="22"/>
  <c r="G124" i="22"/>
  <c r="J124" i="22" s="1"/>
  <c r="H135" i="22"/>
  <c r="G135" i="22"/>
  <c r="H144" i="22"/>
  <c r="G144" i="22"/>
  <c r="J144" i="22" s="1"/>
  <c r="H153" i="22"/>
  <c r="G153" i="22"/>
  <c r="J153" i="22" s="1"/>
  <c r="H170" i="22"/>
  <c r="G170" i="22"/>
  <c r="H179" i="22"/>
  <c r="G179" i="22"/>
  <c r="H187" i="22"/>
  <c r="G187" i="22"/>
  <c r="J187" i="22" s="1"/>
  <c r="H195" i="22"/>
  <c r="G195" i="22"/>
  <c r="H203" i="22"/>
  <c r="G203" i="22"/>
  <c r="J203" i="22" s="1"/>
  <c r="H211" i="22"/>
  <c r="G211" i="22"/>
  <c r="J211" i="22" s="1"/>
  <c r="H221" i="22"/>
  <c r="G221" i="22"/>
  <c r="H229" i="22"/>
  <c r="G229" i="22"/>
  <c r="H238" i="22"/>
  <c r="G238" i="22"/>
  <c r="J238" i="22" s="1"/>
  <c r="H248" i="22"/>
  <c r="G248" i="22"/>
  <c r="H256" i="22"/>
  <c r="G256" i="22"/>
  <c r="H265" i="22"/>
  <c r="G265" i="22"/>
  <c r="H275" i="22"/>
  <c r="G275" i="22"/>
  <c r="J275" i="22" s="1"/>
  <c r="H286" i="22"/>
  <c r="G286" i="22"/>
  <c r="G27" i="22"/>
  <c r="H27" i="22"/>
  <c r="H82" i="22"/>
  <c r="G82" i="22"/>
  <c r="H149" i="22"/>
  <c r="G149" i="22"/>
  <c r="H183" i="22"/>
  <c r="G183" i="22"/>
  <c r="J183" i="22" s="1"/>
  <c r="H233" i="22"/>
  <c r="G233" i="22"/>
  <c r="J233" i="22" s="1"/>
  <c r="H270" i="22"/>
  <c r="G270" i="22"/>
  <c r="H8" i="22"/>
  <c r="G8" i="22"/>
  <c r="J8" i="22" s="1"/>
  <c r="H46" i="22"/>
  <c r="G46" i="22"/>
  <c r="H83" i="22"/>
  <c r="G83" i="22"/>
  <c r="H140" i="22"/>
  <c r="G140" i="22"/>
  <c r="H176" i="22"/>
  <c r="G176" i="22"/>
  <c r="J176" i="22" s="1"/>
  <c r="H217" i="22"/>
  <c r="G217" i="22"/>
  <c r="H253" i="22"/>
  <c r="G253" i="22"/>
  <c r="J253" i="22" s="1"/>
  <c r="H13" i="22"/>
  <c r="G13" i="22"/>
  <c r="H21" i="22"/>
  <c r="G21" i="22"/>
  <c r="H32" i="22"/>
  <c r="G32" i="22"/>
  <c r="H41" i="22"/>
  <c r="G41" i="22"/>
  <c r="H50" i="22"/>
  <c r="G50" i="22"/>
  <c r="H59" i="22"/>
  <c r="G59" i="22"/>
  <c r="H67" i="22"/>
  <c r="G67" i="22"/>
  <c r="H78" i="22"/>
  <c r="G78" i="22"/>
  <c r="J78" i="22" s="1"/>
  <c r="H87" i="22"/>
  <c r="G87" i="22"/>
  <c r="H109" i="22"/>
  <c r="G109" i="22"/>
  <c r="J109" i="22" s="1"/>
  <c r="G125" i="22"/>
  <c r="J125" i="22" s="1"/>
  <c r="H125" i="22"/>
  <c r="G136" i="22"/>
  <c r="H136" i="22"/>
  <c r="G145" i="22"/>
  <c r="H145" i="22"/>
  <c r="G154" i="22"/>
  <c r="J154" i="22" s="1"/>
  <c r="H154" i="22"/>
  <c r="G163" i="22"/>
  <c r="J163" i="22" s="1"/>
  <c r="H163" i="22"/>
  <c r="H171" i="22"/>
  <c r="G171" i="22"/>
  <c r="G180" i="22"/>
  <c r="H180" i="22"/>
  <c r="G188" i="22"/>
  <c r="H188" i="22"/>
  <c r="G196" i="22"/>
  <c r="H196" i="22"/>
  <c r="G204" i="22"/>
  <c r="J204" i="22" s="1"/>
  <c r="H204" i="22"/>
  <c r="G212" i="22"/>
  <c r="H212" i="22"/>
  <c r="G222" i="22"/>
  <c r="H222" i="22"/>
  <c r="G230" i="22"/>
  <c r="H230" i="22"/>
  <c r="G240" i="22"/>
  <c r="H240" i="22"/>
  <c r="G249" i="22"/>
  <c r="H249" i="22"/>
  <c r="G257" i="22"/>
  <c r="H257" i="22"/>
  <c r="G266" i="22"/>
  <c r="H266" i="22"/>
  <c r="G276" i="22"/>
  <c r="J276" i="22" s="1"/>
  <c r="H276" i="22"/>
  <c r="H287" i="22"/>
  <c r="G287" i="22"/>
  <c r="H14" i="22"/>
  <c r="G14" i="22"/>
  <c r="J14" i="22" s="1"/>
  <c r="H22" i="22"/>
  <c r="G22" i="22"/>
  <c r="H33" i="22"/>
  <c r="G33" i="22"/>
  <c r="H42" i="22"/>
  <c r="G42" i="22"/>
  <c r="H51" i="22"/>
  <c r="G51" i="22"/>
  <c r="H60" i="22"/>
  <c r="G60" i="22"/>
  <c r="H68" i="22"/>
  <c r="G68" i="22"/>
  <c r="J68" i="22" s="1"/>
  <c r="H79" i="22"/>
  <c r="G79" i="22"/>
  <c r="H88" i="22"/>
  <c r="G88" i="22"/>
  <c r="J88" i="22" s="1"/>
  <c r="H110" i="22"/>
  <c r="G110" i="22"/>
  <c r="H126" i="22"/>
  <c r="G126" i="22"/>
  <c r="J126" i="22" s="1"/>
  <c r="G137" i="22"/>
  <c r="H137" i="22"/>
  <c r="H146" i="22"/>
  <c r="G146" i="22"/>
  <c r="G155" i="22"/>
  <c r="J155" i="22" s="1"/>
  <c r="H155" i="22"/>
  <c r="G164" i="22"/>
  <c r="H164" i="22"/>
  <c r="H172" i="22"/>
  <c r="G172" i="22"/>
  <c r="G181" i="22"/>
  <c r="J181" i="22" s="1"/>
  <c r="H181" i="22"/>
  <c r="G189" i="22"/>
  <c r="H189" i="22"/>
  <c r="G197" i="22"/>
  <c r="H197" i="22"/>
  <c r="H205" i="22"/>
  <c r="G205" i="22"/>
  <c r="H213" i="22"/>
  <c r="G213" i="22"/>
  <c r="H223" i="22"/>
  <c r="G223" i="22"/>
  <c r="H231" i="22"/>
  <c r="G231" i="22"/>
  <c r="H241" i="22"/>
  <c r="G241" i="22"/>
  <c r="J241" i="22" s="1"/>
  <c r="H250" i="22"/>
  <c r="G250" i="22"/>
  <c r="J250" i="22" s="1"/>
  <c r="H258" i="22"/>
  <c r="G258" i="22"/>
  <c r="H267" i="22"/>
  <c r="G267" i="22"/>
  <c r="J267" i="22" s="1"/>
  <c r="H277" i="22"/>
  <c r="G277" i="22"/>
  <c r="J277" i="22" s="1"/>
  <c r="H288" i="22"/>
  <c r="G288" i="22"/>
  <c r="J288" i="22" s="1"/>
  <c r="H45" i="22"/>
  <c r="G45" i="22"/>
  <c r="G91" i="22"/>
  <c r="H91" i="22"/>
  <c r="H158" i="22"/>
  <c r="G158" i="22"/>
  <c r="J158" i="22" s="1"/>
  <c r="H207" i="22"/>
  <c r="G207" i="22"/>
  <c r="H252" i="22"/>
  <c r="G252" i="22"/>
  <c r="H290" i="22"/>
  <c r="G290" i="22"/>
  <c r="J290" i="22" s="1"/>
  <c r="H17" i="22"/>
  <c r="G17" i="22"/>
  <c r="G55" i="22"/>
  <c r="H55" i="22"/>
  <c r="H92" i="22"/>
  <c r="G92" i="22"/>
  <c r="J92" i="22" s="1"/>
  <c r="H159" i="22"/>
  <c r="G159" i="22"/>
  <c r="J159" i="22" s="1"/>
  <c r="H192" i="22"/>
  <c r="G192" i="22"/>
  <c r="H226" i="22"/>
  <c r="G226" i="22"/>
  <c r="H261" i="22"/>
  <c r="G261" i="22"/>
  <c r="J261" i="22" s="1"/>
  <c r="G291" i="22"/>
  <c r="H291" i="22"/>
  <c r="H15" i="22"/>
  <c r="G15" i="22"/>
  <c r="J15" i="22" s="1"/>
  <c r="H23" i="22"/>
  <c r="G23" i="22"/>
  <c r="H34" i="22"/>
  <c r="G34" i="22"/>
  <c r="J34" i="22" s="1"/>
  <c r="H43" i="22"/>
  <c r="G43" i="22"/>
  <c r="J43" i="22" s="1"/>
  <c r="H53" i="22"/>
  <c r="G53" i="22"/>
  <c r="H61" i="22"/>
  <c r="G61" i="22"/>
  <c r="H69" i="22"/>
  <c r="G69" i="22"/>
  <c r="J69" i="22" s="1"/>
  <c r="H80" i="22"/>
  <c r="G80" i="22"/>
  <c r="J80" i="22" s="1"/>
  <c r="G90" i="22"/>
  <c r="J90" i="22" s="1"/>
  <c r="H90" i="22"/>
  <c r="H111" i="22"/>
  <c r="G111" i="22"/>
  <c r="H127" i="22"/>
  <c r="G127" i="22"/>
  <c r="H138" i="22"/>
  <c r="G138" i="22"/>
  <c r="J138" i="22" s="1"/>
  <c r="H147" i="22"/>
  <c r="G147" i="22"/>
  <c r="H157" i="22"/>
  <c r="G157" i="22"/>
  <c r="H165" i="22"/>
  <c r="G165" i="22"/>
  <c r="J165" i="22" s="1"/>
  <c r="H173" i="22"/>
  <c r="G173" i="22"/>
  <c r="J173" i="22" s="1"/>
  <c r="H182" i="22"/>
  <c r="G182" i="22"/>
  <c r="J182" i="22" s="1"/>
  <c r="H190" i="22"/>
  <c r="G190" i="22"/>
  <c r="J190" i="22" s="1"/>
  <c r="H198" i="22"/>
  <c r="G198" i="22"/>
  <c r="H206" i="22"/>
  <c r="G206" i="22"/>
  <c r="H215" i="22"/>
  <c r="G215" i="22"/>
  <c r="H224" i="22"/>
  <c r="G224" i="22"/>
  <c r="J224" i="22" s="1"/>
  <c r="H232" i="22"/>
  <c r="G232" i="22"/>
  <c r="H242" i="22"/>
  <c r="G242" i="22"/>
  <c r="J242" i="22" s="1"/>
  <c r="H251" i="22"/>
  <c r="G251" i="22"/>
  <c r="H259" i="22"/>
  <c r="G259" i="22"/>
  <c r="H268" i="22"/>
  <c r="G268" i="22"/>
  <c r="H278" i="22"/>
  <c r="G278" i="22"/>
  <c r="H289" i="22"/>
  <c r="G289" i="22"/>
  <c r="I151" i="22"/>
  <c r="J244" i="22"/>
  <c r="J168" i="22"/>
  <c r="J217" i="22"/>
  <c r="J280" i="22"/>
  <c r="J291" i="22"/>
  <c r="J133" i="22"/>
  <c r="J179" i="22"/>
  <c r="J50" i="22"/>
  <c r="J237" i="22"/>
  <c r="J74" i="22"/>
  <c r="J260" i="22"/>
  <c r="J186" i="22"/>
  <c r="J225" i="22"/>
  <c r="J131" i="22"/>
  <c r="J46" i="22"/>
  <c r="J71" i="22"/>
  <c r="J118" i="22"/>
  <c r="J137" i="22"/>
  <c r="J101" i="22"/>
  <c r="J120" i="22"/>
  <c r="J7" i="22"/>
  <c r="J292" i="22"/>
  <c r="J166" i="22"/>
  <c r="J286" i="22"/>
  <c r="J195" i="22"/>
  <c r="J59" i="22"/>
  <c r="J67" i="22"/>
  <c r="J26" i="22"/>
  <c r="J108" i="22"/>
  <c r="J136" i="22"/>
  <c r="J27" i="22"/>
  <c r="J99" i="22"/>
  <c r="J147" i="22"/>
  <c r="J12" i="22"/>
  <c r="J28" i="22"/>
  <c r="J36" i="22"/>
  <c r="J146" i="22"/>
  <c r="J106" i="22"/>
  <c r="J47" i="22"/>
  <c r="J91" i="22"/>
  <c r="J21" i="22"/>
  <c r="J128" i="22"/>
  <c r="J102" i="22"/>
  <c r="J98" i="22"/>
  <c r="J110" i="22"/>
  <c r="J65" i="22"/>
  <c r="J56" i="22"/>
  <c r="J100" i="22"/>
  <c r="J13" i="22"/>
  <c r="J54" i="22"/>
  <c r="J70" i="22"/>
  <c r="J117" i="22"/>
  <c r="J119" i="22" s="1"/>
  <c r="J122" i="22"/>
  <c r="J6" i="22"/>
  <c r="J296" i="22"/>
  <c r="J320" i="22"/>
  <c r="J334" i="22"/>
  <c r="J113" i="22"/>
  <c r="J283" i="22"/>
  <c r="J97" i="22"/>
  <c r="J316" i="22"/>
  <c r="J302" i="22"/>
  <c r="J335" i="22"/>
  <c r="J96" i="22"/>
  <c r="J301" i="22"/>
  <c r="J340" i="22"/>
  <c r="J104" i="22"/>
  <c r="J342" i="22"/>
  <c r="J338" i="22"/>
  <c r="J304" i="22"/>
  <c r="J87" i="22"/>
  <c r="J306" i="22"/>
  <c r="J344" i="22"/>
  <c r="J336" i="22"/>
  <c r="J328" i="22"/>
  <c r="J330" i="22"/>
  <c r="J25" i="22"/>
  <c r="J221" i="22"/>
  <c r="J32" i="22"/>
  <c r="J143" i="22"/>
  <c r="J33" i="22"/>
  <c r="J268" i="22"/>
  <c r="J356" i="22"/>
  <c r="J353" i="22"/>
  <c r="J348" i="22"/>
  <c r="H274" i="21"/>
  <c r="I274" i="21"/>
  <c r="D338" i="21"/>
  <c r="D340" i="21" s="1"/>
  <c r="H337" i="21"/>
  <c r="J28" i="21"/>
  <c r="J32" i="21"/>
  <c r="J36" i="21"/>
  <c r="J70" i="21"/>
  <c r="J81" i="21"/>
  <c r="J68" i="21"/>
  <c r="J77" i="21"/>
  <c r="J46" i="21"/>
  <c r="J53" i="21"/>
  <c r="J62" i="21"/>
  <c r="J80" i="21"/>
  <c r="J104" i="21"/>
  <c r="J143" i="21"/>
  <c r="J131" i="21"/>
  <c r="J105" i="21"/>
  <c r="J109" i="21"/>
  <c r="J114" i="21"/>
  <c r="J115" i="21"/>
  <c r="J118" i="21"/>
  <c r="J134" i="21"/>
  <c r="J159" i="21"/>
  <c r="J167" i="21"/>
  <c r="J163" i="21"/>
  <c r="J172" i="21"/>
  <c r="J130" i="21"/>
  <c r="J141" i="21"/>
  <c r="J223" i="21"/>
  <c r="J224" i="21"/>
  <c r="J202" i="21"/>
  <c r="J246" i="21"/>
  <c r="J312" i="21"/>
  <c r="I337" i="21"/>
  <c r="J329" i="21"/>
  <c r="J285" i="21"/>
  <c r="J304" i="21"/>
  <c r="J265" i="21"/>
  <c r="H323" i="21"/>
  <c r="H338" i="21" s="1"/>
  <c r="H340" i="21" s="1"/>
  <c r="J277" i="21"/>
  <c r="J296" i="21"/>
  <c r="J317" i="21"/>
  <c r="J334" i="21"/>
  <c r="J275" i="21"/>
  <c r="J288" i="21"/>
  <c r="J309" i="21"/>
  <c r="J326" i="21"/>
  <c r="J301" i="21"/>
  <c r="J280" i="21"/>
  <c r="J293" i="21"/>
  <c r="J320" i="21"/>
  <c r="J322" i="21"/>
  <c r="H52" i="22" l="1"/>
  <c r="H37" i="22"/>
  <c r="H174" i="22"/>
  <c r="H234" i="22"/>
  <c r="H77" i="22"/>
  <c r="J107" i="22"/>
  <c r="H162" i="22"/>
  <c r="H156" i="22"/>
  <c r="H281" i="22"/>
  <c r="H239" i="22"/>
  <c r="H148" i="22"/>
  <c r="I156" i="22"/>
  <c r="I294" i="22" s="1"/>
  <c r="I295" i="22" s="1"/>
  <c r="H129" i="22"/>
  <c r="H44" i="22"/>
  <c r="H95" i="22"/>
  <c r="H114" i="22"/>
  <c r="H219" i="22"/>
  <c r="H73" i="22"/>
  <c r="H274" i="22"/>
  <c r="H89" i="22"/>
  <c r="H214" i="22"/>
  <c r="H245" i="22"/>
  <c r="H269" i="22"/>
  <c r="J132" i="22"/>
  <c r="H142" i="22"/>
  <c r="H81" i="22"/>
  <c r="H293" i="22"/>
  <c r="H263" i="22"/>
  <c r="H132" i="22"/>
  <c r="J347" i="22"/>
  <c r="J205" i="22"/>
  <c r="J172" i="22"/>
  <c r="J79" i="22"/>
  <c r="J81" i="22" s="1"/>
  <c r="J42" i="22"/>
  <c r="J287" i="22"/>
  <c r="J257" i="22"/>
  <c r="J222" i="22"/>
  <c r="J58" i="22"/>
  <c r="J247" i="22"/>
  <c r="J178" i="22"/>
  <c r="J231" i="22"/>
  <c r="J248" i="22"/>
  <c r="J285" i="22"/>
  <c r="J227" i="22"/>
  <c r="J252" i="22"/>
  <c r="J45" i="22"/>
  <c r="J249" i="22"/>
  <c r="J188" i="22"/>
  <c r="J86" i="22"/>
  <c r="J139" i="22"/>
  <c r="J134" i="22"/>
  <c r="J142" i="22" s="1"/>
  <c r="J127" i="22"/>
  <c r="J206" i="22"/>
  <c r="J258" i="22"/>
  <c r="J223" i="22"/>
  <c r="J197" i="22"/>
  <c r="J164" i="22"/>
  <c r="J212" i="22"/>
  <c r="J149" i="22"/>
  <c r="J167" i="22"/>
  <c r="J279" i="22"/>
  <c r="J273" i="22"/>
  <c r="J254" i="22"/>
  <c r="J185" i="22"/>
  <c r="J208" i="22"/>
  <c r="J289" i="22"/>
  <c r="J259" i="22"/>
  <c r="J157" i="22"/>
  <c r="J162" i="22" s="1"/>
  <c r="J61" i="22"/>
  <c r="J23" i="22"/>
  <c r="J226" i="22"/>
  <c r="J207" i="22"/>
  <c r="J60" i="22"/>
  <c r="J22" i="22"/>
  <c r="J240" i="22"/>
  <c r="J245" i="22" s="1"/>
  <c r="J140" i="22"/>
  <c r="J170" i="22"/>
  <c r="J135" i="22"/>
  <c r="J76" i="22"/>
  <c r="J77" i="22" s="1"/>
  <c r="J40" i="22"/>
  <c r="J44" i="22" s="1"/>
  <c r="J194" i="22"/>
  <c r="J123" i="22"/>
  <c r="J198" i="22"/>
  <c r="J251" i="22"/>
  <c r="J55" i="22"/>
  <c r="J189" i="22"/>
  <c r="J180" i="22"/>
  <c r="J145" i="22"/>
  <c r="J148" i="22" s="1"/>
  <c r="J82" i="22"/>
  <c r="J265" i="22"/>
  <c r="J229" i="22"/>
  <c r="J121" i="22"/>
  <c r="J264" i="22"/>
  <c r="J228" i="22"/>
  <c r="J246" i="22"/>
  <c r="J209" i="22"/>
  <c r="J177" i="22"/>
  <c r="J141" i="22"/>
  <c r="J84" i="22"/>
  <c r="J10" i="22"/>
  <c r="J199" i="22"/>
  <c r="J16" i="22"/>
  <c r="J215" i="22"/>
  <c r="J219" i="22" s="1"/>
  <c r="J53" i="22"/>
  <c r="J192" i="22"/>
  <c r="J17" i="22"/>
  <c r="J51" i="22"/>
  <c r="J266" i="22"/>
  <c r="J230" i="22"/>
  <c r="J171" i="22"/>
  <c r="J41" i="22"/>
  <c r="J83" i="22"/>
  <c r="J270" i="22"/>
  <c r="J152" i="22"/>
  <c r="J94" i="22"/>
  <c r="J95" i="22" s="1"/>
  <c r="J57" i="22"/>
  <c r="J282" i="22"/>
  <c r="J278" i="22"/>
  <c r="J281" i="22" s="1"/>
  <c r="J111" i="22"/>
  <c r="J114" i="22" s="1"/>
  <c r="J232" i="22"/>
  <c r="J213" i="22"/>
  <c r="J196" i="22"/>
  <c r="J256" i="22"/>
  <c r="J255" i="22"/>
  <c r="J220" i="22"/>
  <c r="J19" i="22"/>
  <c r="J272" i="22"/>
  <c r="J236" i="22"/>
  <c r="J239" i="22" s="1"/>
  <c r="J271" i="22"/>
  <c r="J360" i="22"/>
  <c r="J274" i="21"/>
  <c r="J337" i="21"/>
  <c r="K337" i="21" s="1"/>
  <c r="K330" i="21"/>
  <c r="K333" i="21"/>
  <c r="K336" i="21"/>
  <c r="K327" i="21"/>
  <c r="K331" i="21"/>
  <c r="K328" i="21"/>
  <c r="K332" i="21"/>
  <c r="K324" i="21"/>
  <c r="K335" i="21"/>
  <c r="K326" i="21"/>
  <c r="J323" i="21"/>
  <c r="K285" i="21" s="1"/>
  <c r="K334" i="21"/>
  <c r="T338" i="21"/>
  <c r="K329" i="21"/>
  <c r="I338" i="21"/>
  <c r="J129" i="22" l="1"/>
  <c r="J156" i="22"/>
  <c r="J214" i="22"/>
  <c r="J174" i="22"/>
  <c r="J263" i="22"/>
  <c r="H294" i="22"/>
  <c r="H295" i="22" s="1"/>
  <c r="H361" i="22" s="1"/>
  <c r="H363" i="22" s="1"/>
  <c r="K365" i="22" s="1"/>
  <c r="L365" i="22" s="1"/>
  <c r="J52" i="22"/>
  <c r="J293" i="22"/>
  <c r="J269" i="22"/>
  <c r="J73" i="22"/>
  <c r="I361" i="22"/>
  <c r="M366" i="22" s="1"/>
  <c r="M180" i="22" s="1"/>
  <c r="J37" i="22"/>
  <c r="J234" i="22"/>
  <c r="J274" i="22"/>
  <c r="J89" i="22"/>
  <c r="K347" i="22"/>
  <c r="K297" i="22"/>
  <c r="K318" i="22"/>
  <c r="K300" i="22"/>
  <c r="K346" i="22"/>
  <c r="K299" i="22"/>
  <c r="K329" i="22"/>
  <c r="K307" i="22"/>
  <c r="K303" i="22"/>
  <c r="K308" i="22"/>
  <c r="K321" i="22"/>
  <c r="K309" i="22"/>
  <c r="K345" i="22"/>
  <c r="K322" i="22"/>
  <c r="K310" i="22"/>
  <c r="K325" i="22"/>
  <c r="K311" i="22"/>
  <c r="K323" i="22"/>
  <c r="K324" i="22"/>
  <c r="K312" i="22"/>
  <c r="K327" i="22"/>
  <c r="K313" i="22"/>
  <c r="K319" i="22"/>
  <c r="K326" i="22"/>
  <c r="K314" i="22"/>
  <c r="K343" i="22"/>
  <c r="K315" i="22"/>
  <c r="K331" i="22"/>
  <c r="K317" i="22"/>
  <c r="K332" i="22"/>
  <c r="K305" i="22"/>
  <c r="K333" i="22"/>
  <c r="K341" i="22"/>
  <c r="K298" i="22"/>
  <c r="K339" i="22"/>
  <c r="K337" i="22"/>
  <c r="K296" i="22"/>
  <c r="K306" i="22"/>
  <c r="K340" i="22"/>
  <c r="K338" i="22"/>
  <c r="K320" i="22"/>
  <c r="K344" i="22"/>
  <c r="K336" i="22"/>
  <c r="K302" i="22"/>
  <c r="K304" i="22"/>
  <c r="K316" i="22"/>
  <c r="K334" i="22"/>
  <c r="K342" i="22"/>
  <c r="K335" i="22"/>
  <c r="K328" i="22"/>
  <c r="K330" i="22"/>
  <c r="K301" i="22"/>
  <c r="K355" i="22"/>
  <c r="K360" i="22"/>
  <c r="K356" i="22"/>
  <c r="K349" i="22"/>
  <c r="K357" i="22"/>
  <c r="K350" i="22"/>
  <c r="K358" i="22"/>
  <c r="K351" i="22"/>
  <c r="K359" i="22"/>
  <c r="K352" i="22"/>
  <c r="K353" i="22"/>
  <c r="K354" i="22"/>
  <c r="K348" i="22"/>
  <c r="Q363" i="22"/>
  <c r="L366" i="22"/>
  <c r="L367" i="22"/>
  <c r="K312" i="21"/>
  <c r="K301" i="21"/>
  <c r="K317" i="21"/>
  <c r="K293" i="21"/>
  <c r="K309" i="21"/>
  <c r="K325" i="21"/>
  <c r="K277" i="21"/>
  <c r="K275" i="21"/>
  <c r="K304" i="21"/>
  <c r="K322" i="21"/>
  <c r="K296" i="21"/>
  <c r="K320" i="21"/>
  <c r="V274" i="21"/>
  <c r="K262" i="21"/>
  <c r="K266" i="21"/>
  <c r="K270" i="21"/>
  <c r="K271" i="21"/>
  <c r="K252" i="21"/>
  <c r="K250" i="21"/>
  <c r="K257" i="21"/>
  <c r="K261" i="21"/>
  <c r="K248" i="21"/>
  <c r="K243" i="21"/>
  <c r="K236" i="21"/>
  <c r="K231" i="21"/>
  <c r="K256" i="21"/>
  <c r="K253" i="21"/>
  <c r="K249" i="21"/>
  <c r="K244" i="21"/>
  <c r="K226" i="21"/>
  <c r="K240" i="21"/>
  <c r="K222" i="21"/>
  <c r="K200" i="21"/>
  <c r="K169" i="21"/>
  <c r="K225" i="21"/>
  <c r="K221" i="21"/>
  <c r="K205" i="21"/>
  <c r="K201" i="21"/>
  <c r="K197" i="21"/>
  <c r="K192" i="21"/>
  <c r="K180" i="21"/>
  <c r="K230" i="21"/>
  <c r="K227" i="21"/>
  <c r="K220" i="21"/>
  <c r="K193" i="21"/>
  <c r="K214" i="21"/>
  <c r="K210" i="21"/>
  <c r="K124" i="21"/>
  <c r="K166" i="21"/>
  <c r="K137" i="21"/>
  <c r="K117" i="21"/>
  <c r="K153" i="21"/>
  <c r="K161" i="21"/>
  <c r="K129" i="21"/>
  <c r="K111" i="21"/>
  <c r="K107" i="21"/>
  <c r="K116" i="21"/>
  <c r="K101" i="21"/>
  <c r="K142" i="21"/>
  <c r="K92" i="21"/>
  <c r="K9" i="21"/>
  <c r="K7" i="21"/>
  <c r="K22" i="21"/>
  <c r="K21" i="21"/>
  <c r="K10" i="21"/>
  <c r="K55" i="21"/>
  <c r="K97" i="21"/>
  <c r="K59" i="21"/>
  <c r="K84" i="21"/>
  <c r="K168" i="21"/>
  <c r="K144" i="21"/>
  <c r="K206" i="21"/>
  <c r="K123" i="21"/>
  <c r="K211" i="21"/>
  <c r="K165" i="21"/>
  <c r="K218" i="21"/>
  <c r="K151" i="21"/>
  <c r="K195" i="21"/>
  <c r="K241" i="21"/>
  <c r="K213" i="21"/>
  <c r="K235" i="21"/>
  <c r="K245" i="21"/>
  <c r="K17" i="21"/>
  <c r="K31" i="21"/>
  <c r="K15" i="21"/>
  <c r="K60" i="21"/>
  <c r="K85" i="21"/>
  <c r="K18" i="21"/>
  <c r="K74" i="21"/>
  <c r="K54" i="21"/>
  <c r="K5" i="21"/>
  <c r="K119" i="21"/>
  <c r="K86" i="21"/>
  <c r="K90" i="21"/>
  <c r="K82" i="21"/>
  <c r="K91" i="21"/>
  <c r="K110" i="21"/>
  <c r="K99" i="21"/>
  <c r="K87" i="21"/>
  <c r="K120" i="21"/>
  <c r="K95" i="21"/>
  <c r="K127" i="21"/>
  <c r="K147" i="21"/>
  <c r="K185" i="21"/>
  <c r="K207" i="21"/>
  <c r="K212" i="21"/>
  <c r="K126" i="21"/>
  <c r="K155" i="21"/>
  <c r="K204" i="21"/>
  <c r="K150" i="21"/>
  <c r="K247" i="21"/>
  <c r="K237" i="21"/>
  <c r="K58" i="21"/>
  <c r="K23" i="21"/>
  <c r="K29" i="21"/>
  <c r="K11" i="21"/>
  <c r="K25" i="21"/>
  <c r="K56" i="21"/>
  <c r="K45" i="21"/>
  <c r="K93" i="21"/>
  <c r="K88" i="21"/>
  <c r="K98" i="21"/>
  <c r="K122" i="21"/>
  <c r="K103" i="21"/>
  <c r="K128" i="21"/>
  <c r="K156" i="21"/>
  <c r="K186" i="21"/>
  <c r="K154" i="21"/>
  <c r="K146" i="21"/>
  <c r="K208" i="21"/>
  <c r="K175" i="21"/>
  <c r="K187" i="21"/>
  <c r="K239" i="21"/>
  <c r="K191" i="21"/>
  <c r="K267" i="21"/>
  <c r="K269" i="21"/>
  <c r="K268" i="21"/>
  <c r="K66" i="21"/>
  <c r="K39" i="21"/>
  <c r="K51" i="21"/>
  <c r="K34" i="21"/>
  <c r="K12" i="21"/>
  <c r="K19" i="21"/>
  <c r="K30" i="21"/>
  <c r="K83" i="21"/>
  <c r="K52" i="21"/>
  <c r="K106" i="21"/>
  <c r="K94" i="21"/>
  <c r="K100" i="21"/>
  <c r="K96" i="21"/>
  <c r="K132" i="21"/>
  <c r="K136" i="21"/>
  <c r="K157" i="21"/>
  <c r="K174" i="21"/>
  <c r="K160" i="21"/>
  <c r="K170" i="21"/>
  <c r="K199" i="21"/>
  <c r="K258" i="21"/>
  <c r="K233" i="21"/>
  <c r="K238" i="21"/>
  <c r="K37" i="21"/>
  <c r="K20" i="21"/>
  <c r="K24" i="21"/>
  <c r="K33" i="21"/>
  <c r="K40" i="21"/>
  <c r="K63" i="21"/>
  <c r="K61" i="21"/>
  <c r="K57" i="21"/>
  <c r="K69" i="21"/>
  <c r="K42" i="21"/>
  <c r="K149" i="21"/>
  <c r="K133" i="21"/>
  <c r="K102" i="21"/>
  <c r="K108" i="21"/>
  <c r="K162" i="21"/>
  <c r="K215" i="21"/>
  <c r="K181" i="21"/>
  <c r="K176" i="21"/>
  <c r="K232" i="21"/>
  <c r="K140" i="21"/>
  <c r="K242" i="21"/>
  <c r="K78" i="21"/>
  <c r="K64" i="21"/>
  <c r="K27" i="21"/>
  <c r="K26" i="21"/>
  <c r="K38" i="21"/>
  <c r="K43" i="21"/>
  <c r="K73" i="21"/>
  <c r="K89" i="21"/>
  <c r="K164" i="21"/>
  <c r="K177" i="21"/>
  <c r="K216" i="21"/>
  <c r="K158" i="21"/>
  <c r="K179" i="21"/>
  <c r="K182" i="21"/>
  <c r="K189" i="21"/>
  <c r="K178" i="21"/>
  <c r="K219" i="21"/>
  <c r="K217" i="21"/>
  <c r="K228" i="21"/>
  <c r="K251" i="21"/>
  <c r="K255" i="21"/>
  <c r="K8" i="21"/>
  <c r="K6" i="21"/>
  <c r="K48" i="21"/>
  <c r="K44" i="21"/>
  <c r="K41" i="21"/>
  <c r="K47" i="21"/>
  <c r="K75" i="21"/>
  <c r="K67" i="21"/>
  <c r="K49" i="21"/>
  <c r="K138" i="21"/>
  <c r="K173" i="21"/>
  <c r="K112" i="21"/>
  <c r="K113" i="21"/>
  <c r="K184" i="21"/>
  <c r="K121" i="21"/>
  <c r="K196" i="21"/>
  <c r="K188" i="21"/>
  <c r="K198" i="21"/>
  <c r="K194" i="21"/>
  <c r="K259" i="21"/>
  <c r="K254" i="21"/>
  <c r="K145" i="21"/>
  <c r="K229" i="21"/>
  <c r="K260" i="21"/>
  <c r="K16" i="21"/>
  <c r="K72" i="21"/>
  <c r="K14" i="21"/>
  <c r="K13" i="21"/>
  <c r="K35" i="21"/>
  <c r="K79" i="21"/>
  <c r="K50" i="21"/>
  <c r="K71" i="21"/>
  <c r="K76" i="21"/>
  <c r="K65" i="21"/>
  <c r="K139" i="21"/>
  <c r="K148" i="21"/>
  <c r="K152" i="21"/>
  <c r="K203" i="21"/>
  <c r="K190" i="21"/>
  <c r="K135" i="21"/>
  <c r="K171" i="21"/>
  <c r="K183" i="21"/>
  <c r="K209" i="21"/>
  <c r="K234" i="21"/>
  <c r="K263" i="21"/>
  <c r="K125" i="21"/>
  <c r="K272" i="21"/>
  <c r="K273" i="21"/>
  <c r="K264" i="21"/>
  <c r="J338" i="21"/>
  <c r="J340" i="21" s="1"/>
  <c r="K265" i="21"/>
  <c r="K62" i="21"/>
  <c r="K53" i="21"/>
  <c r="K246" i="21"/>
  <c r="K202" i="21"/>
  <c r="K80" i="21"/>
  <c r="K68" i="21"/>
  <c r="K141" i="21"/>
  <c r="K130" i="21"/>
  <c r="K224" i="21"/>
  <c r="K163" i="21"/>
  <c r="K77" i="21"/>
  <c r="K70" i="21"/>
  <c r="K104" i="21"/>
  <c r="K172" i="21"/>
  <c r="K81" i="21"/>
  <c r="K118" i="21"/>
  <c r="K28" i="21"/>
  <c r="K46" i="21"/>
  <c r="K159" i="21"/>
  <c r="K105" i="21"/>
  <c r="K32" i="21"/>
  <c r="K131" i="21"/>
  <c r="K167" i="21"/>
  <c r="K109" i="21"/>
  <c r="K134" i="21"/>
  <c r="K114" i="21"/>
  <c r="K36" i="21"/>
  <c r="K115" i="21"/>
  <c r="K143" i="21"/>
  <c r="K223" i="21"/>
  <c r="K323" i="21"/>
  <c r="K318" i="21"/>
  <c r="K310" i="21"/>
  <c r="K289" i="21"/>
  <c r="K297" i="21"/>
  <c r="K292" i="21"/>
  <c r="K305" i="21"/>
  <c r="K313" i="21"/>
  <c r="K321" i="21"/>
  <c r="K308" i="21"/>
  <c r="K281" i="21"/>
  <c r="K311" i="21"/>
  <c r="K299" i="21"/>
  <c r="K276" i="21"/>
  <c r="K284" i="21"/>
  <c r="K316" i="21"/>
  <c r="K306" i="21"/>
  <c r="K315" i="21"/>
  <c r="K300" i="21"/>
  <c r="K314" i="21"/>
  <c r="K290" i="21"/>
  <c r="K302" i="21"/>
  <c r="K282" i="21"/>
  <c r="K279" i="21"/>
  <c r="K319" i="21"/>
  <c r="K294" i="21"/>
  <c r="K303" i="21"/>
  <c r="K286" i="21"/>
  <c r="K278" i="21"/>
  <c r="K283" i="21"/>
  <c r="K307" i="21"/>
  <c r="K298" i="21"/>
  <c r="K287" i="21"/>
  <c r="K295" i="21"/>
  <c r="K291" i="21"/>
  <c r="K280" i="21"/>
  <c r="I340" i="21"/>
  <c r="K288" i="21"/>
  <c r="T340" i="21"/>
  <c r="V323" i="21"/>
  <c r="V337" i="21"/>
  <c r="J294" i="22" l="1"/>
  <c r="J295" i="22" s="1"/>
  <c r="M253" i="22"/>
  <c r="M235" i="22"/>
  <c r="M122" i="22"/>
  <c r="M48" i="22"/>
  <c r="M74" i="22"/>
  <c r="M7" i="22"/>
  <c r="M277" i="22"/>
  <c r="M98" i="22"/>
  <c r="M64" i="22"/>
  <c r="M118" i="22"/>
  <c r="M70" i="22"/>
  <c r="M14" i="22"/>
  <c r="M265" i="22"/>
  <c r="M203" i="22"/>
  <c r="M27" i="22"/>
  <c r="M59" i="22"/>
  <c r="M181" i="22"/>
  <c r="M96" i="22"/>
  <c r="M194" i="22"/>
  <c r="M289" i="22"/>
  <c r="M358" i="22"/>
  <c r="N358" i="22" s="1"/>
  <c r="O358" i="22" s="1"/>
  <c r="R358" i="22" s="1"/>
  <c r="M191" i="22"/>
  <c r="M120" i="22"/>
  <c r="M83" i="22"/>
  <c r="M284" i="22"/>
  <c r="M189" i="22"/>
  <c r="M35" i="22"/>
  <c r="M76" i="22"/>
  <c r="M198" i="22"/>
  <c r="M143" i="22"/>
  <c r="M138" i="22"/>
  <c r="M206" i="22"/>
  <c r="M249" i="22"/>
  <c r="M285" i="22"/>
  <c r="M12" i="22"/>
  <c r="M145" i="22"/>
  <c r="I363" i="22"/>
  <c r="M144" i="22"/>
  <c r="M75" i="22"/>
  <c r="M79" i="22"/>
  <c r="M157" i="22"/>
  <c r="M197" i="22"/>
  <c r="M150" i="22"/>
  <c r="M355" i="22"/>
  <c r="N355" i="22" s="1"/>
  <c r="O355" i="22" s="1"/>
  <c r="R355" i="22" s="1"/>
  <c r="M184" i="22"/>
  <c r="M121" i="22"/>
  <c r="M226" i="22"/>
  <c r="M11" i="22"/>
  <c r="M67" i="22"/>
  <c r="M359" i="22"/>
  <c r="N359" i="22" s="1"/>
  <c r="O359" i="22" s="1"/>
  <c r="R359" i="22" s="1"/>
  <c r="M104" i="22"/>
  <c r="M42" i="22"/>
  <c r="M258" i="22"/>
  <c r="M231" i="22"/>
  <c r="M134" i="22"/>
  <c r="M60" i="22"/>
  <c r="M348" i="22"/>
  <c r="N348" i="22" s="1"/>
  <c r="O348" i="22" s="1"/>
  <c r="M112" i="22"/>
  <c r="M177" i="22"/>
  <c r="M217" i="22"/>
  <c r="M176" i="22"/>
  <c r="M205" i="22"/>
  <c r="M46" i="22"/>
  <c r="M211" i="22"/>
  <c r="M243" i="22"/>
  <c r="M353" i="22"/>
  <c r="N353" i="22" s="1"/>
  <c r="O353" i="22" s="1"/>
  <c r="R353" i="22" s="1"/>
  <c r="M146" i="22"/>
  <c r="M133" i="22"/>
  <c r="M63" i="22"/>
  <c r="M238" i="22"/>
  <c r="M65" i="22"/>
  <c r="M290" i="22"/>
  <c r="M201" i="22"/>
  <c r="M137" i="22"/>
  <c r="M164" i="22"/>
  <c r="M139" i="22"/>
  <c r="M261" i="22"/>
  <c r="M224" i="22"/>
  <c r="M22" i="22"/>
  <c r="M207" i="22"/>
  <c r="M66" i="22"/>
  <c r="M250" i="22"/>
  <c r="M6" i="22"/>
  <c r="M16" i="22"/>
  <c r="M99" i="22"/>
  <c r="M272" i="22"/>
  <c r="M29" i="22"/>
  <c r="M230" i="22"/>
  <c r="M251" i="22"/>
  <c r="M351" i="22"/>
  <c r="N351" i="22" s="1"/>
  <c r="O351" i="22" s="1"/>
  <c r="M186" i="22"/>
  <c r="M193" i="22"/>
  <c r="M223" i="22"/>
  <c r="M266" i="22"/>
  <c r="M268" i="22"/>
  <c r="M229" i="22"/>
  <c r="M262" i="22"/>
  <c r="M208" i="22"/>
  <c r="M58" i="22"/>
  <c r="M200" i="22"/>
  <c r="M31" i="22"/>
  <c r="M33" i="22"/>
  <c r="M244" i="22"/>
  <c r="M192" i="22"/>
  <c r="M218" i="22"/>
  <c r="M105" i="22"/>
  <c r="M151" i="22"/>
  <c r="M39" i="22"/>
  <c r="M255" i="22"/>
  <c r="M247" i="22"/>
  <c r="M8" i="22"/>
  <c r="M147" i="22"/>
  <c r="M241" i="22"/>
  <c r="M237" i="22"/>
  <c r="M291" i="22"/>
  <c r="M54" i="22"/>
  <c r="M215" i="22"/>
  <c r="M62" i="22"/>
  <c r="M279" i="22"/>
  <c r="M55" i="22"/>
  <c r="M280" i="22"/>
  <c r="M287" i="22"/>
  <c r="M212" i="22"/>
  <c r="M101" i="22"/>
  <c r="M159" i="22"/>
  <c r="M71" i="22"/>
  <c r="M38" i="22"/>
  <c r="M275" i="22"/>
  <c r="M82" i="22"/>
  <c r="M32" i="22"/>
  <c r="M127" i="22"/>
  <c r="M13" i="22"/>
  <c r="M149" i="22"/>
  <c r="M47" i="22"/>
  <c r="M135" i="22"/>
  <c r="M26" i="22"/>
  <c r="M167" i="22"/>
  <c r="M154" i="22"/>
  <c r="M165" i="22"/>
  <c r="M190" i="22"/>
  <c r="M153" i="22"/>
  <c r="M24" i="22"/>
  <c r="M113" i="22"/>
  <c r="M169" i="22"/>
  <c r="M259" i="22"/>
  <c r="M221" i="22"/>
  <c r="M9" i="22"/>
  <c r="M202" i="22"/>
  <c r="M80" i="22"/>
  <c r="M141" i="22"/>
  <c r="M278" i="22"/>
  <c r="M115" i="22"/>
  <c r="M216" i="22"/>
  <c r="M185" i="22"/>
  <c r="M267" i="22"/>
  <c r="M20" i="22"/>
  <c r="M86" i="22"/>
  <c r="M93" i="22"/>
  <c r="M30" i="22"/>
  <c r="M23" i="22"/>
  <c r="M53" i="22"/>
  <c r="M49" i="22"/>
  <c r="M227" i="22"/>
  <c r="M209" i="22"/>
  <c r="M90" i="22"/>
  <c r="M87" i="22"/>
  <c r="M155" i="22"/>
  <c r="M160" i="22"/>
  <c r="M357" i="22"/>
  <c r="N357" i="22" s="1"/>
  <c r="O357" i="22" s="1"/>
  <c r="R357" i="22" s="1"/>
  <c r="M173" i="22"/>
  <c r="M45" i="22"/>
  <c r="M178" i="22"/>
  <c r="M152" i="22"/>
  <c r="M100" i="22"/>
  <c r="M232" i="22"/>
  <c r="M264" i="22"/>
  <c r="M236" i="22"/>
  <c r="M292" i="22"/>
  <c r="M78" i="22"/>
  <c r="M19" i="22"/>
  <c r="M84" i="22"/>
  <c r="M111" i="22"/>
  <c r="M110" i="22"/>
  <c r="M158" i="22"/>
  <c r="M102" i="22"/>
  <c r="M69" i="22"/>
  <c r="M36" i="22"/>
  <c r="M199" i="22"/>
  <c r="M171" i="22"/>
  <c r="M15" i="22"/>
  <c r="M182" i="22"/>
  <c r="M196" i="22"/>
  <c r="M260" i="22"/>
  <c r="M220" i="22"/>
  <c r="M125" i="22"/>
  <c r="M34" i="22"/>
  <c r="M91" i="22"/>
  <c r="K368" i="22"/>
  <c r="M228" i="22"/>
  <c r="M283" i="22"/>
  <c r="M103" i="22"/>
  <c r="M276" i="22"/>
  <c r="M108" i="22"/>
  <c r="M68" i="22"/>
  <c r="M61" i="22"/>
  <c r="M288" i="22"/>
  <c r="M240" i="22"/>
  <c r="M356" i="22"/>
  <c r="N356" i="22" s="1"/>
  <c r="O356" i="22" s="1"/>
  <c r="R356" i="22" s="1"/>
  <c r="M242" i="22"/>
  <c r="M270" i="22"/>
  <c r="M25" i="22"/>
  <c r="M128" i="22"/>
  <c r="M252" i="22"/>
  <c r="M57" i="22"/>
  <c r="M175" i="22"/>
  <c r="M56" i="22"/>
  <c r="M18" i="22"/>
  <c r="M50" i="22"/>
  <c r="M106" i="22"/>
  <c r="M204" i="22"/>
  <c r="M88" i="22"/>
  <c r="M168" i="22"/>
  <c r="M40" i="22"/>
  <c r="M222" i="22"/>
  <c r="M282" i="22"/>
  <c r="M213" i="22"/>
  <c r="M187" i="22"/>
  <c r="M172" i="22"/>
  <c r="M225" i="22"/>
  <c r="M349" i="22"/>
  <c r="N349" i="22" s="1"/>
  <c r="O349" i="22" s="1"/>
  <c r="R349" i="22" s="1"/>
  <c r="M233" i="22"/>
  <c r="M188" i="22"/>
  <c r="M126" i="22"/>
  <c r="M92" i="22"/>
  <c r="M136" i="22"/>
  <c r="M123" i="22"/>
  <c r="M72" i="22"/>
  <c r="M140" i="22"/>
  <c r="M28" i="22"/>
  <c r="M124" i="22"/>
  <c r="M163" i="22"/>
  <c r="M161" i="22"/>
  <c r="M352" i="22"/>
  <c r="N352" i="22" s="1"/>
  <c r="O352" i="22" s="1"/>
  <c r="R352" i="22" s="1"/>
  <c r="M254" i="22"/>
  <c r="M21" i="22"/>
  <c r="M179" i="22"/>
  <c r="M350" i="22"/>
  <c r="N350" i="22" s="1"/>
  <c r="O350" i="22" s="1"/>
  <c r="R350" i="22" s="1"/>
  <c r="M41" i="22"/>
  <c r="M195" i="22"/>
  <c r="M131" i="22"/>
  <c r="M271" i="22"/>
  <c r="M17" i="22"/>
  <c r="M183" i="22"/>
  <c r="M94" i="22"/>
  <c r="M210" i="22"/>
  <c r="M109" i="22"/>
  <c r="M248" i="22"/>
  <c r="M10" i="22"/>
  <c r="M43" i="22"/>
  <c r="M116" i="22"/>
  <c r="M246" i="22"/>
  <c r="M166" i="22"/>
  <c r="M117" i="22"/>
  <c r="M170" i="22"/>
  <c r="M273" i="22"/>
  <c r="M354" i="22"/>
  <c r="N354" i="22" s="1"/>
  <c r="O354" i="22" s="1"/>
  <c r="R354" i="22" s="1"/>
  <c r="M51" i="22"/>
  <c r="M286" i="22"/>
  <c r="M256" i="22"/>
  <c r="M130" i="22"/>
  <c r="M97" i="22"/>
  <c r="M85" i="22"/>
  <c r="M257" i="22"/>
  <c r="K242" i="22"/>
  <c r="L242" i="22" s="1"/>
  <c r="K202" i="22"/>
  <c r="L202" i="22" s="1"/>
  <c r="K191" i="22"/>
  <c r="L191" i="22" s="1"/>
  <c r="K235" i="22"/>
  <c r="L235" i="22" s="1"/>
  <c r="K154" i="22"/>
  <c r="L154" i="22" s="1"/>
  <c r="K200" i="22"/>
  <c r="L200" i="22" s="1"/>
  <c r="K33" i="22"/>
  <c r="L33" i="22" s="1"/>
  <c r="K273" i="22"/>
  <c r="L273" i="22" s="1"/>
  <c r="K109" i="22"/>
  <c r="L109" i="22" s="1"/>
  <c r="K80" i="22"/>
  <c r="L80" i="22" s="1"/>
  <c r="K181" i="22"/>
  <c r="L181" i="22" s="1"/>
  <c r="K189" i="22"/>
  <c r="L189" i="22" s="1"/>
  <c r="K123" i="22"/>
  <c r="L123" i="22" s="1"/>
  <c r="K288" i="22"/>
  <c r="L288" i="22" s="1"/>
  <c r="K203" i="22"/>
  <c r="L203" i="22" s="1"/>
  <c r="K124" i="22"/>
  <c r="L124" i="22" s="1"/>
  <c r="K224" i="22"/>
  <c r="L224" i="22" s="1"/>
  <c r="K135" i="22"/>
  <c r="L135" i="22" s="1"/>
  <c r="K176" i="22"/>
  <c r="L176" i="22" s="1"/>
  <c r="K272" i="22"/>
  <c r="L272" i="22" s="1"/>
  <c r="M344" i="22"/>
  <c r="M340" i="22"/>
  <c r="M336" i="22"/>
  <c r="M335" i="22"/>
  <c r="M334" i="22"/>
  <c r="M330" i="22"/>
  <c r="M325" i="22"/>
  <c r="M320" i="22"/>
  <c r="M316" i="22"/>
  <c r="M311" i="22"/>
  <c r="M307" i="22"/>
  <c r="M302" i="22"/>
  <c r="M297" i="22"/>
  <c r="M345" i="22"/>
  <c r="M301" i="22"/>
  <c r="M338" i="22"/>
  <c r="M310" i="22"/>
  <c r="M308" i="22"/>
  <c r="M304" i="22"/>
  <c r="M300" i="22"/>
  <c r="M346" i="22"/>
  <c r="M333" i="22"/>
  <c r="M329" i="22"/>
  <c r="M327" i="22"/>
  <c r="M323" i="22"/>
  <c r="M321" i="22"/>
  <c r="M317" i="22"/>
  <c r="M315" i="22"/>
  <c r="M313" i="22"/>
  <c r="M305" i="22"/>
  <c r="M343" i="22"/>
  <c r="M328" i="22"/>
  <c r="M324" i="22"/>
  <c r="M312" i="22"/>
  <c r="M309" i="22"/>
  <c r="M306" i="22"/>
  <c r="M342" i="22"/>
  <c r="M331" i="22"/>
  <c r="M326" i="22"/>
  <c r="M319" i="22"/>
  <c r="M314" i="22"/>
  <c r="M318" i="22"/>
  <c r="M296" i="22"/>
  <c r="M5" i="22"/>
  <c r="M303" i="22"/>
  <c r="M332" i="22"/>
  <c r="M339" i="22"/>
  <c r="M341" i="22"/>
  <c r="M337" i="22"/>
  <c r="M322" i="22"/>
  <c r="M298" i="22"/>
  <c r="M299" i="22"/>
  <c r="N329" i="21"/>
  <c r="N320" i="21"/>
  <c r="N312" i="21"/>
  <c r="N304" i="21"/>
  <c r="N296" i="21"/>
  <c r="N288" i="21"/>
  <c r="N280" i="21"/>
  <c r="N273" i="21"/>
  <c r="N260" i="21"/>
  <c r="N255" i="21"/>
  <c r="N334" i="21"/>
  <c r="N326" i="21"/>
  <c r="N317" i="21"/>
  <c r="N309" i="21"/>
  <c r="N301" i="21"/>
  <c r="N293" i="21"/>
  <c r="N285" i="21"/>
  <c r="N331" i="21"/>
  <c r="N322" i="21"/>
  <c r="N314" i="21"/>
  <c r="N306" i="21"/>
  <c r="N298" i="21"/>
  <c r="N290" i="21"/>
  <c r="N282" i="21"/>
  <c r="N266" i="21"/>
  <c r="N261" i="21"/>
  <c r="N257" i="21"/>
  <c r="N256" i="21"/>
  <c r="N251" i="21"/>
  <c r="N336" i="21"/>
  <c r="N328" i="21"/>
  <c r="N319" i="21"/>
  <c r="N311" i="21"/>
  <c r="N303" i="21"/>
  <c r="N295" i="21"/>
  <c r="N287" i="21"/>
  <c r="N279" i="21"/>
  <c r="N333" i="21"/>
  <c r="N325" i="21"/>
  <c r="N316" i="21"/>
  <c r="N308" i="21"/>
  <c r="N300" i="21"/>
  <c r="N292" i="21"/>
  <c r="N284" i="21"/>
  <c r="N332" i="21"/>
  <c r="N324" i="21"/>
  <c r="N315" i="21"/>
  <c r="N307" i="21"/>
  <c r="N299" i="21"/>
  <c r="N291" i="21"/>
  <c r="N283" i="21"/>
  <c r="N302" i="21"/>
  <c r="N289" i="21"/>
  <c r="N276" i="21"/>
  <c r="N268" i="21"/>
  <c r="N247" i="21"/>
  <c r="N243" i="21"/>
  <c r="N235" i="21"/>
  <c r="N234" i="21"/>
  <c r="N230" i="21"/>
  <c r="N225" i="21"/>
  <c r="N220" i="21"/>
  <c r="N327" i="21"/>
  <c r="N310" i="21"/>
  <c r="N263" i="21"/>
  <c r="N259" i="21"/>
  <c r="N335" i="21"/>
  <c r="N318" i="21"/>
  <c r="N297" i="21"/>
  <c r="N277" i="21"/>
  <c r="N275" i="21"/>
  <c r="N305" i="21"/>
  <c r="N278" i="21"/>
  <c r="N272" i="21"/>
  <c r="N267" i="21"/>
  <c r="N330" i="21"/>
  <c r="N313" i="21"/>
  <c r="N321" i="21"/>
  <c r="N286" i="21"/>
  <c r="N271" i="21"/>
  <c r="N281" i="21"/>
  <c r="N294" i="21"/>
  <c r="N262" i="21"/>
  <c r="N264" i="21"/>
  <c r="N241" i="21"/>
  <c r="N236" i="21"/>
  <c r="N231" i="21"/>
  <c r="N218" i="21"/>
  <c r="N214" i="21"/>
  <c r="N210" i="21"/>
  <c r="N205" i="21"/>
  <c r="N200" i="21"/>
  <c r="N196" i="21"/>
  <c r="N192" i="21"/>
  <c r="N188" i="21"/>
  <c r="N180" i="21"/>
  <c r="N176" i="21"/>
  <c r="N172" i="21"/>
  <c r="N164" i="21"/>
  <c r="N155" i="21"/>
  <c r="N151" i="21"/>
  <c r="N146" i="21"/>
  <c r="N141" i="21"/>
  <c r="N136" i="21"/>
  <c r="N131" i="21"/>
  <c r="N121" i="21"/>
  <c r="N253" i="21"/>
  <c r="N249" i="21"/>
  <c r="N244" i="21"/>
  <c r="N229" i="21"/>
  <c r="N226" i="21"/>
  <c r="N221" i="21"/>
  <c r="N232" i="21"/>
  <c r="N258" i="21"/>
  <c r="N242" i="21"/>
  <c r="N224" i="21"/>
  <c r="N252" i="21"/>
  <c r="N250" i="21"/>
  <c r="N245" i="21"/>
  <c r="N240" i="21"/>
  <c r="N227" i="21"/>
  <c r="N222" i="21"/>
  <c r="N238" i="21"/>
  <c r="N207" i="21"/>
  <c r="N203" i="21"/>
  <c r="N182" i="21"/>
  <c r="N167" i="21"/>
  <c r="N215" i="21"/>
  <c r="N213" i="21"/>
  <c r="N211" i="21"/>
  <c r="N209" i="21"/>
  <c r="N187" i="21"/>
  <c r="N170" i="21"/>
  <c r="N165" i="21"/>
  <c r="N217" i="21"/>
  <c r="N201" i="21"/>
  <c r="N197" i="21"/>
  <c r="N190" i="21"/>
  <c r="N185" i="21"/>
  <c r="N175" i="21"/>
  <c r="N160" i="21"/>
  <c r="N150" i="21"/>
  <c r="N145" i="21"/>
  <c r="N195" i="21"/>
  <c r="N178" i="21"/>
  <c r="N173" i="21"/>
  <c r="N212" i="21"/>
  <c r="N193" i="21"/>
  <c r="N183" i="21"/>
  <c r="N166" i="21"/>
  <c r="N158" i="21"/>
  <c r="N125" i="21"/>
  <c r="N233" i="21"/>
  <c r="N208" i="21"/>
  <c r="N206" i="21"/>
  <c r="N204" i="21"/>
  <c r="N202" i="21"/>
  <c r="N198" i="21"/>
  <c r="N186" i="21"/>
  <c r="N181" i="21"/>
  <c r="N228" i="21"/>
  <c r="N223" i="21"/>
  <c r="N189" i="21"/>
  <c r="N179" i="21"/>
  <c r="N149" i="21"/>
  <c r="N144" i="21"/>
  <c r="N134" i="21"/>
  <c r="N174" i="21"/>
  <c r="N169" i="21"/>
  <c r="N132" i="21"/>
  <c r="N130" i="21"/>
  <c r="N143" i="21"/>
  <c r="N115" i="21"/>
  <c r="N114" i="21"/>
  <c r="N109" i="21"/>
  <c r="N105" i="21"/>
  <c r="N100" i="21"/>
  <c r="N96" i="21"/>
  <c r="N91" i="21"/>
  <c r="N87" i="21"/>
  <c r="N153" i="21"/>
  <c r="N123" i="21"/>
  <c r="N118" i="21"/>
  <c r="N138" i="21"/>
  <c r="N129" i="21"/>
  <c r="N110" i="21"/>
  <c r="N106" i="21"/>
  <c r="N102" i="21"/>
  <c r="N101" i="21"/>
  <c r="N97" i="21"/>
  <c r="N92" i="21"/>
  <c r="N88" i="21"/>
  <c r="N157" i="21"/>
  <c r="N142" i="21"/>
  <c r="N140" i="21"/>
  <c r="N133" i="21"/>
  <c r="N119" i="21"/>
  <c r="N116" i="21"/>
  <c r="N156" i="21"/>
  <c r="N152" i="21"/>
  <c r="N171" i="21"/>
  <c r="N139" i="21"/>
  <c r="N137" i="21"/>
  <c r="N135" i="21"/>
  <c r="N128" i="21"/>
  <c r="N126" i="21"/>
  <c r="N120" i="21"/>
  <c r="N117" i="21"/>
  <c r="N113" i="21"/>
  <c r="N104" i="21"/>
  <c r="N99" i="21"/>
  <c r="N107" i="21"/>
  <c r="N122" i="21"/>
  <c r="N94" i="21"/>
  <c r="N111" i="21"/>
  <c r="N85" i="21"/>
  <c r="N81" i="21"/>
  <c r="N80" i="21"/>
  <c r="N75" i="21"/>
  <c r="N74" i="21"/>
  <c r="N70" i="21"/>
  <c r="N66" i="21"/>
  <c r="N62" i="21"/>
  <c r="N58" i="21"/>
  <c r="N48" i="21"/>
  <c r="N44" i="21"/>
  <c r="N98" i="21"/>
  <c r="N103" i="21"/>
  <c r="N90" i="21"/>
  <c r="N83" i="21"/>
  <c r="N78" i="21"/>
  <c r="N77" i="21"/>
  <c r="N72" i="21"/>
  <c r="N68" i="21"/>
  <c r="N64" i="21"/>
  <c r="N55" i="21"/>
  <c r="N51" i="21"/>
  <c r="N46" i="21"/>
  <c r="N69" i="21"/>
  <c r="N38" i="21"/>
  <c r="N34" i="21"/>
  <c r="N26" i="21"/>
  <c r="N22" i="21"/>
  <c r="N18" i="21"/>
  <c r="N14" i="21"/>
  <c r="N10" i="21"/>
  <c r="N6" i="21"/>
  <c r="N71" i="21"/>
  <c r="N84" i="21"/>
  <c r="N73" i="21"/>
  <c r="N57" i="21"/>
  <c r="N39" i="21"/>
  <c r="N35" i="21"/>
  <c r="N31" i="21"/>
  <c r="N23" i="21"/>
  <c r="N19" i="21"/>
  <c r="N15" i="21"/>
  <c r="N11" i="21"/>
  <c r="N7" i="21"/>
  <c r="N86" i="21"/>
  <c r="N59" i="21"/>
  <c r="N50" i="21"/>
  <c r="N43" i="21"/>
  <c r="N95" i="21"/>
  <c r="N79" i="21"/>
  <c r="N61" i="21"/>
  <c r="N52" i="21"/>
  <c r="N45" i="21"/>
  <c r="N36" i="21"/>
  <c r="N32" i="21"/>
  <c r="N28" i="21"/>
  <c r="N24" i="21"/>
  <c r="N20" i="21"/>
  <c r="N16" i="21"/>
  <c r="N12" i="21"/>
  <c r="N8" i="21"/>
  <c r="N5" i="21"/>
  <c r="O5" i="21" s="1"/>
  <c r="N54" i="21"/>
  <c r="N47" i="21"/>
  <c r="N40" i="21"/>
  <c r="N65" i="21"/>
  <c r="N49" i="21"/>
  <c r="N42" i="21"/>
  <c r="N37" i="21"/>
  <c r="N33" i="21"/>
  <c r="N29" i="21"/>
  <c r="N25" i="21"/>
  <c r="N21" i="21"/>
  <c r="N17" i="21"/>
  <c r="N13" i="21"/>
  <c r="N9" i="21"/>
  <c r="N76" i="21"/>
  <c r="N67" i="21"/>
  <c r="N159" i="21"/>
  <c r="N246" i="21"/>
  <c r="N184" i="21"/>
  <c r="N216" i="21"/>
  <c r="N27" i="21"/>
  <c r="N30" i="21"/>
  <c r="N269" i="21"/>
  <c r="N154" i="21"/>
  <c r="N93" i="21"/>
  <c r="N237" i="21"/>
  <c r="N124" i="21"/>
  <c r="N270" i="21"/>
  <c r="N163" i="21"/>
  <c r="N53" i="21"/>
  <c r="N254" i="21"/>
  <c r="N41" i="21"/>
  <c r="N177" i="21"/>
  <c r="N162" i="21"/>
  <c r="N147" i="21"/>
  <c r="N82" i="21"/>
  <c r="N148" i="21"/>
  <c r="N112" i="21"/>
  <c r="N219" i="21"/>
  <c r="N108" i="21"/>
  <c r="N63" i="21"/>
  <c r="N191" i="21"/>
  <c r="N56" i="21"/>
  <c r="N127" i="21"/>
  <c r="N60" i="21"/>
  <c r="N168" i="21"/>
  <c r="N248" i="21"/>
  <c r="N265" i="21"/>
  <c r="N194" i="21"/>
  <c r="N89" i="21"/>
  <c r="N199" i="21"/>
  <c r="N239" i="21"/>
  <c r="N161" i="21"/>
  <c r="N273" i="22" l="1"/>
  <c r="O273" i="22" s="1"/>
  <c r="N176" i="22"/>
  <c r="O176" i="22" s="1"/>
  <c r="N200" i="22"/>
  <c r="O200" i="22" s="1"/>
  <c r="N202" i="22"/>
  <c r="O202" i="22" s="1"/>
  <c r="R202" i="22" s="1"/>
  <c r="N235" i="22"/>
  <c r="O235" i="22" s="1"/>
  <c r="R235" i="22" s="1"/>
  <c r="N80" i="22"/>
  <c r="O80" i="22" s="1"/>
  <c r="N203" i="22"/>
  <c r="O203" i="22" s="1"/>
  <c r="R203" i="22" s="1"/>
  <c r="N33" i="22"/>
  <c r="O33" i="22" s="1"/>
  <c r="R33" i="22" s="1"/>
  <c r="N272" i="22"/>
  <c r="O272" i="22" s="1"/>
  <c r="R272" i="22" s="1"/>
  <c r="N191" i="22"/>
  <c r="O191" i="22" s="1"/>
  <c r="R191" i="22" s="1"/>
  <c r="N224" i="22"/>
  <c r="O224" i="22" s="1"/>
  <c r="R224" i="22" s="1"/>
  <c r="N181" i="22"/>
  <c r="O181" i="22" s="1"/>
  <c r="R181" i="22" s="1"/>
  <c r="N189" i="22"/>
  <c r="O189" i="22" s="1"/>
  <c r="R189" i="22" s="1"/>
  <c r="N135" i="22"/>
  <c r="O135" i="22" s="1"/>
  <c r="N154" i="22"/>
  <c r="O154" i="22" s="1"/>
  <c r="N288" i="22"/>
  <c r="O288" i="22" s="1"/>
  <c r="N124" i="22"/>
  <c r="O124" i="22" s="1"/>
  <c r="R124" i="22" s="1"/>
  <c r="N109" i="22"/>
  <c r="O109" i="22" s="1"/>
  <c r="R109" i="22" s="1"/>
  <c r="N242" i="22"/>
  <c r="O242" i="22" s="1"/>
  <c r="R242" i="22" s="1"/>
  <c r="N123" i="22"/>
  <c r="O123" i="22" s="1"/>
  <c r="R123" i="22" s="1"/>
  <c r="K182" i="22"/>
  <c r="L182" i="22" s="1"/>
  <c r="N182" i="22" s="1"/>
  <c r="O182" i="22" s="1"/>
  <c r="R182" i="22" s="1"/>
  <c r="K165" i="22"/>
  <c r="L165" i="22" s="1"/>
  <c r="N165" i="22" s="1"/>
  <c r="O165" i="22" s="1"/>
  <c r="R165" i="22" s="1"/>
  <c r="K134" i="22"/>
  <c r="L134" i="22" s="1"/>
  <c r="N134" i="22" s="1"/>
  <c r="O134" i="22" s="1"/>
  <c r="R134" i="22" s="1"/>
  <c r="K195" i="22"/>
  <c r="L195" i="22" s="1"/>
  <c r="N195" i="22" s="1"/>
  <c r="O195" i="22" s="1"/>
  <c r="R195" i="22" s="1"/>
  <c r="K236" i="22"/>
  <c r="L236" i="22" s="1"/>
  <c r="N236" i="22" s="1"/>
  <c r="O236" i="22" s="1"/>
  <c r="K267" i="22"/>
  <c r="L267" i="22" s="1"/>
  <c r="N267" i="22" s="1"/>
  <c r="O267" i="22" s="1"/>
  <c r="R267" i="22" s="1"/>
  <c r="K199" i="22"/>
  <c r="L199" i="22" s="1"/>
  <c r="N199" i="22" s="1"/>
  <c r="O199" i="22" s="1"/>
  <c r="K208" i="22"/>
  <c r="L208" i="22" s="1"/>
  <c r="N208" i="22" s="1"/>
  <c r="O208" i="22" s="1"/>
  <c r="R208" i="22" s="1"/>
  <c r="K85" i="22"/>
  <c r="L85" i="22" s="1"/>
  <c r="N85" i="22" s="1"/>
  <c r="O85" i="22" s="1"/>
  <c r="R85" i="22" s="1"/>
  <c r="K232" i="22"/>
  <c r="L232" i="22" s="1"/>
  <c r="N232" i="22" s="1"/>
  <c r="O232" i="22" s="1"/>
  <c r="R232" i="22" s="1"/>
  <c r="K193" i="22"/>
  <c r="L193" i="22" s="1"/>
  <c r="N193" i="22" s="1"/>
  <c r="O193" i="22" s="1"/>
  <c r="R193" i="22" s="1"/>
  <c r="K167" i="22"/>
  <c r="L167" i="22" s="1"/>
  <c r="N167" i="22" s="1"/>
  <c r="O167" i="22" s="1"/>
  <c r="R167" i="22" s="1"/>
  <c r="K204" i="22"/>
  <c r="L204" i="22" s="1"/>
  <c r="N204" i="22" s="1"/>
  <c r="O204" i="22" s="1"/>
  <c r="R204" i="22" s="1"/>
  <c r="K215" i="22"/>
  <c r="L215" i="22" s="1"/>
  <c r="N215" i="22" s="1"/>
  <c r="O215" i="22" s="1"/>
  <c r="R215" i="22" s="1"/>
  <c r="K209" i="22"/>
  <c r="L209" i="22" s="1"/>
  <c r="N209" i="22" s="1"/>
  <c r="O209" i="22" s="1"/>
  <c r="R209" i="22" s="1"/>
  <c r="K141" i="22"/>
  <c r="L141" i="22" s="1"/>
  <c r="N141" i="22" s="1"/>
  <c r="O141" i="22" s="1"/>
  <c r="R141" i="22" s="1"/>
  <c r="K20" i="22"/>
  <c r="L20" i="22" s="1"/>
  <c r="N20" i="22" s="1"/>
  <c r="O20" i="22" s="1"/>
  <c r="R20" i="22" s="1"/>
  <c r="K205" i="22"/>
  <c r="L205" i="22" s="1"/>
  <c r="N205" i="22" s="1"/>
  <c r="O205" i="22" s="1"/>
  <c r="R205" i="22" s="1"/>
  <c r="K100" i="22"/>
  <c r="L100" i="22" s="1"/>
  <c r="N100" i="22" s="1"/>
  <c r="O100" i="22" s="1"/>
  <c r="R100" i="22" s="1"/>
  <c r="K212" i="22"/>
  <c r="L212" i="22" s="1"/>
  <c r="N212" i="22" s="1"/>
  <c r="O212" i="22" s="1"/>
  <c r="K173" i="22"/>
  <c r="L173" i="22" s="1"/>
  <c r="N173" i="22" s="1"/>
  <c r="O173" i="22" s="1"/>
  <c r="R173" i="22" s="1"/>
  <c r="K287" i="22"/>
  <c r="L287" i="22" s="1"/>
  <c r="N287" i="22" s="1"/>
  <c r="O287" i="22" s="1"/>
  <c r="R287" i="22" s="1"/>
  <c r="K211" i="22"/>
  <c r="L211" i="22" s="1"/>
  <c r="N211" i="22" s="1"/>
  <c r="O211" i="22" s="1"/>
  <c r="R211" i="22" s="1"/>
  <c r="K222" i="22"/>
  <c r="L222" i="22" s="1"/>
  <c r="N222" i="22" s="1"/>
  <c r="O222" i="22" s="1"/>
  <c r="R222" i="22" s="1"/>
  <c r="K46" i="22"/>
  <c r="L46" i="22" s="1"/>
  <c r="N46" i="22" s="1"/>
  <c r="O46" i="22" s="1"/>
  <c r="R46" i="22" s="1"/>
  <c r="K121" i="22"/>
  <c r="L121" i="22" s="1"/>
  <c r="N121" i="22" s="1"/>
  <c r="O121" i="22" s="1"/>
  <c r="R121" i="22" s="1"/>
  <c r="K57" i="22"/>
  <c r="L57" i="22" s="1"/>
  <c r="N57" i="22" s="1"/>
  <c r="O57" i="22" s="1"/>
  <c r="R57" i="22" s="1"/>
  <c r="K157" i="22"/>
  <c r="L157" i="22" s="1"/>
  <c r="N157" i="22" s="1"/>
  <c r="O157" i="22" s="1"/>
  <c r="R157" i="22" s="1"/>
  <c r="K213" i="22"/>
  <c r="L213" i="22" s="1"/>
  <c r="N213" i="22" s="1"/>
  <c r="O213" i="22" s="1"/>
  <c r="R213" i="22" s="1"/>
  <c r="K15" i="22"/>
  <c r="L15" i="22" s="1"/>
  <c r="N15" i="22" s="1"/>
  <c r="O15" i="22" s="1"/>
  <c r="R15" i="22" s="1"/>
  <c r="K34" i="22"/>
  <c r="L34" i="22" s="1"/>
  <c r="N34" i="22" s="1"/>
  <c r="O34" i="22" s="1"/>
  <c r="R34" i="22" s="1"/>
  <c r="K265" i="22"/>
  <c r="L265" i="22" s="1"/>
  <c r="N265" i="22" s="1"/>
  <c r="O265" i="22" s="1"/>
  <c r="R265" i="22" s="1"/>
  <c r="K35" i="22"/>
  <c r="L35" i="22" s="1"/>
  <c r="N35" i="22" s="1"/>
  <c r="O35" i="22" s="1"/>
  <c r="R35" i="22" s="1"/>
  <c r="K78" i="22"/>
  <c r="L78" i="22" s="1"/>
  <c r="N78" i="22" s="1"/>
  <c r="O78" i="22" s="1"/>
  <c r="R78" i="22" s="1"/>
  <c r="K36" i="22"/>
  <c r="L36" i="22" s="1"/>
  <c r="N36" i="22" s="1"/>
  <c r="O36" i="22" s="1"/>
  <c r="R36" i="22" s="1"/>
  <c r="K29" i="22"/>
  <c r="L29" i="22" s="1"/>
  <c r="N29" i="22" s="1"/>
  <c r="O29" i="22" s="1"/>
  <c r="R29" i="22" s="1"/>
  <c r="K171" i="22"/>
  <c r="L171" i="22" s="1"/>
  <c r="N171" i="22" s="1"/>
  <c r="O171" i="22" s="1"/>
  <c r="R171" i="22" s="1"/>
  <c r="K84" i="22"/>
  <c r="L84" i="22" s="1"/>
  <c r="N84" i="22" s="1"/>
  <c r="O84" i="22" s="1"/>
  <c r="R84" i="22" s="1"/>
  <c r="K19" i="22"/>
  <c r="L19" i="22" s="1"/>
  <c r="N19" i="22" s="1"/>
  <c r="O19" i="22" s="1"/>
  <c r="R19" i="22" s="1"/>
  <c r="K12" i="22"/>
  <c r="L12" i="22" s="1"/>
  <c r="N12" i="22" s="1"/>
  <c r="O12" i="22" s="1"/>
  <c r="R12" i="22" s="1"/>
  <c r="K180" i="22"/>
  <c r="L180" i="22" s="1"/>
  <c r="N180" i="22" s="1"/>
  <c r="O180" i="22" s="1"/>
  <c r="R180" i="22" s="1"/>
  <c r="K188" i="22"/>
  <c r="L188" i="22" s="1"/>
  <c r="N188" i="22" s="1"/>
  <c r="O188" i="22" s="1"/>
  <c r="R188" i="22" s="1"/>
  <c r="K54" i="22"/>
  <c r="L54" i="22" s="1"/>
  <c r="N54" i="22" s="1"/>
  <c r="O54" i="22" s="1"/>
  <c r="R54" i="22" s="1"/>
  <c r="K43" i="22"/>
  <c r="L43" i="22" s="1"/>
  <c r="N43" i="22" s="1"/>
  <c r="O43" i="22" s="1"/>
  <c r="K49" i="22"/>
  <c r="L49" i="22" s="1"/>
  <c r="N49" i="22" s="1"/>
  <c r="O49" i="22" s="1"/>
  <c r="R49" i="22" s="1"/>
  <c r="K251" i="22"/>
  <c r="L251" i="22" s="1"/>
  <c r="N251" i="22" s="1"/>
  <c r="O251" i="22" s="1"/>
  <c r="R251" i="22" s="1"/>
  <c r="K138" i="22"/>
  <c r="L138" i="22" s="1"/>
  <c r="N138" i="22" s="1"/>
  <c r="O138" i="22" s="1"/>
  <c r="K240" i="22"/>
  <c r="L240" i="22" s="1"/>
  <c r="N240" i="22" s="1"/>
  <c r="O240" i="22" s="1"/>
  <c r="R240" i="22" s="1"/>
  <c r="K8" i="22"/>
  <c r="L8" i="22" s="1"/>
  <c r="N8" i="22" s="1"/>
  <c r="O8" i="22" s="1"/>
  <c r="R8" i="22" s="1"/>
  <c r="K197" i="22"/>
  <c r="L197" i="22" s="1"/>
  <c r="N197" i="22" s="1"/>
  <c r="O197" i="22" s="1"/>
  <c r="R197" i="22" s="1"/>
  <c r="K270" i="22"/>
  <c r="L270" i="22" s="1"/>
  <c r="N270" i="22" s="1"/>
  <c r="O270" i="22" s="1"/>
  <c r="R270" i="22" s="1"/>
  <c r="K9" i="22"/>
  <c r="L9" i="22" s="1"/>
  <c r="N9" i="22" s="1"/>
  <c r="O9" i="22" s="1"/>
  <c r="R9" i="22" s="1"/>
  <c r="K106" i="22"/>
  <c r="L106" i="22" s="1"/>
  <c r="N106" i="22" s="1"/>
  <c r="O106" i="22" s="1"/>
  <c r="R106" i="22" s="1"/>
  <c r="K118" i="22"/>
  <c r="L118" i="22" s="1"/>
  <c r="N118" i="22" s="1"/>
  <c r="O118" i="22" s="1"/>
  <c r="R118" i="22" s="1"/>
  <c r="K96" i="22"/>
  <c r="L96" i="22" s="1"/>
  <c r="N96" i="22" s="1"/>
  <c r="O96" i="22" s="1"/>
  <c r="R96" i="22" s="1"/>
  <c r="K71" i="22"/>
  <c r="L71" i="22" s="1"/>
  <c r="N71" i="22" s="1"/>
  <c r="O71" i="22" s="1"/>
  <c r="R71" i="22" s="1"/>
  <c r="K247" i="22"/>
  <c r="L247" i="22" s="1"/>
  <c r="N247" i="22" s="1"/>
  <c r="O247" i="22" s="1"/>
  <c r="R247" i="22" s="1"/>
  <c r="K60" i="22"/>
  <c r="L60" i="22" s="1"/>
  <c r="N60" i="22" s="1"/>
  <c r="O60" i="22" s="1"/>
  <c r="R60" i="22" s="1"/>
  <c r="K42" i="22"/>
  <c r="L42" i="22" s="1"/>
  <c r="N42" i="22" s="1"/>
  <c r="O42" i="22" s="1"/>
  <c r="R42" i="22" s="1"/>
  <c r="K178" i="22"/>
  <c r="L178" i="22" s="1"/>
  <c r="N178" i="22" s="1"/>
  <c r="O178" i="22" s="1"/>
  <c r="R178" i="22" s="1"/>
  <c r="K233" i="22"/>
  <c r="L233" i="22" s="1"/>
  <c r="N233" i="22" s="1"/>
  <c r="O233" i="22" s="1"/>
  <c r="R233" i="22" s="1"/>
  <c r="K59" i="22"/>
  <c r="L59" i="22" s="1"/>
  <c r="N59" i="22" s="1"/>
  <c r="O59" i="22" s="1"/>
  <c r="R59" i="22" s="1"/>
  <c r="K131" i="22"/>
  <c r="L131" i="22" s="1"/>
  <c r="N131" i="22" s="1"/>
  <c r="O131" i="22" s="1"/>
  <c r="R131" i="22" s="1"/>
  <c r="K75" i="22"/>
  <c r="L75" i="22" s="1"/>
  <c r="N75" i="22" s="1"/>
  <c r="O75" i="22" s="1"/>
  <c r="R75" i="22" s="1"/>
  <c r="K257" i="22"/>
  <c r="L257" i="22" s="1"/>
  <c r="N257" i="22" s="1"/>
  <c r="O257" i="22" s="1"/>
  <c r="R257" i="22" s="1"/>
  <c r="K105" i="22"/>
  <c r="L105" i="22" s="1"/>
  <c r="N105" i="22" s="1"/>
  <c r="O105" i="22" s="1"/>
  <c r="R105" i="22" s="1"/>
  <c r="K113" i="22"/>
  <c r="L113" i="22" s="1"/>
  <c r="N113" i="22" s="1"/>
  <c r="O113" i="22" s="1"/>
  <c r="R113" i="22" s="1"/>
  <c r="K169" i="22"/>
  <c r="L169" i="22" s="1"/>
  <c r="N169" i="22" s="1"/>
  <c r="O169" i="22" s="1"/>
  <c r="R169" i="22" s="1"/>
  <c r="K151" i="22"/>
  <c r="L151" i="22" s="1"/>
  <c r="N151" i="22" s="1"/>
  <c r="O151" i="22" s="1"/>
  <c r="R151" i="22" s="1"/>
  <c r="K280" i="22"/>
  <c r="L280" i="22" s="1"/>
  <c r="N280" i="22" s="1"/>
  <c r="O280" i="22" s="1"/>
  <c r="R280" i="22" s="1"/>
  <c r="K155" i="22"/>
  <c r="L155" i="22" s="1"/>
  <c r="N155" i="22" s="1"/>
  <c r="O155" i="22" s="1"/>
  <c r="R155" i="22" s="1"/>
  <c r="K56" i="22"/>
  <c r="L56" i="22" s="1"/>
  <c r="N56" i="22" s="1"/>
  <c r="O56" i="22" s="1"/>
  <c r="R56" i="22" s="1"/>
  <c r="K91" i="22"/>
  <c r="L91" i="22" s="1"/>
  <c r="N91" i="22" s="1"/>
  <c r="O91" i="22" s="1"/>
  <c r="R91" i="22" s="1"/>
  <c r="K221" i="22"/>
  <c r="L221" i="22" s="1"/>
  <c r="N221" i="22" s="1"/>
  <c r="O221" i="22" s="1"/>
  <c r="R221" i="22" s="1"/>
  <c r="K115" i="22"/>
  <c r="L115" i="22" s="1"/>
  <c r="N115" i="22" s="1"/>
  <c r="O115" i="22" s="1"/>
  <c r="R115" i="22" s="1"/>
  <c r="K66" i="22"/>
  <c r="L66" i="22" s="1"/>
  <c r="N66" i="22" s="1"/>
  <c r="O66" i="22" s="1"/>
  <c r="R66" i="22" s="1"/>
  <c r="K30" i="22"/>
  <c r="L30" i="22" s="1"/>
  <c r="N30" i="22" s="1"/>
  <c r="O30" i="22" s="1"/>
  <c r="R30" i="22" s="1"/>
  <c r="K183" i="22"/>
  <c r="L183" i="22" s="1"/>
  <c r="N183" i="22" s="1"/>
  <c r="O183" i="22" s="1"/>
  <c r="R183" i="22" s="1"/>
  <c r="K223" i="22"/>
  <c r="L223" i="22" s="1"/>
  <c r="N223" i="22" s="1"/>
  <c r="O223" i="22" s="1"/>
  <c r="R223" i="22" s="1"/>
  <c r="K144" i="22"/>
  <c r="L144" i="22" s="1"/>
  <c r="N144" i="22" s="1"/>
  <c r="O144" i="22" s="1"/>
  <c r="R144" i="22" s="1"/>
  <c r="K117" i="22"/>
  <c r="L117" i="22" s="1"/>
  <c r="N117" i="22" s="1"/>
  <c r="O117" i="22" s="1"/>
  <c r="R117" i="22" s="1"/>
  <c r="K18" i="22"/>
  <c r="L18" i="22" s="1"/>
  <c r="N18" i="22" s="1"/>
  <c r="O18" i="22" s="1"/>
  <c r="R18" i="22" s="1"/>
  <c r="K260" i="22"/>
  <c r="L260" i="22" s="1"/>
  <c r="N260" i="22" s="1"/>
  <c r="O260" i="22" s="1"/>
  <c r="R260" i="22" s="1"/>
  <c r="K31" i="22"/>
  <c r="L31" i="22" s="1"/>
  <c r="N31" i="22" s="1"/>
  <c r="O31" i="22" s="1"/>
  <c r="R31" i="22" s="1"/>
  <c r="K198" i="22"/>
  <c r="L198" i="22" s="1"/>
  <c r="N198" i="22" s="1"/>
  <c r="O198" i="22" s="1"/>
  <c r="R198" i="22" s="1"/>
  <c r="K179" i="22"/>
  <c r="L179" i="22" s="1"/>
  <c r="N179" i="22" s="1"/>
  <c r="O179" i="22" s="1"/>
  <c r="R179" i="22" s="1"/>
  <c r="K170" i="22"/>
  <c r="L170" i="22" s="1"/>
  <c r="N170" i="22" s="1"/>
  <c r="O170" i="22" s="1"/>
  <c r="R170" i="22" s="1"/>
  <c r="K248" i="22"/>
  <c r="L248" i="22" s="1"/>
  <c r="N248" i="22" s="1"/>
  <c r="O248" i="22" s="1"/>
  <c r="R248" i="22" s="1"/>
  <c r="K86" i="22"/>
  <c r="L86" i="22" s="1"/>
  <c r="N86" i="22" s="1"/>
  <c r="O86" i="22" s="1"/>
  <c r="K145" i="22"/>
  <c r="L145" i="22" s="1"/>
  <c r="N145" i="22" s="1"/>
  <c r="O145" i="22" s="1"/>
  <c r="R145" i="22" s="1"/>
  <c r="K225" i="22"/>
  <c r="L225" i="22" s="1"/>
  <c r="N225" i="22" s="1"/>
  <c r="O225" i="22" s="1"/>
  <c r="R225" i="22" s="1"/>
  <c r="K196" i="22"/>
  <c r="L196" i="22" s="1"/>
  <c r="N196" i="22" s="1"/>
  <c r="O196" i="22" s="1"/>
  <c r="R196" i="22" s="1"/>
  <c r="K226" i="22"/>
  <c r="L226" i="22" s="1"/>
  <c r="N226" i="22" s="1"/>
  <c r="O226" i="22" s="1"/>
  <c r="R226" i="22" s="1"/>
  <c r="K243" i="22"/>
  <c r="L243" i="22" s="1"/>
  <c r="N243" i="22" s="1"/>
  <c r="O243" i="22" s="1"/>
  <c r="R243" i="22" s="1"/>
  <c r="K256" i="22"/>
  <c r="L256" i="22" s="1"/>
  <c r="N256" i="22" s="1"/>
  <c r="O256" i="22" s="1"/>
  <c r="R256" i="22" s="1"/>
  <c r="K177" i="22"/>
  <c r="L177" i="22" s="1"/>
  <c r="N177" i="22" s="1"/>
  <c r="O177" i="22" s="1"/>
  <c r="R177" i="22" s="1"/>
  <c r="K130" i="22"/>
  <c r="L130" i="22" s="1"/>
  <c r="N130" i="22" s="1"/>
  <c r="O130" i="22" s="1"/>
  <c r="R130" i="22" s="1"/>
  <c r="K216" i="22"/>
  <c r="L216" i="22" s="1"/>
  <c r="N216" i="22" s="1"/>
  <c r="O216" i="22" s="1"/>
  <c r="R216" i="22" s="1"/>
  <c r="K147" i="22"/>
  <c r="L147" i="22" s="1"/>
  <c r="N147" i="22" s="1"/>
  <c r="O147" i="22" s="1"/>
  <c r="R147" i="22" s="1"/>
  <c r="K125" i="22"/>
  <c r="L125" i="22" s="1"/>
  <c r="N125" i="22" s="1"/>
  <c r="O125" i="22" s="1"/>
  <c r="R125" i="22" s="1"/>
  <c r="K285" i="22"/>
  <c r="L285" i="22" s="1"/>
  <c r="N285" i="22" s="1"/>
  <c r="O285" i="22" s="1"/>
  <c r="R285" i="22" s="1"/>
  <c r="K48" i="22"/>
  <c r="L48" i="22" s="1"/>
  <c r="N48" i="22" s="1"/>
  <c r="O48" i="22" s="1"/>
  <c r="K83" i="22"/>
  <c r="L83" i="22" s="1"/>
  <c r="N83" i="22" s="1"/>
  <c r="O83" i="22" s="1"/>
  <c r="R83" i="22" s="1"/>
  <c r="K25" i="22"/>
  <c r="L25" i="22" s="1"/>
  <c r="N25" i="22" s="1"/>
  <c r="O25" i="22" s="1"/>
  <c r="R25" i="22" s="1"/>
  <c r="K116" i="22"/>
  <c r="L116" i="22" s="1"/>
  <c r="N116" i="22" s="1"/>
  <c r="O116" i="22" s="1"/>
  <c r="K5" i="22"/>
  <c r="L5" i="22" s="1"/>
  <c r="N5" i="22" s="1"/>
  <c r="O5" i="22" s="1"/>
  <c r="K103" i="22"/>
  <c r="L103" i="22" s="1"/>
  <c r="N103" i="22" s="1"/>
  <c r="O103" i="22" s="1"/>
  <c r="R103" i="22" s="1"/>
  <c r="K244" i="22"/>
  <c r="L244" i="22" s="1"/>
  <c r="N244" i="22" s="1"/>
  <c r="O244" i="22" s="1"/>
  <c r="R244" i="22" s="1"/>
  <c r="K276" i="22"/>
  <c r="L276" i="22" s="1"/>
  <c r="N276" i="22" s="1"/>
  <c r="O276" i="22" s="1"/>
  <c r="R276" i="22" s="1"/>
  <c r="K286" i="22"/>
  <c r="L286" i="22" s="1"/>
  <c r="N286" i="22" s="1"/>
  <c r="O286" i="22" s="1"/>
  <c r="R286" i="22" s="1"/>
  <c r="K229" i="22"/>
  <c r="L229" i="22" s="1"/>
  <c r="N229" i="22" s="1"/>
  <c r="O229" i="22" s="1"/>
  <c r="R229" i="22" s="1"/>
  <c r="K38" i="22"/>
  <c r="L38" i="22" s="1"/>
  <c r="N38" i="22" s="1"/>
  <c r="O38" i="22" s="1"/>
  <c r="R38" i="22" s="1"/>
  <c r="K108" i="22"/>
  <c r="L108" i="22" s="1"/>
  <c r="N108" i="22" s="1"/>
  <c r="O108" i="22" s="1"/>
  <c r="K238" i="22"/>
  <c r="L238" i="22" s="1"/>
  <c r="N238" i="22" s="1"/>
  <c r="O238" i="22" s="1"/>
  <c r="R238" i="22" s="1"/>
  <c r="K258" i="22"/>
  <c r="L258" i="22" s="1"/>
  <c r="N258" i="22" s="1"/>
  <c r="O258" i="22" s="1"/>
  <c r="R258" i="22" s="1"/>
  <c r="K122" i="22"/>
  <c r="L122" i="22" s="1"/>
  <c r="N122" i="22" s="1"/>
  <c r="O122" i="22" s="1"/>
  <c r="R122" i="22" s="1"/>
  <c r="K158" i="22"/>
  <c r="L158" i="22" s="1"/>
  <c r="N158" i="22" s="1"/>
  <c r="O158" i="22" s="1"/>
  <c r="R158" i="22" s="1"/>
  <c r="K289" i="22"/>
  <c r="L289" i="22" s="1"/>
  <c r="N289" i="22" s="1"/>
  <c r="O289" i="22" s="1"/>
  <c r="R289" i="22" s="1"/>
  <c r="K220" i="22"/>
  <c r="L220" i="22" s="1"/>
  <c r="N220" i="22" s="1"/>
  <c r="O220" i="22" s="1"/>
  <c r="R220" i="22" s="1"/>
  <c r="K250" i="22"/>
  <c r="L250" i="22" s="1"/>
  <c r="N250" i="22" s="1"/>
  <c r="O250" i="22" s="1"/>
  <c r="R250" i="22" s="1"/>
  <c r="K261" i="22"/>
  <c r="L261" i="22" s="1"/>
  <c r="N261" i="22" s="1"/>
  <c r="O261" i="22" s="1"/>
  <c r="R261" i="22" s="1"/>
  <c r="K6" i="22"/>
  <c r="L6" i="22" s="1"/>
  <c r="N6" i="22" s="1"/>
  <c r="O6" i="22" s="1"/>
  <c r="R6" i="22" s="1"/>
  <c r="K163" i="22"/>
  <c r="L163" i="22" s="1"/>
  <c r="N163" i="22" s="1"/>
  <c r="O163" i="22" s="1"/>
  <c r="R163" i="22" s="1"/>
  <c r="K39" i="22"/>
  <c r="L39" i="22" s="1"/>
  <c r="N39" i="22" s="1"/>
  <c r="O39" i="22" s="1"/>
  <c r="R39" i="22" s="1"/>
  <c r="K241" i="22"/>
  <c r="L241" i="22" s="1"/>
  <c r="N241" i="22" s="1"/>
  <c r="O241" i="22" s="1"/>
  <c r="R241" i="22" s="1"/>
  <c r="K185" i="22"/>
  <c r="L185" i="22" s="1"/>
  <c r="N185" i="22" s="1"/>
  <c r="O185" i="22" s="1"/>
  <c r="R185" i="22" s="1"/>
  <c r="K194" i="22"/>
  <c r="L194" i="22" s="1"/>
  <c r="N194" i="22" s="1"/>
  <c r="O194" i="22" s="1"/>
  <c r="R194" i="22" s="1"/>
  <c r="K136" i="22"/>
  <c r="L136" i="22" s="1"/>
  <c r="N136" i="22" s="1"/>
  <c r="O136" i="22" s="1"/>
  <c r="R136" i="22" s="1"/>
  <c r="K291" i="22"/>
  <c r="L291" i="22" s="1"/>
  <c r="N291" i="22" s="1"/>
  <c r="O291" i="22" s="1"/>
  <c r="R291" i="22" s="1"/>
  <c r="K111" i="22"/>
  <c r="L111" i="22" s="1"/>
  <c r="N111" i="22" s="1"/>
  <c r="O111" i="22" s="1"/>
  <c r="R111" i="22" s="1"/>
  <c r="K13" i="22"/>
  <c r="L13" i="22" s="1"/>
  <c r="N13" i="22" s="1"/>
  <c r="O13" i="22" s="1"/>
  <c r="R13" i="22" s="1"/>
  <c r="K228" i="22"/>
  <c r="L228" i="22" s="1"/>
  <c r="N228" i="22" s="1"/>
  <c r="O228" i="22" s="1"/>
  <c r="R228" i="22" s="1"/>
  <c r="K268" i="22"/>
  <c r="L268" i="22" s="1"/>
  <c r="N268" i="22" s="1"/>
  <c r="O268" i="22" s="1"/>
  <c r="R268" i="22" s="1"/>
  <c r="K275" i="22"/>
  <c r="L275" i="22" s="1"/>
  <c r="N275" i="22" s="1"/>
  <c r="O275" i="22" s="1"/>
  <c r="R275" i="22" s="1"/>
  <c r="K161" i="22"/>
  <c r="L161" i="22" s="1"/>
  <c r="N161" i="22" s="1"/>
  <c r="O161" i="22" s="1"/>
  <c r="R161" i="22" s="1"/>
  <c r="K55" i="22"/>
  <c r="L55" i="22" s="1"/>
  <c r="N55" i="22" s="1"/>
  <c r="O55" i="22" s="1"/>
  <c r="R55" i="22" s="1"/>
  <c r="K201" i="22"/>
  <c r="L201" i="22" s="1"/>
  <c r="N201" i="22" s="1"/>
  <c r="O201" i="22" s="1"/>
  <c r="R201" i="22" s="1"/>
  <c r="K61" i="22"/>
  <c r="L61" i="22" s="1"/>
  <c r="N61" i="22" s="1"/>
  <c r="O61" i="22" s="1"/>
  <c r="R61" i="22" s="1"/>
  <c r="K249" i="22"/>
  <c r="L249" i="22" s="1"/>
  <c r="N249" i="22" s="1"/>
  <c r="O249" i="22" s="1"/>
  <c r="R249" i="22" s="1"/>
  <c r="K11" i="22"/>
  <c r="L11" i="22" s="1"/>
  <c r="N11" i="22" s="1"/>
  <c r="O11" i="22" s="1"/>
  <c r="R11" i="22" s="1"/>
  <c r="K22" i="22"/>
  <c r="L22" i="22" s="1"/>
  <c r="N22" i="22" s="1"/>
  <c r="O22" i="22" s="1"/>
  <c r="R22" i="22" s="1"/>
  <c r="K10" i="22"/>
  <c r="L10" i="22" s="1"/>
  <c r="N10" i="22" s="1"/>
  <c r="O10" i="22" s="1"/>
  <c r="R10" i="22" s="1"/>
  <c r="K127" i="22"/>
  <c r="L127" i="22" s="1"/>
  <c r="N127" i="22" s="1"/>
  <c r="O127" i="22" s="1"/>
  <c r="R127" i="22" s="1"/>
  <c r="K97" i="22"/>
  <c r="L97" i="22" s="1"/>
  <c r="N97" i="22" s="1"/>
  <c r="O97" i="22" s="1"/>
  <c r="R97" i="22" s="1"/>
  <c r="K284" i="22"/>
  <c r="L284" i="22" s="1"/>
  <c r="N284" i="22" s="1"/>
  <c r="O284" i="22" s="1"/>
  <c r="R284" i="22" s="1"/>
  <c r="K101" i="22"/>
  <c r="L101" i="22" s="1"/>
  <c r="N101" i="22" s="1"/>
  <c r="O101" i="22" s="1"/>
  <c r="R101" i="22" s="1"/>
  <c r="K104" i="22"/>
  <c r="L104" i="22" s="1"/>
  <c r="N104" i="22" s="1"/>
  <c r="O104" i="22" s="1"/>
  <c r="R104" i="22" s="1"/>
  <c r="K137" i="22"/>
  <c r="L137" i="22" s="1"/>
  <c r="N137" i="22" s="1"/>
  <c r="O137" i="22" s="1"/>
  <c r="R137" i="22" s="1"/>
  <c r="K32" i="22"/>
  <c r="L32" i="22" s="1"/>
  <c r="N32" i="22" s="1"/>
  <c r="O32" i="22" s="1"/>
  <c r="R32" i="22" s="1"/>
  <c r="K184" i="22"/>
  <c r="L184" i="22" s="1"/>
  <c r="N184" i="22" s="1"/>
  <c r="O184" i="22" s="1"/>
  <c r="R184" i="22" s="1"/>
  <c r="K246" i="22"/>
  <c r="L246" i="22" s="1"/>
  <c r="N246" i="22" s="1"/>
  <c r="O246" i="22" s="1"/>
  <c r="R246" i="22" s="1"/>
  <c r="K76" i="22"/>
  <c r="L76" i="22" s="1"/>
  <c r="N76" i="22" s="1"/>
  <c r="O76" i="22" s="1"/>
  <c r="R76" i="22" s="1"/>
  <c r="K190" i="22"/>
  <c r="L190" i="22" s="1"/>
  <c r="N190" i="22" s="1"/>
  <c r="O190" i="22" s="1"/>
  <c r="R190" i="22" s="1"/>
  <c r="K70" i="22"/>
  <c r="L70" i="22" s="1"/>
  <c r="N70" i="22" s="1"/>
  <c r="O70" i="22" s="1"/>
  <c r="R70" i="22" s="1"/>
  <c r="K160" i="22"/>
  <c r="L160" i="22" s="1"/>
  <c r="N160" i="22" s="1"/>
  <c r="O160" i="22" s="1"/>
  <c r="R160" i="22" s="1"/>
  <c r="K82" i="22"/>
  <c r="L82" i="22" s="1"/>
  <c r="N82" i="22" s="1"/>
  <c r="O82" i="22" s="1"/>
  <c r="K50" i="22"/>
  <c r="L50" i="22" s="1"/>
  <c r="N50" i="22" s="1"/>
  <c r="O50" i="22" s="1"/>
  <c r="R50" i="22" s="1"/>
  <c r="K217" i="22"/>
  <c r="L217" i="22" s="1"/>
  <c r="N217" i="22" s="1"/>
  <c r="O217" i="22" s="1"/>
  <c r="R217" i="22" s="1"/>
  <c r="K64" i="22"/>
  <c r="L64" i="22" s="1"/>
  <c r="N64" i="22" s="1"/>
  <c r="O64" i="22" s="1"/>
  <c r="R64" i="22" s="1"/>
  <c r="K69" i="22"/>
  <c r="L69" i="22" s="1"/>
  <c r="N69" i="22" s="1"/>
  <c r="O69" i="22" s="1"/>
  <c r="R69" i="22" s="1"/>
  <c r="K207" i="22"/>
  <c r="L207" i="22" s="1"/>
  <c r="N207" i="22" s="1"/>
  <c r="O207" i="22" s="1"/>
  <c r="R207" i="22" s="1"/>
  <c r="K133" i="22"/>
  <c r="L133" i="22" s="1"/>
  <c r="N133" i="22" s="1"/>
  <c r="O133" i="22" s="1"/>
  <c r="R133" i="22" s="1"/>
  <c r="K58" i="22"/>
  <c r="L58" i="22" s="1"/>
  <c r="N58" i="22" s="1"/>
  <c r="O58" i="22" s="1"/>
  <c r="R58" i="22" s="1"/>
  <c r="K149" i="22"/>
  <c r="L149" i="22" s="1"/>
  <c r="N149" i="22" s="1"/>
  <c r="O149" i="22" s="1"/>
  <c r="K164" i="22"/>
  <c r="L164" i="22" s="1"/>
  <c r="N164" i="22" s="1"/>
  <c r="O164" i="22" s="1"/>
  <c r="R164" i="22" s="1"/>
  <c r="K51" i="22"/>
  <c r="L51" i="22" s="1"/>
  <c r="N51" i="22" s="1"/>
  <c r="O51" i="22" s="1"/>
  <c r="R51" i="22" s="1"/>
  <c r="K146" i="22"/>
  <c r="L146" i="22" s="1"/>
  <c r="N146" i="22" s="1"/>
  <c r="O146" i="22" s="1"/>
  <c r="R146" i="22" s="1"/>
  <c r="K255" i="22"/>
  <c r="L255" i="22" s="1"/>
  <c r="N255" i="22" s="1"/>
  <c r="O255" i="22" s="1"/>
  <c r="R255" i="22" s="1"/>
  <c r="K264" i="22"/>
  <c r="L264" i="22" s="1"/>
  <c r="N264" i="22" s="1"/>
  <c r="O264" i="22" s="1"/>
  <c r="R264" i="22" s="1"/>
  <c r="K120" i="22"/>
  <c r="L120" i="22" s="1"/>
  <c r="N120" i="22" s="1"/>
  <c r="O120" i="22" s="1"/>
  <c r="R120" i="22" s="1"/>
  <c r="K175" i="22"/>
  <c r="L175" i="22" s="1"/>
  <c r="N175" i="22" s="1"/>
  <c r="O175" i="22" s="1"/>
  <c r="R175" i="22" s="1"/>
  <c r="K259" i="22"/>
  <c r="L259" i="22" s="1"/>
  <c r="N259" i="22" s="1"/>
  <c r="O259" i="22" s="1"/>
  <c r="R259" i="22" s="1"/>
  <c r="K279" i="22"/>
  <c r="L279" i="22" s="1"/>
  <c r="N279" i="22" s="1"/>
  <c r="O279" i="22" s="1"/>
  <c r="R279" i="22" s="1"/>
  <c r="K7" i="22"/>
  <c r="L7" i="22" s="1"/>
  <c r="N7" i="22" s="1"/>
  <c r="O7" i="22" s="1"/>
  <c r="R7" i="22" s="1"/>
  <c r="K23" i="22"/>
  <c r="L23" i="22" s="1"/>
  <c r="N23" i="22" s="1"/>
  <c r="O23" i="22" s="1"/>
  <c r="R23" i="22" s="1"/>
  <c r="K92" i="22"/>
  <c r="L92" i="22" s="1"/>
  <c r="N92" i="22" s="1"/>
  <c r="O92" i="22" s="1"/>
  <c r="R92" i="22" s="1"/>
  <c r="K40" i="22"/>
  <c r="L40" i="22" s="1"/>
  <c r="N40" i="22" s="1"/>
  <c r="O40" i="22" s="1"/>
  <c r="R40" i="22" s="1"/>
  <c r="K128" i="22"/>
  <c r="L128" i="22" s="1"/>
  <c r="N128" i="22" s="1"/>
  <c r="O128" i="22" s="1"/>
  <c r="R128" i="22" s="1"/>
  <c r="K67" i="22"/>
  <c r="L67" i="22" s="1"/>
  <c r="N67" i="22" s="1"/>
  <c r="O67" i="22" s="1"/>
  <c r="R67" i="22" s="1"/>
  <c r="K172" i="22"/>
  <c r="L172" i="22" s="1"/>
  <c r="N172" i="22" s="1"/>
  <c r="O172" i="22" s="1"/>
  <c r="R172" i="22" s="1"/>
  <c r="K27" i="22"/>
  <c r="L27" i="22" s="1"/>
  <c r="N27" i="22" s="1"/>
  <c r="O27" i="22" s="1"/>
  <c r="R27" i="22" s="1"/>
  <c r="K262" i="22"/>
  <c r="L262" i="22" s="1"/>
  <c r="N262" i="22" s="1"/>
  <c r="O262" i="22" s="1"/>
  <c r="R262" i="22" s="1"/>
  <c r="K153" i="22"/>
  <c r="L153" i="22" s="1"/>
  <c r="N153" i="22" s="1"/>
  <c r="O153" i="22" s="1"/>
  <c r="R153" i="22" s="1"/>
  <c r="K231" i="22"/>
  <c r="L231" i="22" s="1"/>
  <c r="N231" i="22" s="1"/>
  <c r="O231" i="22" s="1"/>
  <c r="R231" i="22" s="1"/>
  <c r="K252" i="22"/>
  <c r="L252" i="22" s="1"/>
  <c r="N252" i="22" s="1"/>
  <c r="O252" i="22" s="1"/>
  <c r="R252" i="22" s="1"/>
  <c r="K292" i="22"/>
  <c r="L292" i="22" s="1"/>
  <c r="N292" i="22" s="1"/>
  <c r="O292" i="22" s="1"/>
  <c r="R292" i="22" s="1"/>
  <c r="K88" i="22"/>
  <c r="L88" i="22" s="1"/>
  <c r="N88" i="22" s="1"/>
  <c r="O88" i="22" s="1"/>
  <c r="R88" i="22" s="1"/>
  <c r="K62" i="22"/>
  <c r="L62" i="22" s="1"/>
  <c r="N62" i="22" s="1"/>
  <c r="O62" i="22" s="1"/>
  <c r="R62" i="22" s="1"/>
  <c r="K230" i="22"/>
  <c r="L230" i="22" s="1"/>
  <c r="N230" i="22" s="1"/>
  <c r="O230" i="22" s="1"/>
  <c r="R230" i="22" s="1"/>
  <c r="K65" i="22"/>
  <c r="L65" i="22" s="1"/>
  <c r="N65" i="22" s="1"/>
  <c r="O65" i="22" s="1"/>
  <c r="R65" i="22" s="1"/>
  <c r="K126" i="22"/>
  <c r="L126" i="22" s="1"/>
  <c r="N126" i="22" s="1"/>
  <c r="O126" i="22" s="1"/>
  <c r="R126" i="22" s="1"/>
  <c r="K168" i="22"/>
  <c r="L168" i="22" s="1"/>
  <c r="N168" i="22" s="1"/>
  <c r="O168" i="22" s="1"/>
  <c r="R168" i="22" s="1"/>
  <c r="K139" i="22"/>
  <c r="L139" i="22" s="1"/>
  <c r="N139" i="22" s="1"/>
  <c r="O139" i="22" s="1"/>
  <c r="R139" i="22" s="1"/>
  <c r="K150" i="22"/>
  <c r="L150" i="22" s="1"/>
  <c r="N150" i="22" s="1"/>
  <c r="O150" i="22" s="1"/>
  <c r="R150" i="22" s="1"/>
  <c r="K266" i="22"/>
  <c r="L266" i="22" s="1"/>
  <c r="N266" i="22" s="1"/>
  <c r="O266" i="22" s="1"/>
  <c r="R266" i="22" s="1"/>
  <c r="K90" i="22"/>
  <c r="L90" i="22" s="1"/>
  <c r="N90" i="22" s="1"/>
  <c r="O90" i="22" s="1"/>
  <c r="K192" i="22"/>
  <c r="L192" i="22" s="1"/>
  <c r="N192" i="22" s="1"/>
  <c r="O192" i="22" s="1"/>
  <c r="R192" i="22" s="1"/>
  <c r="K45" i="22"/>
  <c r="L45" i="22" s="1"/>
  <c r="N45" i="22" s="1"/>
  <c r="O45" i="22" s="1"/>
  <c r="R45" i="22" s="1"/>
  <c r="K278" i="22"/>
  <c r="L278" i="22" s="1"/>
  <c r="N278" i="22" s="1"/>
  <c r="O278" i="22" s="1"/>
  <c r="R278" i="22" s="1"/>
  <c r="K206" i="22"/>
  <c r="L206" i="22" s="1"/>
  <c r="N206" i="22" s="1"/>
  <c r="O206" i="22" s="1"/>
  <c r="R206" i="22" s="1"/>
  <c r="K210" i="22"/>
  <c r="L210" i="22" s="1"/>
  <c r="N210" i="22" s="1"/>
  <c r="O210" i="22" s="1"/>
  <c r="R210" i="22" s="1"/>
  <c r="K21" i="22"/>
  <c r="L21" i="22" s="1"/>
  <c r="N21" i="22" s="1"/>
  <c r="O21" i="22" s="1"/>
  <c r="R21" i="22" s="1"/>
  <c r="K94" i="22"/>
  <c r="L94" i="22" s="1"/>
  <c r="N94" i="22" s="1"/>
  <c r="O94" i="22" s="1"/>
  <c r="R94" i="22" s="1"/>
  <c r="K227" i="22"/>
  <c r="L227" i="22" s="1"/>
  <c r="N227" i="22" s="1"/>
  <c r="O227" i="22" s="1"/>
  <c r="R227" i="22" s="1"/>
  <c r="K47" i="22"/>
  <c r="L47" i="22" s="1"/>
  <c r="N47" i="22" s="1"/>
  <c r="O47" i="22" s="1"/>
  <c r="R47" i="22" s="1"/>
  <c r="K79" i="22"/>
  <c r="L79" i="22" s="1"/>
  <c r="N79" i="22" s="1"/>
  <c r="O79" i="22" s="1"/>
  <c r="R79" i="22" s="1"/>
  <c r="K218" i="22"/>
  <c r="L218" i="22" s="1"/>
  <c r="N218" i="22" s="1"/>
  <c r="O218" i="22" s="1"/>
  <c r="R218" i="22" s="1"/>
  <c r="K152" i="22"/>
  <c r="L152" i="22" s="1"/>
  <c r="N152" i="22" s="1"/>
  <c r="O152" i="22" s="1"/>
  <c r="R152" i="22" s="1"/>
  <c r="K159" i="22"/>
  <c r="L159" i="22" s="1"/>
  <c r="N159" i="22" s="1"/>
  <c r="O159" i="22" s="1"/>
  <c r="R159" i="22" s="1"/>
  <c r="K186" i="22"/>
  <c r="L186" i="22" s="1"/>
  <c r="N186" i="22" s="1"/>
  <c r="O186" i="22" s="1"/>
  <c r="R186" i="22" s="1"/>
  <c r="K72" i="22"/>
  <c r="L72" i="22" s="1"/>
  <c r="N72" i="22" s="1"/>
  <c r="O72" i="22" s="1"/>
  <c r="R72" i="22" s="1"/>
  <c r="K26" i="22"/>
  <c r="L26" i="22" s="1"/>
  <c r="N26" i="22" s="1"/>
  <c r="O26" i="22" s="1"/>
  <c r="R26" i="22" s="1"/>
  <c r="K295" i="22"/>
  <c r="K102" i="22"/>
  <c r="L102" i="22" s="1"/>
  <c r="N102" i="22" s="1"/>
  <c r="O102" i="22" s="1"/>
  <c r="R102" i="22" s="1"/>
  <c r="K282" i="22"/>
  <c r="L282" i="22" s="1"/>
  <c r="N282" i="22" s="1"/>
  <c r="O282" i="22" s="1"/>
  <c r="R282" i="22" s="1"/>
  <c r="K93" i="22"/>
  <c r="L93" i="22" s="1"/>
  <c r="N93" i="22" s="1"/>
  <c r="O93" i="22" s="1"/>
  <c r="R93" i="22" s="1"/>
  <c r="K87" i="22"/>
  <c r="L87" i="22" s="1"/>
  <c r="N87" i="22" s="1"/>
  <c r="O87" i="22" s="1"/>
  <c r="R87" i="22" s="1"/>
  <c r="K17" i="22"/>
  <c r="L17" i="22" s="1"/>
  <c r="N17" i="22" s="1"/>
  <c r="O17" i="22" s="1"/>
  <c r="R17" i="22" s="1"/>
  <c r="K237" i="22"/>
  <c r="L237" i="22" s="1"/>
  <c r="N237" i="22" s="1"/>
  <c r="O237" i="22" s="1"/>
  <c r="R237" i="22" s="1"/>
  <c r="K271" i="22"/>
  <c r="L271" i="22" s="1"/>
  <c r="N271" i="22" s="1"/>
  <c r="O271" i="22" s="1"/>
  <c r="R271" i="22" s="1"/>
  <c r="K254" i="22"/>
  <c r="L254" i="22" s="1"/>
  <c r="N254" i="22" s="1"/>
  <c r="O254" i="22" s="1"/>
  <c r="R254" i="22" s="1"/>
  <c r="K112" i="22"/>
  <c r="L112" i="22" s="1"/>
  <c r="N112" i="22" s="1"/>
  <c r="O112" i="22" s="1"/>
  <c r="R112" i="22" s="1"/>
  <c r="K187" i="22"/>
  <c r="L187" i="22" s="1"/>
  <c r="N187" i="22" s="1"/>
  <c r="O187" i="22" s="1"/>
  <c r="R187" i="22" s="1"/>
  <c r="K53" i="22"/>
  <c r="L53" i="22" s="1"/>
  <c r="N53" i="22" s="1"/>
  <c r="O53" i="22" s="1"/>
  <c r="R53" i="22" s="1"/>
  <c r="K74" i="22"/>
  <c r="L74" i="22" s="1"/>
  <c r="N74" i="22" s="1"/>
  <c r="O74" i="22" s="1"/>
  <c r="R74" i="22" s="1"/>
  <c r="K253" i="22"/>
  <c r="L253" i="22" s="1"/>
  <c r="N253" i="22" s="1"/>
  <c r="O253" i="22" s="1"/>
  <c r="R253" i="22" s="1"/>
  <c r="K143" i="22"/>
  <c r="L143" i="22" s="1"/>
  <c r="N143" i="22" s="1"/>
  <c r="O143" i="22" s="1"/>
  <c r="R143" i="22" s="1"/>
  <c r="K166" i="22"/>
  <c r="L166" i="22" s="1"/>
  <c r="N166" i="22" s="1"/>
  <c r="O166" i="22" s="1"/>
  <c r="R166" i="22" s="1"/>
  <c r="K14" i="22"/>
  <c r="L14" i="22" s="1"/>
  <c r="N14" i="22" s="1"/>
  <c r="O14" i="22" s="1"/>
  <c r="R14" i="22" s="1"/>
  <c r="K98" i="22"/>
  <c r="L98" i="22" s="1"/>
  <c r="N98" i="22" s="1"/>
  <c r="O98" i="22" s="1"/>
  <c r="R98" i="22" s="1"/>
  <c r="K24" i="22"/>
  <c r="L24" i="22" s="1"/>
  <c r="N24" i="22" s="1"/>
  <c r="O24" i="22" s="1"/>
  <c r="R24" i="22" s="1"/>
  <c r="K28" i="22"/>
  <c r="L28" i="22" s="1"/>
  <c r="N28" i="22" s="1"/>
  <c r="O28" i="22" s="1"/>
  <c r="R28" i="22" s="1"/>
  <c r="K16" i="22"/>
  <c r="L16" i="22" s="1"/>
  <c r="N16" i="22" s="1"/>
  <c r="O16" i="22" s="1"/>
  <c r="R16" i="22" s="1"/>
  <c r="K41" i="22"/>
  <c r="L41" i="22" s="1"/>
  <c r="N41" i="22" s="1"/>
  <c r="O41" i="22" s="1"/>
  <c r="R41" i="22" s="1"/>
  <c r="J361" i="22"/>
  <c r="J363" i="22" s="1"/>
  <c r="K68" i="22"/>
  <c r="L68" i="22" s="1"/>
  <c r="N68" i="22" s="1"/>
  <c r="O68" i="22" s="1"/>
  <c r="R68" i="22" s="1"/>
  <c r="K99" i="22"/>
  <c r="L99" i="22" s="1"/>
  <c r="N99" i="22" s="1"/>
  <c r="O99" i="22" s="1"/>
  <c r="R99" i="22" s="1"/>
  <c r="K63" i="22"/>
  <c r="L63" i="22" s="1"/>
  <c r="N63" i="22" s="1"/>
  <c r="O63" i="22" s="1"/>
  <c r="R63" i="22" s="1"/>
  <c r="K110" i="22"/>
  <c r="L110" i="22" s="1"/>
  <c r="N110" i="22" s="1"/>
  <c r="O110" i="22" s="1"/>
  <c r="R110" i="22" s="1"/>
  <c r="K290" i="22"/>
  <c r="L290" i="22" s="1"/>
  <c r="N290" i="22" s="1"/>
  <c r="O290" i="22" s="1"/>
  <c r="R290" i="22" s="1"/>
  <c r="K140" i="22"/>
  <c r="L140" i="22" s="1"/>
  <c r="N140" i="22" s="1"/>
  <c r="O140" i="22" s="1"/>
  <c r="R140" i="22" s="1"/>
  <c r="K283" i="22"/>
  <c r="L283" i="22" s="1"/>
  <c r="N283" i="22" s="1"/>
  <c r="O283" i="22" s="1"/>
  <c r="R283" i="22" s="1"/>
  <c r="K277" i="22"/>
  <c r="L277" i="22" s="1"/>
  <c r="N277" i="22" s="1"/>
  <c r="O277" i="22" s="1"/>
  <c r="R277" i="22" s="1"/>
  <c r="R348" i="22"/>
  <c r="O360" i="22"/>
  <c r="R360" i="22" s="1"/>
  <c r="N303" i="22"/>
  <c r="O303" i="22" s="1"/>
  <c r="R303" i="22" s="1"/>
  <c r="N342" i="22"/>
  <c r="O342" i="22" s="1"/>
  <c r="R342" i="22" s="1"/>
  <c r="N305" i="22"/>
  <c r="O305" i="22" s="1"/>
  <c r="R305" i="22" s="1"/>
  <c r="N333" i="22"/>
  <c r="O333" i="22" s="1"/>
  <c r="R333" i="22" s="1"/>
  <c r="N345" i="22"/>
  <c r="O345" i="22" s="1"/>
  <c r="R345" i="22" s="1"/>
  <c r="N330" i="22"/>
  <c r="O330" i="22" s="1"/>
  <c r="R330" i="22" s="1"/>
  <c r="N299" i="22"/>
  <c r="O299" i="22" s="1"/>
  <c r="R299" i="22" s="1"/>
  <c r="N306" i="22"/>
  <c r="O306" i="22" s="1"/>
  <c r="R306" i="22" s="1"/>
  <c r="N313" i="22"/>
  <c r="O313" i="22" s="1"/>
  <c r="R313" i="22" s="1"/>
  <c r="N346" i="22"/>
  <c r="O346" i="22" s="1"/>
  <c r="R346" i="22" s="1"/>
  <c r="N297" i="22"/>
  <c r="O297" i="22" s="1"/>
  <c r="R297" i="22" s="1"/>
  <c r="N334" i="22"/>
  <c r="O334" i="22" s="1"/>
  <c r="R334" i="22" s="1"/>
  <c r="N298" i="22"/>
  <c r="O298" i="22" s="1"/>
  <c r="N296" i="22"/>
  <c r="O296" i="22" s="1"/>
  <c r="R296" i="22" s="1"/>
  <c r="N309" i="22"/>
  <c r="O309" i="22" s="1"/>
  <c r="R309" i="22" s="1"/>
  <c r="N315" i="22"/>
  <c r="O315" i="22" s="1"/>
  <c r="N300" i="22"/>
  <c r="O300" i="22" s="1"/>
  <c r="R300" i="22" s="1"/>
  <c r="N302" i="22"/>
  <c r="O302" i="22" s="1"/>
  <c r="R302" i="22" s="1"/>
  <c r="N335" i="22"/>
  <c r="O335" i="22" s="1"/>
  <c r="R335" i="22" s="1"/>
  <c r="N322" i="22"/>
  <c r="O322" i="22" s="1"/>
  <c r="R322" i="22" s="1"/>
  <c r="N318" i="22"/>
  <c r="O318" i="22" s="1"/>
  <c r="R318" i="22" s="1"/>
  <c r="N312" i="22"/>
  <c r="O312" i="22" s="1"/>
  <c r="R312" i="22" s="1"/>
  <c r="N317" i="22"/>
  <c r="O317" i="22" s="1"/>
  <c r="R317" i="22" s="1"/>
  <c r="N304" i="22"/>
  <c r="O304" i="22" s="1"/>
  <c r="R304" i="22" s="1"/>
  <c r="N307" i="22"/>
  <c r="O307" i="22" s="1"/>
  <c r="R307" i="22" s="1"/>
  <c r="N336" i="22"/>
  <c r="O336" i="22" s="1"/>
  <c r="R336" i="22" s="1"/>
  <c r="N337" i="22"/>
  <c r="O337" i="22" s="1"/>
  <c r="R337" i="22" s="1"/>
  <c r="N314" i="22"/>
  <c r="O314" i="22" s="1"/>
  <c r="R314" i="22" s="1"/>
  <c r="N324" i="22"/>
  <c r="O324" i="22" s="1"/>
  <c r="R324" i="22" s="1"/>
  <c r="N321" i="22"/>
  <c r="O321" i="22" s="1"/>
  <c r="R321" i="22" s="1"/>
  <c r="N308" i="22"/>
  <c r="O308" i="22" s="1"/>
  <c r="R308" i="22" s="1"/>
  <c r="N311" i="22"/>
  <c r="O311" i="22" s="1"/>
  <c r="R311" i="22" s="1"/>
  <c r="N340" i="22"/>
  <c r="O340" i="22" s="1"/>
  <c r="R340" i="22" s="1"/>
  <c r="N341" i="22"/>
  <c r="O341" i="22" s="1"/>
  <c r="R341" i="22" s="1"/>
  <c r="N319" i="22"/>
  <c r="O319" i="22" s="1"/>
  <c r="R319" i="22" s="1"/>
  <c r="N328" i="22"/>
  <c r="O328" i="22" s="1"/>
  <c r="R328" i="22" s="1"/>
  <c r="N323" i="22"/>
  <c r="O323" i="22" s="1"/>
  <c r="R323" i="22" s="1"/>
  <c r="N310" i="22"/>
  <c r="O310" i="22" s="1"/>
  <c r="R310" i="22" s="1"/>
  <c r="N316" i="22"/>
  <c r="O316" i="22" s="1"/>
  <c r="R316" i="22" s="1"/>
  <c r="N344" i="22"/>
  <c r="O344" i="22" s="1"/>
  <c r="R344" i="22" s="1"/>
  <c r="N339" i="22"/>
  <c r="O339" i="22" s="1"/>
  <c r="N326" i="22"/>
  <c r="O326" i="22" s="1"/>
  <c r="R326" i="22" s="1"/>
  <c r="N343" i="22"/>
  <c r="O343" i="22" s="1"/>
  <c r="R343" i="22" s="1"/>
  <c r="N327" i="22"/>
  <c r="O327" i="22" s="1"/>
  <c r="R327" i="22" s="1"/>
  <c r="N338" i="22"/>
  <c r="O338" i="22" s="1"/>
  <c r="R338" i="22" s="1"/>
  <c r="N320" i="22"/>
  <c r="O320" i="22" s="1"/>
  <c r="R320" i="22" s="1"/>
  <c r="N332" i="22"/>
  <c r="O332" i="22" s="1"/>
  <c r="R332" i="22" s="1"/>
  <c r="N331" i="22"/>
  <c r="O331" i="22" s="1"/>
  <c r="R331" i="22" s="1"/>
  <c r="N329" i="22"/>
  <c r="O329" i="22" s="1"/>
  <c r="R329" i="22" s="1"/>
  <c r="N301" i="22"/>
  <c r="O301" i="22" s="1"/>
  <c r="R301" i="22" s="1"/>
  <c r="N325" i="22"/>
  <c r="O325" i="22" s="1"/>
  <c r="R325" i="22" s="1"/>
  <c r="R212" i="22"/>
  <c r="R48" i="22"/>
  <c r="R138" i="22"/>
  <c r="R199" i="22"/>
  <c r="R80" i="22"/>
  <c r="R273" i="22"/>
  <c r="R43" i="22"/>
  <c r="R288" i="22"/>
  <c r="R154" i="22"/>
  <c r="R176" i="22"/>
  <c r="R86" i="22"/>
  <c r="R135" i="22"/>
  <c r="R116" i="22"/>
  <c r="R200" i="22"/>
  <c r="R108" i="22"/>
  <c r="R351" i="22"/>
  <c r="O13" i="21"/>
  <c r="U13" i="21" s="1"/>
  <c r="O157" i="21"/>
  <c r="U157" i="21" s="1"/>
  <c r="O199" i="21"/>
  <c r="U199" i="21" s="1"/>
  <c r="O56" i="21"/>
  <c r="O147" i="21"/>
  <c r="U147" i="21" s="1"/>
  <c r="O124" i="21"/>
  <c r="O184" i="21"/>
  <c r="U184" i="21" s="1"/>
  <c r="O21" i="21"/>
  <c r="U21" i="21" s="1"/>
  <c r="O40" i="21"/>
  <c r="U40" i="21" s="1"/>
  <c r="O24" i="21"/>
  <c r="U24" i="21" s="1"/>
  <c r="O95" i="21"/>
  <c r="U95" i="21" s="1"/>
  <c r="O19" i="21"/>
  <c r="U19" i="21" s="1"/>
  <c r="O71" i="21"/>
  <c r="U71" i="21" s="1"/>
  <c r="O38" i="21"/>
  <c r="U38" i="21" s="1"/>
  <c r="O77" i="21"/>
  <c r="U77" i="21" s="1"/>
  <c r="O58" i="21"/>
  <c r="U58" i="21" s="1"/>
  <c r="O85" i="21"/>
  <c r="U85" i="21" s="1"/>
  <c r="O117" i="21"/>
  <c r="U117" i="21" s="1"/>
  <c r="O152" i="21"/>
  <c r="U152" i="21" s="1"/>
  <c r="O88" i="21"/>
  <c r="U88" i="21" s="1"/>
  <c r="O138" i="21"/>
  <c r="O105" i="21"/>
  <c r="U105" i="21" s="1"/>
  <c r="O174" i="21"/>
  <c r="U174" i="21" s="1"/>
  <c r="O181" i="21"/>
  <c r="U181" i="21" s="1"/>
  <c r="O125" i="21"/>
  <c r="U125" i="21" s="1"/>
  <c r="O195" i="21"/>
  <c r="U195" i="21" s="1"/>
  <c r="O201" i="21"/>
  <c r="U201" i="21" s="1"/>
  <c r="O215" i="21"/>
  <c r="U215" i="21" s="1"/>
  <c r="O240" i="21"/>
  <c r="U240" i="21" s="1"/>
  <c r="O221" i="21"/>
  <c r="U221" i="21" s="1"/>
  <c r="O136" i="21"/>
  <c r="U136" i="21" s="1"/>
  <c r="O180" i="21"/>
  <c r="U180" i="21" s="1"/>
  <c r="O218" i="21"/>
  <c r="U218" i="21" s="1"/>
  <c r="O271" i="21"/>
  <c r="U271" i="21" s="1"/>
  <c r="O305" i="21"/>
  <c r="U305" i="21" s="1"/>
  <c r="O310" i="21"/>
  <c r="U310" i="21" s="1"/>
  <c r="O247" i="21"/>
  <c r="U247" i="21" s="1"/>
  <c r="O307" i="21"/>
  <c r="U307" i="21" s="1"/>
  <c r="O316" i="21"/>
  <c r="U316" i="21" s="1"/>
  <c r="O319" i="21"/>
  <c r="U319" i="21" s="1"/>
  <c r="O282" i="21"/>
  <c r="U282" i="21" s="1"/>
  <c r="O293" i="21"/>
  <c r="U293" i="21" s="1"/>
  <c r="O273" i="21"/>
  <c r="U273" i="21" s="1"/>
  <c r="O89" i="21"/>
  <c r="U89" i="21" s="1"/>
  <c r="O191" i="21"/>
  <c r="U191" i="21" s="1"/>
  <c r="O162" i="21"/>
  <c r="U162" i="21" s="1"/>
  <c r="O237" i="21"/>
  <c r="U237" i="21" s="1"/>
  <c r="O246" i="21"/>
  <c r="U246" i="21" s="1"/>
  <c r="O25" i="21"/>
  <c r="U25" i="21" s="1"/>
  <c r="O47" i="21"/>
  <c r="U47" i="21" s="1"/>
  <c r="O28" i="21"/>
  <c r="U28" i="21" s="1"/>
  <c r="O43" i="21"/>
  <c r="U43" i="21" s="1"/>
  <c r="O23" i="21"/>
  <c r="U23" i="21" s="1"/>
  <c r="O6" i="21"/>
  <c r="U6" i="21" s="1"/>
  <c r="S6" i="21"/>
  <c r="O69" i="21"/>
  <c r="U69" i="21" s="1"/>
  <c r="O78" i="21"/>
  <c r="O62" i="21"/>
  <c r="U62" i="21" s="1"/>
  <c r="O111" i="21"/>
  <c r="U111" i="21" s="1"/>
  <c r="O120" i="21"/>
  <c r="U120" i="21" s="1"/>
  <c r="O156" i="21"/>
  <c r="U156" i="21" s="1"/>
  <c r="O92" i="21"/>
  <c r="U92" i="21" s="1"/>
  <c r="O118" i="21"/>
  <c r="U118" i="21" s="1"/>
  <c r="O109" i="21"/>
  <c r="U109" i="21" s="1"/>
  <c r="O134" i="21"/>
  <c r="O186" i="21"/>
  <c r="U186" i="21" s="1"/>
  <c r="O158" i="21"/>
  <c r="U158" i="21" s="1"/>
  <c r="O145" i="21"/>
  <c r="O217" i="21"/>
  <c r="U217" i="21" s="1"/>
  <c r="O167" i="21"/>
  <c r="U167" i="21" s="1"/>
  <c r="O245" i="21"/>
  <c r="U245" i="21" s="1"/>
  <c r="O226" i="21"/>
  <c r="U226" i="21" s="1"/>
  <c r="O141" i="21"/>
  <c r="U141" i="21" s="1"/>
  <c r="O188" i="21"/>
  <c r="U188" i="21" s="1"/>
  <c r="O231" i="21"/>
  <c r="U231" i="21" s="1"/>
  <c r="O286" i="21"/>
  <c r="U286" i="21" s="1"/>
  <c r="O275" i="21"/>
  <c r="O327" i="21"/>
  <c r="U327" i="21" s="1"/>
  <c r="O268" i="21"/>
  <c r="U268" i="21" s="1"/>
  <c r="O315" i="21"/>
  <c r="U315" i="21" s="1"/>
  <c r="O325" i="21"/>
  <c r="U325" i="21" s="1"/>
  <c r="O328" i="21"/>
  <c r="U328" i="21" s="1"/>
  <c r="O290" i="21"/>
  <c r="U290" i="21" s="1"/>
  <c r="O301" i="21"/>
  <c r="U301" i="21" s="1"/>
  <c r="O280" i="21"/>
  <c r="U280" i="21" s="1"/>
  <c r="O194" i="21"/>
  <c r="U194" i="21" s="1"/>
  <c r="O63" i="21"/>
  <c r="U63" i="21" s="1"/>
  <c r="O177" i="21"/>
  <c r="U177" i="21" s="1"/>
  <c r="O93" i="21"/>
  <c r="O159" i="21"/>
  <c r="U159" i="21" s="1"/>
  <c r="O29" i="21"/>
  <c r="U29" i="21" s="1"/>
  <c r="O54" i="21"/>
  <c r="U54" i="21" s="1"/>
  <c r="O32" i="21"/>
  <c r="U32" i="21" s="1"/>
  <c r="O50" i="21"/>
  <c r="O31" i="21"/>
  <c r="U31" i="21" s="1"/>
  <c r="O10" i="21"/>
  <c r="U10" i="21" s="1"/>
  <c r="O46" i="21"/>
  <c r="U46" i="21" s="1"/>
  <c r="O83" i="21"/>
  <c r="U83" i="21" s="1"/>
  <c r="O66" i="21"/>
  <c r="U66" i="21" s="1"/>
  <c r="O94" i="21"/>
  <c r="U94" i="21" s="1"/>
  <c r="O126" i="21"/>
  <c r="U126" i="21" s="1"/>
  <c r="O116" i="21"/>
  <c r="U116" i="21" s="1"/>
  <c r="O97" i="21"/>
  <c r="U97" i="21" s="1"/>
  <c r="O123" i="21"/>
  <c r="O114" i="21"/>
  <c r="U114" i="21" s="1"/>
  <c r="O144" i="21"/>
  <c r="U144" i="21" s="1"/>
  <c r="O198" i="21"/>
  <c r="U198" i="21" s="1"/>
  <c r="O166" i="21"/>
  <c r="U166" i="21" s="1"/>
  <c r="O150" i="21"/>
  <c r="O165" i="21"/>
  <c r="U165" i="21" s="1"/>
  <c r="O182" i="21"/>
  <c r="U182" i="21" s="1"/>
  <c r="O250" i="21"/>
  <c r="U250" i="21" s="1"/>
  <c r="O229" i="21"/>
  <c r="U229" i="21" s="1"/>
  <c r="O146" i="21"/>
  <c r="U146" i="21" s="1"/>
  <c r="O192" i="21"/>
  <c r="U192" i="21" s="1"/>
  <c r="O236" i="21"/>
  <c r="U236" i="21" s="1"/>
  <c r="O321" i="21"/>
  <c r="U321" i="21" s="1"/>
  <c r="O277" i="21"/>
  <c r="U277" i="21" s="1"/>
  <c r="O220" i="21"/>
  <c r="U220" i="21" s="1"/>
  <c r="O276" i="21"/>
  <c r="U276" i="21" s="1"/>
  <c r="O324" i="21"/>
  <c r="O333" i="21"/>
  <c r="U333" i="21" s="1"/>
  <c r="O336" i="21"/>
  <c r="U336" i="21" s="1"/>
  <c r="R336" i="21"/>
  <c r="S336" i="21" s="1"/>
  <c r="O298" i="21"/>
  <c r="U298" i="21" s="1"/>
  <c r="O309" i="21"/>
  <c r="U309" i="21" s="1"/>
  <c r="O288" i="21"/>
  <c r="U288" i="21" s="1"/>
  <c r="O108" i="21"/>
  <c r="U108" i="21" s="1"/>
  <c r="O41" i="21"/>
  <c r="U41" i="21" s="1"/>
  <c r="O67" i="21"/>
  <c r="U67" i="21" s="1"/>
  <c r="O33" i="21"/>
  <c r="U33" i="21" s="1"/>
  <c r="O36" i="21"/>
  <c r="U36" i="21" s="1"/>
  <c r="O35" i="21"/>
  <c r="U35" i="21" s="1"/>
  <c r="O51" i="21"/>
  <c r="U51" i="21" s="1"/>
  <c r="O90" i="21"/>
  <c r="U90" i="21" s="1"/>
  <c r="O122" i="21"/>
  <c r="U122" i="21" s="1"/>
  <c r="O128" i="21"/>
  <c r="U128" i="21" s="1"/>
  <c r="O119" i="21"/>
  <c r="U119" i="21" s="1"/>
  <c r="O101" i="21"/>
  <c r="U101" i="21" s="1"/>
  <c r="O153" i="21"/>
  <c r="U153" i="21" s="1"/>
  <c r="O149" i="21"/>
  <c r="U149" i="21" s="1"/>
  <c r="O202" i="21"/>
  <c r="U202" i="21" s="1"/>
  <c r="O183" i="21"/>
  <c r="U183" i="21" s="1"/>
  <c r="O160" i="21"/>
  <c r="U160" i="21" s="1"/>
  <c r="O170" i="21"/>
  <c r="U170" i="21" s="1"/>
  <c r="O203" i="21"/>
  <c r="O252" i="21"/>
  <c r="U252" i="21" s="1"/>
  <c r="O244" i="21"/>
  <c r="U244" i="21" s="1"/>
  <c r="O151" i="21"/>
  <c r="U151" i="21" s="1"/>
  <c r="O196" i="21"/>
  <c r="U196" i="21" s="1"/>
  <c r="O241" i="21"/>
  <c r="U241" i="21" s="1"/>
  <c r="O313" i="21"/>
  <c r="U313" i="21" s="1"/>
  <c r="O297" i="21"/>
  <c r="U297" i="21" s="1"/>
  <c r="O225" i="21"/>
  <c r="U225" i="21" s="1"/>
  <c r="O289" i="21"/>
  <c r="U289" i="21" s="1"/>
  <c r="O332" i="21"/>
  <c r="U332" i="21" s="1"/>
  <c r="O279" i="21"/>
  <c r="U279" i="21" s="1"/>
  <c r="O251" i="21"/>
  <c r="U251" i="21" s="1"/>
  <c r="O306" i="21"/>
  <c r="U306" i="21" s="1"/>
  <c r="O317" i="21"/>
  <c r="U317" i="21" s="1"/>
  <c r="O265" i="21"/>
  <c r="U265" i="21" s="1"/>
  <c r="O154" i="21"/>
  <c r="U154" i="21" s="1"/>
  <c r="O59" i="21"/>
  <c r="U59" i="21" s="1"/>
  <c r="O14" i="21"/>
  <c r="U14" i="21" s="1"/>
  <c r="O70" i="21"/>
  <c r="U70" i="21" s="1"/>
  <c r="O115" i="21"/>
  <c r="O296" i="21"/>
  <c r="U296" i="21" s="1"/>
  <c r="O248" i="21"/>
  <c r="O219" i="21"/>
  <c r="U219" i="21" s="1"/>
  <c r="O254" i="21"/>
  <c r="U254" i="21" s="1"/>
  <c r="O269" i="21"/>
  <c r="U269" i="21" s="1"/>
  <c r="O76" i="21"/>
  <c r="U76" i="21" s="1"/>
  <c r="O37" i="21"/>
  <c r="U37" i="21" s="1"/>
  <c r="O8" i="21"/>
  <c r="U8" i="21" s="1"/>
  <c r="O45" i="21"/>
  <c r="U45" i="21" s="1"/>
  <c r="O86" i="21"/>
  <c r="U86" i="21" s="1"/>
  <c r="O39" i="21"/>
  <c r="U39" i="21" s="1"/>
  <c r="O18" i="21"/>
  <c r="U18" i="21" s="1"/>
  <c r="O55" i="21"/>
  <c r="U55" i="21" s="1"/>
  <c r="O103" i="21"/>
  <c r="U103" i="21" s="1"/>
  <c r="O74" i="21"/>
  <c r="U74" i="21" s="1"/>
  <c r="O107" i="21"/>
  <c r="U107" i="21" s="1"/>
  <c r="O135" i="21"/>
  <c r="U135" i="21" s="1"/>
  <c r="O133" i="21"/>
  <c r="U133" i="21" s="1"/>
  <c r="O102" i="21"/>
  <c r="O87" i="21"/>
  <c r="O143" i="21"/>
  <c r="U143" i="21" s="1"/>
  <c r="O179" i="21"/>
  <c r="U179" i="21" s="1"/>
  <c r="O204" i="21"/>
  <c r="U204" i="21" s="1"/>
  <c r="O193" i="21"/>
  <c r="U193" i="21" s="1"/>
  <c r="O175" i="21"/>
  <c r="U175" i="21" s="1"/>
  <c r="O187" i="21"/>
  <c r="U187" i="21" s="1"/>
  <c r="O207" i="21"/>
  <c r="U207" i="21" s="1"/>
  <c r="O224" i="21"/>
  <c r="O249" i="21"/>
  <c r="U249" i="21" s="1"/>
  <c r="O155" i="21"/>
  <c r="U155" i="21" s="1"/>
  <c r="O200" i="21"/>
  <c r="U200" i="21" s="1"/>
  <c r="O264" i="21"/>
  <c r="U264" i="21" s="1"/>
  <c r="O330" i="21"/>
  <c r="U330" i="21" s="1"/>
  <c r="O318" i="21"/>
  <c r="U318" i="21" s="1"/>
  <c r="O230" i="21"/>
  <c r="U230" i="21" s="1"/>
  <c r="O302" i="21"/>
  <c r="U302" i="21" s="1"/>
  <c r="O284" i="21"/>
  <c r="U284" i="21" s="1"/>
  <c r="O287" i="21"/>
  <c r="U287" i="21" s="1"/>
  <c r="O256" i="21"/>
  <c r="U256" i="21" s="1"/>
  <c r="O314" i="21"/>
  <c r="U314" i="21" s="1"/>
  <c r="O326" i="21"/>
  <c r="U326" i="21" s="1"/>
  <c r="O304" i="21"/>
  <c r="U304" i="21" s="1"/>
  <c r="O168" i="21"/>
  <c r="U168" i="21" s="1"/>
  <c r="O112" i="21"/>
  <c r="O53" i="21"/>
  <c r="U53" i="21" s="1"/>
  <c r="O30" i="21"/>
  <c r="U30" i="21" s="1"/>
  <c r="O9" i="21"/>
  <c r="U9" i="21" s="1"/>
  <c r="O42" i="21"/>
  <c r="U42" i="21" s="1"/>
  <c r="O12" i="21"/>
  <c r="U12" i="21" s="1"/>
  <c r="O52" i="21"/>
  <c r="U52" i="21" s="1"/>
  <c r="O7" i="21"/>
  <c r="U7" i="21" s="1"/>
  <c r="O57" i="21"/>
  <c r="U57" i="21" s="1"/>
  <c r="O22" i="21"/>
  <c r="U22" i="21" s="1"/>
  <c r="O64" i="21"/>
  <c r="U64" i="21" s="1"/>
  <c r="O98" i="21"/>
  <c r="U98" i="21" s="1"/>
  <c r="O75" i="21"/>
  <c r="U75" i="21" s="1"/>
  <c r="O99" i="21"/>
  <c r="U99" i="21" s="1"/>
  <c r="O137" i="21"/>
  <c r="U137" i="21" s="1"/>
  <c r="O140" i="21"/>
  <c r="U140" i="21" s="1"/>
  <c r="O106" i="21"/>
  <c r="U106" i="21" s="1"/>
  <c r="O91" i="21"/>
  <c r="U91" i="21" s="1"/>
  <c r="O130" i="21"/>
  <c r="U130" i="21" s="1"/>
  <c r="O189" i="21"/>
  <c r="U189" i="21" s="1"/>
  <c r="O206" i="21"/>
  <c r="U206" i="21" s="1"/>
  <c r="O212" i="21"/>
  <c r="U212" i="21" s="1"/>
  <c r="O185" i="21"/>
  <c r="U185" i="21" s="1"/>
  <c r="O209" i="21"/>
  <c r="U209" i="21" s="1"/>
  <c r="O238" i="21"/>
  <c r="U238" i="21" s="1"/>
  <c r="O242" i="21"/>
  <c r="U242" i="21" s="1"/>
  <c r="O253" i="21"/>
  <c r="U253" i="21" s="1"/>
  <c r="O164" i="21"/>
  <c r="U164" i="21" s="1"/>
  <c r="O205" i="21"/>
  <c r="U205" i="21" s="1"/>
  <c r="O262" i="21"/>
  <c r="U262" i="21" s="1"/>
  <c r="O267" i="21"/>
  <c r="U267" i="21" s="1"/>
  <c r="O335" i="21"/>
  <c r="U335" i="21" s="1"/>
  <c r="O234" i="21"/>
  <c r="U234" i="21" s="1"/>
  <c r="O283" i="21"/>
  <c r="U283" i="21" s="1"/>
  <c r="O292" i="21"/>
  <c r="U292" i="21" s="1"/>
  <c r="O295" i="21"/>
  <c r="U295" i="21" s="1"/>
  <c r="O257" i="21"/>
  <c r="O322" i="21"/>
  <c r="U322" i="21" s="1"/>
  <c r="O334" i="21"/>
  <c r="U334" i="21" s="1"/>
  <c r="O312" i="21"/>
  <c r="U312" i="21" s="1"/>
  <c r="O161" i="21"/>
  <c r="O60" i="21"/>
  <c r="U60" i="21" s="1"/>
  <c r="O148" i="21"/>
  <c r="U148" i="21" s="1"/>
  <c r="O163" i="21"/>
  <c r="U163" i="21" s="1"/>
  <c r="O27" i="21"/>
  <c r="U27" i="21" s="1"/>
  <c r="O49" i="21"/>
  <c r="U49" i="21" s="1"/>
  <c r="O16" i="21"/>
  <c r="U16" i="21" s="1"/>
  <c r="O61" i="21"/>
  <c r="U61" i="21" s="1"/>
  <c r="O11" i="21"/>
  <c r="U11" i="21" s="1"/>
  <c r="O73" i="21"/>
  <c r="U73" i="21" s="1"/>
  <c r="O26" i="21"/>
  <c r="U26" i="21" s="1"/>
  <c r="O68" i="21"/>
  <c r="U68" i="21" s="1"/>
  <c r="O44" i="21"/>
  <c r="U44" i="21" s="1"/>
  <c r="O80" i="21"/>
  <c r="U80" i="21" s="1"/>
  <c r="O104" i="21"/>
  <c r="U104" i="21" s="1"/>
  <c r="O139" i="21"/>
  <c r="U139" i="21" s="1"/>
  <c r="O142" i="21"/>
  <c r="U142" i="21" s="1"/>
  <c r="O110" i="21"/>
  <c r="U110" i="21" s="1"/>
  <c r="O96" i="21"/>
  <c r="U96" i="21" s="1"/>
  <c r="O132" i="21"/>
  <c r="U132" i="21" s="1"/>
  <c r="O223" i="21"/>
  <c r="U223" i="21" s="1"/>
  <c r="O208" i="21"/>
  <c r="U208" i="21" s="1"/>
  <c r="O173" i="21"/>
  <c r="U173" i="21" s="1"/>
  <c r="O190" i="21"/>
  <c r="U190" i="21" s="1"/>
  <c r="O211" i="21"/>
  <c r="U211" i="21" s="1"/>
  <c r="O222" i="21"/>
  <c r="U222" i="21" s="1"/>
  <c r="O258" i="21"/>
  <c r="U258" i="21" s="1"/>
  <c r="O121" i="21"/>
  <c r="U121" i="21" s="1"/>
  <c r="O172" i="21"/>
  <c r="U172" i="21" s="1"/>
  <c r="O210" i="21"/>
  <c r="U210" i="21" s="1"/>
  <c r="O294" i="21"/>
  <c r="U294" i="21" s="1"/>
  <c r="O272" i="21"/>
  <c r="U272" i="21" s="1"/>
  <c r="O259" i="21"/>
  <c r="U259" i="21" s="1"/>
  <c r="O235" i="21"/>
  <c r="U235" i="21" s="1"/>
  <c r="O291" i="21"/>
  <c r="U291" i="21" s="1"/>
  <c r="O300" i="21"/>
  <c r="U300" i="21" s="1"/>
  <c r="O303" i="21"/>
  <c r="U303" i="21" s="1"/>
  <c r="O261" i="21"/>
  <c r="U261" i="21" s="1"/>
  <c r="O331" i="21"/>
  <c r="U331" i="21" s="1"/>
  <c r="O255" i="21"/>
  <c r="U255" i="21" s="1"/>
  <c r="O320" i="21"/>
  <c r="U320" i="21" s="1"/>
  <c r="O239" i="21"/>
  <c r="U239" i="21" s="1"/>
  <c r="O127" i="21"/>
  <c r="U127" i="21" s="1"/>
  <c r="O82" i="21"/>
  <c r="U82" i="21" s="1"/>
  <c r="O270" i="21"/>
  <c r="U270" i="21" s="1"/>
  <c r="O216" i="21"/>
  <c r="U216" i="21" s="1"/>
  <c r="O17" i="21"/>
  <c r="U17" i="21" s="1"/>
  <c r="O65" i="21"/>
  <c r="U65" i="21" s="1"/>
  <c r="O20" i="21"/>
  <c r="U20" i="21" s="1"/>
  <c r="O79" i="21"/>
  <c r="U79" i="21" s="1"/>
  <c r="O15" i="21"/>
  <c r="U15" i="21" s="1"/>
  <c r="O84" i="21"/>
  <c r="U84" i="21" s="1"/>
  <c r="O34" i="21"/>
  <c r="U34" i="21" s="1"/>
  <c r="O72" i="21"/>
  <c r="U72" i="21" s="1"/>
  <c r="O48" i="21"/>
  <c r="U48" i="21" s="1"/>
  <c r="O81" i="21"/>
  <c r="U81" i="21" s="1"/>
  <c r="O113" i="21"/>
  <c r="U113" i="21" s="1"/>
  <c r="O171" i="21"/>
  <c r="U171" i="21" s="1"/>
  <c r="O129" i="21"/>
  <c r="U129" i="21" s="1"/>
  <c r="O100" i="21"/>
  <c r="U100" i="21" s="1"/>
  <c r="O169" i="21"/>
  <c r="U169" i="21" s="1"/>
  <c r="O228" i="21"/>
  <c r="O233" i="21"/>
  <c r="U233" i="21" s="1"/>
  <c r="O178" i="21"/>
  <c r="U178" i="21" s="1"/>
  <c r="O197" i="21"/>
  <c r="U197" i="21" s="1"/>
  <c r="O213" i="21"/>
  <c r="U213" i="21" s="1"/>
  <c r="O227" i="21"/>
  <c r="U227" i="21" s="1"/>
  <c r="O232" i="21"/>
  <c r="U232" i="21" s="1"/>
  <c r="O131" i="21"/>
  <c r="U131" i="21" s="1"/>
  <c r="O176" i="21"/>
  <c r="U176" i="21" s="1"/>
  <c r="O214" i="21"/>
  <c r="U214" i="21" s="1"/>
  <c r="O281" i="21"/>
  <c r="U281" i="21" s="1"/>
  <c r="O278" i="21"/>
  <c r="U278" i="21" s="1"/>
  <c r="O263" i="21"/>
  <c r="U263" i="21" s="1"/>
  <c r="O243" i="21"/>
  <c r="U243" i="21" s="1"/>
  <c r="O299" i="21"/>
  <c r="U299" i="21" s="1"/>
  <c r="O308" i="21"/>
  <c r="U308" i="21" s="1"/>
  <c r="O311" i="21"/>
  <c r="U311" i="21" s="1"/>
  <c r="O266" i="21"/>
  <c r="U266" i="21" s="1"/>
  <c r="O285" i="21"/>
  <c r="U285" i="21" s="1"/>
  <c r="O260" i="21"/>
  <c r="U260" i="21" s="1"/>
  <c r="O329" i="21"/>
  <c r="U329" i="21" s="1"/>
  <c r="O274" i="21"/>
  <c r="U257" i="21"/>
  <c r="U78" i="21"/>
  <c r="U123" i="21"/>
  <c r="U102" i="21"/>
  <c r="U115" i="21"/>
  <c r="U50" i="21"/>
  <c r="U87" i="21"/>
  <c r="U228" i="21"/>
  <c r="U138" i="21"/>
  <c r="U324" i="21"/>
  <c r="U224" i="21"/>
  <c r="U124" i="21"/>
  <c r="U203" i="21"/>
  <c r="U134" i="21"/>
  <c r="U93" i="21"/>
  <c r="U112" i="21"/>
  <c r="U248" i="21"/>
  <c r="U161" i="21"/>
  <c r="U275" i="21"/>
  <c r="U150" i="21"/>
  <c r="U5" i="21"/>
  <c r="U56" i="21"/>
  <c r="U145" i="21"/>
  <c r="O95" i="22" l="1"/>
  <c r="R95" i="22" s="1"/>
  <c r="O77" i="22"/>
  <c r="R77" i="22" s="1"/>
  <c r="O239" i="22"/>
  <c r="R239" i="22" s="1"/>
  <c r="O89" i="22"/>
  <c r="R89" i="22" s="1"/>
  <c r="O148" i="22"/>
  <c r="R148" i="22" s="1"/>
  <c r="O132" i="22"/>
  <c r="R132" i="22" s="1"/>
  <c r="R5" i="22"/>
  <c r="O52" i="22"/>
  <c r="R52" i="22" s="1"/>
  <c r="O281" i="22"/>
  <c r="R281" i="22" s="1"/>
  <c r="O219" i="22"/>
  <c r="R219" i="22" s="1"/>
  <c r="O156" i="22"/>
  <c r="R156" i="22" s="1"/>
  <c r="R149" i="22"/>
  <c r="O37" i="22"/>
  <c r="R37" i="22" s="1"/>
  <c r="R82" i="22"/>
  <c r="O214" i="22"/>
  <c r="R214" i="22" s="1"/>
  <c r="O174" i="22"/>
  <c r="R174" i="22" s="1"/>
  <c r="O119" i="22"/>
  <c r="R119" i="22" s="1"/>
  <c r="O274" i="22"/>
  <c r="R274" i="22" s="1"/>
  <c r="R236" i="22"/>
  <c r="O129" i="22"/>
  <c r="R129" i="22" s="1"/>
  <c r="O142" i="22"/>
  <c r="R142" i="22" s="1"/>
  <c r="O81" i="22"/>
  <c r="R81" i="22" s="1"/>
  <c r="O269" i="22"/>
  <c r="R269" i="22" s="1"/>
  <c r="O114" i="22"/>
  <c r="R114" i="22" s="1"/>
  <c r="O162" i="22"/>
  <c r="R162" i="22" s="1"/>
  <c r="O73" i="22"/>
  <c r="R73" i="22" s="1"/>
  <c r="O44" i="22"/>
  <c r="R44" i="22" s="1"/>
  <c r="O245" i="22"/>
  <c r="R245" i="22" s="1"/>
  <c r="R90" i="22"/>
  <c r="O293" i="22"/>
  <c r="R293" i="22" s="1"/>
  <c r="O263" i="22"/>
  <c r="R263" i="22" s="1"/>
  <c r="O234" i="22"/>
  <c r="R234" i="22" s="1"/>
  <c r="O107" i="22"/>
  <c r="R107" i="22" s="1"/>
  <c r="R315" i="22"/>
  <c r="O347" i="22"/>
  <c r="R339" i="22"/>
  <c r="R298" i="22"/>
  <c r="O323" i="21"/>
  <c r="U323" i="21" s="1"/>
  <c r="O337" i="21"/>
  <c r="O338" i="21" s="1"/>
  <c r="U274" i="21"/>
  <c r="O294" i="22" l="1"/>
  <c r="O295" i="22" s="1"/>
  <c r="R295" i="22" s="1"/>
  <c r="R347" i="22"/>
  <c r="U337" i="21"/>
  <c r="O340" i="21"/>
  <c r="U340" i="21" s="1"/>
  <c r="U338" i="21"/>
  <c r="O361" i="22" l="1"/>
  <c r="O363" i="22" s="1"/>
  <c r="R363" i="22" s="1"/>
  <c r="R361" i="22" l="1"/>
  <c r="S28" i="18"/>
  <c r="T328" i="19" l="1"/>
  <c r="D328" i="19"/>
  <c r="P327" i="19"/>
  <c r="I327" i="19"/>
  <c r="H327" i="19"/>
  <c r="A327" i="19"/>
  <c r="P326" i="19"/>
  <c r="I326" i="19"/>
  <c r="H326" i="19"/>
  <c r="A326" i="19"/>
  <c r="P325" i="19"/>
  <c r="I325" i="19"/>
  <c r="H325" i="19"/>
  <c r="A325" i="19"/>
  <c r="P324" i="19"/>
  <c r="I324" i="19"/>
  <c r="H324" i="19"/>
  <c r="A324" i="19"/>
  <c r="P323" i="19"/>
  <c r="I323" i="19"/>
  <c r="A323" i="19"/>
  <c r="P322" i="19"/>
  <c r="I322" i="19"/>
  <c r="H322" i="19"/>
  <c r="A322" i="19"/>
  <c r="P321" i="19"/>
  <c r="I321" i="19"/>
  <c r="H321" i="19"/>
  <c r="A321" i="19"/>
  <c r="P320" i="19"/>
  <c r="I320" i="19"/>
  <c r="G320" i="19"/>
  <c r="H320" i="19"/>
  <c r="A320" i="19"/>
  <c r="P319" i="19"/>
  <c r="I319" i="19"/>
  <c r="H319" i="19"/>
  <c r="A319" i="19"/>
  <c r="P318" i="19"/>
  <c r="I318" i="19"/>
  <c r="H318" i="19"/>
  <c r="A318" i="19"/>
  <c r="P317" i="19"/>
  <c r="I317" i="19"/>
  <c r="G317" i="19"/>
  <c r="J317" i="19" s="1"/>
  <c r="H317" i="19"/>
  <c r="A317" i="19"/>
  <c r="T316" i="19"/>
  <c r="G316" i="19"/>
  <c r="D316" i="19"/>
  <c r="P315" i="19"/>
  <c r="R315" i="19" s="1"/>
  <c r="S315" i="19" s="1"/>
  <c r="I315" i="19"/>
  <c r="H315" i="19"/>
  <c r="A315" i="19"/>
  <c r="P314" i="19"/>
  <c r="R314" i="19" s="1"/>
  <c r="S314" i="19" s="1"/>
  <c r="I314" i="19"/>
  <c r="H314" i="19"/>
  <c r="A314" i="19"/>
  <c r="P313" i="19"/>
  <c r="R313" i="19" s="1"/>
  <c r="S313" i="19" s="1"/>
  <c r="I313" i="19"/>
  <c r="H313" i="19"/>
  <c r="G313" i="19"/>
  <c r="A313" i="19"/>
  <c r="P312" i="19"/>
  <c r="R312" i="19" s="1"/>
  <c r="S312" i="19" s="1"/>
  <c r="I312" i="19"/>
  <c r="H312" i="19"/>
  <c r="A312" i="19"/>
  <c r="P311" i="19"/>
  <c r="R311" i="19" s="1"/>
  <c r="S311" i="19" s="1"/>
  <c r="I311" i="19"/>
  <c r="H311" i="19"/>
  <c r="A311" i="19"/>
  <c r="P310" i="19"/>
  <c r="R310" i="19" s="1"/>
  <c r="S310" i="19" s="1"/>
  <c r="I310" i="19"/>
  <c r="H310" i="19"/>
  <c r="A310" i="19"/>
  <c r="P309" i="19"/>
  <c r="R309" i="19" s="1"/>
  <c r="S309" i="19" s="1"/>
  <c r="I309" i="19"/>
  <c r="H309" i="19"/>
  <c r="G309" i="19"/>
  <c r="A309" i="19"/>
  <c r="P308" i="19"/>
  <c r="R308" i="19" s="1"/>
  <c r="S308" i="19" s="1"/>
  <c r="I308" i="19"/>
  <c r="H308" i="19"/>
  <c r="A308" i="19"/>
  <c r="P307" i="19"/>
  <c r="R307" i="19" s="1"/>
  <c r="S307" i="19" s="1"/>
  <c r="I307" i="19"/>
  <c r="H307" i="19"/>
  <c r="A307" i="19"/>
  <c r="P306" i="19"/>
  <c r="R306" i="19" s="1"/>
  <c r="S306" i="19" s="1"/>
  <c r="I306" i="19"/>
  <c r="H306" i="19"/>
  <c r="A306" i="19"/>
  <c r="P305" i="19"/>
  <c r="R305" i="19" s="1"/>
  <c r="S305" i="19" s="1"/>
  <c r="I305" i="19"/>
  <c r="H305" i="19"/>
  <c r="A305" i="19"/>
  <c r="P304" i="19"/>
  <c r="R304" i="19" s="1"/>
  <c r="S304" i="19" s="1"/>
  <c r="I304" i="19"/>
  <c r="G304" i="19"/>
  <c r="H304" i="19"/>
  <c r="A304" i="19"/>
  <c r="P303" i="19"/>
  <c r="R303" i="19" s="1"/>
  <c r="S303" i="19" s="1"/>
  <c r="I303" i="19"/>
  <c r="H303" i="19"/>
  <c r="A303" i="19"/>
  <c r="P302" i="19"/>
  <c r="R302" i="19" s="1"/>
  <c r="S302" i="19" s="1"/>
  <c r="I302" i="19"/>
  <c r="H302" i="19"/>
  <c r="A302" i="19"/>
  <c r="P301" i="19"/>
  <c r="R301" i="19" s="1"/>
  <c r="S301" i="19" s="1"/>
  <c r="I301" i="19"/>
  <c r="H301" i="19"/>
  <c r="A301" i="19"/>
  <c r="P300" i="19"/>
  <c r="R300" i="19" s="1"/>
  <c r="S300" i="19" s="1"/>
  <c r="I300" i="19"/>
  <c r="G300" i="19"/>
  <c r="H300" i="19"/>
  <c r="A300" i="19"/>
  <c r="P299" i="19"/>
  <c r="R299" i="19" s="1"/>
  <c r="S299" i="19" s="1"/>
  <c r="I299" i="19"/>
  <c r="H299" i="19"/>
  <c r="A299" i="19"/>
  <c r="P298" i="19"/>
  <c r="R298" i="19" s="1"/>
  <c r="S298" i="19" s="1"/>
  <c r="I298" i="19"/>
  <c r="H298" i="19"/>
  <c r="A298" i="19"/>
  <c r="P297" i="19"/>
  <c r="I297" i="19"/>
  <c r="H297" i="19"/>
  <c r="A297" i="19"/>
  <c r="P296" i="19"/>
  <c r="I296" i="19"/>
  <c r="H296" i="19"/>
  <c r="A296" i="19"/>
  <c r="P295" i="19"/>
  <c r="I295" i="19"/>
  <c r="H295" i="19"/>
  <c r="A295" i="19"/>
  <c r="P294" i="19"/>
  <c r="I294" i="19"/>
  <c r="H294" i="19"/>
  <c r="A294" i="19"/>
  <c r="P293" i="19"/>
  <c r="I293" i="19"/>
  <c r="H293" i="19"/>
  <c r="A293" i="19"/>
  <c r="P292" i="19"/>
  <c r="I292" i="19"/>
  <c r="H292" i="19"/>
  <c r="A292" i="19"/>
  <c r="P291" i="19"/>
  <c r="I291" i="19"/>
  <c r="H291" i="19"/>
  <c r="A291" i="19"/>
  <c r="P290" i="19"/>
  <c r="I290" i="19"/>
  <c r="H290" i="19"/>
  <c r="A290" i="19"/>
  <c r="P289" i="19"/>
  <c r="I289" i="19"/>
  <c r="H289" i="19"/>
  <c r="A289" i="19"/>
  <c r="P288" i="19"/>
  <c r="R288" i="19" s="1"/>
  <c r="S288" i="19" s="1"/>
  <c r="I288" i="19"/>
  <c r="H288" i="19"/>
  <c r="A288" i="19"/>
  <c r="P287" i="19"/>
  <c r="I287" i="19"/>
  <c r="H287" i="19"/>
  <c r="A287" i="19"/>
  <c r="P286" i="19"/>
  <c r="I286" i="19"/>
  <c r="H286" i="19"/>
  <c r="A286" i="19"/>
  <c r="P285" i="19"/>
  <c r="R285" i="19" s="1"/>
  <c r="S285" i="19" s="1"/>
  <c r="I285" i="19"/>
  <c r="H285" i="19"/>
  <c r="A285" i="19"/>
  <c r="P284" i="19"/>
  <c r="R284" i="19" s="1"/>
  <c r="S284" i="19" s="1"/>
  <c r="I284" i="19"/>
  <c r="G284" i="19"/>
  <c r="J284" i="19" s="1"/>
  <c r="H284" i="19"/>
  <c r="A284" i="19"/>
  <c r="P283" i="19"/>
  <c r="I283" i="19"/>
  <c r="H283" i="19"/>
  <c r="A283" i="19"/>
  <c r="P282" i="19"/>
  <c r="I282" i="19"/>
  <c r="H282" i="19"/>
  <c r="A282" i="19"/>
  <c r="P281" i="19"/>
  <c r="I281" i="19"/>
  <c r="H281" i="19"/>
  <c r="A281" i="19"/>
  <c r="P280" i="19"/>
  <c r="I280" i="19"/>
  <c r="G280" i="19"/>
  <c r="J280" i="19" s="1"/>
  <c r="H280" i="19"/>
  <c r="A280" i="19"/>
  <c r="P279" i="19"/>
  <c r="I279" i="19"/>
  <c r="H279" i="19"/>
  <c r="A279" i="19"/>
  <c r="P278" i="19"/>
  <c r="I278" i="19"/>
  <c r="H278" i="19"/>
  <c r="A278" i="19"/>
  <c r="P277" i="19"/>
  <c r="I277" i="19"/>
  <c r="H277" i="19"/>
  <c r="A277" i="19"/>
  <c r="P276" i="19"/>
  <c r="I276" i="19"/>
  <c r="G276" i="19"/>
  <c r="J276" i="19" s="1"/>
  <c r="H276" i="19"/>
  <c r="A276" i="19"/>
  <c r="P275" i="19"/>
  <c r="I275" i="19"/>
  <c r="H275" i="19"/>
  <c r="A275" i="19"/>
  <c r="P274" i="19"/>
  <c r="I274" i="19"/>
  <c r="H274" i="19"/>
  <c r="A274" i="19"/>
  <c r="P273" i="19"/>
  <c r="I273" i="19"/>
  <c r="H273" i="19"/>
  <c r="A273" i="19"/>
  <c r="P272" i="19"/>
  <c r="R272" i="19" s="1"/>
  <c r="S272" i="19" s="1"/>
  <c r="I272" i="19"/>
  <c r="G272" i="19"/>
  <c r="J272" i="19" s="1"/>
  <c r="H272" i="19"/>
  <c r="A272" i="19"/>
  <c r="P271" i="19"/>
  <c r="I271" i="19"/>
  <c r="H271" i="19"/>
  <c r="A271" i="19"/>
  <c r="P270" i="19"/>
  <c r="I270" i="19"/>
  <c r="H270" i="19"/>
  <c r="A270" i="19"/>
  <c r="P269" i="19"/>
  <c r="R269" i="19" s="1"/>
  <c r="S269" i="19" s="1"/>
  <c r="I269" i="19"/>
  <c r="H269" i="19"/>
  <c r="A269" i="19"/>
  <c r="P268" i="19"/>
  <c r="R268" i="19" s="1"/>
  <c r="S268" i="19" s="1"/>
  <c r="I268" i="19"/>
  <c r="H268" i="19"/>
  <c r="A268" i="19"/>
  <c r="P267" i="19"/>
  <c r="I267" i="19"/>
  <c r="H267" i="19"/>
  <c r="A267" i="19"/>
  <c r="P266" i="19"/>
  <c r="I266" i="19"/>
  <c r="H266" i="19"/>
  <c r="A266" i="19"/>
  <c r="P265" i="19"/>
  <c r="I265" i="19"/>
  <c r="H265" i="19"/>
  <c r="A265" i="19"/>
  <c r="U264" i="19"/>
  <c r="G264" i="19"/>
  <c r="P263" i="19"/>
  <c r="I263" i="19"/>
  <c r="G263" i="19"/>
  <c r="A263" i="19"/>
  <c r="P262" i="19"/>
  <c r="H262" i="19"/>
  <c r="A262" i="19"/>
  <c r="P261" i="19"/>
  <c r="H261" i="19"/>
  <c r="A261" i="19"/>
  <c r="P260" i="19"/>
  <c r="H260" i="19"/>
  <c r="A260" i="19"/>
  <c r="P259" i="19"/>
  <c r="I259" i="19"/>
  <c r="H259" i="19"/>
  <c r="G259" i="19"/>
  <c r="A259" i="19"/>
  <c r="P258" i="19"/>
  <c r="H258" i="19"/>
  <c r="A258" i="19"/>
  <c r="P257" i="19"/>
  <c r="I257" i="19"/>
  <c r="A257" i="19"/>
  <c r="P256" i="19"/>
  <c r="H256" i="19"/>
  <c r="A256" i="19"/>
  <c r="P255" i="19"/>
  <c r="R255" i="19" s="1"/>
  <c r="S255" i="19" s="1"/>
  <c r="I255" i="19"/>
  <c r="H255" i="19"/>
  <c r="G255" i="19"/>
  <c r="J255" i="19" s="1"/>
  <c r="K255" i="19" s="1"/>
  <c r="A255" i="19"/>
  <c r="P254" i="19"/>
  <c r="I254" i="19"/>
  <c r="H254" i="19"/>
  <c r="G254" i="19"/>
  <c r="J254" i="19" s="1"/>
  <c r="K254" i="19" s="1"/>
  <c r="A254" i="19"/>
  <c r="P253" i="19"/>
  <c r="I253" i="19"/>
  <c r="H253" i="19"/>
  <c r="A253" i="19"/>
  <c r="P252" i="19"/>
  <c r="R252" i="19" s="1"/>
  <c r="S252" i="19" s="1"/>
  <c r="H252" i="19"/>
  <c r="A252" i="19"/>
  <c r="P251" i="19"/>
  <c r="R251" i="19" s="1"/>
  <c r="S251" i="19" s="1"/>
  <c r="I251" i="19"/>
  <c r="A251" i="19"/>
  <c r="P250" i="19"/>
  <c r="I250" i="19"/>
  <c r="H250" i="19"/>
  <c r="A250" i="19"/>
  <c r="P249" i="19"/>
  <c r="A249" i="19"/>
  <c r="P248" i="19"/>
  <c r="I248" i="19"/>
  <c r="H248" i="19"/>
  <c r="A248" i="19"/>
  <c r="P247" i="19"/>
  <c r="A247" i="19"/>
  <c r="P246" i="19"/>
  <c r="I246" i="19"/>
  <c r="H246" i="19"/>
  <c r="A246" i="19"/>
  <c r="P245" i="19"/>
  <c r="I245" i="19"/>
  <c r="H245" i="19"/>
  <c r="A245" i="19"/>
  <c r="P244" i="19"/>
  <c r="I244" i="19"/>
  <c r="H244" i="19"/>
  <c r="A244" i="19"/>
  <c r="P243" i="19"/>
  <c r="H243" i="19"/>
  <c r="A243" i="19"/>
  <c r="P242" i="19"/>
  <c r="I242" i="19"/>
  <c r="A242" i="19"/>
  <c r="P241" i="19"/>
  <c r="I241" i="19"/>
  <c r="H241" i="19"/>
  <c r="A241" i="19"/>
  <c r="P240" i="19"/>
  <c r="I240" i="19"/>
  <c r="H240" i="19"/>
  <c r="A240" i="19"/>
  <c r="P239" i="19"/>
  <c r="R239" i="19" s="1"/>
  <c r="S239" i="19" s="1"/>
  <c r="I239" i="19"/>
  <c r="A239" i="19"/>
  <c r="P238" i="19"/>
  <c r="I238" i="19"/>
  <c r="G238" i="19"/>
  <c r="J238" i="19" s="1"/>
  <c r="K238" i="19" s="1"/>
  <c r="H238" i="19"/>
  <c r="A238" i="19"/>
  <c r="P237" i="19"/>
  <c r="I237" i="19"/>
  <c r="G237" i="19"/>
  <c r="A237" i="19"/>
  <c r="P236" i="19"/>
  <c r="R236" i="19" s="1"/>
  <c r="S236" i="19" s="1"/>
  <c r="I236" i="19"/>
  <c r="H236" i="19"/>
  <c r="A236" i="19"/>
  <c r="P235" i="19"/>
  <c r="R235" i="19" s="1"/>
  <c r="S235" i="19" s="1"/>
  <c r="I235" i="19"/>
  <c r="G235" i="19"/>
  <c r="J235" i="19" s="1"/>
  <c r="K235" i="19" s="1"/>
  <c r="H235" i="19"/>
  <c r="A235" i="19"/>
  <c r="P234" i="19"/>
  <c r="I234" i="19"/>
  <c r="A234" i="19"/>
  <c r="P233" i="19"/>
  <c r="I233" i="19"/>
  <c r="G233" i="19"/>
  <c r="A233" i="19"/>
  <c r="P232" i="19"/>
  <c r="H232" i="19"/>
  <c r="A232" i="19"/>
  <c r="P231" i="19"/>
  <c r="I231" i="19"/>
  <c r="H231" i="19"/>
  <c r="A231" i="19"/>
  <c r="P230" i="19"/>
  <c r="A230" i="19"/>
  <c r="P229" i="19"/>
  <c r="I229" i="19"/>
  <c r="H229" i="19"/>
  <c r="G229" i="19"/>
  <c r="A229" i="19"/>
  <c r="P228" i="19"/>
  <c r="H228" i="19"/>
  <c r="A228" i="19"/>
  <c r="P227" i="19"/>
  <c r="I227" i="19"/>
  <c r="H227" i="19"/>
  <c r="G227" i="19"/>
  <c r="A227" i="19"/>
  <c r="P226" i="19"/>
  <c r="H226" i="19"/>
  <c r="I226" i="19"/>
  <c r="A226" i="19"/>
  <c r="P225" i="19"/>
  <c r="I225" i="19"/>
  <c r="A225" i="19"/>
  <c r="P224" i="19"/>
  <c r="I224" i="19"/>
  <c r="H224" i="19"/>
  <c r="G224" i="19"/>
  <c r="A224" i="19"/>
  <c r="P223" i="19"/>
  <c r="I223" i="19"/>
  <c r="A223" i="19"/>
  <c r="P222" i="19"/>
  <c r="H222" i="19"/>
  <c r="A222" i="19"/>
  <c r="P221" i="19"/>
  <c r="I221" i="19"/>
  <c r="H221" i="19"/>
  <c r="A221" i="19"/>
  <c r="P220" i="19"/>
  <c r="R220" i="19" s="1"/>
  <c r="S220" i="19" s="1"/>
  <c r="H220" i="19"/>
  <c r="A220" i="19"/>
  <c r="P219" i="19"/>
  <c r="R219" i="19" s="1"/>
  <c r="S219" i="19" s="1"/>
  <c r="H219" i="19"/>
  <c r="A219" i="19"/>
  <c r="P218" i="19"/>
  <c r="H218" i="19"/>
  <c r="I218" i="19"/>
  <c r="G218" i="19"/>
  <c r="A218" i="19"/>
  <c r="P217" i="19"/>
  <c r="H217" i="19"/>
  <c r="I217" i="19"/>
  <c r="A217" i="19"/>
  <c r="P216" i="19"/>
  <c r="I216" i="19"/>
  <c r="H216" i="19"/>
  <c r="G216" i="19"/>
  <c r="A216" i="19"/>
  <c r="P215" i="19"/>
  <c r="I215" i="19"/>
  <c r="H215" i="19"/>
  <c r="A215" i="19"/>
  <c r="P214" i="19"/>
  <c r="I214" i="19"/>
  <c r="G214" i="19"/>
  <c r="J214" i="19" s="1"/>
  <c r="K214" i="19" s="1"/>
  <c r="A214" i="19"/>
  <c r="P213" i="19"/>
  <c r="I213" i="19"/>
  <c r="H213" i="19"/>
  <c r="A213" i="19"/>
  <c r="P212" i="19"/>
  <c r="I212" i="19"/>
  <c r="H212" i="19"/>
  <c r="G212" i="19"/>
  <c r="J212" i="19" s="1"/>
  <c r="K212" i="19" s="1"/>
  <c r="A212" i="19"/>
  <c r="P211" i="19"/>
  <c r="R211" i="19" s="1"/>
  <c r="S211" i="19" s="1"/>
  <c r="I211" i="19"/>
  <c r="H211" i="19"/>
  <c r="G211" i="19"/>
  <c r="J211" i="19" s="1"/>
  <c r="K211" i="19" s="1"/>
  <c r="A211" i="19"/>
  <c r="P210" i="19"/>
  <c r="I210" i="19"/>
  <c r="H210" i="19"/>
  <c r="A210" i="19"/>
  <c r="P209" i="19"/>
  <c r="I209" i="19"/>
  <c r="G209" i="19"/>
  <c r="A209" i="19"/>
  <c r="P208" i="19"/>
  <c r="H208" i="19"/>
  <c r="A208" i="19"/>
  <c r="P207" i="19"/>
  <c r="I207" i="19"/>
  <c r="H207" i="19"/>
  <c r="A207" i="19"/>
  <c r="P206" i="19"/>
  <c r="R206" i="19" s="1"/>
  <c r="S206" i="19" s="1"/>
  <c r="G206" i="19"/>
  <c r="I206" i="19"/>
  <c r="H206" i="19"/>
  <c r="A206" i="19"/>
  <c r="P205" i="19"/>
  <c r="I205" i="19"/>
  <c r="H205" i="19"/>
  <c r="A205" i="19"/>
  <c r="P204" i="19"/>
  <c r="H204" i="19"/>
  <c r="A204" i="19"/>
  <c r="P203" i="19"/>
  <c r="I203" i="19"/>
  <c r="G203" i="19"/>
  <c r="A203" i="19"/>
  <c r="P202" i="19"/>
  <c r="R202" i="19" s="1"/>
  <c r="S202" i="19" s="1"/>
  <c r="I202" i="19"/>
  <c r="A202" i="19"/>
  <c r="P201" i="19"/>
  <c r="I201" i="19"/>
  <c r="G201" i="19"/>
  <c r="J201" i="19" s="1"/>
  <c r="K201" i="19" s="1"/>
  <c r="H201" i="19"/>
  <c r="A201" i="19"/>
  <c r="P200" i="19"/>
  <c r="H200" i="19"/>
  <c r="G200" i="19"/>
  <c r="J200" i="19" s="1"/>
  <c r="A200" i="19"/>
  <c r="P199" i="19"/>
  <c r="H199" i="19"/>
  <c r="A199" i="19"/>
  <c r="P198" i="19"/>
  <c r="H198" i="19"/>
  <c r="I198" i="19"/>
  <c r="A198" i="19"/>
  <c r="P197" i="19"/>
  <c r="H197" i="19"/>
  <c r="I197" i="19"/>
  <c r="A197" i="19"/>
  <c r="P196" i="19"/>
  <c r="H196" i="19"/>
  <c r="A196" i="19"/>
  <c r="P195" i="19"/>
  <c r="H195" i="19"/>
  <c r="A195" i="19"/>
  <c r="P194" i="19"/>
  <c r="I194" i="19"/>
  <c r="H194" i="19"/>
  <c r="A194" i="19"/>
  <c r="P193" i="19"/>
  <c r="H193" i="19"/>
  <c r="A193" i="19"/>
  <c r="P192" i="19"/>
  <c r="I192" i="19"/>
  <c r="G192" i="19"/>
  <c r="J192" i="19" s="1"/>
  <c r="K192" i="19" s="1"/>
  <c r="A192" i="19"/>
  <c r="P191" i="19"/>
  <c r="I191" i="19"/>
  <c r="A191" i="19"/>
  <c r="P190" i="19"/>
  <c r="R190" i="19" s="1"/>
  <c r="S190" i="19" s="1"/>
  <c r="I190" i="19"/>
  <c r="H190" i="19"/>
  <c r="G190" i="19"/>
  <c r="A190" i="19"/>
  <c r="P189" i="19"/>
  <c r="H189" i="19"/>
  <c r="G189" i="19"/>
  <c r="A189" i="19"/>
  <c r="P188" i="19"/>
  <c r="I188" i="19"/>
  <c r="A188" i="19"/>
  <c r="P187" i="19"/>
  <c r="R187" i="19" s="1"/>
  <c r="S187" i="19" s="1"/>
  <c r="I187" i="19"/>
  <c r="H187" i="19"/>
  <c r="A187" i="19"/>
  <c r="P186" i="19"/>
  <c r="R186" i="19" s="1"/>
  <c r="S186" i="19" s="1"/>
  <c r="I186" i="19"/>
  <c r="H186" i="19"/>
  <c r="G186" i="19"/>
  <c r="J186" i="19" s="1"/>
  <c r="K186" i="19" s="1"/>
  <c r="A186" i="19"/>
  <c r="P185" i="19"/>
  <c r="H185" i="19"/>
  <c r="A185" i="19"/>
  <c r="P184" i="19"/>
  <c r="I184" i="19"/>
  <c r="G184" i="19"/>
  <c r="A184" i="19"/>
  <c r="P183" i="19"/>
  <c r="I183" i="19"/>
  <c r="A183" i="19"/>
  <c r="P182" i="19"/>
  <c r="I182" i="19"/>
  <c r="H182" i="19"/>
  <c r="A182" i="19"/>
  <c r="P181" i="19"/>
  <c r="I181" i="19"/>
  <c r="H181" i="19"/>
  <c r="A181" i="19"/>
  <c r="P180" i="19"/>
  <c r="I180" i="19"/>
  <c r="A180" i="19"/>
  <c r="P179" i="19"/>
  <c r="G179" i="19"/>
  <c r="J179" i="19" s="1"/>
  <c r="K179" i="19" s="1"/>
  <c r="H179" i="19"/>
  <c r="A179" i="19"/>
  <c r="P178" i="19"/>
  <c r="I178" i="19"/>
  <c r="A178" i="19"/>
  <c r="P177" i="19"/>
  <c r="I177" i="19"/>
  <c r="G177" i="19"/>
  <c r="H177" i="19"/>
  <c r="A177" i="19"/>
  <c r="P176" i="19"/>
  <c r="G176" i="19"/>
  <c r="I176" i="19"/>
  <c r="H176" i="19"/>
  <c r="A176" i="19"/>
  <c r="P175" i="19"/>
  <c r="I175" i="19"/>
  <c r="A175" i="19"/>
  <c r="P174" i="19"/>
  <c r="I174" i="19"/>
  <c r="H174" i="19"/>
  <c r="G174" i="19"/>
  <c r="A174" i="19"/>
  <c r="P173" i="19"/>
  <c r="H173" i="19"/>
  <c r="A173" i="19"/>
  <c r="P172" i="19"/>
  <c r="H172" i="19"/>
  <c r="A172" i="19"/>
  <c r="P171" i="19"/>
  <c r="R171" i="19" s="1"/>
  <c r="S171" i="19" s="1"/>
  <c r="H171" i="19"/>
  <c r="A171" i="19"/>
  <c r="P170" i="19"/>
  <c r="R170" i="19" s="1"/>
  <c r="S170" i="19" s="1"/>
  <c r="I170" i="19"/>
  <c r="H170" i="19"/>
  <c r="G170" i="19"/>
  <c r="J170" i="19" s="1"/>
  <c r="K170" i="19" s="1"/>
  <c r="A170" i="19"/>
  <c r="P169" i="19"/>
  <c r="H169" i="19"/>
  <c r="A169" i="19"/>
  <c r="P168" i="19"/>
  <c r="I168" i="19"/>
  <c r="H168" i="19"/>
  <c r="A168" i="19"/>
  <c r="P167" i="19"/>
  <c r="I167" i="19"/>
  <c r="H167" i="19"/>
  <c r="A167" i="19"/>
  <c r="P166" i="19"/>
  <c r="I166" i="19"/>
  <c r="H166" i="19"/>
  <c r="A166" i="19"/>
  <c r="P165" i="19"/>
  <c r="H165" i="19"/>
  <c r="I165" i="19"/>
  <c r="A165" i="19"/>
  <c r="P164" i="19"/>
  <c r="I164" i="19"/>
  <c r="H164" i="19"/>
  <c r="A164" i="19"/>
  <c r="P163" i="19"/>
  <c r="I163" i="19"/>
  <c r="H163" i="19"/>
  <c r="G163" i="19"/>
  <c r="J163" i="19" s="1"/>
  <c r="K163" i="19" s="1"/>
  <c r="A163" i="19"/>
  <c r="P162" i="19"/>
  <c r="I162" i="19"/>
  <c r="A162" i="19"/>
  <c r="P161" i="19"/>
  <c r="A161" i="19"/>
  <c r="P160" i="19"/>
  <c r="H160" i="19"/>
  <c r="G160" i="19"/>
  <c r="J160" i="19" s="1"/>
  <c r="K160" i="19" s="1"/>
  <c r="A160" i="19"/>
  <c r="P159" i="19"/>
  <c r="I159" i="19"/>
  <c r="H159" i="19"/>
  <c r="A159" i="19"/>
  <c r="P158" i="19"/>
  <c r="R158" i="19" s="1"/>
  <c r="S158" i="19" s="1"/>
  <c r="I158" i="19"/>
  <c r="H158" i="19"/>
  <c r="G158" i="19"/>
  <c r="J158" i="19" s="1"/>
  <c r="K158" i="19" s="1"/>
  <c r="A158" i="19"/>
  <c r="P157" i="19"/>
  <c r="I157" i="19"/>
  <c r="H157" i="19"/>
  <c r="A157" i="19"/>
  <c r="P156" i="19"/>
  <c r="I156" i="19"/>
  <c r="A156" i="19"/>
  <c r="P155" i="19"/>
  <c r="R155" i="19" s="1"/>
  <c r="S155" i="19" s="1"/>
  <c r="H155" i="19"/>
  <c r="G155" i="19"/>
  <c r="I155" i="19"/>
  <c r="A155" i="19"/>
  <c r="P154" i="19"/>
  <c r="R154" i="19" s="1"/>
  <c r="S154" i="19" s="1"/>
  <c r="I154" i="19"/>
  <c r="G154" i="19"/>
  <c r="J154" i="19" s="1"/>
  <c r="K154" i="19" s="1"/>
  <c r="H154" i="19"/>
  <c r="A154" i="19"/>
  <c r="P153" i="19"/>
  <c r="H153" i="19"/>
  <c r="G153" i="19"/>
  <c r="I153" i="19"/>
  <c r="A153" i="19"/>
  <c r="P152" i="19"/>
  <c r="I152" i="19"/>
  <c r="H152" i="19"/>
  <c r="A152" i="19"/>
  <c r="P151" i="19"/>
  <c r="H151" i="19"/>
  <c r="A151" i="19"/>
  <c r="P150" i="19"/>
  <c r="I150" i="19"/>
  <c r="A150" i="19"/>
  <c r="P149" i="19"/>
  <c r="I149" i="19"/>
  <c r="H149" i="19"/>
  <c r="A149" i="19"/>
  <c r="P148" i="19"/>
  <c r="I148" i="19"/>
  <c r="A148" i="19"/>
  <c r="P147" i="19"/>
  <c r="H147" i="19"/>
  <c r="A147" i="19"/>
  <c r="P146" i="19"/>
  <c r="I146" i="19"/>
  <c r="H146" i="19"/>
  <c r="A146" i="19"/>
  <c r="P145" i="19"/>
  <c r="I145" i="19"/>
  <c r="H145" i="19"/>
  <c r="A145" i="19"/>
  <c r="P144" i="19"/>
  <c r="I144" i="19"/>
  <c r="H144" i="19"/>
  <c r="A144" i="19"/>
  <c r="P143" i="19"/>
  <c r="I143" i="19"/>
  <c r="G143" i="19"/>
  <c r="A143" i="19"/>
  <c r="P142" i="19"/>
  <c r="R142" i="19" s="1"/>
  <c r="S142" i="19" s="1"/>
  <c r="A142" i="19"/>
  <c r="P141" i="19"/>
  <c r="I141" i="19"/>
  <c r="H141" i="19"/>
  <c r="A141" i="19"/>
  <c r="P140" i="19"/>
  <c r="I140" i="19"/>
  <c r="H140" i="19"/>
  <c r="A140" i="19"/>
  <c r="P139" i="19"/>
  <c r="R139" i="19" s="1"/>
  <c r="S139" i="19" s="1"/>
  <c r="H139" i="19"/>
  <c r="I139" i="19"/>
  <c r="A139" i="19"/>
  <c r="P138" i="19"/>
  <c r="R138" i="19" s="1"/>
  <c r="S138" i="19" s="1"/>
  <c r="G138" i="19"/>
  <c r="J138" i="19" s="1"/>
  <c r="K138" i="19" s="1"/>
  <c r="I138" i="19"/>
  <c r="H138" i="19"/>
  <c r="A138" i="19"/>
  <c r="P137" i="19"/>
  <c r="H137" i="19"/>
  <c r="A137" i="19"/>
  <c r="P136" i="19"/>
  <c r="H136" i="19"/>
  <c r="A136" i="19"/>
  <c r="P135" i="19"/>
  <c r="I135" i="19"/>
  <c r="A135" i="19"/>
  <c r="P134" i="19"/>
  <c r="H134" i="19"/>
  <c r="A134" i="19"/>
  <c r="P133" i="19"/>
  <c r="H133" i="19"/>
  <c r="A133" i="19"/>
  <c r="P132" i="19"/>
  <c r="I132" i="19"/>
  <c r="A132" i="19"/>
  <c r="P131" i="19"/>
  <c r="I131" i="19"/>
  <c r="A131" i="19"/>
  <c r="P130" i="19"/>
  <c r="G130" i="19"/>
  <c r="J130" i="19" s="1"/>
  <c r="K130" i="19" s="1"/>
  <c r="H130" i="19"/>
  <c r="A130" i="19"/>
  <c r="P129" i="19"/>
  <c r="I129" i="19"/>
  <c r="H129" i="19"/>
  <c r="A129" i="19"/>
  <c r="P128" i="19"/>
  <c r="H128" i="19"/>
  <c r="A128" i="19"/>
  <c r="P127" i="19"/>
  <c r="I127" i="19"/>
  <c r="G127" i="19"/>
  <c r="J127" i="19" s="1"/>
  <c r="A127" i="19"/>
  <c r="P126" i="19"/>
  <c r="R126" i="19" s="1"/>
  <c r="S126" i="19" s="1"/>
  <c r="I126" i="19"/>
  <c r="H126" i="19"/>
  <c r="A126" i="19"/>
  <c r="P125" i="19"/>
  <c r="H125" i="19"/>
  <c r="A125" i="19"/>
  <c r="P124" i="19"/>
  <c r="H124" i="19"/>
  <c r="A124" i="19"/>
  <c r="P123" i="19"/>
  <c r="R123" i="19" s="1"/>
  <c r="S123" i="19" s="1"/>
  <c r="H123" i="19"/>
  <c r="A123" i="19"/>
  <c r="P122" i="19"/>
  <c r="R122" i="19" s="1"/>
  <c r="S122" i="19" s="1"/>
  <c r="I122" i="19"/>
  <c r="H122" i="19"/>
  <c r="A122" i="19"/>
  <c r="P121" i="19"/>
  <c r="H121" i="19"/>
  <c r="A121" i="19"/>
  <c r="P120" i="19"/>
  <c r="I120" i="19"/>
  <c r="A120" i="19"/>
  <c r="P119" i="19"/>
  <c r="I119" i="19"/>
  <c r="H119" i="19"/>
  <c r="A119" i="19"/>
  <c r="P118" i="19"/>
  <c r="I118" i="19"/>
  <c r="H118" i="19"/>
  <c r="A118" i="19"/>
  <c r="P117" i="19"/>
  <c r="I117" i="19"/>
  <c r="H117" i="19"/>
  <c r="A117" i="19"/>
  <c r="P116" i="19"/>
  <c r="I116" i="19"/>
  <c r="A116" i="19"/>
  <c r="P115" i="19"/>
  <c r="H115" i="19"/>
  <c r="A115" i="19"/>
  <c r="P114" i="19"/>
  <c r="H114" i="19"/>
  <c r="G114" i="19"/>
  <c r="J114" i="19" s="1"/>
  <c r="I114" i="19"/>
  <c r="A114" i="19"/>
  <c r="P113" i="19"/>
  <c r="I113" i="19"/>
  <c r="H113" i="19"/>
  <c r="A113" i="19"/>
  <c r="P112" i="19"/>
  <c r="I112" i="19"/>
  <c r="H112" i="19"/>
  <c r="A112" i="19"/>
  <c r="P111" i="19"/>
  <c r="R111" i="19" s="1"/>
  <c r="S111" i="19" s="1"/>
  <c r="H111" i="19"/>
  <c r="A111" i="19"/>
  <c r="P110" i="19"/>
  <c r="H110" i="19"/>
  <c r="A110" i="19"/>
  <c r="P109" i="19"/>
  <c r="R109" i="19" s="1"/>
  <c r="S109" i="19" s="1"/>
  <c r="H109" i="19"/>
  <c r="A109" i="19"/>
  <c r="P108" i="19"/>
  <c r="I108" i="19"/>
  <c r="A108" i="19"/>
  <c r="P107" i="19"/>
  <c r="R107" i="19" s="1"/>
  <c r="S107" i="19" s="1"/>
  <c r="H107" i="19"/>
  <c r="A107" i="19"/>
  <c r="P106" i="19"/>
  <c r="I106" i="19"/>
  <c r="H106" i="19"/>
  <c r="A106" i="19"/>
  <c r="P105" i="19"/>
  <c r="R105" i="19" s="1"/>
  <c r="S105" i="19" s="1"/>
  <c r="I105" i="19"/>
  <c r="H105" i="19"/>
  <c r="G105" i="19"/>
  <c r="J105" i="19" s="1"/>
  <c r="K105" i="19" s="1"/>
  <c r="A105" i="19"/>
  <c r="P104" i="19"/>
  <c r="A104" i="19"/>
  <c r="P103" i="19"/>
  <c r="R103" i="19" s="1"/>
  <c r="S103" i="19" s="1"/>
  <c r="I103" i="19"/>
  <c r="H103" i="19"/>
  <c r="G103" i="19"/>
  <c r="J103" i="19" s="1"/>
  <c r="K103" i="19" s="1"/>
  <c r="A103" i="19"/>
  <c r="P102" i="19"/>
  <c r="I102" i="19"/>
  <c r="H102" i="19"/>
  <c r="G102" i="19"/>
  <c r="A102" i="19"/>
  <c r="P101" i="19"/>
  <c r="I101" i="19"/>
  <c r="H101" i="19"/>
  <c r="G101" i="19"/>
  <c r="A101" i="19"/>
  <c r="P100" i="19"/>
  <c r="H100" i="19"/>
  <c r="A100" i="19"/>
  <c r="P99" i="19"/>
  <c r="A99" i="19"/>
  <c r="P98" i="19"/>
  <c r="H98" i="19"/>
  <c r="A98" i="19"/>
  <c r="P97" i="19"/>
  <c r="I97" i="19"/>
  <c r="H97" i="19"/>
  <c r="A97" i="19"/>
  <c r="P96" i="19"/>
  <c r="I96" i="19"/>
  <c r="A96" i="19"/>
  <c r="P95" i="19"/>
  <c r="R95" i="19" s="1"/>
  <c r="S95" i="19" s="1"/>
  <c r="I95" i="19"/>
  <c r="H95" i="19"/>
  <c r="G95" i="19"/>
  <c r="J95" i="19" s="1"/>
  <c r="K95" i="19" s="1"/>
  <c r="A95" i="19"/>
  <c r="P94" i="19"/>
  <c r="I94" i="19"/>
  <c r="H94" i="19"/>
  <c r="G94" i="19"/>
  <c r="A94" i="19"/>
  <c r="P93" i="19"/>
  <c r="H93" i="19"/>
  <c r="A93" i="19"/>
  <c r="P92" i="19"/>
  <c r="A92" i="19"/>
  <c r="P91" i="19"/>
  <c r="H91" i="19"/>
  <c r="A91" i="19"/>
  <c r="P90" i="19"/>
  <c r="R90" i="19" s="1"/>
  <c r="S90" i="19" s="1"/>
  <c r="H90" i="19"/>
  <c r="I90" i="19"/>
  <c r="A90" i="19"/>
  <c r="P89" i="19"/>
  <c r="H89" i="19"/>
  <c r="I89" i="19"/>
  <c r="A89" i="19"/>
  <c r="P88" i="19"/>
  <c r="I88" i="19"/>
  <c r="H88" i="19"/>
  <c r="A88" i="19"/>
  <c r="P87" i="19"/>
  <c r="I87" i="19"/>
  <c r="H87" i="19"/>
  <c r="G87" i="19"/>
  <c r="A87" i="19"/>
  <c r="P86" i="19"/>
  <c r="I86" i="19"/>
  <c r="H86" i="19"/>
  <c r="G86" i="19"/>
  <c r="J86" i="19" s="1"/>
  <c r="K86" i="19" s="1"/>
  <c r="A86" i="19"/>
  <c r="P85" i="19"/>
  <c r="I85" i="19"/>
  <c r="H85" i="19"/>
  <c r="G85" i="19"/>
  <c r="A85" i="19"/>
  <c r="P84" i="19"/>
  <c r="I84" i="19"/>
  <c r="H84" i="19"/>
  <c r="G84" i="19"/>
  <c r="J84" i="19" s="1"/>
  <c r="K84" i="19" s="1"/>
  <c r="A84" i="19"/>
  <c r="P83" i="19"/>
  <c r="I83" i="19"/>
  <c r="H83" i="19"/>
  <c r="G83" i="19"/>
  <c r="J83" i="19" s="1"/>
  <c r="K83" i="19" s="1"/>
  <c r="A83" i="19"/>
  <c r="P82" i="19"/>
  <c r="I82" i="19"/>
  <c r="H82" i="19"/>
  <c r="G82" i="19"/>
  <c r="J82" i="19" s="1"/>
  <c r="K82" i="19" s="1"/>
  <c r="A82" i="19"/>
  <c r="P81" i="19"/>
  <c r="I81" i="19"/>
  <c r="H81" i="19"/>
  <c r="G81" i="19"/>
  <c r="J81" i="19" s="1"/>
  <c r="K81" i="19" s="1"/>
  <c r="A81" i="19"/>
  <c r="P80" i="19"/>
  <c r="I80" i="19"/>
  <c r="H80" i="19"/>
  <c r="G80" i="19"/>
  <c r="J80" i="19" s="1"/>
  <c r="K80" i="19" s="1"/>
  <c r="A80" i="19"/>
  <c r="P79" i="19"/>
  <c r="I79" i="19"/>
  <c r="H79" i="19"/>
  <c r="G79" i="19"/>
  <c r="A79" i="19"/>
  <c r="P78" i="19"/>
  <c r="I78" i="19"/>
  <c r="H78" i="19"/>
  <c r="G78" i="19"/>
  <c r="J78" i="19" s="1"/>
  <c r="K78" i="19" s="1"/>
  <c r="A78" i="19"/>
  <c r="P77" i="19"/>
  <c r="H77" i="19"/>
  <c r="A77" i="19"/>
  <c r="P76" i="19"/>
  <c r="R76" i="19" s="1"/>
  <c r="S76" i="19" s="1"/>
  <c r="I76" i="19"/>
  <c r="A76" i="19"/>
  <c r="P75" i="19"/>
  <c r="H75" i="19"/>
  <c r="I75" i="19"/>
  <c r="A75" i="19"/>
  <c r="P74" i="19"/>
  <c r="I74" i="19"/>
  <c r="A74" i="19"/>
  <c r="P73" i="19"/>
  <c r="I73" i="19"/>
  <c r="H73" i="19"/>
  <c r="A73" i="19"/>
  <c r="P72" i="19"/>
  <c r="H72" i="19"/>
  <c r="A72" i="19"/>
  <c r="P71" i="19"/>
  <c r="I71" i="19"/>
  <c r="G71" i="19"/>
  <c r="A71" i="19"/>
  <c r="P70" i="19"/>
  <c r="A70" i="19"/>
  <c r="P69" i="19"/>
  <c r="I69" i="19"/>
  <c r="H69" i="19"/>
  <c r="G69" i="19"/>
  <c r="A69" i="19"/>
  <c r="P68" i="19"/>
  <c r="I68" i="19"/>
  <c r="H68" i="19"/>
  <c r="A68" i="19"/>
  <c r="P67" i="19"/>
  <c r="I67" i="19"/>
  <c r="G67" i="19"/>
  <c r="J67" i="19" s="1"/>
  <c r="K67" i="19" s="1"/>
  <c r="A67" i="19"/>
  <c r="P66" i="19"/>
  <c r="H66" i="19"/>
  <c r="G66" i="19"/>
  <c r="J66" i="19" s="1"/>
  <c r="I66" i="19"/>
  <c r="A66" i="19"/>
  <c r="P65" i="19"/>
  <c r="I65" i="19"/>
  <c r="H65" i="19"/>
  <c r="A65" i="19"/>
  <c r="P64" i="19"/>
  <c r="I64" i="19"/>
  <c r="H64" i="19"/>
  <c r="G64" i="19"/>
  <c r="J64" i="19" s="1"/>
  <c r="K64" i="19" s="1"/>
  <c r="A64" i="19"/>
  <c r="P63" i="19"/>
  <c r="H63" i="19"/>
  <c r="G63" i="19"/>
  <c r="J63" i="19" s="1"/>
  <c r="A63" i="19"/>
  <c r="P62" i="19"/>
  <c r="H62" i="19"/>
  <c r="I62" i="19"/>
  <c r="A62" i="19"/>
  <c r="P61" i="19"/>
  <c r="H61" i="19"/>
  <c r="G61" i="19"/>
  <c r="J61" i="19" s="1"/>
  <c r="K61" i="19" s="1"/>
  <c r="A61" i="19"/>
  <c r="P60" i="19"/>
  <c r="G60" i="19"/>
  <c r="J60" i="19" s="1"/>
  <c r="H60" i="19"/>
  <c r="A60" i="19"/>
  <c r="P59" i="19"/>
  <c r="I59" i="19"/>
  <c r="H59" i="19"/>
  <c r="A59" i="19"/>
  <c r="P58" i="19"/>
  <c r="H58" i="19"/>
  <c r="I58" i="19"/>
  <c r="A58" i="19"/>
  <c r="P57" i="19"/>
  <c r="I57" i="19"/>
  <c r="H57" i="19"/>
  <c r="A57" i="19"/>
  <c r="P56" i="19"/>
  <c r="I56" i="19"/>
  <c r="H56" i="19"/>
  <c r="A56" i="19"/>
  <c r="P55" i="19"/>
  <c r="I55" i="19"/>
  <c r="A55" i="19"/>
  <c r="P54" i="19"/>
  <c r="I54" i="19"/>
  <c r="G54" i="19"/>
  <c r="A54" i="19"/>
  <c r="P53" i="19"/>
  <c r="H53" i="19"/>
  <c r="A53" i="19"/>
  <c r="P52" i="19"/>
  <c r="H52" i="19"/>
  <c r="A52" i="19"/>
  <c r="P51" i="19"/>
  <c r="I51" i="19"/>
  <c r="H51" i="19"/>
  <c r="A51" i="19"/>
  <c r="P50" i="19"/>
  <c r="I50" i="19"/>
  <c r="A50" i="19"/>
  <c r="P49" i="19"/>
  <c r="H49" i="19"/>
  <c r="A49" i="19"/>
  <c r="P48" i="19"/>
  <c r="R48" i="19" s="1"/>
  <c r="S48" i="19" s="1"/>
  <c r="I48" i="19"/>
  <c r="G48" i="19"/>
  <c r="A48" i="19"/>
  <c r="P47" i="19"/>
  <c r="A47" i="19"/>
  <c r="P46" i="19"/>
  <c r="I46" i="19"/>
  <c r="H46" i="19"/>
  <c r="A46" i="19"/>
  <c r="P45" i="19"/>
  <c r="H45" i="19"/>
  <c r="A45" i="19"/>
  <c r="P44" i="19"/>
  <c r="R44" i="19" s="1"/>
  <c r="S44" i="19" s="1"/>
  <c r="I44" i="19"/>
  <c r="A44" i="19"/>
  <c r="P43" i="19"/>
  <c r="I43" i="19"/>
  <c r="H43" i="19"/>
  <c r="A43" i="19"/>
  <c r="P42" i="19"/>
  <c r="I42" i="19"/>
  <c r="G42" i="19"/>
  <c r="A42" i="19"/>
  <c r="P41" i="19"/>
  <c r="I41" i="19"/>
  <c r="H41" i="19"/>
  <c r="A41" i="19"/>
  <c r="P40" i="19"/>
  <c r="I40" i="19"/>
  <c r="H40" i="19"/>
  <c r="A40" i="19"/>
  <c r="P39" i="19"/>
  <c r="I39" i="19"/>
  <c r="H39" i="19"/>
  <c r="A39" i="19"/>
  <c r="P38" i="19"/>
  <c r="H38" i="19"/>
  <c r="I38" i="19"/>
  <c r="A38" i="19"/>
  <c r="P37" i="19"/>
  <c r="G37" i="19"/>
  <c r="A37" i="19"/>
  <c r="P36" i="19"/>
  <c r="I36" i="19"/>
  <c r="H36" i="19"/>
  <c r="A36" i="19"/>
  <c r="P35" i="19"/>
  <c r="I35" i="19"/>
  <c r="H35" i="19"/>
  <c r="A35" i="19"/>
  <c r="P34" i="19"/>
  <c r="I34" i="19"/>
  <c r="G34" i="19"/>
  <c r="J34" i="19" s="1"/>
  <c r="A34" i="19"/>
  <c r="P33" i="19"/>
  <c r="R33" i="19" s="1"/>
  <c r="S33" i="19" s="1"/>
  <c r="H33" i="19"/>
  <c r="I33" i="19"/>
  <c r="A33" i="19"/>
  <c r="P32" i="19"/>
  <c r="H32" i="19"/>
  <c r="A32" i="19"/>
  <c r="P31" i="19"/>
  <c r="R31" i="19" s="1"/>
  <c r="S31" i="19" s="1"/>
  <c r="I31" i="19"/>
  <c r="H31" i="19"/>
  <c r="A31" i="19"/>
  <c r="P30" i="19"/>
  <c r="I30" i="19"/>
  <c r="G30" i="19"/>
  <c r="A30" i="19"/>
  <c r="P29" i="19"/>
  <c r="I29" i="19"/>
  <c r="H29" i="19"/>
  <c r="A29" i="19"/>
  <c r="P28" i="19"/>
  <c r="I28" i="19"/>
  <c r="A28" i="19"/>
  <c r="P27" i="19"/>
  <c r="R27" i="19" s="1"/>
  <c r="S27" i="19" s="1"/>
  <c r="I27" i="19"/>
  <c r="H27" i="19"/>
  <c r="G27" i="19"/>
  <c r="J27" i="19" s="1"/>
  <c r="K27" i="19" s="1"/>
  <c r="A27" i="19"/>
  <c r="P26" i="19"/>
  <c r="I26" i="19"/>
  <c r="H26" i="19"/>
  <c r="G26" i="19"/>
  <c r="J26" i="19" s="1"/>
  <c r="K26" i="19" s="1"/>
  <c r="A26" i="19"/>
  <c r="P25" i="19"/>
  <c r="R25" i="19" s="1"/>
  <c r="S25" i="19" s="1"/>
  <c r="I25" i="19"/>
  <c r="H25" i="19"/>
  <c r="A25" i="19"/>
  <c r="P24" i="19"/>
  <c r="I24" i="19"/>
  <c r="A24" i="19"/>
  <c r="P23" i="19"/>
  <c r="I23" i="19"/>
  <c r="G23" i="19"/>
  <c r="A23" i="19"/>
  <c r="P22" i="19"/>
  <c r="I22" i="19"/>
  <c r="H22" i="19"/>
  <c r="A22" i="19"/>
  <c r="P21" i="19"/>
  <c r="H21" i="19"/>
  <c r="I21" i="19"/>
  <c r="A21" i="19"/>
  <c r="P20" i="19"/>
  <c r="H20" i="19"/>
  <c r="I20" i="19"/>
  <c r="A20" i="19"/>
  <c r="P19" i="19"/>
  <c r="I19" i="19"/>
  <c r="H19" i="19"/>
  <c r="G19" i="19"/>
  <c r="J19" i="19" s="1"/>
  <c r="K19" i="19" s="1"/>
  <c r="A19" i="19"/>
  <c r="P18" i="19"/>
  <c r="R18" i="19" s="1"/>
  <c r="S18" i="19" s="1"/>
  <c r="H18" i="19"/>
  <c r="A18" i="19"/>
  <c r="P17" i="19"/>
  <c r="I17" i="19"/>
  <c r="H17" i="19"/>
  <c r="A17" i="19"/>
  <c r="P16" i="19"/>
  <c r="I16" i="19"/>
  <c r="H16" i="19"/>
  <c r="A16" i="19"/>
  <c r="P15" i="19"/>
  <c r="I15" i="19"/>
  <c r="G15" i="19"/>
  <c r="A15" i="19"/>
  <c r="P14" i="19"/>
  <c r="I14" i="19"/>
  <c r="H14" i="19"/>
  <c r="A14" i="19"/>
  <c r="P13" i="19"/>
  <c r="R13" i="19" s="1"/>
  <c r="S13" i="19" s="1"/>
  <c r="I13" i="19"/>
  <c r="H13" i="19"/>
  <c r="A13" i="19"/>
  <c r="P12" i="19"/>
  <c r="I12" i="19"/>
  <c r="G12" i="19"/>
  <c r="J12" i="19" s="1"/>
  <c r="K12" i="19" s="1"/>
  <c r="A12" i="19"/>
  <c r="P11" i="19"/>
  <c r="G11" i="19"/>
  <c r="H11" i="19"/>
  <c r="A11" i="19"/>
  <c r="P10" i="19"/>
  <c r="I10" i="19"/>
  <c r="H10" i="19"/>
  <c r="A10" i="19"/>
  <c r="P9" i="19"/>
  <c r="I9" i="19"/>
  <c r="H9" i="19"/>
  <c r="G9" i="19"/>
  <c r="A9" i="19"/>
  <c r="P8" i="19"/>
  <c r="R8" i="19" s="1"/>
  <c r="S8" i="19" s="1"/>
  <c r="I8" i="19"/>
  <c r="H8" i="19"/>
  <c r="A8" i="19"/>
  <c r="P7" i="19"/>
  <c r="I7" i="19"/>
  <c r="H7" i="19"/>
  <c r="G7" i="19"/>
  <c r="J7" i="19" s="1"/>
  <c r="K7" i="19" s="1"/>
  <c r="A7" i="19"/>
  <c r="P6" i="19"/>
  <c r="I6" i="19"/>
  <c r="H6" i="19"/>
  <c r="G6" i="19"/>
  <c r="A6" i="19"/>
  <c r="P5" i="19"/>
  <c r="I5" i="19"/>
  <c r="H5" i="19"/>
  <c r="G5" i="19"/>
  <c r="J5" i="19" s="1"/>
  <c r="A5" i="19"/>
  <c r="R280" i="18"/>
  <c r="R277" i="18"/>
  <c r="R7" i="19" l="1"/>
  <c r="S7" i="19" s="1"/>
  <c r="R26" i="19"/>
  <c r="S26" i="19" s="1"/>
  <c r="R43" i="19"/>
  <c r="S43" i="19" s="1"/>
  <c r="R59" i="19"/>
  <c r="S59" i="19" s="1"/>
  <c r="R75" i="19"/>
  <c r="S75" i="19" s="1"/>
  <c r="R102" i="19"/>
  <c r="S102" i="19" s="1"/>
  <c r="R121" i="19"/>
  <c r="S121" i="19" s="1"/>
  <c r="R137" i="19"/>
  <c r="S137" i="19" s="1"/>
  <c r="R153" i="19"/>
  <c r="S153" i="19" s="1"/>
  <c r="R169" i="19"/>
  <c r="S169" i="19" s="1"/>
  <c r="R185" i="19"/>
  <c r="S185" i="19" s="1"/>
  <c r="R201" i="19"/>
  <c r="S201" i="19" s="1"/>
  <c r="R218" i="19"/>
  <c r="S218" i="19" s="1"/>
  <c r="R234" i="19"/>
  <c r="S234" i="19" s="1"/>
  <c r="R250" i="19"/>
  <c r="S250" i="19" s="1"/>
  <c r="R267" i="19"/>
  <c r="S267" i="19" s="1"/>
  <c r="R283" i="19"/>
  <c r="S283" i="19" s="1"/>
  <c r="R10" i="19"/>
  <c r="S10" i="19" s="1"/>
  <c r="R28" i="19"/>
  <c r="S28" i="19" s="1"/>
  <c r="R45" i="19"/>
  <c r="S45" i="19" s="1"/>
  <c r="R61" i="19"/>
  <c r="S61" i="19" s="1"/>
  <c r="R77" i="19"/>
  <c r="S77" i="19" s="1"/>
  <c r="R104" i="19"/>
  <c r="S104" i="19" s="1"/>
  <c r="R203" i="19"/>
  <c r="S203" i="19" s="1"/>
  <c r="R60" i="19"/>
  <c r="S60" i="19" s="1"/>
  <c r="R11" i="19"/>
  <c r="S11" i="19" s="1"/>
  <c r="R29" i="19"/>
  <c r="S29" i="19" s="1"/>
  <c r="R46" i="19"/>
  <c r="S46" i="19" s="1"/>
  <c r="R62" i="19"/>
  <c r="S62" i="19" s="1"/>
  <c r="R88" i="19"/>
  <c r="S88" i="19" s="1"/>
  <c r="R106" i="19"/>
  <c r="S106" i="19" s="1"/>
  <c r="R124" i="19"/>
  <c r="S124" i="19" s="1"/>
  <c r="R140" i="19"/>
  <c r="S140" i="19" s="1"/>
  <c r="R156" i="19"/>
  <c r="S156" i="19" s="1"/>
  <c r="R172" i="19"/>
  <c r="S172" i="19" s="1"/>
  <c r="R188" i="19"/>
  <c r="S188" i="19" s="1"/>
  <c r="R204" i="19"/>
  <c r="S204" i="19" s="1"/>
  <c r="R221" i="19"/>
  <c r="S221" i="19" s="1"/>
  <c r="R237" i="19"/>
  <c r="S237" i="19" s="1"/>
  <c r="R253" i="19"/>
  <c r="S253" i="19" s="1"/>
  <c r="R270" i="19"/>
  <c r="S270" i="19" s="1"/>
  <c r="R286" i="19"/>
  <c r="S286" i="19" s="1"/>
  <c r="R12" i="19"/>
  <c r="S12" i="19" s="1"/>
  <c r="R30" i="19"/>
  <c r="S30" i="19" s="1"/>
  <c r="R47" i="19"/>
  <c r="S47" i="19" s="1"/>
  <c r="R63" i="19"/>
  <c r="S63" i="19" s="1"/>
  <c r="R89" i="19"/>
  <c r="S89" i="19" s="1"/>
  <c r="R108" i="19"/>
  <c r="S108" i="19" s="1"/>
  <c r="R125" i="19"/>
  <c r="S125" i="19" s="1"/>
  <c r="R141" i="19"/>
  <c r="S141" i="19" s="1"/>
  <c r="R157" i="19"/>
  <c r="S157" i="19" s="1"/>
  <c r="R173" i="19"/>
  <c r="S173" i="19" s="1"/>
  <c r="R189" i="19"/>
  <c r="S189" i="19" s="1"/>
  <c r="R205" i="19"/>
  <c r="S205" i="19" s="1"/>
  <c r="R222" i="19"/>
  <c r="S222" i="19" s="1"/>
  <c r="R238" i="19"/>
  <c r="S238" i="19" s="1"/>
  <c r="R254" i="19"/>
  <c r="S254" i="19" s="1"/>
  <c r="R271" i="19"/>
  <c r="S271" i="19" s="1"/>
  <c r="R287" i="19"/>
  <c r="S287" i="19" s="1"/>
  <c r="R64" i="19"/>
  <c r="S64" i="19" s="1"/>
  <c r="R223" i="19"/>
  <c r="S223" i="19" s="1"/>
  <c r="R14" i="19"/>
  <c r="S14" i="19" s="1"/>
  <c r="R32" i="19"/>
  <c r="S32" i="19" s="1"/>
  <c r="R49" i="19"/>
  <c r="S49" i="19" s="1"/>
  <c r="R65" i="19"/>
  <c r="S65" i="19" s="1"/>
  <c r="R91" i="19"/>
  <c r="S91" i="19" s="1"/>
  <c r="R110" i="19"/>
  <c r="S110" i="19" s="1"/>
  <c r="R127" i="19"/>
  <c r="S127" i="19" s="1"/>
  <c r="R143" i="19"/>
  <c r="S143" i="19" s="1"/>
  <c r="R159" i="19"/>
  <c r="S159" i="19" s="1"/>
  <c r="R175" i="19"/>
  <c r="S175" i="19" s="1"/>
  <c r="R191" i="19"/>
  <c r="S191" i="19" s="1"/>
  <c r="R207" i="19"/>
  <c r="S207" i="19" s="1"/>
  <c r="R224" i="19"/>
  <c r="S224" i="19" s="1"/>
  <c r="R240" i="19"/>
  <c r="S240" i="19" s="1"/>
  <c r="R256" i="19"/>
  <c r="S256" i="19" s="1"/>
  <c r="R273" i="19"/>
  <c r="S273" i="19" s="1"/>
  <c r="R289" i="19"/>
  <c r="S289" i="19" s="1"/>
  <c r="R15" i="19"/>
  <c r="S15" i="19" s="1"/>
  <c r="R34" i="19"/>
  <c r="S34" i="19" s="1"/>
  <c r="R50" i="19"/>
  <c r="S50" i="19" s="1"/>
  <c r="R66" i="19"/>
  <c r="S66" i="19" s="1"/>
  <c r="R92" i="19"/>
  <c r="S92" i="19" s="1"/>
  <c r="R112" i="19"/>
  <c r="S112" i="19" s="1"/>
  <c r="R128" i="19"/>
  <c r="S128" i="19" s="1"/>
  <c r="R144" i="19"/>
  <c r="S144" i="19" s="1"/>
  <c r="R160" i="19"/>
  <c r="S160" i="19" s="1"/>
  <c r="R176" i="19"/>
  <c r="S176" i="19" s="1"/>
  <c r="R192" i="19"/>
  <c r="S192" i="19" s="1"/>
  <c r="R208" i="19"/>
  <c r="S208" i="19" s="1"/>
  <c r="R225" i="19"/>
  <c r="S225" i="19" s="1"/>
  <c r="R241" i="19"/>
  <c r="S241" i="19" s="1"/>
  <c r="R257" i="19"/>
  <c r="S257" i="19" s="1"/>
  <c r="R274" i="19"/>
  <c r="S274" i="19" s="1"/>
  <c r="R290" i="19"/>
  <c r="S290" i="19" s="1"/>
  <c r="R16" i="19"/>
  <c r="S16" i="19" s="1"/>
  <c r="R35" i="19"/>
  <c r="S35" i="19" s="1"/>
  <c r="R51" i="19"/>
  <c r="S51" i="19" s="1"/>
  <c r="R67" i="19"/>
  <c r="S67" i="19" s="1"/>
  <c r="R93" i="19"/>
  <c r="S93" i="19" s="1"/>
  <c r="R113" i="19"/>
  <c r="S113" i="19" s="1"/>
  <c r="R129" i="19"/>
  <c r="S129" i="19" s="1"/>
  <c r="R145" i="19"/>
  <c r="S145" i="19" s="1"/>
  <c r="R161" i="19"/>
  <c r="S161" i="19" s="1"/>
  <c r="R177" i="19"/>
  <c r="S177" i="19" s="1"/>
  <c r="R193" i="19"/>
  <c r="S193" i="19" s="1"/>
  <c r="R209" i="19"/>
  <c r="S209" i="19" s="1"/>
  <c r="R226" i="19"/>
  <c r="S226" i="19" s="1"/>
  <c r="R242" i="19"/>
  <c r="S242" i="19" s="1"/>
  <c r="R258" i="19"/>
  <c r="S258" i="19" s="1"/>
  <c r="R275" i="19"/>
  <c r="S275" i="19" s="1"/>
  <c r="R291" i="19"/>
  <c r="S291" i="19" s="1"/>
  <c r="R17" i="19"/>
  <c r="S17" i="19" s="1"/>
  <c r="R36" i="19"/>
  <c r="S36" i="19" s="1"/>
  <c r="R52" i="19"/>
  <c r="S52" i="19" s="1"/>
  <c r="R68" i="19"/>
  <c r="S68" i="19" s="1"/>
  <c r="R94" i="19"/>
  <c r="S94" i="19" s="1"/>
  <c r="R114" i="19"/>
  <c r="S114" i="19" s="1"/>
  <c r="R130" i="19"/>
  <c r="S130" i="19" s="1"/>
  <c r="R146" i="19"/>
  <c r="S146" i="19" s="1"/>
  <c r="R162" i="19"/>
  <c r="S162" i="19" s="1"/>
  <c r="R178" i="19"/>
  <c r="S178" i="19" s="1"/>
  <c r="R194" i="19"/>
  <c r="S194" i="19" s="1"/>
  <c r="R210" i="19"/>
  <c r="S210" i="19" s="1"/>
  <c r="R227" i="19"/>
  <c r="S227" i="19" s="1"/>
  <c r="R243" i="19"/>
  <c r="S243" i="19" s="1"/>
  <c r="R259" i="19"/>
  <c r="S259" i="19" s="1"/>
  <c r="R276" i="19"/>
  <c r="S276" i="19" s="1"/>
  <c r="R292" i="19"/>
  <c r="S292" i="19" s="1"/>
  <c r="R19" i="19"/>
  <c r="S19" i="19" s="1"/>
  <c r="R37" i="19"/>
  <c r="S37" i="19" s="1"/>
  <c r="R53" i="19"/>
  <c r="S53" i="19" s="1"/>
  <c r="R69" i="19"/>
  <c r="S69" i="19" s="1"/>
  <c r="R96" i="19"/>
  <c r="S96" i="19" s="1"/>
  <c r="R115" i="19"/>
  <c r="S115" i="19" s="1"/>
  <c r="R131" i="19"/>
  <c r="S131" i="19" s="1"/>
  <c r="R147" i="19"/>
  <c r="S147" i="19" s="1"/>
  <c r="R163" i="19"/>
  <c r="S163" i="19" s="1"/>
  <c r="R179" i="19"/>
  <c r="S179" i="19" s="1"/>
  <c r="R195" i="19"/>
  <c r="S195" i="19" s="1"/>
  <c r="R212" i="19"/>
  <c r="S212" i="19" s="1"/>
  <c r="R228" i="19"/>
  <c r="S228" i="19" s="1"/>
  <c r="R244" i="19"/>
  <c r="S244" i="19" s="1"/>
  <c r="R260" i="19"/>
  <c r="S260" i="19" s="1"/>
  <c r="R277" i="19"/>
  <c r="S277" i="19" s="1"/>
  <c r="R293" i="19"/>
  <c r="S293" i="19" s="1"/>
  <c r="R20" i="19"/>
  <c r="S20" i="19" s="1"/>
  <c r="R38" i="19"/>
  <c r="S38" i="19" s="1"/>
  <c r="R54" i="19"/>
  <c r="S54" i="19" s="1"/>
  <c r="R70" i="19"/>
  <c r="S70" i="19" s="1"/>
  <c r="R97" i="19"/>
  <c r="S97" i="19" s="1"/>
  <c r="R116" i="19"/>
  <c r="S116" i="19" s="1"/>
  <c r="R132" i="19"/>
  <c r="S132" i="19" s="1"/>
  <c r="R148" i="19"/>
  <c r="S148" i="19" s="1"/>
  <c r="R164" i="19"/>
  <c r="S164" i="19" s="1"/>
  <c r="R180" i="19"/>
  <c r="S180" i="19" s="1"/>
  <c r="R196" i="19"/>
  <c r="S196" i="19" s="1"/>
  <c r="R213" i="19"/>
  <c r="S213" i="19" s="1"/>
  <c r="R229" i="19"/>
  <c r="S229" i="19" s="1"/>
  <c r="R245" i="19"/>
  <c r="S245" i="19" s="1"/>
  <c r="R261" i="19"/>
  <c r="S261" i="19" s="1"/>
  <c r="R278" i="19"/>
  <c r="S278" i="19" s="1"/>
  <c r="R294" i="19"/>
  <c r="S294" i="19" s="1"/>
  <c r="R21" i="19"/>
  <c r="S21" i="19" s="1"/>
  <c r="R39" i="19"/>
  <c r="S39" i="19" s="1"/>
  <c r="R55" i="19"/>
  <c r="S55" i="19" s="1"/>
  <c r="R71" i="19"/>
  <c r="S71" i="19" s="1"/>
  <c r="R98" i="19"/>
  <c r="S98" i="19" s="1"/>
  <c r="R117" i="19"/>
  <c r="S117" i="19" s="1"/>
  <c r="R133" i="19"/>
  <c r="S133" i="19" s="1"/>
  <c r="R149" i="19"/>
  <c r="S149" i="19" s="1"/>
  <c r="R165" i="19"/>
  <c r="S165" i="19" s="1"/>
  <c r="R181" i="19"/>
  <c r="S181" i="19" s="1"/>
  <c r="R197" i="19"/>
  <c r="S197" i="19" s="1"/>
  <c r="R214" i="19"/>
  <c r="S214" i="19" s="1"/>
  <c r="R230" i="19"/>
  <c r="S230" i="19" s="1"/>
  <c r="R246" i="19"/>
  <c r="S246" i="19" s="1"/>
  <c r="R262" i="19"/>
  <c r="S262" i="19" s="1"/>
  <c r="R279" i="19"/>
  <c r="S279" i="19" s="1"/>
  <c r="R295" i="19"/>
  <c r="S295" i="19" s="1"/>
  <c r="R22" i="19"/>
  <c r="S22" i="19" s="1"/>
  <c r="R40" i="19"/>
  <c r="S40" i="19" s="1"/>
  <c r="R56" i="19"/>
  <c r="S56" i="19" s="1"/>
  <c r="R72" i="19"/>
  <c r="S72" i="19" s="1"/>
  <c r="R99" i="19"/>
  <c r="S99" i="19" s="1"/>
  <c r="R118" i="19"/>
  <c r="S118" i="19" s="1"/>
  <c r="R134" i="19"/>
  <c r="S134" i="19" s="1"/>
  <c r="R150" i="19"/>
  <c r="S150" i="19" s="1"/>
  <c r="R166" i="19"/>
  <c r="S166" i="19" s="1"/>
  <c r="R182" i="19"/>
  <c r="S182" i="19" s="1"/>
  <c r="R198" i="19"/>
  <c r="S198" i="19" s="1"/>
  <c r="R215" i="19"/>
  <c r="S215" i="19" s="1"/>
  <c r="R231" i="19"/>
  <c r="S231" i="19" s="1"/>
  <c r="R247" i="19"/>
  <c r="S247" i="19" s="1"/>
  <c r="R263" i="19"/>
  <c r="S263" i="19" s="1"/>
  <c r="R280" i="19"/>
  <c r="S280" i="19" s="1"/>
  <c r="R296" i="19"/>
  <c r="S296" i="19" s="1"/>
  <c r="R5" i="19"/>
  <c r="S5" i="19" s="1"/>
  <c r="R23" i="19"/>
  <c r="S23" i="19" s="1"/>
  <c r="R41" i="19"/>
  <c r="S41" i="19" s="1"/>
  <c r="R57" i="19"/>
  <c r="S57" i="19" s="1"/>
  <c r="R73" i="19"/>
  <c r="S73" i="19" s="1"/>
  <c r="R100" i="19"/>
  <c r="S100" i="19" s="1"/>
  <c r="R119" i="19"/>
  <c r="S119" i="19" s="1"/>
  <c r="R135" i="19"/>
  <c r="S135" i="19" s="1"/>
  <c r="R151" i="19"/>
  <c r="S151" i="19" s="1"/>
  <c r="R167" i="19"/>
  <c r="S167" i="19" s="1"/>
  <c r="R183" i="19"/>
  <c r="S183" i="19" s="1"/>
  <c r="R199" i="19"/>
  <c r="S199" i="19" s="1"/>
  <c r="R216" i="19"/>
  <c r="S216" i="19" s="1"/>
  <c r="R232" i="19"/>
  <c r="S232" i="19" s="1"/>
  <c r="R248" i="19"/>
  <c r="S248" i="19" s="1"/>
  <c r="R265" i="19"/>
  <c r="S265" i="19" s="1"/>
  <c r="R281" i="19"/>
  <c r="S281" i="19" s="1"/>
  <c r="R297" i="19"/>
  <c r="S297" i="19" s="1"/>
  <c r="R174" i="19"/>
  <c r="S174" i="19" s="1"/>
  <c r="R6" i="19"/>
  <c r="S6" i="19" s="1"/>
  <c r="R24" i="19"/>
  <c r="S24" i="19" s="1"/>
  <c r="R42" i="19"/>
  <c r="S42" i="19" s="1"/>
  <c r="R58" i="19"/>
  <c r="S58" i="19" s="1"/>
  <c r="R74" i="19"/>
  <c r="S74" i="19" s="1"/>
  <c r="R101" i="19"/>
  <c r="S101" i="19" s="1"/>
  <c r="R120" i="19"/>
  <c r="S120" i="19" s="1"/>
  <c r="R136" i="19"/>
  <c r="S136" i="19" s="1"/>
  <c r="R152" i="19"/>
  <c r="S152" i="19" s="1"/>
  <c r="R168" i="19"/>
  <c r="S168" i="19" s="1"/>
  <c r="R184" i="19"/>
  <c r="S184" i="19" s="1"/>
  <c r="R200" i="19"/>
  <c r="S200" i="19" s="1"/>
  <c r="R217" i="19"/>
  <c r="S217" i="19" s="1"/>
  <c r="R233" i="19"/>
  <c r="S233" i="19" s="1"/>
  <c r="R249" i="19"/>
  <c r="S249" i="19" s="1"/>
  <c r="R266" i="19"/>
  <c r="S266" i="19" s="1"/>
  <c r="R282" i="19"/>
  <c r="S282" i="19" s="1"/>
  <c r="I328" i="19"/>
  <c r="H127" i="19"/>
  <c r="G196" i="19"/>
  <c r="J196" i="19" s="1"/>
  <c r="K196" i="19" s="1"/>
  <c r="G247" i="19"/>
  <c r="J247" i="19" s="1"/>
  <c r="G38" i="19"/>
  <c r="J38" i="19" s="1"/>
  <c r="K38" i="19" s="1"/>
  <c r="G62" i="19"/>
  <c r="J62" i="19" s="1"/>
  <c r="K62" i="19" s="1"/>
  <c r="G112" i="19"/>
  <c r="J112" i="19" s="1"/>
  <c r="K112" i="19" s="1"/>
  <c r="G122" i="19"/>
  <c r="J122" i="19" s="1"/>
  <c r="G134" i="19"/>
  <c r="J134" i="19" s="1"/>
  <c r="K134" i="19" s="1"/>
  <c r="G308" i="19"/>
  <c r="J308" i="19" s="1"/>
  <c r="G125" i="19"/>
  <c r="J125" i="19" s="1"/>
  <c r="K125" i="19" s="1"/>
  <c r="H143" i="19"/>
  <c r="I160" i="19"/>
  <c r="H184" i="19"/>
  <c r="G210" i="19"/>
  <c r="J210" i="19" s="1"/>
  <c r="K210" i="19" s="1"/>
  <c r="G241" i="19"/>
  <c r="J241" i="19" s="1"/>
  <c r="K241" i="19" s="1"/>
  <c r="H247" i="19"/>
  <c r="G319" i="19"/>
  <c r="J319" i="19" s="1"/>
  <c r="G29" i="19"/>
  <c r="J29" i="19" s="1"/>
  <c r="K29" i="19" s="1"/>
  <c r="G35" i="19"/>
  <c r="J35" i="19" s="1"/>
  <c r="K35" i="19" s="1"/>
  <c r="H54" i="19"/>
  <c r="G57" i="19"/>
  <c r="J57" i="19" s="1"/>
  <c r="K57" i="19" s="1"/>
  <c r="G73" i="19"/>
  <c r="J73" i="19" s="1"/>
  <c r="K73" i="19" s="1"/>
  <c r="G106" i="19"/>
  <c r="J106" i="19" s="1"/>
  <c r="K106" i="19" s="1"/>
  <c r="I134" i="19"/>
  <c r="G146" i="19"/>
  <c r="J146" i="19" s="1"/>
  <c r="K146" i="19" s="1"/>
  <c r="G149" i="19"/>
  <c r="J149" i="19" s="1"/>
  <c r="K149" i="19" s="1"/>
  <c r="G194" i="19"/>
  <c r="J194" i="19" s="1"/>
  <c r="K194" i="19" s="1"/>
  <c r="G226" i="19"/>
  <c r="J226" i="19" s="1"/>
  <c r="K226" i="19" s="1"/>
  <c r="G312" i="19"/>
  <c r="J312" i="19" s="1"/>
  <c r="G322" i="19"/>
  <c r="J322" i="19" s="1"/>
  <c r="H12" i="19"/>
  <c r="H15" i="19"/>
  <c r="G18" i="19"/>
  <c r="G75" i="19"/>
  <c r="J75" i="19" s="1"/>
  <c r="K75" i="19" s="1"/>
  <c r="G33" i="19"/>
  <c r="J33" i="19" s="1"/>
  <c r="K33" i="19" s="1"/>
  <c r="G65" i="19"/>
  <c r="J65" i="19" s="1"/>
  <c r="K65" i="19" s="1"/>
  <c r="G140" i="19"/>
  <c r="J140" i="19" s="1"/>
  <c r="K140" i="19" s="1"/>
  <c r="G197" i="19"/>
  <c r="J197" i="19" s="1"/>
  <c r="K197" i="19" s="1"/>
  <c r="H263" i="19"/>
  <c r="H23" i="19"/>
  <c r="H48" i="19"/>
  <c r="H67" i="19"/>
  <c r="G116" i="19"/>
  <c r="J116" i="19" s="1"/>
  <c r="K116" i="19" s="1"/>
  <c r="G251" i="19"/>
  <c r="J251" i="19" s="1"/>
  <c r="K251" i="19" s="1"/>
  <c r="G257" i="19"/>
  <c r="J257" i="19" s="1"/>
  <c r="K257" i="19" s="1"/>
  <c r="G55" i="19"/>
  <c r="J55" i="19" s="1"/>
  <c r="K55" i="19" s="1"/>
  <c r="G97" i="19"/>
  <c r="J97" i="19" s="1"/>
  <c r="K97" i="19" s="1"/>
  <c r="G123" i="19"/>
  <c r="J123" i="19" s="1"/>
  <c r="K123" i="19" s="1"/>
  <c r="G126" i="19"/>
  <c r="J126" i="19" s="1"/>
  <c r="K126" i="19" s="1"/>
  <c r="G182" i="19"/>
  <c r="H233" i="19"/>
  <c r="G248" i="19"/>
  <c r="J248" i="19" s="1"/>
  <c r="K248" i="19" s="1"/>
  <c r="H251" i="19"/>
  <c r="H257" i="19"/>
  <c r="G268" i="19"/>
  <c r="J268" i="19" s="1"/>
  <c r="G17" i="19"/>
  <c r="J17" i="19" s="1"/>
  <c r="K17" i="19" s="1"/>
  <c r="G36" i="19"/>
  <c r="J36" i="19" s="1"/>
  <c r="K36" i="19" s="1"/>
  <c r="H55" i="19"/>
  <c r="G58" i="19"/>
  <c r="J58" i="19" s="1"/>
  <c r="K58" i="19" s="1"/>
  <c r="G129" i="19"/>
  <c r="J129" i="19" s="1"/>
  <c r="K129" i="19" s="1"/>
  <c r="G132" i="19"/>
  <c r="J132" i="19" s="1"/>
  <c r="K132" i="19" s="1"/>
  <c r="G144" i="19"/>
  <c r="J144" i="19" s="1"/>
  <c r="K144" i="19" s="1"/>
  <c r="G150" i="19"/>
  <c r="J150" i="19" s="1"/>
  <c r="K150" i="19" s="1"/>
  <c r="G236" i="19"/>
  <c r="J236" i="19" s="1"/>
  <c r="G245" i="19"/>
  <c r="J245" i="19" s="1"/>
  <c r="K245" i="19" s="1"/>
  <c r="G261" i="19"/>
  <c r="J261" i="19" s="1"/>
  <c r="K261" i="19" s="1"/>
  <c r="G21" i="19"/>
  <c r="J21" i="19" s="1"/>
  <c r="K21" i="19" s="1"/>
  <c r="G39" i="19"/>
  <c r="J39" i="19" s="1"/>
  <c r="K39" i="19" s="1"/>
  <c r="I63" i="19"/>
  <c r="H71" i="19"/>
  <c r="G156" i="19"/>
  <c r="J156" i="19" s="1"/>
  <c r="K156" i="19" s="1"/>
  <c r="G165" i="19"/>
  <c r="J165" i="19" s="1"/>
  <c r="K165" i="19" s="1"/>
  <c r="H192" i="19"/>
  <c r="G47" i="19"/>
  <c r="J47" i="19" s="1"/>
  <c r="K47" i="19" s="1"/>
  <c r="G53" i="19"/>
  <c r="J53" i="19" s="1"/>
  <c r="K53" i="19" s="1"/>
  <c r="G180" i="19"/>
  <c r="J180" i="19" s="1"/>
  <c r="K180" i="19" s="1"/>
  <c r="H34" i="19"/>
  <c r="H156" i="19"/>
  <c r="G240" i="19"/>
  <c r="J240" i="19" s="1"/>
  <c r="K240" i="19" s="1"/>
  <c r="G288" i="19"/>
  <c r="J288" i="19" s="1"/>
  <c r="G324" i="19"/>
  <c r="J324" i="19" s="1"/>
  <c r="D329" i="19"/>
  <c r="D331" i="19" s="1"/>
  <c r="H47" i="19"/>
  <c r="I61" i="19"/>
  <c r="G148" i="19"/>
  <c r="J148" i="19" s="1"/>
  <c r="K148" i="19" s="1"/>
  <c r="H180" i="19"/>
  <c r="G215" i="19"/>
  <c r="J215" i="19" s="1"/>
  <c r="K215" i="19" s="1"/>
  <c r="G231" i="19"/>
  <c r="J231" i="19" s="1"/>
  <c r="K231" i="19" s="1"/>
  <c r="G292" i="19"/>
  <c r="J292" i="19" s="1"/>
  <c r="G321" i="19"/>
  <c r="J321" i="19" s="1"/>
  <c r="T329" i="19"/>
  <c r="H37" i="19"/>
  <c r="G56" i="19"/>
  <c r="J56" i="19" s="1"/>
  <c r="K56" i="19" s="1"/>
  <c r="G296" i="19"/>
  <c r="J296" i="19" s="1"/>
  <c r="J11" i="19"/>
  <c r="K11" i="19" s="1"/>
  <c r="J15" i="19"/>
  <c r="K15" i="19" s="1"/>
  <c r="I11" i="19"/>
  <c r="J18" i="19"/>
  <c r="K18" i="19" s="1"/>
  <c r="G14" i="19"/>
  <c r="J37" i="19"/>
  <c r="K37" i="19" s="1"/>
  <c r="G45" i="19"/>
  <c r="G50" i="19"/>
  <c r="H50" i="19"/>
  <c r="K63" i="19"/>
  <c r="G13" i="19"/>
  <c r="G16" i="19"/>
  <c r="G22" i="19"/>
  <c r="J23" i="19"/>
  <c r="K23" i="19" s="1"/>
  <c r="G32" i="19"/>
  <c r="J71" i="19"/>
  <c r="I32" i="19"/>
  <c r="J30" i="19"/>
  <c r="K30" i="19" s="1"/>
  <c r="I45" i="19"/>
  <c r="J48" i="19"/>
  <c r="K48" i="19" s="1"/>
  <c r="G25" i="19"/>
  <c r="J6" i="19"/>
  <c r="K6" i="19" s="1"/>
  <c r="J9" i="19"/>
  <c r="K9" i="19" s="1"/>
  <c r="H76" i="19"/>
  <c r="G76" i="19"/>
  <c r="G8" i="19"/>
  <c r="H44" i="19"/>
  <c r="G44" i="19"/>
  <c r="K60" i="19"/>
  <c r="G24" i="19"/>
  <c r="H24" i="19"/>
  <c r="K34" i="19"/>
  <c r="J42" i="19"/>
  <c r="I49" i="19"/>
  <c r="G49" i="19"/>
  <c r="K5" i="19"/>
  <c r="G31" i="19"/>
  <c r="G40" i="19"/>
  <c r="I72" i="19"/>
  <c r="G72" i="19"/>
  <c r="H42" i="19"/>
  <c r="I52" i="19"/>
  <c r="G52" i="19"/>
  <c r="G77" i="19"/>
  <c r="I18" i="19"/>
  <c r="G10" i="19"/>
  <c r="G20" i="19"/>
  <c r="H28" i="19"/>
  <c r="G28" i="19"/>
  <c r="K66" i="19"/>
  <c r="G68" i="19"/>
  <c r="H30" i="19"/>
  <c r="I37" i="19"/>
  <c r="G90" i="19"/>
  <c r="H70" i="19"/>
  <c r="G70" i="19"/>
  <c r="G100" i="19"/>
  <c r="I109" i="19"/>
  <c r="H120" i="19"/>
  <c r="G120" i="19"/>
  <c r="H92" i="19"/>
  <c r="G92" i="19"/>
  <c r="I100" i="19"/>
  <c r="I92" i="19"/>
  <c r="I70" i="19"/>
  <c r="G59" i="19"/>
  <c r="J85" i="19"/>
  <c r="K85" i="19" s="1"/>
  <c r="J54" i="19"/>
  <c r="K54" i="19" s="1"/>
  <c r="G89" i="19"/>
  <c r="J94" i="19"/>
  <c r="K94" i="19" s="1"/>
  <c r="I107" i="19"/>
  <c r="G41" i="19"/>
  <c r="H74" i="19"/>
  <c r="G74" i="19"/>
  <c r="G96" i="19"/>
  <c r="H96" i="19"/>
  <c r="G43" i="19"/>
  <c r="I53" i="19"/>
  <c r="I60" i="19"/>
  <c r="J79" i="19"/>
  <c r="I47" i="19"/>
  <c r="J69" i="19"/>
  <c r="K69" i="19" s="1"/>
  <c r="J87" i="19"/>
  <c r="K87" i="19" s="1"/>
  <c r="G91" i="19"/>
  <c r="J101" i="19"/>
  <c r="G108" i="19"/>
  <c r="H108" i="19"/>
  <c r="I111" i="19"/>
  <c r="G111" i="19"/>
  <c r="G46" i="19"/>
  <c r="I91" i="19"/>
  <c r="G93" i="19"/>
  <c r="H99" i="19"/>
  <c r="G99" i="19"/>
  <c r="I77" i="19"/>
  <c r="I93" i="19"/>
  <c r="G51" i="19"/>
  <c r="H104" i="19"/>
  <c r="G104" i="19"/>
  <c r="I98" i="19"/>
  <c r="I133" i="19"/>
  <c r="J206" i="19"/>
  <c r="K206" i="19" s="1"/>
  <c r="G133" i="19"/>
  <c r="I136" i="19"/>
  <c r="I171" i="19"/>
  <c r="G121" i="19"/>
  <c r="G136" i="19"/>
  <c r="I151" i="19"/>
  <c r="J177" i="19"/>
  <c r="K177" i="19" s="1"/>
  <c r="G109" i="19"/>
  <c r="I115" i="19"/>
  <c r="I125" i="19"/>
  <c r="K127" i="19"/>
  <c r="I130" i="19"/>
  <c r="I121" i="19"/>
  <c r="H175" i="19"/>
  <c r="G175" i="19"/>
  <c r="H183" i="19"/>
  <c r="G183" i="19"/>
  <c r="G113" i="19"/>
  <c r="G118" i="19"/>
  <c r="G124" i="19"/>
  <c r="G135" i="19"/>
  <c r="H135" i="19"/>
  <c r="G137" i="19"/>
  <c r="H148" i="19"/>
  <c r="G161" i="19"/>
  <c r="H161" i="19"/>
  <c r="K114" i="19"/>
  <c r="I124" i="19"/>
  <c r="G128" i="19"/>
  <c r="H132" i="19"/>
  <c r="H142" i="19"/>
  <c r="G142" i="19"/>
  <c r="I99" i="19"/>
  <c r="I104" i="19"/>
  <c r="G117" i="19"/>
  <c r="I173" i="19"/>
  <c r="I128" i="19"/>
  <c r="I137" i="19"/>
  <c r="H162" i="19"/>
  <c r="G162" i="19"/>
  <c r="G110" i="19"/>
  <c r="G131" i="19"/>
  <c r="H131" i="19"/>
  <c r="J155" i="19"/>
  <c r="K155" i="19" s="1"/>
  <c r="G98" i="19"/>
  <c r="G119" i="19"/>
  <c r="J102" i="19"/>
  <c r="K102" i="19" s="1"/>
  <c r="I110" i="19"/>
  <c r="H116" i="19"/>
  <c r="I123" i="19"/>
  <c r="J143" i="19"/>
  <c r="K143" i="19" s="1"/>
  <c r="I199" i="19"/>
  <c r="G199" i="19"/>
  <c r="J203" i="19"/>
  <c r="K203" i="19" s="1"/>
  <c r="I232" i="19"/>
  <c r="G232" i="19"/>
  <c r="H203" i="19"/>
  <c r="G168" i="19"/>
  <c r="J224" i="19"/>
  <c r="K224" i="19" s="1"/>
  <c r="I249" i="19"/>
  <c r="I219" i="19"/>
  <c r="I252" i="19"/>
  <c r="G252" i="19"/>
  <c r="G147" i="19"/>
  <c r="I161" i="19"/>
  <c r="H188" i="19"/>
  <c r="G188" i="19"/>
  <c r="J227" i="19"/>
  <c r="K227" i="19" s="1"/>
  <c r="G164" i="19"/>
  <c r="H191" i="19"/>
  <c r="G191" i="19"/>
  <c r="I195" i="19"/>
  <c r="G172" i="19"/>
  <c r="I172" i="19"/>
  <c r="J174" i="19"/>
  <c r="K174" i="19" s="1"/>
  <c r="I204" i="19"/>
  <c r="G204" i="19"/>
  <c r="J209" i="19"/>
  <c r="K209" i="19" s="1"/>
  <c r="I222" i="19"/>
  <c r="G222" i="19"/>
  <c r="J233" i="19"/>
  <c r="K233" i="19" s="1"/>
  <c r="G88" i="19"/>
  <c r="G107" i="19"/>
  <c r="G115" i="19"/>
  <c r="I142" i="19"/>
  <c r="I147" i="19"/>
  <c r="G157" i="19"/>
  <c r="I193" i="19"/>
  <c r="G193" i="19"/>
  <c r="H209" i="19"/>
  <c r="H225" i="19"/>
  <c r="G225" i="19"/>
  <c r="G141" i="19"/>
  <c r="G167" i="19"/>
  <c r="J182" i="19"/>
  <c r="K182" i="19" s="1"/>
  <c r="J184" i="19"/>
  <c r="K184" i="19" s="1"/>
  <c r="J153" i="19"/>
  <c r="K153" i="19" s="1"/>
  <c r="J176" i="19"/>
  <c r="K176" i="19" s="1"/>
  <c r="J189" i="19"/>
  <c r="K189" i="19" s="1"/>
  <c r="H202" i="19"/>
  <c r="G202" i="19"/>
  <c r="I220" i="19"/>
  <c r="G152" i="19"/>
  <c r="I189" i="19"/>
  <c r="H150" i="19"/>
  <c r="K200" i="19"/>
  <c r="I228" i="19"/>
  <c r="G228" i="19"/>
  <c r="G139" i="19"/>
  <c r="G145" i="19"/>
  <c r="G169" i="19"/>
  <c r="H178" i="19"/>
  <c r="G178" i="19"/>
  <c r="J216" i="19"/>
  <c r="K216" i="19" s="1"/>
  <c r="I243" i="19"/>
  <c r="G151" i="19"/>
  <c r="G159" i="19"/>
  <c r="G166" i="19"/>
  <c r="I169" i="19"/>
  <c r="G173" i="19"/>
  <c r="I185" i="19"/>
  <c r="J218" i="19"/>
  <c r="K218" i="19" s="1"/>
  <c r="J190" i="19"/>
  <c r="K190" i="19" s="1"/>
  <c r="J229" i="19"/>
  <c r="K229" i="19" s="1"/>
  <c r="G171" i="19"/>
  <c r="I179" i="19"/>
  <c r="G185" i="19"/>
  <c r="G195" i="19"/>
  <c r="I196" i="19"/>
  <c r="I200" i="19"/>
  <c r="G220" i="19"/>
  <c r="J237" i="19"/>
  <c r="K237" i="19" s="1"/>
  <c r="G205" i="19"/>
  <c r="G213" i="19"/>
  <c r="G246" i="19"/>
  <c r="I247" i="19"/>
  <c r="J313" i="19"/>
  <c r="G219" i="19"/>
  <c r="H249" i="19"/>
  <c r="G249" i="19"/>
  <c r="G234" i="19"/>
  <c r="H239" i="19"/>
  <c r="G239" i="19"/>
  <c r="G243" i="19"/>
  <c r="J320" i="19"/>
  <c r="H323" i="19"/>
  <c r="H328" i="19" s="1"/>
  <c r="G323" i="19"/>
  <c r="I256" i="19"/>
  <c r="H234" i="19"/>
  <c r="J259" i="19"/>
  <c r="K259" i="19" s="1"/>
  <c r="G217" i="19"/>
  <c r="H242" i="19"/>
  <c r="G242" i="19"/>
  <c r="H316" i="19"/>
  <c r="I316" i="19"/>
  <c r="I329" i="19" s="1"/>
  <c r="G181" i="19"/>
  <c r="G198" i="19"/>
  <c r="G208" i="19"/>
  <c r="H230" i="19"/>
  <c r="G230" i="19"/>
  <c r="G187" i="19"/>
  <c r="H223" i="19"/>
  <c r="G223" i="19"/>
  <c r="I230" i="19"/>
  <c r="G207" i="19"/>
  <c r="I208" i="19"/>
  <c r="G221" i="19"/>
  <c r="G250" i="19"/>
  <c r="J263" i="19"/>
  <c r="K263" i="19" s="1"/>
  <c r="G244" i="19"/>
  <c r="H214" i="19"/>
  <c r="H237" i="19"/>
  <c r="J309" i="19"/>
  <c r="G262" i="19"/>
  <c r="I262" i="19"/>
  <c r="G325" i="19"/>
  <c r="G260" i="19"/>
  <c r="I261" i="19"/>
  <c r="J300" i="19"/>
  <c r="J304" i="19"/>
  <c r="G267" i="19"/>
  <c r="G271" i="19"/>
  <c r="G275" i="19"/>
  <c r="G279" i="19"/>
  <c r="G283" i="19"/>
  <c r="G287" i="19"/>
  <c r="G291" i="19"/>
  <c r="G295" i="19"/>
  <c r="G299" i="19"/>
  <c r="G303" i="19"/>
  <c r="G307" i="19"/>
  <c r="G311" i="19"/>
  <c r="G315" i="19"/>
  <c r="G318" i="19"/>
  <c r="G253" i="19"/>
  <c r="I260" i="19"/>
  <c r="G258" i="19"/>
  <c r="G327" i="19"/>
  <c r="G266" i="19"/>
  <c r="G270" i="19"/>
  <c r="G274" i="19"/>
  <c r="G278" i="19"/>
  <c r="G282" i="19"/>
  <c r="G286" i="19"/>
  <c r="G290" i="19"/>
  <c r="G294" i="19"/>
  <c r="G298" i="19"/>
  <c r="G302" i="19"/>
  <c r="G306" i="19"/>
  <c r="G310" i="19"/>
  <c r="G314" i="19"/>
  <c r="I258" i="19"/>
  <c r="G256" i="19"/>
  <c r="G265" i="19"/>
  <c r="G269" i="19"/>
  <c r="G273" i="19"/>
  <c r="G277" i="19"/>
  <c r="G281" i="19"/>
  <c r="G285" i="19"/>
  <c r="G289" i="19"/>
  <c r="G293" i="19"/>
  <c r="G297" i="19"/>
  <c r="G301" i="19"/>
  <c r="G305" i="19"/>
  <c r="G326" i="19"/>
  <c r="T345" i="18"/>
  <c r="D345" i="18"/>
  <c r="P344" i="18"/>
  <c r="I344" i="18"/>
  <c r="H344" i="18"/>
  <c r="G344" i="18"/>
  <c r="A344" i="18"/>
  <c r="P343" i="18"/>
  <c r="I343" i="18"/>
  <c r="H343" i="18"/>
  <c r="G343" i="18"/>
  <c r="J343" i="18" s="1"/>
  <c r="A343" i="18"/>
  <c r="P342" i="18"/>
  <c r="I342" i="18"/>
  <c r="H342" i="18"/>
  <c r="G342" i="18"/>
  <c r="J342" i="18" s="1"/>
  <c r="A342" i="18"/>
  <c r="P341" i="18"/>
  <c r="I341" i="18"/>
  <c r="H341" i="18"/>
  <c r="G341" i="18"/>
  <c r="A341" i="18"/>
  <c r="P340" i="18"/>
  <c r="I340" i="18"/>
  <c r="H340" i="18"/>
  <c r="G340" i="18"/>
  <c r="A340" i="18"/>
  <c r="P339" i="18"/>
  <c r="I339" i="18"/>
  <c r="H339" i="18"/>
  <c r="G339" i="18"/>
  <c r="J339" i="18" s="1"/>
  <c r="A339" i="18"/>
  <c r="P338" i="18"/>
  <c r="I338" i="18"/>
  <c r="H338" i="18"/>
  <c r="G338" i="18"/>
  <c r="J338" i="18" s="1"/>
  <c r="A338" i="18"/>
  <c r="P337" i="18"/>
  <c r="I337" i="18"/>
  <c r="H337" i="18"/>
  <c r="G337" i="18"/>
  <c r="A337" i="18"/>
  <c r="P336" i="18"/>
  <c r="I336" i="18"/>
  <c r="H336" i="18"/>
  <c r="G336" i="18"/>
  <c r="J336" i="18" s="1"/>
  <c r="A336" i="18"/>
  <c r="P335" i="18"/>
  <c r="I335" i="18"/>
  <c r="H335" i="18"/>
  <c r="G335" i="18"/>
  <c r="A335" i="18"/>
  <c r="P334" i="18"/>
  <c r="I334" i="18"/>
  <c r="H334" i="18"/>
  <c r="G334" i="18"/>
  <c r="A334" i="18"/>
  <c r="P333" i="18"/>
  <c r="I333" i="18"/>
  <c r="H333" i="18"/>
  <c r="G333" i="18"/>
  <c r="J333" i="18" s="1"/>
  <c r="A333" i="18"/>
  <c r="T332" i="18"/>
  <c r="D332" i="18"/>
  <c r="H331" i="18"/>
  <c r="G331" i="18"/>
  <c r="N331" i="18" s="1"/>
  <c r="O331" i="18" s="1"/>
  <c r="U331" i="18" s="1"/>
  <c r="A331" i="18"/>
  <c r="P330" i="18"/>
  <c r="R330" i="18" s="1"/>
  <c r="S330" i="18" s="1"/>
  <c r="I330" i="18"/>
  <c r="H330" i="18"/>
  <c r="G330" i="18"/>
  <c r="J330" i="18" s="1"/>
  <c r="A330" i="18"/>
  <c r="P329" i="18"/>
  <c r="R329" i="18" s="1"/>
  <c r="S329" i="18" s="1"/>
  <c r="I329" i="18"/>
  <c r="H329" i="18"/>
  <c r="G329" i="18"/>
  <c r="J329" i="18" s="1"/>
  <c r="A329" i="18"/>
  <c r="P328" i="18"/>
  <c r="R328" i="18" s="1"/>
  <c r="S328" i="18" s="1"/>
  <c r="I328" i="18"/>
  <c r="H328" i="18"/>
  <c r="G328" i="18"/>
  <c r="J328" i="18" s="1"/>
  <c r="A328" i="18"/>
  <c r="P327" i="18"/>
  <c r="R327" i="18" s="1"/>
  <c r="S327" i="18" s="1"/>
  <c r="I327" i="18"/>
  <c r="H327" i="18"/>
  <c r="G327" i="18"/>
  <c r="J327" i="18" s="1"/>
  <c r="A327" i="18"/>
  <c r="P326" i="18"/>
  <c r="R326" i="18" s="1"/>
  <c r="S326" i="18" s="1"/>
  <c r="I326" i="18"/>
  <c r="H326" i="18"/>
  <c r="G326" i="18"/>
  <c r="A326" i="18"/>
  <c r="P325" i="18"/>
  <c r="R325" i="18" s="1"/>
  <c r="S325" i="18" s="1"/>
  <c r="I325" i="18"/>
  <c r="H325" i="18"/>
  <c r="G325" i="18"/>
  <c r="A325" i="18"/>
  <c r="P324" i="18"/>
  <c r="R324" i="18" s="1"/>
  <c r="S324" i="18" s="1"/>
  <c r="I324" i="18"/>
  <c r="H324" i="18"/>
  <c r="G324" i="18"/>
  <c r="J324" i="18" s="1"/>
  <c r="A324" i="18"/>
  <c r="P323" i="18"/>
  <c r="R323" i="18" s="1"/>
  <c r="S323" i="18" s="1"/>
  <c r="I323" i="18"/>
  <c r="H323" i="18"/>
  <c r="G323" i="18"/>
  <c r="A323" i="18"/>
  <c r="P322" i="18"/>
  <c r="R322" i="18" s="1"/>
  <c r="S322" i="18" s="1"/>
  <c r="I322" i="18"/>
  <c r="H322" i="18"/>
  <c r="G322" i="18"/>
  <c r="A322" i="18"/>
  <c r="P321" i="18"/>
  <c r="R321" i="18" s="1"/>
  <c r="S321" i="18" s="1"/>
  <c r="I321" i="18"/>
  <c r="H321" i="18"/>
  <c r="G321" i="18"/>
  <c r="J321" i="18" s="1"/>
  <c r="A321" i="18"/>
  <c r="P320" i="18"/>
  <c r="R320" i="18" s="1"/>
  <c r="S320" i="18" s="1"/>
  <c r="I320" i="18"/>
  <c r="H320" i="18"/>
  <c r="G320" i="18"/>
  <c r="J320" i="18" s="1"/>
  <c r="A320" i="18"/>
  <c r="P319" i="18"/>
  <c r="R319" i="18" s="1"/>
  <c r="S319" i="18" s="1"/>
  <c r="I319" i="18"/>
  <c r="H319" i="18"/>
  <c r="G319" i="18"/>
  <c r="A319" i="18"/>
  <c r="P318" i="18"/>
  <c r="R318" i="18" s="1"/>
  <c r="S318" i="18" s="1"/>
  <c r="I318" i="18"/>
  <c r="H318" i="18"/>
  <c r="G318" i="18"/>
  <c r="J318" i="18" s="1"/>
  <c r="A318" i="18"/>
  <c r="P317" i="18"/>
  <c r="R317" i="18" s="1"/>
  <c r="S317" i="18" s="1"/>
  <c r="I317" i="18"/>
  <c r="H317" i="18"/>
  <c r="G317" i="18"/>
  <c r="J317" i="18" s="1"/>
  <c r="A317" i="18"/>
  <c r="P316" i="18"/>
  <c r="R316" i="18" s="1"/>
  <c r="S316" i="18" s="1"/>
  <c r="I316" i="18"/>
  <c r="H316" i="18"/>
  <c r="G316" i="18"/>
  <c r="J316" i="18" s="1"/>
  <c r="A316" i="18"/>
  <c r="P315" i="18"/>
  <c r="R315" i="18" s="1"/>
  <c r="S315" i="18" s="1"/>
  <c r="I315" i="18"/>
  <c r="H315" i="18"/>
  <c r="G315" i="18"/>
  <c r="J315" i="18" s="1"/>
  <c r="A315" i="18"/>
  <c r="P314" i="18"/>
  <c r="R314" i="18" s="1"/>
  <c r="S314" i="18" s="1"/>
  <c r="I314" i="18"/>
  <c r="H314" i="18"/>
  <c r="G314" i="18"/>
  <c r="J314" i="18" s="1"/>
  <c r="A314" i="18"/>
  <c r="P313" i="18"/>
  <c r="R313" i="18" s="1"/>
  <c r="S313" i="18" s="1"/>
  <c r="I313" i="18"/>
  <c r="H313" i="18"/>
  <c r="G313" i="18"/>
  <c r="J313" i="18" s="1"/>
  <c r="A313" i="18"/>
  <c r="P312" i="18"/>
  <c r="R312" i="18" s="1"/>
  <c r="S312" i="18" s="1"/>
  <c r="I312" i="18"/>
  <c r="H312" i="18"/>
  <c r="G312" i="18"/>
  <c r="J312" i="18" s="1"/>
  <c r="A312" i="18"/>
  <c r="P311" i="18"/>
  <c r="R311" i="18" s="1"/>
  <c r="S311" i="18" s="1"/>
  <c r="I311" i="18"/>
  <c r="H311" i="18"/>
  <c r="G311" i="18"/>
  <c r="J311" i="18" s="1"/>
  <c r="A311" i="18"/>
  <c r="P310" i="18"/>
  <c r="R310" i="18" s="1"/>
  <c r="S310" i="18" s="1"/>
  <c r="I310" i="18"/>
  <c r="H310" i="18"/>
  <c r="G310" i="18"/>
  <c r="A310" i="18"/>
  <c r="P309" i="18"/>
  <c r="R309" i="18" s="1"/>
  <c r="S309" i="18" s="1"/>
  <c r="I309" i="18"/>
  <c r="H309" i="18"/>
  <c r="G309" i="18"/>
  <c r="A309" i="18"/>
  <c r="P308" i="18"/>
  <c r="R308" i="18" s="1"/>
  <c r="S308" i="18" s="1"/>
  <c r="I308" i="18"/>
  <c r="H308" i="18"/>
  <c r="G308" i="18"/>
  <c r="J308" i="18" s="1"/>
  <c r="A308" i="18"/>
  <c r="P307" i="18"/>
  <c r="R307" i="18" s="1"/>
  <c r="S307" i="18" s="1"/>
  <c r="I307" i="18"/>
  <c r="H307" i="18"/>
  <c r="G307" i="18"/>
  <c r="J307" i="18" s="1"/>
  <c r="A307" i="18"/>
  <c r="P306" i="18"/>
  <c r="R306" i="18" s="1"/>
  <c r="S306" i="18" s="1"/>
  <c r="I306" i="18"/>
  <c r="H306" i="18"/>
  <c r="G306" i="18"/>
  <c r="A306" i="18"/>
  <c r="P305" i="18"/>
  <c r="R305" i="18" s="1"/>
  <c r="S305" i="18" s="1"/>
  <c r="I305" i="18"/>
  <c r="H305" i="18"/>
  <c r="G305" i="18"/>
  <c r="J305" i="18" s="1"/>
  <c r="A305" i="18"/>
  <c r="P304" i="18"/>
  <c r="R304" i="18" s="1"/>
  <c r="S304" i="18" s="1"/>
  <c r="I304" i="18"/>
  <c r="H304" i="18"/>
  <c r="G304" i="18"/>
  <c r="A304" i="18"/>
  <c r="P303" i="18"/>
  <c r="R303" i="18" s="1"/>
  <c r="S303" i="18" s="1"/>
  <c r="I303" i="18"/>
  <c r="H303" i="18"/>
  <c r="G303" i="18"/>
  <c r="A303" i="18"/>
  <c r="P302" i="18"/>
  <c r="R302" i="18" s="1"/>
  <c r="S302" i="18" s="1"/>
  <c r="I302" i="18"/>
  <c r="H302" i="18"/>
  <c r="G302" i="18"/>
  <c r="J302" i="18" s="1"/>
  <c r="A302" i="18"/>
  <c r="P301" i="18"/>
  <c r="R301" i="18" s="1"/>
  <c r="S301" i="18" s="1"/>
  <c r="I301" i="18"/>
  <c r="H301" i="18"/>
  <c r="G301" i="18"/>
  <c r="J301" i="18" s="1"/>
  <c r="A301" i="18"/>
  <c r="P300" i="18"/>
  <c r="R300" i="18" s="1"/>
  <c r="S300" i="18" s="1"/>
  <c r="I300" i="18"/>
  <c r="H300" i="18"/>
  <c r="G300" i="18"/>
  <c r="A300" i="18"/>
  <c r="P299" i="18"/>
  <c r="R299" i="18" s="1"/>
  <c r="S299" i="18" s="1"/>
  <c r="I299" i="18"/>
  <c r="H299" i="18"/>
  <c r="G299" i="18"/>
  <c r="J299" i="18" s="1"/>
  <c r="A299" i="18"/>
  <c r="P298" i="18"/>
  <c r="R298" i="18" s="1"/>
  <c r="S298" i="18" s="1"/>
  <c r="I298" i="18"/>
  <c r="H298" i="18"/>
  <c r="G298" i="18"/>
  <c r="J298" i="18" s="1"/>
  <c r="A298" i="18"/>
  <c r="P297" i="18"/>
  <c r="R297" i="18" s="1"/>
  <c r="S297" i="18" s="1"/>
  <c r="I297" i="18"/>
  <c r="H297" i="18"/>
  <c r="G297" i="18"/>
  <c r="J297" i="18" s="1"/>
  <c r="A297" i="18"/>
  <c r="P296" i="18"/>
  <c r="R296" i="18" s="1"/>
  <c r="S296" i="18" s="1"/>
  <c r="I296" i="18"/>
  <c r="H296" i="18"/>
  <c r="G296" i="18"/>
  <c r="J296" i="18" s="1"/>
  <c r="A296" i="18"/>
  <c r="P295" i="18"/>
  <c r="R295" i="18" s="1"/>
  <c r="S295" i="18" s="1"/>
  <c r="I295" i="18"/>
  <c r="H295" i="18"/>
  <c r="G295" i="18"/>
  <c r="J295" i="18" s="1"/>
  <c r="A295" i="18"/>
  <c r="P294" i="18"/>
  <c r="R294" i="18" s="1"/>
  <c r="S294" i="18" s="1"/>
  <c r="I294" i="18"/>
  <c r="H294" i="18"/>
  <c r="G294" i="18"/>
  <c r="A294" i="18"/>
  <c r="P293" i="18"/>
  <c r="R293" i="18" s="1"/>
  <c r="S293" i="18" s="1"/>
  <c r="I293" i="18"/>
  <c r="H293" i="18"/>
  <c r="G293" i="18"/>
  <c r="A293" i="18"/>
  <c r="P292" i="18"/>
  <c r="R292" i="18" s="1"/>
  <c r="S292" i="18" s="1"/>
  <c r="I292" i="18"/>
  <c r="H292" i="18"/>
  <c r="G292" i="18"/>
  <c r="J292" i="18" s="1"/>
  <c r="A292" i="18"/>
  <c r="P291" i="18"/>
  <c r="R291" i="18" s="1"/>
  <c r="S291" i="18" s="1"/>
  <c r="I291" i="18"/>
  <c r="H291" i="18"/>
  <c r="G291" i="18"/>
  <c r="A291" i="18"/>
  <c r="P290" i="18"/>
  <c r="R290" i="18" s="1"/>
  <c r="S290" i="18" s="1"/>
  <c r="I290" i="18"/>
  <c r="H290" i="18"/>
  <c r="G290" i="18"/>
  <c r="A290" i="18"/>
  <c r="P289" i="18"/>
  <c r="R289" i="18" s="1"/>
  <c r="S289" i="18" s="1"/>
  <c r="I289" i="18"/>
  <c r="H289" i="18"/>
  <c r="G289" i="18"/>
  <c r="J289" i="18" s="1"/>
  <c r="A289" i="18"/>
  <c r="P288" i="18"/>
  <c r="R288" i="18" s="1"/>
  <c r="S288" i="18" s="1"/>
  <c r="I288" i="18"/>
  <c r="H288" i="18"/>
  <c r="G288" i="18"/>
  <c r="A288" i="18"/>
  <c r="P287" i="18"/>
  <c r="R287" i="18" s="1"/>
  <c r="S287" i="18" s="1"/>
  <c r="I287" i="18"/>
  <c r="H287" i="18"/>
  <c r="G287" i="18"/>
  <c r="A287" i="18"/>
  <c r="P286" i="18"/>
  <c r="R286" i="18" s="1"/>
  <c r="S286" i="18" s="1"/>
  <c r="I286" i="18"/>
  <c r="H286" i="18"/>
  <c r="G286" i="18"/>
  <c r="J286" i="18" s="1"/>
  <c r="A286" i="18"/>
  <c r="P285" i="18"/>
  <c r="R285" i="18" s="1"/>
  <c r="S285" i="18" s="1"/>
  <c r="I285" i="18"/>
  <c r="H285" i="18"/>
  <c r="G285" i="18"/>
  <c r="A285" i="18"/>
  <c r="P284" i="18"/>
  <c r="R284" i="18" s="1"/>
  <c r="S284" i="18" s="1"/>
  <c r="I284" i="18"/>
  <c r="H284" i="18"/>
  <c r="G284" i="18"/>
  <c r="J284" i="18" s="1"/>
  <c r="A284" i="18"/>
  <c r="P283" i="18"/>
  <c r="R283" i="18" s="1"/>
  <c r="S283" i="18" s="1"/>
  <c r="I283" i="18"/>
  <c r="H283" i="18"/>
  <c r="G283" i="18"/>
  <c r="J283" i="18" s="1"/>
  <c r="A283" i="18"/>
  <c r="P282" i="18"/>
  <c r="R282" i="18" s="1"/>
  <c r="S282" i="18" s="1"/>
  <c r="I282" i="18"/>
  <c r="H282" i="18"/>
  <c r="G282" i="18"/>
  <c r="J282" i="18" s="1"/>
  <c r="A282" i="18"/>
  <c r="P281" i="18"/>
  <c r="R281" i="18" s="1"/>
  <c r="S281" i="18" s="1"/>
  <c r="I281" i="18"/>
  <c r="H281" i="18"/>
  <c r="G281" i="18"/>
  <c r="A281" i="18"/>
  <c r="T280" i="18"/>
  <c r="D280" i="18"/>
  <c r="P279" i="18"/>
  <c r="R279" i="18" s="1"/>
  <c r="S279" i="18" s="1"/>
  <c r="I279" i="18"/>
  <c r="H279" i="18"/>
  <c r="G279" i="18"/>
  <c r="A279" i="18"/>
  <c r="P278" i="18"/>
  <c r="R278" i="18" s="1"/>
  <c r="S278" i="18" s="1"/>
  <c r="I278" i="18"/>
  <c r="H278" i="18"/>
  <c r="G278" i="18"/>
  <c r="A278" i="18"/>
  <c r="P276" i="18"/>
  <c r="R276" i="18" s="1"/>
  <c r="S276" i="18" s="1"/>
  <c r="I276" i="18"/>
  <c r="H276" i="18"/>
  <c r="G276" i="18"/>
  <c r="J276" i="18" s="1"/>
  <c r="A276" i="18"/>
  <c r="P275" i="18"/>
  <c r="R275" i="18" s="1"/>
  <c r="S275" i="18" s="1"/>
  <c r="I275" i="18"/>
  <c r="H275" i="18"/>
  <c r="G275" i="18"/>
  <c r="J275" i="18" s="1"/>
  <c r="A275" i="18"/>
  <c r="P274" i="18"/>
  <c r="R274" i="18" s="1"/>
  <c r="S274" i="18" s="1"/>
  <c r="I274" i="18"/>
  <c r="H274" i="18"/>
  <c r="G274" i="18"/>
  <c r="A274" i="18"/>
  <c r="P273" i="18"/>
  <c r="R273" i="18" s="1"/>
  <c r="S273" i="18" s="1"/>
  <c r="I273" i="18"/>
  <c r="H273" i="18"/>
  <c r="G273" i="18"/>
  <c r="J273" i="18" s="1"/>
  <c r="A273" i="18"/>
  <c r="P272" i="18"/>
  <c r="R272" i="18" s="1"/>
  <c r="S272" i="18" s="1"/>
  <c r="I272" i="18"/>
  <c r="H272" i="18"/>
  <c r="G272" i="18"/>
  <c r="J272" i="18" s="1"/>
  <c r="A272" i="18"/>
  <c r="P271" i="18"/>
  <c r="R271" i="18" s="1"/>
  <c r="S271" i="18" s="1"/>
  <c r="I271" i="18"/>
  <c r="H271" i="18"/>
  <c r="G271" i="18"/>
  <c r="J271" i="18" s="1"/>
  <c r="A271" i="18"/>
  <c r="P270" i="18"/>
  <c r="R270" i="18" s="1"/>
  <c r="S270" i="18" s="1"/>
  <c r="I270" i="18"/>
  <c r="H270" i="18"/>
  <c r="G270" i="18"/>
  <c r="J270" i="18" s="1"/>
  <c r="A270" i="18"/>
  <c r="P269" i="18"/>
  <c r="R269" i="18" s="1"/>
  <c r="S269" i="18" s="1"/>
  <c r="I269" i="18"/>
  <c r="H269" i="18"/>
  <c r="G269" i="18"/>
  <c r="J269" i="18" s="1"/>
  <c r="A269" i="18"/>
  <c r="P268" i="18"/>
  <c r="R268" i="18" s="1"/>
  <c r="S268" i="18" s="1"/>
  <c r="I268" i="18"/>
  <c r="H268" i="18"/>
  <c r="G268" i="18"/>
  <c r="J268" i="18" s="1"/>
  <c r="A268" i="18"/>
  <c r="P267" i="18"/>
  <c r="R267" i="18" s="1"/>
  <c r="S267" i="18" s="1"/>
  <c r="I267" i="18"/>
  <c r="H267" i="18"/>
  <c r="G267" i="18"/>
  <c r="J267" i="18" s="1"/>
  <c r="A267" i="18"/>
  <c r="P266" i="18"/>
  <c r="R266" i="18" s="1"/>
  <c r="S266" i="18" s="1"/>
  <c r="I266" i="18"/>
  <c r="H266" i="18"/>
  <c r="G266" i="18"/>
  <c r="A266" i="18"/>
  <c r="P265" i="18"/>
  <c r="R265" i="18" s="1"/>
  <c r="S265" i="18" s="1"/>
  <c r="I265" i="18"/>
  <c r="H265" i="18"/>
  <c r="G265" i="18"/>
  <c r="J265" i="18" s="1"/>
  <c r="A265" i="18"/>
  <c r="P264" i="18"/>
  <c r="R264" i="18" s="1"/>
  <c r="S264" i="18" s="1"/>
  <c r="I264" i="18"/>
  <c r="H264" i="18"/>
  <c r="G264" i="18"/>
  <c r="A264" i="18"/>
  <c r="P263" i="18"/>
  <c r="R263" i="18" s="1"/>
  <c r="S263" i="18" s="1"/>
  <c r="I263" i="18"/>
  <c r="H263" i="18"/>
  <c r="G263" i="18"/>
  <c r="J263" i="18" s="1"/>
  <c r="A263" i="18"/>
  <c r="P262" i="18"/>
  <c r="R262" i="18" s="1"/>
  <c r="S262" i="18" s="1"/>
  <c r="I262" i="18"/>
  <c r="H262" i="18"/>
  <c r="G262" i="18"/>
  <c r="J262" i="18" s="1"/>
  <c r="A262" i="18"/>
  <c r="P261" i="18"/>
  <c r="R261" i="18" s="1"/>
  <c r="S261" i="18" s="1"/>
  <c r="I261" i="18"/>
  <c r="H261" i="18"/>
  <c r="G261" i="18"/>
  <c r="J261" i="18" s="1"/>
  <c r="A261" i="18"/>
  <c r="P260" i="18"/>
  <c r="R260" i="18" s="1"/>
  <c r="S260" i="18" s="1"/>
  <c r="I260" i="18"/>
  <c r="H260" i="18"/>
  <c r="G260" i="18"/>
  <c r="A260" i="18"/>
  <c r="P259" i="18"/>
  <c r="R259" i="18" s="1"/>
  <c r="S259" i="18" s="1"/>
  <c r="I259" i="18"/>
  <c r="H259" i="18"/>
  <c r="G259" i="18"/>
  <c r="J259" i="18" s="1"/>
  <c r="A259" i="18"/>
  <c r="P258" i="18"/>
  <c r="R258" i="18" s="1"/>
  <c r="S258" i="18" s="1"/>
  <c r="H258" i="18"/>
  <c r="G258" i="18"/>
  <c r="A258" i="18"/>
  <c r="P257" i="18"/>
  <c r="R257" i="18" s="1"/>
  <c r="S257" i="18" s="1"/>
  <c r="I257" i="18"/>
  <c r="H257" i="18"/>
  <c r="G257" i="18"/>
  <c r="J257" i="18" s="1"/>
  <c r="A257" i="18"/>
  <c r="P256" i="18"/>
  <c r="R256" i="18" s="1"/>
  <c r="S256" i="18" s="1"/>
  <c r="I256" i="18"/>
  <c r="H256" i="18"/>
  <c r="G256" i="18"/>
  <c r="A256" i="18"/>
  <c r="P255" i="18"/>
  <c r="R255" i="18" s="1"/>
  <c r="S255" i="18" s="1"/>
  <c r="I255" i="18"/>
  <c r="H255" i="18"/>
  <c r="G255" i="18"/>
  <c r="A255" i="18"/>
  <c r="P254" i="18"/>
  <c r="R254" i="18" s="1"/>
  <c r="S254" i="18" s="1"/>
  <c r="I254" i="18"/>
  <c r="H254" i="18"/>
  <c r="G254" i="18"/>
  <c r="A254" i="18"/>
  <c r="P253" i="18"/>
  <c r="R253" i="18" s="1"/>
  <c r="S253" i="18" s="1"/>
  <c r="I253" i="18"/>
  <c r="H253" i="18"/>
  <c r="G253" i="18"/>
  <c r="J253" i="18" s="1"/>
  <c r="A253" i="18"/>
  <c r="P252" i="18"/>
  <c r="R252" i="18" s="1"/>
  <c r="S252" i="18" s="1"/>
  <c r="I252" i="18"/>
  <c r="H252" i="18"/>
  <c r="G252" i="18"/>
  <c r="A252" i="18"/>
  <c r="P251" i="18"/>
  <c r="R251" i="18" s="1"/>
  <c r="S251" i="18" s="1"/>
  <c r="I251" i="18"/>
  <c r="H251" i="18"/>
  <c r="G251" i="18"/>
  <c r="A251" i="18"/>
  <c r="P250" i="18"/>
  <c r="R250" i="18" s="1"/>
  <c r="S250" i="18" s="1"/>
  <c r="I250" i="18"/>
  <c r="H250" i="18"/>
  <c r="G250" i="18"/>
  <c r="A250" i="18"/>
  <c r="P249" i="18"/>
  <c r="R249" i="18" s="1"/>
  <c r="S249" i="18" s="1"/>
  <c r="I249" i="18"/>
  <c r="H249" i="18"/>
  <c r="G249" i="18"/>
  <c r="J249" i="18" s="1"/>
  <c r="A249" i="18"/>
  <c r="P248" i="18"/>
  <c r="R248" i="18" s="1"/>
  <c r="S248" i="18" s="1"/>
  <c r="I248" i="18"/>
  <c r="H248" i="18"/>
  <c r="G248" i="18"/>
  <c r="A248" i="18"/>
  <c r="P247" i="18"/>
  <c r="R247" i="18" s="1"/>
  <c r="S247" i="18" s="1"/>
  <c r="I247" i="18"/>
  <c r="H247" i="18"/>
  <c r="G247" i="18"/>
  <c r="J247" i="18" s="1"/>
  <c r="A247" i="18"/>
  <c r="P246" i="18"/>
  <c r="R246" i="18" s="1"/>
  <c r="S246" i="18" s="1"/>
  <c r="I246" i="18"/>
  <c r="H246" i="18"/>
  <c r="G246" i="18"/>
  <c r="J246" i="18" s="1"/>
  <c r="A246" i="18"/>
  <c r="P245" i="18"/>
  <c r="R245" i="18" s="1"/>
  <c r="S245" i="18" s="1"/>
  <c r="I245" i="18"/>
  <c r="H245" i="18"/>
  <c r="G245" i="18"/>
  <c r="A245" i="18"/>
  <c r="P244" i="18"/>
  <c r="R244" i="18" s="1"/>
  <c r="S244" i="18" s="1"/>
  <c r="I244" i="18"/>
  <c r="H244" i="18"/>
  <c r="G244" i="18"/>
  <c r="J244" i="18" s="1"/>
  <c r="A244" i="18"/>
  <c r="P243" i="18"/>
  <c r="R243" i="18" s="1"/>
  <c r="S243" i="18" s="1"/>
  <c r="I243" i="18"/>
  <c r="H243" i="18"/>
  <c r="G243" i="18"/>
  <c r="J243" i="18" s="1"/>
  <c r="A243" i="18"/>
  <c r="P242" i="18"/>
  <c r="R242" i="18" s="1"/>
  <c r="S242" i="18" s="1"/>
  <c r="I242" i="18"/>
  <c r="H242" i="18"/>
  <c r="G242" i="18"/>
  <c r="A242" i="18"/>
  <c r="P241" i="18"/>
  <c r="R241" i="18" s="1"/>
  <c r="S241" i="18" s="1"/>
  <c r="I241" i="18"/>
  <c r="H241" i="18"/>
  <c r="G241" i="18"/>
  <c r="J241" i="18" s="1"/>
  <c r="A241" i="18"/>
  <c r="P240" i="18"/>
  <c r="R240" i="18" s="1"/>
  <c r="S240" i="18" s="1"/>
  <c r="I240" i="18"/>
  <c r="H240" i="18"/>
  <c r="G240" i="18"/>
  <c r="A240" i="18"/>
  <c r="P239" i="18"/>
  <c r="R239" i="18" s="1"/>
  <c r="S239" i="18" s="1"/>
  <c r="I239" i="18"/>
  <c r="H239" i="18"/>
  <c r="G239" i="18"/>
  <c r="J239" i="18" s="1"/>
  <c r="A239" i="18"/>
  <c r="P238" i="18"/>
  <c r="R238" i="18" s="1"/>
  <c r="S238" i="18" s="1"/>
  <c r="I238" i="18"/>
  <c r="H238" i="18"/>
  <c r="G238" i="18"/>
  <c r="J238" i="18" s="1"/>
  <c r="A238" i="18"/>
  <c r="P237" i="18"/>
  <c r="R237" i="18" s="1"/>
  <c r="S237" i="18" s="1"/>
  <c r="I237" i="18"/>
  <c r="H237" i="18"/>
  <c r="G237" i="18"/>
  <c r="A237" i="18"/>
  <c r="P236" i="18"/>
  <c r="R236" i="18" s="1"/>
  <c r="S236" i="18" s="1"/>
  <c r="I236" i="18"/>
  <c r="H236" i="18"/>
  <c r="G236" i="18"/>
  <c r="A236" i="18"/>
  <c r="P235" i="18"/>
  <c r="R235" i="18" s="1"/>
  <c r="S235" i="18" s="1"/>
  <c r="H235" i="18"/>
  <c r="I235" i="18"/>
  <c r="A235" i="18"/>
  <c r="P234" i="18"/>
  <c r="R234" i="18" s="1"/>
  <c r="S234" i="18" s="1"/>
  <c r="I234" i="18"/>
  <c r="H234" i="18"/>
  <c r="G234" i="18"/>
  <c r="J234" i="18" s="1"/>
  <c r="A234" i="18"/>
  <c r="P233" i="18"/>
  <c r="R233" i="18" s="1"/>
  <c r="S233" i="18" s="1"/>
  <c r="H233" i="18"/>
  <c r="G233" i="18"/>
  <c r="A233" i="18"/>
  <c r="P232" i="18"/>
  <c r="R232" i="18" s="1"/>
  <c r="S232" i="18" s="1"/>
  <c r="I232" i="18"/>
  <c r="H232" i="18"/>
  <c r="G232" i="18"/>
  <c r="A232" i="18"/>
  <c r="P231" i="18"/>
  <c r="R231" i="18" s="1"/>
  <c r="S231" i="18" s="1"/>
  <c r="I231" i="18"/>
  <c r="H231" i="18"/>
  <c r="G231" i="18"/>
  <c r="A231" i="18"/>
  <c r="P230" i="18"/>
  <c r="R230" i="18" s="1"/>
  <c r="S230" i="18" s="1"/>
  <c r="I230" i="18"/>
  <c r="H230" i="18"/>
  <c r="G230" i="18"/>
  <c r="A230" i="18"/>
  <c r="P229" i="18"/>
  <c r="R229" i="18" s="1"/>
  <c r="S229" i="18" s="1"/>
  <c r="I229" i="18"/>
  <c r="H229" i="18"/>
  <c r="G229" i="18"/>
  <c r="J229" i="18" s="1"/>
  <c r="A229" i="18"/>
  <c r="P228" i="18"/>
  <c r="R228" i="18" s="1"/>
  <c r="S228" i="18" s="1"/>
  <c r="I228" i="18"/>
  <c r="H228" i="18"/>
  <c r="G228" i="18"/>
  <c r="J228" i="18" s="1"/>
  <c r="A228" i="18"/>
  <c r="P227" i="18"/>
  <c r="R227" i="18" s="1"/>
  <c r="S227" i="18" s="1"/>
  <c r="I227" i="18"/>
  <c r="H227" i="18"/>
  <c r="G227" i="18"/>
  <c r="A227" i="18"/>
  <c r="P226" i="18"/>
  <c r="R226" i="18" s="1"/>
  <c r="S226" i="18" s="1"/>
  <c r="I226" i="18"/>
  <c r="H226" i="18"/>
  <c r="G226" i="18"/>
  <c r="A226" i="18"/>
  <c r="P225" i="18"/>
  <c r="R225" i="18" s="1"/>
  <c r="S225" i="18" s="1"/>
  <c r="H225" i="18"/>
  <c r="A225" i="18"/>
  <c r="P224" i="18"/>
  <c r="R224" i="18" s="1"/>
  <c r="S224" i="18" s="1"/>
  <c r="H224" i="18"/>
  <c r="G224" i="18"/>
  <c r="J224" i="18" s="1"/>
  <c r="A224" i="18"/>
  <c r="P223" i="18"/>
  <c r="R223" i="18" s="1"/>
  <c r="S223" i="18" s="1"/>
  <c r="H223" i="18"/>
  <c r="I223" i="18"/>
  <c r="A223" i="18"/>
  <c r="P222" i="18"/>
  <c r="R222" i="18" s="1"/>
  <c r="S222" i="18" s="1"/>
  <c r="H222" i="18"/>
  <c r="I222" i="18"/>
  <c r="A222" i="18"/>
  <c r="P221" i="18"/>
  <c r="R221" i="18" s="1"/>
  <c r="S221" i="18" s="1"/>
  <c r="H221" i="18"/>
  <c r="G221" i="18"/>
  <c r="A221" i="18"/>
  <c r="P220" i="18"/>
  <c r="R220" i="18" s="1"/>
  <c r="S220" i="18" s="1"/>
  <c r="H220" i="18"/>
  <c r="A220" i="18"/>
  <c r="P219" i="18"/>
  <c r="R219" i="18" s="1"/>
  <c r="S219" i="18" s="1"/>
  <c r="H219" i="18"/>
  <c r="A219" i="18"/>
  <c r="P218" i="18"/>
  <c r="R218" i="18" s="1"/>
  <c r="S218" i="18" s="1"/>
  <c r="I218" i="18"/>
  <c r="H218" i="18"/>
  <c r="G218" i="18"/>
  <c r="J218" i="18" s="1"/>
  <c r="A218" i="18"/>
  <c r="P217" i="18"/>
  <c r="R217" i="18" s="1"/>
  <c r="S217" i="18" s="1"/>
  <c r="H217" i="18"/>
  <c r="G217" i="18"/>
  <c r="A217" i="18"/>
  <c r="P216" i="18"/>
  <c r="R216" i="18" s="1"/>
  <c r="S216" i="18" s="1"/>
  <c r="H216" i="18"/>
  <c r="I216" i="18"/>
  <c r="A216" i="18"/>
  <c r="P215" i="18"/>
  <c r="R215" i="18" s="1"/>
  <c r="S215" i="18" s="1"/>
  <c r="I215" i="18"/>
  <c r="H215" i="18"/>
  <c r="G215" i="18"/>
  <c r="J215" i="18" s="1"/>
  <c r="A215" i="18"/>
  <c r="P214" i="18"/>
  <c r="R214" i="18" s="1"/>
  <c r="S214" i="18" s="1"/>
  <c r="H214" i="18"/>
  <c r="G214" i="18"/>
  <c r="J214" i="18" s="1"/>
  <c r="A214" i="18"/>
  <c r="P213" i="18"/>
  <c r="R213" i="18" s="1"/>
  <c r="S213" i="18" s="1"/>
  <c r="I213" i="18"/>
  <c r="H213" i="18"/>
  <c r="G213" i="18"/>
  <c r="A213" i="18"/>
  <c r="P212" i="18"/>
  <c r="R212" i="18" s="1"/>
  <c r="S212" i="18" s="1"/>
  <c r="I212" i="18"/>
  <c r="H212" i="18"/>
  <c r="G212" i="18"/>
  <c r="A212" i="18"/>
  <c r="P211" i="18"/>
  <c r="R211" i="18" s="1"/>
  <c r="S211" i="18" s="1"/>
  <c r="H211" i="18"/>
  <c r="I211" i="18"/>
  <c r="A211" i="18"/>
  <c r="P210" i="18"/>
  <c r="R210" i="18" s="1"/>
  <c r="S210" i="18" s="1"/>
  <c r="H210" i="18"/>
  <c r="I210" i="18"/>
  <c r="A210" i="18"/>
  <c r="P209" i="18"/>
  <c r="R209" i="18" s="1"/>
  <c r="S209" i="18" s="1"/>
  <c r="I209" i="18"/>
  <c r="H209" i="18"/>
  <c r="G209" i="18"/>
  <c r="A209" i="18"/>
  <c r="P208" i="18"/>
  <c r="R208" i="18" s="1"/>
  <c r="S208" i="18" s="1"/>
  <c r="I208" i="18"/>
  <c r="H208" i="18"/>
  <c r="G208" i="18"/>
  <c r="J208" i="18" s="1"/>
  <c r="A208" i="18"/>
  <c r="P207" i="18"/>
  <c r="R207" i="18" s="1"/>
  <c r="S207" i="18" s="1"/>
  <c r="I207" i="18"/>
  <c r="H207" i="18"/>
  <c r="G207" i="18"/>
  <c r="J207" i="18" s="1"/>
  <c r="A207" i="18"/>
  <c r="P206" i="18"/>
  <c r="R206" i="18" s="1"/>
  <c r="S206" i="18" s="1"/>
  <c r="I206" i="18"/>
  <c r="H206" i="18"/>
  <c r="G206" i="18"/>
  <c r="J206" i="18" s="1"/>
  <c r="A206" i="18"/>
  <c r="P205" i="18"/>
  <c r="R205" i="18" s="1"/>
  <c r="S205" i="18" s="1"/>
  <c r="I205" i="18"/>
  <c r="H205" i="18"/>
  <c r="G205" i="18"/>
  <c r="A205" i="18"/>
  <c r="P204" i="18"/>
  <c r="R204" i="18" s="1"/>
  <c r="S204" i="18" s="1"/>
  <c r="I204" i="18"/>
  <c r="H204" i="18"/>
  <c r="G204" i="18"/>
  <c r="J204" i="18" s="1"/>
  <c r="A204" i="18"/>
  <c r="P203" i="18"/>
  <c r="R203" i="18" s="1"/>
  <c r="S203" i="18" s="1"/>
  <c r="I203" i="18"/>
  <c r="H203" i="18"/>
  <c r="G203" i="18"/>
  <c r="A203" i="18"/>
  <c r="P202" i="18"/>
  <c r="R202" i="18" s="1"/>
  <c r="S202" i="18" s="1"/>
  <c r="I202" i="18"/>
  <c r="H202" i="18"/>
  <c r="G202" i="18"/>
  <c r="J202" i="18" s="1"/>
  <c r="A202" i="18"/>
  <c r="P201" i="18"/>
  <c r="R201" i="18" s="1"/>
  <c r="S201" i="18" s="1"/>
  <c r="I201" i="18"/>
  <c r="H201" i="18"/>
  <c r="G201" i="18"/>
  <c r="J201" i="18" s="1"/>
  <c r="A201" i="18"/>
  <c r="P200" i="18"/>
  <c r="R200" i="18" s="1"/>
  <c r="S200" i="18" s="1"/>
  <c r="I200" i="18"/>
  <c r="H200" i="18"/>
  <c r="G200" i="18"/>
  <c r="J200" i="18" s="1"/>
  <c r="A200" i="18"/>
  <c r="P199" i="18"/>
  <c r="R199" i="18" s="1"/>
  <c r="S199" i="18" s="1"/>
  <c r="I199" i="18"/>
  <c r="H199" i="18"/>
  <c r="G199" i="18"/>
  <c r="J199" i="18" s="1"/>
  <c r="A199" i="18"/>
  <c r="P198" i="18"/>
  <c r="R198" i="18" s="1"/>
  <c r="S198" i="18" s="1"/>
  <c r="I198" i="18"/>
  <c r="H198" i="18"/>
  <c r="G198" i="18"/>
  <c r="J198" i="18" s="1"/>
  <c r="A198" i="18"/>
  <c r="P197" i="18"/>
  <c r="R197" i="18" s="1"/>
  <c r="S197" i="18" s="1"/>
  <c r="I197" i="18"/>
  <c r="H197" i="18"/>
  <c r="G197" i="18"/>
  <c r="A197" i="18"/>
  <c r="P196" i="18"/>
  <c r="R196" i="18" s="1"/>
  <c r="S196" i="18" s="1"/>
  <c r="I196" i="18"/>
  <c r="H196" i="18"/>
  <c r="G196" i="18"/>
  <c r="J196" i="18" s="1"/>
  <c r="A196" i="18"/>
  <c r="P195" i="18"/>
  <c r="R195" i="18" s="1"/>
  <c r="S195" i="18" s="1"/>
  <c r="I195" i="18"/>
  <c r="H195" i="18"/>
  <c r="G195" i="18"/>
  <c r="A195" i="18"/>
  <c r="P194" i="18"/>
  <c r="R194" i="18" s="1"/>
  <c r="S194" i="18" s="1"/>
  <c r="I194" i="18"/>
  <c r="H194" i="18"/>
  <c r="G194" i="18"/>
  <c r="J194" i="18" s="1"/>
  <c r="A194" i="18"/>
  <c r="P193" i="18"/>
  <c r="R193" i="18" s="1"/>
  <c r="S193" i="18" s="1"/>
  <c r="I193" i="18"/>
  <c r="H193" i="18"/>
  <c r="G193" i="18"/>
  <c r="J193" i="18" s="1"/>
  <c r="A193" i="18"/>
  <c r="P192" i="18"/>
  <c r="R192" i="18" s="1"/>
  <c r="S192" i="18" s="1"/>
  <c r="I192" i="18"/>
  <c r="H192" i="18"/>
  <c r="G192" i="18"/>
  <c r="A192" i="18"/>
  <c r="P191" i="18"/>
  <c r="R191" i="18" s="1"/>
  <c r="S191" i="18" s="1"/>
  <c r="I191" i="18"/>
  <c r="H191" i="18"/>
  <c r="G191" i="18"/>
  <c r="A191" i="18"/>
  <c r="P190" i="18"/>
  <c r="R190" i="18" s="1"/>
  <c r="S190" i="18" s="1"/>
  <c r="I190" i="18"/>
  <c r="H190" i="18"/>
  <c r="G190" i="18"/>
  <c r="J190" i="18" s="1"/>
  <c r="A190" i="18"/>
  <c r="P189" i="18"/>
  <c r="R189" i="18" s="1"/>
  <c r="S189" i="18" s="1"/>
  <c r="I189" i="18"/>
  <c r="H189" i="18"/>
  <c r="G189" i="18"/>
  <c r="J189" i="18" s="1"/>
  <c r="A189" i="18"/>
  <c r="P188" i="18"/>
  <c r="R188" i="18" s="1"/>
  <c r="S188" i="18" s="1"/>
  <c r="I188" i="18"/>
  <c r="H188" i="18"/>
  <c r="G188" i="18"/>
  <c r="J188" i="18" s="1"/>
  <c r="A188" i="18"/>
  <c r="P187" i="18"/>
  <c r="R187" i="18" s="1"/>
  <c r="S187" i="18" s="1"/>
  <c r="I187" i="18"/>
  <c r="H187" i="18"/>
  <c r="G187" i="18"/>
  <c r="J187" i="18" s="1"/>
  <c r="A187" i="18"/>
  <c r="P186" i="18"/>
  <c r="R186" i="18" s="1"/>
  <c r="S186" i="18" s="1"/>
  <c r="I186" i="18"/>
  <c r="H186" i="18"/>
  <c r="G186" i="18"/>
  <c r="J186" i="18" s="1"/>
  <c r="A186" i="18"/>
  <c r="P185" i="18"/>
  <c r="R185" i="18" s="1"/>
  <c r="S185" i="18" s="1"/>
  <c r="I185" i="18"/>
  <c r="H185" i="18"/>
  <c r="G185" i="18"/>
  <c r="A185" i="18"/>
  <c r="P184" i="18"/>
  <c r="R184" i="18" s="1"/>
  <c r="S184" i="18" s="1"/>
  <c r="I184" i="18"/>
  <c r="H184" i="18"/>
  <c r="G184" i="18"/>
  <c r="J184" i="18" s="1"/>
  <c r="A184" i="18"/>
  <c r="P183" i="18"/>
  <c r="R183" i="18" s="1"/>
  <c r="S183" i="18" s="1"/>
  <c r="I183" i="18"/>
  <c r="H183" i="18"/>
  <c r="G183" i="18"/>
  <c r="J183" i="18" s="1"/>
  <c r="A183" i="18"/>
  <c r="P182" i="18"/>
  <c r="R182" i="18" s="1"/>
  <c r="S182" i="18" s="1"/>
  <c r="I182" i="18"/>
  <c r="H182" i="18"/>
  <c r="G182" i="18"/>
  <c r="J182" i="18" s="1"/>
  <c r="A182" i="18"/>
  <c r="P181" i="18"/>
  <c r="R181" i="18" s="1"/>
  <c r="S181" i="18" s="1"/>
  <c r="I181" i="18"/>
  <c r="H181" i="18"/>
  <c r="G181" i="18"/>
  <c r="A181" i="18"/>
  <c r="P180" i="18"/>
  <c r="R180" i="18" s="1"/>
  <c r="S180" i="18" s="1"/>
  <c r="I180" i="18"/>
  <c r="H180" i="18"/>
  <c r="G180" i="18"/>
  <c r="J180" i="18" s="1"/>
  <c r="A180" i="18"/>
  <c r="P179" i="18"/>
  <c r="R179" i="18" s="1"/>
  <c r="S179" i="18" s="1"/>
  <c r="I179" i="18"/>
  <c r="H179" i="18"/>
  <c r="G179" i="18"/>
  <c r="J179" i="18" s="1"/>
  <c r="A179" i="18"/>
  <c r="P178" i="18"/>
  <c r="R178" i="18" s="1"/>
  <c r="S178" i="18" s="1"/>
  <c r="I178" i="18"/>
  <c r="H178" i="18"/>
  <c r="G178" i="18"/>
  <c r="J178" i="18" s="1"/>
  <c r="A178" i="18"/>
  <c r="P177" i="18"/>
  <c r="R177" i="18" s="1"/>
  <c r="S177" i="18" s="1"/>
  <c r="I177" i="18"/>
  <c r="H177" i="18"/>
  <c r="G177" i="18"/>
  <c r="A177" i="18"/>
  <c r="P176" i="18"/>
  <c r="R176" i="18" s="1"/>
  <c r="S176" i="18" s="1"/>
  <c r="I176" i="18"/>
  <c r="H176" i="18"/>
  <c r="G176" i="18"/>
  <c r="J176" i="18" s="1"/>
  <c r="A176" i="18"/>
  <c r="P175" i="18"/>
  <c r="R175" i="18" s="1"/>
  <c r="S175" i="18" s="1"/>
  <c r="I175" i="18"/>
  <c r="H175" i="18"/>
  <c r="G175" i="18"/>
  <c r="J175" i="18" s="1"/>
  <c r="A175" i="18"/>
  <c r="P174" i="18"/>
  <c r="R174" i="18" s="1"/>
  <c r="S174" i="18" s="1"/>
  <c r="I174" i="18"/>
  <c r="H174" i="18"/>
  <c r="G174" i="18"/>
  <c r="J174" i="18" s="1"/>
  <c r="A174" i="18"/>
  <c r="P173" i="18"/>
  <c r="R173" i="18" s="1"/>
  <c r="S173" i="18" s="1"/>
  <c r="I173" i="18"/>
  <c r="H173" i="18"/>
  <c r="G173" i="18"/>
  <c r="A173" i="18"/>
  <c r="P172" i="18"/>
  <c r="R172" i="18" s="1"/>
  <c r="S172" i="18" s="1"/>
  <c r="I172" i="18"/>
  <c r="H172" i="18"/>
  <c r="G172" i="18"/>
  <c r="J172" i="18" s="1"/>
  <c r="A172" i="18"/>
  <c r="P171" i="18"/>
  <c r="R171" i="18" s="1"/>
  <c r="S171" i="18" s="1"/>
  <c r="I171" i="18"/>
  <c r="H171" i="18"/>
  <c r="G171" i="18"/>
  <c r="A171" i="18"/>
  <c r="P170" i="18"/>
  <c r="R170" i="18" s="1"/>
  <c r="S170" i="18" s="1"/>
  <c r="I170" i="18"/>
  <c r="H170" i="18"/>
  <c r="G170" i="18"/>
  <c r="J170" i="18" s="1"/>
  <c r="A170" i="18"/>
  <c r="P169" i="18"/>
  <c r="R169" i="18" s="1"/>
  <c r="S169" i="18" s="1"/>
  <c r="I169" i="18"/>
  <c r="H169" i="18"/>
  <c r="G169" i="18"/>
  <c r="J169" i="18" s="1"/>
  <c r="A169" i="18"/>
  <c r="P168" i="18"/>
  <c r="R168" i="18" s="1"/>
  <c r="S168" i="18" s="1"/>
  <c r="I168" i="18"/>
  <c r="H168" i="18"/>
  <c r="G168" i="18"/>
  <c r="J168" i="18" s="1"/>
  <c r="A168" i="18"/>
  <c r="P167" i="18"/>
  <c r="R167" i="18" s="1"/>
  <c r="S167" i="18" s="1"/>
  <c r="I167" i="18"/>
  <c r="H167" i="18"/>
  <c r="G167" i="18"/>
  <c r="A167" i="18"/>
  <c r="P166" i="18"/>
  <c r="R166" i="18" s="1"/>
  <c r="S166" i="18" s="1"/>
  <c r="I166" i="18"/>
  <c r="H166" i="18"/>
  <c r="G166" i="18"/>
  <c r="J166" i="18" s="1"/>
  <c r="A166" i="18"/>
  <c r="P165" i="18"/>
  <c r="R165" i="18" s="1"/>
  <c r="S165" i="18" s="1"/>
  <c r="I165" i="18"/>
  <c r="H165" i="18"/>
  <c r="G165" i="18"/>
  <c r="A165" i="18"/>
  <c r="P164" i="18"/>
  <c r="R164" i="18" s="1"/>
  <c r="S164" i="18" s="1"/>
  <c r="I164" i="18"/>
  <c r="H164" i="18"/>
  <c r="G164" i="18"/>
  <c r="J164" i="18" s="1"/>
  <c r="A164" i="18"/>
  <c r="P163" i="18"/>
  <c r="R163" i="18" s="1"/>
  <c r="S163" i="18" s="1"/>
  <c r="I163" i="18"/>
  <c r="H163" i="18"/>
  <c r="G163" i="18"/>
  <c r="A163" i="18"/>
  <c r="P162" i="18"/>
  <c r="R162" i="18" s="1"/>
  <c r="S162" i="18" s="1"/>
  <c r="I162" i="18"/>
  <c r="H162" i="18"/>
  <c r="G162" i="18"/>
  <c r="J162" i="18" s="1"/>
  <c r="A162" i="18"/>
  <c r="P161" i="18"/>
  <c r="R161" i="18" s="1"/>
  <c r="S161" i="18" s="1"/>
  <c r="I161" i="18"/>
  <c r="H161" i="18"/>
  <c r="G161" i="18"/>
  <c r="J161" i="18" s="1"/>
  <c r="A161" i="18"/>
  <c r="P160" i="18"/>
  <c r="R160" i="18" s="1"/>
  <c r="S160" i="18" s="1"/>
  <c r="I160" i="18"/>
  <c r="H160" i="18"/>
  <c r="G160" i="18"/>
  <c r="J160" i="18" s="1"/>
  <c r="A160" i="18"/>
  <c r="P159" i="18"/>
  <c r="R159" i="18" s="1"/>
  <c r="S159" i="18" s="1"/>
  <c r="I159" i="18"/>
  <c r="H159" i="18"/>
  <c r="G159" i="18"/>
  <c r="J159" i="18" s="1"/>
  <c r="A159" i="18"/>
  <c r="P158" i="18"/>
  <c r="R158" i="18" s="1"/>
  <c r="S158" i="18" s="1"/>
  <c r="I158" i="18"/>
  <c r="H158" i="18"/>
  <c r="G158" i="18"/>
  <c r="J158" i="18" s="1"/>
  <c r="A158" i="18"/>
  <c r="P157" i="18"/>
  <c r="R157" i="18" s="1"/>
  <c r="S157" i="18" s="1"/>
  <c r="I157" i="18"/>
  <c r="H157" i="18"/>
  <c r="G157" i="18"/>
  <c r="A157" i="18"/>
  <c r="P156" i="18"/>
  <c r="R156" i="18" s="1"/>
  <c r="S156" i="18" s="1"/>
  <c r="I156" i="18"/>
  <c r="H156" i="18"/>
  <c r="G156" i="18"/>
  <c r="J156" i="18" s="1"/>
  <c r="A156" i="18"/>
  <c r="P155" i="18"/>
  <c r="R155" i="18" s="1"/>
  <c r="S155" i="18" s="1"/>
  <c r="I155" i="18"/>
  <c r="H155" i="18"/>
  <c r="G155" i="18"/>
  <c r="J155" i="18" s="1"/>
  <c r="A155" i="18"/>
  <c r="P154" i="18"/>
  <c r="R154" i="18" s="1"/>
  <c r="S154" i="18" s="1"/>
  <c r="I154" i="18"/>
  <c r="H154" i="18"/>
  <c r="G154" i="18"/>
  <c r="J154" i="18" s="1"/>
  <c r="A154" i="18"/>
  <c r="P153" i="18"/>
  <c r="R153" i="18" s="1"/>
  <c r="S153" i="18" s="1"/>
  <c r="I153" i="18"/>
  <c r="H153" i="18"/>
  <c r="G153" i="18"/>
  <c r="A153" i="18"/>
  <c r="P152" i="18"/>
  <c r="R152" i="18" s="1"/>
  <c r="S152" i="18" s="1"/>
  <c r="I152" i="18"/>
  <c r="H152" i="18"/>
  <c r="G152" i="18"/>
  <c r="A152" i="18"/>
  <c r="P151" i="18"/>
  <c r="R151" i="18" s="1"/>
  <c r="S151" i="18" s="1"/>
  <c r="I151" i="18"/>
  <c r="H151" i="18"/>
  <c r="G151" i="18"/>
  <c r="J151" i="18" s="1"/>
  <c r="A151" i="18"/>
  <c r="P150" i="18"/>
  <c r="R150" i="18" s="1"/>
  <c r="S150" i="18" s="1"/>
  <c r="I150" i="18"/>
  <c r="H150" i="18"/>
  <c r="G150" i="18"/>
  <c r="J150" i="18" s="1"/>
  <c r="A150" i="18"/>
  <c r="P149" i="18"/>
  <c r="R149" i="18" s="1"/>
  <c r="S149" i="18" s="1"/>
  <c r="I149" i="18"/>
  <c r="H149" i="18"/>
  <c r="G149" i="18"/>
  <c r="J149" i="18" s="1"/>
  <c r="A149" i="18"/>
  <c r="P148" i="18"/>
  <c r="R148" i="18" s="1"/>
  <c r="S148" i="18" s="1"/>
  <c r="I148" i="18"/>
  <c r="H148" i="18"/>
  <c r="G148" i="18"/>
  <c r="J148" i="18" s="1"/>
  <c r="A148" i="18"/>
  <c r="P147" i="18"/>
  <c r="R147" i="18" s="1"/>
  <c r="S147" i="18" s="1"/>
  <c r="I147" i="18"/>
  <c r="H147" i="18"/>
  <c r="G147" i="18"/>
  <c r="A147" i="18"/>
  <c r="P146" i="18"/>
  <c r="R146" i="18" s="1"/>
  <c r="S146" i="18" s="1"/>
  <c r="I146" i="18"/>
  <c r="H146" i="18"/>
  <c r="G146" i="18"/>
  <c r="J146" i="18" s="1"/>
  <c r="A146" i="18"/>
  <c r="P145" i="18"/>
  <c r="R145" i="18" s="1"/>
  <c r="S145" i="18" s="1"/>
  <c r="I145" i="18"/>
  <c r="H145" i="18"/>
  <c r="G145" i="18"/>
  <c r="A145" i="18"/>
  <c r="P144" i="18"/>
  <c r="R144" i="18" s="1"/>
  <c r="S144" i="18" s="1"/>
  <c r="I144" i="18"/>
  <c r="H144" i="18"/>
  <c r="G144" i="18"/>
  <c r="A144" i="18"/>
  <c r="P143" i="18"/>
  <c r="R143" i="18" s="1"/>
  <c r="S143" i="18" s="1"/>
  <c r="I143" i="18"/>
  <c r="H143" i="18"/>
  <c r="G143" i="18"/>
  <c r="A143" i="18"/>
  <c r="P142" i="18"/>
  <c r="R142" i="18" s="1"/>
  <c r="S142" i="18" s="1"/>
  <c r="I142" i="18"/>
  <c r="H142" i="18"/>
  <c r="G142" i="18"/>
  <c r="J142" i="18" s="1"/>
  <c r="A142" i="18"/>
  <c r="P141" i="18"/>
  <c r="R141" i="18" s="1"/>
  <c r="S141" i="18" s="1"/>
  <c r="I141" i="18"/>
  <c r="H141" i="18"/>
  <c r="G141" i="18"/>
  <c r="A141" i="18"/>
  <c r="P140" i="18"/>
  <c r="R140" i="18" s="1"/>
  <c r="S140" i="18" s="1"/>
  <c r="I140" i="18"/>
  <c r="H140" i="18"/>
  <c r="G140" i="18"/>
  <c r="J140" i="18" s="1"/>
  <c r="A140" i="18"/>
  <c r="P139" i="18"/>
  <c r="R139" i="18" s="1"/>
  <c r="S139" i="18" s="1"/>
  <c r="I139" i="18"/>
  <c r="H139" i="18"/>
  <c r="G139" i="18"/>
  <c r="J139" i="18" s="1"/>
  <c r="A139" i="18"/>
  <c r="P138" i="18"/>
  <c r="R138" i="18" s="1"/>
  <c r="S138" i="18" s="1"/>
  <c r="I138" i="18"/>
  <c r="H138" i="18"/>
  <c r="G138" i="18"/>
  <c r="A138" i="18"/>
  <c r="P137" i="18"/>
  <c r="R137" i="18" s="1"/>
  <c r="S137" i="18" s="1"/>
  <c r="I137" i="18"/>
  <c r="H137" i="18"/>
  <c r="G137" i="18"/>
  <c r="J137" i="18" s="1"/>
  <c r="A137" i="18"/>
  <c r="P136" i="18"/>
  <c r="R136" i="18" s="1"/>
  <c r="S136" i="18" s="1"/>
  <c r="I136" i="18"/>
  <c r="H136" i="18"/>
  <c r="G136" i="18"/>
  <c r="J136" i="18" s="1"/>
  <c r="A136" i="18"/>
  <c r="P135" i="18"/>
  <c r="R135" i="18" s="1"/>
  <c r="S135" i="18" s="1"/>
  <c r="I135" i="18"/>
  <c r="H135" i="18"/>
  <c r="G135" i="18"/>
  <c r="J135" i="18" s="1"/>
  <c r="A135" i="18"/>
  <c r="P134" i="18"/>
  <c r="R134" i="18" s="1"/>
  <c r="S134" i="18" s="1"/>
  <c r="I134" i="18"/>
  <c r="H134" i="18"/>
  <c r="G134" i="18"/>
  <c r="J134" i="18" s="1"/>
  <c r="A134" i="18"/>
  <c r="P133" i="18"/>
  <c r="R133" i="18" s="1"/>
  <c r="S133" i="18" s="1"/>
  <c r="I133" i="18"/>
  <c r="H133" i="18"/>
  <c r="G133" i="18"/>
  <c r="A133" i="18"/>
  <c r="P132" i="18"/>
  <c r="R132" i="18" s="1"/>
  <c r="S132" i="18" s="1"/>
  <c r="I132" i="18"/>
  <c r="H132" i="18"/>
  <c r="G132" i="18"/>
  <c r="A132" i="18"/>
  <c r="P131" i="18"/>
  <c r="R131" i="18" s="1"/>
  <c r="S131" i="18" s="1"/>
  <c r="I131" i="18"/>
  <c r="H131" i="18"/>
  <c r="G131" i="18"/>
  <c r="J131" i="18" s="1"/>
  <c r="A131" i="18"/>
  <c r="P130" i="18"/>
  <c r="R130" i="18" s="1"/>
  <c r="S130" i="18" s="1"/>
  <c r="I130" i="18"/>
  <c r="H130" i="18"/>
  <c r="G130" i="18"/>
  <c r="J130" i="18" s="1"/>
  <c r="A130" i="18"/>
  <c r="P129" i="18"/>
  <c r="R129" i="18" s="1"/>
  <c r="S129" i="18" s="1"/>
  <c r="I129" i="18"/>
  <c r="H129" i="18"/>
  <c r="G129" i="18"/>
  <c r="A129" i="18"/>
  <c r="P128" i="18"/>
  <c r="R128" i="18" s="1"/>
  <c r="S128" i="18" s="1"/>
  <c r="I128" i="18"/>
  <c r="H128" i="18"/>
  <c r="G128" i="18"/>
  <c r="J128" i="18" s="1"/>
  <c r="A128" i="18"/>
  <c r="P127" i="18"/>
  <c r="R127" i="18" s="1"/>
  <c r="S127" i="18" s="1"/>
  <c r="I127" i="18"/>
  <c r="H127" i="18"/>
  <c r="G127" i="18"/>
  <c r="A127" i="18"/>
  <c r="P126" i="18"/>
  <c r="R126" i="18" s="1"/>
  <c r="S126" i="18" s="1"/>
  <c r="I126" i="18"/>
  <c r="H126" i="18"/>
  <c r="G126" i="18"/>
  <c r="J126" i="18" s="1"/>
  <c r="A126" i="18"/>
  <c r="P125" i="18"/>
  <c r="R125" i="18" s="1"/>
  <c r="S125" i="18" s="1"/>
  <c r="I125" i="18"/>
  <c r="H125" i="18"/>
  <c r="G125" i="18"/>
  <c r="J125" i="18" s="1"/>
  <c r="A125" i="18"/>
  <c r="P124" i="18"/>
  <c r="R124" i="18" s="1"/>
  <c r="S124" i="18" s="1"/>
  <c r="I124" i="18"/>
  <c r="H124" i="18"/>
  <c r="G124" i="18"/>
  <c r="A124" i="18"/>
  <c r="P123" i="18"/>
  <c r="R123" i="18" s="1"/>
  <c r="S123" i="18" s="1"/>
  <c r="I123" i="18"/>
  <c r="H123" i="18"/>
  <c r="G123" i="18"/>
  <c r="J123" i="18" s="1"/>
  <c r="A123" i="18"/>
  <c r="P122" i="18"/>
  <c r="R122" i="18" s="1"/>
  <c r="S122" i="18" s="1"/>
  <c r="H122" i="18"/>
  <c r="A122" i="18"/>
  <c r="P121" i="18"/>
  <c r="R121" i="18" s="1"/>
  <c r="S121" i="18" s="1"/>
  <c r="H121" i="18"/>
  <c r="A121" i="18"/>
  <c r="P120" i="18"/>
  <c r="R120" i="18" s="1"/>
  <c r="S120" i="18" s="1"/>
  <c r="I120" i="18"/>
  <c r="H120" i="18"/>
  <c r="G120" i="18"/>
  <c r="J120" i="18" s="1"/>
  <c r="A120" i="18"/>
  <c r="P119" i="18"/>
  <c r="R119" i="18" s="1"/>
  <c r="S119" i="18" s="1"/>
  <c r="I119" i="18"/>
  <c r="H119" i="18"/>
  <c r="G119" i="18"/>
  <c r="J119" i="18" s="1"/>
  <c r="A119" i="18"/>
  <c r="P118" i="18"/>
  <c r="R118" i="18" s="1"/>
  <c r="S118" i="18" s="1"/>
  <c r="I118" i="18"/>
  <c r="H118" i="18"/>
  <c r="G118" i="18"/>
  <c r="A118" i="18"/>
  <c r="P117" i="18"/>
  <c r="R117" i="18" s="1"/>
  <c r="S117" i="18" s="1"/>
  <c r="I117" i="18"/>
  <c r="H117" i="18"/>
  <c r="G117" i="18"/>
  <c r="J117" i="18" s="1"/>
  <c r="A117" i="18"/>
  <c r="P116" i="18"/>
  <c r="R116" i="18" s="1"/>
  <c r="S116" i="18" s="1"/>
  <c r="I116" i="18"/>
  <c r="H116" i="18"/>
  <c r="G116" i="18"/>
  <c r="J116" i="18" s="1"/>
  <c r="A116" i="18"/>
  <c r="P115" i="18"/>
  <c r="R115" i="18" s="1"/>
  <c r="S115" i="18" s="1"/>
  <c r="I115" i="18"/>
  <c r="H115" i="18"/>
  <c r="G115" i="18"/>
  <c r="A115" i="18"/>
  <c r="P114" i="18"/>
  <c r="R114" i="18" s="1"/>
  <c r="S114" i="18" s="1"/>
  <c r="I114" i="18"/>
  <c r="H114" i="18"/>
  <c r="G114" i="18"/>
  <c r="J114" i="18" s="1"/>
  <c r="A114" i="18"/>
  <c r="P113" i="18"/>
  <c r="R113" i="18" s="1"/>
  <c r="S113" i="18" s="1"/>
  <c r="I113" i="18"/>
  <c r="H113" i="18"/>
  <c r="G113" i="18"/>
  <c r="J113" i="18" s="1"/>
  <c r="A113" i="18"/>
  <c r="P112" i="18"/>
  <c r="R112" i="18" s="1"/>
  <c r="S112" i="18" s="1"/>
  <c r="I112" i="18"/>
  <c r="H112" i="18"/>
  <c r="G112" i="18"/>
  <c r="J112" i="18" s="1"/>
  <c r="A112" i="18"/>
  <c r="P111" i="18"/>
  <c r="R111" i="18" s="1"/>
  <c r="S111" i="18" s="1"/>
  <c r="I111" i="18"/>
  <c r="H111" i="18"/>
  <c r="G111" i="18"/>
  <c r="A111" i="18"/>
  <c r="P110" i="18"/>
  <c r="R110" i="18" s="1"/>
  <c r="S110" i="18" s="1"/>
  <c r="I110" i="18"/>
  <c r="H110" i="18"/>
  <c r="G110" i="18"/>
  <c r="J110" i="18" s="1"/>
  <c r="A110" i="18"/>
  <c r="P109" i="18"/>
  <c r="R109" i="18" s="1"/>
  <c r="S109" i="18" s="1"/>
  <c r="I109" i="18"/>
  <c r="H109" i="18"/>
  <c r="G109" i="18"/>
  <c r="J109" i="18" s="1"/>
  <c r="A109" i="18"/>
  <c r="P108" i="18"/>
  <c r="R108" i="18" s="1"/>
  <c r="S108" i="18" s="1"/>
  <c r="I108" i="18"/>
  <c r="H108" i="18"/>
  <c r="G108" i="18"/>
  <c r="J108" i="18" s="1"/>
  <c r="A108" i="18"/>
  <c r="P107" i="18"/>
  <c r="R107" i="18" s="1"/>
  <c r="S107" i="18" s="1"/>
  <c r="I107" i="18"/>
  <c r="H107" i="18"/>
  <c r="G107" i="18"/>
  <c r="J107" i="18" s="1"/>
  <c r="A107" i="18"/>
  <c r="P106" i="18"/>
  <c r="R106" i="18" s="1"/>
  <c r="S106" i="18" s="1"/>
  <c r="I106" i="18"/>
  <c r="H106" i="18"/>
  <c r="G106" i="18"/>
  <c r="A106" i="18"/>
  <c r="P105" i="18"/>
  <c r="R105" i="18" s="1"/>
  <c r="S105" i="18" s="1"/>
  <c r="I105" i="18"/>
  <c r="H105" i="18"/>
  <c r="G105" i="18"/>
  <c r="A105" i="18"/>
  <c r="P104" i="18"/>
  <c r="R104" i="18" s="1"/>
  <c r="S104" i="18" s="1"/>
  <c r="I104" i="18"/>
  <c r="H104" i="18"/>
  <c r="G104" i="18"/>
  <c r="J104" i="18" s="1"/>
  <c r="A104" i="18"/>
  <c r="P103" i="18"/>
  <c r="R103" i="18" s="1"/>
  <c r="S103" i="18" s="1"/>
  <c r="I103" i="18"/>
  <c r="H103" i="18"/>
  <c r="G103" i="18"/>
  <c r="A103" i="18"/>
  <c r="P102" i="18"/>
  <c r="R102" i="18" s="1"/>
  <c r="S102" i="18" s="1"/>
  <c r="I102" i="18"/>
  <c r="H102" i="18"/>
  <c r="G102" i="18"/>
  <c r="J102" i="18" s="1"/>
  <c r="A102" i="18"/>
  <c r="P101" i="18"/>
  <c r="R101" i="18" s="1"/>
  <c r="S101" i="18" s="1"/>
  <c r="I101" i="18"/>
  <c r="H101" i="18"/>
  <c r="G101" i="18"/>
  <c r="A101" i="18"/>
  <c r="P100" i="18"/>
  <c r="R100" i="18" s="1"/>
  <c r="S100" i="18" s="1"/>
  <c r="I100" i="18"/>
  <c r="H100" i="18"/>
  <c r="G100" i="18"/>
  <c r="J100" i="18" s="1"/>
  <c r="A100" i="18"/>
  <c r="P99" i="18"/>
  <c r="R99" i="18" s="1"/>
  <c r="S99" i="18" s="1"/>
  <c r="I99" i="18"/>
  <c r="H99" i="18"/>
  <c r="G99" i="18"/>
  <c r="A99" i="18"/>
  <c r="P98" i="18"/>
  <c r="R98" i="18" s="1"/>
  <c r="S98" i="18" s="1"/>
  <c r="I98" i="18"/>
  <c r="H98" i="18"/>
  <c r="G98" i="18"/>
  <c r="A98" i="18"/>
  <c r="P97" i="18"/>
  <c r="R97" i="18" s="1"/>
  <c r="S97" i="18" s="1"/>
  <c r="I97" i="18"/>
  <c r="H97" i="18"/>
  <c r="G97" i="18"/>
  <c r="J97" i="18" s="1"/>
  <c r="A97" i="18"/>
  <c r="P96" i="18"/>
  <c r="R96" i="18" s="1"/>
  <c r="S96" i="18" s="1"/>
  <c r="I96" i="18"/>
  <c r="H96" i="18"/>
  <c r="G96" i="18"/>
  <c r="J96" i="18" s="1"/>
  <c r="A96" i="18"/>
  <c r="P95" i="18"/>
  <c r="R95" i="18" s="1"/>
  <c r="S95" i="18" s="1"/>
  <c r="I95" i="18"/>
  <c r="H95" i="18"/>
  <c r="G95" i="18"/>
  <c r="J95" i="18" s="1"/>
  <c r="A95" i="18"/>
  <c r="P94" i="18"/>
  <c r="R94" i="18" s="1"/>
  <c r="S94" i="18" s="1"/>
  <c r="I94" i="18"/>
  <c r="H94" i="18"/>
  <c r="G94" i="18"/>
  <c r="J94" i="18" s="1"/>
  <c r="A94" i="18"/>
  <c r="P93" i="18"/>
  <c r="R93" i="18" s="1"/>
  <c r="S93" i="18" s="1"/>
  <c r="I93" i="18"/>
  <c r="H93" i="18"/>
  <c r="G93" i="18"/>
  <c r="J93" i="18" s="1"/>
  <c r="A93" i="18"/>
  <c r="P92" i="18"/>
  <c r="R92" i="18" s="1"/>
  <c r="S92" i="18" s="1"/>
  <c r="I92" i="18"/>
  <c r="H92" i="18"/>
  <c r="G92" i="18"/>
  <c r="J92" i="18" s="1"/>
  <c r="A92" i="18"/>
  <c r="P91" i="18"/>
  <c r="R91" i="18" s="1"/>
  <c r="S91" i="18" s="1"/>
  <c r="I91" i="18"/>
  <c r="H91" i="18"/>
  <c r="G91" i="18"/>
  <c r="A91" i="18"/>
  <c r="P90" i="18"/>
  <c r="R90" i="18" s="1"/>
  <c r="S90" i="18" s="1"/>
  <c r="I90" i="18"/>
  <c r="H90" i="18"/>
  <c r="G90" i="18"/>
  <c r="J90" i="18" s="1"/>
  <c r="A90" i="18"/>
  <c r="P89" i="18"/>
  <c r="R89" i="18" s="1"/>
  <c r="S89" i="18" s="1"/>
  <c r="I89" i="18"/>
  <c r="H89" i="18"/>
  <c r="G89" i="18"/>
  <c r="J89" i="18" s="1"/>
  <c r="A89" i="18"/>
  <c r="P88" i="18"/>
  <c r="R88" i="18" s="1"/>
  <c r="S88" i="18" s="1"/>
  <c r="I88" i="18"/>
  <c r="H88" i="18"/>
  <c r="G88" i="18"/>
  <c r="A88" i="18"/>
  <c r="P87" i="18"/>
  <c r="R87" i="18" s="1"/>
  <c r="S87" i="18" s="1"/>
  <c r="I87" i="18"/>
  <c r="H87" i="18"/>
  <c r="G87" i="18"/>
  <c r="J87" i="18" s="1"/>
  <c r="A87" i="18"/>
  <c r="P86" i="18"/>
  <c r="R86" i="18" s="1"/>
  <c r="S86" i="18" s="1"/>
  <c r="I86" i="18"/>
  <c r="H86" i="18"/>
  <c r="G86" i="18"/>
  <c r="J86" i="18" s="1"/>
  <c r="A86" i="18"/>
  <c r="P85" i="18"/>
  <c r="R85" i="18" s="1"/>
  <c r="S85" i="18" s="1"/>
  <c r="I85" i="18"/>
  <c r="H85" i="18"/>
  <c r="G85" i="18"/>
  <c r="J85" i="18" s="1"/>
  <c r="A85" i="18"/>
  <c r="P84" i="18"/>
  <c r="R84" i="18" s="1"/>
  <c r="S84" i="18" s="1"/>
  <c r="I84" i="18"/>
  <c r="H84" i="18"/>
  <c r="G84" i="18"/>
  <c r="A84" i="18"/>
  <c r="P83" i="18"/>
  <c r="R83" i="18" s="1"/>
  <c r="S83" i="18" s="1"/>
  <c r="I83" i="18"/>
  <c r="H83" i="18"/>
  <c r="G83" i="18"/>
  <c r="J83" i="18" s="1"/>
  <c r="A83" i="18"/>
  <c r="P82" i="18"/>
  <c r="R82" i="18" s="1"/>
  <c r="S82" i="18" s="1"/>
  <c r="I82" i="18"/>
  <c r="H82" i="18"/>
  <c r="G82" i="18"/>
  <c r="A82" i="18"/>
  <c r="P81" i="18"/>
  <c r="R81" i="18" s="1"/>
  <c r="S81" i="18" s="1"/>
  <c r="I81" i="18"/>
  <c r="H81" i="18"/>
  <c r="G81" i="18"/>
  <c r="A81" i="18"/>
  <c r="P80" i="18"/>
  <c r="R80" i="18" s="1"/>
  <c r="S80" i="18" s="1"/>
  <c r="I80" i="18"/>
  <c r="H80" i="18"/>
  <c r="G80" i="18"/>
  <c r="J80" i="18" s="1"/>
  <c r="A80" i="18"/>
  <c r="P79" i="18"/>
  <c r="R79" i="18" s="1"/>
  <c r="S79" i="18" s="1"/>
  <c r="I79" i="18"/>
  <c r="H79" i="18"/>
  <c r="G79" i="18"/>
  <c r="J79" i="18" s="1"/>
  <c r="A79" i="18"/>
  <c r="P78" i="18"/>
  <c r="R78" i="18" s="1"/>
  <c r="S78" i="18" s="1"/>
  <c r="I78" i="18"/>
  <c r="H78" i="18"/>
  <c r="G78" i="18"/>
  <c r="J78" i="18" s="1"/>
  <c r="A78" i="18"/>
  <c r="P77" i="18"/>
  <c r="R77" i="18" s="1"/>
  <c r="S77" i="18" s="1"/>
  <c r="I77" i="18"/>
  <c r="H77" i="18"/>
  <c r="G77" i="18"/>
  <c r="J77" i="18" s="1"/>
  <c r="A77" i="18"/>
  <c r="P76" i="18"/>
  <c r="R76" i="18" s="1"/>
  <c r="S76" i="18" s="1"/>
  <c r="I76" i="18"/>
  <c r="H76" i="18"/>
  <c r="G76" i="18"/>
  <c r="A76" i="18"/>
  <c r="P75" i="18"/>
  <c r="R75" i="18" s="1"/>
  <c r="S75" i="18" s="1"/>
  <c r="I75" i="18"/>
  <c r="H75" i="18"/>
  <c r="G75" i="18"/>
  <c r="A75" i="18"/>
  <c r="P74" i="18"/>
  <c r="R74" i="18" s="1"/>
  <c r="S74" i="18" s="1"/>
  <c r="I74" i="18"/>
  <c r="H74" i="18"/>
  <c r="G74" i="18"/>
  <c r="A74" i="18"/>
  <c r="P73" i="18"/>
  <c r="R73" i="18" s="1"/>
  <c r="S73" i="18" s="1"/>
  <c r="I73" i="18"/>
  <c r="H73" i="18"/>
  <c r="G73" i="18"/>
  <c r="A73" i="18"/>
  <c r="P72" i="18"/>
  <c r="R72" i="18" s="1"/>
  <c r="S72" i="18" s="1"/>
  <c r="I72" i="18"/>
  <c r="H72" i="18"/>
  <c r="G72" i="18"/>
  <c r="J72" i="18" s="1"/>
  <c r="A72" i="18"/>
  <c r="P71" i="18"/>
  <c r="R71" i="18" s="1"/>
  <c r="S71" i="18" s="1"/>
  <c r="I71" i="18"/>
  <c r="H71" i="18"/>
  <c r="G71" i="18"/>
  <c r="J71" i="18" s="1"/>
  <c r="A71" i="18"/>
  <c r="P70" i="18"/>
  <c r="R70" i="18" s="1"/>
  <c r="S70" i="18" s="1"/>
  <c r="I70" i="18"/>
  <c r="H70" i="18"/>
  <c r="G70" i="18"/>
  <c r="J70" i="18" s="1"/>
  <c r="A70" i="18"/>
  <c r="P69" i="18"/>
  <c r="R69" i="18" s="1"/>
  <c r="S69" i="18" s="1"/>
  <c r="I69" i="18"/>
  <c r="H69" i="18"/>
  <c r="G69" i="18"/>
  <c r="J69" i="18" s="1"/>
  <c r="A69" i="18"/>
  <c r="P68" i="18"/>
  <c r="R68" i="18" s="1"/>
  <c r="S68" i="18" s="1"/>
  <c r="I68" i="18"/>
  <c r="H68" i="18"/>
  <c r="G68" i="18"/>
  <c r="A68" i="18"/>
  <c r="P67" i="18"/>
  <c r="R67" i="18" s="1"/>
  <c r="S67" i="18" s="1"/>
  <c r="I67" i="18"/>
  <c r="H67" i="18"/>
  <c r="G67" i="18"/>
  <c r="J67" i="18" s="1"/>
  <c r="A67" i="18"/>
  <c r="P66" i="18"/>
  <c r="R66" i="18" s="1"/>
  <c r="S66" i="18" s="1"/>
  <c r="I66" i="18"/>
  <c r="H66" i="18"/>
  <c r="G66" i="18"/>
  <c r="J66" i="18" s="1"/>
  <c r="A66" i="18"/>
  <c r="P65" i="18"/>
  <c r="R65" i="18" s="1"/>
  <c r="S65" i="18" s="1"/>
  <c r="I65" i="18"/>
  <c r="H65" i="18"/>
  <c r="G65" i="18"/>
  <c r="A65" i="18"/>
  <c r="P64" i="18"/>
  <c r="R64" i="18" s="1"/>
  <c r="S64" i="18" s="1"/>
  <c r="I64" i="18"/>
  <c r="H64" i="18"/>
  <c r="G64" i="18"/>
  <c r="A64" i="18"/>
  <c r="P63" i="18"/>
  <c r="R63" i="18" s="1"/>
  <c r="S63" i="18" s="1"/>
  <c r="I63" i="18"/>
  <c r="H63" i="18"/>
  <c r="G63" i="18"/>
  <c r="J63" i="18" s="1"/>
  <c r="A63" i="18"/>
  <c r="P62" i="18"/>
  <c r="R62" i="18" s="1"/>
  <c r="S62" i="18" s="1"/>
  <c r="I62" i="18"/>
  <c r="H62" i="18"/>
  <c r="G62" i="18"/>
  <c r="J62" i="18" s="1"/>
  <c r="A62" i="18"/>
  <c r="P61" i="18"/>
  <c r="R61" i="18" s="1"/>
  <c r="S61" i="18" s="1"/>
  <c r="I61" i="18"/>
  <c r="H61" i="18"/>
  <c r="G61" i="18"/>
  <c r="A61" i="18"/>
  <c r="P60" i="18"/>
  <c r="R60" i="18" s="1"/>
  <c r="S60" i="18" s="1"/>
  <c r="I60" i="18"/>
  <c r="H60" i="18"/>
  <c r="G60" i="18"/>
  <c r="A60" i="18"/>
  <c r="P59" i="18"/>
  <c r="R59" i="18" s="1"/>
  <c r="S59" i="18" s="1"/>
  <c r="I59" i="18"/>
  <c r="H59" i="18"/>
  <c r="G59" i="18"/>
  <c r="J59" i="18" s="1"/>
  <c r="A59" i="18"/>
  <c r="P58" i="18"/>
  <c r="R58" i="18" s="1"/>
  <c r="S58" i="18" s="1"/>
  <c r="I58" i="18"/>
  <c r="H58" i="18"/>
  <c r="G58" i="18"/>
  <c r="A58" i="18"/>
  <c r="P57" i="18"/>
  <c r="R57" i="18" s="1"/>
  <c r="S57" i="18" s="1"/>
  <c r="I57" i="18"/>
  <c r="H57" i="18"/>
  <c r="G57" i="18"/>
  <c r="A57" i="18"/>
  <c r="P56" i="18"/>
  <c r="R56" i="18" s="1"/>
  <c r="S56" i="18" s="1"/>
  <c r="I56" i="18"/>
  <c r="H56" i="18"/>
  <c r="G56" i="18"/>
  <c r="J56" i="18" s="1"/>
  <c r="A56" i="18"/>
  <c r="P55" i="18"/>
  <c r="R55" i="18" s="1"/>
  <c r="S55" i="18" s="1"/>
  <c r="I55" i="18"/>
  <c r="H55" i="18"/>
  <c r="G55" i="18"/>
  <c r="J55" i="18" s="1"/>
  <c r="A55" i="18"/>
  <c r="P54" i="18"/>
  <c r="R54" i="18" s="1"/>
  <c r="S54" i="18" s="1"/>
  <c r="I54" i="18"/>
  <c r="H54" i="18"/>
  <c r="G54" i="18"/>
  <c r="J54" i="18" s="1"/>
  <c r="A54" i="18"/>
  <c r="P53" i="18"/>
  <c r="R53" i="18" s="1"/>
  <c r="S53" i="18" s="1"/>
  <c r="I53" i="18"/>
  <c r="H53" i="18"/>
  <c r="G53" i="18"/>
  <c r="A53" i="18"/>
  <c r="P52" i="18"/>
  <c r="R52" i="18" s="1"/>
  <c r="S52" i="18" s="1"/>
  <c r="I52" i="18"/>
  <c r="H52" i="18"/>
  <c r="G52" i="18"/>
  <c r="A52" i="18"/>
  <c r="P51" i="18"/>
  <c r="R51" i="18" s="1"/>
  <c r="S51" i="18" s="1"/>
  <c r="I51" i="18"/>
  <c r="H51" i="18"/>
  <c r="G51" i="18"/>
  <c r="J51" i="18" s="1"/>
  <c r="A51" i="18"/>
  <c r="P50" i="18"/>
  <c r="R50" i="18" s="1"/>
  <c r="S50" i="18" s="1"/>
  <c r="I50" i="18"/>
  <c r="H50" i="18"/>
  <c r="G50" i="18"/>
  <c r="J50" i="18" s="1"/>
  <c r="A50" i="18"/>
  <c r="P49" i="18"/>
  <c r="R49" i="18" s="1"/>
  <c r="S49" i="18" s="1"/>
  <c r="I49" i="18"/>
  <c r="H49" i="18"/>
  <c r="G49" i="18"/>
  <c r="J49" i="18" s="1"/>
  <c r="A49" i="18"/>
  <c r="P48" i="18"/>
  <c r="R48" i="18" s="1"/>
  <c r="S48" i="18" s="1"/>
  <c r="I48" i="18"/>
  <c r="H48" i="18"/>
  <c r="G48" i="18"/>
  <c r="J48" i="18" s="1"/>
  <c r="A48" i="18"/>
  <c r="P47" i="18"/>
  <c r="R47" i="18" s="1"/>
  <c r="S47" i="18" s="1"/>
  <c r="I47" i="18"/>
  <c r="H47" i="18"/>
  <c r="G47" i="18"/>
  <c r="J47" i="18" s="1"/>
  <c r="A47" i="18"/>
  <c r="P46" i="18"/>
  <c r="R46" i="18" s="1"/>
  <c r="S46" i="18" s="1"/>
  <c r="I46" i="18"/>
  <c r="H46" i="18"/>
  <c r="G46" i="18"/>
  <c r="J46" i="18" s="1"/>
  <c r="A46" i="18"/>
  <c r="P45" i="18"/>
  <c r="R45" i="18" s="1"/>
  <c r="S45" i="18" s="1"/>
  <c r="I45" i="18"/>
  <c r="H45" i="18"/>
  <c r="G45" i="18"/>
  <c r="J45" i="18" s="1"/>
  <c r="A45" i="18"/>
  <c r="P44" i="18"/>
  <c r="R44" i="18" s="1"/>
  <c r="S44" i="18" s="1"/>
  <c r="I44" i="18"/>
  <c r="H44" i="18"/>
  <c r="G44" i="18"/>
  <c r="J44" i="18" s="1"/>
  <c r="A44" i="18"/>
  <c r="P43" i="18"/>
  <c r="R43" i="18" s="1"/>
  <c r="S43" i="18" s="1"/>
  <c r="I43" i="18"/>
  <c r="H43" i="18"/>
  <c r="G43" i="18"/>
  <c r="J43" i="18" s="1"/>
  <c r="A43" i="18"/>
  <c r="P42" i="18"/>
  <c r="R42" i="18" s="1"/>
  <c r="S42" i="18" s="1"/>
  <c r="I42" i="18"/>
  <c r="H42" i="18"/>
  <c r="G42" i="18"/>
  <c r="A42" i="18"/>
  <c r="P41" i="18"/>
  <c r="R41" i="18" s="1"/>
  <c r="S41" i="18" s="1"/>
  <c r="I41" i="18"/>
  <c r="H41" i="18"/>
  <c r="G41" i="18"/>
  <c r="J41" i="18" s="1"/>
  <c r="A41" i="18"/>
  <c r="P40" i="18"/>
  <c r="R40" i="18" s="1"/>
  <c r="S40" i="18" s="1"/>
  <c r="I40" i="18"/>
  <c r="H40" i="18"/>
  <c r="G40" i="18"/>
  <c r="J40" i="18" s="1"/>
  <c r="A40" i="18"/>
  <c r="P39" i="18"/>
  <c r="R39" i="18" s="1"/>
  <c r="S39" i="18" s="1"/>
  <c r="I39" i="18"/>
  <c r="H39" i="18"/>
  <c r="G39" i="18"/>
  <c r="A39" i="18"/>
  <c r="P38" i="18"/>
  <c r="R38" i="18" s="1"/>
  <c r="S38" i="18" s="1"/>
  <c r="I38" i="18"/>
  <c r="H38" i="18"/>
  <c r="G38" i="18"/>
  <c r="J38" i="18" s="1"/>
  <c r="A38" i="18"/>
  <c r="P37" i="18"/>
  <c r="R37" i="18" s="1"/>
  <c r="S37" i="18" s="1"/>
  <c r="I37" i="18"/>
  <c r="H37" i="18"/>
  <c r="G37" i="18"/>
  <c r="J37" i="18" s="1"/>
  <c r="A37" i="18"/>
  <c r="P36" i="18"/>
  <c r="R36" i="18" s="1"/>
  <c r="S36" i="18" s="1"/>
  <c r="I36" i="18"/>
  <c r="H36" i="18"/>
  <c r="G36" i="18"/>
  <c r="A36" i="18"/>
  <c r="P35" i="18"/>
  <c r="R35" i="18" s="1"/>
  <c r="S35" i="18" s="1"/>
  <c r="I35" i="18"/>
  <c r="H35" i="18"/>
  <c r="G35" i="18"/>
  <c r="A35" i="18"/>
  <c r="P34" i="18"/>
  <c r="R34" i="18" s="1"/>
  <c r="S34" i="18" s="1"/>
  <c r="I34" i="18"/>
  <c r="H34" i="18"/>
  <c r="G34" i="18"/>
  <c r="J34" i="18" s="1"/>
  <c r="A34" i="18"/>
  <c r="P33" i="18"/>
  <c r="R33" i="18" s="1"/>
  <c r="S33" i="18" s="1"/>
  <c r="I33" i="18"/>
  <c r="H33" i="18"/>
  <c r="G33" i="18"/>
  <c r="J33" i="18" s="1"/>
  <c r="A33" i="18"/>
  <c r="P32" i="18"/>
  <c r="R32" i="18" s="1"/>
  <c r="S32" i="18" s="1"/>
  <c r="I32" i="18"/>
  <c r="H32" i="18"/>
  <c r="G32" i="18"/>
  <c r="A32" i="18"/>
  <c r="P31" i="18"/>
  <c r="R31" i="18" s="1"/>
  <c r="S31" i="18" s="1"/>
  <c r="I31" i="18"/>
  <c r="H31" i="18"/>
  <c r="G31" i="18"/>
  <c r="J31" i="18" s="1"/>
  <c r="A31" i="18"/>
  <c r="P30" i="18"/>
  <c r="R30" i="18" s="1"/>
  <c r="S30" i="18" s="1"/>
  <c r="I30" i="18"/>
  <c r="H30" i="18"/>
  <c r="G30" i="18"/>
  <c r="J30" i="18" s="1"/>
  <c r="A30" i="18"/>
  <c r="P29" i="18"/>
  <c r="R29" i="18" s="1"/>
  <c r="S29" i="18" s="1"/>
  <c r="I29" i="18"/>
  <c r="H29" i="18"/>
  <c r="G29" i="18"/>
  <c r="J29" i="18" s="1"/>
  <c r="A29" i="18"/>
  <c r="P28" i="18"/>
  <c r="I28" i="18"/>
  <c r="H28" i="18"/>
  <c r="G28" i="18"/>
  <c r="J28" i="18" s="1"/>
  <c r="A28" i="18"/>
  <c r="P27" i="18"/>
  <c r="R27" i="18" s="1"/>
  <c r="S27" i="18" s="1"/>
  <c r="I27" i="18"/>
  <c r="H27" i="18"/>
  <c r="G27" i="18"/>
  <c r="J27" i="18" s="1"/>
  <c r="A27" i="18"/>
  <c r="P26" i="18"/>
  <c r="R26" i="18" s="1"/>
  <c r="S26" i="18" s="1"/>
  <c r="I26" i="18"/>
  <c r="H26" i="18"/>
  <c r="G26" i="18"/>
  <c r="J26" i="18" s="1"/>
  <c r="A26" i="18"/>
  <c r="P25" i="18"/>
  <c r="R25" i="18" s="1"/>
  <c r="S25" i="18" s="1"/>
  <c r="I25" i="18"/>
  <c r="H25" i="18"/>
  <c r="G25" i="18"/>
  <c r="J25" i="18" s="1"/>
  <c r="A25" i="18"/>
  <c r="P24" i="18"/>
  <c r="R24" i="18" s="1"/>
  <c r="S24" i="18" s="1"/>
  <c r="I24" i="18"/>
  <c r="H24" i="18"/>
  <c r="G24" i="18"/>
  <c r="J24" i="18" s="1"/>
  <c r="A24" i="18"/>
  <c r="P23" i="18"/>
  <c r="R23" i="18" s="1"/>
  <c r="S23" i="18" s="1"/>
  <c r="I23" i="18"/>
  <c r="H23" i="18"/>
  <c r="G23" i="18"/>
  <c r="J23" i="18" s="1"/>
  <c r="A23" i="18"/>
  <c r="P22" i="18"/>
  <c r="R22" i="18" s="1"/>
  <c r="S22" i="18" s="1"/>
  <c r="I22" i="18"/>
  <c r="H22" i="18"/>
  <c r="G22" i="18"/>
  <c r="J22" i="18" s="1"/>
  <c r="A22" i="18"/>
  <c r="P21" i="18"/>
  <c r="R21" i="18" s="1"/>
  <c r="S21" i="18" s="1"/>
  <c r="I21" i="18"/>
  <c r="H21" i="18"/>
  <c r="G21" i="18"/>
  <c r="J21" i="18" s="1"/>
  <c r="A21" i="18"/>
  <c r="P20" i="18"/>
  <c r="R20" i="18" s="1"/>
  <c r="S20" i="18" s="1"/>
  <c r="I20" i="18"/>
  <c r="H20" i="18"/>
  <c r="G20" i="18"/>
  <c r="J20" i="18" s="1"/>
  <c r="A20" i="18"/>
  <c r="P19" i="18"/>
  <c r="R19" i="18" s="1"/>
  <c r="S19" i="18" s="1"/>
  <c r="I19" i="18"/>
  <c r="H19" i="18"/>
  <c r="G19" i="18"/>
  <c r="A19" i="18"/>
  <c r="P18" i="18"/>
  <c r="R18" i="18" s="1"/>
  <c r="S18" i="18" s="1"/>
  <c r="I18" i="18"/>
  <c r="H18" i="18"/>
  <c r="G18" i="18"/>
  <c r="J18" i="18" s="1"/>
  <c r="A18" i="18"/>
  <c r="P17" i="18"/>
  <c r="R17" i="18" s="1"/>
  <c r="S17" i="18" s="1"/>
  <c r="I17" i="18"/>
  <c r="H17" i="18"/>
  <c r="G17" i="18"/>
  <c r="J17" i="18" s="1"/>
  <c r="A17" i="18"/>
  <c r="P16" i="18"/>
  <c r="R16" i="18" s="1"/>
  <c r="S16" i="18" s="1"/>
  <c r="I16" i="18"/>
  <c r="H16" i="18"/>
  <c r="G16" i="18"/>
  <c r="J16" i="18" s="1"/>
  <c r="A16" i="18"/>
  <c r="P15" i="18"/>
  <c r="R15" i="18" s="1"/>
  <c r="S15" i="18" s="1"/>
  <c r="I15" i="18"/>
  <c r="H15" i="18"/>
  <c r="G15" i="18"/>
  <c r="J15" i="18" s="1"/>
  <c r="A15" i="18"/>
  <c r="P14" i="18"/>
  <c r="R14" i="18" s="1"/>
  <c r="S14" i="18" s="1"/>
  <c r="I14" i="18"/>
  <c r="H14" i="18"/>
  <c r="G14" i="18"/>
  <c r="J14" i="18" s="1"/>
  <c r="A14" i="18"/>
  <c r="P13" i="18"/>
  <c r="R13" i="18" s="1"/>
  <c r="S13" i="18" s="1"/>
  <c r="I13" i="18"/>
  <c r="H13" i="18"/>
  <c r="G13" i="18"/>
  <c r="J13" i="18" s="1"/>
  <c r="A13" i="18"/>
  <c r="P12" i="18"/>
  <c r="R12" i="18" s="1"/>
  <c r="S12" i="18" s="1"/>
  <c r="I12" i="18"/>
  <c r="H12" i="18"/>
  <c r="G12" i="18"/>
  <c r="J12" i="18" s="1"/>
  <c r="A12" i="18"/>
  <c r="P11" i="18"/>
  <c r="R11" i="18" s="1"/>
  <c r="S11" i="18" s="1"/>
  <c r="I11" i="18"/>
  <c r="H11" i="18"/>
  <c r="G11" i="18"/>
  <c r="J11" i="18" s="1"/>
  <c r="A11" i="18"/>
  <c r="P10" i="18"/>
  <c r="R10" i="18" s="1"/>
  <c r="S10" i="18" s="1"/>
  <c r="I10" i="18"/>
  <c r="H10" i="18"/>
  <c r="G10" i="18"/>
  <c r="J10" i="18" s="1"/>
  <c r="A10" i="18"/>
  <c r="P9" i="18"/>
  <c r="R9" i="18" s="1"/>
  <c r="S9" i="18" s="1"/>
  <c r="I9" i="18"/>
  <c r="H9" i="18"/>
  <c r="G9" i="18"/>
  <c r="J9" i="18" s="1"/>
  <c r="A9" i="18"/>
  <c r="P8" i="18"/>
  <c r="R8" i="18" s="1"/>
  <c r="S8" i="18" s="1"/>
  <c r="I8" i="18"/>
  <c r="H8" i="18"/>
  <c r="G8" i="18"/>
  <c r="A8" i="18"/>
  <c r="P7" i="18"/>
  <c r="R7" i="18" s="1"/>
  <c r="S7" i="18" s="1"/>
  <c r="I7" i="18"/>
  <c r="H7" i="18"/>
  <c r="G7" i="18"/>
  <c r="J7" i="18" s="1"/>
  <c r="A7" i="18"/>
  <c r="P6" i="18"/>
  <c r="R6" i="18" s="1"/>
  <c r="S6" i="18" s="1"/>
  <c r="I6" i="18"/>
  <c r="H6" i="18"/>
  <c r="G6" i="18"/>
  <c r="J6" i="18" s="1"/>
  <c r="A6" i="18"/>
  <c r="P5" i="18"/>
  <c r="R5" i="18" s="1"/>
  <c r="S5" i="18" s="1"/>
  <c r="I5" i="18"/>
  <c r="H5" i="18"/>
  <c r="G5" i="18"/>
  <c r="A5" i="18"/>
  <c r="H277" i="18" l="1"/>
  <c r="V316" i="19"/>
  <c r="T331" i="19"/>
  <c r="V328" i="19"/>
  <c r="L334" i="19"/>
  <c r="V264" i="19"/>
  <c r="M334" i="19"/>
  <c r="I331" i="19"/>
  <c r="J289" i="19"/>
  <c r="J290" i="19"/>
  <c r="J299" i="19"/>
  <c r="J195" i="19"/>
  <c r="K195" i="19" s="1"/>
  <c r="J228" i="19"/>
  <c r="K228" i="19" s="1"/>
  <c r="J88" i="19"/>
  <c r="J147" i="19"/>
  <c r="K147" i="19" s="1"/>
  <c r="J111" i="19"/>
  <c r="K111" i="19" s="1"/>
  <c r="K79" i="19"/>
  <c r="J59" i="19"/>
  <c r="K59" i="19" s="1"/>
  <c r="J285" i="19"/>
  <c r="J286" i="19"/>
  <c r="J295" i="19"/>
  <c r="J250" i="19"/>
  <c r="K250" i="19" s="1"/>
  <c r="J208" i="19"/>
  <c r="K208" i="19" s="1"/>
  <c r="J185" i="19"/>
  <c r="K185" i="19" s="1"/>
  <c r="J175" i="19"/>
  <c r="K175" i="19" s="1"/>
  <c r="J133" i="19"/>
  <c r="K133" i="19" s="1"/>
  <c r="J68" i="19"/>
  <c r="J22" i="19"/>
  <c r="K22" i="19" s="1"/>
  <c r="J281" i="19"/>
  <c r="J282" i="19"/>
  <c r="J291" i="19"/>
  <c r="J260" i="19"/>
  <c r="K260" i="19" s="1"/>
  <c r="J221" i="19"/>
  <c r="K221" i="19" s="1"/>
  <c r="J198" i="19"/>
  <c r="K198" i="19" s="1"/>
  <c r="J246" i="19"/>
  <c r="K246" i="19" s="1"/>
  <c r="J252" i="19"/>
  <c r="K252" i="19" s="1"/>
  <c r="J119" i="19"/>
  <c r="K119" i="19" s="1"/>
  <c r="J51" i="19"/>
  <c r="K51" i="19" s="1"/>
  <c r="J16" i="19"/>
  <c r="K16" i="19" s="1"/>
  <c r="J277" i="19"/>
  <c r="J278" i="19"/>
  <c r="J287" i="19"/>
  <c r="J181" i="19"/>
  <c r="K181" i="19" s="1"/>
  <c r="J222" i="19"/>
  <c r="J232" i="19"/>
  <c r="K232" i="19" s="1"/>
  <c r="J98" i="19"/>
  <c r="K98" i="19" s="1"/>
  <c r="J128" i="19"/>
  <c r="J109" i="19"/>
  <c r="K109" i="19" s="1"/>
  <c r="K42" i="19"/>
  <c r="J44" i="19"/>
  <c r="K44" i="19" s="1"/>
  <c r="J13" i="19"/>
  <c r="K13" i="19" s="1"/>
  <c r="J273" i="19"/>
  <c r="J274" i="19"/>
  <c r="J283" i="19"/>
  <c r="J325" i="19"/>
  <c r="J213" i="19"/>
  <c r="J171" i="19"/>
  <c r="K171" i="19" s="1"/>
  <c r="J191" i="19"/>
  <c r="K191" i="19" s="1"/>
  <c r="J124" i="19"/>
  <c r="K124" i="19" s="1"/>
  <c r="J108" i="19"/>
  <c r="K108" i="19" s="1"/>
  <c r="J43" i="19"/>
  <c r="K43" i="19" s="1"/>
  <c r="J100" i="19"/>
  <c r="K100" i="19" s="1"/>
  <c r="J269" i="19"/>
  <c r="J270" i="19"/>
  <c r="J279" i="19"/>
  <c r="J207" i="19"/>
  <c r="K207" i="19" s="1"/>
  <c r="J205" i="19"/>
  <c r="K205" i="19" s="1"/>
  <c r="J193" i="19"/>
  <c r="J70" i="19"/>
  <c r="K70" i="19" s="1"/>
  <c r="J28" i="19"/>
  <c r="K28" i="19" s="1"/>
  <c r="J265" i="19"/>
  <c r="J266" i="19"/>
  <c r="J275" i="19"/>
  <c r="J262" i="19"/>
  <c r="K262" i="19" s="1"/>
  <c r="J323" i="19"/>
  <c r="J249" i="19"/>
  <c r="K249" i="19" s="1"/>
  <c r="K247" i="19"/>
  <c r="K122" i="19"/>
  <c r="J14" i="19"/>
  <c r="K14" i="19" s="1"/>
  <c r="J256" i="19"/>
  <c r="K256" i="19" s="1"/>
  <c r="J327" i="19"/>
  <c r="J271" i="19"/>
  <c r="J173" i="19"/>
  <c r="K173" i="19" s="1"/>
  <c r="J178" i="19"/>
  <c r="K178" i="19" s="1"/>
  <c r="J164" i="19"/>
  <c r="K164" i="19" s="1"/>
  <c r="J136" i="19"/>
  <c r="K136" i="19" s="1"/>
  <c r="K101" i="19"/>
  <c r="J96" i="19"/>
  <c r="K96" i="19" s="1"/>
  <c r="J89" i="19"/>
  <c r="K89" i="19" s="1"/>
  <c r="J20" i="19"/>
  <c r="K20" i="19" s="1"/>
  <c r="J72" i="19"/>
  <c r="K72" i="19" s="1"/>
  <c r="J258" i="19"/>
  <c r="K258" i="19" s="1"/>
  <c r="J267" i="19"/>
  <c r="J244" i="19"/>
  <c r="K244" i="19" s="1"/>
  <c r="J223" i="19"/>
  <c r="K223" i="19" s="1"/>
  <c r="J199" i="19"/>
  <c r="K199" i="19" s="1"/>
  <c r="J161" i="19"/>
  <c r="K161" i="19" s="1"/>
  <c r="J219" i="19"/>
  <c r="K219" i="19" s="1"/>
  <c r="J166" i="19"/>
  <c r="K166" i="19" s="1"/>
  <c r="J169" i="19"/>
  <c r="K169" i="19" s="1"/>
  <c r="J152" i="19"/>
  <c r="K152" i="19" s="1"/>
  <c r="J157" i="19"/>
  <c r="K157" i="19" s="1"/>
  <c r="J204" i="19"/>
  <c r="K204" i="19" s="1"/>
  <c r="J121" i="19"/>
  <c r="K121" i="19" s="1"/>
  <c r="J99" i="19"/>
  <c r="K99" i="19" s="1"/>
  <c r="J91" i="19"/>
  <c r="K91" i="19" s="1"/>
  <c r="J10" i="19"/>
  <c r="K10" i="19" s="1"/>
  <c r="J314" i="19"/>
  <c r="J253" i="19"/>
  <c r="J187" i="19"/>
  <c r="K187" i="19" s="1"/>
  <c r="H329" i="19"/>
  <c r="J159" i="19"/>
  <c r="K159" i="19" s="1"/>
  <c r="J188" i="19"/>
  <c r="K188" i="19" s="1"/>
  <c r="J74" i="19"/>
  <c r="K74" i="19" s="1"/>
  <c r="J326" i="19"/>
  <c r="J310" i="19"/>
  <c r="J318" i="19"/>
  <c r="J242" i="19"/>
  <c r="J220" i="19"/>
  <c r="K220" i="19" s="1"/>
  <c r="J151" i="19"/>
  <c r="J117" i="19"/>
  <c r="K117" i="19" s="1"/>
  <c r="J93" i="19"/>
  <c r="K93" i="19" s="1"/>
  <c r="J40" i="19"/>
  <c r="J24" i="19"/>
  <c r="K24" i="19" s="1"/>
  <c r="J8" i="19"/>
  <c r="K8" i="19" s="1"/>
  <c r="J305" i="19"/>
  <c r="J306" i="19"/>
  <c r="J315" i="19"/>
  <c r="J243" i="19"/>
  <c r="K243" i="19" s="1"/>
  <c r="J145" i="19"/>
  <c r="K145" i="19" s="1"/>
  <c r="J167" i="19"/>
  <c r="K167" i="19" s="1"/>
  <c r="J131" i="19"/>
  <c r="K131" i="19" s="1"/>
  <c r="J137" i="19"/>
  <c r="K137" i="19" s="1"/>
  <c r="J118" i="19"/>
  <c r="K118" i="19" s="1"/>
  <c r="J41" i="19"/>
  <c r="K41" i="19" s="1"/>
  <c r="J92" i="19"/>
  <c r="K92" i="19" s="1"/>
  <c r="J77" i="19"/>
  <c r="K77" i="19" s="1"/>
  <c r="J31" i="19"/>
  <c r="K31" i="19" s="1"/>
  <c r="J76" i="19"/>
  <c r="K76" i="19" s="1"/>
  <c r="J25" i="19"/>
  <c r="K25" i="19" s="1"/>
  <c r="J301" i="19"/>
  <c r="J302" i="19"/>
  <c r="J311" i="19"/>
  <c r="J239" i="19"/>
  <c r="K239" i="19" s="1"/>
  <c r="J139" i="19"/>
  <c r="J202" i="19"/>
  <c r="J141" i="19"/>
  <c r="K141" i="19" s="1"/>
  <c r="J113" i="19"/>
  <c r="J46" i="19"/>
  <c r="K46" i="19" s="1"/>
  <c r="J90" i="19"/>
  <c r="K90" i="19" s="1"/>
  <c r="J50" i="19"/>
  <c r="K50" i="19" s="1"/>
  <c r="J297" i="19"/>
  <c r="J298" i="19"/>
  <c r="J307" i="19"/>
  <c r="J217" i="19"/>
  <c r="J115" i="19"/>
  <c r="J168" i="19"/>
  <c r="K168" i="19" s="1"/>
  <c r="J110" i="19"/>
  <c r="K110" i="19" s="1"/>
  <c r="J142" i="19"/>
  <c r="K142" i="19" s="1"/>
  <c r="J135" i="19"/>
  <c r="J120" i="19"/>
  <c r="K120" i="19" s="1"/>
  <c r="J52" i="19"/>
  <c r="K52" i="19" s="1"/>
  <c r="K71" i="19"/>
  <c r="J45" i="19"/>
  <c r="K45" i="19" s="1"/>
  <c r="J293" i="19"/>
  <c r="J294" i="19"/>
  <c r="J303" i="19"/>
  <c r="J230" i="19"/>
  <c r="K230" i="19" s="1"/>
  <c r="J234" i="19"/>
  <c r="K234" i="19" s="1"/>
  <c r="K236" i="19"/>
  <c r="J225" i="19"/>
  <c r="K225" i="19" s="1"/>
  <c r="J107" i="19"/>
  <c r="K107" i="19" s="1"/>
  <c r="J172" i="19"/>
  <c r="K172" i="19" s="1"/>
  <c r="J162" i="19"/>
  <c r="K162" i="19" s="1"/>
  <c r="J183" i="19"/>
  <c r="K183" i="19" s="1"/>
  <c r="J104" i="19"/>
  <c r="J49" i="19"/>
  <c r="K49" i="19" s="1"/>
  <c r="J32" i="19"/>
  <c r="K32" i="19" s="1"/>
  <c r="G210" i="18"/>
  <c r="J210" i="18" s="1"/>
  <c r="I224" i="18"/>
  <c r="G211" i="18"/>
  <c r="J211" i="18" s="1"/>
  <c r="I214" i="18"/>
  <c r="D346" i="18"/>
  <c r="D348" i="18" s="1"/>
  <c r="G222" i="18"/>
  <c r="J222" i="18" s="1"/>
  <c r="I345" i="18"/>
  <c r="G216" i="18"/>
  <c r="J216" i="18" s="1"/>
  <c r="G235" i="18"/>
  <c r="J235" i="18" s="1"/>
  <c r="H280" i="18"/>
  <c r="I280" i="18"/>
  <c r="J19" i="18"/>
  <c r="J237" i="18"/>
  <c r="J144" i="18"/>
  <c r="J32" i="18"/>
  <c r="J84" i="18"/>
  <c r="J133" i="18"/>
  <c r="J165" i="18"/>
  <c r="J99" i="18"/>
  <c r="J250" i="18"/>
  <c r="J53" i="18"/>
  <c r="J167" i="18"/>
  <c r="J8" i="18"/>
  <c r="J68" i="18"/>
  <c r="J185" i="18"/>
  <c r="J5" i="18"/>
  <c r="J76" i="18"/>
  <c r="J103" i="18"/>
  <c r="J129" i="18"/>
  <c r="J192" i="18"/>
  <c r="J35" i="18"/>
  <c r="I219" i="18"/>
  <c r="G219" i="18"/>
  <c r="J42" i="18"/>
  <c r="J52" i="18"/>
  <c r="J106" i="18"/>
  <c r="J163" i="18"/>
  <c r="I217" i="18"/>
  <c r="J309" i="18"/>
  <c r="J304" i="18"/>
  <c r="J171" i="18"/>
  <c r="J36" i="18"/>
  <c r="J74" i="18"/>
  <c r="J138" i="18"/>
  <c r="J152" i="18"/>
  <c r="G220" i="18"/>
  <c r="I220" i="18"/>
  <c r="J81" i="18"/>
  <c r="J213" i="18"/>
  <c r="J61" i="18"/>
  <c r="J115" i="18"/>
  <c r="J173" i="18"/>
  <c r="J252" i="18"/>
  <c r="J65" i="18"/>
  <c r="J75" i="18"/>
  <c r="J118" i="18"/>
  <c r="J39" i="18"/>
  <c r="J58" i="18"/>
  <c r="J127" i="18"/>
  <c r="J141" i="18"/>
  <c r="J217" i="18"/>
  <c r="J245" i="18"/>
  <c r="J285" i="18"/>
  <c r="J288" i="18"/>
  <c r="J153" i="18"/>
  <c r="J73" i="18"/>
  <c r="J143" i="18"/>
  <c r="I332" i="18"/>
  <c r="J98" i="18"/>
  <c r="J132" i="18"/>
  <c r="J91" i="18"/>
  <c r="J111" i="18"/>
  <c r="J60" i="18"/>
  <c r="J274" i="18"/>
  <c r="J256" i="18"/>
  <c r="H332" i="18"/>
  <c r="J57" i="18"/>
  <c r="J64" i="18"/>
  <c r="J88" i="18"/>
  <c r="H345" i="18"/>
  <c r="J177" i="18"/>
  <c r="J197" i="18"/>
  <c r="J281" i="18"/>
  <c r="J344" i="18"/>
  <c r="J191" i="18"/>
  <c r="J195" i="18"/>
  <c r="J203" i="18"/>
  <c r="J212" i="18"/>
  <c r="J240" i="18"/>
  <c r="J124" i="18"/>
  <c r="I225" i="18"/>
  <c r="G225" i="18"/>
  <c r="J227" i="18"/>
  <c r="I221" i="18"/>
  <c r="I258" i="18"/>
  <c r="J326" i="18"/>
  <c r="J105" i="18"/>
  <c r="J221" i="18"/>
  <c r="J233" i="18"/>
  <c r="J258" i="18"/>
  <c r="J145" i="18"/>
  <c r="J290" i="18"/>
  <c r="T346" i="18"/>
  <c r="J82" i="18"/>
  <c r="J147" i="18"/>
  <c r="J230" i="18"/>
  <c r="I233" i="18"/>
  <c r="J254" i="18"/>
  <c r="J264" i="18"/>
  <c r="J322" i="18"/>
  <c r="J209" i="18"/>
  <c r="J236" i="18"/>
  <c r="J291" i="18"/>
  <c r="J157" i="18"/>
  <c r="J242" i="18"/>
  <c r="J260" i="18"/>
  <c r="J279" i="18"/>
  <c r="J255" i="18"/>
  <c r="J266" i="18"/>
  <c r="J300" i="18"/>
  <c r="J325" i="18"/>
  <c r="J101" i="18"/>
  <c r="J181" i="18"/>
  <c r="G223" i="18"/>
  <c r="J248" i="18"/>
  <c r="J294" i="18"/>
  <c r="J310" i="18"/>
  <c r="J323" i="18"/>
  <c r="J340" i="18"/>
  <c r="J226" i="18"/>
  <c r="J306" i="18"/>
  <c r="J231" i="18"/>
  <c r="J293" i="18"/>
  <c r="J335" i="18"/>
  <c r="J341" i="18"/>
  <c r="J232" i="18"/>
  <c r="J337" i="18"/>
  <c r="J205" i="18"/>
  <c r="J251" i="18"/>
  <c r="J278" i="18"/>
  <c r="J287" i="18"/>
  <c r="J303" i="18"/>
  <c r="J319" i="18"/>
  <c r="J334" i="18"/>
  <c r="J331" i="18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82" i="7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4" i="14"/>
  <c r="P45" i="14"/>
  <c r="P46" i="14"/>
  <c r="P47" i="14"/>
  <c r="P48" i="14"/>
  <c r="P49" i="14"/>
  <c r="P50" i="14"/>
  <c r="P52" i="14"/>
  <c r="P53" i="14"/>
  <c r="P54" i="14"/>
  <c r="P55" i="14"/>
  <c r="P56" i="14"/>
  <c r="P57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72" i="14"/>
  <c r="P73" i="14"/>
  <c r="P74" i="14"/>
  <c r="P75" i="14"/>
  <c r="P76" i="14"/>
  <c r="P77" i="14"/>
  <c r="P79" i="14"/>
  <c r="P80" i="14"/>
  <c r="P81" i="14"/>
  <c r="P83" i="14"/>
  <c r="P84" i="14"/>
  <c r="P85" i="14"/>
  <c r="P87" i="14"/>
  <c r="P88" i="14"/>
  <c r="P89" i="14"/>
  <c r="P90" i="14"/>
  <c r="P91" i="14"/>
  <c r="P92" i="14"/>
  <c r="P94" i="14"/>
  <c r="P95" i="14"/>
  <c r="P96" i="14"/>
  <c r="P97" i="14"/>
  <c r="P98" i="14"/>
  <c r="P99" i="14"/>
  <c r="P101" i="14"/>
  <c r="P102" i="14"/>
  <c r="P103" i="14"/>
  <c r="P104" i="14"/>
  <c r="P105" i="14"/>
  <c r="P106" i="14"/>
  <c r="P107" i="14"/>
  <c r="P108" i="14"/>
  <c r="P109" i="14"/>
  <c r="P111" i="14"/>
  <c r="P112" i="14"/>
  <c r="P113" i="14"/>
  <c r="P114" i="14"/>
  <c r="P115" i="14"/>
  <c r="P116" i="14"/>
  <c r="P117" i="14"/>
  <c r="P118" i="14"/>
  <c r="P119" i="14"/>
  <c r="P120" i="14"/>
  <c r="P122" i="14"/>
  <c r="P123" i="14"/>
  <c r="P124" i="14"/>
  <c r="P126" i="14"/>
  <c r="P127" i="14"/>
  <c r="P128" i="14"/>
  <c r="P129" i="14"/>
  <c r="P130" i="14"/>
  <c r="P131" i="14"/>
  <c r="P132" i="14"/>
  <c r="P133" i="14"/>
  <c r="P135" i="14"/>
  <c r="P137" i="14"/>
  <c r="P138" i="14"/>
  <c r="P139" i="14"/>
  <c r="P140" i="14"/>
  <c r="P141" i="14"/>
  <c r="P142" i="14"/>
  <c r="P143" i="14"/>
  <c r="P144" i="14"/>
  <c r="P145" i="14"/>
  <c r="P146" i="14"/>
  <c r="P148" i="14"/>
  <c r="P149" i="14"/>
  <c r="P150" i="14"/>
  <c r="P151" i="14"/>
  <c r="P153" i="14"/>
  <c r="P154" i="14"/>
  <c r="P155" i="14"/>
  <c r="P156" i="14"/>
  <c r="P157" i="14"/>
  <c r="P158" i="14"/>
  <c r="P159" i="14"/>
  <c r="P161" i="14"/>
  <c r="P162" i="14"/>
  <c r="P163" i="14"/>
  <c r="P164" i="14"/>
  <c r="P165" i="14"/>
  <c r="P167" i="14"/>
  <c r="P168" i="14"/>
  <c r="P169" i="14"/>
  <c r="P170" i="14"/>
  <c r="P171" i="14"/>
  <c r="P172" i="14"/>
  <c r="P173" i="14"/>
  <c r="P174" i="14"/>
  <c r="P175" i="14"/>
  <c r="P176" i="14"/>
  <c r="P177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2" i="14"/>
  <c r="P223" i="14"/>
  <c r="P224" i="14"/>
  <c r="P225" i="14"/>
  <c r="P226" i="14"/>
  <c r="P227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5" i="14"/>
  <c r="P246" i="14"/>
  <c r="P247" i="14"/>
  <c r="P248" i="14"/>
  <c r="P250" i="14"/>
  <c r="P251" i="14"/>
  <c r="P252" i="14"/>
  <c r="P253" i="14"/>
  <c r="P254" i="14"/>
  <c r="P255" i="14"/>
  <c r="P256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2" i="14"/>
  <c r="P273" i="14"/>
  <c r="P274" i="14"/>
  <c r="P275" i="14"/>
  <c r="P276" i="14"/>
  <c r="P278" i="14"/>
  <c r="P279" i="14"/>
  <c r="P280" i="14"/>
  <c r="P281" i="14"/>
  <c r="P283" i="14"/>
  <c r="P284" i="14"/>
  <c r="P285" i="14"/>
  <c r="P286" i="14"/>
  <c r="P287" i="14"/>
  <c r="P288" i="14"/>
  <c r="P290" i="14"/>
  <c r="P291" i="14"/>
  <c r="P292" i="14"/>
  <c r="P293" i="14"/>
  <c r="P294" i="14"/>
  <c r="P295" i="14"/>
  <c r="P296" i="14"/>
  <c r="P297" i="14"/>
  <c r="P298" i="14"/>
  <c r="P299" i="14"/>
  <c r="P300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P322" i="14"/>
  <c r="P323" i="14"/>
  <c r="P324" i="14"/>
  <c r="P325" i="14"/>
  <c r="P326" i="14"/>
  <c r="P327" i="14"/>
  <c r="P328" i="14"/>
  <c r="P329" i="14"/>
  <c r="P330" i="14"/>
  <c r="P331" i="14"/>
  <c r="P332" i="14"/>
  <c r="P333" i="14"/>
  <c r="P334" i="14"/>
  <c r="P335" i="14"/>
  <c r="P336" i="14"/>
  <c r="P337" i="14"/>
  <c r="P338" i="14"/>
  <c r="P339" i="14"/>
  <c r="P340" i="14"/>
  <c r="P341" i="14"/>
  <c r="P342" i="14"/>
  <c r="P343" i="14"/>
  <c r="P344" i="14"/>
  <c r="P345" i="14"/>
  <c r="P346" i="14"/>
  <c r="P347" i="14"/>
  <c r="P348" i="14"/>
  <c r="P349" i="14"/>
  <c r="P350" i="14"/>
  <c r="P351" i="14"/>
  <c r="P353" i="14"/>
  <c r="P354" i="14"/>
  <c r="P355" i="14"/>
  <c r="P356" i="14"/>
  <c r="P357" i="14"/>
  <c r="P358" i="14"/>
  <c r="P359" i="14"/>
  <c r="P360" i="14"/>
  <c r="P361" i="14"/>
  <c r="P362" i="14"/>
  <c r="P363" i="14"/>
  <c r="P364" i="14"/>
  <c r="P365" i="14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53" i="7"/>
  <c r="V332" i="18" l="1"/>
  <c r="V345" i="18"/>
  <c r="K151" i="19"/>
  <c r="K333" i="19"/>
  <c r="H331" i="19"/>
  <c r="K193" i="19"/>
  <c r="K222" i="19"/>
  <c r="K115" i="19"/>
  <c r="K88" i="19"/>
  <c r="K113" i="19"/>
  <c r="K242" i="19"/>
  <c r="N242" i="19" s="1"/>
  <c r="O242" i="19" s="1"/>
  <c r="N317" i="19"/>
  <c r="O317" i="19" s="1"/>
  <c r="N314" i="19"/>
  <c r="O314" i="19" s="1"/>
  <c r="U314" i="19" s="1"/>
  <c r="N310" i="19"/>
  <c r="O310" i="19" s="1"/>
  <c r="U310" i="19" s="1"/>
  <c r="N306" i="19"/>
  <c r="O306" i="19" s="1"/>
  <c r="U306" i="19" s="1"/>
  <c r="N302" i="19"/>
  <c r="O302" i="19" s="1"/>
  <c r="U302" i="19" s="1"/>
  <c r="N298" i="19"/>
  <c r="O298" i="19" s="1"/>
  <c r="U298" i="19" s="1"/>
  <c r="N294" i="19"/>
  <c r="O294" i="19" s="1"/>
  <c r="U294" i="19" s="1"/>
  <c r="N290" i="19"/>
  <c r="O290" i="19" s="1"/>
  <c r="U290" i="19" s="1"/>
  <c r="N286" i="19"/>
  <c r="O286" i="19" s="1"/>
  <c r="U286" i="19" s="1"/>
  <c r="N282" i="19"/>
  <c r="O282" i="19" s="1"/>
  <c r="U282" i="19" s="1"/>
  <c r="N278" i="19"/>
  <c r="O278" i="19" s="1"/>
  <c r="U278" i="19" s="1"/>
  <c r="N274" i="19"/>
  <c r="O274" i="19" s="1"/>
  <c r="U274" i="19" s="1"/>
  <c r="N270" i="19"/>
  <c r="O270" i="19" s="1"/>
  <c r="U270" i="19" s="1"/>
  <c r="N266" i="19"/>
  <c r="O266" i="19" s="1"/>
  <c r="U266" i="19" s="1"/>
  <c r="N241" i="19"/>
  <c r="O241" i="19" s="1"/>
  <c r="U241" i="19" s="1"/>
  <c r="N327" i="19"/>
  <c r="O327" i="19" s="1"/>
  <c r="U327" i="19" s="1"/>
  <c r="N259" i="19"/>
  <c r="O259" i="19" s="1"/>
  <c r="U259" i="19" s="1"/>
  <c r="N321" i="19"/>
  <c r="O321" i="19" s="1"/>
  <c r="U321" i="19" s="1"/>
  <c r="N315" i="19"/>
  <c r="O315" i="19" s="1"/>
  <c r="U315" i="19" s="1"/>
  <c r="N311" i="19"/>
  <c r="O311" i="19" s="1"/>
  <c r="U311" i="19" s="1"/>
  <c r="N307" i="19"/>
  <c r="O307" i="19" s="1"/>
  <c r="U307" i="19" s="1"/>
  <c r="N303" i="19"/>
  <c r="O303" i="19" s="1"/>
  <c r="U303" i="19" s="1"/>
  <c r="N299" i="19"/>
  <c r="O299" i="19" s="1"/>
  <c r="U299" i="19" s="1"/>
  <c r="N295" i="19"/>
  <c r="O295" i="19" s="1"/>
  <c r="U295" i="19" s="1"/>
  <c r="N291" i="19"/>
  <c r="O291" i="19" s="1"/>
  <c r="U291" i="19" s="1"/>
  <c r="N287" i="19"/>
  <c r="O287" i="19" s="1"/>
  <c r="U287" i="19" s="1"/>
  <c r="N283" i="19"/>
  <c r="O283" i="19" s="1"/>
  <c r="U283" i="19" s="1"/>
  <c r="N279" i="19"/>
  <c r="O279" i="19" s="1"/>
  <c r="U279" i="19" s="1"/>
  <c r="N275" i="19"/>
  <c r="O275" i="19" s="1"/>
  <c r="U275" i="19" s="1"/>
  <c r="N271" i="19"/>
  <c r="O271" i="19" s="1"/>
  <c r="U271" i="19" s="1"/>
  <c r="N267" i="19"/>
  <c r="O267" i="19" s="1"/>
  <c r="U267" i="19" s="1"/>
  <c r="N318" i="19"/>
  <c r="O318" i="19" s="1"/>
  <c r="U318" i="19" s="1"/>
  <c r="N325" i="19"/>
  <c r="O325" i="19" s="1"/>
  <c r="U325" i="19" s="1"/>
  <c r="N312" i="19"/>
  <c r="O312" i="19" s="1"/>
  <c r="U312" i="19" s="1"/>
  <c r="N308" i="19"/>
  <c r="O308" i="19" s="1"/>
  <c r="U308" i="19" s="1"/>
  <c r="N304" i="19"/>
  <c r="O304" i="19" s="1"/>
  <c r="U304" i="19" s="1"/>
  <c r="N300" i="19"/>
  <c r="O300" i="19" s="1"/>
  <c r="U300" i="19" s="1"/>
  <c r="N296" i="19"/>
  <c r="O296" i="19" s="1"/>
  <c r="U296" i="19" s="1"/>
  <c r="N292" i="19"/>
  <c r="O292" i="19" s="1"/>
  <c r="U292" i="19" s="1"/>
  <c r="N288" i="19"/>
  <c r="O288" i="19" s="1"/>
  <c r="U288" i="19" s="1"/>
  <c r="N284" i="19"/>
  <c r="O284" i="19" s="1"/>
  <c r="U284" i="19" s="1"/>
  <c r="N280" i="19"/>
  <c r="O280" i="19" s="1"/>
  <c r="U280" i="19" s="1"/>
  <c r="N276" i="19"/>
  <c r="O276" i="19" s="1"/>
  <c r="U276" i="19" s="1"/>
  <c r="N272" i="19"/>
  <c r="O272" i="19" s="1"/>
  <c r="U272" i="19" s="1"/>
  <c r="N268" i="19"/>
  <c r="O268" i="19" s="1"/>
  <c r="U268" i="19" s="1"/>
  <c r="N322" i="19"/>
  <c r="O322" i="19" s="1"/>
  <c r="U322" i="19" s="1"/>
  <c r="N319" i="19"/>
  <c r="O319" i="19" s="1"/>
  <c r="U319" i="19" s="1"/>
  <c r="N263" i="19"/>
  <c r="O263" i="19" s="1"/>
  <c r="U263" i="19" s="1"/>
  <c r="N255" i="19"/>
  <c r="O255" i="19" s="1"/>
  <c r="U255" i="19" s="1"/>
  <c r="N313" i="19"/>
  <c r="O313" i="19" s="1"/>
  <c r="U313" i="19" s="1"/>
  <c r="N309" i="19"/>
  <c r="O309" i="19" s="1"/>
  <c r="U309" i="19" s="1"/>
  <c r="N305" i="19"/>
  <c r="O305" i="19" s="1"/>
  <c r="U305" i="19" s="1"/>
  <c r="N301" i="19"/>
  <c r="O301" i="19" s="1"/>
  <c r="U301" i="19" s="1"/>
  <c r="N297" i="19"/>
  <c r="O297" i="19" s="1"/>
  <c r="U297" i="19" s="1"/>
  <c r="N293" i="19"/>
  <c r="O293" i="19" s="1"/>
  <c r="U293" i="19" s="1"/>
  <c r="N289" i="19"/>
  <c r="O289" i="19" s="1"/>
  <c r="U289" i="19" s="1"/>
  <c r="N285" i="19"/>
  <c r="O285" i="19" s="1"/>
  <c r="U285" i="19" s="1"/>
  <c r="N281" i="19"/>
  <c r="O281" i="19" s="1"/>
  <c r="U281" i="19" s="1"/>
  <c r="N277" i="19"/>
  <c r="O277" i="19" s="1"/>
  <c r="U277" i="19" s="1"/>
  <c r="N273" i="19"/>
  <c r="O273" i="19" s="1"/>
  <c r="U273" i="19" s="1"/>
  <c r="N269" i="19"/>
  <c r="O269" i="19" s="1"/>
  <c r="U269" i="19" s="1"/>
  <c r="N265" i="19"/>
  <c r="O265" i="19" s="1"/>
  <c r="N216" i="19"/>
  <c r="O216" i="19" s="1"/>
  <c r="U216" i="19" s="1"/>
  <c r="N326" i="19"/>
  <c r="O326" i="19" s="1"/>
  <c r="U326" i="19" s="1"/>
  <c r="N323" i="19"/>
  <c r="O323" i="19" s="1"/>
  <c r="U323" i="19" s="1"/>
  <c r="N240" i="19"/>
  <c r="O240" i="19" s="1"/>
  <c r="U240" i="19" s="1"/>
  <c r="N320" i="19"/>
  <c r="O320" i="19" s="1"/>
  <c r="U320" i="19" s="1"/>
  <c r="N238" i="19"/>
  <c r="O238" i="19" s="1"/>
  <c r="U238" i="19" s="1"/>
  <c r="N188" i="19"/>
  <c r="O188" i="19" s="1"/>
  <c r="U188" i="19" s="1"/>
  <c r="N227" i="19"/>
  <c r="O227" i="19" s="1"/>
  <c r="U227" i="19" s="1"/>
  <c r="N182" i="19"/>
  <c r="O182" i="19" s="1"/>
  <c r="U182" i="19" s="1"/>
  <c r="N324" i="19"/>
  <c r="O324" i="19" s="1"/>
  <c r="U324" i="19" s="1"/>
  <c r="N209" i="19"/>
  <c r="O209" i="19" s="1"/>
  <c r="U209" i="19" s="1"/>
  <c r="N203" i="19"/>
  <c r="O203" i="19" s="1"/>
  <c r="U203" i="19" s="1"/>
  <c r="N224" i="19"/>
  <c r="O224" i="19" s="1"/>
  <c r="U224" i="19" s="1"/>
  <c r="N251" i="19"/>
  <c r="O251" i="19" s="1"/>
  <c r="U251" i="19" s="1"/>
  <c r="N210" i="19"/>
  <c r="O210" i="19" s="1"/>
  <c r="U210" i="19" s="1"/>
  <c r="N190" i="19"/>
  <c r="O190" i="19" s="1"/>
  <c r="U190" i="19" s="1"/>
  <c r="N239" i="19"/>
  <c r="O239" i="19" s="1"/>
  <c r="U239" i="19" s="1"/>
  <c r="N231" i="19"/>
  <c r="O231" i="19" s="1"/>
  <c r="U231" i="19" s="1"/>
  <c r="N184" i="19"/>
  <c r="O184" i="19" s="1"/>
  <c r="U184" i="19" s="1"/>
  <c r="N170" i="19"/>
  <c r="O170" i="19" s="1"/>
  <c r="U170" i="19" s="1"/>
  <c r="N163" i="19"/>
  <c r="O163" i="19" s="1"/>
  <c r="U163" i="19" s="1"/>
  <c r="N235" i="19"/>
  <c r="O235" i="19" s="1"/>
  <c r="U235" i="19" s="1"/>
  <c r="N211" i="19"/>
  <c r="O211" i="19" s="1"/>
  <c r="U211" i="19" s="1"/>
  <c r="N178" i="19"/>
  <c r="O178" i="19" s="1"/>
  <c r="U178" i="19" s="1"/>
  <c r="N229" i="19"/>
  <c r="O229" i="19" s="1"/>
  <c r="U229" i="19" s="1"/>
  <c r="N200" i="19"/>
  <c r="O200" i="19" s="1"/>
  <c r="N196" i="19"/>
  <c r="O196" i="19" s="1"/>
  <c r="U196" i="19" s="1"/>
  <c r="N192" i="19"/>
  <c r="O192" i="19" s="1"/>
  <c r="U192" i="19" s="1"/>
  <c r="N207" i="19"/>
  <c r="O207" i="19" s="1"/>
  <c r="U207" i="19" s="1"/>
  <c r="N201" i="19"/>
  <c r="O201" i="19" s="1"/>
  <c r="U201" i="19" s="1"/>
  <c r="N244" i="19"/>
  <c r="O244" i="19" s="1"/>
  <c r="U244" i="19" s="1"/>
  <c r="N233" i="19"/>
  <c r="O233" i="19" s="1"/>
  <c r="U233" i="19" s="1"/>
  <c r="N212" i="19"/>
  <c r="O212" i="19" s="1"/>
  <c r="U212" i="19" s="1"/>
  <c r="N246" i="19"/>
  <c r="O246" i="19" s="1"/>
  <c r="U246" i="19" s="1"/>
  <c r="N223" i="19"/>
  <c r="O223" i="19" s="1"/>
  <c r="U223" i="19" s="1"/>
  <c r="N214" i="19"/>
  <c r="O214" i="19" s="1"/>
  <c r="U214" i="19" s="1"/>
  <c r="N205" i="19"/>
  <c r="O205" i="19" s="1"/>
  <c r="U205" i="19" s="1"/>
  <c r="N160" i="19"/>
  <c r="O160" i="19" s="1"/>
  <c r="U160" i="19" s="1"/>
  <c r="N141" i="19"/>
  <c r="O141" i="19" s="1"/>
  <c r="U141" i="19" s="1"/>
  <c r="N176" i="19"/>
  <c r="O176" i="19" s="1"/>
  <c r="U176" i="19" s="1"/>
  <c r="N167" i="19"/>
  <c r="O167" i="19" s="1"/>
  <c r="U167" i="19" s="1"/>
  <c r="N153" i="19"/>
  <c r="O153" i="19" s="1"/>
  <c r="U153" i="19" s="1"/>
  <c r="N174" i="19"/>
  <c r="O174" i="19" s="1"/>
  <c r="U174" i="19" s="1"/>
  <c r="N164" i="19"/>
  <c r="O164" i="19" s="1"/>
  <c r="U164" i="19" s="1"/>
  <c r="N191" i="19"/>
  <c r="O191" i="19" s="1"/>
  <c r="U191" i="19" s="1"/>
  <c r="N215" i="19"/>
  <c r="O215" i="19" s="1"/>
  <c r="U215" i="19" s="1"/>
  <c r="N186" i="19"/>
  <c r="O186" i="19" s="1"/>
  <c r="U186" i="19" s="1"/>
  <c r="N177" i="19"/>
  <c r="O177" i="19" s="1"/>
  <c r="U177" i="19" s="1"/>
  <c r="N154" i="19"/>
  <c r="O154" i="19" s="1"/>
  <c r="U154" i="19" s="1"/>
  <c r="N87" i="19"/>
  <c r="O87" i="19" s="1"/>
  <c r="U87" i="19" s="1"/>
  <c r="N83" i="19"/>
  <c r="O83" i="19" s="1"/>
  <c r="U83" i="19" s="1"/>
  <c r="N158" i="19"/>
  <c r="O158" i="19" s="1"/>
  <c r="U158" i="19" s="1"/>
  <c r="N206" i="19"/>
  <c r="O206" i="19" s="1"/>
  <c r="U206" i="19" s="1"/>
  <c r="N168" i="19"/>
  <c r="O168" i="19" s="1"/>
  <c r="U168" i="19" s="1"/>
  <c r="N165" i="19"/>
  <c r="O165" i="19" s="1"/>
  <c r="U165" i="19" s="1"/>
  <c r="N144" i="19"/>
  <c r="O144" i="19" s="1"/>
  <c r="U144" i="19" s="1"/>
  <c r="N254" i="19"/>
  <c r="O254" i="19" s="1"/>
  <c r="U254" i="19" s="1"/>
  <c r="N237" i="19"/>
  <c r="O237" i="19" s="1"/>
  <c r="U237" i="19" s="1"/>
  <c r="N140" i="19"/>
  <c r="O140" i="19" s="1"/>
  <c r="U140" i="19" s="1"/>
  <c r="N120" i="19"/>
  <c r="O120" i="19" s="1"/>
  <c r="U120" i="19" s="1"/>
  <c r="N117" i="19"/>
  <c r="O117" i="19" s="1"/>
  <c r="U117" i="19" s="1"/>
  <c r="N146" i="19"/>
  <c r="O146" i="19" s="1"/>
  <c r="U146" i="19" s="1"/>
  <c r="N114" i="19"/>
  <c r="O114" i="19" s="1"/>
  <c r="N152" i="19"/>
  <c r="O152" i="19" s="1"/>
  <c r="U152" i="19" s="1"/>
  <c r="N129" i="19"/>
  <c r="O129" i="19" s="1"/>
  <c r="U129" i="19" s="1"/>
  <c r="N78" i="19"/>
  <c r="O78" i="19" s="1"/>
  <c r="N26" i="19"/>
  <c r="O26" i="19" s="1"/>
  <c r="U26" i="19" s="1"/>
  <c r="N156" i="19"/>
  <c r="O156" i="19" s="1"/>
  <c r="U156" i="19" s="1"/>
  <c r="N175" i="19"/>
  <c r="O175" i="19" s="1"/>
  <c r="U175" i="19" s="1"/>
  <c r="N105" i="19"/>
  <c r="O105" i="19" s="1"/>
  <c r="U105" i="19" s="1"/>
  <c r="N134" i="19"/>
  <c r="O134" i="19" s="1"/>
  <c r="N126" i="19"/>
  <c r="O126" i="19" s="1"/>
  <c r="U126" i="19" s="1"/>
  <c r="N116" i="19"/>
  <c r="O116" i="19" s="1"/>
  <c r="U116" i="19" s="1"/>
  <c r="N131" i="19"/>
  <c r="O131" i="19" s="1"/>
  <c r="U131" i="19" s="1"/>
  <c r="N155" i="19"/>
  <c r="O155" i="19" s="1"/>
  <c r="U155" i="19" s="1"/>
  <c r="N149" i="19"/>
  <c r="O149" i="19" s="1"/>
  <c r="U149" i="19" s="1"/>
  <c r="N81" i="19"/>
  <c r="O81" i="19" s="1"/>
  <c r="U81" i="19" s="1"/>
  <c r="N34" i="19"/>
  <c r="O34" i="19" s="1"/>
  <c r="N108" i="19"/>
  <c r="O108" i="19" s="1"/>
  <c r="U108" i="19" s="1"/>
  <c r="N84" i="19"/>
  <c r="O84" i="19" s="1"/>
  <c r="U84" i="19" s="1"/>
  <c r="N58" i="19"/>
  <c r="O58" i="19" s="1"/>
  <c r="U58" i="19" s="1"/>
  <c r="N96" i="19"/>
  <c r="O96" i="19" s="1"/>
  <c r="U96" i="19" s="1"/>
  <c r="N63" i="19"/>
  <c r="O63" i="19" s="1"/>
  <c r="N61" i="19"/>
  <c r="O61" i="19" s="1"/>
  <c r="U61" i="19" s="1"/>
  <c r="N35" i="19"/>
  <c r="O35" i="19" s="1"/>
  <c r="U35" i="19" s="1"/>
  <c r="N28" i="19"/>
  <c r="O28" i="19" s="1"/>
  <c r="U28" i="19" s="1"/>
  <c r="N103" i="19"/>
  <c r="O103" i="19" s="1"/>
  <c r="U103" i="19" s="1"/>
  <c r="N94" i="19"/>
  <c r="O94" i="19" s="1"/>
  <c r="U94" i="19" s="1"/>
  <c r="N66" i="19"/>
  <c r="O66" i="19" s="1"/>
  <c r="N54" i="19"/>
  <c r="O54" i="19" s="1"/>
  <c r="U54" i="19" s="1"/>
  <c r="N85" i="19"/>
  <c r="O85" i="19" s="1"/>
  <c r="U85" i="19" s="1"/>
  <c r="N64" i="19"/>
  <c r="O64" i="19" s="1"/>
  <c r="U64" i="19" s="1"/>
  <c r="N62" i="19"/>
  <c r="O62" i="19" s="1"/>
  <c r="U62" i="19" s="1"/>
  <c r="N38" i="19"/>
  <c r="O38" i="19" s="1"/>
  <c r="N19" i="19"/>
  <c r="O19" i="19" s="1"/>
  <c r="U19" i="19" s="1"/>
  <c r="N50" i="19"/>
  <c r="O50" i="19" s="1"/>
  <c r="U50" i="19" s="1"/>
  <c r="N36" i="19"/>
  <c r="O36" i="19" s="1"/>
  <c r="U36" i="19" s="1"/>
  <c r="N80" i="19"/>
  <c r="O80" i="19" s="1"/>
  <c r="U80" i="19" s="1"/>
  <c r="N65" i="19"/>
  <c r="O65" i="19" s="1"/>
  <c r="U65" i="19" s="1"/>
  <c r="N30" i="19"/>
  <c r="O30" i="19" s="1"/>
  <c r="U30" i="19" s="1"/>
  <c r="N39" i="19"/>
  <c r="O39" i="19" s="1"/>
  <c r="U39" i="19" s="1"/>
  <c r="N67" i="19"/>
  <c r="O67" i="19" s="1"/>
  <c r="U67" i="19" s="1"/>
  <c r="N55" i="19"/>
  <c r="O55" i="19" s="1"/>
  <c r="U55" i="19" s="1"/>
  <c r="N76" i="19"/>
  <c r="O76" i="19" s="1"/>
  <c r="U76" i="19" s="1"/>
  <c r="N9" i="19"/>
  <c r="O9" i="19" s="1"/>
  <c r="U9" i="19" s="1"/>
  <c r="N102" i="19"/>
  <c r="O102" i="19" s="1"/>
  <c r="U102" i="19" s="1"/>
  <c r="N95" i="19"/>
  <c r="O95" i="19" s="1"/>
  <c r="U95" i="19" s="1"/>
  <c r="N73" i="19"/>
  <c r="O73" i="19" s="1"/>
  <c r="U73" i="19" s="1"/>
  <c r="N106" i="19"/>
  <c r="O106" i="19" s="1"/>
  <c r="U106" i="19" s="1"/>
  <c r="N97" i="19"/>
  <c r="O97" i="19" s="1"/>
  <c r="U97" i="19" s="1"/>
  <c r="N86" i="19"/>
  <c r="O86" i="19" s="1"/>
  <c r="U86" i="19" s="1"/>
  <c r="N42" i="19"/>
  <c r="O42" i="19" s="1"/>
  <c r="N12" i="19"/>
  <c r="O12" i="19" s="1"/>
  <c r="U12" i="19" s="1"/>
  <c r="N29" i="19"/>
  <c r="O29" i="19" s="1"/>
  <c r="U29" i="19" s="1"/>
  <c r="N21" i="19"/>
  <c r="O21" i="19" s="1"/>
  <c r="U21" i="19" s="1"/>
  <c r="N51" i="19"/>
  <c r="O51" i="19" s="1"/>
  <c r="U51" i="19" s="1"/>
  <c r="N27" i="19"/>
  <c r="O27" i="19" s="1"/>
  <c r="U27" i="19" s="1"/>
  <c r="N16" i="19"/>
  <c r="O16" i="19" s="1"/>
  <c r="U16" i="19" s="1"/>
  <c r="N25" i="19"/>
  <c r="O25" i="19" s="1"/>
  <c r="U25" i="19" s="1"/>
  <c r="N22" i="19"/>
  <c r="O22" i="19" s="1"/>
  <c r="U22" i="19" s="1"/>
  <c r="N71" i="19"/>
  <c r="O71" i="19" s="1"/>
  <c r="N69" i="19"/>
  <c r="O69" i="19" s="1"/>
  <c r="U69" i="19" s="1"/>
  <c r="N6" i="19"/>
  <c r="O6" i="19" s="1"/>
  <c r="U6" i="19" s="1"/>
  <c r="N48" i="19"/>
  <c r="O48" i="19" s="1"/>
  <c r="U48" i="19" s="1"/>
  <c r="N7" i="19"/>
  <c r="O7" i="19" s="1"/>
  <c r="U7" i="19" s="1"/>
  <c r="N23" i="19"/>
  <c r="O23" i="19" s="1"/>
  <c r="U23" i="19" s="1"/>
  <c r="N17" i="19"/>
  <c r="O17" i="19" s="1"/>
  <c r="U17" i="19" s="1"/>
  <c r="N75" i="19"/>
  <c r="O75" i="19" s="1"/>
  <c r="U75" i="19" s="1"/>
  <c r="N10" i="19"/>
  <c r="O10" i="19" s="1"/>
  <c r="U10" i="19" s="1"/>
  <c r="N82" i="19"/>
  <c r="O82" i="19" s="1"/>
  <c r="U82" i="19" s="1"/>
  <c r="N57" i="19"/>
  <c r="O57" i="19" s="1"/>
  <c r="U57" i="19" s="1"/>
  <c r="N24" i="19"/>
  <c r="O24" i="19" s="1"/>
  <c r="U24" i="19" s="1"/>
  <c r="N5" i="19"/>
  <c r="O5" i="19" s="1"/>
  <c r="N45" i="19"/>
  <c r="O45" i="19" s="1"/>
  <c r="U45" i="19" s="1"/>
  <c r="N46" i="19"/>
  <c r="O46" i="19" s="1"/>
  <c r="U46" i="19" s="1"/>
  <c r="N121" i="19"/>
  <c r="O121" i="19" s="1"/>
  <c r="U121" i="19" s="1"/>
  <c r="N89" i="19"/>
  <c r="O89" i="19" s="1"/>
  <c r="U89" i="19" s="1"/>
  <c r="N124" i="19"/>
  <c r="O124" i="19" s="1"/>
  <c r="U124" i="19" s="1"/>
  <c r="N159" i="19"/>
  <c r="O159" i="19" s="1"/>
  <c r="U159" i="19" s="1"/>
  <c r="N161" i="19"/>
  <c r="O161" i="19" s="1"/>
  <c r="U161" i="19" s="1"/>
  <c r="N258" i="19"/>
  <c r="O258" i="19" s="1"/>
  <c r="U258" i="19" s="1"/>
  <c r="N43" i="19"/>
  <c r="O43" i="19" s="1"/>
  <c r="U43" i="19" s="1"/>
  <c r="N136" i="19"/>
  <c r="O136" i="19" s="1"/>
  <c r="U136" i="19" s="1"/>
  <c r="N138" i="19"/>
  <c r="O138" i="19" s="1"/>
  <c r="U138" i="19" s="1"/>
  <c r="N236" i="19"/>
  <c r="O236" i="19" s="1"/>
  <c r="N198" i="19"/>
  <c r="O198" i="19" s="1"/>
  <c r="U198" i="19" s="1"/>
  <c r="N248" i="19"/>
  <c r="O248" i="19" s="1"/>
  <c r="U248" i="19" s="1"/>
  <c r="N147" i="19"/>
  <c r="O147" i="19" s="1"/>
  <c r="U147" i="19" s="1"/>
  <c r="N119" i="19"/>
  <c r="O119" i="19" s="1"/>
  <c r="U119" i="19" s="1"/>
  <c r="N127" i="19"/>
  <c r="O127" i="19" s="1"/>
  <c r="N162" i="19"/>
  <c r="O162" i="19" s="1"/>
  <c r="U162" i="19" s="1"/>
  <c r="N132" i="19"/>
  <c r="O132" i="19" s="1"/>
  <c r="U132" i="19" s="1"/>
  <c r="N44" i="19"/>
  <c r="O44" i="19" s="1"/>
  <c r="U44" i="19" s="1"/>
  <c r="N243" i="19"/>
  <c r="O243" i="19" s="1"/>
  <c r="U243" i="19" s="1"/>
  <c r="N180" i="19"/>
  <c r="O180" i="19" s="1"/>
  <c r="U180" i="19" s="1"/>
  <c r="N112" i="19"/>
  <c r="O112" i="19" s="1"/>
  <c r="U112" i="19" s="1"/>
  <c r="N100" i="19"/>
  <c r="O100" i="19" s="1"/>
  <c r="U100" i="19" s="1"/>
  <c r="N77" i="19"/>
  <c r="O77" i="19" s="1"/>
  <c r="U77" i="19" s="1"/>
  <c r="N171" i="19"/>
  <c r="O171" i="19" s="1"/>
  <c r="U171" i="19" s="1"/>
  <c r="N204" i="19"/>
  <c r="O204" i="19" s="1"/>
  <c r="U204" i="19" s="1"/>
  <c r="N220" i="19"/>
  <c r="O220" i="19" s="1"/>
  <c r="U220" i="19" s="1"/>
  <c r="N157" i="19"/>
  <c r="O157" i="19" s="1"/>
  <c r="U157" i="19" s="1"/>
  <c r="N197" i="19"/>
  <c r="O197" i="19" s="1"/>
  <c r="U197" i="19" s="1"/>
  <c r="N70" i="19"/>
  <c r="O70" i="19" s="1"/>
  <c r="U70" i="19" s="1"/>
  <c r="N14" i="19"/>
  <c r="O14" i="19" s="1"/>
  <c r="U14" i="19" s="1"/>
  <c r="N125" i="19"/>
  <c r="O125" i="19" s="1"/>
  <c r="U125" i="19" s="1"/>
  <c r="N53" i="19"/>
  <c r="O53" i="19" s="1"/>
  <c r="U53" i="19" s="1"/>
  <c r="N133" i="19"/>
  <c r="O133" i="19" s="1"/>
  <c r="U133" i="19" s="1"/>
  <c r="N199" i="19"/>
  <c r="O199" i="19" s="1"/>
  <c r="U199" i="19" s="1"/>
  <c r="N249" i="19"/>
  <c r="O249" i="19" s="1"/>
  <c r="U249" i="19" s="1"/>
  <c r="N148" i="19"/>
  <c r="O148" i="19" s="1"/>
  <c r="U148" i="19" s="1"/>
  <c r="N150" i="19"/>
  <c r="O150" i="19" s="1"/>
  <c r="U150" i="19" s="1"/>
  <c r="N166" i="19"/>
  <c r="O166" i="19" s="1"/>
  <c r="U166" i="19" s="1"/>
  <c r="N183" i="19"/>
  <c r="O183" i="19" s="1"/>
  <c r="U183" i="19" s="1"/>
  <c r="N225" i="19"/>
  <c r="O225" i="19" s="1"/>
  <c r="U225" i="19" s="1"/>
  <c r="N262" i="19"/>
  <c r="O262" i="19" s="1"/>
  <c r="U262" i="19" s="1"/>
  <c r="N60" i="19"/>
  <c r="O60" i="19" s="1"/>
  <c r="N74" i="19"/>
  <c r="O74" i="19" s="1"/>
  <c r="U74" i="19" s="1"/>
  <c r="N72" i="19"/>
  <c r="O72" i="19" s="1"/>
  <c r="U72" i="19" s="1"/>
  <c r="N92" i="19"/>
  <c r="O92" i="19" s="1"/>
  <c r="U92" i="19" s="1"/>
  <c r="N118" i="19"/>
  <c r="O118" i="19" s="1"/>
  <c r="U118" i="19" s="1"/>
  <c r="N173" i="19"/>
  <c r="O173" i="19" s="1"/>
  <c r="U173" i="19" s="1"/>
  <c r="N18" i="19"/>
  <c r="O18" i="19" s="1"/>
  <c r="U18" i="19" s="1"/>
  <c r="N31" i="19"/>
  <c r="O31" i="19" s="1"/>
  <c r="U31" i="19" s="1"/>
  <c r="N219" i="19"/>
  <c r="O219" i="19" s="1"/>
  <c r="U219" i="19" s="1"/>
  <c r="N189" i="19"/>
  <c r="O189" i="19" s="1"/>
  <c r="U189" i="19" s="1"/>
  <c r="N250" i="19"/>
  <c r="O250" i="19" s="1"/>
  <c r="U250" i="19" s="1"/>
  <c r="N226" i="19"/>
  <c r="O226" i="19" s="1"/>
  <c r="U226" i="19" s="1"/>
  <c r="N8" i="19"/>
  <c r="O8" i="19" s="1"/>
  <c r="U8" i="19" s="1"/>
  <c r="N56" i="19"/>
  <c r="O56" i="19" s="1"/>
  <c r="U56" i="19" s="1"/>
  <c r="N143" i="19"/>
  <c r="O143" i="19" s="1"/>
  <c r="U143" i="19" s="1"/>
  <c r="N208" i="19"/>
  <c r="O208" i="19" s="1"/>
  <c r="U208" i="19" s="1"/>
  <c r="N257" i="19"/>
  <c r="O257" i="19" s="1"/>
  <c r="U257" i="19" s="1"/>
  <c r="N91" i="19"/>
  <c r="O91" i="19" s="1"/>
  <c r="U91" i="19" s="1"/>
  <c r="N20" i="19"/>
  <c r="O20" i="19" s="1"/>
  <c r="U20" i="19" s="1"/>
  <c r="N185" i="19"/>
  <c r="O185" i="19" s="1"/>
  <c r="U185" i="19" s="1"/>
  <c r="N230" i="19"/>
  <c r="O230" i="19" s="1"/>
  <c r="U230" i="19" s="1"/>
  <c r="N11" i="19"/>
  <c r="O11" i="19" s="1"/>
  <c r="U11" i="19" s="1"/>
  <c r="N41" i="19"/>
  <c r="O41" i="19" s="1"/>
  <c r="U41" i="19" s="1"/>
  <c r="N93" i="19"/>
  <c r="O93" i="19" s="1"/>
  <c r="U93" i="19" s="1"/>
  <c r="N232" i="19"/>
  <c r="O232" i="19" s="1"/>
  <c r="U232" i="19" s="1"/>
  <c r="N99" i="19"/>
  <c r="O99" i="19" s="1"/>
  <c r="U99" i="19" s="1"/>
  <c r="N252" i="19"/>
  <c r="O252" i="19" s="1"/>
  <c r="U252" i="19" s="1"/>
  <c r="N187" i="19"/>
  <c r="O187" i="19" s="1"/>
  <c r="U187" i="19" s="1"/>
  <c r="N256" i="19"/>
  <c r="O256" i="19" s="1"/>
  <c r="U256" i="19" s="1"/>
  <c r="N260" i="19"/>
  <c r="O260" i="19" s="1"/>
  <c r="U260" i="19" s="1"/>
  <c r="N98" i="19"/>
  <c r="O98" i="19" s="1"/>
  <c r="U98" i="19" s="1"/>
  <c r="N169" i="19"/>
  <c r="O169" i="19" s="1"/>
  <c r="U169" i="19" s="1"/>
  <c r="N195" i="19"/>
  <c r="O195" i="19" s="1"/>
  <c r="U195" i="19" s="1"/>
  <c r="N172" i="19"/>
  <c r="O172" i="19" s="1"/>
  <c r="U172" i="19" s="1"/>
  <c r="N194" i="19"/>
  <c r="O194" i="19" s="1"/>
  <c r="U194" i="19" s="1"/>
  <c r="N221" i="19"/>
  <c r="O221" i="19" s="1"/>
  <c r="U221" i="19" s="1"/>
  <c r="N218" i="19"/>
  <c r="O218" i="19" s="1"/>
  <c r="U218" i="19" s="1"/>
  <c r="N13" i="19"/>
  <c r="O13" i="19" s="1"/>
  <c r="U13" i="19" s="1"/>
  <c r="N109" i="19"/>
  <c r="O109" i="19" s="1"/>
  <c r="U109" i="19" s="1"/>
  <c r="N90" i="19"/>
  <c r="O90" i="19" s="1"/>
  <c r="U90" i="19" s="1"/>
  <c r="N59" i="19"/>
  <c r="O59" i="19" s="1"/>
  <c r="U59" i="19" s="1"/>
  <c r="N111" i="19"/>
  <c r="O111" i="19" s="1"/>
  <c r="U111" i="19" s="1"/>
  <c r="N130" i="19"/>
  <c r="O130" i="19" s="1"/>
  <c r="U130" i="19" s="1"/>
  <c r="N110" i="19"/>
  <c r="O110" i="19" s="1"/>
  <c r="U110" i="19" s="1"/>
  <c r="N145" i="19"/>
  <c r="O145" i="19" s="1"/>
  <c r="U145" i="19" s="1"/>
  <c r="N228" i="19"/>
  <c r="O228" i="19" s="1"/>
  <c r="U228" i="19" s="1"/>
  <c r="N181" i="19"/>
  <c r="O181" i="19" s="1"/>
  <c r="U181" i="19" s="1"/>
  <c r="N261" i="19"/>
  <c r="O261" i="19" s="1"/>
  <c r="U261" i="19" s="1"/>
  <c r="N245" i="19"/>
  <c r="O245" i="19" s="1"/>
  <c r="U245" i="19" s="1"/>
  <c r="N32" i="19"/>
  <c r="O32" i="19" s="1"/>
  <c r="U32" i="19" s="1"/>
  <c r="N47" i="19"/>
  <c r="O47" i="19" s="1"/>
  <c r="U47" i="19" s="1"/>
  <c r="N49" i="19"/>
  <c r="O49" i="19" s="1"/>
  <c r="U49" i="19" s="1"/>
  <c r="N33" i="19"/>
  <c r="O33" i="19" s="1"/>
  <c r="U33" i="19" s="1"/>
  <c r="N107" i="19"/>
  <c r="O107" i="19" s="1"/>
  <c r="U107" i="19" s="1"/>
  <c r="N123" i="19"/>
  <c r="O123" i="19" s="1"/>
  <c r="U123" i="19" s="1"/>
  <c r="N142" i="19"/>
  <c r="O142" i="19" s="1"/>
  <c r="U142" i="19" s="1"/>
  <c r="N234" i="19"/>
  <c r="O234" i="19" s="1"/>
  <c r="U234" i="19" s="1"/>
  <c r="N37" i="19"/>
  <c r="O37" i="19" s="1"/>
  <c r="U37" i="19" s="1"/>
  <c r="N15" i="19"/>
  <c r="O15" i="19" s="1"/>
  <c r="U15" i="19" s="1"/>
  <c r="N52" i="19"/>
  <c r="O52" i="19" s="1"/>
  <c r="U52" i="19" s="1"/>
  <c r="N122" i="19"/>
  <c r="O122" i="19" s="1"/>
  <c r="N137" i="19"/>
  <c r="O137" i="19" s="1"/>
  <c r="U137" i="19" s="1"/>
  <c r="N247" i="19"/>
  <c r="O247" i="19" s="1"/>
  <c r="N179" i="19"/>
  <c r="O179" i="19" s="1"/>
  <c r="U179" i="19" s="1"/>
  <c r="J328" i="19"/>
  <c r="K253" i="19"/>
  <c r="N101" i="19"/>
  <c r="O101" i="19" s="1"/>
  <c r="K217" i="19"/>
  <c r="K68" i="19"/>
  <c r="N68" i="19" s="1"/>
  <c r="O68" i="19" s="1"/>
  <c r="U68" i="19" s="1"/>
  <c r="K104" i="19"/>
  <c r="N104" i="19" s="1"/>
  <c r="O104" i="19" s="1"/>
  <c r="J316" i="19"/>
  <c r="K202" i="19"/>
  <c r="N202" i="19" s="1"/>
  <c r="O202" i="19" s="1"/>
  <c r="U202" i="19" s="1"/>
  <c r="K135" i="19"/>
  <c r="K139" i="19"/>
  <c r="N139" i="19" s="1"/>
  <c r="O139" i="19" s="1"/>
  <c r="K40" i="19"/>
  <c r="N40" i="19" s="1"/>
  <c r="O40" i="19" s="1"/>
  <c r="U40" i="19" s="1"/>
  <c r="K213" i="19"/>
  <c r="N213" i="19" s="1"/>
  <c r="O213" i="19" s="1"/>
  <c r="N79" i="19"/>
  <c r="O79" i="19" s="1"/>
  <c r="U79" i="19" s="1"/>
  <c r="K128" i="19"/>
  <c r="N128" i="19" s="1"/>
  <c r="O128" i="19" s="1"/>
  <c r="U128" i="19" s="1"/>
  <c r="J345" i="18"/>
  <c r="K338" i="18" s="1"/>
  <c r="H346" i="18"/>
  <c r="H348" i="18" s="1"/>
  <c r="V280" i="18"/>
  <c r="J219" i="18"/>
  <c r="J225" i="18"/>
  <c r="K344" i="18"/>
  <c r="J280" i="18"/>
  <c r="K279" i="18" s="1"/>
  <c r="J220" i="18"/>
  <c r="K339" i="18"/>
  <c r="V346" i="18"/>
  <c r="T348" i="18"/>
  <c r="V277" i="18"/>
  <c r="J332" i="18"/>
  <c r="K291" i="18" s="1"/>
  <c r="J223" i="18"/>
  <c r="Q301" i="14"/>
  <c r="D301" i="14"/>
  <c r="Q289" i="14"/>
  <c r="D289" i="14"/>
  <c r="Q282" i="14"/>
  <c r="D282" i="14"/>
  <c r="Q277" i="14"/>
  <c r="D277" i="14"/>
  <c r="Q271" i="14"/>
  <c r="D271" i="14"/>
  <c r="Q257" i="14"/>
  <c r="D257" i="14"/>
  <c r="Q249" i="14"/>
  <c r="D249" i="14"/>
  <c r="Q244" i="14"/>
  <c r="D244" i="14"/>
  <c r="Q228" i="14"/>
  <c r="D228" i="14"/>
  <c r="D221" i="14"/>
  <c r="Q178" i="14"/>
  <c r="D178" i="14"/>
  <c r="Q166" i="14"/>
  <c r="D166" i="14"/>
  <c r="Q160" i="14"/>
  <c r="D160" i="14"/>
  <c r="Q152" i="14"/>
  <c r="D152" i="14"/>
  <c r="Q147" i="14"/>
  <c r="D147" i="14"/>
  <c r="Q136" i="14"/>
  <c r="D136" i="14"/>
  <c r="Q134" i="14"/>
  <c r="D134" i="14"/>
  <c r="Q125" i="14"/>
  <c r="D125" i="14"/>
  <c r="Q121" i="14"/>
  <c r="D121" i="14"/>
  <c r="Q110" i="14"/>
  <c r="D110" i="14"/>
  <c r="Q100" i="14"/>
  <c r="D100" i="14"/>
  <c r="Q93" i="14"/>
  <c r="D93" i="14"/>
  <c r="Q86" i="14"/>
  <c r="D86" i="14"/>
  <c r="Q82" i="14"/>
  <c r="D82" i="14"/>
  <c r="Q78" i="14"/>
  <c r="D78" i="14"/>
  <c r="Q58" i="14"/>
  <c r="D58" i="14"/>
  <c r="Q51" i="14"/>
  <c r="D51" i="14"/>
  <c r="Q43" i="14"/>
  <c r="D43" i="14"/>
  <c r="Q366" i="14"/>
  <c r="Q352" i="14"/>
  <c r="I357" i="14"/>
  <c r="I358" i="14"/>
  <c r="I359" i="14"/>
  <c r="I360" i="14"/>
  <c r="I6" i="14"/>
  <c r="I7" i="14"/>
  <c r="I8" i="14"/>
  <c r="I19" i="14"/>
  <c r="I24" i="14"/>
  <c r="I26" i="14"/>
  <c r="I28" i="14"/>
  <c r="I29" i="14"/>
  <c r="I30" i="14"/>
  <c r="I35" i="14"/>
  <c r="I36" i="14"/>
  <c r="I37" i="14"/>
  <c r="I75" i="14"/>
  <c r="I101" i="14"/>
  <c r="I102" i="14"/>
  <c r="I103" i="14"/>
  <c r="I104" i="14"/>
  <c r="I105" i="14"/>
  <c r="I106" i="14"/>
  <c r="I107" i="14"/>
  <c r="I108" i="14"/>
  <c r="I109" i="14"/>
  <c r="I112" i="14"/>
  <c r="I122" i="14"/>
  <c r="I123" i="14"/>
  <c r="I124" i="14"/>
  <c r="I126" i="14"/>
  <c r="I133" i="14"/>
  <c r="I291" i="14"/>
  <c r="I292" i="14"/>
  <c r="I5" i="14"/>
  <c r="K373" i="14"/>
  <c r="K374" i="22" s="1"/>
  <c r="K336" i="18" l="1"/>
  <c r="K345" i="18"/>
  <c r="K335" i="18"/>
  <c r="K337" i="18"/>
  <c r="K340" i="18"/>
  <c r="K334" i="18"/>
  <c r="K342" i="18"/>
  <c r="K343" i="18"/>
  <c r="K288" i="18"/>
  <c r="K341" i="18"/>
  <c r="K293" i="18"/>
  <c r="N135" i="19"/>
  <c r="O135" i="19" s="1"/>
  <c r="U135" i="19" s="1"/>
  <c r="N151" i="19"/>
  <c r="O151" i="19" s="1"/>
  <c r="U151" i="19" s="1"/>
  <c r="N253" i="19"/>
  <c r="O253" i="19" s="1"/>
  <c r="U253" i="19" s="1"/>
  <c r="U236" i="19"/>
  <c r="U71" i="19"/>
  <c r="U247" i="19"/>
  <c r="U122" i="19"/>
  <c r="O328" i="19"/>
  <c r="U317" i="19"/>
  <c r="U127" i="19"/>
  <c r="U242" i="19"/>
  <c r="L333" i="19"/>
  <c r="U66" i="19"/>
  <c r="U265" i="19"/>
  <c r="O316" i="19"/>
  <c r="U316" i="19" s="1"/>
  <c r="U5" i="19"/>
  <c r="U134" i="19"/>
  <c r="N113" i="19"/>
  <c r="O113" i="19" s="1"/>
  <c r="U104" i="19"/>
  <c r="U213" i="19"/>
  <c r="U60" i="19"/>
  <c r="U200" i="19"/>
  <c r="N88" i="19"/>
  <c r="O88" i="19" s="1"/>
  <c r="U63" i="19"/>
  <c r="U139" i="19"/>
  <c r="N217" i="19"/>
  <c r="O217" i="19" s="1"/>
  <c r="U78" i="19"/>
  <c r="N115" i="19"/>
  <c r="O115" i="19" s="1"/>
  <c r="U115" i="19" s="1"/>
  <c r="U101" i="19"/>
  <c r="N222" i="19"/>
  <c r="O222" i="19" s="1"/>
  <c r="U38" i="19"/>
  <c r="U34" i="19"/>
  <c r="U114" i="19"/>
  <c r="J329" i="19"/>
  <c r="J331" i="19" s="1"/>
  <c r="U42" i="19"/>
  <c r="N193" i="19"/>
  <c r="O193" i="19" s="1"/>
  <c r="K303" i="18"/>
  <c r="K333" i="18"/>
  <c r="K285" i="18"/>
  <c r="K281" i="18"/>
  <c r="K310" i="18"/>
  <c r="K278" i="18"/>
  <c r="K319" i="18"/>
  <c r="K326" i="18"/>
  <c r="K323" i="18"/>
  <c r="K322" i="18"/>
  <c r="K300" i="18"/>
  <c r="K304" i="18"/>
  <c r="K309" i="18"/>
  <c r="K308" i="18"/>
  <c r="K289" i="18"/>
  <c r="K332" i="18"/>
  <c r="K302" i="18"/>
  <c r="K318" i="18"/>
  <c r="K329" i="18"/>
  <c r="K305" i="18"/>
  <c r="K292" i="18"/>
  <c r="K314" i="18"/>
  <c r="K282" i="18"/>
  <c r="K327" i="18"/>
  <c r="K311" i="18"/>
  <c r="K313" i="18"/>
  <c r="K321" i="18"/>
  <c r="K296" i="18"/>
  <c r="K297" i="18"/>
  <c r="K317" i="18"/>
  <c r="K295" i="18"/>
  <c r="K284" i="18"/>
  <c r="K315" i="18"/>
  <c r="K286" i="18"/>
  <c r="K298" i="18"/>
  <c r="K328" i="18"/>
  <c r="K307" i="18"/>
  <c r="K301" i="18"/>
  <c r="K320" i="18"/>
  <c r="K316" i="18"/>
  <c r="K330" i="18"/>
  <c r="K324" i="18"/>
  <c r="K299" i="18"/>
  <c r="K312" i="18"/>
  <c r="K283" i="18"/>
  <c r="K325" i="18"/>
  <c r="K287" i="18"/>
  <c r="K294" i="18"/>
  <c r="K306" i="18"/>
  <c r="K331" i="18"/>
  <c r="K290" i="18"/>
  <c r="N343" i="18"/>
  <c r="O343" i="18" s="1"/>
  <c r="U343" i="18" s="1"/>
  <c r="N328" i="18"/>
  <c r="O328" i="18" s="1"/>
  <c r="U328" i="18" s="1"/>
  <c r="N312" i="18"/>
  <c r="O312" i="18" s="1"/>
  <c r="U312" i="18" s="1"/>
  <c r="N296" i="18"/>
  <c r="O296" i="18" s="1"/>
  <c r="U296" i="18" s="1"/>
  <c r="N340" i="18"/>
  <c r="O340" i="18" s="1"/>
  <c r="U340" i="18" s="1"/>
  <c r="N325" i="18"/>
  <c r="O325" i="18" s="1"/>
  <c r="U325" i="18" s="1"/>
  <c r="N309" i="18"/>
  <c r="O309" i="18" s="1"/>
  <c r="U309" i="18" s="1"/>
  <c r="N293" i="18"/>
  <c r="O293" i="18" s="1"/>
  <c r="U293" i="18" s="1"/>
  <c r="N337" i="18"/>
  <c r="O337" i="18" s="1"/>
  <c r="U337" i="18" s="1"/>
  <c r="N322" i="18"/>
  <c r="O322" i="18" s="1"/>
  <c r="U322" i="18" s="1"/>
  <c r="N306" i="18"/>
  <c r="O306" i="18" s="1"/>
  <c r="U306" i="18" s="1"/>
  <c r="N290" i="18"/>
  <c r="O290" i="18" s="1"/>
  <c r="U290" i="18" s="1"/>
  <c r="N334" i="18"/>
  <c r="O334" i="18" s="1"/>
  <c r="U334" i="18" s="1"/>
  <c r="N319" i="18"/>
  <c r="O319" i="18" s="1"/>
  <c r="U319" i="18" s="1"/>
  <c r="N303" i="18"/>
  <c r="O303" i="18" s="1"/>
  <c r="U303" i="18" s="1"/>
  <c r="N287" i="18"/>
  <c r="O287" i="18" s="1"/>
  <c r="U287" i="18" s="1"/>
  <c r="N278" i="18"/>
  <c r="O278" i="18" s="1"/>
  <c r="N316" i="18"/>
  <c r="O316" i="18" s="1"/>
  <c r="U316" i="18" s="1"/>
  <c r="N300" i="18"/>
  <c r="O300" i="18" s="1"/>
  <c r="U300" i="18" s="1"/>
  <c r="N284" i="18"/>
  <c r="O284" i="18" s="1"/>
  <c r="U284" i="18" s="1"/>
  <c r="N344" i="18"/>
  <c r="O344" i="18" s="1"/>
  <c r="U344" i="18" s="1"/>
  <c r="N329" i="18"/>
  <c r="O329" i="18" s="1"/>
  <c r="U329" i="18" s="1"/>
  <c r="N313" i="18"/>
  <c r="O313" i="18" s="1"/>
  <c r="U313" i="18" s="1"/>
  <c r="N297" i="18"/>
  <c r="O297" i="18" s="1"/>
  <c r="U297" i="18" s="1"/>
  <c r="N281" i="18"/>
  <c r="O281" i="18" s="1"/>
  <c r="N335" i="18"/>
  <c r="O335" i="18" s="1"/>
  <c r="U335" i="18" s="1"/>
  <c r="N320" i="18"/>
  <c r="O320" i="18" s="1"/>
  <c r="U320" i="18" s="1"/>
  <c r="N304" i="18"/>
  <c r="O304" i="18" s="1"/>
  <c r="U304" i="18" s="1"/>
  <c r="N288" i="18"/>
  <c r="O288" i="18" s="1"/>
  <c r="U288" i="18" s="1"/>
  <c r="N279" i="18"/>
  <c r="O279" i="18" s="1"/>
  <c r="U279" i="18" s="1"/>
  <c r="N295" i="18"/>
  <c r="O295" i="18" s="1"/>
  <c r="U295" i="18" s="1"/>
  <c r="N310" i="18"/>
  <c r="O310" i="18" s="1"/>
  <c r="U310" i="18" s="1"/>
  <c r="N308" i="18"/>
  <c r="O308" i="18" s="1"/>
  <c r="U308" i="18" s="1"/>
  <c r="N291" i="18"/>
  <c r="O291" i="18" s="1"/>
  <c r="U291" i="18" s="1"/>
  <c r="N289" i="18"/>
  <c r="O289" i="18" s="1"/>
  <c r="U289" i="18" s="1"/>
  <c r="N333" i="18"/>
  <c r="O333" i="18" s="1"/>
  <c r="N327" i="18"/>
  <c r="O327" i="18" s="1"/>
  <c r="U327" i="18" s="1"/>
  <c r="N323" i="18"/>
  <c r="O323" i="18" s="1"/>
  <c r="U323" i="18" s="1"/>
  <c r="N321" i="18"/>
  <c r="O321" i="18" s="1"/>
  <c r="U321" i="18" s="1"/>
  <c r="N285" i="18"/>
  <c r="O285" i="18" s="1"/>
  <c r="U285" i="18" s="1"/>
  <c r="N302" i="18"/>
  <c r="O302" i="18" s="1"/>
  <c r="U302" i="18" s="1"/>
  <c r="N283" i="18"/>
  <c r="O283" i="18" s="1"/>
  <c r="U283" i="18" s="1"/>
  <c r="N315" i="18"/>
  <c r="O315" i="18" s="1"/>
  <c r="U315" i="18" s="1"/>
  <c r="N326" i="18"/>
  <c r="O326" i="18" s="1"/>
  <c r="U326" i="18" s="1"/>
  <c r="N324" i="18"/>
  <c r="O324" i="18" s="1"/>
  <c r="U324" i="18" s="1"/>
  <c r="N307" i="18"/>
  <c r="O307" i="18" s="1"/>
  <c r="U307" i="18" s="1"/>
  <c r="N305" i="18"/>
  <c r="O305" i="18" s="1"/>
  <c r="U305" i="18" s="1"/>
  <c r="N318" i="18"/>
  <c r="O318" i="18" s="1"/>
  <c r="U318" i="18" s="1"/>
  <c r="N339" i="18"/>
  <c r="O339" i="18" s="1"/>
  <c r="U339" i="18" s="1"/>
  <c r="N341" i="18"/>
  <c r="O341" i="18" s="1"/>
  <c r="U341" i="18" s="1"/>
  <c r="N286" i="18"/>
  <c r="O286" i="18" s="1"/>
  <c r="U286" i="18" s="1"/>
  <c r="N294" i="18"/>
  <c r="O294" i="18" s="1"/>
  <c r="U294" i="18" s="1"/>
  <c r="N342" i="18"/>
  <c r="O342" i="18" s="1"/>
  <c r="U342" i="18" s="1"/>
  <c r="N292" i="18"/>
  <c r="O292" i="18" s="1"/>
  <c r="U292" i="18" s="1"/>
  <c r="N330" i="18"/>
  <c r="O330" i="18" s="1"/>
  <c r="U330" i="18" s="1"/>
  <c r="N317" i="18"/>
  <c r="O317" i="18" s="1"/>
  <c r="U317" i="18" s="1"/>
  <c r="N336" i="18"/>
  <c r="O336" i="18" s="1"/>
  <c r="U336" i="18" s="1"/>
  <c r="N314" i="18"/>
  <c r="O314" i="18" s="1"/>
  <c r="U314" i="18" s="1"/>
  <c r="N311" i="18"/>
  <c r="O311" i="18" s="1"/>
  <c r="U311" i="18" s="1"/>
  <c r="N338" i="18"/>
  <c r="O338" i="18" s="1"/>
  <c r="U338" i="18" s="1"/>
  <c r="N299" i="18"/>
  <c r="O299" i="18" s="1"/>
  <c r="U299" i="18" s="1"/>
  <c r="N301" i="18"/>
  <c r="O301" i="18" s="1"/>
  <c r="U301" i="18" s="1"/>
  <c r="N282" i="18"/>
  <c r="O282" i="18" s="1"/>
  <c r="U282" i="18" s="1"/>
  <c r="N298" i="18"/>
  <c r="O298" i="18" s="1"/>
  <c r="U298" i="18" s="1"/>
  <c r="I125" i="14"/>
  <c r="I110" i="14"/>
  <c r="Q302" i="14"/>
  <c r="Q303" i="14" s="1"/>
  <c r="S257" i="14" s="1"/>
  <c r="D302" i="14"/>
  <c r="D366" i="14"/>
  <c r="D352" i="14"/>
  <c r="H305" i="14"/>
  <c r="H312" i="14"/>
  <c r="H314" i="14"/>
  <c r="H315" i="14"/>
  <c r="H316" i="14"/>
  <c r="H317" i="14"/>
  <c r="H323" i="14"/>
  <c r="H324" i="14"/>
  <c r="H304" i="14"/>
  <c r="H6" i="14"/>
  <c r="H7" i="14"/>
  <c r="H8" i="14"/>
  <c r="H19" i="14"/>
  <c r="H24" i="14"/>
  <c r="H26" i="14"/>
  <c r="H28" i="14"/>
  <c r="H29" i="14"/>
  <c r="H30" i="14"/>
  <c r="H35" i="14"/>
  <c r="H36" i="14"/>
  <c r="H37" i="14"/>
  <c r="H75" i="14"/>
  <c r="H101" i="14"/>
  <c r="H102" i="14"/>
  <c r="H103" i="14"/>
  <c r="H104" i="14"/>
  <c r="H105" i="14"/>
  <c r="H106" i="14"/>
  <c r="H107" i="14"/>
  <c r="H108" i="14"/>
  <c r="H109" i="14"/>
  <c r="H112" i="14"/>
  <c r="H122" i="14"/>
  <c r="H123" i="14"/>
  <c r="H124" i="14"/>
  <c r="H133" i="14"/>
  <c r="H291" i="14"/>
  <c r="H292" i="14"/>
  <c r="H5" i="14"/>
  <c r="G305" i="14"/>
  <c r="G312" i="14"/>
  <c r="G314" i="14"/>
  <c r="G315" i="14"/>
  <c r="G316" i="14"/>
  <c r="G317" i="14"/>
  <c r="G323" i="14"/>
  <c r="G324" i="14"/>
  <c r="G304" i="14"/>
  <c r="G6" i="14"/>
  <c r="J6" i="14" s="1"/>
  <c r="G7" i="14"/>
  <c r="J7" i="14" s="1"/>
  <c r="G8" i="14"/>
  <c r="J8" i="14" s="1"/>
  <c r="G19" i="14"/>
  <c r="J19" i="14" s="1"/>
  <c r="G24" i="14"/>
  <c r="J24" i="14" s="1"/>
  <c r="G26" i="14"/>
  <c r="J26" i="14" s="1"/>
  <c r="G28" i="14"/>
  <c r="J28" i="14" s="1"/>
  <c r="G29" i="14"/>
  <c r="J29" i="14" s="1"/>
  <c r="G30" i="14"/>
  <c r="J30" i="14" s="1"/>
  <c r="G35" i="14"/>
  <c r="J35" i="14" s="1"/>
  <c r="G36" i="14"/>
  <c r="J36" i="14" s="1"/>
  <c r="G37" i="14"/>
  <c r="J37" i="14" s="1"/>
  <c r="G75" i="14"/>
  <c r="G101" i="14"/>
  <c r="J101" i="14" s="1"/>
  <c r="G102" i="14"/>
  <c r="J102" i="14" s="1"/>
  <c r="G103" i="14"/>
  <c r="J103" i="14" s="1"/>
  <c r="G104" i="14"/>
  <c r="J104" i="14" s="1"/>
  <c r="G105" i="14"/>
  <c r="J105" i="14" s="1"/>
  <c r="G106" i="14"/>
  <c r="J106" i="14" s="1"/>
  <c r="G107" i="14"/>
  <c r="J107" i="14" s="1"/>
  <c r="G108" i="14"/>
  <c r="J108" i="14" s="1"/>
  <c r="G109" i="14"/>
  <c r="J109" i="14" s="1"/>
  <c r="G112" i="14"/>
  <c r="J112" i="14" s="1"/>
  <c r="G122" i="14"/>
  <c r="J122" i="14" s="1"/>
  <c r="G123" i="14"/>
  <c r="J123" i="14" s="1"/>
  <c r="G124" i="14"/>
  <c r="J124" i="14" s="1"/>
  <c r="G133" i="14"/>
  <c r="J133" i="14" s="1"/>
  <c r="G291" i="14"/>
  <c r="J291" i="14" s="1"/>
  <c r="G292" i="14"/>
  <c r="J292" i="14" s="1"/>
  <c r="G5" i="14"/>
  <c r="J5" i="14" s="1"/>
  <c r="I361" i="14"/>
  <c r="I365" i="14"/>
  <c r="I362" i="14"/>
  <c r="I356" i="14"/>
  <c r="I355" i="14"/>
  <c r="I354" i="14"/>
  <c r="I353" i="14"/>
  <c r="H365" i="14"/>
  <c r="H364" i="14"/>
  <c r="H363" i="14"/>
  <c r="H362" i="14"/>
  <c r="H361" i="14"/>
  <c r="H360" i="14"/>
  <c r="H359" i="14"/>
  <c r="H358" i="14"/>
  <c r="G357" i="14"/>
  <c r="J357" i="14" s="1"/>
  <c r="H356" i="14"/>
  <c r="H355" i="14"/>
  <c r="H354" i="14"/>
  <c r="H353" i="14"/>
  <c r="S228" i="14" l="1"/>
  <c r="Q367" i="14"/>
  <c r="L372" i="14" s="1"/>
  <c r="S136" i="14"/>
  <c r="S301" i="14"/>
  <c r="S221" i="14"/>
  <c r="S58" i="14"/>
  <c r="S134" i="14"/>
  <c r="S125" i="14"/>
  <c r="S282" i="14"/>
  <c r="S100" i="14"/>
  <c r="S249" i="14"/>
  <c r="S152" i="14"/>
  <c r="S86" i="14"/>
  <c r="S78" i="14"/>
  <c r="S51" i="14"/>
  <c r="S289" i="14"/>
  <c r="S160" i="14"/>
  <c r="S277" i="14"/>
  <c r="S271" i="14"/>
  <c r="S93" i="14"/>
  <c r="S244" i="14"/>
  <c r="S43" i="14"/>
  <c r="S110" i="14"/>
  <c r="S82" i="14"/>
  <c r="S166" i="14"/>
  <c r="S178" i="14"/>
  <c r="S121" i="14"/>
  <c r="S147" i="14"/>
  <c r="U193" i="19"/>
  <c r="U113" i="19"/>
  <c r="U217" i="19"/>
  <c r="O329" i="19"/>
  <c r="U328" i="19"/>
  <c r="U88" i="19"/>
  <c r="U222" i="19"/>
  <c r="O345" i="18"/>
  <c r="U333" i="18"/>
  <c r="U281" i="18"/>
  <c r="O332" i="18"/>
  <c r="U332" i="18" s="1"/>
  <c r="U278" i="18"/>
  <c r="O280" i="18"/>
  <c r="U280" i="18" s="1"/>
  <c r="J125" i="14"/>
  <c r="H125" i="14"/>
  <c r="H110" i="14"/>
  <c r="J110" i="14"/>
  <c r="D367" i="14"/>
  <c r="G360" i="14"/>
  <c r="J360" i="14" s="1"/>
  <c r="H357" i="14"/>
  <c r="H366" i="14" s="1"/>
  <c r="G358" i="14"/>
  <c r="J358" i="14" s="1"/>
  <c r="G359" i="14"/>
  <c r="J359" i="14" s="1"/>
  <c r="G353" i="14"/>
  <c r="J353" i="14" s="1"/>
  <c r="I363" i="14"/>
  <c r="G363" i="14"/>
  <c r="J363" i="14" s="1"/>
  <c r="I364" i="14"/>
  <c r="G364" i="14"/>
  <c r="J364" i="14" s="1"/>
  <c r="G365" i="14"/>
  <c r="J365" i="14" s="1"/>
  <c r="G356" i="14"/>
  <c r="J356" i="14" s="1"/>
  <c r="G355" i="14"/>
  <c r="J355" i="14" s="1"/>
  <c r="G362" i="14"/>
  <c r="J362" i="14" s="1"/>
  <c r="G354" i="14"/>
  <c r="J354" i="14" s="1"/>
  <c r="G361" i="14"/>
  <c r="J361" i="14" s="1"/>
  <c r="J75" i="14"/>
  <c r="S352" i="14" l="1"/>
  <c r="S303" i="14"/>
  <c r="L373" i="14"/>
  <c r="S366" i="14"/>
  <c r="O331" i="19"/>
  <c r="U331" i="19" s="1"/>
  <c r="U329" i="19"/>
  <c r="U345" i="18"/>
  <c r="J366" i="14"/>
  <c r="K366" i="14" s="1"/>
  <c r="G344" i="14"/>
  <c r="J344" i="14" s="1"/>
  <c r="H344" i="14"/>
  <c r="H309" i="14"/>
  <c r="G309" i="14"/>
  <c r="J309" i="14" s="1"/>
  <c r="H335" i="14"/>
  <c r="G335" i="14"/>
  <c r="J335" i="14" s="1"/>
  <c r="G345" i="14"/>
  <c r="J345" i="14" s="1"/>
  <c r="H345" i="14"/>
  <c r="G328" i="14"/>
  <c r="J328" i="14" s="1"/>
  <c r="H328" i="14"/>
  <c r="G313" i="14"/>
  <c r="J313" i="14" s="1"/>
  <c r="H313" i="14"/>
  <c r="G308" i="14"/>
  <c r="J308" i="14" s="1"/>
  <c r="H308" i="14"/>
  <c r="G321" i="14"/>
  <c r="J321" i="14" s="1"/>
  <c r="H321" i="14"/>
  <c r="G322" i="14"/>
  <c r="H322" i="14"/>
  <c r="H325" i="14"/>
  <c r="G325" i="14"/>
  <c r="J325" i="14" s="1"/>
  <c r="G338" i="14"/>
  <c r="H338" i="14"/>
  <c r="G346" i="14"/>
  <c r="J346" i="14" s="1"/>
  <c r="H346" i="14"/>
  <c r="H331" i="14"/>
  <c r="G331" i="14"/>
  <c r="H334" i="14"/>
  <c r="G334" i="14"/>
  <c r="J334" i="14" s="1"/>
  <c r="H326" i="14"/>
  <c r="G326" i="14"/>
  <c r="J326" i="14" s="1"/>
  <c r="H310" i="14"/>
  <c r="G310" i="14"/>
  <c r="H311" i="14"/>
  <c r="G311" i="14"/>
  <c r="H327" i="14"/>
  <c r="G327" i="14"/>
  <c r="G339" i="14"/>
  <c r="J339" i="14" s="1"/>
  <c r="H339" i="14"/>
  <c r="H347" i="14"/>
  <c r="G347" i="14"/>
  <c r="J347" i="14" s="1"/>
  <c r="G336" i="14"/>
  <c r="H336" i="14"/>
  <c r="G337" i="14"/>
  <c r="H337" i="14"/>
  <c r="G329" i="14"/>
  <c r="J329" i="14" s="1"/>
  <c r="H329" i="14"/>
  <c r="G348" i="14"/>
  <c r="J348" i="14" s="1"/>
  <c r="H348" i="14"/>
  <c r="H318" i="14"/>
  <c r="G318" i="14"/>
  <c r="G330" i="14"/>
  <c r="J330" i="14" s="1"/>
  <c r="H330" i="14"/>
  <c r="H341" i="14"/>
  <c r="G341" i="14"/>
  <c r="H349" i="14"/>
  <c r="G349" i="14"/>
  <c r="G332" i="14"/>
  <c r="J332" i="14" s="1"/>
  <c r="H332" i="14"/>
  <c r="H342" i="14"/>
  <c r="G342" i="14"/>
  <c r="H350" i="14"/>
  <c r="G350" i="14"/>
  <c r="J350" i="14" s="1"/>
  <c r="I366" i="14"/>
  <c r="G340" i="14"/>
  <c r="J340" i="14" s="1"/>
  <c r="H340" i="14"/>
  <c r="G306" i="14"/>
  <c r="H306" i="14"/>
  <c r="H319" i="14"/>
  <c r="G319" i="14"/>
  <c r="G307" i="14"/>
  <c r="J307" i="14" s="1"/>
  <c r="H307" i="14"/>
  <c r="G320" i="14"/>
  <c r="J320" i="14" s="1"/>
  <c r="H320" i="14"/>
  <c r="H333" i="14"/>
  <c r="G333" i="14"/>
  <c r="J333" i="14" s="1"/>
  <c r="H343" i="14"/>
  <c r="G343" i="14"/>
  <c r="J343" i="14" s="1"/>
  <c r="H351" i="14"/>
  <c r="G351" i="14"/>
  <c r="J351" i="14" s="1"/>
  <c r="I300" i="14"/>
  <c r="I299" i="14"/>
  <c r="I298" i="14"/>
  <c r="I297" i="14"/>
  <c r="I296" i="14"/>
  <c r="I295" i="14"/>
  <c r="I294" i="14"/>
  <c r="I293" i="14"/>
  <c r="I290" i="14"/>
  <c r="I288" i="14"/>
  <c r="I287" i="14"/>
  <c r="I286" i="14"/>
  <c r="I285" i="14"/>
  <c r="I284" i="14"/>
  <c r="I283" i="14"/>
  <c r="I281" i="14"/>
  <c r="I280" i="14"/>
  <c r="I279" i="14"/>
  <c r="I278" i="14"/>
  <c r="I276" i="14"/>
  <c r="I275" i="14"/>
  <c r="I274" i="14"/>
  <c r="I273" i="14"/>
  <c r="I272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6" i="14"/>
  <c r="I255" i="14"/>
  <c r="I254" i="14"/>
  <c r="I253" i="14"/>
  <c r="I252" i="14"/>
  <c r="I251" i="14"/>
  <c r="I250" i="14"/>
  <c r="I248" i="14"/>
  <c r="I247" i="14"/>
  <c r="I246" i="14"/>
  <c r="I245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7" i="14"/>
  <c r="I226" i="14"/>
  <c r="I225" i="14"/>
  <c r="I224" i="14"/>
  <c r="I223" i="14"/>
  <c r="I222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7" i="14"/>
  <c r="I176" i="14"/>
  <c r="I175" i="14"/>
  <c r="I174" i="14"/>
  <c r="I173" i="14"/>
  <c r="I172" i="14"/>
  <c r="I171" i="14"/>
  <c r="I170" i="14"/>
  <c r="I169" i="14"/>
  <c r="I168" i="14"/>
  <c r="I167" i="14"/>
  <c r="I165" i="14"/>
  <c r="I164" i="14"/>
  <c r="I163" i="14"/>
  <c r="I162" i="14"/>
  <c r="I161" i="14"/>
  <c r="I159" i="14"/>
  <c r="I158" i="14"/>
  <c r="I157" i="14"/>
  <c r="I156" i="14"/>
  <c r="I155" i="14"/>
  <c r="I154" i="14"/>
  <c r="I153" i="14"/>
  <c r="I151" i="14"/>
  <c r="I150" i="14"/>
  <c r="I149" i="14"/>
  <c r="I148" i="14"/>
  <c r="I146" i="14"/>
  <c r="I145" i="14"/>
  <c r="I144" i="14"/>
  <c r="I143" i="14"/>
  <c r="I142" i="14"/>
  <c r="I141" i="14"/>
  <c r="I140" i="14"/>
  <c r="I139" i="14"/>
  <c r="I138" i="14"/>
  <c r="I137" i="14"/>
  <c r="I135" i="14"/>
  <c r="I136" i="14" s="1"/>
  <c r="I132" i="14"/>
  <c r="I131" i="14"/>
  <c r="I130" i="14"/>
  <c r="I129" i="14"/>
  <c r="I128" i="14"/>
  <c r="I127" i="14"/>
  <c r="I120" i="14"/>
  <c r="I119" i="14"/>
  <c r="I118" i="14"/>
  <c r="I117" i="14"/>
  <c r="I116" i="14"/>
  <c r="I115" i="14"/>
  <c r="I114" i="14"/>
  <c r="I113" i="14"/>
  <c r="I111" i="14"/>
  <c r="I99" i="14"/>
  <c r="I98" i="14"/>
  <c r="I97" i="14"/>
  <c r="I96" i="14"/>
  <c r="I95" i="14"/>
  <c r="I94" i="14"/>
  <c r="I92" i="14"/>
  <c r="I91" i="14"/>
  <c r="I90" i="14"/>
  <c r="I89" i="14"/>
  <c r="I88" i="14"/>
  <c r="I87" i="14"/>
  <c r="I85" i="14"/>
  <c r="I84" i="14"/>
  <c r="I83" i="14"/>
  <c r="I81" i="14"/>
  <c r="I80" i="14"/>
  <c r="I79" i="14"/>
  <c r="I77" i="14"/>
  <c r="I76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7" i="14"/>
  <c r="I56" i="14"/>
  <c r="I55" i="14"/>
  <c r="I54" i="14"/>
  <c r="I53" i="14"/>
  <c r="I52" i="14"/>
  <c r="I50" i="14"/>
  <c r="I49" i="14"/>
  <c r="I48" i="14"/>
  <c r="I47" i="14"/>
  <c r="I46" i="14"/>
  <c r="I45" i="14"/>
  <c r="I44" i="14"/>
  <c r="I42" i="14"/>
  <c r="I41" i="14"/>
  <c r="I40" i="14"/>
  <c r="I39" i="14"/>
  <c r="I38" i="14"/>
  <c r="I34" i="14"/>
  <c r="I33" i="14"/>
  <c r="I32" i="14"/>
  <c r="I31" i="14"/>
  <c r="I27" i="14"/>
  <c r="I25" i="14"/>
  <c r="I23" i="14"/>
  <c r="I22" i="14"/>
  <c r="I21" i="14"/>
  <c r="I20" i="14"/>
  <c r="I18" i="14"/>
  <c r="I17" i="14"/>
  <c r="I16" i="14"/>
  <c r="I15" i="14"/>
  <c r="I14" i="14"/>
  <c r="I13" i="14"/>
  <c r="I12" i="14"/>
  <c r="I11" i="14"/>
  <c r="I10" i="14"/>
  <c r="I9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281" i="14"/>
  <c r="A288" i="14"/>
  <c r="A280" i="14"/>
  <c r="A287" i="14"/>
  <c r="A286" i="14"/>
  <c r="A248" i="14"/>
  <c r="A276" i="14"/>
  <c r="A247" i="14"/>
  <c r="A275" i="14"/>
  <c r="A246" i="14"/>
  <c r="A274" i="14"/>
  <c r="A245" i="14"/>
  <c r="A273" i="14"/>
  <c r="A272" i="14"/>
  <c r="A279" i="14"/>
  <c r="A285" i="14"/>
  <c r="A278" i="14"/>
  <c r="A284" i="14"/>
  <c r="A283" i="14"/>
  <c r="A220" i="14"/>
  <c r="A219" i="14"/>
  <c r="A177" i="14"/>
  <c r="A218" i="14"/>
  <c r="A217" i="14"/>
  <c r="A176" i="14"/>
  <c r="A216" i="14"/>
  <c r="A215" i="14"/>
  <c r="A175" i="14"/>
  <c r="A214" i="14"/>
  <c r="A213" i="14"/>
  <c r="A174" i="14"/>
  <c r="A212" i="14"/>
  <c r="A211" i="14"/>
  <c r="A173" i="14"/>
  <c r="A210" i="14"/>
  <c r="A209" i="14"/>
  <c r="A172" i="14"/>
  <c r="A208" i="14"/>
  <c r="A207" i="14"/>
  <c r="A171" i="14"/>
  <c r="A206" i="14"/>
  <c r="A205" i="14"/>
  <c r="A170" i="14"/>
  <c r="A204" i="14"/>
  <c r="A203" i="14"/>
  <c r="A169" i="14"/>
  <c r="A202" i="14"/>
  <c r="A201" i="14"/>
  <c r="A168" i="14"/>
  <c r="A200" i="14"/>
  <c r="A199" i="14"/>
  <c r="A167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300" i="14"/>
  <c r="A299" i="14"/>
  <c r="A298" i="14"/>
  <c r="A297" i="14"/>
  <c r="A296" i="14"/>
  <c r="A295" i="14"/>
  <c r="A151" i="14"/>
  <c r="A165" i="14"/>
  <c r="A150" i="14"/>
  <c r="A164" i="14"/>
  <c r="A163" i="14"/>
  <c r="A149" i="14"/>
  <c r="A148" i="14"/>
  <c r="A162" i="14"/>
  <c r="A161" i="14"/>
  <c r="A42" i="14"/>
  <c r="A41" i="14"/>
  <c r="A40" i="14"/>
  <c r="A39" i="14"/>
  <c r="A38" i="14"/>
  <c r="A135" i="14"/>
  <c r="A227" i="14"/>
  <c r="A226" i="14"/>
  <c r="A243" i="14"/>
  <c r="A270" i="14"/>
  <c r="A269" i="14"/>
  <c r="A242" i="14"/>
  <c r="A268" i="14"/>
  <c r="A225" i="14"/>
  <c r="A256" i="14"/>
  <c r="A255" i="14"/>
  <c r="A224" i="14"/>
  <c r="A254" i="14"/>
  <c r="A253" i="14"/>
  <c r="A241" i="14"/>
  <c r="A267" i="14"/>
  <c r="A266" i="14"/>
  <c r="A240" i="14"/>
  <c r="A265" i="14"/>
  <c r="A239" i="14"/>
  <c r="A223" i="14"/>
  <c r="A252" i="14"/>
  <c r="A251" i="14"/>
  <c r="A222" i="14"/>
  <c r="A250" i="14"/>
  <c r="A238" i="14"/>
  <c r="A264" i="14"/>
  <c r="A237" i="14"/>
  <c r="A263" i="14"/>
  <c r="A236" i="14"/>
  <c r="A262" i="14"/>
  <c r="A235" i="14"/>
  <c r="A234" i="14"/>
  <c r="A261" i="14"/>
  <c r="A233" i="14"/>
  <c r="A232" i="14"/>
  <c r="A231" i="14"/>
  <c r="A260" i="14"/>
  <c r="A230" i="14"/>
  <c r="A259" i="14"/>
  <c r="A229" i="14"/>
  <c r="A258" i="14"/>
  <c r="A37" i="14"/>
  <c r="A36" i="14"/>
  <c r="A35" i="14"/>
  <c r="A146" i="14"/>
  <c r="A159" i="14"/>
  <c r="A145" i="14"/>
  <c r="A158" i="14"/>
  <c r="A144" i="14"/>
  <c r="A143" i="14"/>
  <c r="A157" i="14"/>
  <c r="K377" i="14"/>
  <c r="A142" i="14"/>
  <c r="A141" i="14"/>
  <c r="A156" i="14"/>
  <c r="A140" i="14"/>
  <c r="A155" i="14"/>
  <c r="A139" i="14"/>
  <c r="A154" i="14"/>
  <c r="A138" i="14"/>
  <c r="A153" i="14"/>
  <c r="A137" i="14"/>
  <c r="A34" i="14"/>
  <c r="A294" i="14"/>
  <c r="A33" i="14"/>
  <c r="A293" i="14"/>
  <c r="A32" i="14"/>
  <c r="A292" i="14"/>
  <c r="A291" i="14"/>
  <c r="A31" i="14"/>
  <c r="A30" i="14"/>
  <c r="A29" i="14"/>
  <c r="A28" i="14"/>
  <c r="A27" i="14"/>
  <c r="A26" i="14"/>
  <c r="A25" i="14"/>
  <c r="A24" i="14"/>
  <c r="A23" i="14"/>
  <c r="A22" i="14"/>
  <c r="A290" i="14"/>
  <c r="A21" i="14"/>
  <c r="A20" i="14"/>
  <c r="A124" i="14"/>
  <c r="A123" i="14"/>
  <c r="A122" i="14"/>
  <c r="A19" i="14"/>
  <c r="A133" i="14"/>
  <c r="A132" i="14"/>
  <c r="A131" i="14"/>
  <c r="A130" i="14"/>
  <c r="A129" i="14"/>
  <c r="A18" i="14"/>
  <c r="A17" i="14"/>
  <c r="A16" i="14"/>
  <c r="A15" i="14"/>
  <c r="A14" i="14"/>
  <c r="A13" i="14"/>
  <c r="I351" i="14"/>
  <c r="A351" i="14"/>
  <c r="I350" i="14"/>
  <c r="A350" i="14"/>
  <c r="I349" i="14"/>
  <c r="J349" i="14"/>
  <c r="A349" i="14"/>
  <c r="I348" i="14"/>
  <c r="A348" i="14"/>
  <c r="I347" i="14"/>
  <c r="A347" i="14"/>
  <c r="I346" i="14"/>
  <c r="A346" i="14"/>
  <c r="I345" i="14"/>
  <c r="A345" i="14"/>
  <c r="I344" i="14"/>
  <c r="A344" i="14"/>
  <c r="I343" i="14"/>
  <c r="A343" i="14"/>
  <c r="I342" i="14"/>
  <c r="A342" i="14"/>
  <c r="A341" i="14"/>
  <c r="I340" i="14"/>
  <c r="A340" i="14"/>
  <c r="I339" i="14"/>
  <c r="A339" i="14"/>
  <c r="I338" i="14"/>
  <c r="J338" i="14"/>
  <c r="A338" i="14"/>
  <c r="I337" i="14"/>
  <c r="J337" i="14"/>
  <c r="A337" i="14"/>
  <c r="I336" i="14"/>
  <c r="J336" i="14"/>
  <c r="A336" i="14"/>
  <c r="I335" i="14"/>
  <c r="A335" i="14"/>
  <c r="I334" i="14"/>
  <c r="A334" i="14"/>
  <c r="I333" i="14"/>
  <c r="A333" i="14"/>
  <c r="I332" i="14"/>
  <c r="A332" i="14"/>
  <c r="I331" i="14"/>
  <c r="J331" i="14"/>
  <c r="A331" i="14"/>
  <c r="I330" i="14"/>
  <c r="A330" i="14"/>
  <c r="I329" i="14"/>
  <c r="A329" i="14"/>
  <c r="I328" i="14"/>
  <c r="A328" i="14"/>
  <c r="I327" i="14"/>
  <c r="J327" i="14"/>
  <c r="A327" i="14"/>
  <c r="I326" i="14"/>
  <c r="A326" i="14"/>
  <c r="I325" i="14"/>
  <c r="A325" i="14"/>
  <c r="I324" i="14"/>
  <c r="J324" i="14"/>
  <c r="A324" i="14"/>
  <c r="I323" i="14"/>
  <c r="J323" i="14"/>
  <c r="A323" i="14"/>
  <c r="I322" i="14"/>
  <c r="J322" i="14"/>
  <c r="A322" i="14"/>
  <c r="I321" i="14"/>
  <c r="A321" i="14"/>
  <c r="I320" i="14"/>
  <c r="A320" i="14"/>
  <c r="I319" i="14"/>
  <c r="J319" i="14"/>
  <c r="A319" i="14"/>
  <c r="I318" i="14"/>
  <c r="J318" i="14"/>
  <c r="A318" i="14"/>
  <c r="I317" i="14"/>
  <c r="J317" i="14"/>
  <c r="A317" i="14"/>
  <c r="I316" i="14"/>
  <c r="J316" i="14"/>
  <c r="A316" i="14"/>
  <c r="I315" i="14"/>
  <c r="J315" i="14"/>
  <c r="A315" i="14"/>
  <c r="I314" i="14"/>
  <c r="J314" i="14"/>
  <c r="A314" i="14"/>
  <c r="I313" i="14"/>
  <c r="A313" i="14"/>
  <c r="I312" i="14"/>
  <c r="J312" i="14"/>
  <c r="A312" i="14"/>
  <c r="I311" i="14"/>
  <c r="J311" i="14"/>
  <c r="A311" i="14"/>
  <c r="I310" i="14"/>
  <c r="J310" i="14"/>
  <c r="A310" i="14"/>
  <c r="I309" i="14"/>
  <c r="A309" i="14"/>
  <c r="I308" i="14"/>
  <c r="A308" i="14"/>
  <c r="I307" i="14"/>
  <c r="A307" i="14"/>
  <c r="I306" i="14"/>
  <c r="J306" i="14"/>
  <c r="A306" i="14"/>
  <c r="I305" i="14"/>
  <c r="J305" i="14"/>
  <c r="A305" i="14"/>
  <c r="I304" i="14"/>
  <c r="J304" i="14"/>
  <c r="A304" i="14"/>
  <c r="A120" i="14"/>
  <c r="A119" i="14"/>
  <c r="A118" i="14"/>
  <c r="A117" i="14"/>
  <c r="A116" i="14"/>
  <c r="A115" i="14"/>
  <c r="A114" i="14"/>
  <c r="A113" i="14"/>
  <c r="A112" i="14"/>
  <c r="A111" i="14"/>
  <c r="A12" i="14"/>
  <c r="A11" i="14"/>
  <c r="A128" i="14"/>
  <c r="A127" i="14"/>
  <c r="A126" i="14"/>
  <c r="A109" i="14"/>
  <c r="A108" i="14"/>
  <c r="A107" i="14"/>
  <c r="A106" i="14"/>
  <c r="A105" i="14"/>
  <c r="A104" i="14"/>
  <c r="A103" i="14"/>
  <c r="A102" i="14"/>
  <c r="A101" i="14"/>
  <c r="A92" i="14"/>
  <c r="A91" i="14"/>
  <c r="A90" i="14"/>
  <c r="A89" i="14"/>
  <c r="A88" i="14"/>
  <c r="A87" i="14"/>
  <c r="A81" i="14"/>
  <c r="A85" i="14"/>
  <c r="A84" i="14"/>
  <c r="A80" i="14"/>
  <c r="A83" i="14"/>
  <c r="A79" i="14"/>
  <c r="A10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99" i="14"/>
  <c r="A98" i="14"/>
  <c r="A97" i="14"/>
  <c r="A96" i="14"/>
  <c r="A95" i="14"/>
  <c r="A94" i="14"/>
  <c r="A57" i="14"/>
  <c r="A56" i="14"/>
  <c r="A55" i="14"/>
  <c r="A54" i="14"/>
  <c r="A53" i="14"/>
  <c r="A52" i="14"/>
  <c r="A9" i="14"/>
  <c r="A8" i="14"/>
  <c r="A7" i="14"/>
  <c r="A6" i="14"/>
  <c r="A50" i="14"/>
  <c r="A49" i="14"/>
  <c r="A48" i="14"/>
  <c r="A47" i="14"/>
  <c r="A46" i="14"/>
  <c r="A45" i="14"/>
  <c r="A44" i="14"/>
  <c r="A5" i="14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K354" i="14" l="1"/>
  <c r="K364" i="14"/>
  <c r="K357" i="14"/>
  <c r="K356" i="14"/>
  <c r="K355" i="14"/>
  <c r="I152" i="14"/>
  <c r="K359" i="14"/>
  <c r="K365" i="14"/>
  <c r="K361" i="14"/>
  <c r="K358" i="14"/>
  <c r="K363" i="14"/>
  <c r="K353" i="14"/>
  <c r="K360" i="14"/>
  <c r="K362" i="14"/>
  <c r="I301" i="14"/>
  <c r="I221" i="14"/>
  <c r="I271" i="14"/>
  <c r="I121" i="14"/>
  <c r="I147" i="14"/>
  <c r="I257" i="14"/>
  <c r="I86" i="14"/>
  <c r="I134" i="14"/>
  <c r="I282" i="14"/>
  <c r="I100" i="14"/>
  <c r="I178" i="14"/>
  <c r="I78" i="14"/>
  <c r="I93" i="14"/>
  <c r="I249" i="14"/>
  <c r="I277" i="14"/>
  <c r="I166" i="14"/>
  <c r="I244" i="14"/>
  <c r="I289" i="14"/>
  <c r="I43" i="14"/>
  <c r="I58" i="14"/>
  <c r="I82" i="14"/>
  <c r="I160" i="14"/>
  <c r="I51" i="14"/>
  <c r="I228" i="14"/>
  <c r="G126" i="14"/>
  <c r="J126" i="14" s="1"/>
  <c r="H126" i="14"/>
  <c r="H352" i="14"/>
  <c r="H42" i="14"/>
  <c r="G42" i="14"/>
  <c r="J42" i="14" s="1"/>
  <c r="H89" i="14"/>
  <c r="G89" i="14"/>
  <c r="J89" i="14" s="1"/>
  <c r="H171" i="14"/>
  <c r="G171" i="14"/>
  <c r="J171" i="14" s="1"/>
  <c r="H256" i="14"/>
  <c r="G256" i="14"/>
  <c r="J256" i="14" s="1"/>
  <c r="G32" i="14"/>
  <c r="J32" i="14" s="1"/>
  <c r="H32" i="14"/>
  <c r="H62" i="14"/>
  <c r="G62" i="14"/>
  <c r="J62" i="14" s="1"/>
  <c r="H119" i="14"/>
  <c r="G119" i="14"/>
  <c r="J119" i="14" s="1"/>
  <c r="H181" i="14"/>
  <c r="G181" i="14"/>
  <c r="J181" i="14" s="1"/>
  <c r="H33" i="14"/>
  <c r="G33" i="14"/>
  <c r="J33" i="14" s="1"/>
  <c r="H71" i="14"/>
  <c r="G71" i="14"/>
  <c r="J71" i="14" s="1"/>
  <c r="H91" i="14"/>
  <c r="G91" i="14"/>
  <c r="J91" i="14" s="1"/>
  <c r="H145" i="14"/>
  <c r="G145" i="14"/>
  <c r="J145" i="14" s="1"/>
  <c r="H182" i="14"/>
  <c r="G182" i="14"/>
  <c r="J182" i="14" s="1"/>
  <c r="H198" i="14"/>
  <c r="G198" i="14"/>
  <c r="J198" i="14" s="1"/>
  <c r="H232" i="14"/>
  <c r="G232" i="14"/>
  <c r="J232" i="14" s="1"/>
  <c r="H250" i="14"/>
  <c r="G250" i="14"/>
  <c r="J250" i="14" s="1"/>
  <c r="H267" i="14"/>
  <c r="G267" i="14"/>
  <c r="J267" i="14" s="1"/>
  <c r="H286" i="14"/>
  <c r="G286" i="14"/>
  <c r="J286" i="14" s="1"/>
  <c r="H297" i="14"/>
  <c r="G297" i="14"/>
  <c r="J297" i="14" s="1"/>
  <c r="H17" i="14"/>
  <c r="G17" i="14"/>
  <c r="J17" i="14" s="1"/>
  <c r="H61" i="14"/>
  <c r="G61" i="14"/>
  <c r="J61" i="14" s="1"/>
  <c r="H118" i="14"/>
  <c r="G118" i="14"/>
  <c r="J118" i="14" s="1"/>
  <c r="H162" i="14"/>
  <c r="G162" i="14"/>
  <c r="J162" i="14" s="1"/>
  <c r="H196" i="14"/>
  <c r="G196" i="14"/>
  <c r="J196" i="14" s="1"/>
  <c r="H230" i="14"/>
  <c r="G230" i="14"/>
  <c r="J230" i="14" s="1"/>
  <c r="H274" i="14"/>
  <c r="G274" i="14"/>
  <c r="J274" i="14" s="1"/>
  <c r="H44" i="14"/>
  <c r="G44" i="14"/>
  <c r="J44" i="14" s="1"/>
  <c r="H80" i="14"/>
  <c r="G80" i="14"/>
  <c r="J80" i="14" s="1"/>
  <c r="H144" i="14"/>
  <c r="G144" i="14"/>
  <c r="J144" i="14" s="1"/>
  <c r="H189" i="14"/>
  <c r="G189" i="14"/>
  <c r="J189" i="14" s="1"/>
  <c r="H20" i="14"/>
  <c r="G20" i="14"/>
  <c r="J20" i="14" s="1"/>
  <c r="H63" i="14"/>
  <c r="G63" i="14"/>
  <c r="J63" i="14" s="1"/>
  <c r="H111" i="14"/>
  <c r="G111" i="14"/>
  <c r="J111" i="14" s="1"/>
  <c r="H155" i="14"/>
  <c r="G155" i="14"/>
  <c r="J155" i="14" s="1"/>
  <c r="H173" i="14"/>
  <c r="G173" i="14"/>
  <c r="J173" i="14" s="1"/>
  <c r="H206" i="14"/>
  <c r="G206" i="14"/>
  <c r="J206" i="14" s="1"/>
  <c r="H223" i="14"/>
  <c r="G223" i="14"/>
  <c r="J223" i="14" s="1"/>
  <c r="H276" i="14"/>
  <c r="G276" i="14"/>
  <c r="J276" i="14" s="1"/>
  <c r="H21" i="14"/>
  <c r="G21" i="14"/>
  <c r="J21" i="14" s="1"/>
  <c r="H55" i="14"/>
  <c r="G55" i="14"/>
  <c r="J55" i="14" s="1"/>
  <c r="H83" i="14"/>
  <c r="G83" i="14"/>
  <c r="J83" i="14" s="1"/>
  <c r="G113" i="14"/>
  <c r="J113" i="14" s="1"/>
  <c r="H113" i="14"/>
  <c r="H146" i="14"/>
  <c r="G146" i="14"/>
  <c r="J146" i="14" s="1"/>
  <c r="H165" i="14"/>
  <c r="G165" i="14"/>
  <c r="J165" i="14" s="1"/>
  <c r="H183" i="14"/>
  <c r="G183" i="14"/>
  <c r="J183" i="14" s="1"/>
  <c r="H207" i="14"/>
  <c r="G207" i="14"/>
  <c r="J207" i="14" s="1"/>
  <c r="H233" i="14"/>
  <c r="G233" i="14"/>
  <c r="J233" i="14" s="1"/>
  <c r="H251" i="14"/>
  <c r="G251" i="14"/>
  <c r="J251" i="14" s="1"/>
  <c r="H287" i="14"/>
  <c r="G287" i="14"/>
  <c r="J287" i="14" s="1"/>
  <c r="H13" i="14"/>
  <c r="G13" i="14"/>
  <c r="J13" i="14" s="1"/>
  <c r="H38" i="14"/>
  <c r="G38" i="14"/>
  <c r="J38" i="14" s="1"/>
  <c r="H65" i="14"/>
  <c r="G65" i="14"/>
  <c r="J65" i="14" s="1"/>
  <c r="G84" i="14"/>
  <c r="J84" i="14" s="1"/>
  <c r="H84" i="14"/>
  <c r="H114" i="14"/>
  <c r="G114" i="14"/>
  <c r="J114" i="14" s="1"/>
  <c r="H139" i="14"/>
  <c r="G139" i="14"/>
  <c r="J139" i="14" s="1"/>
  <c r="H157" i="14"/>
  <c r="G157" i="14"/>
  <c r="J157" i="14" s="1"/>
  <c r="H175" i="14"/>
  <c r="G175" i="14"/>
  <c r="J175" i="14" s="1"/>
  <c r="H200" i="14"/>
  <c r="G200" i="14"/>
  <c r="J200" i="14" s="1"/>
  <c r="H52" i="14"/>
  <c r="G52" i="14"/>
  <c r="J52" i="14" s="1"/>
  <c r="H98" i="14"/>
  <c r="G98" i="14"/>
  <c r="J98" i="14" s="1"/>
  <c r="H143" i="14"/>
  <c r="G143" i="14"/>
  <c r="J143" i="14" s="1"/>
  <c r="H180" i="14"/>
  <c r="G180" i="14"/>
  <c r="J180" i="14" s="1"/>
  <c r="H212" i="14"/>
  <c r="G212" i="14"/>
  <c r="J212" i="14" s="1"/>
  <c r="H247" i="14"/>
  <c r="G247" i="14"/>
  <c r="J247" i="14" s="1"/>
  <c r="H10" i="14"/>
  <c r="G10" i="14"/>
  <c r="J10" i="14" s="1"/>
  <c r="H53" i="14"/>
  <c r="G53" i="14"/>
  <c r="J53" i="14" s="1"/>
  <c r="H90" i="14"/>
  <c r="G90" i="14"/>
  <c r="J90" i="14" s="1"/>
  <c r="H172" i="14"/>
  <c r="G172" i="14"/>
  <c r="J172" i="14" s="1"/>
  <c r="H11" i="14"/>
  <c r="G11" i="14"/>
  <c r="J11" i="14" s="1"/>
  <c r="H45" i="14"/>
  <c r="G45" i="14"/>
  <c r="J45" i="14" s="1"/>
  <c r="H81" i="14"/>
  <c r="G81" i="14"/>
  <c r="J81" i="14" s="1"/>
  <c r="G120" i="14"/>
  <c r="J120" i="14" s="1"/>
  <c r="H120" i="14"/>
  <c r="H164" i="14"/>
  <c r="G164" i="14"/>
  <c r="J164" i="14" s="1"/>
  <c r="H190" i="14"/>
  <c r="G190" i="14"/>
  <c r="J190" i="14" s="1"/>
  <c r="H214" i="14"/>
  <c r="G214" i="14"/>
  <c r="J214" i="14" s="1"/>
  <c r="H259" i="14"/>
  <c r="G259" i="14"/>
  <c r="J259" i="14" s="1"/>
  <c r="H12" i="14"/>
  <c r="G12" i="14"/>
  <c r="J12" i="14" s="1"/>
  <c r="H46" i="14"/>
  <c r="G46" i="14"/>
  <c r="J46" i="14" s="1"/>
  <c r="H64" i="14"/>
  <c r="G64" i="14"/>
  <c r="J64" i="14" s="1"/>
  <c r="H92" i="14"/>
  <c r="G92" i="14"/>
  <c r="J92" i="14" s="1"/>
  <c r="H138" i="14"/>
  <c r="G138" i="14"/>
  <c r="J138" i="14" s="1"/>
  <c r="H174" i="14"/>
  <c r="G174" i="14"/>
  <c r="J174" i="14" s="1"/>
  <c r="H191" i="14"/>
  <c r="G191" i="14"/>
  <c r="J191" i="14" s="1"/>
  <c r="H215" i="14"/>
  <c r="G215" i="14"/>
  <c r="J215" i="14" s="1"/>
  <c r="H241" i="14"/>
  <c r="G241" i="14"/>
  <c r="J241" i="14" s="1"/>
  <c r="H268" i="14"/>
  <c r="G268" i="14"/>
  <c r="J268" i="14" s="1"/>
  <c r="H278" i="14"/>
  <c r="G278" i="14"/>
  <c r="J278" i="14" s="1"/>
  <c r="G298" i="14"/>
  <c r="J298" i="14" s="1"/>
  <c r="H298" i="14"/>
  <c r="H22" i="14"/>
  <c r="G22" i="14"/>
  <c r="J22" i="14" s="1"/>
  <c r="H47" i="14"/>
  <c r="G47" i="14"/>
  <c r="J47" i="14" s="1"/>
  <c r="H73" i="14"/>
  <c r="G73" i="14"/>
  <c r="J73" i="14" s="1"/>
  <c r="G94" i="14"/>
  <c r="J94" i="14" s="1"/>
  <c r="H94" i="14"/>
  <c r="H128" i="14"/>
  <c r="G128" i="14"/>
  <c r="J128" i="14" s="1"/>
  <c r="H148" i="14"/>
  <c r="G148" i="14"/>
  <c r="J148" i="14" s="1"/>
  <c r="H167" i="14"/>
  <c r="G167" i="14"/>
  <c r="J167" i="14" s="1"/>
  <c r="H184" i="14"/>
  <c r="G184" i="14"/>
  <c r="J184" i="14" s="1"/>
  <c r="H192" i="14"/>
  <c r="G192" i="14"/>
  <c r="J192" i="14" s="1"/>
  <c r="H208" i="14"/>
  <c r="G208" i="14"/>
  <c r="J208" i="14" s="1"/>
  <c r="H216" i="14"/>
  <c r="G216" i="14"/>
  <c r="J216" i="14" s="1"/>
  <c r="H225" i="14"/>
  <c r="G225" i="14"/>
  <c r="J225" i="14" s="1"/>
  <c r="H234" i="14"/>
  <c r="G234" i="14"/>
  <c r="J234" i="14" s="1"/>
  <c r="H242" i="14"/>
  <c r="G242" i="14"/>
  <c r="J242" i="14" s="1"/>
  <c r="H252" i="14"/>
  <c r="G252" i="14"/>
  <c r="J252" i="14" s="1"/>
  <c r="H261" i="14"/>
  <c r="G261" i="14"/>
  <c r="J261" i="14" s="1"/>
  <c r="H269" i="14"/>
  <c r="G269" i="14"/>
  <c r="J269" i="14" s="1"/>
  <c r="H279" i="14"/>
  <c r="G279" i="14"/>
  <c r="J279" i="14" s="1"/>
  <c r="H288" i="14"/>
  <c r="G288" i="14"/>
  <c r="J288" i="14" s="1"/>
  <c r="G299" i="14"/>
  <c r="J299" i="14" s="1"/>
  <c r="H299" i="14"/>
  <c r="H14" i="14"/>
  <c r="G14" i="14"/>
  <c r="J14" i="14" s="1"/>
  <c r="G23" i="14"/>
  <c r="J23" i="14" s="1"/>
  <c r="H23" i="14"/>
  <c r="G39" i="14"/>
  <c r="J39" i="14" s="1"/>
  <c r="H39" i="14"/>
  <c r="G48" i="14"/>
  <c r="J48" i="14" s="1"/>
  <c r="H48" i="14"/>
  <c r="G57" i="14"/>
  <c r="J57" i="14" s="1"/>
  <c r="H57" i="14"/>
  <c r="G66" i="14"/>
  <c r="J66" i="14" s="1"/>
  <c r="H66" i="14"/>
  <c r="G74" i="14"/>
  <c r="J74" i="14" s="1"/>
  <c r="H74" i="14"/>
  <c r="G85" i="14"/>
  <c r="J85" i="14" s="1"/>
  <c r="H85" i="14"/>
  <c r="G95" i="14"/>
  <c r="J95" i="14" s="1"/>
  <c r="H95" i="14"/>
  <c r="H115" i="14"/>
  <c r="G115" i="14"/>
  <c r="J115" i="14" s="1"/>
  <c r="H129" i="14"/>
  <c r="G129" i="14"/>
  <c r="J129" i="14" s="1"/>
  <c r="G140" i="14"/>
  <c r="J140" i="14" s="1"/>
  <c r="H140" i="14"/>
  <c r="G149" i="14"/>
  <c r="J149" i="14" s="1"/>
  <c r="H149" i="14"/>
  <c r="G158" i="14"/>
  <c r="J158" i="14" s="1"/>
  <c r="H158" i="14"/>
  <c r="G168" i="14"/>
  <c r="J168" i="14" s="1"/>
  <c r="H168" i="14"/>
  <c r="G176" i="14"/>
  <c r="J176" i="14" s="1"/>
  <c r="H176" i="14"/>
  <c r="G185" i="14"/>
  <c r="J185" i="14" s="1"/>
  <c r="H185" i="14"/>
  <c r="G193" i="14"/>
  <c r="J193" i="14" s="1"/>
  <c r="H193" i="14"/>
  <c r="G201" i="14"/>
  <c r="J201" i="14" s="1"/>
  <c r="H201" i="14"/>
  <c r="G209" i="14"/>
  <c r="J209" i="14" s="1"/>
  <c r="H209" i="14"/>
  <c r="G217" i="14"/>
  <c r="J217" i="14" s="1"/>
  <c r="H217" i="14"/>
  <c r="G226" i="14"/>
  <c r="J226" i="14" s="1"/>
  <c r="H226" i="14"/>
  <c r="G235" i="14"/>
  <c r="J235" i="14" s="1"/>
  <c r="H235" i="14"/>
  <c r="G243" i="14"/>
  <c r="J243" i="14" s="1"/>
  <c r="H243" i="14"/>
  <c r="G253" i="14"/>
  <c r="J253" i="14" s="1"/>
  <c r="H253" i="14"/>
  <c r="G262" i="14"/>
  <c r="J262" i="14" s="1"/>
  <c r="H262" i="14"/>
  <c r="G270" i="14"/>
  <c r="J270" i="14" s="1"/>
  <c r="H270" i="14"/>
  <c r="G280" i="14"/>
  <c r="J280" i="14" s="1"/>
  <c r="H280" i="14"/>
  <c r="G290" i="14"/>
  <c r="J290" i="14" s="1"/>
  <c r="H290" i="14"/>
  <c r="H300" i="14"/>
  <c r="G300" i="14"/>
  <c r="J300" i="14" s="1"/>
  <c r="H135" i="14"/>
  <c r="H136" i="14" s="1"/>
  <c r="G135" i="14"/>
  <c r="J135" i="14" s="1"/>
  <c r="J136" i="14" s="1"/>
  <c r="H54" i="14"/>
  <c r="G54" i="14"/>
  <c r="J54" i="14" s="1"/>
  <c r="H137" i="14"/>
  <c r="G137" i="14"/>
  <c r="J137" i="14" s="1"/>
  <c r="H240" i="14"/>
  <c r="G240" i="14"/>
  <c r="J240" i="14" s="1"/>
  <c r="H34" i="14"/>
  <c r="G34" i="14"/>
  <c r="J34" i="14" s="1"/>
  <c r="H72" i="14"/>
  <c r="G72" i="14"/>
  <c r="J72" i="14" s="1"/>
  <c r="H127" i="14"/>
  <c r="G127" i="14"/>
  <c r="J127" i="14" s="1"/>
  <c r="H156" i="14"/>
  <c r="G156" i="14"/>
  <c r="J156" i="14" s="1"/>
  <c r="H199" i="14"/>
  <c r="G199" i="14"/>
  <c r="J199" i="14" s="1"/>
  <c r="H224" i="14"/>
  <c r="G224" i="14"/>
  <c r="J224" i="14" s="1"/>
  <c r="H260" i="14"/>
  <c r="G260" i="14"/>
  <c r="J260" i="14" s="1"/>
  <c r="H56" i="14"/>
  <c r="G56" i="14"/>
  <c r="J56" i="14" s="1"/>
  <c r="G15" i="14"/>
  <c r="J15" i="14" s="1"/>
  <c r="H15" i="14"/>
  <c r="H25" i="14"/>
  <c r="G25" i="14"/>
  <c r="J25" i="14" s="1"/>
  <c r="G40" i="14"/>
  <c r="J40" i="14" s="1"/>
  <c r="H40" i="14"/>
  <c r="G49" i="14"/>
  <c r="J49" i="14" s="1"/>
  <c r="H49" i="14"/>
  <c r="G59" i="14"/>
  <c r="J59" i="14" s="1"/>
  <c r="H59" i="14"/>
  <c r="G67" i="14"/>
  <c r="J67" i="14" s="1"/>
  <c r="H67" i="14"/>
  <c r="H76" i="14"/>
  <c r="G76" i="14"/>
  <c r="J76" i="14" s="1"/>
  <c r="H87" i="14"/>
  <c r="G87" i="14"/>
  <c r="J87" i="14" s="1"/>
  <c r="H96" i="14"/>
  <c r="G96" i="14"/>
  <c r="J96" i="14" s="1"/>
  <c r="H116" i="14"/>
  <c r="G116" i="14"/>
  <c r="J116" i="14" s="1"/>
  <c r="G130" i="14"/>
  <c r="J130" i="14" s="1"/>
  <c r="H130" i="14"/>
  <c r="G141" i="14"/>
  <c r="J141" i="14" s="1"/>
  <c r="H141" i="14"/>
  <c r="G150" i="14"/>
  <c r="J150" i="14" s="1"/>
  <c r="H150" i="14"/>
  <c r="G159" i="14"/>
  <c r="J159" i="14" s="1"/>
  <c r="H159" i="14"/>
  <c r="G169" i="14"/>
  <c r="J169" i="14" s="1"/>
  <c r="H169" i="14"/>
  <c r="G177" i="14"/>
  <c r="J177" i="14" s="1"/>
  <c r="H177" i="14"/>
  <c r="G186" i="14"/>
  <c r="J186" i="14" s="1"/>
  <c r="H186" i="14"/>
  <c r="G194" i="14"/>
  <c r="J194" i="14" s="1"/>
  <c r="H194" i="14"/>
  <c r="G202" i="14"/>
  <c r="J202" i="14" s="1"/>
  <c r="H202" i="14"/>
  <c r="G210" i="14"/>
  <c r="J210" i="14" s="1"/>
  <c r="H210" i="14"/>
  <c r="G218" i="14"/>
  <c r="J218" i="14" s="1"/>
  <c r="H218" i="14"/>
  <c r="G227" i="14"/>
  <c r="J227" i="14" s="1"/>
  <c r="H227" i="14"/>
  <c r="G236" i="14"/>
  <c r="J236" i="14" s="1"/>
  <c r="H236" i="14"/>
  <c r="G245" i="14"/>
  <c r="J245" i="14" s="1"/>
  <c r="H245" i="14"/>
  <c r="G254" i="14"/>
  <c r="J254" i="14" s="1"/>
  <c r="H254" i="14"/>
  <c r="G263" i="14"/>
  <c r="J263" i="14" s="1"/>
  <c r="H263" i="14"/>
  <c r="G272" i="14"/>
  <c r="J272" i="14" s="1"/>
  <c r="H272" i="14"/>
  <c r="G281" i="14"/>
  <c r="J281" i="14" s="1"/>
  <c r="H281" i="14"/>
  <c r="H293" i="14"/>
  <c r="G293" i="14"/>
  <c r="J293" i="14" s="1"/>
  <c r="G16" i="14"/>
  <c r="J16" i="14" s="1"/>
  <c r="H16" i="14"/>
  <c r="H27" i="14"/>
  <c r="G27" i="14"/>
  <c r="J27" i="14" s="1"/>
  <c r="H41" i="14"/>
  <c r="G41" i="14"/>
  <c r="J41" i="14" s="1"/>
  <c r="H50" i="14"/>
  <c r="G50" i="14"/>
  <c r="J50" i="14" s="1"/>
  <c r="H60" i="14"/>
  <c r="G60" i="14"/>
  <c r="J60" i="14" s="1"/>
  <c r="H68" i="14"/>
  <c r="G68" i="14"/>
  <c r="J68" i="14" s="1"/>
  <c r="H77" i="14"/>
  <c r="G77" i="14"/>
  <c r="J77" i="14" s="1"/>
  <c r="H88" i="14"/>
  <c r="G88" i="14"/>
  <c r="J88" i="14" s="1"/>
  <c r="H97" i="14"/>
  <c r="G97" i="14"/>
  <c r="J97" i="14" s="1"/>
  <c r="H117" i="14"/>
  <c r="G117" i="14"/>
  <c r="J117" i="14" s="1"/>
  <c r="G131" i="14"/>
  <c r="J131" i="14" s="1"/>
  <c r="H131" i="14"/>
  <c r="H142" i="14"/>
  <c r="G142" i="14"/>
  <c r="J142" i="14" s="1"/>
  <c r="H151" i="14"/>
  <c r="G151" i="14"/>
  <c r="J151" i="14" s="1"/>
  <c r="H161" i="14"/>
  <c r="G161" i="14"/>
  <c r="J161" i="14" s="1"/>
  <c r="H170" i="14"/>
  <c r="G170" i="14"/>
  <c r="J170" i="14" s="1"/>
  <c r="H179" i="14"/>
  <c r="G179" i="14"/>
  <c r="J179" i="14" s="1"/>
  <c r="H187" i="14"/>
  <c r="G187" i="14"/>
  <c r="J187" i="14" s="1"/>
  <c r="H195" i="14"/>
  <c r="G195" i="14"/>
  <c r="J195" i="14" s="1"/>
  <c r="H203" i="14"/>
  <c r="G203" i="14"/>
  <c r="J203" i="14" s="1"/>
  <c r="H211" i="14"/>
  <c r="G211" i="14"/>
  <c r="J211" i="14" s="1"/>
  <c r="H219" i="14"/>
  <c r="G219" i="14"/>
  <c r="J219" i="14" s="1"/>
  <c r="H229" i="14"/>
  <c r="G229" i="14"/>
  <c r="J229" i="14" s="1"/>
  <c r="H237" i="14"/>
  <c r="G237" i="14"/>
  <c r="J237" i="14" s="1"/>
  <c r="H246" i="14"/>
  <c r="G246" i="14"/>
  <c r="J246" i="14" s="1"/>
  <c r="H255" i="14"/>
  <c r="G255" i="14"/>
  <c r="J255" i="14" s="1"/>
  <c r="H264" i="14"/>
  <c r="G264" i="14"/>
  <c r="J264" i="14" s="1"/>
  <c r="H273" i="14"/>
  <c r="G273" i="14"/>
  <c r="J273" i="14" s="1"/>
  <c r="H283" i="14"/>
  <c r="G283" i="14"/>
  <c r="J283" i="14" s="1"/>
  <c r="H294" i="14"/>
  <c r="G294" i="14"/>
  <c r="J294" i="14" s="1"/>
  <c r="G31" i="14"/>
  <c r="J31" i="14" s="1"/>
  <c r="H31" i="14"/>
  <c r="H79" i="14"/>
  <c r="G79" i="14"/>
  <c r="J79" i="14" s="1"/>
  <c r="H153" i="14"/>
  <c r="G153" i="14"/>
  <c r="J153" i="14" s="1"/>
  <c r="H204" i="14"/>
  <c r="G204" i="14"/>
  <c r="J204" i="14" s="1"/>
  <c r="H238" i="14"/>
  <c r="G238" i="14"/>
  <c r="J238" i="14" s="1"/>
  <c r="H284" i="14"/>
  <c r="G284" i="14"/>
  <c r="J284" i="14" s="1"/>
  <c r="H295" i="14"/>
  <c r="G295" i="14"/>
  <c r="J295" i="14" s="1"/>
  <c r="H9" i="14"/>
  <c r="G9" i="14"/>
  <c r="J9" i="14" s="1"/>
  <c r="H69" i="14"/>
  <c r="G69" i="14"/>
  <c r="J69" i="14" s="1"/>
  <c r="H132" i="14"/>
  <c r="G132" i="14"/>
  <c r="J132" i="14" s="1"/>
  <c r="H188" i="14"/>
  <c r="G188" i="14"/>
  <c r="J188" i="14" s="1"/>
  <c r="H220" i="14"/>
  <c r="G220" i="14"/>
  <c r="J220" i="14" s="1"/>
  <c r="H265" i="14"/>
  <c r="G265" i="14"/>
  <c r="J265" i="14" s="1"/>
  <c r="H18" i="14"/>
  <c r="G18" i="14"/>
  <c r="J18" i="14" s="1"/>
  <c r="H70" i="14"/>
  <c r="G70" i="14"/>
  <c r="J70" i="14" s="1"/>
  <c r="H99" i="14"/>
  <c r="G99" i="14"/>
  <c r="J99" i="14" s="1"/>
  <c r="H154" i="14"/>
  <c r="G154" i="14"/>
  <c r="J154" i="14" s="1"/>
  <c r="H163" i="14"/>
  <c r="G163" i="14"/>
  <c r="J163" i="14" s="1"/>
  <c r="H197" i="14"/>
  <c r="G197" i="14"/>
  <c r="J197" i="14" s="1"/>
  <c r="H205" i="14"/>
  <c r="G205" i="14"/>
  <c r="J205" i="14" s="1"/>
  <c r="H213" i="14"/>
  <c r="G213" i="14"/>
  <c r="J213" i="14" s="1"/>
  <c r="H222" i="14"/>
  <c r="G222" i="14"/>
  <c r="J222" i="14" s="1"/>
  <c r="H231" i="14"/>
  <c r="G231" i="14"/>
  <c r="J231" i="14" s="1"/>
  <c r="H239" i="14"/>
  <c r="G239" i="14"/>
  <c r="J239" i="14" s="1"/>
  <c r="H248" i="14"/>
  <c r="G248" i="14"/>
  <c r="J248" i="14" s="1"/>
  <c r="H258" i="14"/>
  <c r="G258" i="14"/>
  <c r="J258" i="14" s="1"/>
  <c r="H266" i="14"/>
  <c r="G266" i="14"/>
  <c r="J266" i="14" s="1"/>
  <c r="H275" i="14"/>
  <c r="G275" i="14"/>
  <c r="J275" i="14" s="1"/>
  <c r="H285" i="14"/>
  <c r="G285" i="14"/>
  <c r="J285" i="14" s="1"/>
  <c r="H296" i="14"/>
  <c r="G296" i="14"/>
  <c r="J296" i="14" s="1"/>
  <c r="J342" i="14"/>
  <c r="I341" i="14"/>
  <c r="J341" i="14"/>
  <c r="D369" i="14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H86" i="14" l="1"/>
  <c r="H82" i="14"/>
  <c r="I302" i="14"/>
  <c r="I303" i="14" s="1"/>
  <c r="I367" i="14" s="1"/>
  <c r="I369" i="14" s="1"/>
  <c r="H147" i="14"/>
  <c r="H121" i="14"/>
  <c r="J244" i="14"/>
  <c r="H244" i="14"/>
  <c r="H166" i="14"/>
  <c r="H277" i="14"/>
  <c r="J147" i="14"/>
  <c r="H301" i="14"/>
  <c r="J86" i="14"/>
  <c r="J121" i="14"/>
  <c r="J289" i="14"/>
  <c r="J221" i="14"/>
  <c r="J100" i="14"/>
  <c r="H257" i="14"/>
  <c r="H134" i="14"/>
  <c r="J160" i="14"/>
  <c r="H289" i="14"/>
  <c r="H221" i="14"/>
  <c r="H78" i="14"/>
  <c r="J178" i="14"/>
  <c r="J282" i="14"/>
  <c r="J58" i="14"/>
  <c r="J51" i="14"/>
  <c r="J134" i="14"/>
  <c r="J43" i="14"/>
  <c r="H43" i="14"/>
  <c r="J271" i="14"/>
  <c r="J82" i="14"/>
  <c r="J78" i="14"/>
  <c r="H178" i="14"/>
  <c r="H282" i="14"/>
  <c r="H58" i="14"/>
  <c r="H51" i="14"/>
  <c r="J301" i="14"/>
  <c r="H160" i="14"/>
  <c r="J228" i="14"/>
  <c r="H271" i="14"/>
  <c r="H228" i="14"/>
  <c r="H249" i="14"/>
  <c r="J93" i="14"/>
  <c r="J152" i="14"/>
  <c r="J277" i="14"/>
  <c r="H100" i="14"/>
  <c r="J257" i="14"/>
  <c r="J166" i="14"/>
  <c r="J249" i="14"/>
  <c r="H93" i="14"/>
  <c r="H152" i="14"/>
  <c r="J352" i="14"/>
  <c r="Q369" i="14"/>
  <c r="Q306" i="13"/>
  <c r="S306" i="13" s="1"/>
  <c r="D306" i="13"/>
  <c r="Q294" i="13"/>
  <c r="S294" i="13" s="1"/>
  <c r="D294" i="13"/>
  <c r="Q287" i="13"/>
  <c r="S287" i="13" s="1"/>
  <c r="D287" i="13"/>
  <c r="Q282" i="13"/>
  <c r="S282" i="13" s="1"/>
  <c r="D282" i="13"/>
  <c r="Q275" i="13"/>
  <c r="S275" i="13" s="1"/>
  <c r="D275" i="13"/>
  <c r="Q256" i="13"/>
  <c r="S256" i="13" s="1"/>
  <c r="D256" i="13"/>
  <c r="Q249" i="13"/>
  <c r="S249" i="13" s="1"/>
  <c r="D249" i="13"/>
  <c r="Q244" i="13"/>
  <c r="S244" i="13" s="1"/>
  <c r="D244" i="13"/>
  <c r="Q231" i="13"/>
  <c r="S231" i="13" s="1"/>
  <c r="D231" i="13"/>
  <c r="Q223" i="13"/>
  <c r="S223" i="13" s="1"/>
  <c r="D223" i="13"/>
  <c r="Q180" i="13"/>
  <c r="S180" i="13" s="1"/>
  <c r="D180" i="13"/>
  <c r="Q167" i="13"/>
  <c r="S167" i="13" s="1"/>
  <c r="D167" i="13"/>
  <c r="Q161" i="13"/>
  <c r="S161" i="13" s="1"/>
  <c r="D161" i="13"/>
  <c r="Q154" i="13"/>
  <c r="S154" i="13" s="1"/>
  <c r="D154" i="13"/>
  <c r="Q148" i="13"/>
  <c r="S148" i="13" s="1"/>
  <c r="D148" i="13"/>
  <c r="Q137" i="13"/>
  <c r="S137" i="13" s="1"/>
  <c r="D137" i="13"/>
  <c r="Q133" i="13"/>
  <c r="S133" i="13" s="1"/>
  <c r="D133" i="13"/>
  <c r="Q121" i="13"/>
  <c r="S121" i="13" s="1"/>
  <c r="D121" i="13"/>
  <c r="Q118" i="13"/>
  <c r="S118" i="13" s="1"/>
  <c r="D118" i="13"/>
  <c r="Q107" i="13"/>
  <c r="S107" i="13" s="1"/>
  <c r="D107" i="13"/>
  <c r="Q103" i="13"/>
  <c r="S103" i="13" s="1"/>
  <c r="D103" i="13"/>
  <c r="Q94" i="13"/>
  <c r="S94" i="13" s="1"/>
  <c r="D94" i="13"/>
  <c r="Q85" i="13"/>
  <c r="S85" i="13" s="1"/>
  <c r="D85" i="13"/>
  <c r="Q81" i="13"/>
  <c r="S81" i="13" s="1"/>
  <c r="D81" i="13"/>
  <c r="Q77" i="13"/>
  <c r="S77" i="13" s="1"/>
  <c r="D77" i="13"/>
  <c r="Q57" i="13"/>
  <c r="S57" i="13" s="1"/>
  <c r="D57" i="13"/>
  <c r="Q50" i="13"/>
  <c r="S50" i="13" s="1"/>
  <c r="D50" i="13"/>
  <c r="D43" i="13"/>
  <c r="H234" i="13"/>
  <c r="G285" i="13"/>
  <c r="G281" i="13"/>
  <c r="I280" i="13"/>
  <c r="G278" i="13"/>
  <c r="I277" i="13"/>
  <c r="G274" i="13"/>
  <c r="I272" i="13"/>
  <c r="I270" i="13"/>
  <c r="I269" i="13"/>
  <c r="I267" i="13"/>
  <c r="I265" i="13"/>
  <c r="G263" i="13"/>
  <c r="I260" i="13"/>
  <c r="G258" i="13"/>
  <c r="G248" i="13"/>
  <c r="G247" i="13"/>
  <c r="G246" i="13"/>
  <c r="I245" i="13"/>
  <c r="I243" i="13"/>
  <c r="G242" i="13"/>
  <c r="I241" i="13"/>
  <c r="G239" i="13"/>
  <c r="G238" i="13"/>
  <c r="G236" i="13"/>
  <c r="I234" i="13"/>
  <c r="I233" i="13"/>
  <c r="G232" i="13"/>
  <c r="F136" i="13"/>
  <c r="F135" i="13"/>
  <c r="G134" i="13"/>
  <c r="Q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4" i="13"/>
  <c r="H45" i="13"/>
  <c r="H46" i="13"/>
  <c r="H47" i="13"/>
  <c r="H48" i="13"/>
  <c r="H49" i="13"/>
  <c r="H51" i="13"/>
  <c r="H52" i="13"/>
  <c r="H53" i="13"/>
  <c r="H54" i="13"/>
  <c r="H55" i="13"/>
  <c r="H56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8" i="13"/>
  <c r="H79" i="13"/>
  <c r="H80" i="13"/>
  <c r="H82" i="13"/>
  <c r="H83" i="13"/>
  <c r="H84" i="13"/>
  <c r="H86" i="13"/>
  <c r="H87" i="13"/>
  <c r="H88" i="13"/>
  <c r="H89" i="13"/>
  <c r="H90" i="13"/>
  <c r="H91" i="13"/>
  <c r="H92" i="13"/>
  <c r="H93" i="13"/>
  <c r="H95" i="13"/>
  <c r="H96" i="13"/>
  <c r="H97" i="13"/>
  <c r="H98" i="13"/>
  <c r="H99" i="13"/>
  <c r="H100" i="13"/>
  <c r="H101" i="13"/>
  <c r="H102" i="13"/>
  <c r="H104" i="13"/>
  <c r="H105" i="13"/>
  <c r="H106" i="13"/>
  <c r="H108" i="13"/>
  <c r="H109" i="13"/>
  <c r="H110" i="13"/>
  <c r="H111" i="13"/>
  <c r="H112" i="13"/>
  <c r="H113" i="13"/>
  <c r="H114" i="13"/>
  <c r="H115" i="13"/>
  <c r="H116" i="13"/>
  <c r="H117" i="13"/>
  <c r="H119" i="13"/>
  <c r="H120" i="13"/>
  <c r="H122" i="13"/>
  <c r="H123" i="13"/>
  <c r="H124" i="13"/>
  <c r="H125" i="13"/>
  <c r="H126" i="13"/>
  <c r="H127" i="13"/>
  <c r="H128" i="13"/>
  <c r="H129" i="13"/>
  <c r="H130" i="13"/>
  <c r="H131" i="13"/>
  <c r="H132" i="13"/>
  <c r="H134" i="13"/>
  <c r="H135" i="13"/>
  <c r="H136" i="13"/>
  <c r="H138" i="13"/>
  <c r="H139" i="13"/>
  <c r="H140" i="13"/>
  <c r="H141" i="13"/>
  <c r="H142" i="13"/>
  <c r="H143" i="13"/>
  <c r="H144" i="13"/>
  <c r="H145" i="13"/>
  <c r="H146" i="13"/>
  <c r="H147" i="13"/>
  <c r="H149" i="13"/>
  <c r="H150" i="13"/>
  <c r="H151" i="13"/>
  <c r="H152" i="13"/>
  <c r="H153" i="13"/>
  <c r="H155" i="13"/>
  <c r="H156" i="13"/>
  <c r="H157" i="13"/>
  <c r="H158" i="13"/>
  <c r="H159" i="13"/>
  <c r="H160" i="13"/>
  <c r="H162" i="13"/>
  <c r="H163" i="13"/>
  <c r="H164" i="13"/>
  <c r="H165" i="13"/>
  <c r="H166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4" i="13"/>
  <c r="H225" i="13"/>
  <c r="H226" i="13"/>
  <c r="H227" i="13"/>
  <c r="H228" i="13"/>
  <c r="H229" i="13"/>
  <c r="H230" i="13"/>
  <c r="H232" i="13"/>
  <c r="H233" i="13"/>
  <c r="H235" i="13"/>
  <c r="H236" i="13"/>
  <c r="H237" i="13"/>
  <c r="H238" i="13"/>
  <c r="H239" i="13"/>
  <c r="H240" i="13"/>
  <c r="H241" i="13"/>
  <c r="H242" i="13"/>
  <c r="H243" i="13"/>
  <c r="H245" i="13"/>
  <c r="H246" i="13"/>
  <c r="H247" i="13"/>
  <c r="H248" i="13"/>
  <c r="H250" i="13"/>
  <c r="H251" i="13"/>
  <c r="H252" i="13"/>
  <c r="H253" i="13"/>
  <c r="H254" i="13"/>
  <c r="H255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6" i="13"/>
  <c r="H277" i="13"/>
  <c r="H278" i="13"/>
  <c r="H279" i="13"/>
  <c r="H280" i="13"/>
  <c r="H281" i="13"/>
  <c r="H283" i="13"/>
  <c r="H284" i="13"/>
  <c r="H285" i="13"/>
  <c r="H286" i="13"/>
  <c r="H288" i="13"/>
  <c r="H289" i="13"/>
  <c r="H290" i="13"/>
  <c r="H291" i="13"/>
  <c r="H292" i="13"/>
  <c r="H293" i="13"/>
  <c r="H295" i="13"/>
  <c r="H296" i="13"/>
  <c r="H297" i="13"/>
  <c r="H298" i="13"/>
  <c r="H299" i="13"/>
  <c r="H300" i="13"/>
  <c r="H301" i="13"/>
  <c r="H302" i="13"/>
  <c r="H303" i="13"/>
  <c r="H304" i="13"/>
  <c r="H305" i="13"/>
  <c r="H5" i="13"/>
  <c r="Q376" i="13"/>
  <c r="Q363" i="13"/>
  <c r="I364" i="13"/>
  <c r="H364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4" i="13"/>
  <c r="I45" i="13"/>
  <c r="I46" i="13"/>
  <c r="I47" i="13"/>
  <c r="I48" i="13"/>
  <c r="I49" i="13"/>
  <c r="I51" i="13"/>
  <c r="I52" i="13"/>
  <c r="I53" i="13"/>
  <c r="I54" i="13"/>
  <c r="I55" i="13"/>
  <c r="I56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8" i="13"/>
  <c r="I79" i="13"/>
  <c r="I80" i="13"/>
  <c r="I82" i="13"/>
  <c r="I83" i="13"/>
  <c r="I84" i="13"/>
  <c r="I86" i="13"/>
  <c r="I87" i="13"/>
  <c r="I88" i="13"/>
  <c r="I89" i="13"/>
  <c r="I90" i="13"/>
  <c r="I91" i="13"/>
  <c r="I92" i="13"/>
  <c r="I93" i="13"/>
  <c r="I95" i="13"/>
  <c r="I96" i="13"/>
  <c r="I97" i="13"/>
  <c r="I98" i="13"/>
  <c r="I99" i="13"/>
  <c r="I100" i="13"/>
  <c r="I101" i="13"/>
  <c r="I102" i="13"/>
  <c r="I104" i="13"/>
  <c r="I105" i="13"/>
  <c r="I106" i="13"/>
  <c r="I108" i="13"/>
  <c r="I109" i="13"/>
  <c r="I110" i="13"/>
  <c r="I111" i="13"/>
  <c r="I112" i="13"/>
  <c r="I113" i="13"/>
  <c r="I114" i="13"/>
  <c r="I115" i="13"/>
  <c r="I116" i="13"/>
  <c r="I117" i="13"/>
  <c r="I119" i="13"/>
  <c r="I120" i="13"/>
  <c r="I122" i="13"/>
  <c r="I123" i="13"/>
  <c r="I124" i="13"/>
  <c r="I125" i="13"/>
  <c r="I126" i="13"/>
  <c r="I127" i="13"/>
  <c r="I128" i="13"/>
  <c r="I129" i="13"/>
  <c r="I130" i="13"/>
  <c r="I131" i="13"/>
  <c r="I132" i="13"/>
  <c r="I138" i="13"/>
  <c r="I139" i="13"/>
  <c r="I140" i="13"/>
  <c r="I141" i="13"/>
  <c r="I142" i="13"/>
  <c r="I143" i="13"/>
  <c r="I144" i="13"/>
  <c r="I145" i="13"/>
  <c r="I146" i="13"/>
  <c r="I147" i="13"/>
  <c r="I149" i="13"/>
  <c r="I150" i="13"/>
  <c r="I151" i="13"/>
  <c r="I152" i="13"/>
  <c r="I153" i="13"/>
  <c r="I155" i="13"/>
  <c r="I156" i="13"/>
  <c r="I157" i="13"/>
  <c r="I158" i="13"/>
  <c r="I159" i="13"/>
  <c r="I160" i="13"/>
  <c r="I162" i="13"/>
  <c r="I163" i="13"/>
  <c r="I164" i="13"/>
  <c r="I165" i="13"/>
  <c r="I166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4" i="13"/>
  <c r="I225" i="13"/>
  <c r="I226" i="13"/>
  <c r="I227" i="13"/>
  <c r="I228" i="13"/>
  <c r="I229" i="13"/>
  <c r="I230" i="13"/>
  <c r="I235" i="13"/>
  <c r="I237" i="13"/>
  <c r="I240" i="13"/>
  <c r="I250" i="13"/>
  <c r="I251" i="13"/>
  <c r="I252" i="13"/>
  <c r="I253" i="13"/>
  <c r="I254" i="13"/>
  <c r="I255" i="13"/>
  <c r="I257" i="13"/>
  <c r="I259" i="13"/>
  <c r="I261" i="13"/>
  <c r="I262" i="13"/>
  <c r="I264" i="13"/>
  <c r="I266" i="13"/>
  <c r="I268" i="13"/>
  <c r="I271" i="13"/>
  <c r="I273" i="13"/>
  <c r="I276" i="13"/>
  <c r="I279" i="13"/>
  <c r="I283" i="13"/>
  <c r="I284" i="13"/>
  <c r="I286" i="13"/>
  <c r="I288" i="13"/>
  <c r="I289" i="13"/>
  <c r="I290" i="13"/>
  <c r="I291" i="13"/>
  <c r="I292" i="13"/>
  <c r="I293" i="13"/>
  <c r="I295" i="13"/>
  <c r="I296" i="13"/>
  <c r="I297" i="13"/>
  <c r="I298" i="13"/>
  <c r="I299" i="13"/>
  <c r="I300" i="13"/>
  <c r="I301" i="13"/>
  <c r="I302" i="13"/>
  <c r="I303" i="13"/>
  <c r="I304" i="13"/>
  <c r="I305" i="13"/>
  <c r="I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4" i="13"/>
  <c r="G45" i="13"/>
  <c r="G46" i="13"/>
  <c r="G47" i="13"/>
  <c r="G48" i="13"/>
  <c r="G49" i="13"/>
  <c r="G51" i="13"/>
  <c r="G52" i="13"/>
  <c r="G53" i="13"/>
  <c r="G54" i="13"/>
  <c r="G55" i="13"/>
  <c r="G56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8" i="13"/>
  <c r="G79" i="13"/>
  <c r="G80" i="13"/>
  <c r="G82" i="13"/>
  <c r="G83" i="13"/>
  <c r="G84" i="13"/>
  <c r="G86" i="13"/>
  <c r="G87" i="13"/>
  <c r="G88" i="13"/>
  <c r="G89" i="13"/>
  <c r="G90" i="13"/>
  <c r="G91" i="13"/>
  <c r="G92" i="13"/>
  <c r="G93" i="13"/>
  <c r="G95" i="13"/>
  <c r="G96" i="13"/>
  <c r="G97" i="13"/>
  <c r="G98" i="13"/>
  <c r="G99" i="13"/>
  <c r="G100" i="13"/>
  <c r="G101" i="13"/>
  <c r="G102" i="13"/>
  <c r="G104" i="13"/>
  <c r="G105" i="13"/>
  <c r="G106" i="13"/>
  <c r="G108" i="13"/>
  <c r="G109" i="13"/>
  <c r="G110" i="13"/>
  <c r="G111" i="13"/>
  <c r="G112" i="13"/>
  <c r="G113" i="13"/>
  <c r="G114" i="13"/>
  <c r="G115" i="13"/>
  <c r="G116" i="13"/>
  <c r="G117" i="13"/>
  <c r="G119" i="13"/>
  <c r="G120" i="13"/>
  <c r="G122" i="13"/>
  <c r="G123" i="13"/>
  <c r="G124" i="13"/>
  <c r="G125" i="13"/>
  <c r="G126" i="13"/>
  <c r="G127" i="13"/>
  <c r="G128" i="13"/>
  <c r="G129" i="13"/>
  <c r="G130" i="13"/>
  <c r="G131" i="13"/>
  <c r="G132" i="13"/>
  <c r="G138" i="13"/>
  <c r="G139" i="13"/>
  <c r="G140" i="13"/>
  <c r="G141" i="13"/>
  <c r="G142" i="13"/>
  <c r="G143" i="13"/>
  <c r="G144" i="13"/>
  <c r="G145" i="13"/>
  <c r="G146" i="13"/>
  <c r="G147" i="13"/>
  <c r="G149" i="13"/>
  <c r="G150" i="13"/>
  <c r="G151" i="13"/>
  <c r="G152" i="13"/>
  <c r="G153" i="13"/>
  <c r="G155" i="13"/>
  <c r="G156" i="13"/>
  <c r="G157" i="13"/>
  <c r="G158" i="13"/>
  <c r="G159" i="13"/>
  <c r="G160" i="13"/>
  <c r="G162" i="13"/>
  <c r="G163" i="13"/>
  <c r="G164" i="13"/>
  <c r="G165" i="13"/>
  <c r="G166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4" i="13"/>
  <c r="G225" i="13"/>
  <c r="G226" i="13"/>
  <c r="G227" i="13"/>
  <c r="G228" i="13"/>
  <c r="G229" i="13"/>
  <c r="G230" i="13"/>
  <c r="G235" i="13"/>
  <c r="G237" i="13"/>
  <c r="G240" i="13"/>
  <c r="G250" i="13"/>
  <c r="G251" i="13"/>
  <c r="G252" i="13"/>
  <c r="G253" i="13"/>
  <c r="G254" i="13"/>
  <c r="G255" i="13"/>
  <c r="G257" i="13"/>
  <c r="G259" i="13"/>
  <c r="G261" i="13"/>
  <c r="G262" i="13"/>
  <c r="G264" i="13"/>
  <c r="G266" i="13"/>
  <c r="G268" i="13"/>
  <c r="G271" i="13"/>
  <c r="G273" i="13"/>
  <c r="G276" i="13"/>
  <c r="G279" i="13"/>
  <c r="G283" i="13"/>
  <c r="G284" i="13"/>
  <c r="G286" i="13"/>
  <c r="G288" i="13"/>
  <c r="G289" i="13"/>
  <c r="G290" i="13"/>
  <c r="G291" i="13"/>
  <c r="G292" i="13"/>
  <c r="G293" i="13"/>
  <c r="G295" i="13"/>
  <c r="G296" i="13"/>
  <c r="G297" i="13"/>
  <c r="G298" i="13"/>
  <c r="G299" i="13"/>
  <c r="G300" i="13"/>
  <c r="G301" i="13"/>
  <c r="G302" i="13"/>
  <c r="G303" i="13"/>
  <c r="G304" i="13"/>
  <c r="G305" i="13"/>
  <c r="P375" i="13"/>
  <c r="P374" i="13"/>
  <c r="P373" i="13"/>
  <c r="P372" i="13"/>
  <c r="P371" i="13"/>
  <c r="P370" i="13"/>
  <c r="P369" i="13"/>
  <c r="P368" i="13"/>
  <c r="P367" i="13"/>
  <c r="P366" i="13"/>
  <c r="P365" i="13"/>
  <c r="P364" i="13"/>
  <c r="P361" i="13"/>
  <c r="P360" i="13"/>
  <c r="P359" i="13"/>
  <c r="P358" i="13"/>
  <c r="P357" i="13"/>
  <c r="P356" i="13"/>
  <c r="P355" i="13"/>
  <c r="P354" i="13"/>
  <c r="P353" i="13"/>
  <c r="P352" i="13"/>
  <c r="P351" i="13"/>
  <c r="P350" i="13"/>
  <c r="P349" i="13"/>
  <c r="P348" i="13"/>
  <c r="P347" i="13"/>
  <c r="P346" i="13"/>
  <c r="P345" i="13"/>
  <c r="P344" i="13"/>
  <c r="P343" i="13"/>
  <c r="P342" i="13"/>
  <c r="P341" i="13"/>
  <c r="P340" i="13"/>
  <c r="P339" i="13"/>
  <c r="P338" i="13"/>
  <c r="P337" i="13"/>
  <c r="P336" i="13"/>
  <c r="P335" i="13"/>
  <c r="P334" i="13"/>
  <c r="P333" i="13"/>
  <c r="P332" i="13"/>
  <c r="P331" i="13"/>
  <c r="P330" i="13"/>
  <c r="P329" i="13"/>
  <c r="P328" i="13"/>
  <c r="P327" i="13"/>
  <c r="P326" i="13"/>
  <c r="P325" i="13"/>
  <c r="P324" i="13"/>
  <c r="P323" i="13"/>
  <c r="P322" i="13"/>
  <c r="P321" i="13"/>
  <c r="P320" i="13"/>
  <c r="P319" i="13"/>
  <c r="P318" i="13"/>
  <c r="P317" i="13"/>
  <c r="P316" i="13"/>
  <c r="P315" i="13"/>
  <c r="P314" i="13"/>
  <c r="P313" i="13"/>
  <c r="P312" i="13"/>
  <c r="P310" i="13"/>
  <c r="P309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4" i="13"/>
  <c r="P45" i="13"/>
  <c r="P46" i="13"/>
  <c r="P47" i="13"/>
  <c r="P48" i="13"/>
  <c r="P49" i="13"/>
  <c r="P51" i="13"/>
  <c r="P52" i="13"/>
  <c r="P53" i="13"/>
  <c r="P54" i="13"/>
  <c r="P55" i="13"/>
  <c r="P56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8" i="13"/>
  <c r="P79" i="13"/>
  <c r="P80" i="13"/>
  <c r="P82" i="13"/>
  <c r="P83" i="13"/>
  <c r="P84" i="13"/>
  <c r="P86" i="13"/>
  <c r="P87" i="13"/>
  <c r="P88" i="13"/>
  <c r="P89" i="13"/>
  <c r="P90" i="13"/>
  <c r="P91" i="13"/>
  <c r="P92" i="13"/>
  <c r="P93" i="13"/>
  <c r="P95" i="13"/>
  <c r="P96" i="13"/>
  <c r="P97" i="13"/>
  <c r="P98" i="13"/>
  <c r="P99" i="13"/>
  <c r="P100" i="13"/>
  <c r="P101" i="13"/>
  <c r="P102" i="13"/>
  <c r="P104" i="13"/>
  <c r="P105" i="13"/>
  <c r="P106" i="13"/>
  <c r="P108" i="13"/>
  <c r="P109" i="13"/>
  <c r="P110" i="13"/>
  <c r="P111" i="13"/>
  <c r="P112" i="13"/>
  <c r="P113" i="13"/>
  <c r="P114" i="13"/>
  <c r="P115" i="13"/>
  <c r="P116" i="13"/>
  <c r="P117" i="13"/>
  <c r="P119" i="13"/>
  <c r="P120" i="13"/>
  <c r="P122" i="13"/>
  <c r="P123" i="13"/>
  <c r="P124" i="13"/>
  <c r="P125" i="13"/>
  <c r="P126" i="13"/>
  <c r="P127" i="13"/>
  <c r="P128" i="13"/>
  <c r="P129" i="13"/>
  <c r="P130" i="13"/>
  <c r="P131" i="13"/>
  <c r="P132" i="13"/>
  <c r="P134" i="13"/>
  <c r="P135" i="13"/>
  <c r="P136" i="13"/>
  <c r="P138" i="13"/>
  <c r="P139" i="13"/>
  <c r="P140" i="13"/>
  <c r="P141" i="13"/>
  <c r="P142" i="13"/>
  <c r="P143" i="13"/>
  <c r="P144" i="13"/>
  <c r="P145" i="13"/>
  <c r="P146" i="13"/>
  <c r="P147" i="13"/>
  <c r="P149" i="13"/>
  <c r="P150" i="13"/>
  <c r="P151" i="13"/>
  <c r="P152" i="13"/>
  <c r="P153" i="13"/>
  <c r="P155" i="13"/>
  <c r="P156" i="13"/>
  <c r="P157" i="13"/>
  <c r="P158" i="13"/>
  <c r="P159" i="13"/>
  <c r="P160" i="13"/>
  <c r="P162" i="13"/>
  <c r="P163" i="13"/>
  <c r="P164" i="13"/>
  <c r="P165" i="13"/>
  <c r="P166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4" i="13"/>
  <c r="P225" i="13"/>
  <c r="P226" i="13"/>
  <c r="P227" i="13"/>
  <c r="P228" i="13"/>
  <c r="P229" i="13"/>
  <c r="P230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5" i="13"/>
  <c r="P246" i="13"/>
  <c r="P247" i="13"/>
  <c r="P248" i="13"/>
  <c r="P250" i="13"/>
  <c r="P251" i="13"/>
  <c r="P252" i="13"/>
  <c r="P253" i="13"/>
  <c r="P254" i="13"/>
  <c r="P255" i="13"/>
  <c r="P257" i="13"/>
  <c r="P258" i="13"/>
  <c r="P259" i="13"/>
  <c r="P260" i="13"/>
  <c r="P261" i="13"/>
  <c r="P262" i="13"/>
  <c r="P263" i="13"/>
  <c r="P264" i="13"/>
  <c r="P265" i="13"/>
  <c r="P266" i="13"/>
  <c r="P267" i="13"/>
  <c r="P268" i="13"/>
  <c r="P269" i="13"/>
  <c r="P270" i="13"/>
  <c r="P271" i="13"/>
  <c r="P272" i="13"/>
  <c r="P273" i="13"/>
  <c r="P274" i="13"/>
  <c r="P276" i="13"/>
  <c r="P277" i="13"/>
  <c r="P278" i="13"/>
  <c r="P279" i="13"/>
  <c r="P280" i="13"/>
  <c r="P281" i="13"/>
  <c r="P283" i="13"/>
  <c r="P284" i="13"/>
  <c r="P285" i="13"/>
  <c r="P286" i="13"/>
  <c r="P288" i="13"/>
  <c r="P289" i="13"/>
  <c r="P290" i="13"/>
  <c r="P291" i="13"/>
  <c r="P292" i="13"/>
  <c r="P293" i="13"/>
  <c r="P295" i="13"/>
  <c r="P296" i="13"/>
  <c r="P297" i="13"/>
  <c r="P298" i="13"/>
  <c r="P299" i="13"/>
  <c r="P300" i="13"/>
  <c r="P301" i="13"/>
  <c r="P302" i="13"/>
  <c r="P303" i="13"/>
  <c r="P304" i="13"/>
  <c r="P305" i="13"/>
  <c r="H362" i="13"/>
  <c r="K383" i="13"/>
  <c r="K352" i="14" l="1"/>
  <c r="K304" i="14"/>
  <c r="F121" i="18"/>
  <c r="U135" i="13"/>
  <c r="F122" i="18"/>
  <c r="U136" i="13"/>
  <c r="G135" i="13"/>
  <c r="G136" i="13"/>
  <c r="K345" i="14"/>
  <c r="K348" i="14"/>
  <c r="K320" i="14"/>
  <c r="K312" i="14"/>
  <c r="K331" i="14"/>
  <c r="K322" i="14"/>
  <c r="K343" i="14"/>
  <c r="K342" i="14"/>
  <c r="K325" i="14"/>
  <c r="K309" i="14"/>
  <c r="K326" i="14"/>
  <c r="J302" i="14"/>
  <c r="J303" i="14" s="1"/>
  <c r="K250" i="14" s="1"/>
  <c r="L250" i="14" s="1"/>
  <c r="K344" i="14"/>
  <c r="H302" i="14"/>
  <c r="H303" i="14" s="1"/>
  <c r="H367" i="14" s="1"/>
  <c r="H369" i="14" s="1"/>
  <c r="K371" i="14" s="1"/>
  <c r="L371" i="14" s="1"/>
  <c r="K308" i="14"/>
  <c r="K340" i="14"/>
  <c r="K314" i="14"/>
  <c r="K328" i="14"/>
  <c r="K307" i="14"/>
  <c r="K339" i="14"/>
  <c r="K305" i="14"/>
  <c r="K318" i="14"/>
  <c r="K329" i="14"/>
  <c r="K311" i="14"/>
  <c r="K350" i="14"/>
  <c r="K335" i="14"/>
  <c r="K310" i="14"/>
  <c r="K313" i="14"/>
  <c r="K334" i="14"/>
  <c r="K346" i="14"/>
  <c r="K324" i="14"/>
  <c r="K315" i="14"/>
  <c r="K306" i="14"/>
  <c r="K332" i="14"/>
  <c r="K317" i="14"/>
  <c r="K338" i="14"/>
  <c r="K330" i="14"/>
  <c r="K349" i="14"/>
  <c r="K336" i="14"/>
  <c r="K347" i="14"/>
  <c r="K319" i="14"/>
  <c r="K327" i="14"/>
  <c r="K321" i="14"/>
  <c r="K341" i="14"/>
  <c r="K323" i="14"/>
  <c r="K351" i="14"/>
  <c r="K333" i="14"/>
  <c r="K316" i="14"/>
  <c r="K337" i="14"/>
  <c r="M372" i="14"/>
  <c r="H121" i="13"/>
  <c r="H85" i="13"/>
  <c r="I107" i="13"/>
  <c r="H249" i="13"/>
  <c r="I154" i="13"/>
  <c r="I167" i="13"/>
  <c r="H282" i="13"/>
  <c r="I274" i="13"/>
  <c r="I239" i="13"/>
  <c r="I306" i="13"/>
  <c r="I133" i="13"/>
  <c r="H103" i="13"/>
  <c r="I57" i="13"/>
  <c r="H244" i="13"/>
  <c r="I85" i="13"/>
  <c r="I161" i="13"/>
  <c r="H231" i="13"/>
  <c r="H133" i="13"/>
  <c r="H154" i="13"/>
  <c r="I121" i="13"/>
  <c r="I103" i="13"/>
  <c r="H148" i="13"/>
  <c r="I148" i="13"/>
  <c r="H287" i="13"/>
  <c r="H107" i="13"/>
  <c r="I231" i="13"/>
  <c r="I77" i="13"/>
  <c r="I223" i="13"/>
  <c r="H161" i="13"/>
  <c r="H77" i="13"/>
  <c r="I294" i="13"/>
  <c r="H256" i="13"/>
  <c r="I43" i="13"/>
  <c r="I81" i="13"/>
  <c r="H94" i="13"/>
  <c r="I256" i="13"/>
  <c r="I94" i="13"/>
  <c r="H306" i="13"/>
  <c r="H180" i="13"/>
  <c r="H50" i="13"/>
  <c r="H118" i="13"/>
  <c r="I180" i="13"/>
  <c r="H137" i="13"/>
  <c r="H81" i="13"/>
  <c r="H294" i="13"/>
  <c r="H223" i="13"/>
  <c r="H167" i="13"/>
  <c r="H43" i="13"/>
  <c r="I50" i="13"/>
  <c r="H57" i="13"/>
  <c r="I118" i="13"/>
  <c r="H275" i="13"/>
  <c r="Q43" i="13"/>
  <c r="D307" i="13"/>
  <c r="I278" i="13"/>
  <c r="I285" i="13"/>
  <c r="I287" i="13" s="1"/>
  <c r="I246" i="13"/>
  <c r="I281" i="13"/>
  <c r="I136" i="13"/>
  <c r="G280" i="13"/>
  <c r="G245" i="13"/>
  <c r="G243" i="13"/>
  <c r="G269" i="13"/>
  <c r="I242" i="13"/>
  <c r="G272" i="13"/>
  <c r="I238" i="13"/>
  <c r="G234" i="13"/>
  <c r="I135" i="13"/>
  <c r="G233" i="13"/>
  <c r="I134" i="13"/>
  <c r="I258" i="13"/>
  <c r="I236" i="13"/>
  <c r="G270" i="13"/>
  <c r="G267" i="13"/>
  <c r="G265" i="13"/>
  <c r="I263" i="13"/>
  <c r="I232" i="13"/>
  <c r="I248" i="13"/>
  <c r="I247" i="13"/>
  <c r="G277" i="13"/>
  <c r="G260" i="13"/>
  <c r="G241" i="13"/>
  <c r="Q311" i="13"/>
  <c r="Q377" i="13" s="1"/>
  <c r="K387" i="13"/>
  <c r="I368" i="13"/>
  <c r="I369" i="13"/>
  <c r="I370" i="13"/>
  <c r="I371" i="13"/>
  <c r="D376" i="13"/>
  <c r="D363" i="13"/>
  <c r="D311" i="13"/>
  <c r="J6" i="13"/>
  <c r="J7" i="13"/>
  <c r="J8" i="13"/>
  <c r="J9" i="13"/>
  <c r="J13" i="13"/>
  <c r="J24" i="13"/>
  <c r="J27" i="13"/>
  <c r="J32" i="13"/>
  <c r="J33" i="13"/>
  <c r="J34" i="13"/>
  <c r="J104" i="13"/>
  <c r="J105" i="13"/>
  <c r="J106" i="13"/>
  <c r="J109" i="13"/>
  <c r="J117" i="13"/>
  <c r="J119" i="13"/>
  <c r="J120" i="13"/>
  <c r="J123" i="13"/>
  <c r="J127" i="13"/>
  <c r="J132" i="13"/>
  <c r="J296" i="13"/>
  <c r="J297" i="13"/>
  <c r="H373" i="13"/>
  <c r="H370" i="13"/>
  <c r="H369" i="13"/>
  <c r="H368" i="13"/>
  <c r="H367" i="13"/>
  <c r="H366" i="13"/>
  <c r="H365" i="13"/>
  <c r="K13" i="14" l="1"/>
  <c r="L13" i="14" s="1"/>
  <c r="K192" i="14"/>
  <c r="L192" i="14" s="1"/>
  <c r="K74" i="14"/>
  <c r="L74" i="14" s="1"/>
  <c r="K72" i="14"/>
  <c r="L72" i="14" s="1"/>
  <c r="K149" i="14"/>
  <c r="L149" i="14" s="1"/>
  <c r="K84" i="14"/>
  <c r="L84" i="14" s="1"/>
  <c r="K73" i="14"/>
  <c r="L73" i="14" s="1"/>
  <c r="K114" i="14"/>
  <c r="L114" i="14" s="1"/>
  <c r="K226" i="14"/>
  <c r="L226" i="14" s="1"/>
  <c r="K129" i="14"/>
  <c r="L129" i="14" s="1"/>
  <c r="K126" i="14"/>
  <c r="L126" i="14" s="1"/>
  <c r="K112" i="14"/>
  <c r="L112" i="14" s="1"/>
  <c r="K260" i="14"/>
  <c r="L260" i="14" s="1"/>
  <c r="K261" i="14"/>
  <c r="L261" i="14" s="1"/>
  <c r="K81" i="14"/>
  <c r="L81" i="14" s="1"/>
  <c r="K230" i="14"/>
  <c r="L230" i="14" s="1"/>
  <c r="K33" i="14"/>
  <c r="L33" i="14" s="1"/>
  <c r="K124" i="14"/>
  <c r="L124" i="14" s="1"/>
  <c r="K264" i="14"/>
  <c r="L264" i="14" s="1"/>
  <c r="K170" i="14"/>
  <c r="L170" i="14" s="1"/>
  <c r="K30" i="14"/>
  <c r="L30" i="14" s="1"/>
  <c r="K285" i="14"/>
  <c r="L285" i="14" s="1"/>
  <c r="K225" i="14"/>
  <c r="L225" i="14" s="1"/>
  <c r="K216" i="14"/>
  <c r="L216" i="14" s="1"/>
  <c r="K214" i="14"/>
  <c r="L214" i="14" s="1"/>
  <c r="K18" i="14"/>
  <c r="L18" i="14" s="1"/>
  <c r="K276" i="14"/>
  <c r="L276" i="14" s="1"/>
  <c r="K67" i="14"/>
  <c r="L67" i="14" s="1"/>
  <c r="K8" i="14"/>
  <c r="L8" i="14" s="1"/>
  <c r="K235" i="14"/>
  <c r="L235" i="14" s="1"/>
  <c r="K119" i="14"/>
  <c r="L119" i="14" s="1"/>
  <c r="K104" i="14"/>
  <c r="L104" i="14" s="1"/>
  <c r="K210" i="14"/>
  <c r="L210" i="14" s="1"/>
  <c r="K44" i="14"/>
  <c r="L44" i="14" s="1"/>
  <c r="K272" i="14"/>
  <c r="L272" i="14" s="1"/>
  <c r="K116" i="14"/>
  <c r="L116" i="14" s="1"/>
  <c r="K88" i="14"/>
  <c r="L88" i="14" s="1"/>
  <c r="K297" i="14"/>
  <c r="L297" i="14" s="1"/>
  <c r="K140" i="14"/>
  <c r="L140" i="14" s="1"/>
  <c r="K127" i="14"/>
  <c r="L127" i="14" s="1"/>
  <c r="K42" i="14"/>
  <c r="L42" i="14" s="1"/>
  <c r="K219" i="14"/>
  <c r="L219" i="14" s="1"/>
  <c r="K168" i="14"/>
  <c r="L168" i="14" s="1"/>
  <c r="K252" i="14"/>
  <c r="L252" i="14" s="1"/>
  <c r="K222" i="14"/>
  <c r="L222" i="14" s="1"/>
  <c r="K24" i="14"/>
  <c r="L24" i="14" s="1"/>
  <c r="K108" i="14"/>
  <c r="L108" i="14" s="1"/>
  <c r="K172" i="14"/>
  <c r="L172" i="14" s="1"/>
  <c r="K144" i="14"/>
  <c r="L144" i="14" s="1"/>
  <c r="K131" i="14"/>
  <c r="L131" i="14" s="1"/>
  <c r="K193" i="14"/>
  <c r="L193" i="14" s="1"/>
  <c r="K255" i="14"/>
  <c r="L255" i="14" s="1"/>
  <c r="K27" i="14"/>
  <c r="L27" i="14" s="1"/>
  <c r="K97" i="14"/>
  <c r="L97" i="14" s="1"/>
  <c r="K258" i="14"/>
  <c r="L258" i="14" s="1"/>
  <c r="K278" i="14"/>
  <c r="L278" i="14" s="1"/>
  <c r="K146" i="14"/>
  <c r="L146" i="14" s="1"/>
  <c r="K75" i="14"/>
  <c r="L75" i="14" s="1"/>
  <c r="K23" i="14"/>
  <c r="L23" i="14" s="1"/>
  <c r="K191" i="14"/>
  <c r="L191" i="14" s="1"/>
  <c r="K286" i="14"/>
  <c r="L286" i="14" s="1"/>
  <c r="K209" i="14"/>
  <c r="L209" i="14" s="1"/>
  <c r="K167" i="14"/>
  <c r="L167" i="14" s="1"/>
  <c r="K17" i="14"/>
  <c r="L17" i="14" s="1"/>
  <c r="K77" i="14"/>
  <c r="L77" i="14" s="1"/>
  <c r="K60" i="14"/>
  <c r="L60" i="14" s="1"/>
  <c r="K76" i="14"/>
  <c r="L76" i="14" s="1"/>
  <c r="K154" i="14"/>
  <c r="L154" i="14" s="1"/>
  <c r="K299" i="14"/>
  <c r="L299" i="14" s="1"/>
  <c r="K133" i="14"/>
  <c r="L133" i="14" s="1"/>
  <c r="K190" i="14"/>
  <c r="L190" i="14" s="1"/>
  <c r="K105" i="14"/>
  <c r="L105" i="14" s="1"/>
  <c r="K66" i="14"/>
  <c r="L66" i="14" s="1"/>
  <c r="K101" i="14"/>
  <c r="L101" i="14" s="1"/>
  <c r="K203" i="14"/>
  <c r="L203" i="14" s="1"/>
  <c r="K205" i="14"/>
  <c r="L205" i="14" s="1"/>
  <c r="K259" i="14"/>
  <c r="L259" i="14" s="1"/>
  <c r="K6" i="14"/>
  <c r="L6" i="14" s="1"/>
  <c r="K238" i="14"/>
  <c r="L238" i="14" s="1"/>
  <c r="K245" i="14"/>
  <c r="L245" i="14" s="1"/>
  <c r="K266" i="14"/>
  <c r="L266" i="14" s="1"/>
  <c r="K138" i="14"/>
  <c r="L138" i="14" s="1"/>
  <c r="K130" i="14"/>
  <c r="L130" i="14" s="1"/>
  <c r="K218" i="14"/>
  <c r="L218" i="14" s="1"/>
  <c r="K142" i="14"/>
  <c r="L142" i="14" s="1"/>
  <c r="K247" i="14"/>
  <c r="L247" i="14" s="1"/>
  <c r="K187" i="14"/>
  <c r="L187" i="14" s="1"/>
  <c r="K189" i="14"/>
  <c r="L189" i="14" s="1"/>
  <c r="K294" i="14"/>
  <c r="L294" i="14" s="1"/>
  <c r="K171" i="14"/>
  <c r="L171" i="14" s="1"/>
  <c r="K80" i="14"/>
  <c r="L80" i="14" s="1"/>
  <c r="K39" i="14"/>
  <c r="L39" i="14" s="1"/>
  <c r="K150" i="14"/>
  <c r="L150" i="14" s="1"/>
  <c r="K89" i="14"/>
  <c r="L89" i="14" s="1"/>
  <c r="K153" i="14"/>
  <c r="L153" i="14" s="1"/>
  <c r="K69" i="14"/>
  <c r="L69" i="14" s="1"/>
  <c r="K21" i="14"/>
  <c r="L21" i="14" s="1"/>
  <c r="K141" i="14"/>
  <c r="L141" i="14" s="1"/>
  <c r="K128" i="14"/>
  <c r="L128" i="14" s="1"/>
  <c r="K161" i="14"/>
  <c r="L161" i="14" s="1"/>
  <c r="K111" i="14"/>
  <c r="L111" i="14" s="1"/>
  <c r="K239" i="14"/>
  <c r="L239" i="14" s="1"/>
  <c r="K34" i="14"/>
  <c r="L34" i="14" s="1"/>
  <c r="K164" i="14"/>
  <c r="L164" i="14" s="1"/>
  <c r="K275" i="14"/>
  <c r="L275" i="14" s="1"/>
  <c r="K174" i="14"/>
  <c r="L174" i="14" s="1"/>
  <c r="K55" i="14"/>
  <c r="L55" i="14" s="1"/>
  <c r="K246" i="14"/>
  <c r="L246" i="14" s="1"/>
  <c r="K65" i="14"/>
  <c r="L65" i="14" s="1"/>
  <c r="K253" i="14"/>
  <c r="L253" i="14" s="1"/>
  <c r="K113" i="14"/>
  <c r="L113" i="14" s="1"/>
  <c r="K5" i="14"/>
  <c r="L5" i="14" s="1"/>
  <c r="K139" i="14"/>
  <c r="L139" i="14" s="1"/>
  <c r="K240" i="14"/>
  <c r="L240" i="14" s="1"/>
  <c r="K298" i="14"/>
  <c r="L298" i="14" s="1"/>
  <c r="K62" i="14"/>
  <c r="L62" i="14" s="1"/>
  <c r="K291" i="14"/>
  <c r="L291" i="14" s="1"/>
  <c r="K46" i="14"/>
  <c r="L46" i="14" s="1"/>
  <c r="K63" i="14"/>
  <c r="L63" i="14" s="1"/>
  <c r="K102" i="14"/>
  <c r="L102" i="14" s="1"/>
  <c r="K268" i="14"/>
  <c r="L268" i="14" s="1"/>
  <c r="K87" i="14"/>
  <c r="L87" i="14" s="1"/>
  <c r="K107" i="14"/>
  <c r="L107" i="14" s="1"/>
  <c r="I122" i="18"/>
  <c r="G122" i="18"/>
  <c r="J122" i="18" s="1"/>
  <c r="I121" i="18"/>
  <c r="G121" i="18"/>
  <c r="J121" i="18" s="1"/>
  <c r="K374" i="14"/>
  <c r="K229" i="14"/>
  <c r="L229" i="14" s="1"/>
  <c r="K156" i="14"/>
  <c r="L156" i="14" s="1"/>
  <c r="K96" i="14"/>
  <c r="L96" i="14" s="1"/>
  <c r="K300" i="14"/>
  <c r="L300" i="14" s="1"/>
  <c r="K248" i="14"/>
  <c r="L248" i="14" s="1"/>
  <c r="K243" i="14"/>
  <c r="L243" i="14" s="1"/>
  <c r="K7" i="14"/>
  <c r="L7" i="14" s="1"/>
  <c r="K50" i="14"/>
  <c r="L50" i="14" s="1"/>
  <c r="K241" i="14"/>
  <c r="L241" i="14" s="1"/>
  <c r="K137" i="14"/>
  <c r="L137" i="14" s="1"/>
  <c r="K227" i="14"/>
  <c r="L227" i="14" s="1"/>
  <c r="K57" i="14"/>
  <c r="L57" i="14" s="1"/>
  <c r="K135" i="14"/>
  <c r="L135" i="14" s="1"/>
  <c r="K9" i="14"/>
  <c r="L9" i="14" s="1"/>
  <c r="K122" i="14"/>
  <c r="L122" i="14" s="1"/>
  <c r="K115" i="14"/>
  <c r="L115" i="14" s="1"/>
  <c r="K118" i="14"/>
  <c r="L118" i="14" s="1"/>
  <c r="K263" i="14"/>
  <c r="L263" i="14" s="1"/>
  <c r="K200" i="14"/>
  <c r="L200" i="14" s="1"/>
  <c r="K280" i="14"/>
  <c r="L280" i="14" s="1"/>
  <c r="K175" i="14"/>
  <c r="L175" i="14" s="1"/>
  <c r="K36" i="14"/>
  <c r="L36" i="14" s="1"/>
  <c r="K165" i="14"/>
  <c r="L165" i="14" s="1"/>
  <c r="K204" i="14"/>
  <c r="L204" i="14" s="1"/>
  <c r="K274" i="14"/>
  <c r="L274" i="14" s="1"/>
  <c r="K169" i="14"/>
  <c r="L169" i="14" s="1"/>
  <c r="K68" i="14"/>
  <c r="L68" i="14" s="1"/>
  <c r="K22" i="14"/>
  <c r="L22" i="14" s="1"/>
  <c r="K35" i="14"/>
  <c r="L35" i="14" s="1"/>
  <c r="K215" i="14"/>
  <c r="L215" i="14" s="1"/>
  <c r="K145" i="14"/>
  <c r="L145" i="14" s="1"/>
  <c r="K184" i="14"/>
  <c r="L184" i="14" s="1"/>
  <c r="K163" i="14"/>
  <c r="L163" i="14" s="1"/>
  <c r="K54" i="14"/>
  <c r="L54" i="14" s="1"/>
  <c r="K220" i="14"/>
  <c r="L220" i="14" s="1"/>
  <c r="K155" i="14"/>
  <c r="L155" i="14" s="1"/>
  <c r="K157" i="14"/>
  <c r="L157" i="14" s="1"/>
  <c r="K40" i="14"/>
  <c r="L40" i="14" s="1"/>
  <c r="K287" i="14"/>
  <c r="L287" i="14" s="1"/>
  <c r="K212" i="14"/>
  <c r="L212" i="14" s="1"/>
  <c r="K303" i="14"/>
  <c r="K94" i="14"/>
  <c r="L94" i="14" s="1"/>
  <c r="K288" i="14"/>
  <c r="L288" i="14" s="1"/>
  <c r="J367" i="14"/>
  <c r="J369" i="14" s="1"/>
  <c r="K233" i="14"/>
  <c r="L233" i="14" s="1"/>
  <c r="K47" i="14"/>
  <c r="L47" i="14" s="1"/>
  <c r="K16" i="14"/>
  <c r="L16" i="14" s="1"/>
  <c r="K206" i="14"/>
  <c r="L206" i="14" s="1"/>
  <c r="K290" i="14"/>
  <c r="L290" i="14" s="1"/>
  <c r="K120" i="14"/>
  <c r="L120" i="14" s="1"/>
  <c r="K117" i="14"/>
  <c r="L117" i="14" s="1"/>
  <c r="K83" i="14"/>
  <c r="L83" i="14" s="1"/>
  <c r="K202" i="14"/>
  <c r="L202" i="14" s="1"/>
  <c r="K180" i="14"/>
  <c r="L180" i="14" s="1"/>
  <c r="K183" i="14"/>
  <c r="L183" i="14" s="1"/>
  <c r="K232" i="14"/>
  <c r="L232" i="14" s="1"/>
  <c r="K25" i="14"/>
  <c r="L25" i="14" s="1"/>
  <c r="K207" i="14"/>
  <c r="L207" i="14" s="1"/>
  <c r="K32" i="14"/>
  <c r="L32" i="14" s="1"/>
  <c r="K223" i="14"/>
  <c r="L223" i="14" s="1"/>
  <c r="K26" i="14"/>
  <c r="L26" i="14" s="1"/>
  <c r="K29" i="14"/>
  <c r="L29" i="14" s="1"/>
  <c r="K59" i="14"/>
  <c r="L59" i="14" s="1"/>
  <c r="K251" i="14"/>
  <c r="L251" i="14" s="1"/>
  <c r="K201" i="14"/>
  <c r="L201" i="14" s="1"/>
  <c r="K196" i="14"/>
  <c r="L196" i="14" s="1"/>
  <c r="K179" i="14"/>
  <c r="L179" i="14" s="1"/>
  <c r="K270" i="14"/>
  <c r="L270" i="14" s="1"/>
  <c r="K10" i="14"/>
  <c r="L10" i="14" s="1"/>
  <c r="K12" i="14"/>
  <c r="L12" i="14" s="1"/>
  <c r="K91" i="14"/>
  <c r="L91" i="14" s="1"/>
  <c r="K234" i="14"/>
  <c r="L234" i="14" s="1"/>
  <c r="K292" i="14"/>
  <c r="L292" i="14" s="1"/>
  <c r="K143" i="14"/>
  <c r="L143" i="14" s="1"/>
  <c r="K71" i="14"/>
  <c r="L71" i="14" s="1"/>
  <c r="K14" i="14"/>
  <c r="L14" i="14" s="1"/>
  <c r="K61" i="14"/>
  <c r="L61" i="14" s="1"/>
  <c r="K195" i="14"/>
  <c r="L195" i="14" s="1"/>
  <c r="K279" i="14"/>
  <c r="L279" i="14" s="1"/>
  <c r="K199" i="14"/>
  <c r="L199" i="14" s="1"/>
  <c r="K242" i="14"/>
  <c r="L242" i="14" s="1"/>
  <c r="K177" i="14"/>
  <c r="L177" i="14" s="1"/>
  <c r="K211" i="14"/>
  <c r="L211" i="14" s="1"/>
  <c r="K48" i="14"/>
  <c r="L48" i="14" s="1"/>
  <c r="K45" i="14"/>
  <c r="L45" i="14" s="1"/>
  <c r="K20" i="14"/>
  <c r="L20" i="14" s="1"/>
  <c r="K123" i="14"/>
  <c r="L123" i="14" s="1"/>
  <c r="K106" i="14"/>
  <c r="L106" i="14" s="1"/>
  <c r="K109" i="14"/>
  <c r="L109" i="14" s="1"/>
  <c r="K237" i="14"/>
  <c r="L237" i="14" s="1"/>
  <c r="K293" i="14"/>
  <c r="L293" i="14" s="1"/>
  <c r="K64" i="14"/>
  <c r="L64" i="14" s="1"/>
  <c r="K265" i="14"/>
  <c r="L265" i="14" s="1"/>
  <c r="K49" i="14"/>
  <c r="L49" i="14" s="1"/>
  <c r="K176" i="14"/>
  <c r="L176" i="14" s="1"/>
  <c r="K173" i="14"/>
  <c r="L173" i="14" s="1"/>
  <c r="K92" i="14"/>
  <c r="L92" i="14" s="1"/>
  <c r="K15" i="14"/>
  <c r="L15" i="14" s="1"/>
  <c r="K273" i="14"/>
  <c r="L273" i="14" s="1"/>
  <c r="K197" i="14"/>
  <c r="L197" i="14" s="1"/>
  <c r="K79" i="14"/>
  <c r="L79" i="14" s="1"/>
  <c r="K37" i="14"/>
  <c r="L37" i="14" s="1"/>
  <c r="K262" i="14"/>
  <c r="L262" i="14" s="1"/>
  <c r="K283" i="14"/>
  <c r="L283" i="14" s="1"/>
  <c r="K213" i="14"/>
  <c r="L213" i="14" s="1"/>
  <c r="K267" i="14"/>
  <c r="L267" i="14" s="1"/>
  <c r="K103" i="14"/>
  <c r="L103" i="14" s="1"/>
  <c r="K99" i="14"/>
  <c r="L99" i="14" s="1"/>
  <c r="K254" i="14"/>
  <c r="L254" i="14" s="1"/>
  <c r="K284" i="14"/>
  <c r="L284" i="14" s="1"/>
  <c r="K231" i="14"/>
  <c r="L231" i="14" s="1"/>
  <c r="K188" i="14"/>
  <c r="L188" i="14" s="1"/>
  <c r="K41" i="14"/>
  <c r="L41" i="14" s="1"/>
  <c r="K224" i="14"/>
  <c r="L224" i="14" s="1"/>
  <c r="K148" i="14"/>
  <c r="L148" i="14" s="1"/>
  <c r="K19" i="14"/>
  <c r="L19" i="14" s="1"/>
  <c r="K95" i="14"/>
  <c r="L95" i="14" s="1"/>
  <c r="K158" i="14"/>
  <c r="L158" i="14" s="1"/>
  <c r="K208" i="14"/>
  <c r="L208" i="14" s="1"/>
  <c r="K217" i="14"/>
  <c r="L217" i="14" s="1"/>
  <c r="K11" i="14"/>
  <c r="L11" i="14" s="1"/>
  <c r="K98" i="14"/>
  <c r="L98" i="14" s="1"/>
  <c r="K56" i="14"/>
  <c r="L56" i="14" s="1"/>
  <c r="K159" i="14"/>
  <c r="L159" i="14" s="1"/>
  <c r="K52" i="14"/>
  <c r="L52" i="14" s="1"/>
  <c r="K198" i="14"/>
  <c r="L198" i="14" s="1"/>
  <c r="K90" i="14"/>
  <c r="L90" i="14" s="1"/>
  <c r="K295" i="14"/>
  <c r="L295" i="14" s="1"/>
  <c r="K269" i="14"/>
  <c r="L269" i="14" s="1"/>
  <c r="K38" i="14"/>
  <c r="L38" i="14" s="1"/>
  <c r="K53" i="14"/>
  <c r="L53" i="14" s="1"/>
  <c r="K194" i="14"/>
  <c r="L194" i="14" s="1"/>
  <c r="K281" i="14"/>
  <c r="L281" i="14" s="1"/>
  <c r="K185" i="14"/>
  <c r="L185" i="14" s="1"/>
  <c r="K182" i="14"/>
  <c r="L182" i="14" s="1"/>
  <c r="K162" i="14"/>
  <c r="L162" i="14" s="1"/>
  <c r="K236" i="14"/>
  <c r="L236" i="14" s="1"/>
  <c r="K70" i="14"/>
  <c r="L70" i="14" s="1"/>
  <c r="K85" i="14"/>
  <c r="L85" i="14" s="1"/>
  <c r="K151" i="14"/>
  <c r="L151" i="14" s="1"/>
  <c r="K31" i="14"/>
  <c r="L31" i="14" s="1"/>
  <c r="K28" i="14"/>
  <c r="L28" i="14" s="1"/>
  <c r="K296" i="14"/>
  <c r="L296" i="14" s="1"/>
  <c r="K181" i="14"/>
  <c r="L181" i="14" s="1"/>
  <c r="K256" i="14"/>
  <c r="L256" i="14" s="1"/>
  <c r="K132" i="14"/>
  <c r="L132" i="14" s="1"/>
  <c r="K186" i="14"/>
  <c r="L186" i="14" s="1"/>
  <c r="M354" i="14"/>
  <c r="N354" i="14" s="1"/>
  <c r="O354" i="14" s="1"/>
  <c r="R354" i="14" s="1"/>
  <c r="M362" i="14"/>
  <c r="N362" i="14" s="1"/>
  <c r="O362" i="14" s="1"/>
  <c r="R362" i="14" s="1"/>
  <c r="M9" i="14"/>
  <c r="M355" i="14"/>
  <c r="N355" i="14" s="1"/>
  <c r="O355" i="14" s="1"/>
  <c r="R355" i="14" s="1"/>
  <c r="M363" i="14"/>
  <c r="N363" i="14" s="1"/>
  <c r="O363" i="14" s="1"/>
  <c r="R363" i="14" s="1"/>
  <c r="M360" i="14"/>
  <c r="N360" i="14" s="1"/>
  <c r="O360" i="14" s="1"/>
  <c r="R360" i="14" s="1"/>
  <c r="M10" i="14"/>
  <c r="M18" i="14"/>
  <c r="M26" i="14"/>
  <c r="M34" i="14"/>
  <c r="M42" i="14"/>
  <c r="N42" i="14" s="1"/>
  <c r="O42" i="14" s="1"/>
  <c r="R42" i="14" s="1"/>
  <c r="M52" i="14"/>
  <c r="M61" i="14"/>
  <c r="M69" i="14"/>
  <c r="M77" i="14"/>
  <c r="M88" i="14"/>
  <c r="N88" i="14" s="1"/>
  <c r="O88" i="14" s="1"/>
  <c r="R88" i="14" s="1"/>
  <c r="M97" i="14"/>
  <c r="M106" i="14"/>
  <c r="M115" i="14"/>
  <c r="M124" i="14"/>
  <c r="M133" i="14"/>
  <c r="M143" i="14"/>
  <c r="M153" i="14"/>
  <c r="M162" i="14"/>
  <c r="M171" i="14"/>
  <c r="M180" i="14"/>
  <c r="M188" i="14"/>
  <c r="M196" i="14"/>
  <c r="M204" i="14"/>
  <c r="M212" i="14"/>
  <c r="M220" i="14"/>
  <c r="M230" i="14"/>
  <c r="M238" i="14"/>
  <c r="M247" i="14"/>
  <c r="M256" i="14"/>
  <c r="M265" i="14"/>
  <c r="M274" i="14"/>
  <c r="M284" i="14"/>
  <c r="M293" i="14"/>
  <c r="M5" i="14"/>
  <c r="M361" i="14"/>
  <c r="N361" i="14" s="1"/>
  <c r="O361" i="14" s="1"/>
  <c r="R361" i="14" s="1"/>
  <c r="M11" i="14"/>
  <c r="M19" i="14"/>
  <c r="M27" i="14"/>
  <c r="M35" i="14"/>
  <c r="M44" i="14"/>
  <c r="M53" i="14"/>
  <c r="M62" i="14"/>
  <c r="N62" i="14" s="1"/>
  <c r="O62" i="14" s="1"/>
  <c r="R62" i="14" s="1"/>
  <c r="M70" i="14"/>
  <c r="M79" i="14"/>
  <c r="M89" i="14"/>
  <c r="M98" i="14"/>
  <c r="M107" i="14"/>
  <c r="M116" i="14"/>
  <c r="M126" i="14"/>
  <c r="M135" i="14"/>
  <c r="M144" i="14"/>
  <c r="N144" i="14" s="1"/>
  <c r="O144" i="14" s="1"/>
  <c r="R144" i="14" s="1"/>
  <c r="M154" i="14"/>
  <c r="N154" i="14" s="1"/>
  <c r="O154" i="14" s="1"/>
  <c r="R154" i="14" s="1"/>
  <c r="M163" i="14"/>
  <c r="M172" i="14"/>
  <c r="M181" i="14"/>
  <c r="N181" i="14" s="1"/>
  <c r="O181" i="14" s="1"/>
  <c r="R181" i="14" s="1"/>
  <c r="M189" i="14"/>
  <c r="M197" i="14"/>
  <c r="M205" i="14"/>
  <c r="M213" i="14"/>
  <c r="M222" i="14"/>
  <c r="M231" i="14"/>
  <c r="M239" i="14"/>
  <c r="M248" i="14"/>
  <c r="M258" i="14"/>
  <c r="M266" i="14"/>
  <c r="M275" i="14"/>
  <c r="M285" i="14"/>
  <c r="N285" i="14" s="1"/>
  <c r="O285" i="14" s="1"/>
  <c r="R285" i="14" s="1"/>
  <c r="M294" i="14"/>
  <c r="M365" i="14"/>
  <c r="N365" i="14" s="1"/>
  <c r="O365" i="14" s="1"/>
  <c r="R365" i="14" s="1"/>
  <c r="M13" i="14"/>
  <c r="N13" i="14" s="1"/>
  <c r="O13" i="14" s="1"/>
  <c r="R13" i="14" s="1"/>
  <c r="M21" i="14"/>
  <c r="N21" i="14" s="1"/>
  <c r="O21" i="14" s="1"/>
  <c r="R21" i="14" s="1"/>
  <c r="M29" i="14"/>
  <c r="M37" i="14"/>
  <c r="M46" i="14"/>
  <c r="M55" i="14"/>
  <c r="M64" i="14"/>
  <c r="M72" i="14"/>
  <c r="N72" i="14" s="1"/>
  <c r="O72" i="14" s="1"/>
  <c r="R72" i="14" s="1"/>
  <c r="M81" i="14"/>
  <c r="N81" i="14" s="1"/>
  <c r="O81" i="14" s="1"/>
  <c r="R81" i="14" s="1"/>
  <c r="M91" i="14"/>
  <c r="M101" i="14"/>
  <c r="N101" i="14" s="1"/>
  <c r="O101" i="14" s="1"/>
  <c r="M109" i="14"/>
  <c r="M118" i="14"/>
  <c r="M128" i="14"/>
  <c r="N128" i="14" s="1"/>
  <c r="O128" i="14" s="1"/>
  <c r="R128" i="14" s="1"/>
  <c r="M138" i="14"/>
  <c r="M146" i="14"/>
  <c r="M156" i="14"/>
  <c r="M165" i="14"/>
  <c r="M174" i="14"/>
  <c r="M183" i="14"/>
  <c r="M191" i="14"/>
  <c r="M199" i="14"/>
  <c r="M207" i="14"/>
  <c r="M215" i="14"/>
  <c r="M224" i="14"/>
  <c r="M233" i="14"/>
  <c r="M241" i="14"/>
  <c r="N241" i="14" s="1"/>
  <c r="O241" i="14" s="1"/>
  <c r="R241" i="14" s="1"/>
  <c r="M251" i="14"/>
  <c r="M260" i="14"/>
  <c r="N260" i="14" s="1"/>
  <c r="O260" i="14" s="1"/>
  <c r="R260" i="14" s="1"/>
  <c r="M268" i="14"/>
  <c r="N268" i="14" s="1"/>
  <c r="O268" i="14" s="1"/>
  <c r="R268" i="14" s="1"/>
  <c r="M278" i="14"/>
  <c r="M287" i="14"/>
  <c r="M296" i="14"/>
  <c r="N296" i="14" s="1"/>
  <c r="O296" i="14" s="1"/>
  <c r="R296" i="14" s="1"/>
  <c r="M357" i="14"/>
  <c r="N357" i="14" s="1"/>
  <c r="O357" i="14" s="1"/>
  <c r="R357" i="14" s="1"/>
  <c r="M6" i="14"/>
  <c r="M15" i="14"/>
  <c r="M23" i="14"/>
  <c r="M31" i="14"/>
  <c r="M39" i="14"/>
  <c r="M48" i="14"/>
  <c r="M57" i="14"/>
  <c r="M66" i="14"/>
  <c r="N66" i="14" s="1"/>
  <c r="O66" i="14" s="1"/>
  <c r="R66" i="14" s="1"/>
  <c r="M74" i="14"/>
  <c r="N74" i="14" s="1"/>
  <c r="O74" i="14" s="1"/>
  <c r="R74" i="14" s="1"/>
  <c r="M84" i="14"/>
  <c r="N84" i="14" s="1"/>
  <c r="O84" i="14" s="1"/>
  <c r="R84" i="14" s="1"/>
  <c r="M94" i="14"/>
  <c r="M103" i="14"/>
  <c r="M112" i="14"/>
  <c r="M120" i="14"/>
  <c r="M130" i="14"/>
  <c r="M140" i="14"/>
  <c r="M149" i="14"/>
  <c r="N149" i="14" s="1"/>
  <c r="O149" i="14" s="1"/>
  <c r="R149" i="14" s="1"/>
  <c r="M158" i="14"/>
  <c r="M168" i="14"/>
  <c r="N168" i="14" s="1"/>
  <c r="O168" i="14" s="1"/>
  <c r="R168" i="14" s="1"/>
  <c r="M176" i="14"/>
  <c r="M185" i="14"/>
  <c r="M193" i="14"/>
  <c r="N193" i="14" s="1"/>
  <c r="O193" i="14" s="1"/>
  <c r="R193" i="14" s="1"/>
  <c r="M201" i="14"/>
  <c r="M209" i="14"/>
  <c r="N209" i="14" s="1"/>
  <c r="O209" i="14" s="1"/>
  <c r="R209" i="14" s="1"/>
  <c r="M217" i="14"/>
  <c r="M226" i="14"/>
  <c r="M235" i="14"/>
  <c r="M243" i="14"/>
  <c r="M253" i="14"/>
  <c r="N253" i="14" s="1"/>
  <c r="O253" i="14" s="1"/>
  <c r="R253" i="14" s="1"/>
  <c r="M262" i="14"/>
  <c r="M270" i="14"/>
  <c r="M280" i="14"/>
  <c r="N280" i="14" s="1"/>
  <c r="O280" i="14" s="1"/>
  <c r="R280" i="14" s="1"/>
  <c r="M290" i="14"/>
  <c r="N290" i="14" s="1"/>
  <c r="O290" i="14" s="1"/>
  <c r="R290" i="14" s="1"/>
  <c r="M298" i="14"/>
  <c r="N298" i="14" s="1"/>
  <c r="O298" i="14" s="1"/>
  <c r="R298" i="14" s="1"/>
  <c r="M358" i="14"/>
  <c r="N358" i="14" s="1"/>
  <c r="O358" i="14" s="1"/>
  <c r="R358" i="14" s="1"/>
  <c r="M7" i="14"/>
  <c r="M16" i="14"/>
  <c r="M24" i="14"/>
  <c r="M32" i="14"/>
  <c r="M40" i="14"/>
  <c r="M49" i="14"/>
  <c r="M59" i="14"/>
  <c r="M67" i="14"/>
  <c r="N67" i="14" s="1"/>
  <c r="O67" i="14" s="1"/>
  <c r="R67" i="14" s="1"/>
  <c r="M75" i="14"/>
  <c r="M85" i="14"/>
  <c r="M95" i="14"/>
  <c r="M104" i="14"/>
  <c r="M113" i="14"/>
  <c r="M122" i="14"/>
  <c r="M131" i="14"/>
  <c r="N131" i="14" s="1"/>
  <c r="O131" i="14" s="1"/>
  <c r="R131" i="14" s="1"/>
  <c r="M141" i="14"/>
  <c r="N141" i="14" s="1"/>
  <c r="O141" i="14" s="1"/>
  <c r="R141" i="14" s="1"/>
  <c r="M150" i="14"/>
  <c r="M159" i="14"/>
  <c r="M169" i="14"/>
  <c r="M177" i="14"/>
  <c r="M186" i="14"/>
  <c r="M194" i="14"/>
  <c r="M202" i="14"/>
  <c r="M210" i="14"/>
  <c r="N210" i="14" s="1"/>
  <c r="O210" i="14" s="1"/>
  <c r="R210" i="14" s="1"/>
  <c r="M218" i="14"/>
  <c r="N218" i="14" s="1"/>
  <c r="O218" i="14" s="1"/>
  <c r="R218" i="14" s="1"/>
  <c r="M227" i="14"/>
  <c r="M236" i="14"/>
  <c r="M245" i="14"/>
  <c r="M254" i="14"/>
  <c r="M263" i="14"/>
  <c r="M272" i="14"/>
  <c r="M281" i="14"/>
  <c r="M291" i="14"/>
  <c r="M299" i="14"/>
  <c r="N299" i="14" s="1"/>
  <c r="O299" i="14" s="1"/>
  <c r="R299" i="14" s="1"/>
  <c r="M353" i="14"/>
  <c r="N353" i="14" s="1"/>
  <c r="O353" i="14" s="1"/>
  <c r="R353" i="14" s="1"/>
  <c r="M28" i="14"/>
  <c r="M50" i="14"/>
  <c r="N50" i="14" s="1"/>
  <c r="O50" i="14" s="1"/>
  <c r="R50" i="14" s="1"/>
  <c r="M73" i="14"/>
  <c r="M99" i="14"/>
  <c r="M123" i="14"/>
  <c r="M148" i="14"/>
  <c r="M173" i="14"/>
  <c r="M195" i="14"/>
  <c r="N195" i="14" s="1"/>
  <c r="O195" i="14" s="1"/>
  <c r="R195" i="14" s="1"/>
  <c r="M216" i="14"/>
  <c r="M240" i="14"/>
  <c r="N240" i="14" s="1"/>
  <c r="O240" i="14" s="1"/>
  <c r="R240" i="14" s="1"/>
  <c r="M264" i="14"/>
  <c r="N264" i="14" s="1"/>
  <c r="O264" i="14" s="1"/>
  <c r="R264" i="14" s="1"/>
  <c r="M288" i="14"/>
  <c r="M8" i="14"/>
  <c r="N8" i="14" s="1"/>
  <c r="O8" i="14" s="1"/>
  <c r="R8" i="14" s="1"/>
  <c r="M30" i="14"/>
  <c r="N30" i="14" s="1"/>
  <c r="O30" i="14" s="1"/>
  <c r="R30" i="14" s="1"/>
  <c r="M54" i="14"/>
  <c r="M76" i="14"/>
  <c r="M102" i="14"/>
  <c r="M127" i="14"/>
  <c r="N127" i="14" s="1"/>
  <c r="O127" i="14" s="1"/>
  <c r="R127" i="14" s="1"/>
  <c r="M151" i="14"/>
  <c r="M175" i="14"/>
  <c r="M198" i="14"/>
  <c r="M219" i="14"/>
  <c r="N219" i="14" s="1"/>
  <c r="O219" i="14" s="1"/>
  <c r="R219" i="14" s="1"/>
  <c r="M242" i="14"/>
  <c r="M267" i="14"/>
  <c r="M292" i="14"/>
  <c r="M12" i="14"/>
  <c r="M33" i="14"/>
  <c r="M56" i="14"/>
  <c r="M80" i="14"/>
  <c r="M105" i="14"/>
  <c r="M129" i="14"/>
  <c r="M155" i="14"/>
  <c r="M179" i="14"/>
  <c r="M200" i="14"/>
  <c r="N200" i="14" s="1"/>
  <c r="O200" i="14" s="1"/>
  <c r="R200" i="14" s="1"/>
  <c r="M223" i="14"/>
  <c r="M246" i="14"/>
  <c r="M269" i="14"/>
  <c r="M295" i="14"/>
  <c r="M14" i="14"/>
  <c r="M36" i="14"/>
  <c r="M60" i="14"/>
  <c r="M83" i="14"/>
  <c r="M108" i="14"/>
  <c r="M132" i="14"/>
  <c r="M157" i="14"/>
  <c r="M182" i="14"/>
  <c r="M203" i="14"/>
  <c r="N203" i="14" s="1"/>
  <c r="O203" i="14" s="1"/>
  <c r="R203" i="14" s="1"/>
  <c r="M225" i="14"/>
  <c r="M250" i="14"/>
  <c r="N250" i="14" s="1"/>
  <c r="O250" i="14" s="1"/>
  <c r="M273" i="14"/>
  <c r="N273" i="14" s="1"/>
  <c r="O273" i="14" s="1"/>
  <c r="R273" i="14" s="1"/>
  <c r="M297" i="14"/>
  <c r="N297" i="14" s="1"/>
  <c r="O297" i="14" s="1"/>
  <c r="R297" i="14" s="1"/>
  <c r="M17" i="14"/>
  <c r="M38" i="14"/>
  <c r="M63" i="14"/>
  <c r="M87" i="14"/>
  <c r="N87" i="14" s="1"/>
  <c r="O87" i="14" s="1"/>
  <c r="M111" i="14"/>
  <c r="M137" i="14"/>
  <c r="M161" i="14"/>
  <c r="N161" i="14" s="1"/>
  <c r="O161" i="14" s="1"/>
  <c r="M184" i="14"/>
  <c r="M206" i="14"/>
  <c r="M229" i="14"/>
  <c r="M252" i="14"/>
  <c r="N252" i="14" s="1"/>
  <c r="O252" i="14" s="1"/>
  <c r="R252" i="14" s="1"/>
  <c r="M276" i="14"/>
  <c r="N276" i="14" s="1"/>
  <c r="O276" i="14" s="1"/>
  <c r="R276" i="14" s="1"/>
  <c r="M300" i="14"/>
  <c r="M364" i="14"/>
  <c r="N364" i="14" s="1"/>
  <c r="O364" i="14" s="1"/>
  <c r="M25" i="14"/>
  <c r="M47" i="14"/>
  <c r="M71" i="14"/>
  <c r="M96" i="14"/>
  <c r="M119" i="14"/>
  <c r="M145" i="14"/>
  <c r="M170" i="14"/>
  <c r="N170" i="14" s="1"/>
  <c r="O170" i="14" s="1"/>
  <c r="R170" i="14" s="1"/>
  <c r="M192" i="14"/>
  <c r="N192" i="14" s="1"/>
  <c r="O192" i="14" s="1"/>
  <c r="R192" i="14" s="1"/>
  <c r="M214" i="14"/>
  <c r="N214" i="14" s="1"/>
  <c r="O214" i="14" s="1"/>
  <c r="R214" i="14" s="1"/>
  <c r="M237" i="14"/>
  <c r="M261" i="14"/>
  <c r="N261" i="14" s="1"/>
  <c r="O261" i="14" s="1"/>
  <c r="R261" i="14" s="1"/>
  <c r="M286" i="14"/>
  <c r="N286" i="14" s="1"/>
  <c r="O286" i="14" s="1"/>
  <c r="R286" i="14" s="1"/>
  <c r="M65" i="14"/>
  <c r="M164" i="14"/>
  <c r="M255" i="14"/>
  <c r="M68" i="14"/>
  <c r="M167" i="14"/>
  <c r="M259" i="14"/>
  <c r="N259" i="14" s="1"/>
  <c r="O259" i="14" s="1"/>
  <c r="R259" i="14" s="1"/>
  <c r="M356" i="14"/>
  <c r="N356" i="14" s="1"/>
  <c r="O356" i="14" s="1"/>
  <c r="R356" i="14" s="1"/>
  <c r="M90" i="14"/>
  <c r="M187" i="14"/>
  <c r="M279" i="14"/>
  <c r="M45" i="14"/>
  <c r="M359" i="14"/>
  <c r="N359" i="14" s="1"/>
  <c r="O359" i="14" s="1"/>
  <c r="R359" i="14" s="1"/>
  <c r="M92" i="14"/>
  <c r="M190" i="14"/>
  <c r="M283" i="14"/>
  <c r="M142" i="14"/>
  <c r="M20" i="14"/>
  <c r="M114" i="14"/>
  <c r="M208" i="14"/>
  <c r="M41" i="14"/>
  <c r="M232" i="14"/>
  <c r="N232" i="14" s="1"/>
  <c r="O232" i="14" s="1"/>
  <c r="R232" i="14" s="1"/>
  <c r="M234" i="14"/>
  <c r="M22" i="14"/>
  <c r="M117" i="14"/>
  <c r="M211" i="14"/>
  <c r="M139" i="14"/>
  <c r="N139" i="14" s="1"/>
  <c r="O139" i="14" s="1"/>
  <c r="R139" i="14" s="1"/>
  <c r="M314" i="14"/>
  <c r="M347" i="14"/>
  <c r="M305" i="14"/>
  <c r="M335" i="14"/>
  <c r="M319" i="14"/>
  <c r="M340" i="14"/>
  <c r="M346" i="14"/>
  <c r="M312" i="14"/>
  <c r="M324" i="14"/>
  <c r="M317" i="14"/>
  <c r="M327" i="14"/>
  <c r="M337" i="14"/>
  <c r="M316" i="14"/>
  <c r="M350" i="14"/>
  <c r="M322" i="14"/>
  <c r="M344" i="14"/>
  <c r="M338" i="14"/>
  <c r="M311" i="14"/>
  <c r="M326" i="14"/>
  <c r="M336" i="14"/>
  <c r="M351" i="14"/>
  <c r="M321" i="14"/>
  <c r="M318" i="14"/>
  <c r="M310" i="14"/>
  <c r="M333" i="14"/>
  <c r="M341" i="14"/>
  <c r="M330" i="14"/>
  <c r="M343" i="14"/>
  <c r="M307" i="14"/>
  <c r="M323" i="14"/>
  <c r="M334" i="14"/>
  <c r="M328" i="14"/>
  <c r="M308" i="14"/>
  <c r="M345" i="14"/>
  <c r="M309" i="14"/>
  <c r="M325" i="14"/>
  <c r="M349" i="14"/>
  <c r="M348" i="14"/>
  <c r="M329" i="14"/>
  <c r="M320" i="14"/>
  <c r="M313" i="14"/>
  <c r="M306" i="14"/>
  <c r="M332" i="14"/>
  <c r="M304" i="14"/>
  <c r="M342" i="14"/>
  <c r="M315" i="14"/>
  <c r="M331" i="14"/>
  <c r="M339" i="14"/>
  <c r="H307" i="13"/>
  <c r="I275" i="13"/>
  <c r="Q307" i="13"/>
  <c r="S43" i="13"/>
  <c r="S363" i="13"/>
  <c r="S377" i="13"/>
  <c r="J121" i="13"/>
  <c r="I244" i="13"/>
  <c r="S376" i="13"/>
  <c r="Q379" i="13"/>
  <c r="S311" i="13"/>
  <c r="S308" i="13"/>
  <c r="J107" i="13"/>
  <c r="I249" i="13"/>
  <c r="I282" i="13"/>
  <c r="I137" i="13"/>
  <c r="L382" i="13"/>
  <c r="L383" i="13"/>
  <c r="D377" i="13"/>
  <c r="D379" i="13" s="1"/>
  <c r="G368" i="13"/>
  <c r="J368" i="13" s="1"/>
  <c r="H375" i="13"/>
  <c r="H374" i="13"/>
  <c r="G369" i="13"/>
  <c r="J369" i="13" s="1"/>
  <c r="G370" i="13"/>
  <c r="J370" i="13" s="1"/>
  <c r="H371" i="13"/>
  <c r="G371" i="13"/>
  <c r="J371" i="13" s="1"/>
  <c r="H372" i="13"/>
  <c r="N27" i="14" l="1"/>
  <c r="O27" i="14" s="1"/>
  <c r="R27" i="14" s="1"/>
  <c r="N255" i="14"/>
  <c r="O255" i="14" s="1"/>
  <c r="R255" i="14" s="1"/>
  <c r="N75" i="14"/>
  <c r="O75" i="14" s="1"/>
  <c r="R75" i="14" s="1"/>
  <c r="N272" i="14"/>
  <c r="O272" i="14" s="1"/>
  <c r="N146" i="14"/>
  <c r="O146" i="14" s="1"/>
  <c r="R146" i="14" s="1"/>
  <c r="N126" i="14"/>
  <c r="O126" i="14" s="1"/>
  <c r="R126" i="14" s="1"/>
  <c r="N246" i="14"/>
  <c r="O246" i="14" s="1"/>
  <c r="R246" i="14" s="1"/>
  <c r="N132" i="14"/>
  <c r="O132" i="14" s="1"/>
  <c r="R132" i="14" s="1"/>
  <c r="N116" i="14"/>
  <c r="O116" i="14" s="1"/>
  <c r="R116" i="14" s="1"/>
  <c r="N83" i="14"/>
  <c r="O83" i="14" s="1"/>
  <c r="N191" i="14"/>
  <c r="O191" i="14" s="1"/>
  <c r="R191" i="14" s="1"/>
  <c r="N174" i="14"/>
  <c r="O174" i="14" s="1"/>
  <c r="R174" i="14" s="1"/>
  <c r="N46" i="14"/>
  <c r="O46" i="14" s="1"/>
  <c r="R46" i="14" s="1"/>
  <c r="N129" i="14"/>
  <c r="O129" i="14" s="1"/>
  <c r="R129" i="14" s="1"/>
  <c r="N222" i="14"/>
  <c r="O222" i="14" s="1"/>
  <c r="R222" i="14" s="1"/>
  <c r="N117" i="14"/>
  <c r="O117" i="14" s="1"/>
  <c r="R117" i="14" s="1"/>
  <c r="N60" i="14"/>
  <c r="O60" i="14" s="1"/>
  <c r="R60" i="14" s="1"/>
  <c r="N80" i="14"/>
  <c r="O80" i="14" s="1"/>
  <c r="R80" i="14" s="1"/>
  <c r="N235" i="14"/>
  <c r="O235" i="14" s="1"/>
  <c r="R235" i="14" s="1"/>
  <c r="N130" i="14"/>
  <c r="O130" i="14" s="1"/>
  <c r="R130" i="14" s="1"/>
  <c r="N23" i="14"/>
  <c r="O23" i="14" s="1"/>
  <c r="R23" i="14" s="1"/>
  <c r="N205" i="14"/>
  <c r="O205" i="14" s="1"/>
  <c r="R205" i="14" s="1"/>
  <c r="N39" i="14"/>
  <c r="O39" i="14" s="1"/>
  <c r="R39" i="14" s="1"/>
  <c r="N36" i="14"/>
  <c r="O36" i="14" s="1"/>
  <c r="R36" i="14" s="1"/>
  <c r="N24" i="14"/>
  <c r="O24" i="14" s="1"/>
  <c r="R24" i="14" s="1"/>
  <c r="N226" i="14"/>
  <c r="O226" i="14" s="1"/>
  <c r="R226" i="14" s="1"/>
  <c r="N15" i="14"/>
  <c r="O15" i="14" s="1"/>
  <c r="R15" i="14" s="1"/>
  <c r="N89" i="14"/>
  <c r="O89" i="14" s="1"/>
  <c r="R89" i="14" s="1"/>
  <c r="N44" i="14"/>
  <c r="O44" i="14" s="1"/>
  <c r="R44" i="14" s="1"/>
  <c r="N55" i="14"/>
  <c r="O55" i="14" s="1"/>
  <c r="R55" i="14" s="1"/>
  <c r="N96" i="14"/>
  <c r="O96" i="14" s="1"/>
  <c r="R96" i="14" s="1"/>
  <c r="N76" i="14"/>
  <c r="O76" i="14" s="1"/>
  <c r="R76" i="14" s="1"/>
  <c r="N33" i="14"/>
  <c r="O33" i="14" s="1"/>
  <c r="R33" i="14" s="1"/>
  <c r="N112" i="14"/>
  <c r="O112" i="14" s="1"/>
  <c r="R112" i="14" s="1"/>
  <c r="N6" i="14"/>
  <c r="O6" i="14" s="1"/>
  <c r="R6" i="14" s="1"/>
  <c r="N294" i="14"/>
  <c r="O294" i="14" s="1"/>
  <c r="R294" i="14" s="1"/>
  <c r="N107" i="14"/>
  <c r="O107" i="14" s="1"/>
  <c r="R107" i="14" s="1"/>
  <c r="N124" i="14"/>
  <c r="O124" i="14" s="1"/>
  <c r="R124" i="14" s="1"/>
  <c r="N54" i="14"/>
  <c r="O54" i="14" s="1"/>
  <c r="R54" i="14" s="1"/>
  <c r="N138" i="14"/>
  <c r="O138" i="14" s="1"/>
  <c r="R138" i="14" s="1"/>
  <c r="N133" i="14"/>
  <c r="O133" i="14" s="1"/>
  <c r="R133" i="14" s="1"/>
  <c r="N239" i="14"/>
  <c r="O239" i="14" s="1"/>
  <c r="R239" i="14" s="1"/>
  <c r="N242" i="14"/>
  <c r="O242" i="14" s="1"/>
  <c r="R242" i="14" s="1"/>
  <c r="N247" i="14"/>
  <c r="O247" i="14" s="1"/>
  <c r="R247" i="14" s="1"/>
  <c r="N97" i="14"/>
  <c r="O97" i="14" s="1"/>
  <c r="R97" i="14" s="1"/>
  <c r="N275" i="14"/>
  <c r="O275" i="14" s="1"/>
  <c r="R275" i="14" s="1"/>
  <c r="N266" i="14"/>
  <c r="O266" i="14" s="1"/>
  <c r="R266" i="14" s="1"/>
  <c r="N77" i="14"/>
  <c r="O77" i="14" s="1"/>
  <c r="R77" i="14" s="1"/>
  <c r="I277" i="18"/>
  <c r="I346" i="18" s="1"/>
  <c r="I348" i="18" s="1"/>
  <c r="N102" i="14"/>
  <c r="O102" i="14" s="1"/>
  <c r="R102" i="14" s="1"/>
  <c r="N216" i="14"/>
  <c r="O216" i="14" s="1"/>
  <c r="R216" i="14" s="1"/>
  <c r="N245" i="14"/>
  <c r="O245" i="14" s="1"/>
  <c r="R245" i="14" s="1"/>
  <c r="N104" i="14"/>
  <c r="O104" i="14" s="1"/>
  <c r="R104" i="14" s="1"/>
  <c r="N172" i="14"/>
  <c r="O172" i="14" s="1"/>
  <c r="R172" i="14" s="1"/>
  <c r="N164" i="14"/>
  <c r="O164" i="14" s="1"/>
  <c r="R164" i="14" s="1"/>
  <c r="N278" i="14"/>
  <c r="O278" i="14" s="1"/>
  <c r="R278" i="14" s="1"/>
  <c r="N105" i="14"/>
  <c r="O105" i="14" s="1"/>
  <c r="R105" i="14" s="1"/>
  <c r="N114" i="14"/>
  <c r="O114" i="14" s="1"/>
  <c r="R114" i="14" s="1"/>
  <c r="N5" i="14"/>
  <c r="O5" i="14" s="1"/>
  <c r="R5" i="14" s="1"/>
  <c r="N230" i="14"/>
  <c r="O230" i="14" s="1"/>
  <c r="R230" i="14" s="1"/>
  <c r="N17" i="14"/>
  <c r="O17" i="14" s="1"/>
  <c r="R17" i="14" s="1"/>
  <c r="N189" i="14"/>
  <c r="O189" i="14" s="1"/>
  <c r="R189" i="14" s="1"/>
  <c r="N69" i="14"/>
  <c r="O69" i="14" s="1"/>
  <c r="R69" i="14" s="1"/>
  <c r="N167" i="14"/>
  <c r="O167" i="14" s="1"/>
  <c r="R167" i="14" s="1"/>
  <c r="N113" i="14"/>
  <c r="O113" i="14" s="1"/>
  <c r="R113" i="14" s="1"/>
  <c r="N140" i="14"/>
  <c r="O140" i="14" s="1"/>
  <c r="R140" i="14" s="1"/>
  <c r="N225" i="14"/>
  <c r="O225" i="14" s="1"/>
  <c r="R225" i="14" s="1"/>
  <c r="N267" i="14"/>
  <c r="O267" i="14" s="1"/>
  <c r="R267" i="14" s="1"/>
  <c r="N120" i="14"/>
  <c r="O120" i="14" s="1"/>
  <c r="R120" i="14" s="1"/>
  <c r="N34" i="14"/>
  <c r="O34" i="14" s="1"/>
  <c r="R34" i="14" s="1"/>
  <c r="N187" i="14"/>
  <c r="O187" i="14" s="1"/>
  <c r="R187" i="14" s="1"/>
  <c r="N119" i="14"/>
  <c r="O119" i="14" s="1"/>
  <c r="R119" i="14" s="1"/>
  <c r="N63" i="14"/>
  <c r="O63" i="14" s="1"/>
  <c r="R63" i="14" s="1"/>
  <c r="N238" i="14"/>
  <c r="O238" i="14" s="1"/>
  <c r="R238" i="14" s="1"/>
  <c r="N171" i="14"/>
  <c r="O171" i="14" s="1"/>
  <c r="R171" i="14" s="1"/>
  <c r="N18" i="14"/>
  <c r="O18" i="14" s="1"/>
  <c r="R18" i="14" s="1"/>
  <c r="N153" i="14"/>
  <c r="O153" i="14" s="1"/>
  <c r="N190" i="14"/>
  <c r="O190" i="14" s="1"/>
  <c r="R190" i="14" s="1"/>
  <c r="N108" i="14"/>
  <c r="O108" i="14" s="1"/>
  <c r="R108" i="14" s="1"/>
  <c r="N73" i="14"/>
  <c r="O73" i="14" s="1"/>
  <c r="R73" i="14" s="1"/>
  <c r="N258" i="14"/>
  <c r="O258" i="14" s="1"/>
  <c r="R258" i="14" s="1"/>
  <c r="N291" i="14"/>
  <c r="O291" i="14" s="1"/>
  <c r="R291" i="14" s="1"/>
  <c r="N150" i="14"/>
  <c r="O150" i="14" s="1"/>
  <c r="R150" i="14" s="1"/>
  <c r="N65" i="14"/>
  <c r="O65" i="14" s="1"/>
  <c r="R65" i="14" s="1"/>
  <c r="N142" i="14"/>
  <c r="O142" i="14" s="1"/>
  <c r="R142" i="14" s="1"/>
  <c r="N79" i="14"/>
  <c r="O79" i="14" s="1"/>
  <c r="R79" i="14" s="1"/>
  <c r="N111" i="14"/>
  <c r="O111" i="14" s="1"/>
  <c r="R111" i="14" s="1"/>
  <c r="I307" i="13"/>
  <c r="I308" i="13" s="1"/>
  <c r="J277" i="18"/>
  <c r="N169" i="14"/>
  <c r="O169" i="14" s="1"/>
  <c r="R169" i="14" s="1"/>
  <c r="N9" i="14"/>
  <c r="O9" i="14" s="1"/>
  <c r="R9" i="14" s="1"/>
  <c r="N215" i="14"/>
  <c r="O215" i="14" s="1"/>
  <c r="R215" i="14" s="1"/>
  <c r="N204" i="14"/>
  <c r="O204" i="14" s="1"/>
  <c r="R204" i="14" s="1"/>
  <c r="N207" i="14"/>
  <c r="O207" i="14" s="1"/>
  <c r="R207" i="14" s="1"/>
  <c r="N237" i="14"/>
  <c r="O237" i="14" s="1"/>
  <c r="R237" i="14" s="1"/>
  <c r="N263" i="14"/>
  <c r="O263" i="14" s="1"/>
  <c r="R263" i="14" s="1"/>
  <c r="N143" i="14"/>
  <c r="O143" i="14" s="1"/>
  <c r="R143" i="14" s="1"/>
  <c r="N68" i="14"/>
  <c r="O68" i="14" s="1"/>
  <c r="R68" i="14" s="1"/>
  <c r="N45" i="14"/>
  <c r="O45" i="14" s="1"/>
  <c r="R45" i="14" s="1"/>
  <c r="N211" i="14"/>
  <c r="O211" i="14" s="1"/>
  <c r="R211" i="14" s="1"/>
  <c r="N95" i="14"/>
  <c r="O95" i="14" s="1"/>
  <c r="R95" i="14" s="1"/>
  <c r="N148" i="14"/>
  <c r="O148" i="14" s="1"/>
  <c r="R148" i="14" s="1"/>
  <c r="N186" i="14"/>
  <c r="O186" i="14" s="1"/>
  <c r="R186" i="14" s="1"/>
  <c r="N179" i="14"/>
  <c r="O179" i="14" s="1"/>
  <c r="R179" i="14" s="1"/>
  <c r="N32" i="14"/>
  <c r="O32" i="14" s="1"/>
  <c r="R32" i="14" s="1"/>
  <c r="N165" i="14"/>
  <c r="O165" i="14" s="1"/>
  <c r="R165" i="14" s="1"/>
  <c r="N91" i="14"/>
  <c r="O91" i="14" s="1"/>
  <c r="R91" i="14" s="1"/>
  <c r="N175" i="14"/>
  <c r="O175" i="14" s="1"/>
  <c r="R175" i="14" s="1"/>
  <c r="N202" i="14"/>
  <c r="O202" i="14" s="1"/>
  <c r="R202" i="14" s="1"/>
  <c r="N10" i="14"/>
  <c r="O10" i="14" s="1"/>
  <c r="R10" i="14" s="1"/>
  <c r="N47" i="14"/>
  <c r="O47" i="14" s="1"/>
  <c r="R47" i="14" s="1"/>
  <c r="N155" i="14"/>
  <c r="O155" i="14" s="1"/>
  <c r="R155" i="14" s="1"/>
  <c r="N300" i="14"/>
  <c r="O300" i="14" s="1"/>
  <c r="R300" i="14" s="1"/>
  <c r="N48" i="14"/>
  <c r="O48" i="14" s="1"/>
  <c r="R48" i="14" s="1"/>
  <c r="N19" i="14"/>
  <c r="O19" i="14" s="1"/>
  <c r="R19" i="14" s="1"/>
  <c r="N14" i="14"/>
  <c r="O14" i="14" s="1"/>
  <c r="R14" i="14" s="1"/>
  <c r="N227" i="14"/>
  <c r="O227" i="14" s="1"/>
  <c r="R227" i="14" s="1"/>
  <c r="N159" i="14"/>
  <c r="O159" i="14" s="1"/>
  <c r="R159" i="14" s="1"/>
  <c r="N85" i="14"/>
  <c r="O85" i="14" s="1"/>
  <c r="R85" i="14" s="1"/>
  <c r="N185" i="14"/>
  <c r="O185" i="14" s="1"/>
  <c r="R185" i="14" s="1"/>
  <c r="N64" i="14"/>
  <c r="O64" i="14" s="1"/>
  <c r="R64" i="14" s="1"/>
  <c r="N180" i="14"/>
  <c r="O180" i="14" s="1"/>
  <c r="R180" i="14" s="1"/>
  <c r="N22" i="14"/>
  <c r="O22" i="14" s="1"/>
  <c r="R22" i="14" s="1"/>
  <c r="N71" i="14"/>
  <c r="O71" i="14" s="1"/>
  <c r="R71" i="14" s="1"/>
  <c r="N56" i="14"/>
  <c r="O56" i="14" s="1"/>
  <c r="R56" i="14" s="1"/>
  <c r="N288" i="14"/>
  <c r="O288" i="14" s="1"/>
  <c r="R288" i="14" s="1"/>
  <c r="N99" i="14"/>
  <c r="O99" i="14" s="1"/>
  <c r="R99" i="14" s="1"/>
  <c r="N158" i="14"/>
  <c r="O158" i="14" s="1"/>
  <c r="R158" i="14" s="1"/>
  <c r="N37" i="14"/>
  <c r="O37" i="14" s="1"/>
  <c r="R37" i="14" s="1"/>
  <c r="N197" i="14"/>
  <c r="O197" i="14" s="1"/>
  <c r="R197" i="14" s="1"/>
  <c r="N223" i="14"/>
  <c r="O223" i="14" s="1"/>
  <c r="R223" i="14" s="1"/>
  <c r="N151" i="14"/>
  <c r="O151" i="14" s="1"/>
  <c r="R151" i="14" s="1"/>
  <c r="N194" i="14"/>
  <c r="O194" i="14" s="1"/>
  <c r="R194" i="14" s="1"/>
  <c r="N49" i="14"/>
  <c r="O49" i="14" s="1"/>
  <c r="R49" i="14" s="1"/>
  <c r="N29" i="14"/>
  <c r="O29" i="14" s="1"/>
  <c r="R29" i="14" s="1"/>
  <c r="N284" i="14"/>
  <c r="O284" i="14" s="1"/>
  <c r="R284" i="14" s="1"/>
  <c r="N92" i="14"/>
  <c r="O92" i="14" s="1"/>
  <c r="R92" i="14" s="1"/>
  <c r="N25" i="14"/>
  <c r="O25" i="14" s="1"/>
  <c r="R25" i="14" s="1"/>
  <c r="N254" i="14"/>
  <c r="O254" i="14" s="1"/>
  <c r="R254" i="14" s="1"/>
  <c r="N233" i="14"/>
  <c r="O233" i="14" s="1"/>
  <c r="R233" i="14" s="1"/>
  <c r="N248" i="14"/>
  <c r="O248" i="14" s="1"/>
  <c r="R248" i="14" s="1"/>
  <c r="N35" i="14"/>
  <c r="O35" i="14" s="1"/>
  <c r="R35" i="14" s="1"/>
  <c r="N274" i="14"/>
  <c r="O274" i="14" s="1"/>
  <c r="R274" i="14" s="1"/>
  <c r="N61" i="14"/>
  <c r="O61" i="14" s="1"/>
  <c r="R61" i="14" s="1"/>
  <c r="N41" i="14"/>
  <c r="O41" i="14" s="1"/>
  <c r="R41" i="14" s="1"/>
  <c r="N137" i="14"/>
  <c r="O137" i="14" s="1"/>
  <c r="R137" i="14" s="1"/>
  <c r="N292" i="14"/>
  <c r="O292" i="14" s="1"/>
  <c r="R292" i="14" s="1"/>
  <c r="N28" i="14"/>
  <c r="O28" i="14" s="1"/>
  <c r="R28" i="14" s="1"/>
  <c r="N177" i="14"/>
  <c r="O177" i="14" s="1"/>
  <c r="R177" i="14" s="1"/>
  <c r="N270" i="14"/>
  <c r="O270" i="14" s="1"/>
  <c r="R270" i="14" s="1"/>
  <c r="N201" i="14"/>
  <c r="O201" i="14" s="1"/>
  <c r="R201" i="14" s="1"/>
  <c r="N57" i="14"/>
  <c r="O57" i="14" s="1"/>
  <c r="R57" i="14" s="1"/>
  <c r="N224" i="14"/>
  <c r="O224" i="14" s="1"/>
  <c r="R224" i="14" s="1"/>
  <c r="N156" i="14"/>
  <c r="O156" i="14" s="1"/>
  <c r="R156" i="14" s="1"/>
  <c r="N98" i="14"/>
  <c r="O98" i="14" s="1"/>
  <c r="R98" i="14" s="1"/>
  <c r="N265" i="14"/>
  <c r="O265" i="14" s="1"/>
  <c r="R265" i="14" s="1"/>
  <c r="N196" i="14"/>
  <c r="O196" i="14" s="1"/>
  <c r="R196" i="14" s="1"/>
  <c r="N52" i="14"/>
  <c r="O52" i="14" s="1"/>
  <c r="R52" i="14" s="1"/>
  <c r="N31" i="14"/>
  <c r="O31" i="14" s="1"/>
  <c r="R31" i="14" s="1"/>
  <c r="N20" i="14"/>
  <c r="O20" i="14" s="1"/>
  <c r="R20" i="14" s="1"/>
  <c r="N243" i="14"/>
  <c r="O243" i="14" s="1"/>
  <c r="R243" i="14" s="1"/>
  <c r="N70" i="14"/>
  <c r="O70" i="14" s="1"/>
  <c r="R70" i="14" s="1"/>
  <c r="N26" i="14"/>
  <c r="O26" i="14" s="1"/>
  <c r="R26" i="14" s="1"/>
  <c r="N229" i="14"/>
  <c r="O229" i="14" s="1"/>
  <c r="R229" i="14" s="1"/>
  <c r="N38" i="14"/>
  <c r="O38" i="14" s="1"/>
  <c r="R38" i="14" s="1"/>
  <c r="N157" i="14"/>
  <c r="O157" i="14" s="1"/>
  <c r="R157" i="14" s="1"/>
  <c r="N269" i="14"/>
  <c r="O269" i="14" s="1"/>
  <c r="R269" i="14" s="1"/>
  <c r="N198" i="14"/>
  <c r="O198" i="14" s="1"/>
  <c r="R198" i="14" s="1"/>
  <c r="N281" i="14"/>
  <c r="O281" i="14" s="1"/>
  <c r="R281" i="14" s="1"/>
  <c r="N94" i="14"/>
  <c r="O94" i="14" s="1"/>
  <c r="R94" i="14" s="1"/>
  <c r="N118" i="14"/>
  <c r="O118" i="14" s="1"/>
  <c r="R118" i="14" s="1"/>
  <c r="N135" i="14"/>
  <c r="O135" i="14" s="1"/>
  <c r="O136" i="14" s="1"/>
  <c r="R136" i="14" s="1"/>
  <c r="N12" i="14"/>
  <c r="O12" i="14" s="1"/>
  <c r="R12" i="14" s="1"/>
  <c r="N40" i="14"/>
  <c r="O40" i="14" s="1"/>
  <c r="R40" i="14" s="1"/>
  <c r="R250" i="14"/>
  <c r="N208" i="14"/>
  <c r="O208" i="14" s="1"/>
  <c r="R208" i="14" s="1"/>
  <c r="N236" i="14"/>
  <c r="O236" i="14" s="1"/>
  <c r="R236" i="14" s="1"/>
  <c r="N262" i="14"/>
  <c r="O262" i="14" s="1"/>
  <c r="R262" i="14" s="1"/>
  <c r="N287" i="14"/>
  <c r="O287" i="14" s="1"/>
  <c r="R287" i="14" s="1"/>
  <c r="N231" i="14"/>
  <c r="O231" i="14" s="1"/>
  <c r="R231" i="14" s="1"/>
  <c r="N163" i="14"/>
  <c r="O163" i="14" s="1"/>
  <c r="R163" i="14" s="1"/>
  <c r="N256" i="14"/>
  <c r="O256" i="14" s="1"/>
  <c r="R256" i="14" s="1"/>
  <c r="N188" i="14"/>
  <c r="O188" i="14" s="1"/>
  <c r="R188" i="14" s="1"/>
  <c r="N115" i="14"/>
  <c r="O115" i="14" s="1"/>
  <c r="R115" i="14" s="1"/>
  <c r="N279" i="14"/>
  <c r="O279" i="14" s="1"/>
  <c r="R279" i="14" s="1"/>
  <c r="N145" i="14"/>
  <c r="O145" i="14" s="1"/>
  <c r="R145" i="14" s="1"/>
  <c r="R87" i="14"/>
  <c r="N173" i="14"/>
  <c r="O173" i="14" s="1"/>
  <c r="R173" i="14" s="1"/>
  <c r="N16" i="14"/>
  <c r="O16" i="14" s="1"/>
  <c r="R16" i="14" s="1"/>
  <c r="N11" i="14"/>
  <c r="O11" i="14" s="1"/>
  <c r="R11" i="14" s="1"/>
  <c r="N106" i="14"/>
  <c r="O106" i="14" s="1"/>
  <c r="R106" i="14" s="1"/>
  <c r="N182" i="14"/>
  <c r="O182" i="14" s="1"/>
  <c r="R182" i="14" s="1"/>
  <c r="N295" i="14"/>
  <c r="O295" i="14" s="1"/>
  <c r="R295" i="14" s="1"/>
  <c r="N7" i="14"/>
  <c r="O7" i="14" s="1"/>
  <c r="R7" i="14" s="1"/>
  <c r="N176" i="14"/>
  <c r="O176" i="14" s="1"/>
  <c r="R176" i="14" s="1"/>
  <c r="N103" i="14"/>
  <c r="O103" i="14" s="1"/>
  <c r="R103" i="14" s="1"/>
  <c r="N199" i="14"/>
  <c r="O199" i="14" s="1"/>
  <c r="R199" i="14" s="1"/>
  <c r="N213" i="14"/>
  <c r="O213" i="14" s="1"/>
  <c r="R213" i="14" s="1"/>
  <c r="N90" i="14"/>
  <c r="O90" i="14" s="1"/>
  <c r="R90" i="14" s="1"/>
  <c r="N162" i="14"/>
  <c r="O162" i="14" s="1"/>
  <c r="R162" i="14" s="1"/>
  <c r="N123" i="14"/>
  <c r="O123" i="14" s="1"/>
  <c r="R123" i="14" s="1"/>
  <c r="N283" i="14"/>
  <c r="O283" i="14" s="1"/>
  <c r="N206" i="14"/>
  <c r="O206" i="14" s="1"/>
  <c r="R272" i="14"/>
  <c r="N59" i="14"/>
  <c r="O59" i="14" s="1"/>
  <c r="N251" i="14"/>
  <c r="O251" i="14" s="1"/>
  <c r="R251" i="14" s="1"/>
  <c r="N183" i="14"/>
  <c r="O183" i="14" s="1"/>
  <c r="R183" i="14" s="1"/>
  <c r="N109" i="14"/>
  <c r="O109" i="14" s="1"/>
  <c r="R109" i="14" s="1"/>
  <c r="N53" i="14"/>
  <c r="O53" i="14" s="1"/>
  <c r="R53" i="14" s="1"/>
  <c r="N293" i="14"/>
  <c r="O293" i="14" s="1"/>
  <c r="R293" i="14" s="1"/>
  <c r="N220" i="14"/>
  <c r="O220" i="14" s="1"/>
  <c r="R220" i="14" s="1"/>
  <c r="R153" i="14"/>
  <c r="R161" i="14"/>
  <c r="R83" i="14"/>
  <c r="N234" i="14"/>
  <c r="O234" i="14" s="1"/>
  <c r="R234" i="14" s="1"/>
  <c r="N184" i="14"/>
  <c r="O184" i="14" s="1"/>
  <c r="R184" i="14" s="1"/>
  <c r="N122" i="14"/>
  <c r="O122" i="14" s="1"/>
  <c r="N217" i="14"/>
  <c r="O217" i="14" s="1"/>
  <c r="R217" i="14" s="1"/>
  <c r="R101" i="14"/>
  <c r="N212" i="14"/>
  <c r="O212" i="14" s="1"/>
  <c r="R212" i="14" s="1"/>
  <c r="N332" i="14"/>
  <c r="O332" i="14" s="1"/>
  <c r="R332" i="14" s="1"/>
  <c r="N351" i="14"/>
  <c r="O351" i="14" s="1"/>
  <c r="R351" i="14" s="1"/>
  <c r="N347" i="14"/>
  <c r="O347" i="14" s="1"/>
  <c r="R347" i="14" s="1"/>
  <c r="N309" i="14"/>
  <c r="O309" i="14" s="1"/>
  <c r="R309" i="14" s="1"/>
  <c r="N317" i="14"/>
  <c r="O317" i="14" s="1"/>
  <c r="R317" i="14" s="1"/>
  <c r="N342" i="14"/>
  <c r="O342" i="14" s="1"/>
  <c r="R342" i="14" s="1"/>
  <c r="N343" i="14"/>
  <c r="O343" i="14" s="1"/>
  <c r="R343" i="14" s="1"/>
  <c r="N324" i="14"/>
  <c r="O324" i="14" s="1"/>
  <c r="R324" i="14" s="1"/>
  <c r="N340" i="14"/>
  <c r="O340" i="14" s="1"/>
  <c r="R340" i="14" s="1"/>
  <c r="N305" i="14"/>
  <c r="O305" i="14" s="1"/>
  <c r="R305" i="14" s="1"/>
  <c r="N339" i="14"/>
  <c r="O339" i="14" s="1"/>
  <c r="R339" i="14" s="1"/>
  <c r="N313" i="14"/>
  <c r="O313" i="14" s="1"/>
  <c r="R313" i="14" s="1"/>
  <c r="N345" i="14"/>
  <c r="O345" i="14" s="1"/>
  <c r="R345" i="14" s="1"/>
  <c r="N323" i="14"/>
  <c r="O323" i="14" s="1"/>
  <c r="R323" i="14" s="1"/>
  <c r="N336" i="14"/>
  <c r="O336" i="14" s="1"/>
  <c r="R336" i="14" s="1"/>
  <c r="N338" i="14"/>
  <c r="O338" i="14" s="1"/>
  <c r="R338" i="14" s="1"/>
  <c r="N331" i="14"/>
  <c r="O331" i="14" s="1"/>
  <c r="R331" i="14" s="1"/>
  <c r="N306" i="14"/>
  <c r="O306" i="14" s="1"/>
  <c r="R306" i="14" s="1"/>
  <c r="N329" i="14"/>
  <c r="O329" i="14" s="1"/>
  <c r="R329" i="14" s="1"/>
  <c r="N349" i="14"/>
  <c r="O349" i="14" s="1"/>
  <c r="R349" i="14" s="1"/>
  <c r="N328" i="14"/>
  <c r="O328" i="14" s="1"/>
  <c r="R328" i="14" s="1"/>
  <c r="N307" i="14"/>
  <c r="O307" i="14" s="1"/>
  <c r="R307" i="14" s="1"/>
  <c r="N330" i="14"/>
  <c r="O330" i="14" s="1"/>
  <c r="R330" i="14" s="1"/>
  <c r="N327" i="14"/>
  <c r="O327" i="14" s="1"/>
  <c r="R327" i="14" s="1"/>
  <c r="N346" i="14"/>
  <c r="O346" i="14" s="1"/>
  <c r="R346" i="14" s="1"/>
  <c r="N314" i="14"/>
  <c r="O314" i="14" s="1"/>
  <c r="R314" i="14" s="1"/>
  <c r="N308" i="14"/>
  <c r="O308" i="14" s="1"/>
  <c r="R308" i="14" s="1"/>
  <c r="N341" i="14"/>
  <c r="O341" i="14" s="1"/>
  <c r="R341" i="14" s="1"/>
  <c r="N319" i="14"/>
  <c r="O319" i="14" s="1"/>
  <c r="R319" i="14" s="1"/>
  <c r="N315" i="14"/>
  <c r="O315" i="14" s="1"/>
  <c r="R315" i="14" s="1"/>
  <c r="N325" i="14"/>
  <c r="O325" i="14" s="1"/>
  <c r="R325" i="14" s="1"/>
  <c r="N334" i="14"/>
  <c r="O334" i="14" s="1"/>
  <c r="R334" i="14" s="1"/>
  <c r="N326" i="14"/>
  <c r="O326" i="14" s="1"/>
  <c r="R326" i="14" s="1"/>
  <c r="N344" i="14"/>
  <c r="O344" i="14" s="1"/>
  <c r="R344" i="14" s="1"/>
  <c r="N350" i="14"/>
  <c r="O350" i="14" s="1"/>
  <c r="R350" i="14" s="1"/>
  <c r="O366" i="14"/>
  <c r="N316" i="14"/>
  <c r="O316" i="14" s="1"/>
  <c r="R316" i="14" s="1"/>
  <c r="N311" i="14"/>
  <c r="O311" i="14" s="1"/>
  <c r="R311" i="14" s="1"/>
  <c r="N322" i="14"/>
  <c r="O322" i="14" s="1"/>
  <c r="R322" i="14" s="1"/>
  <c r="N335" i="14"/>
  <c r="O335" i="14" s="1"/>
  <c r="R335" i="14" s="1"/>
  <c r="N320" i="14"/>
  <c r="O320" i="14" s="1"/>
  <c r="R320" i="14" s="1"/>
  <c r="N310" i="14"/>
  <c r="O310" i="14" s="1"/>
  <c r="R310" i="14" s="1"/>
  <c r="N312" i="14"/>
  <c r="O312" i="14" s="1"/>
  <c r="R312" i="14" s="1"/>
  <c r="N304" i="14"/>
  <c r="O304" i="14" s="1"/>
  <c r="R304" i="14" s="1"/>
  <c r="N348" i="14"/>
  <c r="O348" i="14" s="1"/>
  <c r="R348" i="14" s="1"/>
  <c r="N333" i="14"/>
  <c r="O333" i="14" s="1"/>
  <c r="R333" i="14" s="1"/>
  <c r="N318" i="14"/>
  <c r="O318" i="14" s="1"/>
  <c r="R318" i="14" s="1"/>
  <c r="N321" i="14"/>
  <c r="O321" i="14" s="1"/>
  <c r="R321" i="14" s="1"/>
  <c r="N337" i="14"/>
  <c r="O337" i="14" s="1"/>
  <c r="R337" i="14" s="1"/>
  <c r="R364" i="14"/>
  <c r="H376" i="13"/>
  <c r="O134" i="14" l="1"/>
  <c r="R134" i="14" s="1"/>
  <c r="O82" i="14"/>
  <c r="R82" i="14" s="1"/>
  <c r="K225" i="18"/>
  <c r="K212" i="18"/>
  <c r="K226" i="18"/>
  <c r="K217" i="18"/>
  <c r="K271" i="18"/>
  <c r="K200" i="18"/>
  <c r="K206" i="18"/>
  <c r="K243" i="18"/>
  <c r="K69" i="18"/>
  <c r="K110" i="18"/>
  <c r="K46" i="18"/>
  <c r="K176" i="18"/>
  <c r="K188" i="18"/>
  <c r="K73" i="18"/>
  <c r="K36" i="18"/>
  <c r="K248" i="18"/>
  <c r="K235" i="18"/>
  <c r="K130" i="18"/>
  <c r="K14" i="18"/>
  <c r="K86" i="18"/>
  <c r="K123" i="18"/>
  <c r="K164" i="18"/>
  <c r="K159" i="18"/>
  <c r="K125" i="18"/>
  <c r="K96" i="18"/>
  <c r="K262" i="18"/>
  <c r="K106" i="18"/>
  <c r="K240" i="18"/>
  <c r="K147" i="18"/>
  <c r="K133" i="18"/>
  <c r="K140" i="18"/>
  <c r="K78" i="18"/>
  <c r="K22" i="18"/>
  <c r="K109" i="18"/>
  <c r="K7" i="18"/>
  <c r="K92" i="18"/>
  <c r="K59" i="18"/>
  <c r="K117" i="18"/>
  <c r="K182" i="18"/>
  <c r="K211" i="18"/>
  <c r="K152" i="18"/>
  <c r="K205" i="18"/>
  <c r="K192" i="18"/>
  <c r="K204" i="18"/>
  <c r="K11" i="18"/>
  <c r="K94" i="18"/>
  <c r="K128" i="18"/>
  <c r="K79" i="18"/>
  <c r="K77" i="18"/>
  <c r="K178" i="18"/>
  <c r="K54" i="18"/>
  <c r="K120" i="18"/>
  <c r="K256" i="18"/>
  <c r="K52" i="18"/>
  <c r="K232" i="18"/>
  <c r="K197" i="18"/>
  <c r="K20" i="18"/>
  <c r="K37" i="18"/>
  <c r="K265" i="18"/>
  <c r="K215" i="18"/>
  <c r="K158" i="18"/>
  <c r="K172" i="18"/>
  <c r="K180" i="18"/>
  <c r="K189" i="18"/>
  <c r="K49" i="18"/>
  <c r="K166" i="18"/>
  <c r="K39" i="18"/>
  <c r="K64" i="18"/>
  <c r="K167" i="18"/>
  <c r="K216" i="18"/>
  <c r="K50" i="18"/>
  <c r="K148" i="18"/>
  <c r="K45" i="18"/>
  <c r="K30" i="18"/>
  <c r="K272" i="18"/>
  <c r="K87" i="18"/>
  <c r="K257" i="18"/>
  <c r="K67" i="18"/>
  <c r="K74" i="18"/>
  <c r="K13" i="18"/>
  <c r="K5" i="18"/>
  <c r="K57" i="18"/>
  <c r="K274" i="18"/>
  <c r="K98" i="18"/>
  <c r="K263" i="18"/>
  <c r="K63" i="18"/>
  <c r="K156" i="18"/>
  <c r="K102" i="18"/>
  <c r="K253" i="18"/>
  <c r="K18" i="18"/>
  <c r="K91" i="18"/>
  <c r="K230" i="18"/>
  <c r="K118" i="18"/>
  <c r="K210" i="18"/>
  <c r="K103" i="18"/>
  <c r="K28" i="18"/>
  <c r="K142" i="18"/>
  <c r="K224" i="18"/>
  <c r="K273" i="18"/>
  <c r="K38" i="18"/>
  <c r="K107" i="18"/>
  <c r="K174" i="18"/>
  <c r="K93" i="18"/>
  <c r="K88" i="18"/>
  <c r="K129" i="18"/>
  <c r="K85" i="18"/>
  <c r="K70" i="18"/>
  <c r="K183" i="18"/>
  <c r="K238" i="18"/>
  <c r="K97" i="18"/>
  <c r="K84" i="18"/>
  <c r="K124" i="18"/>
  <c r="K137" i="18"/>
  <c r="K9" i="18"/>
  <c r="K250" i="18"/>
  <c r="K82" i="18"/>
  <c r="K56" i="18"/>
  <c r="K90" i="18"/>
  <c r="K89" i="18"/>
  <c r="K35" i="18"/>
  <c r="K186" i="18"/>
  <c r="K241" i="18"/>
  <c r="K196" i="18"/>
  <c r="K222" i="18"/>
  <c r="K99" i="18"/>
  <c r="K65" i="18"/>
  <c r="K255" i="18"/>
  <c r="K15" i="18"/>
  <c r="K53" i="18"/>
  <c r="K168" i="18"/>
  <c r="K40" i="18"/>
  <c r="K134" i="18"/>
  <c r="K171" i="18"/>
  <c r="K42" i="18"/>
  <c r="K247" i="18"/>
  <c r="K218" i="18"/>
  <c r="K185" i="18"/>
  <c r="K203" i="18"/>
  <c r="K33" i="18"/>
  <c r="K234" i="18"/>
  <c r="K115" i="18"/>
  <c r="K163" i="18"/>
  <c r="K34" i="18"/>
  <c r="K43" i="18"/>
  <c r="K201" i="18"/>
  <c r="K105" i="18"/>
  <c r="K251" i="18"/>
  <c r="K44" i="18"/>
  <c r="K220" i="18"/>
  <c r="K60" i="18"/>
  <c r="K153" i="18"/>
  <c r="K104" i="18"/>
  <c r="K141" i="18"/>
  <c r="K258" i="18"/>
  <c r="K136" i="18"/>
  <c r="K266" i="18"/>
  <c r="K95" i="18"/>
  <c r="K17" i="18"/>
  <c r="K29" i="18"/>
  <c r="K75" i="18"/>
  <c r="K267" i="18"/>
  <c r="K126" i="18"/>
  <c r="K16" i="18"/>
  <c r="K254" i="18"/>
  <c r="K165" i="18"/>
  <c r="K10" i="18"/>
  <c r="K47" i="18"/>
  <c r="K221" i="18"/>
  <c r="K81" i="18"/>
  <c r="K161" i="18"/>
  <c r="K83" i="18"/>
  <c r="K139" i="18"/>
  <c r="K157" i="18"/>
  <c r="K154" i="18"/>
  <c r="K131" i="18"/>
  <c r="K132" i="18"/>
  <c r="K219" i="18"/>
  <c r="K151" i="18"/>
  <c r="K61" i="18"/>
  <c r="K187" i="18"/>
  <c r="K71" i="18"/>
  <c r="K6" i="18"/>
  <c r="K236" i="18"/>
  <c r="K80" i="18"/>
  <c r="K114" i="18"/>
  <c r="K108" i="18"/>
  <c r="K58" i="18"/>
  <c r="K72" i="18"/>
  <c r="K170" i="18"/>
  <c r="K66" i="18"/>
  <c r="K68" i="18"/>
  <c r="K32" i="18"/>
  <c r="K268" i="18"/>
  <c r="K155" i="18"/>
  <c r="K111" i="18"/>
  <c r="K76" i="18"/>
  <c r="K259" i="18"/>
  <c r="K27" i="18"/>
  <c r="K223" i="18"/>
  <c r="K150" i="18"/>
  <c r="K181" i="18"/>
  <c r="K12" i="18"/>
  <c r="K135" i="18"/>
  <c r="K227" i="18"/>
  <c r="K209" i="18"/>
  <c r="K41" i="18"/>
  <c r="K239" i="18"/>
  <c r="K55" i="18"/>
  <c r="K101" i="18"/>
  <c r="K169" i="18"/>
  <c r="K62" i="18"/>
  <c r="K229" i="18"/>
  <c r="K145" i="18"/>
  <c r="K194" i="18"/>
  <c r="K245" i="18"/>
  <c r="K146" i="18"/>
  <c r="K214" i="18"/>
  <c r="K233" i="18"/>
  <c r="K208" i="18"/>
  <c r="K19" i="18"/>
  <c r="K246" i="18"/>
  <c r="K113" i="18"/>
  <c r="K138" i="18"/>
  <c r="K177" i="18"/>
  <c r="K23" i="18"/>
  <c r="K193" i="18"/>
  <c r="K207" i="18"/>
  <c r="K144" i="18"/>
  <c r="K276" i="18"/>
  <c r="K269" i="18"/>
  <c r="K275" i="18"/>
  <c r="K195" i="18"/>
  <c r="K127" i="18"/>
  <c r="K249" i="18"/>
  <c r="K261" i="18"/>
  <c r="K231" i="18"/>
  <c r="K8" i="18"/>
  <c r="K162" i="18"/>
  <c r="K270" i="18"/>
  <c r="K191" i="18"/>
  <c r="K21" i="18"/>
  <c r="K199" i="18"/>
  <c r="K119" i="18"/>
  <c r="K244" i="18"/>
  <c r="K260" i="18"/>
  <c r="K48" i="18"/>
  <c r="K179" i="18"/>
  <c r="K237" i="18"/>
  <c r="K242" i="18"/>
  <c r="K175" i="18"/>
  <c r="K228" i="18"/>
  <c r="K184" i="18"/>
  <c r="K264" i="18"/>
  <c r="K190" i="18"/>
  <c r="K116" i="18"/>
  <c r="K252" i="18"/>
  <c r="K51" i="18"/>
  <c r="K26" i="18"/>
  <c r="K202" i="18"/>
  <c r="K100" i="18"/>
  <c r="K198" i="18"/>
  <c r="K31" i="18"/>
  <c r="K25" i="18"/>
  <c r="K112" i="18"/>
  <c r="K143" i="18"/>
  <c r="J346" i="18"/>
  <c r="J348" i="18" s="1"/>
  <c r="K160" i="18"/>
  <c r="K24" i="18"/>
  <c r="K173" i="18"/>
  <c r="K213" i="18"/>
  <c r="K149" i="18"/>
  <c r="K122" i="18"/>
  <c r="K121" i="18"/>
  <c r="O152" i="14"/>
  <c r="R152" i="14" s="1"/>
  <c r="O249" i="14"/>
  <c r="R249" i="14" s="1"/>
  <c r="O51" i="14"/>
  <c r="R51" i="14" s="1"/>
  <c r="O110" i="14"/>
  <c r="R110" i="14" s="1"/>
  <c r="R135" i="14"/>
  <c r="O228" i="14"/>
  <c r="R228" i="14" s="1"/>
  <c r="O301" i="14"/>
  <c r="R301" i="14" s="1"/>
  <c r="O221" i="14"/>
  <c r="R221" i="14" s="1"/>
  <c r="O86" i="14"/>
  <c r="R86" i="14" s="1"/>
  <c r="O244" i="14"/>
  <c r="R244" i="14" s="1"/>
  <c r="O282" i="14"/>
  <c r="R282" i="14" s="1"/>
  <c r="O277" i="14"/>
  <c r="R277" i="14" s="1"/>
  <c r="O100" i="14"/>
  <c r="R100" i="14" s="1"/>
  <c r="O166" i="14"/>
  <c r="R166" i="14" s="1"/>
  <c r="O160" i="14"/>
  <c r="R160" i="14" s="1"/>
  <c r="R206" i="14"/>
  <c r="O147" i="14"/>
  <c r="R147" i="14" s="1"/>
  <c r="O178" i="14"/>
  <c r="R178" i="14" s="1"/>
  <c r="R283" i="14"/>
  <c r="O289" i="14"/>
  <c r="R289" i="14" s="1"/>
  <c r="O121" i="14"/>
  <c r="R121" i="14" s="1"/>
  <c r="O125" i="14"/>
  <c r="R125" i="14" s="1"/>
  <c r="R122" i="14"/>
  <c r="O43" i="14"/>
  <c r="O93" i="14"/>
  <c r="R93" i="14" s="1"/>
  <c r="O58" i="14"/>
  <c r="R58" i="14" s="1"/>
  <c r="R59" i="14"/>
  <c r="O78" i="14"/>
  <c r="R78" i="14" s="1"/>
  <c r="O257" i="14"/>
  <c r="R257" i="14" s="1"/>
  <c r="O271" i="14"/>
  <c r="R271" i="14" s="1"/>
  <c r="R366" i="14"/>
  <c r="O352" i="14"/>
  <c r="R352" i="14" s="1"/>
  <c r="G344" i="13"/>
  <c r="J344" i="13" s="1"/>
  <c r="G336" i="13"/>
  <c r="J336" i="13" s="1"/>
  <c r="G334" i="13"/>
  <c r="J334" i="13" s="1"/>
  <c r="G332" i="13"/>
  <c r="J332" i="13" s="1"/>
  <c r="G331" i="13"/>
  <c r="J331" i="13" s="1"/>
  <c r="G325" i="13"/>
  <c r="J325" i="13" s="1"/>
  <c r="G324" i="13"/>
  <c r="J324" i="13" s="1"/>
  <c r="G323" i="13"/>
  <c r="J323" i="13" s="1"/>
  <c r="G322" i="13"/>
  <c r="J322" i="13" s="1"/>
  <c r="G320" i="13"/>
  <c r="J320" i="13" s="1"/>
  <c r="G313" i="13"/>
  <c r="J313" i="13" s="1"/>
  <c r="G312" i="13"/>
  <c r="J312" i="13" s="1"/>
  <c r="G361" i="13"/>
  <c r="J361" i="13" s="1"/>
  <c r="G360" i="13"/>
  <c r="J360" i="13" s="1"/>
  <c r="G359" i="13"/>
  <c r="J359" i="13" s="1"/>
  <c r="G358" i="13"/>
  <c r="J358" i="13" s="1"/>
  <c r="G357" i="13"/>
  <c r="J357" i="13" s="1"/>
  <c r="G356" i="13"/>
  <c r="J356" i="13" s="1"/>
  <c r="G355" i="13"/>
  <c r="J355" i="13" s="1"/>
  <c r="G354" i="13"/>
  <c r="J354" i="13" s="1"/>
  <c r="G353" i="13"/>
  <c r="J353" i="13" s="1"/>
  <c r="G352" i="13"/>
  <c r="J352" i="13" s="1"/>
  <c r="G351" i="13"/>
  <c r="J351" i="13" s="1"/>
  <c r="G350" i="13"/>
  <c r="J350" i="13" s="1"/>
  <c r="G349" i="13"/>
  <c r="J349" i="13" s="1"/>
  <c r="G348" i="13"/>
  <c r="J348" i="13" s="1"/>
  <c r="G347" i="13"/>
  <c r="J347" i="13" s="1"/>
  <c r="G346" i="13"/>
  <c r="J346" i="13" s="1"/>
  <c r="G345" i="13"/>
  <c r="J345" i="13" s="1"/>
  <c r="G340" i="13"/>
  <c r="J340" i="13" s="1"/>
  <c r="G339" i="13"/>
  <c r="J339" i="13" s="1"/>
  <c r="G338" i="13"/>
  <c r="J338" i="13" s="1"/>
  <c r="G329" i="13"/>
  <c r="J329" i="13" s="1"/>
  <c r="G327" i="13"/>
  <c r="J327" i="13" s="1"/>
  <c r="G321" i="13"/>
  <c r="J321" i="13" s="1"/>
  <c r="G319" i="13"/>
  <c r="J319" i="13" s="1"/>
  <c r="G317" i="13"/>
  <c r="J317" i="13" s="1"/>
  <c r="G343" i="13"/>
  <c r="J343" i="13" s="1"/>
  <c r="G342" i="13"/>
  <c r="J342" i="13" s="1"/>
  <c r="G341" i="13"/>
  <c r="J341" i="13" s="1"/>
  <c r="G337" i="13"/>
  <c r="J337" i="13" s="1"/>
  <c r="G335" i="13"/>
  <c r="J335" i="13" s="1"/>
  <c r="G333" i="13"/>
  <c r="J333" i="13" s="1"/>
  <c r="G330" i="13"/>
  <c r="J330" i="13" s="1"/>
  <c r="G328" i="13"/>
  <c r="J328" i="13" s="1"/>
  <c r="G326" i="13"/>
  <c r="J326" i="13" s="1"/>
  <c r="G318" i="13"/>
  <c r="J318" i="13" s="1"/>
  <c r="G316" i="13"/>
  <c r="J316" i="13" s="1"/>
  <c r="G315" i="13"/>
  <c r="J315" i="13" s="1"/>
  <c r="G314" i="13"/>
  <c r="J314" i="13" s="1"/>
  <c r="O302" i="14" l="1"/>
  <c r="R43" i="14"/>
  <c r="G362" i="13"/>
  <c r="O303" i="14" l="1"/>
  <c r="R303" i="14" s="1"/>
  <c r="J362" i="13"/>
  <c r="J363" i="13" s="1"/>
  <c r="K317" i="13" s="1"/>
  <c r="N362" i="13"/>
  <c r="O362" i="13" s="1"/>
  <c r="R362" i="13" s="1"/>
  <c r="I310" i="13"/>
  <c r="I309" i="13"/>
  <c r="I358" i="13"/>
  <c r="I357" i="13"/>
  <c r="I355" i="13"/>
  <c r="I354" i="13"/>
  <c r="I353" i="13"/>
  <c r="I352" i="13"/>
  <c r="I350" i="13"/>
  <c r="I346" i="13"/>
  <c r="I344" i="13"/>
  <c r="I342" i="13"/>
  <c r="I339" i="13"/>
  <c r="I337" i="13"/>
  <c r="I334" i="13"/>
  <c r="I331" i="13"/>
  <c r="I330" i="13"/>
  <c r="I329" i="13"/>
  <c r="I328" i="13"/>
  <c r="I326" i="13"/>
  <c r="I323" i="13"/>
  <c r="I321" i="13"/>
  <c r="I320" i="13"/>
  <c r="I317" i="13"/>
  <c r="I313" i="13"/>
  <c r="I312" i="13"/>
  <c r="H310" i="13"/>
  <c r="H359" i="13"/>
  <c r="H358" i="13"/>
  <c r="H357" i="13"/>
  <c r="H356" i="13"/>
  <c r="H355" i="13"/>
  <c r="H354" i="13"/>
  <c r="H353" i="13"/>
  <c r="H349" i="13"/>
  <c r="H348" i="13"/>
  <c r="H344" i="13"/>
  <c r="H343" i="13"/>
  <c r="H337" i="13"/>
  <c r="H336" i="13"/>
  <c r="H332" i="13"/>
  <c r="H330" i="13"/>
  <c r="H328" i="13"/>
  <c r="H324" i="13"/>
  <c r="H320" i="13"/>
  <c r="H318" i="13"/>
  <c r="H317" i="13"/>
  <c r="A286" i="13"/>
  <c r="A293" i="13"/>
  <c r="A362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285" i="13"/>
  <c r="A292" i="13"/>
  <c r="A284" i="13"/>
  <c r="A291" i="13"/>
  <c r="A290" i="13"/>
  <c r="A248" i="13"/>
  <c r="A281" i="13"/>
  <c r="A247" i="13"/>
  <c r="A280" i="13"/>
  <c r="A279" i="13"/>
  <c r="A246" i="13"/>
  <c r="A278" i="13"/>
  <c r="A245" i="13"/>
  <c r="A277" i="13"/>
  <c r="A276" i="13"/>
  <c r="A116" i="13"/>
  <c r="A115" i="13"/>
  <c r="A114" i="13"/>
  <c r="A113" i="13"/>
  <c r="A112" i="13"/>
  <c r="A111" i="13"/>
  <c r="A110" i="13"/>
  <c r="A109" i="13"/>
  <c r="A108" i="13"/>
  <c r="A310" i="13"/>
  <c r="A309" i="13"/>
  <c r="A15" i="13"/>
  <c r="A14" i="13"/>
  <c r="A126" i="13"/>
  <c r="A125" i="13"/>
  <c r="A124" i="13"/>
  <c r="A123" i="13"/>
  <c r="A122" i="13"/>
  <c r="A13" i="13"/>
  <c r="A106" i="13"/>
  <c r="A105" i="13"/>
  <c r="A104" i="13"/>
  <c r="A93" i="13"/>
  <c r="A92" i="13"/>
  <c r="A91" i="13"/>
  <c r="A90" i="13"/>
  <c r="A89" i="13"/>
  <c r="A88" i="13"/>
  <c r="A87" i="13"/>
  <c r="A86" i="13"/>
  <c r="A80" i="13"/>
  <c r="A84" i="13"/>
  <c r="A83" i="13"/>
  <c r="A79" i="13"/>
  <c r="A82" i="13"/>
  <c r="A78" i="13"/>
  <c r="A12" i="13"/>
  <c r="A76" i="13"/>
  <c r="A11" i="13"/>
  <c r="A75" i="13"/>
  <c r="A74" i="13"/>
  <c r="A73" i="13"/>
  <c r="A72" i="13"/>
  <c r="A71" i="13"/>
  <c r="A70" i="13"/>
  <c r="A69" i="13"/>
  <c r="A68" i="13"/>
  <c r="A67" i="13"/>
  <c r="A66" i="13"/>
  <c r="A65" i="13"/>
  <c r="A283" i="13"/>
  <c r="A289" i="13"/>
  <c r="A288" i="13"/>
  <c r="A179" i="13"/>
  <c r="A222" i="13"/>
  <c r="A221" i="13"/>
  <c r="A178" i="13"/>
  <c r="A220" i="13"/>
  <c r="A219" i="13"/>
  <c r="A177" i="13"/>
  <c r="A218" i="13"/>
  <c r="A217" i="13"/>
  <c r="A176" i="13"/>
  <c r="A216" i="13"/>
  <c r="A215" i="13"/>
  <c r="A175" i="13"/>
  <c r="A214" i="13"/>
  <c r="A213" i="13"/>
  <c r="A174" i="13"/>
  <c r="A212" i="13"/>
  <c r="A211" i="13"/>
  <c r="A173" i="13"/>
  <c r="A210" i="13"/>
  <c r="A209" i="13"/>
  <c r="A172" i="13"/>
  <c r="A208" i="13"/>
  <c r="A207" i="13"/>
  <c r="A171" i="13"/>
  <c r="A206" i="13"/>
  <c r="A205" i="13"/>
  <c r="A170" i="13"/>
  <c r="A204" i="13"/>
  <c r="A203" i="13"/>
  <c r="A169" i="13"/>
  <c r="A202" i="13"/>
  <c r="A201" i="13"/>
  <c r="A168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305" i="13"/>
  <c r="A304" i="13"/>
  <c r="A303" i="13"/>
  <c r="A302" i="13"/>
  <c r="A301" i="13"/>
  <c r="A300" i="13"/>
  <c r="A153" i="13"/>
  <c r="A166" i="13"/>
  <c r="A152" i="13"/>
  <c r="A165" i="13"/>
  <c r="A164" i="13"/>
  <c r="A151" i="13"/>
  <c r="A150" i="13"/>
  <c r="A163" i="13"/>
  <c r="A162" i="13"/>
  <c r="A149" i="13"/>
  <c r="A42" i="13"/>
  <c r="A41" i="13"/>
  <c r="A40" i="13"/>
  <c r="A39" i="13"/>
  <c r="A38" i="13"/>
  <c r="A37" i="13"/>
  <c r="A36" i="13"/>
  <c r="A35" i="13"/>
  <c r="A136" i="13"/>
  <c r="A135" i="13"/>
  <c r="A134" i="13"/>
  <c r="A230" i="13"/>
  <c r="A229" i="13"/>
  <c r="A243" i="13"/>
  <c r="A274" i="13"/>
  <c r="A273" i="13"/>
  <c r="A242" i="13"/>
  <c r="A272" i="13"/>
  <c r="A271" i="13"/>
  <c r="A228" i="13"/>
  <c r="A255" i="13"/>
  <c r="A254" i="13"/>
  <c r="A227" i="13"/>
  <c r="A253" i="13"/>
  <c r="A241" i="13"/>
  <c r="A270" i="13"/>
  <c r="A240" i="13"/>
  <c r="A239" i="13"/>
  <c r="A269" i="13"/>
  <c r="A268" i="13"/>
  <c r="A226" i="13"/>
  <c r="A252" i="13"/>
  <c r="A251" i="13"/>
  <c r="A225" i="13"/>
  <c r="A250" i="13"/>
  <c r="A238" i="13"/>
  <c r="A267" i="13"/>
  <c r="A237" i="13"/>
  <c r="A266" i="13"/>
  <c r="A236" i="13"/>
  <c r="A265" i="13"/>
  <c r="A235" i="13"/>
  <c r="A264" i="13"/>
  <c r="A234" i="13"/>
  <c r="A263" i="13"/>
  <c r="A262" i="13"/>
  <c r="A261" i="13"/>
  <c r="A233" i="13"/>
  <c r="A260" i="13"/>
  <c r="A259" i="13"/>
  <c r="A232" i="13"/>
  <c r="A258" i="13"/>
  <c r="A257" i="13"/>
  <c r="A224" i="13"/>
  <c r="A34" i="13"/>
  <c r="A33" i="13"/>
  <c r="A32" i="13"/>
  <c r="A147" i="13"/>
  <c r="A160" i="13"/>
  <c r="A146" i="13"/>
  <c r="A159" i="13"/>
  <c r="A145" i="13"/>
  <c r="A144" i="13"/>
  <c r="A143" i="13"/>
  <c r="A142" i="13"/>
  <c r="A158" i="13"/>
  <c r="A141" i="13"/>
  <c r="A157" i="13"/>
  <c r="A140" i="13"/>
  <c r="A156" i="13"/>
  <c r="A139" i="13"/>
  <c r="A155" i="13"/>
  <c r="A138" i="13"/>
  <c r="A31" i="13"/>
  <c r="A299" i="13"/>
  <c r="A30" i="13"/>
  <c r="A29" i="13"/>
  <c r="A298" i="13"/>
  <c r="A297" i="13"/>
  <c r="A296" i="13"/>
  <c r="A28" i="13"/>
  <c r="A27" i="13"/>
  <c r="A295" i="13"/>
  <c r="A26" i="13"/>
  <c r="A25" i="13"/>
  <c r="A120" i="13"/>
  <c r="A119" i="13"/>
  <c r="A24" i="13"/>
  <c r="A132" i="13"/>
  <c r="A131" i="13"/>
  <c r="A130" i="13"/>
  <c r="A129" i="13"/>
  <c r="A128" i="13"/>
  <c r="A127" i="13"/>
  <c r="A23" i="13"/>
  <c r="A22" i="13"/>
  <c r="A21" i="13"/>
  <c r="A20" i="13"/>
  <c r="A19" i="13"/>
  <c r="A18" i="13"/>
  <c r="A17" i="13"/>
  <c r="A16" i="13"/>
  <c r="A361" i="13"/>
  <c r="I360" i="13"/>
  <c r="H360" i="13"/>
  <c r="A360" i="13"/>
  <c r="I359" i="13"/>
  <c r="A359" i="13"/>
  <c r="A358" i="13"/>
  <c r="A357" i="13"/>
  <c r="I356" i="13"/>
  <c r="A356" i="13"/>
  <c r="A355" i="13"/>
  <c r="A354" i="13"/>
  <c r="A353" i="13"/>
  <c r="H352" i="13"/>
  <c r="A352" i="13"/>
  <c r="I351" i="13"/>
  <c r="A351" i="13"/>
  <c r="A350" i="13"/>
  <c r="A349" i="13"/>
  <c r="I348" i="13"/>
  <c r="A348" i="13"/>
  <c r="A347" i="13"/>
  <c r="A346" i="13"/>
  <c r="H345" i="13"/>
  <c r="A345" i="13"/>
  <c r="A344" i="13"/>
  <c r="I343" i="13"/>
  <c r="A343" i="13"/>
  <c r="A342" i="13"/>
  <c r="A341" i="13"/>
  <c r="A340" i="13"/>
  <c r="A339" i="13"/>
  <c r="I338" i="13"/>
  <c r="H338" i="13"/>
  <c r="A338" i="13"/>
  <c r="A337" i="13"/>
  <c r="A336" i="13"/>
  <c r="I335" i="13"/>
  <c r="A335" i="13"/>
  <c r="A334" i="13"/>
  <c r="A333" i="13"/>
  <c r="I332" i="13"/>
  <c r="A332" i="13"/>
  <c r="A331" i="13"/>
  <c r="A330" i="13"/>
  <c r="H329" i="13"/>
  <c r="A329" i="13"/>
  <c r="A328" i="13"/>
  <c r="A327" i="13"/>
  <c r="A326" i="13"/>
  <c r="A325" i="13"/>
  <c r="A324" i="13"/>
  <c r="A323" i="13"/>
  <c r="I322" i="13"/>
  <c r="H322" i="13"/>
  <c r="A322" i="13"/>
  <c r="A321" i="13"/>
  <c r="A320" i="13"/>
  <c r="A319" i="13"/>
  <c r="A318" i="13"/>
  <c r="A317" i="13"/>
  <c r="I316" i="13"/>
  <c r="A316" i="13"/>
  <c r="H315" i="13"/>
  <c r="A315" i="13"/>
  <c r="H314" i="13"/>
  <c r="A314" i="13"/>
  <c r="H313" i="13"/>
  <c r="A313" i="13"/>
  <c r="A312" i="13"/>
  <c r="A117" i="13"/>
  <c r="A64" i="13"/>
  <c r="A63" i="13"/>
  <c r="A62" i="13"/>
  <c r="A61" i="13"/>
  <c r="A60" i="13"/>
  <c r="A59" i="13"/>
  <c r="A58" i="13"/>
  <c r="A102" i="13"/>
  <c r="A101" i="13"/>
  <c r="A100" i="13"/>
  <c r="A99" i="13"/>
  <c r="A98" i="13"/>
  <c r="A97" i="13"/>
  <c r="A96" i="13"/>
  <c r="A95" i="13"/>
  <c r="A56" i="13"/>
  <c r="A55" i="13"/>
  <c r="A54" i="13"/>
  <c r="A53" i="13"/>
  <c r="A52" i="13"/>
  <c r="A51" i="13"/>
  <c r="A10" i="13"/>
  <c r="A9" i="13"/>
  <c r="A8" i="13"/>
  <c r="A7" i="13"/>
  <c r="A6" i="13"/>
  <c r="A49" i="13"/>
  <c r="A48" i="13"/>
  <c r="A47" i="13"/>
  <c r="A46" i="13"/>
  <c r="A45" i="13"/>
  <c r="A44" i="13"/>
  <c r="P5" i="13"/>
  <c r="A5" i="13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Q291" i="1"/>
  <c r="S291" i="1" s="1"/>
  <c r="D291" i="1"/>
  <c r="Q279" i="1"/>
  <c r="S279" i="1" s="1"/>
  <c r="D279" i="1"/>
  <c r="Q272" i="1"/>
  <c r="S272" i="1" s="1"/>
  <c r="D272" i="1"/>
  <c r="Q266" i="1"/>
  <c r="S266" i="1" s="1"/>
  <c r="D266" i="1"/>
  <c r="Q259" i="1"/>
  <c r="S259" i="1" s="1"/>
  <c r="D259" i="1"/>
  <c r="Q244" i="1"/>
  <c r="S244" i="1" s="1"/>
  <c r="D244" i="1"/>
  <c r="Q238" i="1"/>
  <c r="S238" i="1" s="1"/>
  <c r="D238" i="1"/>
  <c r="Q233" i="1"/>
  <c r="S233" i="1" s="1"/>
  <c r="D233" i="1"/>
  <c r="Q219" i="1"/>
  <c r="S219" i="1" s="1"/>
  <c r="D219" i="1"/>
  <c r="Q211" i="1"/>
  <c r="S211" i="1" s="1"/>
  <c r="D211" i="1"/>
  <c r="Q168" i="1"/>
  <c r="S168" i="1" s="1"/>
  <c r="D168" i="1"/>
  <c r="Q155" i="1"/>
  <c r="S155" i="1" s="1"/>
  <c r="D155" i="1"/>
  <c r="Q149" i="1"/>
  <c r="S149" i="1" s="1"/>
  <c r="D149" i="1"/>
  <c r="Q141" i="1"/>
  <c r="S141" i="1" s="1"/>
  <c r="D141" i="1"/>
  <c r="Q135" i="1"/>
  <c r="S135" i="1" s="1"/>
  <c r="D135" i="1"/>
  <c r="Q126" i="1"/>
  <c r="S126" i="1" s="1"/>
  <c r="D126" i="1"/>
  <c r="Q124" i="1"/>
  <c r="S124" i="1" s="1"/>
  <c r="D124" i="1"/>
  <c r="Q114" i="1"/>
  <c r="S114" i="1" s="1"/>
  <c r="D114" i="1"/>
  <c r="Q110" i="1"/>
  <c r="S110" i="1" s="1"/>
  <c r="D110" i="1"/>
  <c r="Q96" i="1"/>
  <c r="S96" i="1" s="1"/>
  <c r="D96" i="1"/>
  <c r="Q85" i="1"/>
  <c r="S85" i="1" s="1"/>
  <c r="D85" i="1"/>
  <c r="Q77" i="1"/>
  <c r="S77" i="1" s="1"/>
  <c r="D77" i="1"/>
  <c r="Q71" i="1"/>
  <c r="S71" i="1" s="1"/>
  <c r="D71" i="1"/>
  <c r="Q67" i="1"/>
  <c r="S67" i="1" s="1"/>
  <c r="D67" i="1"/>
  <c r="Q63" i="1"/>
  <c r="S63" i="1" s="1"/>
  <c r="D63" i="1"/>
  <c r="Q44" i="1"/>
  <c r="S44" i="1" s="1"/>
  <c r="D44" i="1"/>
  <c r="Q39" i="1"/>
  <c r="S39" i="1" s="1"/>
  <c r="D39" i="1"/>
  <c r="Q34" i="1"/>
  <c r="S34" i="1" s="1"/>
  <c r="D34" i="1"/>
  <c r="O367" i="14" l="1"/>
  <c r="R367" i="14" s="1"/>
  <c r="K313" i="13"/>
  <c r="K355" i="13"/>
  <c r="K349" i="13"/>
  <c r="K330" i="13"/>
  <c r="K314" i="13"/>
  <c r="K315" i="13"/>
  <c r="K341" i="13"/>
  <c r="K360" i="13"/>
  <c r="K352" i="13"/>
  <c r="K319" i="13"/>
  <c r="K361" i="13"/>
  <c r="K328" i="13"/>
  <c r="K358" i="13"/>
  <c r="K331" i="13"/>
  <c r="K312" i="13"/>
  <c r="K353" i="13"/>
  <c r="K320" i="13"/>
  <c r="K350" i="13"/>
  <c r="K356" i="13"/>
  <c r="K362" i="13"/>
  <c r="K329" i="13"/>
  <c r="K347" i="13"/>
  <c r="K342" i="13"/>
  <c r="K348" i="13"/>
  <c r="K354" i="13"/>
  <c r="K321" i="13"/>
  <c r="K359" i="13"/>
  <c r="K363" i="13"/>
  <c r="K340" i="13"/>
  <c r="K351" i="13"/>
  <c r="K339" i="13"/>
  <c r="K332" i="13"/>
  <c r="K322" i="13"/>
  <c r="K323" i="13"/>
  <c r="K343" i="13"/>
  <c r="K357" i="13"/>
  <c r="I311" i="13"/>
  <c r="K334" i="13"/>
  <c r="K333" i="13"/>
  <c r="K324" i="13"/>
  <c r="K346" i="13"/>
  <c r="K345" i="13"/>
  <c r="K344" i="13"/>
  <c r="K335" i="13"/>
  <c r="K326" i="13"/>
  <c r="K325" i="13"/>
  <c r="K316" i="13"/>
  <c r="K338" i="13"/>
  <c r="K337" i="13"/>
  <c r="K336" i="13"/>
  <c r="K327" i="13"/>
  <c r="K318" i="13"/>
  <c r="J60" i="13"/>
  <c r="J124" i="13"/>
  <c r="J188" i="13"/>
  <c r="J204" i="13"/>
  <c r="J247" i="13"/>
  <c r="J257" i="13"/>
  <c r="J265" i="13"/>
  <c r="J273" i="13"/>
  <c r="J283" i="13"/>
  <c r="J292" i="13"/>
  <c r="J303" i="13"/>
  <c r="G364" i="13"/>
  <c r="J364" i="13" s="1"/>
  <c r="I365" i="13"/>
  <c r="G365" i="13"/>
  <c r="J365" i="13" s="1"/>
  <c r="J51" i="13"/>
  <c r="J110" i="13"/>
  <c r="J171" i="13"/>
  <c r="J220" i="13"/>
  <c r="J61" i="13"/>
  <c r="J125" i="13"/>
  <c r="J172" i="13"/>
  <c r="J213" i="13"/>
  <c r="J266" i="13"/>
  <c r="J18" i="13"/>
  <c r="J28" i="13"/>
  <c r="J39" i="13"/>
  <c r="J48" i="13"/>
  <c r="J53" i="13"/>
  <c r="J62" i="13"/>
  <c r="J70" i="13"/>
  <c r="J80" i="13"/>
  <c r="J89" i="13"/>
  <c r="J98" i="13"/>
  <c r="J112" i="13"/>
  <c r="J126" i="13"/>
  <c r="J136" i="13"/>
  <c r="J145" i="13"/>
  <c r="J155" i="13"/>
  <c r="J164" i="13"/>
  <c r="J173" i="13"/>
  <c r="J182" i="13"/>
  <c r="J190" i="13"/>
  <c r="J198" i="13"/>
  <c r="J206" i="13"/>
  <c r="J214" i="13"/>
  <c r="J222" i="13"/>
  <c r="J232" i="13"/>
  <c r="J240" i="13"/>
  <c r="J250" i="13"/>
  <c r="J259" i="13"/>
  <c r="J267" i="13"/>
  <c r="J276" i="13"/>
  <c r="J285" i="13"/>
  <c r="J295" i="13"/>
  <c r="J305" i="13"/>
  <c r="I366" i="13"/>
  <c r="G366" i="13"/>
  <c r="J366" i="13" s="1"/>
  <c r="J25" i="13"/>
  <c r="J17" i="13"/>
  <c r="J69" i="13"/>
  <c r="J135" i="13"/>
  <c r="J189" i="13"/>
  <c r="J239" i="13"/>
  <c r="I367" i="13"/>
  <c r="G367" i="13"/>
  <c r="J367" i="13" s="1"/>
  <c r="J78" i="13"/>
  <c r="J152" i="13"/>
  <c r="J196" i="13"/>
  <c r="J26" i="13"/>
  <c r="J79" i="13"/>
  <c r="J163" i="13"/>
  <c r="J221" i="13"/>
  <c r="J284" i="13"/>
  <c r="J11" i="13"/>
  <c r="J20" i="13"/>
  <c r="J30" i="13"/>
  <c r="J41" i="13"/>
  <c r="J55" i="13"/>
  <c r="J64" i="13"/>
  <c r="J72" i="13"/>
  <c r="J83" i="13"/>
  <c r="J91" i="13"/>
  <c r="J100" i="13"/>
  <c r="J114" i="13"/>
  <c r="J129" i="13"/>
  <c r="J139" i="13"/>
  <c r="J147" i="13"/>
  <c r="J157" i="13"/>
  <c r="J166" i="13"/>
  <c r="J175" i="13"/>
  <c r="J184" i="13"/>
  <c r="J192" i="13"/>
  <c r="J200" i="13"/>
  <c r="J208" i="13"/>
  <c r="J216" i="13"/>
  <c r="J225" i="13"/>
  <c r="J234" i="13"/>
  <c r="J242" i="13"/>
  <c r="J252" i="13"/>
  <c r="J261" i="13"/>
  <c r="J269" i="13"/>
  <c r="J278" i="13"/>
  <c r="J288" i="13"/>
  <c r="J299" i="13"/>
  <c r="I372" i="13"/>
  <c r="G372" i="13"/>
  <c r="J372" i="13" s="1"/>
  <c r="J37" i="13"/>
  <c r="J68" i="13"/>
  <c r="J96" i="13"/>
  <c r="J162" i="13"/>
  <c r="J212" i="13"/>
  <c r="J47" i="13"/>
  <c r="J88" i="13"/>
  <c r="J153" i="13"/>
  <c r="J205" i="13"/>
  <c r="J248" i="13"/>
  <c r="J293" i="13"/>
  <c r="J12" i="13"/>
  <c r="J21" i="13"/>
  <c r="J31" i="13"/>
  <c r="J42" i="13"/>
  <c r="J56" i="13"/>
  <c r="J65" i="13"/>
  <c r="J73" i="13"/>
  <c r="J84" i="13"/>
  <c r="J92" i="13"/>
  <c r="J101" i="13"/>
  <c r="J115" i="13"/>
  <c r="J130" i="13"/>
  <c r="J140" i="13"/>
  <c r="J149" i="13"/>
  <c r="J158" i="13"/>
  <c r="J168" i="13"/>
  <c r="J176" i="13"/>
  <c r="J185" i="13"/>
  <c r="J193" i="13"/>
  <c r="J201" i="13"/>
  <c r="J209" i="13"/>
  <c r="J217" i="13"/>
  <c r="J226" i="13"/>
  <c r="J235" i="13"/>
  <c r="J243" i="13"/>
  <c r="J253" i="13"/>
  <c r="J262" i="13"/>
  <c r="J270" i="13"/>
  <c r="J279" i="13"/>
  <c r="J289" i="13"/>
  <c r="J300" i="13"/>
  <c r="I373" i="13"/>
  <c r="G373" i="13"/>
  <c r="J373" i="13" s="1"/>
  <c r="J16" i="13"/>
  <c r="J143" i="13"/>
  <c r="J179" i="13"/>
  <c r="J229" i="13"/>
  <c r="J52" i="13"/>
  <c r="J97" i="13"/>
  <c r="J144" i="13"/>
  <c r="J197" i="13"/>
  <c r="J230" i="13"/>
  <c r="J274" i="13"/>
  <c r="I374" i="13"/>
  <c r="G374" i="13"/>
  <c r="J374" i="13" s="1"/>
  <c r="J46" i="13"/>
  <c r="J134" i="13"/>
  <c r="J238" i="13"/>
  <c r="J38" i="13"/>
  <c r="J111" i="13"/>
  <c r="J181" i="13"/>
  <c r="J258" i="13"/>
  <c r="J304" i="13"/>
  <c r="J10" i="13"/>
  <c r="J19" i="13"/>
  <c r="J29" i="13"/>
  <c r="J40" i="13"/>
  <c r="J49" i="13"/>
  <c r="J54" i="13"/>
  <c r="J63" i="13"/>
  <c r="J71" i="13"/>
  <c r="J82" i="13"/>
  <c r="J90" i="13"/>
  <c r="J99" i="13"/>
  <c r="J113" i="13"/>
  <c r="J128" i="13"/>
  <c r="J138" i="13"/>
  <c r="J146" i="13"/>
  <c r="J156" i="13"/>
  <c r="J165" i="13"/>
  <c r="J174" i="13"/>
  <c r="J183" i="13"/>
  <c r="J191" i="13"/>
  <c r="J199" i="13"/>
  <c r="J207" i="13"/>
  <c r="J215" i="13"/>
  <c r="J224" i="13"/>
  <c r="J233" i="13"/>
  <c r="J241" i="13"/>
  <c r="J251" i="13"/>
  <c r="J260" i="13"/>
  <c r="J268" i="13"/>
  <c r="J277" i="13"/>
  <c r="J286" i="13"/>
  <c r="J298" i="13"/>
  <c r="J74" i="13"/>
  <c r="J14" i="13"/>
  <c r="J22" i="13"/>
  <c r="J35" i="13"/>
  <c r="J44" i="13"/>
  <c r="J58" i="13"/>
  <c r="J66" i="13"/>
  <c r="J75" i="13"/>
  <c r="J86" i="13"/>
  <c r="J93" i="13"/>
  <c r="J102" i="13"/>
  <c r="J116" i="13"/>
  <c r="J131" i="13"/>
  <c r="J141" i="13"/>
  <c r="J150" i="13"/>
  <c r="J159" i="13"/>
  <c r="J169" i="13"/>
  <c r="J177" i="13"/>
  <c r="J186" i="13"/>
  <c r="J194" i="13"/>
  <c r="J202" i="13"/>
  <c r="J210" i="13"/>
  <c r="J218" i="13"/>
  <c r="J227" i="13"/>
  <c r="J236" i="13"/>
  <c r="J245" i="13"/>
  <c r="J254" i="13"/>
  <c r="J263" i="13"/>
  <c r="J271" i="13"/>
  <c r="J280" i="13"/>
  <c r="J290" i="13"/>
  <c r="J301" i="13"/>
  <c r="J15" i="13"/>
  <c r="J23" i="13"/>
  <c r="J36" i="13"/>
  <c r="J45" i="13"/>
  <c r="J59" i="13"/>
  <c r="J67" i="13"/>
  <c r="J76" i="13"/>
  <c r="J87" i="13"/>
  <c r="J95" i="13"/>
  <c r="J108" i="13"/>
  <c r="J122" i="13"/>
  <c r="J142" i="13"/>
  <c r="J151" i="13"/>
  <c r="J160" i="13"/>
  <c r="J170" i="13"/>
  <c r="J178" i="13"/>
  <c r="J187" i="13"/>
  <c r="J195" i="13"/>
  <c r="J203" i="13"/>
  <c r="J211" i="13"/>
  <c r="J219" i="13"/>
  <c r="J228" i="13"/>
  <c r="J237" i="13"/>
  <c r="J246" i="13"/>
  <c r="J255" i="13"/>
  <c r="J264" i="13"/>
  <c r="J272" i="13"/>
  <c r="J281" i="13"/>
  <c r="J291" i="13"/>
  <c r="J302" i="13"/>
  <c r="I375" i="13"/>
  <c r="G375" i="13"/>
  <c r="J375" i="13" s="1"/>
  <c r="G309" i="13"/>
  <c r="J309" i="13" s="1"/>
  <c r="H351" i="13"/>
  <c r="G5" i="13"/>
  <c r="I349" i="13"/>
  <c r="H309" i="13"/>
  <c r="H311" i="13" s="1"/>
  <c r="I336" i="13"/>
  <c r="H339" i="13"/>
  <c r="H350" i="13"/>
  <c r="H319" i="13"/>
  <c r="H323" i="13"/>
  <c r="H341" i="13"/>
  <c r="H331" i="13"/>
  <c r="H334" i="13"/>
  <c r="G310" i="13"/>
  <c r="J310" i="13" s="1"/>
  <c r="I318" i="13"/>
  <c r="H335" i="13"/>
  <c r="H346" i="13"/>
  <c r="I314" i="13"/>
  <c r="I325" i="13"/>
  <c r="I324" i="13"/>
  <c r="I340" i="13"/>
  <c r="H312" i="13"/>
  <c r="I315" i="13"/>
  <c r="H316" i="13"/>
  <c r="H326" i="13"/>
  <c r="I327" i="13"/>
  <c r="I333" i="13"/>
  <c r="I319" i="13"/>
  <c r="H327" i="13"/>
  <c r="I347" i="13"/>
  <c r="I361" i="13"/>
  <c r="H361" i="13"/>
  <c r="H321" i="13"/>
  <c r="H340" i="13"/>
  <c r="I345" i="13"/>
  <c r="H325" i="13"/>
  <c r="H333" i="13"/>
  <c r="H347" i="13"/>
  <c r="H342" i="13"/>
  <c r="I341" i="13"/>
  <c r="D292" i="1"/>
  <c r="Q292" i="1"/>
  <c r="O369" i="14" l="1"/>
  <c r="R369" i="14" s="1"/>
  <c r="J167" i="13"/>
  <c r="J50" i="13"/>
  <c r="J244" i="13"/>
  <c r="J57" i="13"/>
  <c r="J287" i="13"/>
  <c r="J148" i="13"/>
  <c r="J223" i="13"/>
  <c r="J161" i="13"/>
  <c r="J137" i="13"/>
  <c r="J103" i="13"/>
  <c r="J94" i="13"/>
  <c r="J85" i="13"/>
  <c r="J154" i="13"/>
  <c r="J275" i="13"/>
  <c r="J133" i="13"/>
  <c r="J180" i="13"/>
  <c r="J249" i="13"/>
  <c r="J231" i="13"/>
  <c r="J81" i="13"/>
  <c r="J294" i="13"/>
  <c r="J118" i="13"/>
  <c r="J256" i="13"/>
  <c r="J306" i="13"/>
  <c r="J282" i="13"/>
  <c r="J77" i="13"/>
  <c r="I363" i="13"/>
  <c r="J5" i="13"/>
  <c r="I376" i="13"/>
  <c r="H363" i="13"/>
  <c r="H377" i="13" s="1"/>
  <c r="J376" i="13"/>
  <c r="K372" i="13" s="1"/>
  <c r="J311" i="13"/>
  <c r="K309" i="13" s="1"/>
  <c r="I6" i="1"/>
  <c r="I7" i="1"/>
  <c r="I9" i="1"/>
  <c r="I19" i="1"/>
  <c r="I26" i="1"/>
  <c r="I27" i="1"/>
  <c r="I86" i="1"/>
  <c r="I87" i="1"/>
  <c r="I88" i="1"/>
  <c r="I89" i="1"/>
  <c r="I90" i="1"/>
  <c r="I91" i="1"/>
  <c r="I92" i="1"/>
  <c r="I93" i="1"/>
  <c r="I94" i="1"/>
  <c r="I95" i="1"/>
  <c r="I104" i="1"/>
  <c r="I111" i="1"/>
  <c r="I112" i="1"/>
  <c r="I113" i="1"/>
  <c r="I116" i="1"/>
  <c r="I281" i="1"/>
  <c r="I282" i="1"/>
  <c r="I5" i="1"/>
  <c r="I290" i="1"/>
  <c r="I289" i="1"/>
  <c r="I288" i="1"/>
  <c r="I287" i="1"/>
  <c r="I286" i="1"/>
  <c r="I285" i="1"/>
  <c r="I284" i="1"/>
  <c r="I283" i="1"/>
  <c r="I280" i="1"/>
  <c r="I278" i="1"/>
  <c r="I277" i="1"/>
  <c r="I276" i="1"/>
  <c r="I275" i="1"/>
  <c r="I274" i="1"/>
  <c r="I273" i="1"/>
  <c r="I271" i="1"/>
  <c r="I270" i="1"/>
  <c r="I269" i="1"/>
  <c r="I268" i="1"/>
  <c r="I267" i="1"/>
  <c r="I265" i="1"/>
  <c r="I264" i="1"/>
  <c r="I263" i="1"/>
  <c r="I262" i="1"/>
  <c r="I261" i="1"/>
  <c r="I260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3" i="1"/>
  <c r="I242" i="1"/>
  <c r="I241" i="1"/>
  <c r="I240" i="1"/>
  <c r="I239" i="1"/>
  <c r="I237" i="1"/>
  <c r="I236" i="1"/>
  <c r="I235" i="1"/>
  <c r="I234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8" i="1"/>
  <c r="I217" i="1"/>
  <c r="I216" i="1"/>
  <c r="I215" i="1"/>
  <c r="I214" i="1"/>
  <c r="I213" i="1"/>
  <c r="I212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4" i="1"/>
  <c r="I153" i="1"/>
  <c r="I152" i="1"/>
  <c r="I151" i="1"/>
  <c r="I150" i="1"/>
  <c r="I148" i="1"/>
  <c r="I147" i="1"/>
  <c r="I146" i="1"/>
  <c r="I145" i="1"/>
  <c r="I144" i="1"/>
  <c r="I143" i="1"/>
  <c r="I142" i="1"/>
  <c r="I140" i="1"/>
  <c r="I139" i="1"/>
  <c r="I138" i="1"/>
  <c r="I137" i="1"/>
  <c r="I136" i="1"/>
  <c r="I134" i="1"/>
  <c r="I133" i="1"/>
  <c r="I132" i="1"/>
  <c r="I131" i="1"/>
  <c r="I130" i="1"/>
  <c r="I129" i="1"/>
  <c r="I128" i="1"/>
  <c r="I127" i="1"/>
  <c r="I125" i="1"/>
  <c r="I126" i="1" s="1"/>
  <c r="I123" i="1"/>
  <c r="I122" i="1"/>
  <c r="I121" i="1"/>
  <c r="I120" i="1"/>
  <c r="I119" i="1"/>
  <c r="I118" i="1"/>
  <c r="I117" i="1"/>
  <c r="I115" i="1"/>
  <c r="I109" i="1"/>
  <c r="I108" i="1"/>
  <c r="I107" i="1"/>
  <c r="I106" i="1"/>
  <c r="I105" i="1"/>
  <c r="I103" i="1"/>
  <c r="I102" i="1"/>
  <c r="I101" i="1"/>
  <c r="I100" i="1"/>
  <c r="I99" i="1"/>
  <c r="I98" i="1"/>
  <c r="I97" i="1"/>
  <c r="I84" i="1"/>
  <c r="I83" i="1"/>
  <c r="I82" i="1"/>
  <c r="I81" i="1"/>
  <c r="I80" i="1"/>
  <c r="I79" i="1"/>
  <c r="I78" i="1"/>
  <c r="I76" i="1"/>
  <c r="I75" i="1"/>
  <c r="I74" i="1"/>
  <c r="I73" i="1"/>
  <c r="I72" i="1"/>
  <c r="I70" i="1"/>
  <c r="I69" i="1"/>
  <c r="I68" i="1"/>
  <c r="I66" i="1"/>
  <c r="I65" i="1"/>
  <c r="I64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3" i="1"/>
  <c r="I42" i="1"/>
  <c r="I41" i="1"/>
  <c r="I40" i="1"/>
  <c r="I38" i="1"/>
  <c r="I37" i="1"/>
  <c r="I36" i="1"/>
  <c r="I35" i="1"/>
  <c r="I33" i="1"/>
  <c r="I32" i="1"/>
  <c r="I31" i="1"/>
  <c r="I30" i="1"/>
  <c r="I29" i="1"/>
  <c r="I28" i="1"/>
  <c r="I25" i="1"/>
  <c r="I24" i="1"/>
  <c r="I23" i="1"/>
  <c r="I22" i="1"/>
  <c r="I21" i="1"/>
  <c r="I20" i="1"/>
  <c r="I18" i="1"/>
  <c r="I17" i="1"/>
  <c r="I16" i="1"/>
  <c r="I15" i="1"/>
  <c r="I14" i="1"/>
  <c r="I13" i="1"/>
  <c r="I12" i="1"/>
  <c r="I11" i="1"/>
  <c r="I10" i="1"/>
  <c r="I8" i="1"/>
  <c r="J43" i="13" l="1"/>
  <c r="I377" i="13"/>
  <c r="M382" i="13" s="1"/>
  <c r="M286" i="13" s="1"/>
  <c r="M259" i="18" s="1"/>
  <c r="N259" i="18" s="1"/>
  <c r="O259" i="18" s="1"/>
  <c r="U259" i="18" s="1"/>
  <c r="K366" i="13"/>
  <c r="K374" i="13"/>
  <c r="K375" i="13"/>
  <c r="H379" i="13"/>
  <c r="K381" i="13" s="1"/>
  <c r="L381" i="13" s="1"/>
  <c r="K310" i="13"/>
  <c r="K364" i="13"/>
  <c r="K373" i="13"/>
  <c r="K367" i="13"/>
  <c r="K376" i="13"/>
  <c r="K368" i="13"/>
  <c r="K369" i="13"/>
  <c r="K370" i="13"/>
  <c r="K371" i="13"/>
  <c r="K365" i="13"/>
  <c r="I71" i="1"/>
  <c r="I149" i="1"/>
  <c r="I211" i="1"/>
  <c r="I279" i="1"/>
  <c r="I39" i="1"/>
  <c r="I114" i="1"/>
  <c r="I85" i="1"/>
  <c r="I155" i="1"/>
  <c r="I259" i="1"/>
  <c r="I34" i="1"/>
  <c r="I96" i="1"/>
  <c r="I233" i="1"/>
  <c r="I63" i="1"/>
  <c r="I77" i="1"/>
  <c r="I124" i="1"/>
  <c r="I219" i="1"/>
  <c r="I244" i="1"/>
  <c r="I135" i="1"/>
  <c r="I141" i="1"/>
  <c r="I272" i="1"/>
  <c r="I67" i="1"/>
  <c r="I168" i="1"/>
  <c r="I266" i="1"/>
  <c r="I44" i="1"/>
  <c r="I110" i="1"/>
  <c r="I238" i="1"/>
  <c r="I291" i="1"/>
  <c r="Q357" i="1"/>
  <c r="Q345" i="1"/>
  <c r="D357" i="1"/>
  <c r="D345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6" i="1"/>
  <c r="I347" i="1"/>
  <c r="I348" i="1"/>
  <c r="I349" i="1"/>
  <c r="I350" i="1"/>
  <c r="I351" i="1"/>
  <c r="I352" i="1"/>
  <c r="I353" i="1"/>
  <c r="I354" i="1"/>
  <c r="I355" i="1"/>
  <c r="I356" i="1"/>
  <c r="M28" i="13" l="1"/>
  <c r="M26" i="18" s="1"/>
  <c r="N26" i="18" s="1"/>
  <c r="O26" i="18" s="1"/>
  <c r="U26" i="18" s="1"/>
  <c r="M16" i="13"/>
  <c r="M14" i="18" s="1"/>
  <c r="N14" i="18" s="1"/>
  <c r="O14" i="18" s="1"/>
  <c r="U14" i="18" s="1"/>
  <c r="M263" i="13"/>
  <c r="M238" i="18" s="1"/>
  <c r="N238" i="18" s="1"/>
  <c r="O238" i="18" s="1"/>
  <c r="U238" i="18" s="1"/>
  <c r="M368" i="13"/>
  <c r="N368" i="13" s="1"/>
  <c r="O368" i="13" s="1"/>
  <c r="R368" i="13" s="1"/>
  <c r="M26" i="13"/>
  <c r="M24" i="18" s="1"/>
  <c r="N24" i="18" s="1"/>
  <c r="O24" i="18" s="1"/>
  <c r="U24" i="18" s="1"/>
  <c r="M132" i="13"/>
  <c r="M119" i="18" s="1"/>
  <c r="N119" i="18" s="1"/>
  <c r="O119" i="18" s="1"/>
  <c r="U119" i="18" s="1"/>
  <c r="M305" i="13"/>
  <c r="M276" i="18" s="1"/>
  <c r="N276" i="18" s="1"/>
  <c r="O276" i="18" s="1"/>
  <c r="U276" i="18" s="1"/>
  <c r="M67" i="13"/>
  <c r="M62" i="18" s="1"/>
  <c r="N62" i="18" s="1"/>
  <c r="O62" i="18" s="1"/>
  <c r="U62" i="18" s="1"/>
  <c r="M38" i="13"/>
  <c r="M36" i="18" s="1"/>
  <c r="N36" i="18" s="1"/>
  <c r="O36" i="18" s="1"/>
  <c r="U36" i="18" s="1"/>
  <c r="M142" i="13"/>
  <c r="M127" i="18" s="1"/>
  <c r="N127" i="18" s="1"/>
  <c r="O127" i="18" s="1"/>
  <c r="U127" i="18" s="1"/>
  <c r="M63" i="13"/>
  <c r="M58" i="18" s="1"/>
  <c r="N58" i="18" s="1"/>
  <c r="O58" i="18" s="1"/>
  <c r="U58" i="18" s="1"/>
  <c r="M203" i="13"/>
  <c r="M183" i="18" s="1"/>
  <c r="N183" i="18" s="1"/>
  <c r="O183" i="18" s="1"/>
  <c r="U183" i="18" s="1"/>
  <c r="M109" i="13"/>
  <c r="M98" i="18" s="1"/>
  <c r="N98" i="18" s="1"/>
  <c r="O98" i="18" s="1"/>
  <c r="U98" i="18" s="1"/>
  <c r="M251" i="13"/>
  <c r="M227" i="18" s="1"/>
  <c r="N227" i="18" s="1"/>
  <c r="O227" i="18" s="1"/>
  <c r="U227" i="18" s="1"/>
  <c r="M59" i="13"/>
  <c r="M54" i="18" s="1"/>
  <c r="N54" i="18" s="1"/>
  <c r="O54" i="18" s="1"/>
  <c r="U54" i="18" s="1"/>
  <c r="M372" i="13"/>
  <c r="N372" i="13" s="1"/>
  <c r="O372" i="13" s="1"/>
  <c r="R372" i="13" s="1"/>
  <c r="M76" i="13"/>
  <c r="M71" i="18" s="1"/>
  <c r="N71" i="18" s="1"/>
  <c r="O71" i="18" s="1"/>
  <c r="U71" i="18" s="1"/>
  <c r="M102" i="13"/>
  <c r="M93" i="18" s="1"/>
  <c r="N93" i="18" s="1"/>
  <c r="O93" i="18" s="1"/>
  <c r="U93" i="18" s="1"/>
  <c r="M14" i="13"/>
  <c r="M12" i="18" s="1"/>
  <c r="N12" i="18" s="1"/>
  <c r="O12" i="18" s="1"/>
  <c r="U12" i="18" s="1"/>
  <c r="M254" i="13"/>
  <c r="M230" i="18" s="1"/>
  <c r="N230" i="18" s="1"/>
  <c r="O230" i="18" s="1"/>
  <c r="U230" i="18" s="1"/>
  <c r="M72" i="13"/>
  <c r="M67" i="18" s="1"/>
  <c r="N67" i="18" s="1"/>
  <c r="O67" i="18" s="1"/>
  <c r="U67" i="18" s="1"/>
  <c r="M181" i="13"/>
  <c r="M161" i="18" s="1"/>
  <c r="N161" i="18" s="1"/>
  <c r="O161" i="18" s="1"/>
  <c r="U161" i="18" s="1"/>
  <c r="M375" i="13"/>
  <c r="N375" i="13" s="1"/>
  <c r="O375" i="13" s="1"/>
  <c r="R375" i="13" s="1"/>
  <c r="M112" i="13"/>
  <c r="M101" i="18" s="1"/>
  <c r="N101" i="18" s="1"/>
  <c r="O101" i="18" s="1"/>
  <c r="U101" i="18" s="1"/>
  <c r="M125" i="13"/>
  <c r="M112" i="18" s="1"/>
  <c r="N112" i="18" s="1"/>
  <c r="O112" i="18" s="1"/>
  <c r="U112" i="18" s="1"/>
  <c r="M213" i="13"/>
  <c r="M193" i="18" s="1"/>
  <c r="N193" i="18" s="1"/>
  <c r="O193" i="18" s="1"/>
  <c r="U193" i="18" s="1"/>
  <c r="M66" i="13"/>
  <c r="M61" i="18" s="1"/>
  <c r="N61" i="18" s="1"/>
  <c r="O61" i="18" s="1"/>
  <c r="U61" i="18" s="1"/>
  <c r="M176" i="13"/>
  <c r="M157" i="18" s="1"/>
  <c r="N157" i="18" s="1"/>
  <c r="O157" i="18" s="1"/>
  <c r="U157" i="18" s="1"/>
  <c r="M21" i="13"/>
  <c r="M19" i="18" s="1"/>
  <c r="N19" i="18" s="1"/>
  <c r="O19" i="18" s="1"/>
  <c r="U19" i="18" s="1"/>
  <c r="M199" i="13"/>
  <c r="M179" i="18" s="1"/>
  <c r="N179" i="18" s="1"/>
  <c r="O179" i="18" s="1"/>
  <c r="U179" i="18" s="1"/>
  <c r="M151" i="13"/>
  <c r="M135" i="18" s="1"/>
  <c r="N135" i="18" s="1"/>
  <c r="O135" i="18" s="1"/>
  <c r="U135" i="18" s="1"/>
  <c r="M105" i="13"/>
  <c r="M95" i="18" s="1"/>
  <c r="N95" i="18" s="1"/>
  <c r="O95" i="18" s="1"/>
  <c r="U95" i="18" s="1"/>
  <c r="M173" i="13"/>
  <c r="M154" i="18" s="1"/>
  <c r="N154" i="18" s="1"/>
  <c r="O154" i="18" s="1"/>
  <c r="U154" i="18" s="1"/>
  <c r="M237" i="13"/>
  <c r="M215" i="18" s="1"/>
  <c r="N215" i="18" s="1"/>
  <c r="O215" i="18" s="1"/>
  <c r="U215" i="18" s="1"/>
  <c r="M184" i="13"/>
  <c r="M164" i="18" s="1"/>
  <c r="N164" i="18" s="1"/>
  <c r="O164" i="18" s="1"/>
  <c r="U164" i="18" s="1"/>
  <c r="M22" i="13"/>
  <c r="M20" i="18" s="1"/>
  <c r="N20" i="18" s="1"/>
  <c r="O20" i="18" s="1"/>
  <c r="U20" i="18" s="1"/>
  <c r="M285" i="13"/>
  <c r="M258" i="18" s="1"/>
  <c r="N258" i="18" s="1"/>
  <c r="O258" i="18" s="1"/>
  <c r="U258" i="18" s="1"/>
  <c r="M60" i="13"/>
  <c r="M55" i="18" s="1"/>
  <c r="N55" i="18" s="1"/>
  <c r="O55" i="18" s="1"/>
  <c r="U55" i="18" s="1"/>
  <c r="M198" i="13"/>
  <c r="M178" i="18" s="1"/>
  <c r="N178" i="18" s="1"/>
  <c r="O178" i="18" s="1"/>
  <c r="U178" i="18" s="1"/>
  <c r="M141" i="13"/>
  <c r="M126" i="18" s="1"/>
  <c r="N126" i="18" s="1"/>
  <c r="O126" i="18" s="1"/>
  <c r="U126" i="18" s="1"/>
  <c r="M126" i="13"/>
  <c r="M113" i="18" s="1"/>
  <c r="N113" i="18" s="1"/>
  <c r="O113" i="18" s="1"/>
  <c r="U113" i="18" s="1"/>
  <c r="M295" i="13"/>
  <c r="M266" i="18" s="1"/>
  <c r="N266" i="18" s="1"/>
  <c r="O266" i="18" s="1"/>
  <c r="U266" i="18" s="1"/>
  <c r="M162" i="13"/>
  <c r="M144" i="18" s="1"/>
  <c r="N144" i="18" s="1"/>
  <c r="O144" i="18" s="1"/>
  <c r="U144" i="18" s="1"/>
  <c r="M195" i="13"/>
  <c r="M175" i="18" s="1"/>
  <c r="N175" i="18" s="1"/>
  <c r="O175" i="18" s="1"/>
  <c r="U175" i="18" s="1"/>
  <c r="M301" i="13"/>
  <c r="M272" i="18" s="1"/>
  <c r="N272" i="18" s="1"/>
  <c r="O272" i="18" s="1"/>
  <c r="U272" i="18" s="1"/>
  <c r="M33" i="13"/>
  <c r="M31" i="18" s="1"/>
  <c r="N31" i="18" s="1"/>
  <c r="O31" i="18" s="1"/>
  <c r="U31" i="18" s="1"/>
  <c r="M211" i="13"/>
  <c r="M191" i="18" s="1"/>
  <c r="N191" i="18" s="1"/>
  <c r="O191" i="18" s="1"/>
  <c r="U191" i="18" s="1"/>
  <c r="M100" i="13"/>
  <c r="M91" i="18" s="1"/>
  <c r="N91" i="18" s="1"/>
  <c r="O91" i="18" s="1"/>
  <c r="U91" i="18" s="1"/>
  <c r="M165" i="13"/>
  <c r="M147" i="18" s="1"/>
  <c r="N147" i="18" s="1"/>
  <c r="O147" i="18" s="1"/>
  <c r="U147" i="18" s="1"/>
  <c r="M277" i="13"/>
  <c r="M251" i="18" s="1"/>
  <c r="N251" i="18" s="1"/>
  <c r="O251" i="18" s="1"/>
  <c r="U251" i="18" s="1"/>
  <c r="M120" i="13"/>
  <c r="M108" i="18" s="1"/>
  <c r="N108" i="18" s="1"/>
  <c r="O108" i="18" s="1"/>
  <c r="U108" i="18" s="1"/>
  <c r="M262" i="13"/>
  <c r="M237" i="18" s="1"/>
  <c r="N237" i="18" s="1"/>
  <c r="O237" i="18" s="1"/>
  <c r="U237" i="18" s="1"/>
  <c r="M292" i="13"/>
  <c r="M264" i="18" s="1"/>
  <c r="N264" i="18" s="1"/>
  <c r="O264" i="18" s="1"/>
  <c r="U264" i="18" s="1"/>
  <c r="M214" i="13"/>
  <c r="M194" i="18" s="1"/>
  <c r="N194" i="18" s="1"/>
  <c r="O194" i="18" s="1"/>
  <c r="U194" i="18" s="1"/>
  <c r="M216" i="13"/>
  <c r="M196" i="18" s="1"/>
  <c r="N196" i="18" s="1"/>
  <c r="O196" i="18" s="1"/>
  <c r="U196" i="18" s="1"/>
  <c r="J307" i="13"/>
  <c r="J308" i="13" s="1"/>
  <c r="K96" i="13" s="1"/>
  <c r="L96" i="13" s="1"/>
  <c r="M296" i="13"/>
  <c r="M267" i="18" s="1"/>
  <c r="N267" i="18" s="1"/>
  <c r="O267" i="18" s="1"/>
  <c r="U267" i="18" s="1"/>
  <c r="M164" i="13"/>
  <c r="M146" i="18" s="1"/>
  <c r="N146" i="18" s="1"/>
  <c r="O146" i="18" s="1"/>
  <c r="U146" i="18" s="1"/>
  <c r="M115" i="13"/>
  <c r="M104" i="18" s="1"/>
  <c r="N104" i="18" s="1"/>
  <c r="O104" i="18" s="1"/>
  <c r="U104" i="18" s="1"/>
  <c r="M242" i="13"/>
  <c r="M220" i="18" s="1"/>
  <c r="N220" i="18" s="1"/>
  <c r="O220" i="18" s="1"/>
  <c r="U220" i="18" s="1"/>
  <c r="I379" i="13"/>
  <c r="M54" i="13"/>
  <c r="M50" i="18" s="1"/>
  <c r="N50" i="18" s="1"/>
  <c r="O50" i="18" s="1"/>
  <c r="U50" i="18" s="1"/>
  <c r="M367" i="13"/>
  <c r="N367" i="13" s="1"/>
  <c r="O367" i="13" s="1"/>
  <c r="R367" i="13" s="1"/>
  <c r="M58" i="13"/>
  <c r="M53" i="18" s="1"/>
  <c r="N53" i="18" s="1"/>
  <c r="O53" i="18" s="1"/>
  <c r="U53" i="18" s="1"/>
  <c r="M41" i="13"/>
  <c r="M39" i="18" s="1"/>
  <c r="N39" i="18" s="1"/>
  <c r="O39" i="18" s="1"/>
  <c r="U39" i="18" s="1"/>
  <c r="M119" i="13"/>
  <c r="M107" i="18" s="1"/>
  <c r="N107" i="18" s="1"/>
  <c r="O107" i="18" s="1"/>
  <c r="U107" i="18" s="1"/>
  <c r="M51" i="13"/>
  <c r="M47" i="18" s="1"/>
  <c r="N47" i="18" s="1"/>
  <c r="O47" i="18" s="1"/>
  <c r="U47" i="18" s="1"/>
  <c r="M234" i="13"/>
  <c r="M212" i="18" s="1"/>
  <c r="N212" i="18" s="1"/>
  <c r="O212" i="18" s="1"/>
  <c r="U212" i="18" s="1"/>
  <c r="M240" i="13"/>
  <c r="M218" i="18" s="1"/>
  <c r="N218" i="18" s="1"/>
  <c r="O218" i="18" s="1"/>
  <c r="U218" i="18" s="1"/>
  <c r="M227" i="13"/>
  <c r="M206" i="18" s="1"/>
  <c r="N206" i="18" s="1"/>
  <c r="O206" i="18" s="1"/>
  <c r="U206" i="18" s="1"/>
  <c r="M266" i="13"/>
  <c r="M241" i="18" s="1"/>
  <c r="N241" i="18" s="1"/>
  <c r="O241" i="18" s="1"/>
  <c r="U241" i="18" s="1"/>
  <c r="M283" i="13"/>
  <c r="M256" i="18" s="1"/>
  <c r="N256" i="18" s="1"/>
  <c r="O256" i="18" s="1"/>
  <c r="U256" i="18" s="1"/>
  <c r="M106" i="13"/>
  <c r="M96" i="18" s="1"/>
  <c r="N96" i="18" s="1"/>
  <c r="O96" i="18" s="1"/>
  <c r="U96" i="18" s="1"/>
  <c r="M10" i="13"/>
  <c r="M9" i="18" s="1"/>
  <c r="N9" i="18" s="1"/>
  <c r="O9" i="18" s="1"/>
  <c r="U9" i="18" s="1"/>
  <c r="M35" i="13"/>
  <c r="M33" i="18" s="1"/>
  <c r="N33" i="18" s="1"/>
  <c r="O33" i="18" s="1"/>
  <c r="U33" i="18" s="1"/>
  <c r="M273" i="13"/>
  <c r="M248" i="18" s="1"/>
  <c r="N248" i="18" s="1"/>
  <c r="O248" i="18" s="1"/>
  <c r="U248" i="18" s="1"/>
  <c r="M87" i="13"/>
  <c r="M79" i="18" s="1"/>
  <c r="N79" i="18" s="1"/>
  <c r="O79" i="18" s="1"/>
  <c r="U79" i="18" s="1"/>
  <c r="M303" i="13"/>
  <c r="M274" i="18" s="1"/>
  <c r="N274" i="18" s="1"/>
  <c r="O274" i="18" s="1"/>
  <c r="U274" i="18" s="1"/>
  <c r="M159" i="13"/>
  <c r="M142" i="18" s="1"/>
  <c r="N142" i="18" s="1"/>
  <c r="O142" i="18" s="1"/>
  <c r="U142" i="18" s="1"/>
  <c r="M145" i="13"/>
  <c r="M130" i="18" s="1"/>
  <c r="N130" i="18" s="1"/>
  <c r="O130" i="18" s="1"/>
  <c r="U130" i="18" s="1"/>
  <c r="M25" i="13"/>
  <c r="M23" i="18" s="1"/>
  <c r="N23" i="18" s="1"/>
  <c r="O23" i="18" s="1"/>
  <c r="U23" i="18" s="1"/>
  <c r="M219" i="13"/>
  <c r="M199" i="18" s="1"/>
  <c r="N199" i="18" s="1"/>
  <c r="O199" i="18" s="1"/>
  <c r="U199" i="18" s="1"/>
  <c r="M73" i="13"/>
  <c r="M68" i="18" s="1"/>
  <c r="N68" i="18" s="1"/>
  <c r="O68" i="18" s="1"/>
  <c r="U68" i="18" s="1"/>
  <c r="M70" i="13"/>
  <c r="M65" i="18" s="1"/>
  <c r="N65" i="18" s="1"/>
  <c r="O65" i="18" s="1"/>
  <c r="U65" i="18" s="1"/>
  <c r="M44" i="13"/>
  <c r="M41" i="18" s="1"/>
  <c r="N41" i="18" s="1"/>
  <c r="O41" i="18" s="1"/>
  <c r="U41" i="18" s="1"/>
  <c r="M194" i="13"/>
  <c r="M174" i="18" s="1"/>
  <c r="N174" i="18" s="1"/>
  <c r="O174" i="18" s="1"/>
  <c r="U174" i="18" s="1"/>
  <c r="M374" i="13"/>
  <c r="N374" i="13" s="1"/>
  <c r="O374" i="13" s="1"/>
  <c r="R374" i="13" s="1"/>
  <c r="M5" i="13"/>
  <c r="M280" i="13"/>
  <c r="M254" i="18" s="1"/>
  <c r="N254" i="18" s="1"/>
  <c r="O254" i="18" s="1"/>
  <c r="U254" i="18" s="1"/>
  <c r="M257" i="13"/>
  <c r="M232" i="18" s="1"/>
  <c r="N232" i="18" s="1"/>
  <c r="O232" i="18" s="1"/>
  <c r="U232" i="18" s="1"/>
  <c r="M39" i="13"/>
  <c r="M37" i="18" s="1"/>
  <c r="N37" i="18" s="1"/>
  <c r="O37" i="18" s="1"/>
  <c r="U37" i="18" s="1"/>
  <c r="M52" i="13"/>
  <c r="M48" i="18" s="1"/>
  <c r="N48" i="18" s="1"/>
  <c r="O48" i="18" s="1"/>
  <c r="U48" i="18" s="1"/>
  <c r="M248" i="13"/>
  <c r="M225" i="18" s="1"/>
  <c r="N225" i="18" s="1"/>
  <c r="O225" i="18" s="1"/>
  <c r="U225" i="18" s="1"/>
  <c r="M170" i="13"/>
  <c r="M151" i="18" s="1"/>
  <c r="N151" i="18" s="1"/>
  <c r="O151" i="18" s="1"/>
  <c r="U151" i="18" s="1"/>
  <c r="M232" i="13"/>
  <c r="M210" i="18" s="1"/>
  <c r="N210" i="18" s="1"/>
  <c r="O210" i="18" s="1"/>
  <c r="U210" i="18" s="1"/>
  <c r="M271" i="13"/>
  <c r="M246" i="18" s="1"/>
  <c r="N246" i="18" s="1"/>
  <c r="O246" i="18" s="1"/>
  <c r="U246" i="18" s="1"/>
  <c r="M147" i="13"/>
  <c r="M132" i="18" s="1"/>
  <c r="N132" i="18" s="1"/>
  <c r="O132" i="18" s="1"/>
  <c r="U132" i="18" s="1"/>
  <c r="M160" i="13"/>
  <c r="M143" i="18" s="1"/>
  <c r="N143" i="18" s="1"/>
  <c r="O143" i="18" s="1"/>
  <c r="U143" i="18" s="1"/>
  <c r="M89" i="13"/>
  <c r="M81" i="18" s="1"/>
  <c r="N81" i="18" s="1"/>
  <c r="O81" i="18" s="1"/>
  <c r="U81" i="18" s="1"/>
  <c r="M30" i="13"/>
  <c r="M28" i="18" s="1"/>
  <c r="N28" i="18" s="1"/>
  <c r="O28" i="18" s="1"/>
  <c r="U28" i="18" s="1"/>
  <c r="M293" i="13"/>
  <c r="M265" i="18" s="1"/>
  <c r="N265" i="18" s="1"/>
  <c r="O265" i="18" s="1"/>
  <c r="U265" i="18" s="1"/>
  <c r="M364" i="13"/>
  <c r="N364" i="13" s="1"/>
  <c r="O364" i="13" s="1"/>
  <c r="R364" i="13" s="1"/>
  <c r="M158" i="13"/>
  <c r="M141" i="18" s="1"/>
  <c r="N141" i="18" s="1"/>
  <c r="O141" i="18" s="1"/>
  <c r="U141" i="18" s="1"/>
  <c r="M253" i="13"/>
  <c r="M229" i="18" s="1"/>
  <c r="N229" i="18" s="1"/>
  <c r="O229" i="18" s="1"/>
  <c r="U229" i="18" s="1"/>
  <c r="M265" i="13"/>
  <c r="M240" i="18" s="1"/>
  <c r="N240" i="18" s="1"/>
  <c r="O240" i="18" s="1"/>
  <c r="U240" i="18" s="1"/>
  <c r="M144" i="13"/>
  <c r="M129" i="18" s="1"/>
  <c r="N129" i="18" s="1"/>
  <c r="O129" i="18" s="1"/>
  <c r="U129" i="18" s="1"/>
  <c r="M61" i="13"/>
  <c r="M56" i="18" s="1"/>
  <c r="N56" i="18" s="1"/>
  <c r="O56" i="18" s="1"/>
  <c r="U56" i="18" s="1"/>
  <c r="M197" i="13"/>
  <c r="M177" i="18" s="1"/>
  <c r="N177" i="18" s="1"/>
  <c r="O177" i="18" s="1"/>
  <c r="U177" i="18" s="1"/>
  <c r="M48" i="13"/>
  <c r="M45" i="18" s="1"/>
  <c r="N45" i="18" s="1"/>
  <c r="O45" i="18" s="1"/>
  <c r="U45" i="18" s="1"/>
  <c r="M138" i="13"/>
  <c r="M123" i="18" s="1"/>
  <c r="N123" i="18" s="1"/>
  <c r="O123" i="18" s="1"/>
  <c r="U123" i="18" s="1"/>
  <c r="M152" i="13"/>
  <c r="M136" i="18" s="1"/>
  <c r="N136" i="18" s="1"/>
  <c r="O136" i="18" s="1"/>
  <c r="U136" i="18" s="1"/>
  <c r="M201" i="13"/>
  <c r="M181" i="18" s="1"/>
  <c r="N181" i="18" s="1"/>
  <c r="O181" i="18" s="1"/>
  <c r="U181" i="18" s="1"/>
  <c r="M218" i="13"/>
  <c r="M198" i="18" s="1"/>
  <c r="N198" i="18" s="1"/>
  <c r="O198" i="18" s="1"/>
  <c r="U198" i="18" s="1"/>
  <c r="M272" i="13"/>
  <c r="M247" i="18" s="1"/>
  <c r="N247" i="18" s="1"/>
  <c r="O247" i="18" s="1"/>
  <c r="U247" i="18" s="1"/>
  <c r="M366" i="13"/>
  <c r="N366" i="13" s="1"/>
  <c r="O366" i="13" s="1"/>
  <c r="R366" i="13" s="1"/>
  <c r="M83" i="13"/>
  <c r="M76" i="18" s="1"/>
  <c r="N76" i="18" s="1"/>
  <c r="O76" i="18" s="1"/>
  <c r="U76" i="18" s="1"/>
  <c r="M255" i="13"/>
  <c r="M231" i="18" s="1"/>
  <c r="N231" i="18" s="1"/>
  <c r="O231" i="18" s="1"/>
  <c r="U231" i="18" s="1"/>
  <c r="M291" i="13"/>
  <c r="M263" i="18" s="1"/>
  <c r="N263" i="18" s="1"/>
  <c r="O263" i="18" s="1"/>
  <c r="U263" i="18" s="1"/>
  <c r="M15" i="13"/>
  <c r="M13" i="18" s="1"/>
  <c r="N13" i="18" s="1"/>
  <c r="O13" i="18" s="1"/>
  <c r="U13" i="18" s="1"/>
  <c r="M200" i="13"/>
  <c r="M180" i="18" s="1"/>
  <c r="N180" i="18" s="1"/>
  <c r="O180" i="18" s="1"/>
  <c r="U180" i="18" s="1"/>
  <c r="M104" i="13"/>
  <c r="M94" i="18" s="1"/>
  <c r="N94" i="18" s="1"/>
  <c r="O94" i="18" s="1"/>
  <c r="U94" i="18" s="1"/>
  <c r="M6" i="13"/>
  <c r="M5" i="18" s="1"/>
  <c r="N5" i="18" s="1"/>
  <c r="O5" i="18" s="1"/>
  <c r="M17" i="13"/>
  <c r="M15" i="18" s="1"/>
  <c r="N15" i="18" s="1"/>
  <c r="O15" i="18" s="1"/>
  <c r="U15" i="18" s="1"/>
  <c r="M79" i="13"/>
  <c r="M73" i="18" s="1"/>
  <c r="N73" i="18" s="1"/>
  <c r="O73" i="18" s="1"/>
  <c r="U73" i="18" s="1"/>
  <c r="M123" i="13"/>
  <c r="M110" i="18" s="1"/>
  <c r="N110" i="18" s="1"/>
  <c r="O110" i="18" s="1"/>
  <c r="U110" i="18" s="1"/>
  <c r="M127" i="13"/>
  <c r="M114" i="18" s="1"/>
  <c r="N114" i="18" s="1"/>
  <c r="O114" i="18" s="1"/>
  <c r="U114" i="18" s="1"/>
  <c r="M178" i="13"/>
  <c r="M159" i="18" s="1"/>
  <c r="N159" i="18" s="1"/>
  <c r="O159" i="18" s="1"/>
  <c r="U159" i="18" s="1"/>
  <c r="M171" i="13"/>
  <c r="M152" i="18" s="1"/>
  <c r="N152" i="18" s="1"/>
  <c r="O152" i="18" s="1"/>
  <c r="U152" i="18" s="1"/>
  <c r="M210" i="13"/>
  <c r="M190" i="18" s="1"/>
  <c r="N190" i="18" s="1"/>
  <c r="O190" i="18" s="1"/>
  <c r="U190" i="18" s="1"/>
  <c r="M188" i="13"/>
  <c r="M168" i="18" s="1"/>
  <c r="N168" i="18" s="1"/>
  <c r="O168" i="18" s="1"/>
  <c r="U168" i="18" s="1"/>
  <c r="M288" i="13"/>
  <c r="M260" i="18" s="1"/>
  <c r="N260" i="18" s="1"/>
  <c r="O260" i="18" s="1"/>
  <c r="U260" i="18" s="1"/>
  <c r="M300" i="13"/>
  <c r="M271" i="18" s="1"/>
  <c r="N271" i="18" s="1"/>
  <c r="O271" i="18" s="1"/>
  <c r="U271" i="18" s="1"/>
  <c r="M284" i="13"/>
  <c r="M257" i="18" s="1"/>
  <c r="N257" i="18" s="1"/>
  <c r="O257" i="18" s="1"/>
  <c r="U257" i="18" s="1"/>
  <c r="M96" i="13"/>
  <c r="M87" i="18" s="1"/>
  <c r="N87" i="18" s="1"/>
  <c r="O87" i="18" s="1"/>
  <c r="U87" i="18" s="1"/>
  <c r="M369" i="13"/>
  <c r="N369" i="13" s="1"/>
  <c r="O369" i="13" s="1"/>
  <c r="R369" i="13" s="1"/>
  <c r="M32" i="13"/>
  <c r="M30" i="18" s="1"/>
  <c r="N30" i="18" s="1"/>
  <c r="O30" i="18" s="1"/>
  <c r="U30" i="18" s="1"/>
  <c r="M149" i="13"/>
  <c r="M133" i="18" s="1"/>
  <c r="N133" i="18" s="1"/>
  <c r="O133" i="18" s="1"/>
  <c r="U133" i="18" s="1"/>
  <c r="M299" i="13"/>
  <c r="M270" i="18" s="1"/>
  <c r="N270" i="18" s="1"/>
  <c r="O270" i="18" s="1"/>
  <c r="U270" i="18" s="1"/>
  <c r="M267" i="13"/>
  <c r="M242" i="18" s="1"/>
  <c r="N242" i="18" s="1"/>
  <c r="O242" i="18" s="1"/>
  <c r="U242" i="18" s="1"/>
  <c r="M202" i="13"/>
  <c r="M182" i="18" s="1"/>
  <c r="N182" i="18" s="1"/>
  <c r="O182" i="18" s="1"/>
  <c r="U182" i="18" s="1"/>
  <c r="M11" i="13"/>
  <c r="M10" i="18" s="1"/>
  <c r="N10" i="18" s="1"/>
  <c r="O10" i="18" s="1"/>
  <c r="U10" i="18" s="1"/>
  <c r="M69" i="13"/>
  <c r="M64" i="18" s="1"/>
  <c r="N64" i="18" s="1"/>
  <c r="O64" i="18" s="1"/>
  <c r="U64" i="18" s="1"/>
  <c r="M225" i="13"/>
  <c r="M204" i="18" s="1"/>
  <c r="N204" i="18" s="1"/>
  <c r="O204" i="18" s="1"/>
  <c r="U204" i="18" s="1"/>
  <c r="M239" i="13"/>
  <c r="M217" i="18" s="1"/>
  <c r="N217" i="18" s="1"/>
  <c r="O217" i="18" s="1"/>
  <c r="U217" i="18" s="1"/>
  <c r="M34" i="13"/>
  <c r="M32" i="18" s="1"/>
  <c r="N32" i="18" s="1"/>
  <c r="O32" i="18" s="1"/>
  <c r="U32" i="18" s="1"/>
  <c r="M129" i="13"/>
  <c r="M116" i="18" s="1"/>
  <c r="N116" i="18" s="1"/>
  <c r="O116" i="18" s="1"/>
  <c r="U116" i="18" s="1"/>
  <c r="M74" i="13"/>
  <c r="M69" i="18" s="1"/>
  <c r="N69" i="18" s="1"/>
  <c r="O69" i="18" s="1"/>
  <c r="U69" i="18" s="1"/>
  <c r="M259" i="13"/>
  <c r="M234" i="18" s="1"/>
  <c r="N234" i="18" s="1"/>
  <c r="O234" i="18" s="1"/>
  <c r="U234" i="18" s="1"/>
  <c r="M250" i="13"/>
  <c r="M226" i="18" s="1"/>
  <c r="N226" i="18" s="1"/>
  <c r="O226" i="18" s="1"/>
  <c r="U226" i="18" s="1"/>
  <c r="M174" i="13"/>
  <c r="M155" i="18" s="1"/>
  <c r="N155" i="18" s="1"/>
  <c r="O155" i="18" s="1"/>
  <c r="U155" i="18" s="1"/>
  <c r="M192" i="13"/>
  <c r="M172" i="18" s="1"/>
  <c r="N172" i="18" s="1"/>
  <c r="O172" i="18" s="1"/>
  <c r="U172" i="18" s="1"/>
  <c r="M140" i="13"/>
  <c r="M125" i="18" s="1"/>
  <c r="N125" i="18" s="1"/>
  <c r="O125" i="18" s="1"/>
  <c r="U125" i="18" s="1"/>
  <c r="M27" i="13"/>
  <c r="M25" i="18" s="1"/>
  <c r="N25" i="18" s="1"/>
  <c r="O25" i="18" s="1"/>
  <c r="U25" i="18" s="1"/>
  <c r="M183" i="13"/>
  <c r="M163" i="18" s="1"/>
  <c r="N163" i="18" s="1"/>
  <c r="O163" i="18" s="1"/>
  <c r="U163" i="18" s="1"/>
  <c r="M235" i="13"/>
  <c r="M213" i="18" s="1"/>
  <c r="N213" i="18" s="1"/>
  <c r="O213" i="18" s="1"/>
  <c r="U213" i="18" s="1"/>
  <c r="M186" i="13"/>
  <c r="M166" i="18" s="1"/>
  <c r="N166" i="18" s="1"/>
  <c r="O166" i="18" s="1"/>
  <c r="U166" i="18" s="1"/>
  <c r="M45" i="13"/>
  <c r="M42" i="18" s="1"/>
  <c r="N42" i="18" s="1"/>
  <c r="O42" i="18" s="1"/>
  <c r="U42" i="18" s="1"/>
  <c r="M153" i="13"/>
  <c r="M137" i="18" s="1"/>
  <c r="N137" i="18" s="1"/>
  <c r="O137" i="18" s="1"/>
  <c r="U137" i="18" s="1"/>
  <c r="M278" i="13"/>
  <c r="M252" i="18" s="1"/>
  <c r="N252" i="18" s="1"/>
  <c r="O252" i="18" s="1"/>
  <c r="U252" i="18" s="1"/>
  <c r="M298" i="13"/>
  <c r="M269" i="18" s="1"/>
  <c r="N269" i="18" s="1"/>
  <c r="O269" i="18" s="1"/>
  <c r="U269" i="18" s="1"/>
  <c r="M245" i="13"/>
  <c r="M222" i="18" s="1"/>
  <c r="N222" i="18" s="1"/>
  <c r="O222" i="18" s="1"/>
  <c r="U222" i="18" s="1"/>
  <c r="M98" i="13"/>
  <c r="M89" i="18" s="1"/>
  <c r="N89" i="18" s="1"/>
  <c r="O89" i="18" s="1"/>
  <c r="U89" i="18" s="1"/>
  <c r="M37" i="13"/>
  <c r="M35" i="18" s="1"/>
  <c r="N35" i="18" s="1"/>
  <c r="O35" i="18" s="1"/>
  <c r="U35" i="18" s="1"/>
  <c r="M93" i="13"/>
  <c r="M85" i="18" s="1"/>
  <c r="N85" i="18" s="1"/>
  <c r="O85" i="18" s="1"/>
  <c r="U85" i="18" s="1"/>
  <c r="M40" i="13"/>
  <c r="M38" i="18" s="1"/>
  <c r="N38" i="18" s="1"/>
  <c r="O38" i="18" s="1"/>
  <c r="U38" i="18" s="1"/>
  <c r="M117" i="13"/>
  <c r="M106" i="18" s="1"/>
  <c r="N106" i="18" s="1"/>
  <c r="O106" i="18" s="1"/>
  <c r="U106" i="18" s="1"/>
  <c r="M221" i="13"/>
  <c r="M201" i="18" s="1"/>
  <c r="N201" i="18" s="1"/>
  <c r="O201" i="18" s="1"/>
  <c r="U201" i="18" s="1"/>
  <c r="M139" i="13"/>
  <c r="M124" i="18" s="1"/>
  <c r="N124" i="18" s="1"/>
  <c r="O124" i="18" s="1"/>
  <c r="U124" i="18" s="1"/>
  <c r="M155" i="13"/>
  <c r="M138" i="18" s="1"/>
  <c r="N138" i="18" s="1"/>
  <c r="O138" i="18" s="1"/>
  <c r="U138" i="18" s="1"/>
  <c r="M258" i="13"/>
  <c r="M233" i="18" s="1"/>
  <c r="N233" i="18" s="1"/>
  <c r="O233" i="18" s="1"/>
  <c r="U233" i="18" s="1"/>
  <c r="M65" i="13"/>
  <c r="M60" i="18" s="1"/>
  <c r="N60" i="18" s="1"/>
  <c r="O60" i="18" s="1"/>
  <c r="U60" i="18" s="1"/>
  <c r="M84" i="13"/>
  <c r="M77" i="18" s="1"/>
  <c r="N77" i="18" s="1"/>
  <c r="O77" i="18" s="1"/>
  <c r="U77" i="18" s="1"/>
  <c r="M101" i="13"/>
  <c r="M92" i="18" s="1"/>
  <c r="N92" i="18" s="1"/>
  <c r="O92" i="18" s="1"/>
  <c r="U92" i="18" s="1"/>
  <c r="M190" i="13"/>
  <c r="M170" i="18" s="1"/>
  <c r="N170" i="18" s="1"/>
  <c r="O170" i="18" s="1"/>
  <c r="U170" i="18" s="1"/>
  <c r="M279" i="13"/>
  <c r="M253" i="18" s="1"/>
  <c r="N253" i="18" s="1"/>
  <c r="O253" i="18" s="1"/>
  <c r="U253" i="18" s="1"/>
  <c r="M131" i="13"/>
  <c r="M118" i="18" s="1"/>
  <c r="N118" i="18" s="1"/>
  <c r="O118" i="18" s="1"/>
  <c r="U118" i="18" s="1"/>
  <c r="M55" i="13"/>
  <c r="M51" i="18" s="1"/>
  <c r="N51" i="18" s="1"/>
  <c r="O51" i="18" s="1"/>
  <c r="U51" i="18" s="1"/>
  <c r="M187" i="13"/>
  <c r="M167" i="18" s="1"/>
  <c r="N167" i="18" s="1"/>
  <c r="O167" i="18" s="1"/>
  <c r="U167" i="18" s="1"/>
  <c r="M175" i="13"/>
  <c r="M156" i="18" s="1"/>
  <c r="N156" i="18" s="1"/>
  <c r="O156" i="18" s="1"/>
  <c r="U156" i="18" s="1"/>
  <c r="M136" i="13"/>
  <c r="M122" i="18" s="1"/>
  <c r="N122" i="18" s="1"/>
  <c r="O122" i="18" s="1"/>
  <c r="U122" i="18" s="1"/>
  <c r="M191" i="13"/>
  <c r="M171" i="18" s="1"/>
  <c r="N171" i="18" s="1"/>
  <c r="O171" i="18" s="1"/>
  <c r="U171" i="18" s="1"/>
  <c r="M130" i="13"/>
  <c r="M117" i="18" s="1"/>
  <c r="N117" i="18" s="1"/>
  <c r="O117" i="18" s="1"/>
  <c r="U117" i="18" s="1"/>
  <c r="M146" i="13"/>
  <c r="M131" i="18" s="1"/>
  <c r="N131" i="18" s="1"/>
  <c r="O131" i="18" s="1"/>
  <c r="U131" i="18" s="1"/>
  <c r="M163" i="13"/>
  <c r="M145" i="18" s="1"/>
  <c r="N145" i="18" s="1"/>
  <c r="O145" i="18" s="1"/>
  <c r="U145" i="18" s="1"/>
  <c r="M124" i="13"/>
  <c r="M111" i="18" s="1"/>
  <c r="N111" i="18" s="1"/>
  <c r="O111" i="18" s="1"/>
  <c r="U111" i="18" s="1"/>
  <c r="M86" i="13"/>
  <c r="M78" i="18" s="1"/>
  <c r="N78" i="18" s="1"/>
  <c r="O78" i="18" s="1"/>
  <c r="U78" i="18" s="1"/>
  <c r="M95" i="13"/>
  <c r="M86" i="18" s="1"/>
  <c r="N86" i="18" s="1"/>
  <c r="O86" i="18" s="1"/>
  <c r="U86" i="18" s="1"/>
  <c r="M207" i="13"/>
  <c r="M187" i="18" s="1"/>
  <c r="N187" i="18" s="1"/>
  <c r="O187" i="18" s="1"/>
  <c r="U187" i="18" s="1"/>
  <c r="M71" i="13"/>
  <c r="M66" i="18" s="1"/>
  <c r="N66" i="18" s="1"/>
  <c r="O66" i="18" s="1"/>
  <c r="U66" i="18" s="1"/>
  <c r="M166" i="13"/>
  <c r="M148" i="18" s="1"/>
  <c r="N148" i="18" s="1"/>
  <c r="O148" i="18" s="1"/>
  <c r="U148" i="18" s="1"/>
  <c r="M233" i="13"/>
  <c r="M211" i="18" s="1"/>
  <c r="N211" i="18" s="1"/>
  <c r="O211" i="18" s="1"/>
  <c r="U211" i="18" s="1"/>
  <c r="M252" i="13"/>
  <c r="M228" i="18" s="1"/>
  <c r="N228" i="18" s="1"/>
  <c r="O228" i="18" s="1"/>
  <c r="U228" i="18" s="1"/>
  <c r="M365" i="13"/>
  <c r="N365" i="13" s="1"/>
  <c r="O365" i="13" s="1"/>
  <c r="R365" i="13" s="1"/>
  <c r="M229" i="13"/>
  <c r="M208" i="18" s="1"/>
  <c r="N208" i="18" s="1"/>
  <c r="O208" i="18" s="1"/>
  <c r="U208" i="18" s="1"/>
  <c r="M29" i="13"/>
  <c r="M27" i="18" s="1"/>
  <c r="N27" i="18" s="1"/>
  <c r="O27" i="18" s="1"/>
  <c r="U27" i="18" s="1"/>
  <c r="M47" i="13"/>
  <c r="M44" i="18" s="1"/>
  <c r="N44" i="18" s="1"/>
  <c r="O44" i="18" s="1"/>
  <c r="U44" i="18" s="1"/>
  <c r="M370" i="13"/>
  <c r="N370" i="13" s="1"/>
  <c r="O370" i="13" s="1"/>
  <c r="R370" i="13" s="1"/>
  <c r="M373" i="13"/>
  <c r="N373" i="13" s="1"/>
  <c r="O373" i="13" s="1"/>
  <c r="R373" i="13" s="1"/>
  <c r="M97" i="13"/>
  <c r="M88" i="18" s="1"/>
  <c r="N88" i="18" s="1"/>
  <c r="O88" i="18" s="1"/>
  <c r="U88" i="18" s="1"/>
  <c r="M179" i="13"/>
  <c r="M160" i="18" s="1"/>
  <c r="N160" i="18" s="1"/>
  <c r="O160" i="18" s="1"/>
  <c r="U160" i="18" s="1"/>
  <c r="M111" i="13"/>
  <c r="M100" i="18" s="1"/>
  <c r="N100" i="18" s="1"/>
  <c r="O100" i="18" s="1"/>
  <c r="U100" i="18" s="1"/>
  <c r="M19" i="13"/>
  <c r="M17" i="18" s="1"/>
  <c r="N17" i="18" s="1"/>
  <c r="O17" i="18" s="1"/>
  <c r="U17" i="18" s="1"/>
  <c r="M88" i="13"/>
  <c r="M80" i="18" s="1"/>
  <c r="N80" i="18" s="1"/>
  <c r="O80" i="18" s="1"/>
  <c r="U80" i="18" s="1"/>
  <c r="M82" i="13"/>
  <c r="M75" i="18" s="1"/>
  <c r="N75" i="18" s="1"/>
  <c r="O75" i="18" s="1"/>
  <c r="U75" i="18" s="1"/>
  <c r="M53" i="13"/>
  <c r="M49" i="18" s="1"/>
  <c r="N49" i="18" s="1"/>
  <c r="O49" i="18" s="1"/>
  <c r="U49" i="18" s="1"/>
  <c r="M18" i="13"/>
  <c r="M16" i="18" s="1"/>
  <c r="N16" i="18" s="1"/>
  <c r="O16" i="18" s="1"/>
  <c r="U16" i="18" s="1"/>
  <c r="M247" i="13"/>
  <c r="M224" i="18" s="1"/>
  <c r="N224" i="18" s="1"/>
  <c r="O224" i="18" s="1"/>
  <c r="U224" i="18" s="1"/>
  <c r="M156" i="13"/>
  <c r="M139" i="18" s="1"/>
  <c r="N139" i="18" s="1"/>
  <c r="O139" i="18" s="1"/>
  <c r="U139" i="18" s="1"/>
  <c r="M236" i="13"/>
  <c r="M214" i="18" s="1"/>
  <c r="N214" i="18" s="1"/>
  <c r="O214" i="18" s="1"/>
  <c r="U214" i="18" s="1"/>
  <c r="M371" i="13"/>
  <c r="N371" i="13" s="1"/>
  <c r="O371" i="13" s="1"/>
  <c r="R371" i="13" s="1"/>
  <c r="M20" i="13"/>
  <c r="M18" i="18" s="1"/>
  <c r="N18" i="18" s="1"/>
  <c r="O18" i="18" s="1"/>
  <c r="U18" i="18" s="1"/>
  <c r="M13" i="13"/>
  <c r="M68" i="13"/>
  <c r="M63" i="18" s="1"/>
  <c r="N63" i="18" s="1"/>
  <c r="O63" i="18" s="1"/>
  <c r="U63" i="18" s="1"/>
  <c r="M204" i="13"/>
  <c r="M184" i="18" s="1"/>
  <c r="N184" i="18" s="1"/>
  <c r="O184" i="18" s="1"/>
  <c r="U184" i="18" s="1"/>
  <c r="M270" i="13"/>
  <c r="M245" i="18" s="1"/>
  <c r="N245" i="18" s="1"/>
  <c r="O245" i="18" s="1"/>
  <c r="U245" i="18" s="1"/>
  <c r="M108" i="13"/>
  <c r="M97" i="18" s="1"/>
  <c r="N97" i="18" s="1"/>
  <c r="O97" i="18" s="1"/>
  <c r="U97" i="18" s="1"/>
  <c r="M114" i="13"/>
  <c r="M103" i="18" s="1"/>
  <c r="N103" i="18" s="1"/>
  <c r="O103" i="18" s="1"/>
  <c r="U103" i="18" s="1"/>
  <c r="M134" i="13"/>
  <c r="M120" i="18" s="1"/>
  <c r="N120" i="18" s="1"/>
  <c r="O120" i="18" s="1"/>
  <c r="U120" i="18" s="1"/>
  <c r="M297" i="13"/>
  <c r="M268" i="18" s="1"/>
  <c r="N268" i="18" s="1"/>
  <c r="O268" i="18" s="1"/>
  <c r="U268" i="18" s="1"/>
  <c r="M90" i="13"/>
  <c r="M82" i="18" s="1"/>
  <c r="N82" i="18" s="1"/>
  <c r="O82" i="18" s="1"/>
  <c r="U82" i="18" s="1"/>
  <c r="M185" i="13"/>
  <c r="M165" i="18" s="1"/>
  <c r="N165" i="18" s="1"/>
  <c r="O165" i="18" s="1"/>
  <c r="U165" i="18" s="1"/>
  <c r="M246" i="13"/>
  <c r="M223" i="18" s="1"/>
  <c r="N223" i="18" s="1"/>
  <c r="O223" i="18" s="1"/>
  <c r="U223" i="18" s="1"/>
  <c r="M196" i="13"/>
  <c r="M176" i="18" s="1"/>
  <c r="N176" i="18" s="1"/>
  <c r="O176" i="18" s="1"/>
  <c r="U176" i="18" s="1"/>
  <c r="M268" i="13"/>
  <c r="M243" i="18" s="1"/>
  <c r="N243" i="18" s="1"/>
  <c r="O243" i="18" s="1"/>
  <c r="U243" i="18" s="1"/>
  <c r="M206" i="13"/>
  <c r="M186" i="18" s="1"/>
  <c r="N186" i="18" s="1"/>
  <c r="O186" i="18" s="1"/>
  <c r="U186" i="18" s="1"/>
  <c r="M220" i="13"/>
  <c r="M200" i="18" s="1"/>
  <c r="N200" i="18" s="1"/>
  <c r="O200" i="18" s="1"/>
  <c r="U200" i="18" s="1"/>
  <c r="M238" i="13"/>
  <c r="M216" i="18" s="1"/>
  <c r="N216" i="18" s="1"/>
  <c r="O216" i="18" s="1"/>
  <c r="U216" i="18" s="1"/>
  <c r="M281" i="13"/>
  <c r="M255" i="18" s="1"/>
  <c r="N255" i="18" s="1"/>
  <c r="O255" i="18" s="1"/>
  <c r="U255" i="18" s="1"/>
  <c r="M230" i="13"/>
  <c r="M209" i="18" s="1"/>
  <c r="N209" i="18" s="1"/>
  <c r="O209" i="18" s="1"/>
  <c r="U209" i="18" s="1"/>
  <c r="M290" i="13"/>
  <c r="M262" i="18" s="1"/>
  <c r="N262" i="18" s="1"/>
  <c r="O262" i="18" s="1"/>
  <c r="U262" i="18" s="1"/>
  <c r="M260" i="13"/>
  <c r="M235" i="18" s="1"/>
  <c r="N235" i="18" s="1"/>
  <c r="O235" i="18" s="1"/>
  <c r="U235" i="18" s="1"/>
  <c r="M128" i="13"/>
  <c r="M115" i="18" s="1"/>
  <c r="N115" i="18" s="1"/>
  <c r="O115" i="18" s="1"/>
  <c r="U115" i="18" s="1"/>
  <c r="M64" i="13"/>
  <c r="M59" i="18" s="1"/>
  <c r="N59" i="18" s="1"/>
  <c r="O59" i="18" s="1"/>
  <c r="U59" i="18" s="1"/>
  <c r="M276" i="13"/>
  <c r="M250" i="18" s="1"/>
  <c r="N250" i="18" s="1"/>
  <c r="O250" i="18" s="1"/>
  <c r="U250" i="18" s="1"/>
  <c r="M78" i="13"/>
  <c r="M72" i="18" s="1"/>
  <c r="N72" i="18" s="1"/>
  <c r="O72" i="18" s="1"/>
  <c r="U72" i="18" s="1"/>
  <c r="M122" i="13"/>
  <c r="M109" i="18" s="1"/>
  <c r="N109" i="18" s="1"/>
  <c r="O109" i="18" s="1"/>
  <c r="U109" i="18" s="1"/>
  <c r="M92" i="13"/>
  <c r="M84" i="18" s="1"/>
  <c r="N84" i="18" s="1"/>
  <c r="O84" i="18" s="1"/>
  <c r="U84" i="18" s="1"/>
  <c r="M302" i="13"/>
  <c r="M273" i="18" s="1"/>
  <c r="N273" i="18" s="1"/>
  <c r="O273" i="18" s="1"/>
  <c r="U273" i="18" s="1"/>
  <c r="M150" i="13"/>
  <c r="M134" i="18" s="1"/>
  <c r="N134" i="18" s="1"/>
  <c r="O134" i="18" s="1"/>
  <c r="U134" i="18" s="1"/>
  <c r="M212" i="13"/>
  <c r="M192" i="18" s="1"/>
  <c r="N192" i="18" s="1"/>
  <c r="O192" i="18" s="1"/>
  <c r="U192" i="18" s="1"/>
  <c r="M182" i="13"/>
  <c r="M162" i="18" s="1"/>
  <c r="N162" i="18" s="1"/>
  <c r="O162" i="18" s="1"/>
  <c r="U162" i="18" s="1"/>
  <c r="M75" i="13"/>
  <c r="M70" i="18" s="1"/>
  <c r="N70" i="18" s="1"/>
  <c r="O70" i="18" s="1"/>
  <c r="U70" i="18" s="1"/>
  <c r="M143" i="13"/>
  <c r="M128" i="18" s="1"/>
  <c r="N128" i="18" s="1"/>
  <c r="O128" i="18" s="1"/>
  <c r="U128" i="18" s="1"/>
  <c r="M193" i="13"/>
  <c r="M173" i="18" s="1"/>
  <c r="N173" i="18" s="1"/>
  <c r="O173" i="18" s="1"/>
  <c r="U173" i="18" s="1"/>
  <c r="M46" i="13"/>
  <c r="M43" i="18" s="1"/>
  <c r="N43" i="18" s="1"/>
  <c r="O43" i="18" s="1"/>
  <c r="U43" i="18" s="1"/>
  <c r="M289" i="13"/>
  <c r="M261" i="18" s="1"/>
  <c r="N261" i="18" s="1"/>
  <c r="O261" i="18" s="1"/>
  <c r="U261" i="18" s="1"/>
  <c r="M8" i="13"/>
  <c r="M7" i="18" s="1"/>
  <c r="N7" i="18" s="1"/>
  <c r="O7" i="18" s="1"/>
  <c r="U7" i="18" s="1"/>
  <c r="M215" i="13"/>
  <c r="M195" i="18" s="1"/>
  <c r="N195" i="18" s="1"/>
  <c r="O195" i="18" s="1"/>
  <c r="U195" i="18" s="1"/>
  <c r="M99" i="13"/>
  <c r="M90" i="18" s="1"/>
  <c r="N90" i="18" s="1"/>
  <c r="O90" i="18" s="1"/>
  <c r="U90" i="18" s="1"/>
  <c r="M228" i="13"/>
  <c r="M207" i="18" s="1"/>
  <c r="N207" i="18" s="1"/>
  <c r="O207" i="18" s="1"/>
  <c r="U207" i="18" s="1"/>
  <c r="M42" i="13"/>
  <c r="M40" i="18" s="1"/>
  <c r="N40" i="18" s="1"/>
  <c r="O40" i="18" s="1"/>
  <c r="U40" i="18" s="1"/>
  <c r="M36" i="13"/>
  <c r="M34" i="18" s="1"/>
  <c r="N34" i="18" s="1"/>
  <c r="O34" i="18" s="1"/>
  <c r="U34" i="18" s="1"/>
  <c r="M241" i="13"/>
  <c r="M219" i="18" s="1"/>
  <c r="N219" i="18" s="1"/>
  <c r="O219" i="18" s="1"/>
  <c r="U219" i="18" s="1"/>
  <c r="M261" i="13"/>
  <c r="M236" i="18" s="1"/>
  <c r="N236" i="18" s="1"/>
  <c r="O236" i="18" s="1"/>
  <c r="U236" i="18" s="1"/>
  <c r="M209" i="13"/>
  <c r="M189" i="18" s="1"/>
  <c r="N189" i="18" s="1"/>
  <c r="O189" i="18" s="1"/>
  <c r="U189" i="18" s="1"/>
  <c r="M274" i="13"/>
  <c r="M249" i="18" s="1"/>
  <c r="N249" i="18" s="1"/>
  <c r="O249" i="18" s="1"/>
  <c r="U249" i="18" s="1"/>
  <c r="M24" i="13"/>
  <c r="M22" i="18" s="1"/>
  <c r="N22" i="18" s="1"/>
  <c r="O22" i="18" s="1"/>
  <c r="U22" i="18" s="1"/>
  <c r="M56" i="13"/>
  <c r="M52" i="18" s="1"/>
  <c r="N52" i="18" s="1"/>
  <c r="O52" i="18" s="1"/>
  <c r="U52" i="18" s="1"/>
  <c r="M7" i="13"/>
  <c r="M6" i="18" s="1"/>
  <c r="N6" i="18" s="1"/>
  <c r="O6" i="18" s="1"/>
  <c r="U6" i="18" s="1"/>
  <c r="M12" i="13"/>
  <c r="M11" i="18" s="1"/>
  <c r="N11" i="18" s="1"/>
  <c r="O11" i="18" s="1"/>
  <c r="U11" i="18" s="1"/>
  <c r="M116" i="13"/>
  <c r="M105" i="18" s="1"/>
  <c r="N105" i="18" s="1"/>
  <c r="O105" i="18" s="1"/>
  <c r="U105" i="18" s="1"/>
  <c r="M31" i="13"/>
  <c r="M29" i="18" s="1"/>
  <c r="N29" i="18" s="1"/>
  <c r="O29" i="18" s="1"/>
  <c r="U29" i="18" s="1"/>
  <c r="M49" i="13"/>
  <c r="M46" i="18" s="1"/>
  <c r="N46" i="18" s="1"/>
  <c r="O46" i="18" s="1"/>
  <c r="U46" i="18" s="1"/>
  <c r="M9" i="13"/>
  <c r="M8" i="18" s="1"/>
  <c r="N8" i="18" s="1"/>
  <c r="O8" i="18" s="1"/>
  <c r="U8" i="18" s="1"/>
  <c r="M62" i="13"/>
  <c r="M57" i="18" s="1"/>
  <c r="N57" i="18" s="1"/>
  <c r="O57" i="18" s="1"/>
  <c r="U57" i="18" s="1"/>
  <c r="M110" i="13"/>
  <c r="M99" i="18" s="1"/>
  <c r="N99" i="18" s="1"/>
  <c r="O99" i="18" s="1"/>
  <c r="U99" i="18" s="1"/>
  <c r="M168" i="13"/>
  <c r="M149" i="18" s="1"/>
  <c r="N149" i="18" s="1"/>
  <c r="O149" i="18" s="1"/>
  <c r="U149" i="18" s="1"/>
  <c r="M113" i="13"/>
  <c r="M102" i="18" s="1"/>
  <c r="N102" i="18" s="1"/>
  <c r="O102" i="18" s="1"/>
  <c r="U102" i="18" s="1"/>
  <c r="M80" i="13"/>
  <c r="M74" i="18" s="1"/>
  <c r="N74" i="18" s="1"/>
  <c r="O74" i="18" s="1"/>
  <c r="U74" i="18" s="1"/>
  <c r="M189" i="13"/>
  <c r="M169" i="18" s="1"/>
  <c r="N169" i="18" s="1"/>
  <c r="O169" i="18" s="1"/>
  <c r="U169" i="18" s="1"/>
  <c r="M208" i="13"/>
  <c r="M188" i="18" s="1"/>
  <c r="N188" i="18" s="1"/>
  <c r="O188" i="18" s="1"/>
  <c r="U188" i="18" s="1"/>
  <c r="M226" i="13"/>
  <c r="M205" i="18" s="1"/>
  <c r="N205" i="18" s="1"/>
  <c r="O205" i="18" s="1"/>
  <c r="U205" i="18" s="1"/>
  <c r="M177" i="13"/>
  <c r="M158" i="18" s="1"/>
  <c r="N158" i="18" s="1"/>
  <c r="O158" i="18" s="1"/>
  <c r="U158" i="18" s="1"/>
  <c r="M135" i="13"/>
  <c r="M121" i="18" s="1"/>
  <c r="N121" i="18" s="1"/>
  <c r="O121" i="18" s="1"/>
  <c r="U121" i="18" s="1"/>
  <c r="M304" i="13"/>
  <c r="M275" i="18" s="1"/>
  <c r="N275" i="18" s="1"/>
  <c r="O275" i="18" s="1"/>
  <c r="U275" i="18" s="1"/>
  <c r="M23" i="13"/>
  <c r="M21" i="18" s="1"/>
  <c r="N21" i="18" s="1"/>
  <c r="O21" i="18" s="1"/>
  <c r="U21" i="18" s="1"/>
  <c r="M172" i="13"/>
  <c r="M153" i="18" s="1"/>
  <c r="N153" i="18" s="1"/>
  <c r="O153" i="18" s="1"/>
  <c r="U153" i="18" s="1"/>
  <c r="M91" i="13"/>
  <c r="M83" i="18" s="1"/>
  <c r="N83" i="18" s="1"/>
  <c r="O83" i="18" s="1"/>
  <c r="U83" i="18" s="1"/>
  <c r="M269" i="13"/>
  <c r="M244" i="18" s="1"/>
  <c r="N244" i="18" s="1"/>
  <c r="O244" i="18" s="1"/>
  <c r="U244" i="18" s="1"/>
  <c r="M217" i="13"/>
  <c r="M197" i="18" s="1"/>
  <c r="N197" i="18" s="1"/>
  <c r="O197" i="18" s="1"/>
  <c r="U197" i="18" s="1"/>
  <c r="M243" i="13"/>
  <c r="M221" i="18" s="1"/>
  <c r="N221" i="18" s="1"/>
  <c r="O221" i="18" s="1"/>
  <c r="U221" i="18" s="1"/>
  <c r="M264" i="13"/>
  <c r="M239" i="18" s="1"/>
  <c r="N239" i="18" s="1"/>
  <c r="O239" i="18" s="1"/>
  <c r="U239" i="18" s="1"/>
  <c r="M224" i="13"/>
  <c r="M203" i="18" s="1"/>
  <c r="N203" i="18" s="1"/>
  <c r="O203" i="18" s="1"/>
  <c r="U203" i="18" s="1"/>
  <c r="M205" i="13"/>
  <c r="M185" i="18" s="1"/>
  <c r="N185" i="18" s="1"/>
  <c r="O185" i="18" s="1"/>
  <c r="U185" i="18" s="1"/>
  <c r="M169" i="13"/>
  <c r="M150" i="18" s="1"/>
  <c r="N150" i="18" s="1"/>
  <c r="O150" i="18" s="1"/>
  <c r="U150" i="18" s="1"/>
  <c r="M157" i="13"/>
  <c r="M140" i="18" s="1"/>
  <c r="N140" i="18" s="1"/>
  <c r="O140" i="18" s="1"/>
  <c r="U140" i="18" s="1"/>
  <c r="M222" i="13"/>
  <c r="M202" i="18" s="1"/>
  <c r="N202" i="18" s="1"/>
  <c r="O202" i="18" s="1"/>
  <c r="U202" i="18" s="1"/>
  <c r="K384" i="13"/>
  <c r="M309" i="13"/>
  <c r="N309" i="13" s="1"/>
  <c r="O309" i="13" s="1"/>
  <c r="R309" i="13" s="1"/>
  <c r="M310" i="13"/>
  <c r="N310" i="13" s="1"/>
  <c r="O310" i="13" s="1"/>
  <c r="R310" i="13" s="1"/>
  <c r="M359" i="13"/>
  <c r="N359" i="13" s="1"/>
  <c r="M356" i="13"/>
  <c r="N356" i="13" s="1"/>
  <c r="M351" i="13"/>
  <c r="N351" i="13" s="1"/>
  <c r="O351" i="13" s="1"/>
  <c r="R351" i="13" s="1"/>
  <c r="M358" i="13"/>
  <c r="N358" i="13" s="1"/>
  <c r="M353" i="13"/>
  <c r="N353" i="13" s="1"/>
  <c r="M360" i="13"/>
  <c r="N360" i="13" s="1"/>
  <c r="M355" i="13"/>
  <c r="N355" i="13" s="1"/>
  <c r="M352" i="13"/>
  <c r="N352" i="13" s="1"/>
  <c r="M357" i="13"/>
  <c r="N357" i="13" s="1"/>
  <c r="M331" i="13"/>
  <c r="N331" i="13" s="1"/>
  <c r="M317" i="13"/>
  <c r="N317" i="13" s="1"/>
  <c r="M313" i="13"/>
  <c r="N313" i="13" s="1"/>
  <c r="M344" i="13"/>
  <c r="N344" i="13" s="1"/>
  <c r="O344" i="13" s="1"/>
  <c r="R344" i="13" s="1"/>
  <c r="M338" i="13"/>
  <c r="N338" i="13" s="1"/>
  <c r="M336" i="13"/>
  <c r="N336" i="13" s="1"/>
  <c r="O336" i="13" s="1"/>
  <c r="R336" i="13" s="1"/>
  <c r="M335" i="13"/>
  <c r="N335" i="13" s="1"/>
  <c r="M337" i="13"/>
  <c r="N337" i="13" s="1"/>
  <c r="M326" i="13"/>
  <c r="N326" i="13" s="1"/>
  <c r="M322" i="13"/>
  <c r="N322" i="13" s="1"/>
  <c r="M354" i="13"/>
  <c r="N354" i="13" s="1"/>
  <c r="M334" i="13"/>
  <c r="N334" i="13" s="1"/>
  <c r="M316" i="13"/>
  <c r="N316" i="13" s="1"/>
  <c r="M312" i="13"/>
  <c r="N312" i="13" s="1"/>
  <c r="O312" i="13" s="1"/>
  <c r="R312" i="13" s="1"/>
  <c r="M329" i="13"/>
  <c r="N329" i="13" s="1"/>
  <c r="M330" i="13"/>
  <c r="N330" i="13" s="1"/>
  <c r="M318" i="13"/>
  <c r="N318" i="13" s="1"/>
  <c r="M333" i="13"/>
  <c r="N333" i="13" s="1"/>
  <c r="O333" i="13" s="1"/>
  <c r="R333" i="13" s="1"/>
  <c r="M342" i="13"/>
  <c r="N342" i="13" s="1"/>
  <c r="M323" i="13"/>
  <c r="N323" i="13" s="1"/>
  <c r="M314" i="13"/>
  <c r="N314" i="13" s="1"/>
  <c r="M343" i="13"/>
  <c r="N343" i="13" s="1"/>
  <c r="M328" i="13"/>
  <c r="N328" i="13" s="1"/>
  <c r="M315" i="13"/>
  <c r="N315" i="13" s="1"/>
  <c r="O315" i="13" s="1"/>
  <c r="R315" i="13" s="1"/>
  <c r="M332" i="13"/>
  <c r="N332" i="13" s="1"/>
  <c r="M340" i="13"/>
  <c r="N340" i="13" s="1"/>
  <c r="M327" i="13"/>
  <c r="N327" i="13" s="1"/>
  <c r="M347" i="13"/>
  <c r="N347" i="13" s="1"/>
  <c r="M361" i="13"/>
  <c r="N361" i="13" s="1"/>
  <c r="O361" i="13" s="1"/>
  <c r="R361" i="13" s="1"/>
  <c r="M339" i="13"/>
  <c r="N339" i="13" s="1"/>
  <c r="O339" i="13" s="1"/>
  <c r="R339" i="13" s="1"/>
  <c r="M325" i="13"/>
  <c r="N325" i="13" s="1"/>
  <c r="M324" i="13"/>
  <c r="N324" i="13" s="1"/>
  <c r="M346" i="13"/>
  <c r="N346" i="13" s="1"/>
  <c r="M319" i="13"/>
  <c r="N319" i="13" s="1"/>
  <c r="M348" i="13"/>
  <c r="N348" i="13" s="1"/>
  <c r="M349" i="13"/>
  <c r="N349" i="13" s="1"/>
  <c r="M341" i="13"/>
  <c r="N341" i="13" s="1"/>
  <c r="M321" i="13"/>
  <c r="N321" i="13" s="1"/>
  <c r="M350" i="13"/>
  <c r="N350" i="13" s="1"/>
  <c r="M345" i="13"/>
  <c r="N345" i="13" s="1"/>
  <c r="M320" i="13"/>
  <c r="N320" i="13" s="1"/>
  <c r="I292" i="1"/>
  <c r="I357" i="1"/>
  <c r="I345" i="1"/>
  <c r="K364" i="1"/>
  <c r="H6" i="1"/>
  <c r="H7" i="1"/>
  <c r="H9" i="1"/>
  <c r="H19" i="1"/>
  <c r="H26" i="1"/>
  <c r="H27" i="1"/>
  <c r="H86" i="1"/>
  <c r="H87" i="1"/>
  <c r="H88" i="1"/>
  <c r="H89" i="1"/>
  <c r="H90" i="1"/>
  <c r="H91" i="1"/>
  <c r="H92" i="1"/>
  <c r="H93" i="1"/>
  <c r="H94" i="1"/>
  <c r="H95" i="1"/>
  <c r="H104" i="1"/>
  <c r="H111" i="1"/>
  <c r="H112" i="1"/>
  <c r="H113" i="1"/>
  <c r="H116" i="1"/>
  <c r="H281" i="1"/>
  <c r="H282" i="1"/>
  <c r="H5" i="1"/>
  <c r="G6" i="1"/>
  <c r="J6" i="1" s="1"/>
  <c r="G7" i="1"/>
  <c r="J7" i="1" s="1"/>
  <c r="G9" i="1"/>
  <c r="J9" i="1" s="1"/>
  <c r="G19" i="1"/>
  <c r="J19" i="1" s="1"/>
  <c r="G26" i="1"/>
  <c r="J26" i="1" s="1"/>
  <c r="G27" i="1"/>
  <c r="J27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104" i="1"/>
  <c r="J104" i="1" s="1"/>
  <c r="G111" i="1"/>
  <c r="J111" i="1" s="1"/>
  <c r="G112" i="1"/>
  <c r="J112" i="1" s="1"/>
  <c r="G113" i="1"/>
  <c r="J113" i="1" s="1"/>
  <c r="G116" i="1"/>
  <c r="J116" i="1" s="1"/>
  <c r="G281" i="1"/>
  <c r="J281" i="1" s="1"/>
  <c r="G282" i="1"/>
  <c r="J282" i="1" s="1"/>
  <c r="G293" i="1"/>
  <c r="G345" i="1"/>
  <c r="H355" i="1"/>
  <c r="G353" i="1"/>
  <c r="G352" i="1"/>
  <c r="G351" i="1"/>
  <c r="G350" i="1"/>
  <c r="H349" i="1"/>
  <c r="H348" i="1"/>
  <c r="H346" i="1"/>
  <c r="U5" i="18" l="1"/>
  <c r="O277" i="18"/>
  <c r="K184" i="13"/>
  <c r="L184" i="13" s="1"/>
  <c r="K168" i="13"/>
  <c r="L168" i="13" s="1"/>
  <c r="K153" i="13"/>
  <c r="L153" i="13" s="1"/>
  <c r="K222" i="13"/>
  <c r="L222" i="13" s="1"/>
  <c r="N222" i="13" s="1"/>
  <c r="O222" i="13" s="1"/>
  <c r="R222" i="13" s="1"/>
  <c r="K73" i="13"/>
  <c r="L73" i="13" s="1"/>
  <c r="N73" i="13" s="1"/>
  <c r="O73" i="13" s="1"/>
  <c r="R73" i="13" s="1"/>
  <c r="K112" i="13"/>
  <c r="L112" i="13" s="1"/>
  <c r="N112" i="13" s="1"/>
  <c r="O112" i="13" s="1"/>
  <c r="R112" i="13" s="1"/>
  <c r="K18" i="13"/>
  <c r="L18" i="13" s="1"/>
  <c r="N18" i="13" s="1"/>
  <c r="O18" i="13" s="1"/>
  <c r="R18" i="13" s="1"/>
  <c r="K212" i="13"/>
  <c r="L212" i="13" s="1"/>
  <c r="N212" i="13" s="1"/>
  <c r="O212" i="13" s="1"/>
  <c r="R212" i="13" s="1"/>
  <c r="K131" i="13"/>
  <c r="L131" i="13" s="1"/>
  <c r="N131" i="13" s="1"/>
  <c r="O131" i="13" s="1"/>
  <c r="R131" i="13" s="1"/>
  <c r="K239" i="13"/>
  <c r="L239" i="13" s="1"/>
  <c r="N239" i="13" s="1"/>
  <c r="O239" i="13" s="1"/>
  <c r="R239" i="13" s="1"/>
  <c r="K46" i="13"/>
  <c r="L46" i="13" s="1"/>
  <c r="N46" i="13" s="1"/>
  <c r="O46" i="13" s="1"/>
  <c r="R46" i="13" s="1"/>
  <c r="K11" i="13"/>
  <c r="L11" i="13" s="1"/>
  <c r="N11" i="13" s="1"/>
  <c r="O11" i="13" s="1"/>
  <c r="R11" i="13" s="1"/>
  <c r="K48" i="13"/>
  <c r="L48" i="13" s="1"/>
  <c r="N48" i="13" s="1"/>
  <c r="O48" i="13" s="1"/>
  <c r="R48" i="13" s="1"/>
  <c r="K130" i="13"/>
  <c r="L130" i="13" s="1"/>
  <c r="N130" i="13" s="1"/>
  <c r="O130" i="13" s="1"/>
  <c r="R130" i="13" s="1"/>
  <c r="K144" i="13"/>
  <c r="L144" i="13" s="1"/>
  <c r="N144" i="13" s="1"/>
  <c r="O144" i="13" s="1"/>
  <c r="R144" i="13" s="1"/>
  <c r="K284" i="13"/>
  <c r="L284" i="13" s="1"/>
  <c r="N284" i="13" s="1"/>
  <c r="O284" i="13" s="1"/>
  <c r="R284" i="13" s="1"/>
  <c r="K151" i="13"/>
  <c r="L151" i="13" s="1"/>
  <c r="N151" i="13" s="1"/>
  <c r="O151" i="13" s="1"/>
  <c r="R151" i="13" s="1"/>
  <c r="K298" i="13"/>
  <c r="L298" i="13" s="1"/>
  <c r="N298" i="13" s="1"/>
  <c r="O298" i="13" s="1"/>
  <c r="R298" i="13" s="1"/>
  <c r="K111" i="13"/>
  <c r="L111" i="13" s="1"/>
  <c r="N111" i="13" s="1"/>
  <c r="O111" i="13" s="1"/>
  <c r="R111" i="13" s="1"/>
  <c r="K83" i="13"/>
  <c r="L83" i="13" s="1"/>
  <c r="N83" i="13" s="1"/>
  <c r="O83" i="13" s="1"/>
  <c r="R83" i="13" s="1"/>
  <c r="K214" i="13"/>
  <c r="L214" i="13" s="1"/>
  <c r="N214" i="13" s="1"/>
  <c r="O214" i="13" s="1"/>
  <c r="R214" i="13" s="1"/>
  <c r="K109" i="13"/>
  <c r="L109" i="13" s="1"/>
  <c r="N109" i="13" s="1"/>
  <c r="O109" i="13" s="1"/>
  <c r="R109" i="13" s="1"/>
  <c r="K297" i="13"/>
  <c r="L297" i="13" s="1"/>
  <c r="N297" i="13" s="1"/>
  <c r="O297" i="13" s="1"/>
  <c r="R297" i="13" s="1"/>
  <c r="K86" i="13"/>
  <c r="L86" i="13" s="1"/>
  <c r="N86" i="13" s="1"/>
  <c r="O86" i="13" s="1"/>
  <c r="K206" i="13"/>
  <c r="L206" i="13" s="1"/>
  <c r="N206" i="13" s="1"/>
  <c r="O206" i="13" s="1"/>
  <c r="R206" i="13" s="1"/>
  <c r="K245" i="13"/>
  <c r="L245" i="13" s="1"/>
  <c r="N245" i="13" s="1"/>
  <c r="O245" i="13" s="1"/>
  <c r="K175" i="13"/>
  <c r="L175" i="13" s="1"/>
  <c r="N175" i="13" s="1"/>
  <c r="O175" i="13" s="1"/>
  <c r="R175" i="13" s="1"/>
  <c r="K235" i="13"/>
  <c r="L235" i="13" s="1"/>
  <c r="N235" i="13" s="1"/>
  <c r="O235" i="13" s="1"/>
  <c r="R235" i="13" s="1"/>
  <c r="K25" i="13"/>
  <c r="L25" i="13" s="1"/>
  <c r="N25" i="13" s="1"/>
  <c r="O25" i="13" s="1"/>
  <c r="R25" i="13" s="1"/>
  <c r="K146" i="13"/>
  <c r="L146" i="13" s="1"/>
  <c r="N146" i="13" s="1"/>
  <c r="O146" i="13" s="1"/>
  <c r="R146" i="13" s="1"/>
  <c r="K207" i="13"/>
  <c r="L207" i="13" s="1"/>
  <c r="N207" i="13" s="1"/>
  <c r="O207" i="13" s="1"/>
  <c r="R207" i="13" s="1"/>
  <c r="K188" i="13"/>
  <c r="L188" i="13" s="1"/>
  <c r="N188" i="13" s="1"/>
  <c r="O188" i="13" s="1"/>
  <c r="R188" i="13" s="1"/>
  <c r="K211" i="13"/>
  <c r="L211" i="13" s="1"/>
  <c r="N211" i="13" s="1"/>
  <c r="O211" i="13" s="1"/>
  <c r="R211" i="13" s="1"/>
  <c r="K196" i="13"/>
  <c r="L196" i="13" s="1"/>
  <c r="N196" i="13" s="1"/>
  <c r="O196" i="13" s="1"/>
  <c r="R196" i="13" s="1"/>
  <c r="K236" i="13"/>
  <c r="L236" i="13" s="1"/>
  <c r="N236" i="13" s="1"/>
  <c r="O236" i="13" s="1"/>
  <c r="R236" i="13" s="1"/>
  <c r="K265" i="13"/>
  <c r="L265" i="13" s="1"/>
  <c r="N265" i="13" s="1"/>
  <c r="O265" i="13" s="1"/>
  <c r="R265" i="13" s="1"/>
  <c r="K145" i="13"/>
  <c r="L145" i="13" s="1"/>
  <c r="N145" i="13" s="1"/>
  <c r="O145" i="13" s="1"/>
  <c r="R145" i="13" s="1"/>
  <c r="K229" i="13"/>
  <c r="L229" i="13" s="1"/>
  <c r="N229" i="13" s="1"/>
  <c r="O229" i="13" s="1"/>
  <c r="R229" i="13" s="1"/>
  <c r="K26" i="13"/>
  <c r="L26" i="13" s="1"/>
  <c r="N26" i="13" s="1"/>
  <c r="O26" i="13" s="1"/>
  <c r="R26" i="13" s="1"/>
  <c r="K101" i="13"/>
  <c r="L101" i="13" s="1"/>
  <c r="N101" i="13" s="1"/>
  <c r="O101" i="13" s="1"/>
  <c r="R101" i="13" s="1"/>
  <c r="K250" i="13"/>
  <c r="L250" i="13" s="1"/>
  <c r="N250" i="13" s="1"/>
  <c r="O250" i="13" s="1"/>
  <c r="K208" i="13"/>
  <c r="L208" i="13" s="1"/>
  <c r="N208" i="13" s="1"/>
  <c r="O208" i="13" s="1"/>
  <c r="R208" i="13" s="1"/>
  <c r="K104" i="13"/>
  <c r="L104" i="13" s="1"/>
  <c r="N104" i="13" s="1"/>
  <c r="O104" i="13" s="1"/>
  <c r="K54" i="13"/>
  <c r="L54" i="13" s="1"/>
  <c r="N54" i="13" s="1"/>
  <c r="O54" i="13" s="1"/>
  <c r="R54" i="13" s="1"/>
  <c r="K108" i="13"/>
  <c r="L108" i="13" s="1"/>
  <c r="N108" i="13" s="1"/>
  <c r="O108" i="13" s="1"/>
  <c r="K234" i="13"/>
  <c r="L234" i="13" s="1"/>
  <c r="N234" i="13" s="1"/>
  <c r="O234" i="13" s="1"/>
  <c r="R234" i="13" s="1"/>
  <c r="K116" i="13"/>
  <c r="L116" i="13" s="1"/>
  <c r="N116" i="13" s="1"/>
  <c r="O116" i="13" s="1"/>
  <c r="R116" i="13" s="1"/>
  <c r="K259" i="13"/>
  <c r="L259" i="13" s="1"/>
  <c r="N259" i="13" s="1"/>
  <c r="O259" i="13" s="1"/>
  <c r="R259" i="13" s="1"/>
  <c r="K197" i="13"/>
  <c r="L197" i="13" s="1"/>
  <c r="N197" i="13" s="1"/>
  <c r="O197" i="13" s="1"/>
  <c r="R197" i="13" s="1"/>
  <c r="K194" i="13"/>
  <c r="L194" i="13" s="1"/>
  <c r="N194" i="13" s="1"/>
  <c r="O194" i="13" s="1"/>
  <c r="R194" i="13" s="1"/>
  <c r="K270" i="13"/>
  <c r="L270" i="13" s="1"/>
  <c r="N270" i="13" s="1"/>
  <c r="O270" i="13" s="1"/>
  <c r="R270" i="13" s="1"/>
  <c r="K238" i="13"/>
  <c r="L238" i="13" s="1"/>
  <c r="N238" i="13" s="1"/>
  <c r="O238" i="13" s="1"/>
  <c r="R238" i="13" s="1"/>
  <c r="K189" i="13"/>
  <c r="L189" i="13" s="1"/>
  <c r="N189" i="13" s="1"/>
  <c r="O189" i="13" s="1"/>
  <c r="R189" i="13" s="1"/>
  <c r="K66" i="13"/>
  <c r="L66" i="13" s="1"/>
  <c r="N66" i="13" s="1"/>
  <c r="O66" i="13" s="1"/>
  <c r="R66" i="13" s="1"/>
  <c r="K286" i="13"/>
  <c r="L286" i="13" s="1"/>
  <c r="N286" i="13" s="1"/>
  <c r="O286" i="13" s="1"/>
  <c r="R286" i="13" s="1"/>
  <c r="K281" i="13"/>
  <c r="L281" i="13" s="1"/>
  <c r="N281" i="13" s="1"/>
  <c r="O281" i="13" s="1"/>
  <c r="R281" i="13" s="1"/>
  <c r="K264" i="13"/>
  <c r="L264" i="13" s="1"/>
  <c r="N264" i="13" s="1"/>
  <c r="O264" i="13" s="1"/>
  <c r="R264" i="13" s="1"/>
  <c r="K209" i="13"/>
  <c r="L209" i="13" s="1"/>
  <c r="N209" i="13" s="1"/>
  <c r="O209" i="13" s="1"/>
  <c r="R209" i="13" s="1"/>
  <c r="K70" i="13"/>
  <c r="L70" i="13" s="1"/>
  <c r="N70" i="13" s="1"/>
  <c r="O70" i="13" s="1"/>
  <c r="R70" i="13" s="1"/>
  <c r="K44" i="13"/>
  <c r="L44" i="13" s="1"/>
  <c r="N44" i="13" s="1"/>
  <c r="O44" i="13" s="1"/>
  <c r="K134" i="13"/>
  <c r="L134" i="13" s="1"/>
  <c r="N134" i="13" s="1"/>
  <c r="O134" i="13" s="1"/>
  <c r="K34" i="13"/>
  <c r="L34" i="13" s="1"/>
  <c r="N34" i="13" s="1"/>
  <c r="O34" i="13" s="1"/>
  <c r="R34" i="13" s="1"/>
  <c r="K33" i="13"/>
  <c r="L33" i="13" s="1"/>
  <c r="N33" i="13" s="1"/>
  <c r="O33" i="13" s="1"/>
  <c r="R33" i="13" s="1"/>
  <c r="K13" i="13"/>
  <c r="L13" i="13" s="1"/>
  <c r="N13" i="13" s="1"/>
  <c r="O13" i="13" s="1"/>
  <c r="R13" i="13" s="1"/>
  <c r="K291" i="13"/>
  <c r="L291" i="13" s="1"/>
  <c r="N291" i="13" s="1"/>
  <c r="O291" i="13" s="1"/>
  <c r="R291" i="13" s="1"/>
  <c r="K129" i="13"/>
  <c r="L129" i="13" s="1"/>
  <c r="N129" i="13" s="1"/>
  <c r="O129" i="13" s="1"/>
  <c r="R129" i="13" s="1"/>
  <c r="K285" i="13"/>
  <c r="L285" i="13" s="1"/>
  <c r="N285" i="13" s="1"/>
  <c r="O285" i="13" s="1"/>
  <c r="R285" i="13" s="1"/>
  <c r="K60" i="13"/>
  <c r="L60" i="13" s="1"/>
  <c r="N60" i="13" s="1"/>
  <c r="O60" i="13" s="1"/>
  <c r="R60" i="13" s="1"/>
  <c r="K10" i="13"/>
  <c r="L10" i="13" s="1"/>
  <c r="N10" i="13" s="1"/>
  <c r="O10" i="13" s="1"/>
  <c r="R10" i="13" s="1"/>
  <c r="K166" i="13"/>
  <c r="L166" i="13" s="1"/>
  <c r="N166" i="13" s="1"/>
  <c r="O166" i="13" s="1"/>
  <c r="R166" i="13" s="1"/>
  <c r="K280" i="13"/>
  <c r="L280" i="13" s="1"/>
  <c r="N280" i="13" s="1"/>
  <c r="O280" i="13" s="1"/>
  <c r="R280" i="13" s="1"/>
  <c r="K205" i="13"/>
  <c r="L205" i="13" s="1"/>
  <c r="N205" i="13" s="1"/>
  <c r="O205" i="13" s="1"/>
  <c r="R205" i="13" s="1"/>
  <c r="K240" i="13"/>
  <c r="L240" i="13" s="1"/>
  <c r="N240" i="13" s="1"/>
  <c r="O240" i="13" s="1"/>
  <c r="R240" i="13" s="1"/>
  <c r="K149" i="13"/>
  <c r="L149" i="13" s="1"/>
  <c r="N149" i="13" s="1"/>
  <c r="O149" i="13" s="1"/>
  <c r="K299" i="13"/>
  <c r="L299" i="13" s="1"/>
  <c r="N299" i="13" s="1"/>
  <c r="O299" i="13" s="1"/>
  <c r="R299" i="13" s="1"/>
  <c r="K304" i="13"/>
  <c r="L304" i="13" s="1"/>
  <c r="N304" i="13" s="1"/>
  <c r="O304" i="13" s="1"/>
  <c r="R304" i="13" s="1"/>
  <c r="K251" i="13"/>
  <c r="L251" i="13" s="1"/>
  <c r="N251" i="13" s="1"/>
  <c r="O251" i="13" s="1"/>
  <c r="R251" i="13" s="1"/>
  <c r="K199" i="13"/>
  <c r="L199" i="13" s="1"/>
  <c r="N199" i="13" s="1"/>
  <c r="O199" i="13" s="1"/>
  <c r="R199" i="13" s="1"/>
  <c r="K269" i="13"/>
  <c r="L269" i="13" s="1"/>
  <c r="N269" i="13" s="1"/>
  <c r="O269" i="13" s="1"/>
  <c r="R269" i="13" s="1"/>
  <c r="K36" i="13"/>
  <c r="L36" i="13" s="1"/>
  <c r="N36" i="13" s="1"/>
  <c r="O36" i="13" s="1"/>
  <c r="R36" i="13" s="1"/>
  <c r="K213" i="13"/>
  <c r="L213" i="13" s="1"/>
  <c r="N213" i="13" s="1"/>
  <c r="O213" i="13" s="1"/>
  <c r="R213" i="13" s="1"/>
  <c r="K252" i="13"/>
  <c r="L252" i="13" s="1"/>
  <c r="N252" i="13" s="1"/>
  <c r="O252" i="13" s="1"/>
  <c r="R252" i="13" s="1"/>
  <c r="K74" i="13"/>
  <c r="L74" i="13" s="1"/>
  <c r="N74" i="13" s="1"/>
  <c r="O74" i="13" s="1"/>
  <c r="R74" i="13" s="1"/>
  <c r="K52" i="13"/>
  <c r="L52" i="13" s="1"/>
  <c r="N52" i="13" s="1"/>
  <c r="O52" i="13" s="1"/>
  <c r="R52" i="13" s="1"/>
  <c r="K87" i="13"/>
  <c r="L87" i="13" s="1"/>
  <c r="N87" i="13" s="1"/>
  <c r="O87" i="13" s="1"/>
  <c r="R87" i="13" s="1"/>
  <c r="K58" i="13"/>
  <c r="L58" i="13" s="1"/>
  <c r="N58" i="13" s="1"/>
  <c r="O58" i="13" s="1"/>
  <c r="K128" i="13"/>
  <c r="L128" i="13" s="1"/>
  <c r="N128" i="13" s="1"/>
  <c r="O128" i="13" s="1"/>
  <c r="R128" i="13" s="1"/>
  <c r="K20" i="13"/>
  <c r="L20" i="13" s="1"/>
  <c r="N20" i="13" s="1"/>
  <c r="O20" i="13" s="1"/>
  <c r="R20" i="13" s="1"/>
  <c r="K126" i="13"/>
  <c r="L126" i="13" s="1"/>
  <c r="N126" i="13" s="1"/>
  <c r="O126" i="13" s="1"/>
  <c r="R126" i="13" s="1"/>
  <c r="K106" i="13"/>
  <c r="L106" i="13" s="1"/>
  <c r="N106" i="13" s="1"/>
  <c r="O106" i="13" s="1"/>
  <c r="R106" i="13" s="1"/>
  <c r="K257" i="13"/>
  <c r="L257" i="13" s="1"/>
  <c r="N257" i="13" s="1"/>
  <c r="O257" i="13" s="1"/>
  <c r="K165" i="13"/>
  <c r="L165" i="13" s="1"/>
  <c r="N165" i="13" s="1"/>
  <c r="O165" i="13" s="1"/>
  <c r="R165" i="13" s="1"/>
  <c r="K98" i="13"/>
  <c r="L98" i="13" s="1"/>
  <c r="N98" i="13" s="1"/>
  <c r="O98" i="13" s="1"/>
  <c r="R98" i="13" s="1"/>
  <c r="K82" i="13"/>
  <c r="L82" i="13" s="1"/>
  <c r="N82" i="13" s="1"/>
  <c r="O82" i="13" s="1"/>
  <c r="K248" i="13"/>
  <c r="L248" i="13" s="1"/>
  <c r="N248" i="13" s="1"/>
  <c r="O248" i="13" s="1"/>
  <c r="R248" i="13" s="1"/>
  <c r="K254" i="13"/>
  <c r="L254" i="13" s="1"/>
  <c r="N254" i="13" s="1"/>
  <c r="O254" i="13" s="1"/>
  <c r="R254" i="13" s="1"/>
  <c r="J377" i="13"/>
  <c r="J379" i="13" s="1"/>
  <c r="K260" i="13"/>
  <c r="L260" i="13" s="1"/>
  <c r="N260" i="13" s="1"/>
  <c r="O260" i="13" s="1"/>
  <c r="R260" i="13" s="1"/>
  <c r="K31" i="13"/>
  <c r="L31" i="13" s="1"/>
  <c r="N31" i="13" s="1"/>
  <c r="O31" i="13" s="1"/>
  <c r="R31" i="13" s="1"/>
  <c r="K39" i="13"/>
  <c r="L39" i="13" s="1"/>
  <c r="N39" i="13" s="1"/>
  <c r="O39" i="13" s="1"/>
  <c r="R39" i="13" s="1"/>
  <c r="K255" i="13"/>
  <c r="L255" i="13" s="1"/>
  <c r="N255" i="13" s="1"/>
  <c r="O255" i="13" s="1"/>
  <c r="R255" i="13" s="1"/>
  <c r="K271" i="13"/>
  <c r="L271" i="13" s="1"/>
  <c r="N271" i="13" s="1"/>
  <c r="O271" i="13" s="1"/>
  <c r="R271" i="13" s="1"/>
  <c r="K158" i="13"/>
  <c r="L158" i="13" s="1"/>
  <c r="N158" i="13" s="1"/>
  <c r="O158" i="13" s="1"/>
  <c r="R158" i="13" s="1"/>
  <c r="K241" i="13"/>
  <c r="L241" i="13" s="1"/>
  <c r="N241" i="13" s="1"/>
  <c r="O241" i="13" s="1"/>
  <c r="R241" i="13" s="1"/>
  <c r="K293" i="13"/>
  <c r="L293" i="13" s="1"/>
  <c r="N293" i="13" s="1"/>
  <c r="O293" i="13" s="1"/>
  <c r="R293" i="13" s="1"/>
  <c r="K150" i="13"/>
  <c r="L150" i="13" s="1"/>
  <c r="N150" i="13" s="1"/>
  <c r="O150" i="13" s="1"/>
  <c r="R150" i="13" s="1"/>
  <c r="K182" i="13"/>
  <c r="L182" i="13" s="1"/>
  <c r="N182" i="13" s="1"/>
  <c r="O182" i="13" s="1"/>
  <c r="R182" i="13" s="1"/>
  <c r="K41" i="13"/>
  <c r="L41" i="13" s="1"/>
  <c r="N41" i="13" s="1"/>
  <c r="O41" i="13" s="1"/>
  <c r="R41" i="13" s="1"/>
  <c r="K227" i="13"/>
  <c r="L227" i="13" s="1"/>
  <c r="N227" i="13" s="1"/>
  <c r="O227" i="13" s="1"/>
  <c r="R227" i="13" s="1"/>
  <c r="K141" i="13"/>
  <c r="L141" i="13" s="1"/>
  <c r="N141" i="13" s="1"/>
  <c r="O141" i="13" s="1"/>
  <c r="R141" i="13" s="1"/>
  <c r="K5" i="13"/>
  <c r="L5" i="13" s="1"/>
  <c r="N5" i="13" s="1"/>
  <c r="O5" i="13" s="1"/>
  <c r="R5" i="13" s="1"/>
  <c r="K24" i="13"/>
  <c r="L24" i="13" s="1"/>
  <c r="N24" i="13" s="1"/>
  <c r="O24" i="13" s="1"/>
  <c r="R24" i="13" s="1"/>
  <c r="K127" i="13"/>
  <c r="L127" i="13" s="1"/>
  <c r="N127" i="13" s="1"/>
  <c r="O127" i="13" s="1"/>
  <c r="R127" i="13" s="1"/>
  <c r="K272" i="13"/>
  <c r="L272" i="13" s="1"/>
  <c r="N272" i="13" s="1"/>
  <c r="O272" i="13" s="1"/>
  <c r="R272" i="13" s="1"/>
  <c r="K12" i="13"/>
  <c r="L12" i="13" s="1"/>
  <c r="N12" i="13" s="1"/>
  <c r="O12" i="13" s="1"/>
  <c r="R12" i="13" s="1"/>
  <c r="K171" i="13"/>
  <c r="L171" i="13" s="1"/>
  <c r="N171" i="13" s="1"/>
  <c r="O171" i="13" s="1"/>
  <c r="R171" i="13" s="1"/>
  <c r="K155" i="13"/>
  <c r="L155" i="13" s="1"/>
  <c r="N155" i="13" s="1"/>
  <c r="O155" i="13" s="1"/>
  <c r="K95" i="13"/>
  <c r="L95" i="13" s="1"/>
  <c r="N95" i="13" s="1"/>
  <c r="O95" i="13" s="1"/>
  <c r="K56" i="13"/>
  <c r="L56" i="13" s="1"/>
  <c r="N56" i="13" s="1"/>
  <c r="O56" i="13" s="1"/>
  <c r="R56" i="13" s="1"/>
  <c r="K139" i="13"/>
  <c r="L139" i="13" s="1"/>
  <c r="N139" i="13" s="1"/>
  <c r="O139" i="13" s="1"/>
  <c r="R139" i="13" s="1"/>
  <c r="K276" i="13"/>
  <c r="L276" i="13" s="1"/>
  <c r="N276" i="13" s="1"/>
  <c r="O276" i="13" s="1"/>
  <c r="R276" i="13" s="1"/>
  <c r="K183" i="13"/>
  <c r="L183" i="13" s="1"/>
  <c r="N183" i="13" s="1"/>
  <c r="O183" i="13" s="1"/>
  <c r="R183" i="13" s="1"/>
  <c r="K204" i="13"/>
  <c r="L204" i="13" s="1"/>
  <c r="N204" i="13" s="1"/>
  <c r="O204" i="13" s="1"/>
  <c r="R204" i="13" s="1"/>
  <c r="K302" i="13"/>
  <c r="L302" i="13" s="1"/>
  <c r="N302" i="13" s="1"/>
  <c r="O302" i="13" s="1"/>
  <c r="R302" i="13" s="1"/>
  <c r="K64" i="13"/>
  <c r="L64" i="13" s="1"/>
  <c r="N64" i="13" s="1"/>
  <c r="O64" i="13" s="1"/>
  <c r="R64" i="13" s="1"/>
  <c r="K114" i="13"/>
  <c r="L114" i="13" s="1"/>
  <c r="N114" i="13" s="1"/>
  <c r="O114" i="13" s="1"/>
  <c r="R114" i="13" s="1"/>
  <c r="K219" i="13"/>
  <c r="L219" i="13" s="1"/>
  <c r="N219" i="13" s="1"/>
  <c r="O219" i="13" s="1"/>
  <c r="R219" i="13" s="1"/>
  <c r="K16" i="13"/>
  <c r="L16" i="13" s="1"/>
  <c r="N16" i="13" s="1"/>
  <c r="O16" i="13" s="1"/>
  <c r="R16" i="13" s="1"/>
  <c r="K192" i="13"/>
  <c r="L192" i="13" s="1"/>
  <c r="N192" i="13" s="1"/>
  <c r="O192" i="13" s="1"/>
  <c r="R192" i="13" s="1"/>
  <c r="K233" i="13"/>
  <c r="L233" i="13" s="1"/>
  <c r="N233" i="13" s="1"/>
  <c r="O233" i="13" s="1"/>
  <c r="R233" i="13" s="1"/>
  <c r="K242" i="13"/>
  <c r="L242" i="13" s="1"/>
  <c r="N242" i="13" s="1"/>
  <c r="O242" i="13" s="1"/>
  <c r="R242" i="13" s="1"/>
  <c r="K8" i="13"/>
  <c r="L8" i="13" s="1"/>
  <c r="N8" i="13" s="1"/>
  <c r="O8" i="13" s="1"/>
  <c r="R8" i="13" s="1"/>
  <c r="K181" i="13"/>
  <c r="L181" i="13" s="1"/>
  <c r="N181" i="13" s="1"/>
  <c r="O181" i="13" s="1"/>
  <c r="K200" i="13"/>
  <c r="L200" i="13" s="1"/>
  <c r="N200" i="13" s="1"/>
  <c r="O200" i="13" s="1"/>
  <c r="R200" i="13" s="1"/>
  <c r="K283" i="13"/>
  <c r="L283" i="13" s="1"/>
  <c r="N283" i="13" s="1"/>
  <c r="O283" i="13" s="1"/>
  <c r="K278" i="13"/>
  <c r="L278" i="13" s="1"/>
  <c r="N278" i="13" s="1"/>
  <c r="O278" i="13" s="1"/>
  <c r="R278" i="13" s="1"/>
  <c r="K174" i="13"/>
  <c r="L174" i="13" s="1"/>
  <c r="N174" i="13" s="1"/>
  <c r="O174" i="13" s="1"/>
  <c r="R174" i="13" s="1"/>
  <c r="K45" i="13"/>
  <c r="L45" i="13" s="1"/>
  <c r="N45" i="13" s="1"/>
  <c r="O45" i="13" s="1"/>
  <c r="R45" i="13" s="1"/>
  <c r="K253" i="13"/>
  <c r="L253" i="13" s="1"/>
  <c r="N253" i="13" s="1"/>
  <c r="O253" i="13" s="1"/>
  <c r="R253" i="13" s="1"/>
  <c r="K40" i="13"/>
  <c r="L40" i="13" s="1"/>
  <c r="N40" i="13" s="1"/>
  <c r="O40" i="13" s="1"/>
  <c r="R40" i="13" s="1"/>
  <c r="K125" i="13"/>
  <c r="L125" i="13" s="1"/>
  <c r="N125" i="13" s="1"/>
  <c r="O125" i="13" s="1"/>
  <c r="R125" i="13" s="1"/>
  <c r="K258" i="13"/>
  <c r="L258" i="13" s="1"/>
  <c r="N258" i="13" s="1"/>
  <c r="O258" i="13" s="1"/>
  <c r="R258" i="13" s="1"/>
  <c r="K203" i="13"/>
  <c r="L203" i="13" s="1"/>
  <c r="N203" i="13" s="1"/>
  <c r="O203" i="13" s="1"/>
  <c r="R203" i="13" s="1"/>
  <c r="K152" i="13"/>
  <c r="L152" i="13" s="1"/>
  <c r="N152" i="13" s="1"/>
  <c r="O152" i="13" s="1"/>
  <c r="R152" i="13" s="1"/>
  <c r="K303" i="13"/>
  <c r="L303" i="13" s="1"/>
  <c r="N303" i="13" s="1"/>
  <c r="O303" i="13" s="1"/>
  <c r="R303" i="13" s="1"/>
  <c r="K237" i="13"/>
  <c r="L237" i="13" s="1"/>
  <c r="N237" i="13" s="1"/>
  <c r="O237" i="13" s="1"/>
  <c r="R237" i="13" s="1"/>
  <c r="K247" i="13"/>
  <c r="L247" i="13" s="1"/>
  <c r="N247" i="13" s="1"/>
  <c r="O247" i="13" s="1"/>
  <c r="R247" i="13" s="1"/>
  <c r="K289" i="13"/>
  <c r="L289" i="13" s="1"/>
  <c r="N289" i="13" s="1"/>
  <c r="O289" i="13" s="1"/>
  <c r="R289" i="13" s="1"/>
  <c r="K273" i="13"/>
  <c r="L273" i="13" s="1"/>
  <c r="N273" i="13" s="1"/>
  <c r="O273" i="13" s="1"/>
  <c r="R273" i="13" s="1"/>
  <c r="K279" i="13"/>
  <c r="L279" i="13" s="1"/>
  <c r="N279" i="13" s="1"/>
  <c r="O279" i="13" s="1"/>
  <c r="R279" i="13" s="1"/>
  <c r="K186" i="13"/>
  <c r="L186" i="13" s="1"/>
  <c r="N186" i="13" s="1"/>
  <c r="O186" i="13" s="1"/>
  <c r="R186" i="13" s="1"/>
  <c r="K32" i="13"/>
  <c r="L32" i="13" s="1"/>
  <c r="N32" i="13" s="1"/>
  <c r="O32" i="13" s="1"/>
  <c r="R32" i="13" s="1"/>
  <c r="K27" i="13"/>
  <c r="L27" i="13" s="1"/>
  <c r="N27" i="13" s="1"/>
  <c r="O27" i="13" s="1"/>
  <c r="R27" i="13" s="1"/>
  <c r="K119" i="13"/>
  <c r="L119" i="13" s="1"/>
  <c r="N119" i="13" s="1"/>
  <c r="O119" i="13" s="1"/>
  <c r="R119" i="13" s="1"/>
  <c r="K164" i="13"/>
  <c r="L164" i="13" s="1"/>
  <c r="N164" i="13" s="1"/>
  <c r="O164" i="13" s="1"/>
  <c r="R164" i="13" s="1"/>
  <c r="K177" i="13"/>
  <c r="L177" i="13" s="1"/>
  <c r="N177" i="13" s="1"/>
  <c r="O177" i="13" s="1"/>
  <c r="R177" i="13" s="1"/>
  <c r="K288" i="13"/>
  <c r="L288" i="13" s="1"/>
  <c r="N288" i="13" s="1"/>
  <c r="O288" i="13" s="1"/>
  <c r="K185" i="13"/>
  <c r="L185" i="13" s="1"/>
  <c r="N185" i="13" s="1"/>
  <c r="O185" i="13" s="1"/>
  <c r="R185" i="13" s="1"/>
  <c r="K23" i="13"/>
  <c r="L23" i="13" s="1"/>
  <c r="N23" i="13" s="1"/>
  <c r="O23" i="13" s="1"/>
  <c r="R23" i="13" s="1"/>
  <c r="K91" i="13"/>
  <c r="L91" i="13" s="1"/>
  <c r="N91" i="13" s="1"/>
  <c r="O91" i="13" s="1"/>
  <c r="R91" i="13" s="1"/>
  <c r="K92" i="13"/>
  <c r="L92" i="13" s="1"/>
  <c r="N92" i="13" s="1"/>
  <c r="O92" i="13" s="1"/>
  <c r="R92" i="13" s="1"/>
  <c r="K163" i="13"/>
  <c r="L163" i="13" s="1"/>
  <c r="N163" i="13" s="1"/>
  <c r="O163" i="13" s="1"/>
  <c r="R163" i="13" s="1"/>
  <c r="K17" i="13"/>
  <c r="L17" i="13" s="1"/>
  <c r="N17" i="13" s="1"/>
  <c r="O17" i="13" s="1"/>
  <c r="R17" i="13" s="1"/>
  <c r="K187" i="13"/>
  <c r="L187" i="13" s="1"/>
  <c r="N187" i="13" s="1"/>
  <c r="O187" i="13" s="1"/>
  <c r="R187" i="13" s="1"/>
  <c r="K243" i="13"/>
  <c r="L243" i="13" s="1"/>
  <c r="N243" i="13" s="1"/>
  <c r="O243" i="13" s="1"/>
  <c r="R243" i="13" s="1"/>
  <c r="K102" i="13"/>
  <c r="L102" i="13" s="1"/>
  <c r="N102" i="13" s="1"/>
  <c r="O102" i="13" s="1"/>
  <c r="R102" i="13" s="1"/>
  <c r="K179" i="13"/>
  <c r="L179" i="13" s="1"/>
  <c r="N179" i="13" s="1"/>
  <c r="O179" i="13" s="1"/>
  <c r="R179" i="13" s="1"/>
  <c r="K99" i="13"/>
  <c r="L99" i="13" s="1"/>
  <c r="N99" i="13" s="1"/>
  <c r="O99" i="13" s="1"/>
  <c r="R99" i="13" s="1"/>
  <c r="K266" i="13"/>
  <c r="L266" i="13" s="1"/>
  <c r="N266" i="13" s="1"/>
  <c r="O266" i="13" s="1"/>
  <c r="R266" i="13" s="1"/>
  <c r="K195" i="13"/>
  <c r="L195" i="13" s="1"/>
  <c r="N195" i="13" s="1"/>
  <c r="O195" i="13" s="1"/>
  <c r="R195" i="13" s="1"/>
  <c r="K162" i="13"/>
  <c r="L162" i="13" s="1"/>
  <c r="N162" i="13" s="1"/>
  <c r="O162" i="13" s="1"/>
  <c r="K300" i="13"/>
  <c r="L300" i="13" s="1"/>
  <c r="N300" i="13" s="1"/>
  <c r="O300" i="13" s="1"/>
  <c r="R300" i="13" s="1"/>
  <c r="K201" i="13"/>
  <c r="L201" i="13" s="1"/>
  <c r="N201" i="13" s="1"/>
  <c r="O201" i="13" s="1"/>
  <c r="R201" i="13" s="1"/>
  <c r="K53" i="13"/>
  <c r="L53" i="13" s="1"/>
  <c r="N53" i="13" s="1"/>
  <c r="O53" i="13" s="1"/>
  <c r="R53" i="13" s="1"/>
  <c r="K7" i="13"/>
  <c r="L7" i="13" s="1"/>
  <c r="N7" i="13" s="1"/>
  <c r="O7" i="13" s="1"/>
  <c r="R7" i="13" s="1"/>
  <c r="K65" i="13"/>
  <c r="L65" i="13" s="1"/>
  <c r="N65" i="13" s="1"/>
  <c r="O65" i="13" s="1"/>
  <c r="R65" i="13" s="1"/>
  <c r="K202" i="13"/>
  <c r="L202" i="13" s="1"/>
  <c r="N202" i="13" s="1"/>
  <c r="O202" i="13" s="1"/>
  <c r="R202" i="13" s="1"/>
  <c r="K267" i="13"/>
  <c r="L267" i="13" s="1"/>
  <c r="N267" i="13" s="1"/>
  <c r="O267" i="13" s="1"/>
  <c r="R267" i="13" s="1"/>
  <c r="K100" i="13"/>
  <c r="L100" i="13" s="1"/>
  <c r="N100" i="13" s="1"/>
  <c r="O100" i="13" s="1"/>
  <c r="R100" i="13" s="1"/>
  <c r="K88" i="13"/>
  <c r="L88" i="13" s="1"/>
  <c r="N88" i="13" s="1"/>
  <c r="O88" i="13" s="1"/>
  <c r="R88" i="13" s="1"/>
  <c r="K301" i="13"/>
  <c r="L301" i="13" s="1"/>
  <c r="N301" i="13" s="1"/>
  <c r="O301" i="13" s="1"/>
  <c r="R301" i="13" s="1"/>
  <c r="K224" i="13"/>
  <c r="L224" i="13" s="1"/>
  <c r="N224" i="13" s="1"/>
  <c r="O224" i="13" s="1"/>
  <c r="K68" i="13"/>
  <c r="L68" i="13" s="1"/>
  <c r="N68" i="13" s="1"/>
  <c r="O68" i="13" s="1"/>
  <c r="R68" i="13" s="1"/>
  <c r="K79" i="13"/>
  <c r="L79" i="13" s="1"/>
  <c r="N79" i="13" s="1"/>
  <c r="O79" i="13" s="1"/>
  <c r="R79" i="13" s="1"/>
  <c r="K63" i="13"/>
  <c r="L63" i="13" s="1"/>
  <c r="N63" i="13" s="1"/>
  <c r="O63" i="13" s="1"/>
  <c r="R63" i="13" s="1"/>
  <c r="K122" i="13"/>
  <c r="L122" i="13" s="1"/>
  <c r="N122" i="13" s="1"/>
  <c r="O122" i="13" s="1"/>
  <c r="K55" i="13"/>
  <c r="L55" i="13" s="1"/>
  <c r="N55" i="13" s="1"/>
  <c r="O55" i="13" s="1"/>
  <c r="R55" i="13" s="1"/>
  <c r="K226" i="13"/>
  <c r="L226" i="13" s="1"/>
  <c r="N226" i="13" s="1"/>
  <c r="O226" i="13" s="1"/>
  <c r="R226" i="13" s="1"/>
  <c r="K228" i="13"/>
  <c r="L228" i="13" s="1"/>
  <c r="N228" i="13" s="1"/>
  <c r="O228" i="13" s="1"/>
  <c r="R228" i="13" s="1"/>
  <c r="K42" i="13"/>
  <c r="L42" i="13" s="1"/>
  <c r="N42" i="13" s="1"/>
  <c r="O42" i="13" s="1"/>
  <c r="R42" i="13" s="1"/>
  <c r="K35" i="13"/>
  <c r="L35" i="13" s="1"/>
  <c r="N35" i="13" s="1"/>
  <c r="O35" i="13" s="1"/>
  <c r="R35" i="13" s="1"/>
  <c r="K216" i="13"/>
  <c r="L216" i="13" s="1"/>
  <c r="N216" i="13" s="1"/>
  <c r="O216" i="13" s="1"/>
  <c r="R216" i="13" s="1"/>
  <c r="K124" i="13"/>
  <c r="L124" i="13" s="1"/>
  <c r="N124" i="13" s="1"/>
  <c r="O124" i="13" s="1"/>
  <c r="R124" i="13" s="1"/>
  <c r="K15" i="13"/>
  <c r="L15" i="13" s="1"/>
  <c r="N15" i="13" s="1"/>
  <c r="O15" i="13" s="1"/>
  <c r="R15" i="13" s="1"/>
  <c r="K89" i="13"/>
  <c r="L89" i="13" s="1"/>
  <c r="N89" i="13" s="1"/>
  <c r="O89" i="13" s="1"/>
  <c r="R89" i="13" s="1"/>
  <c r="K117" i="13"/>
  <c r="L117" i="13" s="1"/>
  <c r="N117" i="13" s="1"/>
  <c r="O117" i="13" s="1"/>
  <c r="R117" i="13" s="1"/>
  <c r="K105" i="13"/>
  <c r="L105" i="13" s="1"/>
  <c r="N105" i="13" s="1"/>
  <c r="O105" i="13" s="1"/>
  <c r="R105" i="13" s="1"/>
  <c r="K6" i="13"/>
  <c r="L6" i="13" s="1"/>
  <c r="N6" i="13" s="1"/>
  <c r="O6" i="13" s="1"/>
  <c r="R6" i="13" s="1"/>
  <c r="K19" i="13"/>
  <c r="L19" i="13" s="1"/>
  <c r="N19" i="13" s="1"/>
  <c r="O19" i="13" s="1"/>
  <c r="R19" i="13" s="1"/>
  <c r="K217" i="13"/>
  <c r="L217" i="13" s="1"/>
  <c r="N217" i="13" s="1"/>
  <c r="O217" i="13" s="1"/>
  <c r="R217" i="13" s="1"/>
  <c r="K193" i="13"/>
  <c r="L193" i="13" s="1"/>
  <c r="N193" i="13" s="1"/>
  <c r="O193" i="13" s="1"/>
  <c r="R193" i="13" s="1"/>
  <c r="K62" i="13"/>
  <c r="L62" i="13" s="1"/>
  <c r="N62" i="13" s="1"/>
  <c r="O62" i="13" s="1"/>
  <c r="R62" i="13" s="1"/>
  <c r="K292" i="13"/>
  <c r="L292" i="13" s="1"/>
  <c r="N292" i="13" s="1"/>
  <c r="O292" i="13" s="1"/>
  <c r="R292" i="13" s="1"/>
  <c r="K29" i="13"/>
  <c r="L29" i="13" s="1"/>
  <c r="N29" i="13" s="1"/>
  <c r="O29" i="13" s="1"/>
  <c r="R29" i="13" s="1"/>
  <c r="K22" i="13"/>
  <c r="L22" i="13" s="1"/>
  <c r="N22" i="13" s="1"/>
  <c r="O22" i="13" s="1"/>
  <c r="R22" i="13" s="1"/>
  <c r="K90" i="13"/>
  <c r="L90" i="13" s="1"/>
  <c r="N90" i="13" s="1"/>
  <c r="O90" i="13" s="1"/>
  <c r="R90" i="13" s="1"/>
  <c r="K47" i="13"/>
  <c r="L47" i="13" s="1"/>
  <c r="N47" i="13" s="1"/>
  <c r="O47" i="13" s="1"/>
  <c r="R47" i="13" s="1"/>
  <c r="K75" i="13"/>
  <c r="L75" i="13" s="1"/>
  <c r="N75" i="13" s="1"/>
  <c r="O75" i="13" s="1"/>
  <c r="R75" i="13" s="1"/>
  <c r="K37" i="13"/>
  <c r="L37" i="13" s="1"/>
  <c r="N37" i="13" s="1"/>
  <c r="O37" i="13" s="1"/>
  <c r="R37" i="13" s="1"/>
  <c r="K138" i="13"/>
  <c r="L138" i="13" s="1"/>
  <c r="N138" i="13" s="1"/>
  <c r="O138" i="13" s="1"/>
  <c r="K191" i="13"/>
  <c r="L191" i="13" s="1"/>
  <c r="N191" i="13" s="1"/>
  <c r="O191" i="13" s="1"/>
  <c r="R191" i="13" s="1"/>
  <c r="K218" i="13"/>
  <c r="L218" i="13" s="1"/>
  <c r="N218" i="13" s="1"/>
  <c r="O218" i="13" s="1"/>
  <c r="R218" i="13" s="1"/>
  <c r="K140" i="13"/>
  <c r="L140" i="13" s="1"/>
  <c r="N140" i="13" s="1"/>
  <c r="O140" i="13" s="1"/>
  <c r="R140" i="13" s="1"/>
  <c r="K110" i="13"/>
  <c r="L110" i="13" s="1"/>
  <c r="N110" i="13" s="1"/>
  <c r="O110" i="13" s="1"/>
  <c r="R110" i="13" s="1"/>
  <c r="K295" i="13"/>
  <c r="L295" i="13" s="1"/>
  <c r="N295" i="13" s="1"/>
  <c r="O295" i="13" s="1"/>
  <c r="K190" i="13"/>
  <c r="L190" i="13" s="1"/>
  <c r="N190" i="13" s="1"/>
  <c r="O190" i="13" s="1"/>
  <c r="R190" i="13" s="1"/>
  <c r="K159" i="13"/>
  <c r="L159" i="13" s="1"/>
  <c r="N159" i="13" s="1"/>
  <c r="O159" i="13" s="1"/>
  <c r="R159" i="13" s="1"/>
  <c r="K72" i="13"/>
  <c r="L72" i="13" s="1"/>
  <c r="N72" i="13" s="1"/>
  <c r="O72" i="13" s="1"/>
  <c r="R72" i="13" s="1"/>
  <c r="K230" i="13"/>
  <c r="L230" i="13" s="1"/>
  <c r="N230" i="13" s="1"/>
  <c r="O230" i="13" s="1"/>
  <c r="R230" i="13" s="1"/>
  <c r="K49" i="13"/>
  <c r="L49" i="13" s="1"/>
  <c r="N49" i="13" s="1"/>
  <c r="O49" i="13" s="1"/>
  <c r="R49" i="13" s="1"/>
  <c r="K176" i="13"/>
  <c r="L176" i="13" s="1"/>
  <c r="N176" i="13" s="1"/>
  <c r="O176" i="13" s="1"/>
  <c r="R176" i="13" s="1"/>
  <c r="K84" i="13"/>
  <c r="L84" i="13" s="1"/>
  <c r="N84" i="13" s="1"/>
  <c r="O84" i="13" s="1"/>
  <c r="R84" i="13" s="1"/>
  <c r="K120" i="13"/>
  <c r="L120" i="13" s="1"/>
  <c r="N120" i="13" s="1"/>
  <c r="O120" i="13" s="1"/>
  <c r="R120" i="13" s="1"/>
  <c r="K59" i="13"/>
  <c r="L59" i="13" s="1"/>
  <c r="N59" i="13" s="1"/>
  <c r="O59" i="13" s="1"/>
  <c r="R59" i="13" s="1"/>
  <c r="K225" i="13"/>
  <c r="L225" i="13" s="1"/>
  <c r="N225" i="13" s="1"/>
  <c r="O225" i="13" s="1"/>
  <c r="R225" i="13" s="1"/>
  <c r="K170" i="13"/>
  <c r="L170" i="13" s="1"/>
  <c r="N170" i="13" s="1"/>
  <c r="O170" i="13" s="1"/>
  <c r="R170" i="13" s="1"/>
  <c r="K305" i="13"/>
  <c r="L305" i="13" s="1"/>
  <c r="N305" i="13" s="1"/>
  <c r="O305" i="13" s="1"/>
  <c r="R305" i="13" s="1"/>
  <c r="K274" i="13"/>
  <c r="L274" i="13" s="1"/>
  <c r="N274" i="13" s="1"/>
  <c r="O274" i="13" s="1"/>
  <c r="R274" i="13" s="1"/>
  <c r="K14" i="13"/>
  <c r="L14" i="13" s="1"/>
  <c r="N14" i="13" s="1"/>
  <c r="O14" i="13" s="1"/>
  <c r="R14" i="13" s="1"/>
  <c r="K113" i="13"/>
  <c r="L113" i="13" s="1"/>
  <c r="N113" i="13" s="1"/>
  <c r="O113" i="13" s="1"/>
  <c r="R113" i="13" s="1"/>
  <c r="K30" i="13"/>
  <c r="L30" i="13" s="1"/>
  <c r="N30" i="13" s="1"/>
  <c r="O30" i="13" s="1"/>
  <c r="R30" i="13" s="1"/>
  <c r="K215" i="13"/>
  <c r="L215" i="13" s="1"/>
  <c r="N215" i="13" s="1"/>
  <c r="O215" i="13" s="1"/>
  <c r="R215" i="13" s="1"/>
  <c r="K220" i="13"/>
  <c r="L220" i="13" s="1"/>
  <c r="N220" i="13" s="1"/>
  <c r="O220" i="13" s="1"/>
  <c r="R220" i="13" s="1"/>
  <c r="K263" i="13"/>
  <c r="L263" i="13" s="1"/>
  <c r="N263" i="13" s="1"/>
  <c r="O263" i="13" s="1"/>
  <c r="R263" i="13" s="1"/>
  <c r="K290" i="13"/>
  <c r="L290" i="13" s="1"/>
  <c r="N290" i="13" s="1"/>
  <c r="O290" i="13" s="1"/>
  <c r="R290" i="13" s="1"/>
  <c r="K261" i="13"/>
  <c r="L261" i="13" s="1"/>
  <c r="N261" i="13" s="1"/>
  <c r="O261" i="13" s="1"/>
  <c r="R261" i="13" s="1"/>
  <c r="K178" i="13"/>
  <c r="L178" i="13" s="1"/>
  <c r="N178" i="13" s="1"/>
  <c r="O178" i="13" s="1"/>
  <c r="R178" i="13" s="1"/>
  <c r="K93" i="13"/>
  <c r="L93" i="13" s="1"/>
  <c r="N93" i="13" s="1"/>
  <c r="O93" i="13" s="1"/>
  <c r="R93" i="13" s="1"/>
  <c r="K268" i="13"/>
  <c r="L268" i="13" s="1"/>
  <c r="N268" i="13" s="1"/>
  <c r="O268" i="13" s="1"/>
  <c r="R268" i="13" s="1"/>
  <c r="K232" i="13"/>
  <c r="L232" i="13" s="1"/>
  <c r="N232" i="13" s="1"/>
  <c r="O232" i="13" s="1"/>
  <c r="K115" i="13"/>
  <c r="L115" i="13" s="1"/>
  <c r="N115" i="13" s="1"/>
  <c r="O115" i="13" s="1"/>
  <c r="R115" i="13" s="1"/>
  <c r="K157" i="13"/>
  <c r="L157" i="13" s="1"/>
  <c r="N157" i="13" s="1"/>
  <c r="O157" i="13" s="1"/>
  <c r="R157" i="13" s="1"/>
  <c r="K28" i="13"/>
  <c r="L28" i="13" s="1"/>
  <c r="N28" i="13" s="1"/>
  <c r="O28" i="13" s="1"/>
  <c r="R28" i="13" s="1"/>
  <c r="K21" i="13"/>
  <c r="L21" i="13" s="1"/>
  <c r="N21" i="13" s="1"/>
  <c r="O21" i="13" s="1"/>
  <c r="R21" i="13" s="1"/>
  <c r="K296" i="13"/>
  <c r="L296" i="13" s="1"/>
  <c r="N296" i="13" s="1"/>
  <c r="O296" i="13" s="1"/>
  <c r="R296" i="13" s="1"/>
  <c r="K9" i="13"/>
  <c r="L9" i="13" s="1"/>
  <c r="N9" i="13" s="1"/>
  <c r="O9" i="13" s="1"/>
  <c r="R9" i="13" s="1"/>
  <c r="K123" i="13"/>
  <c r="L123" i="13" s="1"/>
  <c r="N123" i="13" s="1"/>
  <c r="O123" i="13" s="1"/>
  <c r="R123" i="13" s="1"/>
  <c r="K169" i="13"/>
  <c r="L169" i="13" s="1"/>
  <c r="N169" i="13" s="1"/>
  <c r="O169" i="13" s="1"/>
  <c r="R169" i="13" s="1"/>
  <c r="K136" i="13"/>
  <c r="L136" i="13" s="1"/>
  <c r="N136" i="13" s="1"/>
  <c r="O136" i="13" s="1"/>
  <c r="R136" i="13" s="1"/>
  <c r="K71" i="13"/>
  <c r="L71" i="13" s="1"/>
  <c r="N71" i="13" s="1"/>
  <c r="O71" i="13" s="1"/>
  <c r="R71" i="13" s="1"/>
  <c r="K69" i="13"/>
  <c r="L69" i="13" s="1"/>
  <c r="N69" i="13" s="1"/>
  <c r="O69" i="13" s="1"/>
  <c r="R69" i="13" s="1"/>
  <c r="K198" i="13"/>
  <c r="L198" i="13" s="1"/>
  <c r="N198" i="13" s="1"/>
  <c r="O198" i="13" s="1"/>
  <c r="R198" i="13" s="1"/>
  <c r="K76" i="13"/>
  <c r="L76" i="13" s="1"/>
  <c r="N76" i="13" s="1"/>
  <c r="O76" i="13" s="1"/>
  <c r="R76" i="13" s="1"/>
  <c r="K51" i="13"/>
  <c r="L51" i="13" s="1"/>
  <c r="N51" i="13" s="1"/>
  <c r="O51" i="13" s="1"/>
  <c r="K67" i="13"/>
  <c r="L67" i="13" s="1"/>
  <c r="N67" i="13" s="1"/>
  <c r="O67" i="13" s="1"/>
  <c r="R67" i="13" s="1"/>
  <c r="K262" i="13"/>
  <c r="L262" i="13" s="1"/>
  <c r="N262" i="13" s="1"/>
  <c r="O262" i="13" s="1"/>
  <c r="R262" i="13" s="1"/>
  <c r="K143" i="13"/>
  <c r="L143" i="13" s="1"/>
  <c r="N143" i="13" s="1"/>
  <c r="O143" i="13" s="1"/>
  <c r="R143" i="13" s="1"/>
  <c r="K61" i="13"/>
  <c r="L61" i="13" s="1"/>
  <c r="N61" i="13" s="1"/>
  <c r="O61" i="13" s="1"/>
  <c r="R61" i="13" s="1"/>
  <c r="K160" i="13"/>
  <c r="L160" i="13" s="1"/>
  <c r="N160" i="13" s="1"/>
  <c r="O160" i="13" s="1"/>
  <c r="R160" i="13" s="1"/>
  <c r="K246" i="13"/>
  <c r="L246" i="13" s="1"/>
  <c r="N246" i="13" s="1"/>
  <c r="O246" i="13" s="1"/>
  <c r="R246" i="13" s="1"/>
  <c r="K221" i="13"/>
  <c r="L221" i="13" s="1"/>
  <c r="N221" i="13" s="1"/>
  <c r="O221" i="13" s="1"/>
  <c r="R221" i="13" s="1"/>
  <c r="K277" i="13"/>
  <c r="L277" i="13" s="1"/>
  <c r="N277" i="13" s="1"/>
  <c r="O277" i="13" s="1"/>
  <c r="R277" i="13" s="1"/>
  <c r="K135" i="13"/>
  <c r="L135" i="13" s="1"/>
  <c r="N135" i="13" s="1"/>
  <c r="O135" i="13" s="1"/>
  <c r="R135" i="13" s="1"/>
  <c r="K147" i="13"/>
  <c r="L147" i="13" s="1"/>
  <c r="N147" i="13" s="1"/>
  <c r="O147" i="13" s="1"/>
  <c r="R147" i="13" s="1"/>
  <c r="K38" i="13"/>
  <c r="L38" i="13" s="1"/>
  <c r="N38" i="13" s="1"/>
  <c r="O38" i="13" s="1"/>
  <c r="R38" i="13" s="1"/>
  <c r="K210" i="13"/>
  <c r="L210" i="13" s="1"/>
  <c r="N210" i="13" s="1"/>
  <c r="O210" i="13" s="1"/>
  <c r="R210" i="13" s="1"/>
  <c r="K132" i="13"/>
  <c r="L132" i="13" s="1"/>
  <c r="N132" i="13" s="1"/>
  <c r="O132" i="13" s="1"/>
  <c r="R132" i="13" s="1"/>
  <c r="K142" i="13"/>
  <c r="L142" i="13" s="1"/>
  <c r="N142" i="13" s="1"/>
  <c r="O142" i="13" s="1"/>
  <c r="R142" i="13" s="1"/>
  <c r="K173" i="13"/>
  <c r="L173" i="13" s="1"/>
  <c r="N173" i="13" s="1"/>
  <c r="O173" i="13" s="1"/>
  <c r="R173" i="13" s="1"/>
  <c r="K156" i="13"/>
  <c r="L156" i="13" s="1"/>
  <c r="N156" i="13" s="1"/>
  <c r="O156" i="13" s="1"/>
  <c r="R156" i="13" s="1"/>
  <c r="K172" i="13"/>
  <c r="L172" i="13" s="1"/>
  <c r="N172" i="13" s="1"/>
  <c r="O172" i="13" s="1"/>
  <c r="R172" i="13" s="1"/>
  <c r="K97" i="13"/>
  <c r="L97" i="13" s="1"/>
  <c r="N97" i="13" s="1"/>
  <c r="O97" i="13" s="1"/>
  <c r="R97" i="13" s="1"/>
  <c r="K80" i="13"/>
  <c r="L80" i="13" s="1"/>
  <c r="N80" i="13" s="1"/>
  <c r="O80" i="13" s="1"/>
  <c r="R80" i="13" s="1"/>
  <c r="K78" i="13"/>
  <c r="L78" i="13" s="1"/>
  <c r="N78" i="13" s="1"/>
  <c r="O78" i="13" s="1"/>
  <c r="N184" i="13"/>
  <c r="O184" i="13" s="1"/>
  <c r="R184" i="13" s="1"/>
  <c r="N153" i="13"/>
  <c r="O153" i="13" s="1"/>
  <c r="R153" i="13" s="1"/>
  <c r="N168" i="13"/>
  <c r="O168" i="13" s="1"/>
  <c r="N96" i="13"/>
  <c r="O96" i="13" s="1"/>
  <c r="R96" i="13" s="1"/>
  <c r="O376" i="13"/>
  <c r="R376" i="13" s="1"/>
  <c r="O323" i="13"/>
  <c r="R323" i="13" s="1"/>
  <c r="O316" i="13"/>
  <c r="R316" i="13" s="1"/>
  <c r="O319" i="13"/>
  <c r="R319" i="13" s="1"/>
  <c r="O340" i="13"/>
  <c r="R340" i="13" s="1"/>
  <c r="O328" i="13"/>
  <c r="R328" i="13" s="1"/>
  <c r="O342" i="13"/>
  <c r="R342" i="13" s="1"/>
  <c r="O331" i="13"/>
  <c r="R331" i="13" s="1"/>
  <c r="O330" i="13"/>
  <c r="R330" i="13" s="1"/>
  <c r="O353" i="13"/>
  <c r="R353" i="13" s="1"/>
  <c r="O350" i="13"/>
  <c r="R350" i="13" s="1"/>
  <c r="O320" i="13"/>
  <c r="R320" i="13" s="1"/>
  <c r="O324" i="13"/>
  <c r="R324" i="13" s="1"/>
  <c r="O326" i="13"/>
  <c r="R326" i="13" s="1"/>
  <c r="O313" i="13"/>
  <c r="R313" i="13" s="1"/>
  <c r="O355" i="13"/>
  <c r="R355" i="13" s="1"/>
  <c r="O358" i="13"/>
  <c r="R358" i="13" s="1"/>
  <c r="O356" i="13"/>
  <c r="R356" i="13" s="1"/>
  <c r="O322" i="13"/>
  <c r="R322" i="13" s="1"/>
  <c r="O352" i="13"/>
  <c r="R352" i="13" s="1"/>
  <c r="O341" i="13"/>
  <c r="R341" i="13" s="1"/>
  <c r="O347" i="13"/>
  <c r="R347" i="13" s="1"/>
  <c r="O332" i="13"/>
  <c r="R332" i="13" s="1"/>
  <c r="O314" i="13"/>
  <c r="R314" i="13" s="1"/>
  <c r="O334" i="13"/>
  <c r="R334" i="13" s="1"/>
  <c r="O337" i="13"/>
  <c r="R337" i="13" s="1"/>
  <c r="O317" i="13"/>
  <c r="R317" i="13" s="1"/>
  <c r="O360" i="13"/>
  <c r="R360" i="13" s="1"/>
  <c r="O359" i="13"/>
  <c r="R359" i="13" s="1"/>
  <c r="O349" i="13"/>
  <c r="R349" i="13" s="1"/>
  <c r="O318" i="13"/>
  <c r="R318" i="13" s="1"/>
  <c r="O357" i="13"/>
  <c r="R357" i="13" s="1"/>
  <c r="O311" i="13"/>
  <c r="R311" i="13" s="1"/>
  <c r="O321" i="13"/>
  <c r="R321" i="13" s="1"/>
  <c r="O325" i="13"/>
  <c r="R325" i="13" s="1"/>
  <c r="O348" i="13"/>
  <c r="R348" i="13" s="1"/>
  <c r="O327" i="13"/>
  <c r="R327" i="13" s="1"/>
  <c r="O329" i="13"/>
  <c r="R329" i="13" s="1"/>
  <c r="O354" i="13"/>
  <c r="R354" i="13" s="1"/>
  <c r="O343" i="13"/>
  <c r="R343" i="13" s="1"/>
  <c r="O338" i="13"/>
  <c r="R338" i="13" s="1"/>
  <c r="O346" i="13"/>
  <c r="R346" i="13" s="1"/>
  <c r="O345" i="13"/>
  <c r="R345" i="13" s="1"/>
  <c r="O335" i="13"/>
  <c r="R335" i="13" s="1"/>
  <c r="J96" i="1"/>
  <c r="H114" i="1"/>
  <c r="J114" i="1"/>
  <c r="H96" i="1"/>
  <c r="J352" i="1"/>
  <c r="J353" i="1"/>
  <c r="J350" i="1"/>
  <c r="Q358" i="1"/>
  <c r="J351" i="1"/>
  <c r="G349" i="1"/>
  <c r="H353" i="1"/>
  <c r="K368" i="1"/>
  <c r="H347" i="1"/>
  <c r="G347" i="1"/>
  <c r="H356" i="1"/>
  <c r="G356" i="1"/>
  <c r="G348" i="1"/>
  <c r="H352" i="1"/>
  <c r="G355" i="1"/>
  <c r="H351" i="1"/>
  <c r="G346" i="1"/>
  <c r="H350" i="1"/>
  <c r="U277" i="18" l="1"/>
  <c r="O346" i="18"/>
  <c r="O121" i="13"/>
  <c r="R121" i="13" s="1"/>
  <c r="R245" i="13"/>
  <c r="O249" i="13"/>
  <c r="R249" i="13" s="1"/>
  <c r="R95" i="13"/>
  <c r="O103" i="13"/>
  <c r="R103" i="13" s="1"/>
  <c r="R232" i="13"/>
  <c r="O244" i="13"/>
  <c r="R244" i="13" s="1"/>
  <c r="R250" i="13"/>
  <c r="O256" i="13"/>
  <c r="R256" i="13" s="1"/>
  <c r="R138" i="13"/>
  <c r="O148" i="13"/>
  <c r="R148" i="13" s="1"/>
  <c r="R82" i="13"/>
  <c r="O85" i="13"/>
  <c r="R85" i="13" s="1"/>
  <c r="R162" i="13"/>
  <c r="O167" i="13"/>
  <c r="R167" i="13" s="1"/>
  <c r="O43" i="13"/>
  <c r="R78" i="13"/>
  <c r="O81" i="13"/>
  <c r="R81" i="13" s="1"/>
  <c r="R288" i="13"/>
  <c r="O294" i="13"/>
  <c r="R294" i="13" s="1"/>
  <c r="R122" i="13"/>
  <c r="O133" i="13"/>
  <c r="R133" i="13" s="1"/>
  <c r="O282" i="13"/>
  <c r="R282" i="13" s="1"/>
  <c r="R58" i="13"/>
  <c r="O77" i="13"/>
  <c r="R77" i="13" s="1"/>
  <c r="R155" i="13"/>
  <c r="O161" i="13"/>
  <c r="R161" i="13" s="1"/>
  <c r="R86" i="13"/>
  <c r="O94" i="13"/>
  <c r="R94" i="13" s="1"/>
  <c r="R149" i="13"/>
  <c r="O154" i="13"/>
  <c r="R154" i="13" s="1"/>
  <c r="R283" i="13"/>
  <c r="O287" i="13"/>
  <c r="R287" i="13" s="1"/>
  <c r="R181" i="13"/>
  <c r="O223" i="13"/>
  <c r="R223" i="13" s="1"/>
  <c r="R104" i="13"/>
  <c r="O107" i="13"/>
  <c r="R107" i="13" s="1"/>
  <c r="R44" i="13"/>
  <c r="O50" i="13"/>
  <c r="R50" i="13" s="1"/>
  <c r="R295" i="13"/>
  <c r="O306" i="13"/>
  <c r="R306" i="13" s="1"/>
  <c r="R108" i="13"/>
  <c r="O118" i="13"/>
  <c r="R118" i="13" s="1"/>
  <c r="R168" i="13"/>
  <c r="O180" i="13"/>
  <c r="R180" i="13" s="1"/>
  <c r="R134" i="13"/>
  <c r="O137" i="13"/>
  <c r="R137" i="13" s="1"/>
  <c r="R224" i="13"/>
  <c r="O231" i="13"/>
  <c r="R231" i="13" s="1"/>
  <c r="R257" i="13"/>
  <c r="O275" i="13"/>
  <c r="R275" i="13" s="1"/>
  <c r="R51" i="13"/>
  <c r="O57" i="13"/>
  <c r="R57" i="13" s="1"/>
  <c r="O363" i="13"/>
  <c r="R363" i="13" s="1"/>
  <c r="S293" i="1"/>
  <c r="S357" i="1"/>
  <c r="S345" i="1"/>
  <c r="L363" i="1"/>
  <c r="Q360" i="1"/>
  <c r="L364" i="1"/>
  <c r="J349" i="1"/>
  <c r="J346" i="1"/>
  <c r="J348" i="1"/>
  <c r="J356" i="1"/>
  <c r="J347" i="1"/>
  <c r="J355" i="1"/>
  <c r="U346" i="18" l="1"/>
  <c r="O348" i="18"/>
  <c r="U348" i="18" s="1"/>
  <c r="R43" i="13"/>
  <c r="O307" i="13"/>
  <c r="O308" i="13" s="1"/>
  <c r="O377" i="13" s="1"/>
  <c r="R377" i="13" s="1"/>
  <c r="G328" i="1"/>
  <c r="J328" i="1" s="1"/>
  <c r="H328" i="1"/>
  <c r="G329" i="1"/>
  <c r="J329" i="1" s="1"/>
  <c r="H329" i="1"/>
  <c r="G337" i="1"/>
  <c r="J337" i="1" s="1"/>
  <c r="H337" i="1"/>
  <c r="G294" i="1"/>
  <c r="J294" i="1" s="1"/>
  <c r="H294" i="1"/>
  <c r="G312" i="1"/>
  <c r="J312" i="1" s="1"/>
  <c r="H312" i="1"/>
  <c r="H308" i="1"/>
  <c r="G308" i="1"/>
  <c r="J308" i="1" s="1"/>
  <c r="G321" i="1"/>
  <c r="J321" i="1" s="1"/>
  <c r="H321" i="1"/>
  <c r="H330" i="1"/>
  <c r="G330" i="1"/>
  <c r="J330" i="1" s="1"/>
  <c r="H338" i="1"/>
  <c r="G338" i="1"/>
  <c r="J338" i="1" s="1"/>
  <c r="G295" i="1"/>
  <c r="J295" i="1" s="1"/>
  <c r="H295" i="1"/>
  <c r="G313" i="1"/>
  <c r="J313" i="1" s="1"/>
  <c r="H313" i="1"/>
  <c r="H301" i="1"/>
  <c r="G301" i="1"/>
  <c r="J301" i="1" s="1"/>
  <c r="G303" i="1"/>
  <c r="J303" i="1" s="1"/>
  <c r="H303" i="1"/>
  <c r="H331" i="1"/>
  <c r="G331" i="1"/>
  <c r="J331" i="1" s="1"/>
  <c r="H339" i="1"/>
  <c r="G339" i="1"/>
  <c r="J339" i="1" s="1"/>
  <c r="G302" i="1"/>
  <c r="J302" i="1" s="1"/>
  <c r="H302" i="1"/>
  <c r="H315" i="1"/>
  <c r="G315" i="1"/>
  <c r="J315" i="1" s="1"/>
  <c r="G311" i="1"/>
  <c r="J311" i="1" s="1"/>
  <c r="H311" i="1"/>
  <c r="G296" i="1"/>
  <c r="J296" i="1" s="1"/>
  <c r="H296" i="1"/>
  <c r="H297" i="1"/>
  <c r="G297" i="1"/>
  <c r="J297" i="1" s="1"/>
  <c r="H332" i="1"/>
  <c r="G332" i="1"/>
  <c r="J332" i="1" s="1"/>
  <c r="H340" i="1"/>
  <c r="G340" i="1"/>
  <c r="J340" i="1" s="1"/>
  <c r="G304" i="1"/>
  <c r="J304" i="1" s="1"/>
  <c r="H304" i="1"/>
  <c r="H317" i="1"/>
  <c r="G317" i="1"/>
  <c r="J317" i="1" s="1"/>
  <c r="G344" i="1"/>
  <c r="J344" i="1" s="1"/>
  <c r="H344" i="1"/>
  <c r="G320" i="1"/>
  <c r="J320" i="1" s="1"/>
  <c r="H320" i="1"/>
  <c r="G310" i="1"/>
  <c r="J310" i="1" s="1"/>
  <c r="H310" i="1"/>
  <c r="H298" i="1"/>
  <c r="G298" i="1"/>
  <c r="J298" i="1" s="1"/>
  <c r="H314" i="1"/>
  <c r="G314" i="1"/>
  <c r="J314" i="1" s="1"/>
  <c r="H323" i="1"/>
  <c r="G323" i="1"/>
  <c r="J323" i="1" s="1"/>
  <c r="H333" i="1"/>
  <c r="G333" i="1"/>
  <c r="J333" i="1" s="1"/>
  <c r="H341" i="1"/>
  <c r="G341" i="1"/>
  <c r="J341" i="1" s="1"/>
  <c r="G305" i="1"/>
  <c r="J305" i="1" s="1"/>
  <c r="H305" i="1"/>
  <c r="H325" i="1"/>
  <c r="G325" i="1"/>
  <c r="J325" i="1" s="1"/>
  <c r="G336" i="1"/>
  <c r="J336" i="1" s="1"/>
  <c r="H336" i="1"/>
  <c r="H309" i="1"/>
  <c r="G309" i="1"/>
  <c r="J309" i="1" s="1"/>
  <c r="H316" i="1"/>
  <c r="G316" i="1"/>
  <c r="J316" i="1" s="1"/>
  <c r="H324" i="1"/>
  <c r="G324" i="1"/>
  <c r="J324" i="1" s="1"/>
  <c r="G334" i="1"/>
  <c r="J334" i="1" s="1"/>
  <c r="H334" i="1"/>
  <c r="G342" i="1"/>
  <c r="J342" i="1" s="1"/>
  <c r="H342" i="1"/>
  <c r="H306" i="1"/>
  <c r="G306" i="1"/>
  <c r="J306" i="1" s="1"/>
  <c r="G319" i="1"/>
  <c r="J319" i="1" s="1"/>
  <c r="H319" i="1"/>
  <c r="G326" i="1"/>
  <c r="J326" i="1" s="1"/>
  <c r="H326" i="1"/>
  <c r="H322" i="1"/>
  <c r="G322" i="1"/>
  <c r="J322" i="1" s="1"/>
  <c r="H299" i="1"/>
  <c r="G299" i="1"/>
  <c r="J299" i="1" s="1"/>
  <c r="H300" i="1"/>
  <c r="G300" i="1"/>
  <c r="J300" i="1" s="1"/>
  <c r="G318" i="1"/>
  <c r="J318" i="1" s="1"/>
  <c r="H318" i="1"/>
  <c r="G327" i="1"/>
  <c r="J327" i="1" s="1"/>
  <c r="H327" i="1"/>
  <c r="G335" i="1"/>
  <c r="J335" i="1" s="1"/>
  <c r="H335" i="1"/>
  <c r="G343" i="1"/>
  <c r="J343" i="1" s="1"/>
  <c r="H343" i="1"/>
  <c r="H307" i="1"/>
  <c r="G307" i="1"/>
  <c r="J307" i="1" s="1"/>
  <c r="A356" i="1"/>
  <c r="A355" i="1"/>
  <c r="A354" i="1"/>
  <c r="A353" i="1"/>
  <c r="A352" i="1"/>
  <c r="A351" i="1"/>
  <c r="A350" i="1"/>
  <c r="A349" i="1"/>
  <c r="A348" i="1"/>
  <c r="A347" i="1"/>
  <c r="A346" i="1"/>
  <c r="A271" i="1"/>
  <c r="A278" i="1"/>
  <c r="A270" i="1"/>
  <c r="A277" i="1"/>
  <c r="A276" i="1"/>
  <c r="A237" i="1"/>
  <c r="A265" i="1"/>
  <c r="A236" i="1"/>
  <c r="A264" i="1"/>
  <c r="A263" i="1"/>
  <c r="A235" i="1"/>
  <c r="A262" i="1"/>
  <c r="A234" i="1"/>
  <c r="A261" i="1"/>
  <c r="A260" i="1"/>
  <c r="A269" i="1"/>
  <c r="A275" i="1"/>
  <c r="A268" i="1"/>
  <c r="A274" i="1"/>
  <c r="A267" i="1"/>
  <c r="A273" i="1"/>
  <c r="A167" i="1"/>
  <c r="A210" i="1"/>
  <c r="A209" i="1"/>
  <c r="A166" i="1"/>
  <c r="A208" i="1"/>
  <c r="A207" i="1"/>
  <c r="A165" i="1"/>
  <c r="A206" i="1"/>
  <c r="A205" i="1"/>
  <c r="A164" i="1"/>
  <c r="A204" i="1"/>
  <c r="A203" i="1"/>
  <c r="A163" i="1"/>
  <c r="A202" i="1"/>
  <c r="A201" i="1"/>
  <c r="A162" i="1"/>
  <c r="A200" i="1"/>
  <c r="A199" i="1"/>
  <c r="A161" i="1"/>
  <c r="A198" i="1"/>
  <c r="A197" i="1"/>
  <c r="A160" i="1"/>
  <c r="A196" i="1"/>
  <c r="A195" i="1"/>
  <c r="A159" i="1"/>
  <c r="A194" i="1"/>
  <c r="A193" i="1"/>
  <c r="A158" i="1"/>
  <c r="A192" i="1"/>
  <c r="A191" i="1"/>
  <c r="A157" i="1"/>
  <c r="A190" i="1"/>
  <c r="A189" i="1"/>
  <c r="A156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290" i="1"/>
  <c r="A289" i="1"/>
  <c r="A288" i="1"/>
  <c r="A287" i="1"/>
  <c r="A286" i="1"/>
  <c r="A285" i="1"/>
  <c r="A140" i="1"/>
  <c r="A154" i="1"/>
  <c r="A139" i="1"/>
  <c r="A153" i="1"/>
  <c r="A152" i="1"/>
  <c r="A138" i="1"/>
  <c r="A137" i="1"/>
  <c r="A151" i="1"/>
  <c r="A150" i="1"/>
  <c r="A136" i="1"/>
  <c r="A33" i="1"/>
  <c r="A32" i="1"/>
  <c r="A31" i="1"/>
  <c r="A30" i="1"/>
  <c r="A29" i="1"/>
  <c r="A28" i="1"/>
  <c r="A125" i="1"/>
  <c r="A218" i="1"/>
  <c r="A217" i="1"/>
  <c r="A232" i="1"/>
  <c r="A231" i="1"/>
  <c r="A216" i="1"/>
  <c r="A243" i="1"/>
  <c r="A215" i="1"/>
  <c r="A242" i="1"/>
  <c r="A241" i="1"/>
  <c r="A230" i="1"/>
  <c r="A258" i="1"/>
  <c r="A257" i="1"/>
  <c r="A229" i="1"/>
  <c r="A256" i="1"/>
  <c r="A228" i="1"/>
  <c r="A255" i="1"/>
  <c r="A214" i="1"/>
  <c r="A240" i="1"/>
  <c r="A239" i="1"/>
  <c r="A213" i="1"/>
  <c r="A227" i="1"/>
  <c r="A254" i="1"/>
  <c r="A226" i="1"/>
  <c r="A253" i="1"/>
  <c r="A225" i="1"/>
  <c r="A252" i="1"/>
  <c r="A224" i="1"/>
  <c r="A251" i="1"/>
  <c r="A223" i="1"/>
  <c r="A250" i="1"/>
  <c r="A222" i="1"/>
  <c r="A249" i="1"/>
  <c r="A248" i="1"/>
  <c r="A221" i="1"/>
  <c r="A247" i="1"/>
  <c r="A220" i="1"/>
  <c r="A246" i="1"/>
  <c r="A245" i="1"/>
  <c r="A212" i="1"/>
  <c r="A27" i="1"/>
  <c r="A26" i="1"/>
  <c r="A134" i="1"/>
  <c r="A148" i="1"/>
  <c r="A133" i="1"/>
  <c r="A147" i="1"/>
  <c r="A132" i="1"/>
  <c r="A146" i="1"/>
  <c r="A131" i="1"/>
  <c r="A130" i="1"/>
  <c r="A145" i="1"/>
  <c r="A129" i="1"/>
  <c r="A144" i="1"/>
  <c r="A128" i="1"/>
  <c r="A143" i="1"/>
  <c r="A127" i="1"/>
  <c r="A142" i="1"/>
  <c r="A25" i="1"/>
  <c r="A284" i="1"/>
  <c r="A24" i="1"/>
  <c r="A283" i="1"/>
  <c r="A282" i="1"/>
  <c r="A281" i="1"/>
  <c r="A23" i="1"/>
  <c r="A22" i="1"/>
  <c r="A280" i="1"/>
  <c r="A21" i="1"/>
  <c r="A20" i="1"/>
  <c r="A113" i="1"/>
  <c r="A112" i="1"/>
  <c r="A111" i="1"/>
  <c r="A19" i="1"/>
  <c r="A123" i="1"/>
  <c r="A122" i="1"/>
  <c r="A121" i="1"/>
  <c r="A120" i="1"/>
  <c r="A18" i="1"/>
  <c r="A17" i="1"/>
  <c r="A16" i="1"/>
  <c r="A15" i="1"/>
  <c r="A14" i="1"/>
  <c r="A13" i="1"/>
  <c r="A12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11" i="1"/>
  <c r="A10" i="1"/>
  <c r="A119" i="1"/>
  <c r="A118" i="1"/>
  <c r="A117" i="1"/>
  <c r="A116" i="1"/>
  <c r="A115" i="1"/>
  <c r="A9" i="1"/>
  <c r="A95" i="1"/>
  <c r="A94" i="1"/>
  <c r="A93" i="1"/>
  <c r="A92" i="1"/>
  <c r="A91" i="1"/>
  <c r="A90" i="1"/>
  <c r="A89" i="1"/>
  <c r="A88" i="1"/>
  <c r="A87" i="1"/>
  <c r="A86" i="1"/>
  <c r="A76" i="1"/>
  <c r="A75" i="1"/>
  <c r="A74" i="1"/>
  <c r="A73" i="1"/>
  <c r="A72" i="1"/>
  <c r="A66" i="1"/>
  <c r="A70" i="1"/>
  <c r="A69" i="1"/>
  <c r="A65" i="1"/>
  <c r="A68" i="1"/>
  <c r="A64" i="1"/>
  <c r="A62" i="1"/>
  <c r="A8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84" i="1"/>
  <c r="A83" i="1"/>
  <c r="A82" i="1"/>
  <c r="A81" i="1"/>
  <c r="A80" i="1"/>
  <c r="A79" i="1"/>
  <c r="A78" i="1"/>
  <c r="A43" i="1"/>
  <c r="A42" i="1"/>
  <c r="A41" i="1"/>
  <c r="A40" i="1"/>
  <c r="A7" i="1"/>
  <c r="A6" i="1"/>
  <c r="A5" i="1"/>
  <c r="A38" i="1"/>
  <c r="A37" i="1"/>
  <c r="A36" i="1"/>
  <c r="A35" i="1"/>
  <c r="P35" i="1"/>
  <c r="P203" i="1"/>
  <c r="P204" i="1"/>
  <c r="P164" i="1"/>
  <c r="P205" i="1"/>
  <c r="P206" i="1"/>
  <c r="P165" i="1"/>
  <c r="P207" i="1"/>
  <c r="P208" i="1"/>
  <c r="P166" i="1"/>
  <c r="P209" i="1"/>
  <c r="P210" i="1"/>
  <c r="P167" i="1"/>
  <c r="P273" i="1"/>
  <c r="P267" i="1"/>
  <c r="P274" i="1"/>
  <c r="P268" i="1"/>
  <c r="P275" i="1"/>
  <c r="P269" i="1"/>
  <c r="P260" i="1"/>
  <c r="P261" i="1"/>
  <c r="P234" i="1"/>
  <c r="P262" i="1"/>
  <c r="P235" i="1"/>
  <c r="P263" i="1"/>
  <c r="P264" i="1"/>
  <c r="P236" i="1"/>
  <c r="P265" i="1"/>
  <c r="P237" i="1"/>
  <c r="P276" i="1"/>
  <c r="P277" i="1"/>
  <c r="P270" i="1"/>
  <c r="P278" i="1"/>
  <c r="P271" i="1"/>
  <c r="P346" i="1"/>
  <c r="P347" i="1"/>
  <c r="P348" i="1"/>
  <c r="P349" i="1"/>
  <c r="P350" i="1"/>
  <c r="P351" i="1"/>
  <c r="P352" i="1"/>
  <c r="P353" i="1"/>
  <c r="P354" i="1"/>
  <c r="P355" i="1"/>
  <c r="P356" i="1"/>
  <c r="R308" i="13" l="1"/>
  <c r="O379" i="13"/>
  <c r="R379" i="13" s="1"/>
  <c r="H17" i="1"/>
  <c r="G17" i="1"/>
  <c r="J17" i="1" s="1"/>
  <c r="G37" i="1"/>
  <c r="J37" i="1" s="1"/>
  <c r="H37" i="1"/>
  <c r="G64" i="1"/>
  <c r="J64" i="1" s="1"/>
  <c r="H64" i="1"/>
  <c r="H103" i="1"/>
  <c r="G103" i="1"/>
  <c r="J103" i="1" s="1"/>
  <c r="G128" i="1"/>
  <c r="J128" i="1" s="1"/>
  <c r="H128" i="1"/>
  <c r="G164" i="1"/>
  <c r="J164" i="1" s="1"/>
  <c r="H164" i="1"/>
  <c r="G181" i="1"/>
  <c r="J181" i="1" s="1"/>
  <c r="H181" i="1"/>
  <c r="G197" i="1"/>
  <c r="J197" i="1" s="1"/>
  <c r="H197" i="1"/>
  <c r="G214" i="1"/>
  <c r="J214" i="1" s="1"/>
  <c r="H214" i="1"/>
  <c r="G231" i="1"/>
  <c r="H231" i="1"/>
  <c r="G249" i="1"/>
  <c r="H249" i="1"/>
  <c r="G267" i="1"/>
  <c r="J267" i="1" s="1"/>
  <c r="H267" i="1"/>
  <c r="G287" i="1"/>
  <c r="J287" i="1" s="1"/>
  <c r="H287" i="1"/>
  <c r="H15" i="1"/>
  <c r="G15" i="1"/>
  <c r="J15" i="1" s="1"/>
  <c r="H24" i="1"/>
  <c r="G24" i="1"/>
  <c r="J24" i="1" s="1"/>
  <c r="G35" i="1"/>
  <c r="H35" i="1"/>
  <c r="G45" i="1"/>
  <c r="J45" i="1" s="1"/>
  <c r="H45" i="1"/>
  <c r="G53" i="1"/>
  <c r="J53" i="1" s="1"/>
  <c r="H53" i="1"/>
  <c r="G61" i="1"/>
  <c r="J61" i="1" s="1"/>
  <c r="H61" i="1"/>
  <c r="G72" i="1"/>
  <c r="J72" i="1" s="1"/>
  <c r="H72" i="1"/>
  <c r="G81" i="1"/>
  <c r="J81" i="1" s="1"/>
  <c r="H81" i="1"/>
  <c r="G101" i="1"/>
  <c r="J101" i="1" s="1"/>
  <c r="H101" i="1"/>
  <c r="H115" i="1"/>
  <c r="G115" i="1"/>
  <c r="J115" i="1" s="1"/>
  <c r="H125" i="1"/>
  <c r="H126" i="1" s="1"/>
  <c r="G125" i="1"/>
  <c r="J125" i="1" s="1"/>
  <c r="J126" i="1" s="1"/>
  <c r="H134" i="1"/>
  <c r="G134" i="1"/>
  <c r="J134" i="1" s="1"/>
  <c r="H144" i="1"/>
  <c r="G144" i="1"/>
  <c r="J144" i="1" s="1"/>
  <c r="H153" i="1"/>
  <c r="G153" i="1"/>
  <c r="J153" i="1" s="1"/>
  <c r="H162" i="1"/>
  <c r="G162" i="1"/>
  <c r="J162" i="1" s="1"/>
  <c r="H171" i="1"/>
  <c r="G171" i="1"/>
  <c r="J171" i="1" s="1"/>
  <c r="H179" i="1"/>
  <c r="G179" i="1"/>
  <c r="J179" i="1" s="1"/>
  <c r="H187" i="1"/>
  <c r="G187" i="1"/>
  <c r="J187" i="1" s="1"/>
  <c r="H195" i="1"/>
  <c r="G195" i="1"/>
  <c r="J195" i="1" s="1"/>
  <c r="H203" i="1"/>
  <c r="G203" i="1"/>
  <c r="J203" i="1" s="1"/>
  <c r="H212" i="1"/>
  <c r="G212" i="1"/>
  <c r="J212" i="1" s="1"/>
  <c r="H221" i="1"/>
  <c r="G221" i="1"/>
  <c r="H229" i="1"/>
  <c r="G229" i="1"/>
  <c r="H247" i="1"/>
  <c r="G247" i="1"/>
  <c r="H255" i="1"/>
  <c r="G255" i="1"/>
  <c r="J255" i="1" s="1"/>
  <c r="H264" i="1"/>
  <c r="G264" i="1"/>
  <c r="J264" i="1" s="1"/>
  <c r="H274" i="1"/>
  <c r="G274" i="1"/>
  <c r="J274" i="1" s="1"/>
  <c r="G285" i="1"/>
  <c r="J285" i="1" s="1"/>
  <c r="H285" i="1"/>
  <c r="H16" i="1"/>
  <c r="G16" i="1"/>
  <c r="J16" i="1" s="1"/>
  <c r="H25" i="1"/>
  <c r="G25" i="1"/>
  <c r="J25" i="1" s="1"/>
  <c r="G36" i="1"/>
  <c r="J36" i="1" s="1"/>
  <c r="H36" i="1"/>
  <c r="G46" i="1"/>
  <c r="J46" i="1" s="1"/>
  <c r="H46" i="1"/>
  <c r="G54" i="1"/>
  <c r="J54" i="1" s="1"/>
  <c r="H54" i="1"/>
  <c r="G62" i="1"/>
  <c r="J62" i="1" s="1"/>
  <c r="H62" i="1"/>
  <c r="G73" i="1"/>
  <c r="J73" i="1" s="1"/>
  <c r="H73" i="1"/>
  <c r="G82" i="1"/>
  <c r="J82" i="1" s="1"/>
  <c r="H82" i="1"/>
  <c r="G102" i="1"/>
  <c r="J102" i="1" s="1"/>
  <c r="H102" i="1"/>
  <c r="G117" i="1"/>
  <c r="J117" i="1" s="1"/>
  <c r="H117" i="1"/>
  <c r="G127" i="1"/>
  <c r="J127" i="1" s="1"/>
  <c r="H127" i="1"/>
  <c r="G136" i="1"/>
  <c r="J136" i="1" s="1"/>
  <c r="H136" i="1"/>
  <c r="G145" i="1"/>
  <c r="J145" i="1" s="1"/>
  <c r="H145" i="1"/>
  <c r="G154" i="1"/>
  <c r="J154" i="1" s="1"/>
  <c r="H154" i="1"/>
  <c r="G163" i="1"/>
  <c r="J163" i="1" s="1"/>
  <c r="H163" i="1"/>
  <c r="G172" i="1"/>
  <c r="J172" i="1" s="1"/>
  <c r="H172" i="1"/>
  <c r="G180" i="1"/>
  <c r="J180" i="1" s="1"/>
  <c r="H180" i="1"/>
  <c r="G188" i="1"/>
  <c r="J188" i="1" s="1"/>
  <c r="H188" i="1"/>
  <c r="G196" i="1"/>
  <c r="J196" i="1" s="1"/>
  <c r="H196" i="1"/>
  <c r="G204" i="1"/>
  <c r="J204" i="1" s="1"/>
  <c r="H204" i="1"/>
  <c r="G213" i="1"/>
  <c r="J213" i="1" s="1"/>
  <c r="H213" i="1"/>
  <c r="G222" i="1"/>
  <c r="H222" i="1"/>
  <c r="G230" i="1"/>
  <c r="H230" i="1"/>
  <c r="G239" i="1"/>
  <c r="H239" i="1"/>
  <c r="G248" i="1"/>
  <c r="H248" i="1"/>
  <c r="G256" i="1"/>
  <c r="J256" i="1" s="1"/>
  <c r="H256" i="1"/>
  <c r="G265" i="1"/>
  <c r="J265" i="1" s="1"/>
  <c r="H265" i="1"/>
  <c r="G275" i="1"/>
  <c r="J275" i="1" s="1"/>
  <c r="H275" i="1"/>
  <c r="G286" i="1"/>
  <c r="J286" i="1" s="1"/>
  <c r="H286" i="1"/>
  <c r="G28" i="1"/>
  <c r="J28" i="1" s="1"/>
  <c r="H28" i="1"/>
  <c r="G74" i="1"/>
  <c r="J74" i="1" s="1"/>
  <c r="H74" i="1"/>
  <c r="G118" i="1"/>
  <c r="J118" i="1" s="1"/>
  <c r="H118" i="1"/>
  <c r="G146" i="1"/>
  <c r="J146" i="1" s="1"/>
  <c r="H146" i="1"/>
  <c r="G10" i="1"/>
  <c r="J10" i="1" s="1"/>
  <c r="H10" i="1"/>
  <c r="G18" i="1"/>
  <c r="J18" i="1" s="1"/>
  <c r="H18" i="1"/>
  <c r="G48" i="1"/>
  <c r="J48" i="1" s="1"/>
  <c r="H48" i="1"/>
  <c r="G56" i="1"/>
  <c r="J56" i="1" s="1"/>
  <c r="H56" i="1"/>
  <c r="H75" i="1"/>
  <c r="G75" i="1"/>
  <c r="J75" i="1" s="1"/>
  <c r="H105" i="1"/>
  <c r="G105" i="1"/>
  <c r="J105" i="1" s="1"/>
  <c r="G129" i="1"/>
  <c r="J129" i="1" s="1"/>
  <c r="H129" i="1"/>
  <c r="G147" i="1"/>
  <c r="J147" i="1" s="1"/>
  <c r="H147" i="1"/>
  <c r="G165" i="1"/>
  <c r="J165" i="1" s="1"/>
  <c r="H165" i="1"/>
  <c r="G190" i="1"/>
  <c r="J190" i="1" s="1"/>
  <c r="H190" i="1"/>
  <c r="G206" i="1"/>
  <c r="J206" i="1" s="1"/>
  <c r="H206" i="1"/>
  <c r="G224" i="1"/>
  <c r="H224" i="1"/>
  <c r="G250" i="1"/>
  <c r="H250" i="1"/>
  <c r="G11" i="1"/>
  <c r="J11" i="1" s="1"/>
  <c r="H11" i="1"/>
  <c r="G20" i="1"/>
  <c r="J20" i="1" s="1"/>
  <c r="H20" i="1"/>
  <c r="H30" i="1"/>
  <c r="G30" i="1"/>
  <c r="J30" i="1" s="1"/>
  <c r="H40" i="1"/>
  <c r="G40" i="1"/>
  <c r="J40" i="1" s="1"/>
  <c r="H49" i="1"/>
  <c r="G49" i="1"/>
  <c r="J49" i="1" s="1"/>
  <c r="H57" i="1"/>
  <c r="G57" i="1"/>
  <c r="J57" i="1" s="1"/>
  <c r="H66" i="1"/>
  <c r="G66" i="1"/>
  <c r="J66" i="1" s="1"/>
  <c r="H76" i="1"/>
  <c r="G76" i="1"/>
  <c r="J76" i="1" s="1"/>
  <c r="H97" i="1"/>
  <c r="G97" i="1"/>
  <c r="J97" i="1" s="1"/>
  <c r="H106" i="1"/>
  <c r="G106" i="1"/>
  <c r="J106" i="1" s="1"/>
  <c r="G120" i="1"/>
  <c r="J120" i="1" s="1"/>
  <c r="H120" i="1"/>
  <c r="H130" i="1"/>
  <c r="G130" i="1"/>
  <c r="J130" i="1" s="1"/>
  <c r="G139" i="1"/>
  <c r="J139" i="1" s="1"/>
  <c r="H139" i="1"/>
  <c r="H148" i="1"/>
  <c r="G148" i="1"/>
  <c r="J148" i="1" s="1"/>
  <c r="G158" i="1"/>
  <c r="J158" i="1" s="1"/>
  <c r="H158" i="1"/>
  <c r="H166" i="1"/>
  <c r="G166" i="1"/>
  <c r="J166" i="1" s="1"/>
  <c r="G175" i="1"/>
  <c r="J175" i="1" s="1"/>
  <c r="H175" i="1"/>
  <c r="H183" i="1"/>
  <c r="G183" i="1"/>
  <c r="J183" i="1" s="1"/>
  <c r="G191" i="1"/>
  <c r="J191" i="1" s="1"/>
  <c r="H191" i="1"/>
  <c r="H199" i="1"/>
  <c r="G199" i="1"/>
  <c r="J199" i="1" s="1"/>
  <c r="G207" i="1"/>
  <c r="J207" i="1" s="1"/>
  <c r="H207" i="1"/>
  <c r="H216" i="1"/>
  <c r="G216" i="1"/>
  <c r="J216" i="1" s="1"/>
  <c r="G225" i="1"/>
  <c r="H225" i="1"/>
  <c r="G234" i="1"/>
  <c r="H234" i="1"/>
  <c r="H242" i="1"/>
  <c r="G242" i="1"/>
  <c r="H251" i="1"/>
  <c r="G251" i="1"/>
  <c r="G260" i="1"/>
  <c r="J260" i="1" s="1"/>
  <c r="H260" i="1"/>
  <c r="H269" i="1"/>
  <c r="G269" i="1"/>
  <c r="J269" i="1" s="1"/>
  <c r="G278" i="1"/>
  <c r="J278" i="1" s="1"/>
  <c r="H278" i="1"/>
  <c r="H289" i="1"/>
  <c r="G289" i="1"/>
  <c r="J289" i="1" s="1"/>
  <c r="G12" i="1"/>
  <c r="J12" i="1" s="1"/>
  <c r="H12" i="1"/>
  <c r="H21" i="1"/>
  <c r="G21" i="1"/>
  <c r="J21" i="1" s="1"/>
  <c r="H31" i="1"/>
  <c r="G31" i="1"/>
  <c r="J31" i="1" s="1"/>
  <c r="H41" i="1"/>
  <c r="G41" i="1"/>
  <c r="J41" i="1" s="1"/>
  <c r="H50" i="1"/>
  <c r="G50" i="1"/>
  <c r="J50" i="1" s="1"/>
  <c r="H58" i="1"/>
  <c r="G58" i="1"/>
  <c r="J58" i="1" s="1"/>
  <c r="H68" i="1"/>
  <c r="G68" i="1"/>
  <c r="J68" i="1" s="1"/>
  <c r="H78" i="1"/>
  <c r="G78" i="1"/>
  <c r="J78" i="1" s="1"/>
  <c r="H98" i="1"/>
  <c r="G98" i="1"/>
  <c r="J98" i="1" s="1"/>
  <c r="G107" i="1"/>
  <c r="J107" i="1" s="1"/>
  <c r="H107" i="1"/>
  <c r="H121" i="1"/>
  <c r="G121" i="1"/>
  <c r="J121" i="1" s="1"/>
  <c r="H131" i="1"/>
  <c r="G131" i="1"/>
  <c r="J131" i="1" s="1"/>
  <c r="H140" i="1"/>
  <c r="G140" i="1"/>
  <c r="J140" i="1" s="1"/>
  <c r="H150" i="1"/>
  <c r="G150" i="1"/>
  <c r="J150" i="1" s="1"/>
  <c r="H159" i="1"/>
  <c r="G159" i="1"/>
  <c r="J159" i="1" s="1"/>
  <c r="H167" i="1"/>
  <c r="G167" i="1"/>
  <c r="J167" i="1" s="1"/>
  <c r="H176" i="1"/>
  <c r="G176" i="1"/>
  <c r="J176" i="1" s="1"/>
  <c r="H184" i="1"/>
  <c r="G184" i="1"/>
  <c r="J184" i="1" s="1"/>
  <c r="H192" i="1"/>
  <c r="G192" i="1"/>
  <c r="J192" i="1" s="1"/>
  <c r="H200" i="1"/>
  <c r="G200" i="1"/>
  <c r="J200" i="1" s="1"/>
  <c r="H208" i="1"/>
  <c r="G208" i="1"/>
  <c r="J208" i="1" s="1"/>
  <c r="H217" i="1"/>
  <c r="G217" i="1"/>
  <c r="J217" i="1" s="1"/>
  <c r="H226" i="1"/>
  <c r="G226" i="1"/>
  <c r="H235" i="1"/>
  <c r="G235" i="1"/>
  <c r="H243" i="1"/>
  <c r="G243" i="1"/>
  <c r="H252" i="1"/>
  <c r="G252" i="1"/>
  <c r="H261" i="1"/>
  <c r="G261" i="1"/>
  <c r="J261" i="1" s="1"/>
  <c r="H270" i="1"/>
  <c r="G270" i="1"/>
  <c r="J270" i="1" s="1"/>
  <c r="H280" i="1"/>
  <c r="G280" i="1"/>
  <c r="J280" i="1" s="1"/>
  <c r="H290" i="1"/>
  <c r="G290" i="1"/>
  <c r="J290" i="1" s="1"/>
  <c r="G13" i="1"/>
  <c r="J13" i="1" s="1"/>
  <c r="H13" i="1"/>
  <c r="H22" i="1"/>
  <c r="G22" i="1"/>
  <c r="J22" i="1" s="1"/>
  <c r="H32" i="1"/>
  <c r="G32" i="1"/>
  <c r="J32" i="1" s="1"/>
  <c r="H42" i="1"/>
  <c r="G42" i="1"/>
  <c r="J42" i="1" s="1"/>
  <c r="H51" i="1"/>
  <c r="G51" i="1"/>
  <c r="J51" i="1" s="1"/>
  <c r="H59" i="1"/>
  <c r="G59" i="1"/>
  <c r="J59" i="1" s="1"/>
  <c r="H69" i="1"/>
  <c r="G69" i="1"/>
  <c r="J69" i="1" s="1"/>
  <c r="H79" i="1"/>
  <c r="G79" i="1"/>
  <c r="J79" i="1" s="1"/>
  <c r="G99" i="1"/>
  <c r="J99" i="1" s="1"/>
  <c r="H99" i="1"/>
  <c r="G108" i="1"/>
  <c r="J108" i="1" s="1"/>
  <c r="H108" i="1"/>
  <c r="H122" i="1"/>
  <c r="G122" i="1"/>
  <c r="J122" i="1" s="1"/>
  <c r="H132" i="1"/>
  <c r="G132" i="1"/>
  <c r="J132" i="1" s="1"/>
  <c r="H142" i="1"/>
  <c r="G142" i="1"/>
  <c r="J142" i="1" s="1"/>
  <c r="H151" i="1"/>
  <c r="G151" i="1"/>
  <c r="J151" i="1" s="1"/>
  <c r="H160" i="1"/>
  <c r="G160" i="1"/>
  <c r="J160" i="1" s="1"/>
  <c r="H169" i="1"/>
  <c r="G169" i="1"/>
  <c r="J169" i="1" s="1"/>
  <c r="H177" i="1"/>
  <c r="G177" i="1"/>
  <c r="J177" i="1" s="1"/>
  <c r="H185" i="1"/>
  <c r="G185" i="1"/>
  <c r="J185" i="1" s="1"/>
  <c r="H193" i="1"/>
  <c r="G193" i="1"/>
  <c r="J193" i="1" s="1"/>
  <c r="H201" i="1"/>
  <c r="G201" i="1"/>
  <c r="J201" i="1" s="1"/>
  <c r="H209" i="1"/>
  <c r="G209" i="1"/>
  <c r="J209" i="1" s="1"/>
  <c r="H218" i="1"/>
  <c r="G218" i="1"/>
  <c r="H227" i="1"/>
  <c r="G227" i="1"/>
  <c r="H236" i="1"/>
  <c r="G236" i="1"/>
  <c r="H245" i="1"/>
  <c r="G245" i="1"/>
  <c r="H253" i="1"/>
  <c r="G253" i="1"/>
  <c r="J253" i="1" s="1"/>
  <c r="H262" i="1"/>
  <c r="G262" i="1"/>
  <c r="J262" i="1" s="1"/>
  <c r="H271" i="1"/>
  <c r="G271" i="1"/>
  <c r="J271" i="1" s="1"/>
  <c r="H283" i="1"/>
  <c r="G283" i="1"/>
  <c r="J283" i="1" s="1"/>
  <c r="H354" i="1"/>
  <c r="G354" i="1"/>
  <c r="H8" i="1"/>
  <c r="G8" i="1"/>
  <c r="J8" i="1" s="1"/>
  <c r="G47" i="1"/>
  <c r="J47" i="1" s="1"/>
  <c r="H47" i="1"/>
  <c r="G55" i="1"/>
  <c r="J55" i="1" s="1"/>
  <c r="H55" i="1"/>
  <c r="G83" i="1"/>
  <c r="J83" i="1" s="1"/>
  <c r="H83" i="1"/>
  <c r="H345" i="1" s="1"/>
  <c r="G137" i="1"/>
  <c r="J137" i="1" s="1"/>
  <c r="H137" i="1"/>
  <c r="G156" i="1"/>
  <c r="J156" i="1" s="1"/>
  <c r="H156" i="1"/>
  <c r="G173" i="1"/>
  <c r="J173" i="1" s="1"/>
  <c r="H173" i="1"/>
  <c r="G189" i="1"/>
  <c r="J189" i="1" s="1"/>
  <c r="H189" i="1"/>
  <c r="G205" i="1"/>
  <c r="J205" i="1" s="1"/>
  <c r="H205" i="1"/>
  <c r="G223" i="1"/>
  <c r="H223" i="1"/>
  <c r="G240" i="1"/>
  <c r="H240" i="1"/>
  <c r="G257" i="1"/>
  <c r="J257" i="1" s="1"/>
  <c r="H257" i="1"/>
  <c r="G276" i="1"/>
  <c r="J276" i="1" s="1"/>
  <c r="H276" i="1"/>
  <c r="G29" i="1"/>
  <c r="J29" i="1" s="1"/>
  <c r="H29" i="1"/>
  <c r="H38" i="1"/>
  <c r="G38" i="1"/>
  <c r="J38" i="1" s="1"/>
  <c r="H65" i="1"/>
  <c r="G65" i="1"/>
  <c r="J65" i="1" s="1"/>
  <c r="G84" i="1"/>
  <c r="J84" i="1" s="1"/>
  <c r="H84" i="1"/>
  <c r="G119" i="1"/>
  <c r="J119" i="1" s="1"/>
  <c r="H119" i="1"/>
  <c r="G138" i="1"/>
  <c r="J138" i="1" s="1"/>
  <c r="H138" i="1"/>
  <c r="G157" i="1"/>
  <c r="J157" i="1" s="1"/>
  <c r="H157" i="1"/>
  <c r="G174" i="1"/>
  <c r="J174" i="1" s="1"/>
  <c r="H174" i="1"/>
  <c r="G182" i="1"/>
  <c r="J182" i="1" s="1"/>
  <c r="H182" i="1"/>
  <c r="G198" i="1"/>
  <c r="J198" i="1" s="1"/>
  <c r="H198" i="1"/>
  <c r="G215" i="1"/>
  <c r="J215" i="1" s="1"/>
  <c r="H215" i="1"/>
  <c r="G232" i="1"/>
  <c r="H232" i="1"/>
  <c r="G241" i="1"/>
  <c r="H241" i="1"/>
  <c r="G258" i="1"/>
  <c r="J258" i="1" s="1"/>
  <c r="H258" i="1"/>
  <c r="G268" i="1"/>
  <c r="J268" i="1" s="1"/>
  <c r="H268" i="1"/>
  <c r="G277" i="1"/>
  <c r="J277" i="1" s="1"/>
  <c r="H277" i="1"/>
  <c r="H288" i="1"/>
  <c r="G288" i="1"/>
  <c r="J288" i="1" s="1"/>
  <c r="H14" i="1"/>
  <c r="G14" i="1"/>
  <c r="J14" i="1" s="1"/>
  <c r="H23" i="1"/>
  <c r="G23" i="1"/>
  <c r="J23" i="1" s="1"/>
  <c r="H33" i="1"/>
  <c r="G33" i="1"/>
  <c r="J33" i="1" s="1"/>
  <c r="H43" i="1"/>
  <c r="G43" i="1"/>
  <c r="J43" i="1" s="1"/>
  <c r="H52" i="1"/>
  <c r="G52" i="1"/>
  <c r="J52" i="1" s="1"/>
  <c r="H60" i="1"/>
  <c r="G60" i="1"/>
  <c r="J60" i="1" s="1"/>
  <c r="H70" i="1"/>
  <c r="G70" i="1"/>
  <c r="J70" i="1" s="1"/>
  <c r="H80" i="1"/>
  <c r="G80" i="1"/>
  <c r="J80" i="1" s="1"/>
  <c r="G100" i="1"/>
  <c r="J100" i="1" s="1"/>
  <c r="H100" i="1"/>
  <c r="G109" i="1"/>
  <c r="J109" i="1" s="1"/>
  <c r="H109" i="1"/>
  <c r="H123" i="1"/>
  <c r="G123" i="1"/>
  <c r="J123" i="1" s="1"/>
  <c r="H133" i="1"/>
  <c r="G133" i="1"/>
  <c r="J133" i="1" s="1"/>
  <c r="H143" i="1"/>
  <c r="G143" i="1"/>
  <c r="J143" i="1" s="1"/>
  <c r="H152" i="1"/>
  <c r="G152" i="1"/>
  <c r="J152" i="1" s="1"/>
  <c r="H161" i="1"/>
  <c r="G161" i="1"/>
  <c r="J161" i="1" s="1"/>
  <c r="H170" i="1"/>
  <c r="G170" i="1"/>
  <c r="J170" i="1" s="1"/>
  <c r="H178" i="1"/>
  <c r="G178" i="1"/>
  <c r="J178" i="1" s="1"/>
  <c r="H186" i="1"/>
  <c r="G186" i="1"/>
  <c r="J186" i="1" s="1"/>
  <c r="H194" i="1"/>
  <c r="G194" i="1"/>
  <c r="J194" i="1" s="1"/>
  <c r="H202" i="1"/>
  <c r="G202" i="1"/>
  <c r="J202" i="1" s="1"/>
  <c r="H210" i="1"/>
  <c r="G210" i="1"/>
  <c r="J210" i="1" s="1"/>
  <c r="H220" i="1"/>
  <c r="G220" i="1"/>
  <c r="H228" i="1"/>
  <c r="G228" i="1"/>
  <c r="H237" i="1"/>
  <c r="G237" i="1"/>
  <c r="H246" i="1"/>
  <c r="G246" i="1"/>
  <c r="H254" i="1"/>
  <c r="G254" i="1"/>
  <c r="J254" i="1" s="1"/>
  <c r="H263" i="1"/>
  <c r="G263" i="1"/>
  <c r="J263" i="1" s="1"/>
  <c r="H273" i="1"/>
  <c r="G273" i="1"/>
  <c r="J273" i="1" s="1"/>
  <c r="G284" i="1"/>
  <c r="J284" i="1" s="1"/>
  <c r="H284" i="1"/>
  <c r="J266" i="1" l="1"/>
  <c r="J155" i="1"/>
  <c r="H110" i="1"/>
  <c r="H85" i="1"/>
  <c r="H291" i="1"/>
  <c r="J149" i="1"/>
  <c r="J71" i="1"/>
  <c r="J110" i="1"/>
  <c r="H135" i="1"/>
  <c r="H77" i="1"/>
  <c r="H39" i="1"/>
  <c r="H272" i="1"/>
  <c r="H71" i="1"/>
  <c r="J135" i="1"/>
  <c r="J77" i="1"/>
  <c r="J272" i="1"/>
  <c r="J211" i="1"/>
  <c r="H238" i="1"/>
  <c r="J44" i="1"/>
  <c r="J124" i="1"/>
  <c r="H67" i="1"/>
  <c r="H259" i="1"/>
  <c r="J279" i="1"/>
  <c r="H279" i="1"/>
  <c r="J168" i="1"/>
  <c r="H211" i="1"/>
  <c r="H155" i="1"/>
  <c r="H44" i="1"/>
  <c r="H124" i="1"/>
  <c r="J67" i="1"/>
  <c r="H149" i="1"/>
  <c r="H168" i="1"/>
  <c r="J291" i="1"/>
  <c r="H266" i="1"/>
  <c r="H34" i="1"/>
  <c r="H219" i="1"/>
  <c r="J85" i="1"/>
  <c r="H244" i="1"/>
  <c r="H141" i="1"/>
  <c r="H63" i="1"/>
  <c r="H233" i="1"/>
  <c r="J141" i="1"/>
  <c r="J63" i="1"/>
  <c r="J354" i="1"/>
  <c r="H357" i="1"/>
  <c r="I358" i="1"/>
  <c r="M363" i="1" s="1"/>
  <c r="M346" i="1" s="1"/>
  <c r="J237" i="1"/>
  <c r="J236" i="1"/>
  <c r="J252" i="1"/>
  <c r="J241" i="1"/>
  <c r="J223" i="1"/>
  <c r="J234" i="1"/>
  <c r="J250" i="1"/>
  <c r="J222" i="1"/>
  <c r="J249" i="1"/>
  <c r="J243" i="1"/>
  <c r="J232" i="1"/>
  <c r="J225" i="1"/>
  <c r="J224" i="1"/>
  <c r="J248" i="1"/>
  <c r="J231" i="1"/>
  <c r="J220" i="1"/>
  <c r="J218" i="1"/>
  <c r="J219" i="1" s="1"/>
  <c r="J235" i="1"/>
  <c r="J251" i="1"/>
  <c r="J247" i="1"/>
  <c r="J228" i="1"/>
  <c r="J227" i="1"/>
  <c r="J239" i="1"/>
  <c r="J226" i="1"/>
  <c r="J246" i="1"/>
  <c r="J245" i="1"/>
  <c r="J242" i="1"/>
  <c r="J229" i="1"/>
  <c r="J240" i="1"/>
  <c r="J230" i="1"/>
  <c r="J221" i="1"/>
  <c r="J35" i="1"/>
  <c r="J39" i="1" s="1"/>
  <c r="H292" i="1" l="1"/>
  <c r="J259" i="1"/>
  <c r="J233" i="1"/>
  <c r="J244" i="1"/>
  <c r="J238" i="1"/>
  <c r="M352" i="1"/>
  <c r="N352" i="1" s="1"/>
  <c r="O352" i="1" s="1"/>
  <c r="R352" i="1" s="1"/>
  <c r="I360" i="1"/>
  <c r="J357" i="1"/>
  <c r="J345" i="1"/>
  <c r="M113" i="1" l="1"/>
  <c r="M236" i="1"/>
  <c r="M46" i="1"/>
  <c r="M62" i="1"/>
  <c r="M340" i="1"/>
  <c r="M143" i="1"/>
  <c r="M327" i="1"/>
  <c r="M66" i="1"/>
  <c r="M37" i="1"/>
  <c r="M137" i="1"/>
  <c r="M287" i="1"/>
  <c r="M51" i="1"/>
  <c r="M29" i="1"/>
  <c r="M221" i="1"/>
  <c r="M250" i="1"/>
  <c r="M166" i="1"/>
  <c r="M323" i="1"/>
  <c r="M162" i="1"/>
  <c r="M30" i="1"/>
  <c r="M251" i="1"/>
  <c r="M305" i="1"/>
  <c r="M103" i="1"/>
  <c r="M28" i="1"/>
  <c r="M280" i="1"/>
  <c r="M122" i="1"/>
  <c r="M201" i="1"/>
  <c r="M40" i="1"/>
  <c r="M53" i="1"/>
  <c r="M265" i="1"/>
  <c r="M78" i="1"/>
  <c r="M203" i="1"/>
  <c r="M304" i="1"/>
  <c r="M200" i="1"/>
  <c r="M120" i="1"/>
  <c r="M152" i="1"/>
  <c r="M206" i="1"/>
  <c r="M98" i="1"/>
  <c r="M33" i="1"/>
  <c r="M47" i="1"/>
  <c r="M48" i="1"/>
  <c r="M121" i="1"/>
  <c r="M320" i="1"/>
  <c r="M21" i="1"/>
  <c r="M171" i="1"/>
  <c r="M277" i="1"/>
  <c r="M61" i="1"/>
  <c r="M50" i="1"/>
  <c r="M107" i="1"/>
  <c r="M91" i="1"/>
  <c r="M234" i="1"/>
  <c r="M25" i="1"/>
  <c r="M175" i="1"/>
  <c r="M165" i="1"/>
  <c r="M178" i="1"/>
  <c r="M194" i="1"/>
  <c r="M296" i="1"/>
  <c r="M158" i="1"/>
  <c r="M157" i="1"/>
  <c r="M108" i="1"/>
  <c r="M276" i="1"/>
  <c r="M257" i="1"/>
  <c r="M163" i="1"/>
  <c r="M209" i="1"/>
  <c r="M174" i="1"/>
  <c r="M190" i="1"/>
  <c r="M207" i="1"/>
  <c r="M269" i="1"/>
  <c r="M223" i="1"/>
  <c r="M138" i="1"/>
  <c r="M58" i="1"/>
  <c r="M100" i="1"/>
  <c r="M8" i="1"/>
  <c r="M338" i="1"/>
  <c r="M216" i="1"/>
  <c r="M336" i="1"/>
  <c r="M318" i="1"/>
  <c r="M195" i="1"/>
  <c r="M54" i="1"/>
  <c r="M64" i="1"/>
  <c r="M306" i="1"/>
  <c r="M273" i="1"/>
  <c r="M310" i="1"/>
  <c r="M102" i="1"/>
  <c r="M79" i="1"/>
  <c r="M146" i="1"/>
  <c r="M95" i="1"/>
  <c r="M75" i="1"/>
  <c r="M333" i="1"/>
  <c r="M24" i="1"/>
  <c r="M334" i="1"/>
  <c r="M134" i="1"/>
  <c r="M88" i="1"/>
  <c r="M353" i="1"/>
  <c r="N353" i="1" s="1"/>
  <c r="O353" i="1" s="1"/>
  <c r="R353" i="1" s="1"/>
  <c r="M278" i="1"/>
  <c r="M176" i="1"/>
  <c r="M210" i="1"/>
  <c r="M258" i="1"/>
  <c r="M184" i="1"/>
  <c r="M128" i="1"/>
  <c r="M313" i="1"/>
  <c r="M317" i="1"/>
  <c r="M226" i="1"/>
  <c r="M186" i="1"/>
  <c r="M118" i="1"/>
  <c r="M255" i="1"/>
  <c r="M97" i="1"/>
  <c r="M127" i="1"/>
  <c r="M181" i="1"/>
  <c r="M5" i="1"/>
  <c r="M315" i="1"/>
  <c r="M283" i="1"/>
  <c r="M328" i="1"/>
  <c r="M253" i="1"/>
  <c r="M205" i="1"/>
  <c r="M199" i="1"/>
  <c r="M60" i="1"/>
  <c r="M145" i="1"/>
  <c r="M90" i="1"/>
  <c r="M16" i="1"/>
  <c r="M31" i="1"/>
  <c r="M271" i="1"/>
  <c r="M341" i="1"/>
  <c r="M349" i="1"/>
  <c r="N349" i="1" s="1"/>
  <c r="O349" i="1" s="1"/>
  <c r="R349" i="1" s="1"/>
  <c r="M117" i="1"/>
  <c r="M172" i="1"/>
  <c r="M132" i="1"/>
  <c r="M45" i="1"/>
  <c r="M189" i="1"/>
  <c r="M35" i="1"/>
  <c r="M112" i="1"/>
  <c r="M282" i="1"/>
  <c r="M11" i="1"/>
  <c r="M232" i="1"/>
  <c r="M101" i="1"/>
  <c r="M270" i="1"/>
  <c r="M23" i="1"/>
  <c r="M247" i="1"/>
  <c r="M154" i="1"/>
  <c r="M148" i="1"/>
  <c r="M299" i="1"/>
  <c r="M123" i="1"/>
  <c r="M294" i="1"/>
  <c r="M42" i="1"/>
  <c r="M65" i="1"/>
  <c r="M52" i="1"/>
  <c r="M57" i="1"/>
  <c r="M83" i="1"/>
  <c r="M326" i="1"/>
  <c r="M55" i="1"/>
  <c r="M229" i="1"/>
  <c r="M115" i="1"/>
  <c r="M139" i="1"/>
  <c r="M192" i="1"/>
  <c r="M295" i="1"/>
  <c r="M300" i="1"/>
  <c r="M180" i="1"/>
  <c r="M106" i="1"/>
  <c r="M249" i="1"/>
  <c r="M275" i="1"/>
  <c r="M204" i="1"/>
  <c r="M99" i="1"/>
  <c r="N346" i="1"/>
  <c r="O346" i="1" s="1"/>
  <c r="R346" i="1" s="1"/>
  <c r="M72" i="1"/>
  <c r="M246" i="1"/>
  <c r="M321" i="1"/>
  <c r="M309" i="1"/>
  <c r="M330" i="1"/>
  <c r="M248" i="1"/>
  <c r="M17" i="1"/>
  <c r="M268" i="1"/>
  <c r="M133" i="1"/>
  <c r="M316" i="1"/>
  <c r="M267" i="1"/>
  <c r="M183" i="1"/>
  <c r="M240" i="1"/>
  <c r="M160" i="1"/>
  <c r="M198" i="1"/>
  <c r="M136" i="1"/>
  <c r="M252" i="1"/>
  <c r="M187" i="1"/>
  <c r="M235" i="1"/>
  <c r="M173" i="1"/>
  <c r="M354" i="1"/>
  <c r="N354" i="1" s="1"/>
  <c r="O354" i="1" s="1"/>
  <c r="R354" i="1" s="1"/>
  <c r="M19" i="1"/>
  <c r="M242" i="1"/>
  <c r="M343" i="1"/>
  <c r="M169" i="1"/>
  <c r="M285" i="1"/>
  <c r="M119" i="1"/>
  <c r="M288" i="1"/>
  <c r="M41" i="1"/>
  <c r="M264" i="1"/>
  <c r="M10" i="1"/>
  <c r="M104" i="1"/>
  <c r="M129" i="1"/>
  <c r="M170" i="1"/>
  <c r="M191" i="1"/>
  <c r="M301" i="1"/>
  <c r="M332" i="1"/>
  <c r="M27" i="1"/>
  <c r="M298" i="1"/>
  <c r="M177" i="1"/>
  <c r="M224" i="1"/>
  <c r="M82" i="1"/>
  <c r="M302" i="1"/>
  <c r="M15" i="1"/>
  <c r="M12" i="1"/>
  <c r="M228" i="1"/>
  <c r="M111" i="1"/>
  <c r="M89" i="1"/>
  <c r="M94" i="1"/>
  <c r="M36" i="1"/>
  <c r="M347" i="1"/>
  <c r="N347" i="1" s="1"/>
  <c r="O347" i="1" s="1"/>
  <c r="R347" i="1" s="1"/>
  <c r="M355" i="1"/>
  <c r="N355" i="1" s="1"/>
  <c r="O355" i="1" s="1"/>
  <c r="R355" i="1" s="1"/>
  <c r="M93" i="1"/>
  <c r="M245" i="1"/>
  <c r="M69" i="1"/>
  <c r="M239" i="1"/>
  <c r="M74" i="1"/>
  <c r="M243" i="1"/>
  <c r="M311" i="1"/>
  <c r="M220" i="1"/>
  <c r="M344" i="1"/>
  <c r="M214" i="1"/>
  <c r="M230" i="1"/>
  <c r="M140" i="1"/>
  <c r="M308" i="1"/>
  <c r="M73" i="1"/>
  <c r="M260" i="1"/>
  <c r="M14" i="1"/>
  <c r="M185" i="1"/>
  <c r="M9" i="1"/>
  <c r="M179" i="1"/>
  <c r="M217" i="1"/>
  <c r="M156" i="1"/>
  <c r="M227" i="1"/>
  <c r="M297" i="1"/>
  <c r="M331" i="1"/>
  <c r="M167" i="1"/>
  <c r="M43" i="1"/>
  <c r="M212" i="1"/>
  <c r="M289" i="1"/>
  <c r="M241" i="1"/>
  <c r="M274" i="1"/>
  <c r="M116" i="1"/>
  <c r="M131" i="1"/>
  <c r="M188" i="1"/>
  <c r="M290" i="1"/>
  <c r="M182" i="1"/>
  <c r="M202" i="1"/>
  <c r="M225" i="1"/>
  <c r="M350" i="1"/>
  <c r="N350" i="1" s="1"/>
  <c r="O350" i="1" s="1"/>
  <c r="R350" i="1" s="1"/>
  <c r="M348" i="1"/>
  <c r="N348" i="1" s="1"/>
  <c r="O348" i="1" s="1"/>
  <c r="R348" i="1" s="1"/>
  <c r="M147" i="1"/>
  <c r="M314" i="1"/>
  <c r="M68" i="1"/>
  <c r="M293" i="1"/>
  <c r="M20" i="1"/>
  <c r="M286" i="1"/>
  <c r="M56" i="1"/>
  <c r="M208" i="1"/>
  <c r="M32" i="1"/>
  <c r="M164" i="1"/>
  <c r="M329" i="1"/>
  <c r="M86" i="1"/>
  <c r="M254" i="1"/>
  <c r="M80" i="1"/>
  <c r="M70" i="1"/>
  <c r="M76" i="1"/>
  <c r="M342" i="1"/>
  <c r="M87" i="1"/>
  <c r="M109" i="1"/>
  <c r="M322" i="1"/>
  <c r="M22" i="1"/>
  <c r="M218" i="1"/>
  <c r="M125" i="1"/>
  <c r="M150" i="1"/>
  <c r="M144" i="1"/>
  <c r="M193" i="1"/>
  <c r="M213" i="1"/>
  <c r="M303" i="1"/>
  <c r="M7" i="1"/>
  <c r="M151" i="1"/>
  <c r="M222" i="1"/>
  <c r="M59" i="1"/>
  <c r="M84" i="1"/>
  <c r="M351" i="1"/>
  <c r="N351" i="1" s="1"/>
  <c r="O351" i="1" s="1"/>
  <c r="R351" i="1" s="1"/>
  <c r="M356" i="1"/>
  <c r="N356" i="1" s="1"/>
  <c r="O356" i="1" s="1"/>
  <c r="R356" i="1" s="1"/>
  <c r="M215" i="1"/>
  <c r="M196" i="1"/>
  <c r="M142" i="1"/>
  <c r="M81" i="1"/>
  <c r="M92" i="1"/>
  <c r="M26" i="1"/>
  <c r="M130" i="1"/>
  <c r="M281" i="1"/>
  <c r="M105" i="1"/>
  <c r="M231" i="1"/>
  <c r="M319" i="1"/>
  <c r="M159" i="1"/>
  <c r="M324" i="1"/>
  <c r="M153" i="1"/>
  <c r="M325" i="1"/>
  <c r="M18" i="1"/>
  <c r="M256" i="1"/>
  <c r="M339" i="1"/>
  <c r="M312" i="1"/>
  <c r="M38" i="1"/>
  <c r="M13" i="1"/>
  <c r="M49" i="1"/>
  <c r="M335" i="1"/>
  <c r="M6" i="1"/>
  <c r="M161" i="1"/>
  <c r="M307" i="1"/>
  <c r="M237" i="1"/>
  <c r="M261" i="1"/>
  <c r="M284" i="1"/>
  <c r="M262" i="1"/>
  <c r="M197" i="1"/>
  <c r="M263" i="1"/>
  <c r="M337" i="1"/>
  <c r="H358" i="1"/>
  <c r="K362" i="1" l="1"/>
  <c r="H360" i="1"/>
  <c r="L362" i="1" l="1"/>
  <c r="K365" i="1"/>
  <c r="G25" i="9" l="1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P163" i="1"/>
  <c r="P202" i="1"/>
  <c r="P201" i="1"/>
  <c r="P162" i="1"/>
  <c r="P200" i="1"/>
  <c r="P199" i="1"/>
  <c r="P161" i="1"/>
  <c r="P198" i="1"/>
  <c r="P197" i="1"/>
  <c r="P160" i="1"/>
  <c r="P196" i="1"/>
  <c r="P195" i="1"/>
  <c r="P159" i="1"/>
  <c r="P194" i="1"/>
  <c r="P193" i="1"/>
  <c r="P158" i="1"/>
  <c r="P192" i="1"/>
  <c r="P191" i="1"/>
  <c r="P157" i="1"/>
  <c r="P190" i="1"/>
  <c r="P189" i="1"/>
  <c r="P156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290" i="1"/>
  <c r="P289" i="1"/>
  <c r="P288" i="1"/>
  <c r="P287" i="1"/>
  <c r="P286" i="1"/>
  <c r="P285" i="1"/>
  <c r="P140" i="1"/>
  <c r="P154" i="1"/>
  <c r="P139" i="1"/>
  <c r="P153" i="1"/>
  <c r="P152" i="1"/>
  <c r="P138" i="1"/>
  <c r="P137" i="1"/>
  <c r="P151" i="1"/>
  <c r="P150" i="1"/>
  <c r="P136" i="1"/>
  <c r="P33" i="1"/>
  <c r="P32" i="1"/>
  <c r="P31" i="1"/>
  <c r="P30" i="1"/>
  <c r="P29" i="1"/>
  <c r="P28" i="1"/>
  <c r="P125" i="1"/>
  <c r="P218" i="1"/>
  <c r="P217" i="1"/>
  <c r="P232" i="1"/>
  <c r="P231" i="1"/>
  <c r="P216" i="1"/>
  <c r="P243" i="1"/>
  <c r="P215" i="1"/>
  <c r="P242" i="1"/>
  <c r="P241" i="1"/>
  <c r="P230" i="1"/>
  <c r="P258" i="1"/>
  <c r="P257" i="1"/>
  <c r="P229" i="1"/>
  <c r="P256" i="1"/>
  <c r="P228" i="1"/>
  <c r="P255" i="1"/>
  <c r="P214" i="1"/>
  <c r="P240" i="1"/>
  <c r="P239" i="1"/>
  <c r="P213" i="1"/>
  <c r="P227" i="1"/>
  <c r="P254" i="1"/>
  <c r="P226" i="1"/>
  <c r="P253" i="1"/>
  <c r="P225" i="1"/>
  <c r="P252" i="1"/>
  <c r="P224" i="1"/>
  <c r="P251" i="1"/>
  <c r="P223" i="1"/>
  <c r="P250" i="1"/>
  <c r="P222" i="1"/>
  <c r="P249" i="1"/>
  <c r="P248" i="1"/>
  <c r="P221" i="1"/>
  <c r="P247" i="1"/>
  <c r="P220" i="1"/>
  <c r="P246" i="1"/>
  <c r="P245" i="1"/>
  <c r="P212" i="1"/>
  <c r="P27" i="1"/>
  <c r="P26" i="1"/>
  <c r="P134" i="1"/>
  <c r="P148" i="1"/>
  <c r="P133" i="1"/>
  <c r="P147" i="1"/>
  <c r="P132" i="1"/>
  <c r="P146" i="1"/>
  <c r="P131" i="1"/>
  <c r="P130" i="1"/>
  <c r="P145" i="1"/>
  <c r="P129" i="1"/>
  <c r="P144" i="1"/>
  <c r="P128" i="1"/>
  <c r="P143" i="1"/>
  <c r="P127" i="1"/>
  <c r="P142" i="1"/>
  <c r="P25" i="1"/>
  <c r="P284" i="1"/>
  <c r="P24" i="1"/>
  <c r="P283" i="1"/>
  <c r="P282" i="1"/>
  <c r="P281" i="1"/>
  <c r="P23" i="1"/>
  <c r="P22" i="1"/>
  <c r="P280" i="1"/>
  <c r="P21" i="1"/>
  <c r="P20" i="1"/>
  <c r="P113" i="1"/>
  <c r="P112" i="1"/>
  <c r="P111" i="1"/>
  <c r="P19" i="1"/>
  <c r="P123" i="1"/>
  <c r="P122" i="1"/>
  <c r="P121" i="1"/>
  <c r="P120" i="1"/>
  <c r="P18" i="1"/>
  <c r="P17" i="1"/>
  <c r="P16" i="1"/>
  <c r="P15" i="1"/>
  <c r="P14" i="1"/>
  <c r="P13" i="1"/>
  <c r="P12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11" i="1"/>
  <c r="P10" i="1"/>
  <c r="P119" i="1"/>
  <c r="P118" i="1"/>
  <c r="P117" i="1"/>
  <c r="P116" i="1"/>
  <c r="P115" i="1"/>
  <c r="P9" i="1"/>
  <c r="P95" i="1"/>
  <c r="P94" i="1"/>
  <c r="P93" i="1"/>
  <c r="P92" i="1"/>
  <c r="P91" i="1"/>
  <c r="P90" i="1"/>
  <c r="P89" i="1"/>
  <c r="P88" i="1"/>
  <c r="P87" i="1"/>
  <c r="P86" i="1"/>
  <c r="P76" i="1"/>
  <c r="P75" i="1"/>
  <c r="P74" i="1"/>
  <c r="P73" i="1"/>
  <c r="P72" i="1"/>
  <c r="P66" i="1"/>
  <c r="P70" i="1"/>
  <c r="P69" i="1"/>
  <c r="P65" i="1"/>
  <c r="P68" i="1"/>
  <c r="P64" i="1"/>
  <c r="P62" i="1"/>
  <c r="P8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84" i="1"/>
  <c r="P83" i="1"/>
  <c r="P82" i="1"/>
  <c r="P81" i="1"/>
  <c r="P80" i="1"/>
  <c r="P79" i="1"/>
  <c r="P78" i="1"/>
  <c r="P43" i="1"/>
  <c r="P42" i="1"/>
  <c r="P41" i="1"/>
  <c r="P40" i="1"/>
  <c r="P7" i="1"/>
  <c r="P6" i="1"/>
  <c r="P5" i="1"/>
  <c r="P38" i="1"/>
  <c r="P37" i="1"/>
  <c r="P36" i="1"/>
  <c r="G5" i="1" l="1"/>
  <c r="J5" i="1" s="1"/>
  <c r="J34" i="1" l="1"/>
  <c r="J292" i="1" s="1"/>
  <c r="O357" i="1"/>
  <c r="R357" i="1" s="1"/>
  <c r="L298" i="1"/>
  <c r="N298" i="1" s="1"/>
  <c r="O298" i="1" s="1"/>
  <c r="R298" i="1" s="1"/>
  <c r="L333" i="1"/>
  <c r="L304" i="1"/>
  <c r="L311" i="1"/>
  <c r="L307" i="1"/>
  <c r="L328" i="1"/>
  <c r="L331" i="1"/>
  <c r="L335" i="1"/>
  <c r="L334" i="1"/>
  <c r="L332" i="1"/>
  <c r="L337" i="1"/>
  <c r="L326" i="1"/>
  <c r="L321" i="1"/>
  <c r="L312" i="1"/>
  <c r="L341" i="1"/>
  <c r="L336" i="1"/>
  <c r="L317" i="1"/>
  <c r="L297" i="1"/>
  <c r="L296" i="1"/>
  <c r="L306" i="1"/>
  <c r="L305" i="1"/>
  <c r="L344" i="1"/>
  <c r="L313" i="1"/>
  <c r="L300" i="1"/>
  <c r="L318" i="1"/>
  <c r="L340" i="1"/>
  <c r="L299" i="1"/>
  <c r="L322" i="1"/>
  <c r="L294" i="1"/>
  <c r="L308" i="1"/>
  <c r="L329" i="1"/>
  <c r="L342" i="1"/>
  <c r="L309" i="1"/>
  <c r="L310" i="1"/>
  <c r="L338" i="1"/>
  <c r="L316" i="1"/>
  <c r="L301" i="1"/>
  <c r="L330" i="1"/>
  <c r="L343" i="1"/>
  <c r="L295" i="1"/>
  <c r="L314" i="1"/>
  <c r="L324" i="1"/>
  <c r="L319" i="1"/>
  <c r="L327" i="1"/>
  <c r="L303" i="1"/>
  <c r="L302" i="1"/>
  <c r="L320" i="1"/>
  <c r="L323" i="1"/>
  <c r="L325" i="1"/>
  <c r="L339" i="1"/>
  <c r="L315" i="1"/>
  <c r="N327" i="1" l="1"/>
  <c r="O327" i="1" s="1"/>
  <c r="R327" i="1" s="1"/>
  <c r="N316" i="1"/>
  <c r="O316" i="1" s="1"/>
  <c r="R316" i="1" s="1"/>
  <c r="N322" i="1"/>
  <c r="O322" i="1" s="1"/>
  <c r="R322" i="1" s="1"/>
  <c r="N306" i="1"/>
  <c r="O306" i="1" s="1"/>
  <c r="R306" i="1" s="1"/>
  <c r="N326" i="1"/>
  <c r="O326" i="1" s="1"/>
  <c r="R326" i="1" s="1"/>
  <c r="N311" i="1"/>
  <c r="O311" i="1" s="1"/>
  <c r="R311" i="1" s="1"/>
  <c r="N296" i="1"/>
  <c r="O296" i="1" s="1"/>
  <c r="R296" i="1" s="1"/>
  <c r="N310" i="1"/>
  <c r="O310" i="1" s="1"/>
  <c r="R310" i="1" s="1"/>
  <c r="N318" i="1"/>
  <c r="O318" i="1" s="1"/>
  <c r="R318" i="1" s="1"/>
  <c r="N334" i="1"/>
  <c r="O334" i="1" s="1"/>
  <c r="R334" i="1" s="1"/>
  <c r="N319" i="1"/>
  <c r="O319" i="1" s="1"/>
  <c r="R319" i="1" s="1"/>
  <c r="N337" i="1"/>
  <c r="O337" i="1" s="1"/>
  <c r="R337" i="1" s="1"/>
  <c r="N340" i="1"/>
  <c r="N325" i="1"/>
  <c r="O325" i="1" s="1"/>
  <c r="R325" i="1" s="1"/>
  <c r="N295" i="1"/>
  <c r="O295" i="1" s="1"/>
  <c r="R295" i="1" s="1"/>
  <c r="N336" i="1"/>
  <c r="O336" i="1" s="1"/>
  <c r="R336" i="1" s="1"/>
  <c r="N335" i="1"/>
  <c r="O335" i="1" s="1"/>
  <c r="R335" i="1" s="1"/>
  <c r="N338" i="1"/>
  <c r="O338" i="1" s="1"/>
  <c r="R338" i="1" s="1"/>
  <c r="N339" i="1"/>
  <c r="N333" i="1"/>
  <c r="O333" i="1" s="1"/>
  <c r="R333" i="1" s="1"/>
  <c r="N309" i="1"/>
  <c r="O309" i="1" s="1"/>
  <c r="R309" i="1" s="1"/>
  <c r="N323" i="1"/>
  <c r="O323" i="1" s="1"/>
  <c r="R323" i="1" s="1"/>
  <c r="N342" i="1"/>
  <c r="O342" i="1" s="1"/>
  <c r="R342" i="1" s="1"/>
  <c r="N300" i="1"/>
  <c r="O300" i="1" s="1"/>
  <c r="R300" i="1" s="1"/>
  <c r="N320" i="1"/>
  <c r="O320" i="1" s="1"/>
  <c r="R320" i="1" s="1"/>
  <c r="N343" i="1"/>
  <c r="O343" i="1" s="1"/>
  <c r="R343" i="1" s="1"/>
  <c r="N329" i="1"/>
  <c r="O329" i="1" s="1"/>
  <c r="R329" i="1" s="1"/>
  <c r="N313" i="1"/>
  <c r="O313" i="1" s="1"/>
  <c r="R313" i="1" s="1"/>
  <c r="N341" i="1"/>
  <c r="O341" i="1" s="1"/>
  <c r="R341" i="1" s="1"/>
  <c r="N331" i="1"/>
  <c r="O331" i="1" s="1"/>
  <c r="R331" i="1" s="1"/>
  <c r="N315" i="1"/>
  <c r="O315" i="1" s="1"/>
  <c r="R315" i="1" s="1"/>
  <c r="N304" i="1"/>
  <c r="O304" i="1" s="1"/>
  <c r="R304" i="1" s="1"/>
  <c r="N297" i="1"/>
  <c r="O297" i="1" s="1"/>
  <c r="R297" i="1" s="1"/>
  <c r="N314" i="1"/>
  <c r="O314" i="1" s="1"/>
  <c r="R314" i="1" s="1"/>
  <c r="N308" i="1"/>
  <c r="O308" i="1" s="1"/>
  <c r="R308" i="1" s="1"/>
  <c r="N312" i="1"/>
  <c r="O312" i="1" s="1"/>
  <c r="R312" i="1" s="1"/>
  <c r="N328" i="1"/>
  <c r="O328" i="1" s="1"/>
  <c r="R328" i="1" s="1"/>
  <c r="N299" i="1"/>
  <c r="O299" i="1" s="1"/>
  <c r="R299" i="1" s="1"/>
  <c r="N324" i="1"/>
  <c r="O324" i="1" s="1"/>
  <c r="R324" i="1" s="1"/>
  <c r="N332" i="1"/>
  <c r="O332" i="1" s="1"/>
  <c r="R332" i="1" s="1"/>
  <c r="N317" i="1"/>
  <c r="O317" i="1" s="1"/>
  <c r="R317" i="1" s="1"/>
  <c r="N302" i="1"/>
  <c r="O302" i="1" s="1"/>
  <c r="R302" i="1" s="1"/>
  <c r="N330" i="1"/>
  <c r="O330" i="1" s="1"/>
  <c r="R330" i="1" s="1"/>
  <c r="N344" i="1"/>
  <c r="O344" i="1" s="1"/>
  <c r="R344" i="1" s="1"/>
  <c r="N303" i="1"/>
  <c r="O303" i="1" s="1"/>
  <c r="R303" i="1" s="1"/>
  <c r="N301" i="1"/>
  <c r="O301" i="1" s="1"/>
  <c r="R301" i="1" s="1"/>
  <c r="N294" i="1"/>
  <c r="O294" i="1" s="1"/>
  <c r="R294" i="1" s="1"/>
  <c r="N305" i="1"/>
  <c r="O305" i="1" s="1"/>
  <c r="R305" i="1" s="1"/>
  <c r="N321" i="1"/>
  <c r="O321" i="1" s="1"/>
  <c r="R321" i="1" s="1"/>
  <c r="N307" i="1"/>
  <c r="O307" i="1" s="1"/>
  <c r="R307" i="1" s="1"/>
  <c r="O340" i="1" l="1"/>
  <c r="R340" i="1" s="1"/>
  <c r="O339" i="1"/>
  <c r="R339" i="1" s="1"/>
  <c r="O345" i="1" l="1"/>
  <c r="R345" i="1" s="1"/>
  <c r="K6" i="1"/>
  <c r="K5" i="1"/>
  <c r="L5" i="1" s="1"/>
  <c r="N5" i="1" s="1"/>
  <c r="O5" i="1" s="1"/>
  <c r="K275" i="1"/>
  <c r="L275" i="1" s="1"/>
  <c r="N275" i="1" s="1"/>
  <c r="O275" i="1" s="1"/>
  <c r="R275" i="1" s="1"/>
  <c r="K228" i="1"/>
  <c r="L228" i="1" s="1"/>
  <c r="N228" i="1" s="1"/>
  <c r="O228" i="1" s="1"/>
  <c r="R228" i="1" s="1"/>
  <c r="K289" i="1"/>
  <c r="L289" i="1" s="1"/>
  <c r="N289" i="1" s="1"/>
  <c r="O289" i="1" s="1"/>
  <c r="R289" i="1" s="1"/>
  <c r="K253" i="1"/>
  <c r="L253" i="1" s="1"/>
  <c r="N253" i="1" s="1"/>
  <c r="O253" i="1" s="1"/>
  <c r="R253" i="1" s="1"/>
  <c r="K216" i="1"/>
  <c r="L216" i="1" s="1"/>
  <c r="N216" i="1" s="1"/>
  <c r="O216" i="1" s="1"/>
  <c r="R216" i="1" s="1"/>
  <c r="K207" i="1"/>
  <c r="L207" i="1" s="1"/>
  <c r="N207" i="1" s="1"/>
  <c r="O207" i="1" s="1"/>
  <c r="R207" i="1" s="1"/>
  <c r="K206" i="1"/>
  <c r="L206" i="1" s="1"/>
  <c r="N206" i="1" s="1"/>
  <c r="O206" i="1" s="1"/>
  <c r="R206" i="1" s="1"/>
  <c r="K271" i="1"/>
  <c r="L271" i="1" s="1"/>
  <c r="N271" i="1" s="1"/>
  <c r="O271" i="1" s="1"/>
  <c r="R271" i="1" s="1"/>
  <c r="K288" i="1"/>
  <c r="L288" i="1" s="1"/>
  <c r="N288" i="1" s="1"/>
  <c r="O288" i="1" s="1"/>
  <c r="R288" i="1" s="1"/>
  <c r="K270" i="1"/>
  <c r="L270" i="1" s="1"/>
  <c r="N270" i="1" s="1"/>
  <c r="O270" i="1" s="1"/>
  <c r="R270" i="1" s="1"/>
  <c r="K248" i="1"/>
  <c r="L248" i="1" s="1"/>
  <c r="N248" i="1" s="1"/>
  <c r="O248" i="1" s="1"/>
  <c r="R248" i="1" s="1"/>
  <c r="K286" i="1"/>
  <c r="L286" i="1" s="1"/>
  <c r="N286" i="1" s="1"/>
  <c r="O286" i="1" s="1"/>
  <c r="R286" i="1" s="1"/>
  <c r="K265" i="1"/>
  <c r="L265" i="1" s="1"/>
  <c r="N265" i="1" s="1"/>
  <c r="O265" i="1" s="1"/>
  <c r="R265" i="1" s="1"/>
  <c r="K245" i="1"/>
  <c r="L245" i="1" s="1"/>
  <c r="N245" i="1" s="1"/>
  <c r="O245" i="1" s="1"/>
  <c r="K284" i="1"/>
  <c r="L284" i="1" s="1"/>
  <c r="N284" i="1" s="1"/>
  <c r="O284" i="1" s="1"/>
  <c r="R284" i="1" s="1"/>
  <c r="K264" i="1"/>
  <c r="L264" i="1" s="1"/>
  <c r="N264" i="1" s="1"/>
  <c r="O264" i="1" s="1"/>
  <c r="R264" i="1" s="1"/>
  <c r="K241" i="1"/>
  <c r="L241" i="1" s="1"/>
  <c r="N241" i="1" s="1"/>
  <c r="O241" i="1" s="1"/>
  <c r="R241" i="1" s="1"/>
  <c r="K194" i="1"/>
  <c r="L194" i="1" s="1"/>
  <c r="N194" i="1" s="1"/>
  <c r="O194" i="1" s="1"/>
  <c r="R194" i="1" s="1"/>
  <c r="K258" i="1"/>
  <c r="L258" i="1" s="1"/>
  <c r="N258" i="1" s="1"/>
  <c r="O258" i="1" s="1"/>
  <c r="R258" i="1" s="1"/>
  <c r="K250" i="1"/>
  <c r="L250" i="1" s="1"/>
  <c r="N250" i="1" s="1"/>
  <c r="O250" i="1" s="1"/>
  <c r="R250" i="1" s="1"/>
  <c r="K283" i="1"/>
  <c r="L283" i="1" s="1"/>
  <c r="N283" i="1" s="1"/>
  <c r="O283" i="1" s="1"/>
  <c r="R283" i="1" s="1"/>
  <c r="K240" i="1"/>
  <c r="L240" i="1" s="1"/>
  <c r="N240" i="1" s="1"/>
  <c r="O240" i="1" s="1"/>
  <c r="R240" i="1" s="1"/>
  <c r="K281" i="1"/>
  <c r="L281" i="1" s="1"/>
  <c r="N281" i="1" s="1"/>
  <c r="O281" i="1" s="1"/>
  <c r="R281" i="1" s="1"/>
  <c r="K257" i="1"/>
  <c r="L257" i="1" s="1"/>
  <c r="N257" i="1" s="1"/>
  <c r="O257" i="1" s="1"/>
  <c r="R257" i="1" s="1"/>
  <c r="K239" i="1"/>
  <c r="L239" i="1" s="1"/>
  <c r="N239" i="1" s="1"/>
  <c r="O239" i="1" s="1"/>
  <c r="K276" i="1"/>
  <c r="L276" i="1" s="1"/>
  <c r="N276" i="1" s="1"/>
  <c r="O276" i="1" s="1"/>
  <c r="R276" i="1" s="1"/>
  <c r="K256" i="1"/>
  <c r="L256" i="1" s="1"/>
  <c r="N256" i="1" s="1"/>
  <c r="O256" i="1" s="1"/>
  <c r="R256" i="1" s="1"/>
  <c r="K230" i="1"/>
  <c r="L230" i="1" s="1"/>
  <c r="N230" i="1" s="1"/>
  <c r="O230" i="1" s="1"/>
  <c r="R230" i="1" s="1"/>
  <c r="K268" i="1"/>
  <c r="L268" i="1" s="1"/>
  <c r="N268" i="1" s="1"/>
  <c r="O268" i="1" s="1"/>
  <c r="R268" i="1" s="1"/>
  <c r="K252" i="1"/>
  <c r="L252" i="1" s="1"/>
  <c r="N252" i="1" s="1"/>
  <c r="O252" i="1" s="1"/>
  <c r="R252" i="1" s="1"/>
  <c r="K232" i="1"/>
  <c r="L232" i="1" s="1"/>
  <c r="N232" i="1" s="1"/>
  <c r="O232" i="1" s="1"/>
  <c r="R232" i="1" s="1"/>
  <c r="K183" i="1"/>
  <c r="L183" i="1" s="1"/>
  <c r="N183" i="1" s="1"/>
  <c r="O183" i="1" s="1"/>
  <c r="R183" i="1" s="1"/>
  <c r="K277" i="1"/>
  <c r="L277" i="1" s="1"/>
  <c r="N277" i="1" s="1"/>
  <c r="O277" i="1" s="1"/>
  <c r="R277" i="1" s="1"/>
  <c r="K262" i="1"/>
  <c r="L262" i="1" s="1"/>
  <c r="N262" i="1" s="1"/>
  <c r="O262" i="1" s="1"/>
  <c r="R262" i="1" s="1"/>
  <c r="K247" i="1"/>
  <c r="L247" i="1" s="1"/>
  <c r="N247" i="1" s="1"/>
  <c r="O247" i="1" s="1"/>
  <c r="R247" i="1" s="1"/>
  <c r="K226" i="1"/>
  <c r="L226" i="1" s="1"/>
  <c r="N226" i="1" s="1"/>
  <c r="O226" i="1" s="1"/>
  <c r="R226" i="1" s="1"/>
  <c r="K178" i="1"/>
  <c r="L178" i="1" s="1"/>
  <c r="N178" i="1" s="1"/>
  <c r="O178" i="1" s="1"/>
  <c r="R178" i="1" s="1"/>
  <c r="K177" i="1"/>
  <c r="L177" i="1" s="1"/>
  <c r="N177" i="1" s="1"/>
  <c r="O177" i="1" s="1"/>
  <c r="R177" i="1" s="1"/>
  <c r="K222" i="1"/>
  <c r="L222" i="1" s="1"/>
  <c r="N222" i="1" s="1"/>
  <c r="O222" i="1" s="1"/>
  <c r="R222" i="1" s="1"/>
  <c r="K202" i="1"/>
  <c r="L202" i="1" s="1"/>
  <c r="N202" i="1" s="1"/>
  <c r="O202" i="1" s="1"/>
  <c r="R202" i="1" s="1"/>
  <c r="K285" i="1"/>
  <c r="L285" i="1" s="1"/>
  <c r="N285" i="1" s="1"/>
  <c r="O285" i="1" s="1"/>
  <c r="R285" i="1" s="1"/>
  <c r="K274" i="1"/>
  <c r="L274" i="1" s="1"/>
  <c r="N274" i="1" s="1"/>
  <c r="O274" i="1" s="1"/>
  <c r="R274" i="1" s="1"/>
  <c r="K261" i="1"/>
  <c r="L261" i="1" s="1"/>
  <c r="N261" i="1" s="1"/>
  <c r="O261" i="1" s="1"/>
  <c r="R261" i="1" s="1"/>
  <c r="K249" i="1"/>
  <c r="L249" i="1" s="1"/>
  <c r="N249" i="1" s="1"/>
  <c r="O249" i="1" s="1"/>
  <c r="R249" i="1" s="1"/>
  <c r="K237" i="1"/>
  <c r="L237" i="1" s="1"/>
  <c r="N237" i="1" s="1"/>
  <c r="O237" i="1" s="1"/>
  <c r="R237" i="1" s="1"/>
  <c r="K221" i="1"/>
  <c r="L221" i="1" s="1"/>
  <c r="N221" i="1" s="1"/>
  <c r="O221" i="1" s="1"/>
  <c r="R221" i="1" s="1"/>
  <c r="K199" i="1"/>
  <c r="L199" i="1" s="1"/>
  <c r="N199" i="1" s="1"/>
  <c r="O199" i="1" s="1"/>
  <c r="R199" i="1" s="1"/>
  <c r="K170" i="1"/>
  <c r="L170" i="1" s="1"/>
  <c r="N170" i="1" s="1"/>
  <c r="O170" i="1" s="1"/>
  <c r="R170" i="1" s="1"/>
  <c r="K235" i="1"/>
  <c r="L235" i="1" s="1"/>
  <c r="N235" i="1" s="1"/>
  <c r="O235" i="1" s="1"/>
  <c r="R235" i="1" s="1"/>
  <c r="K217" i="1"/>
  <c r="L217" i="1" s="1"/>
  <c r="N217" i="1" s="1"/>
  <c r="O217" i="1" s="1"/>
  <c r="R217" i="1" s="1"/>
  <c r="K198" i="1"/>
  <c r="L198" i="1" s="1"/>
  <c r="N198" i="1" s="1"/>
  <c r="O198" i="1" s="1"/>
  <c r="R198" i="1" s="1"/>
  <c r="K162" i="1"/>
  <c r="L162" i="1" s="1"/>
  <c r="N162" i="1" s="1"/>
  <c r="O162" i="1" s="1"/>
  <c r="R162" i="1" s="1"/>
  <c r="K215" i="1"/>
  <c r="L215" i="1" s="1"/>
  <c r="N215" i="1" s="1"/>
  <c r="O215" i="1" s="1"/>
  <c r="R215" i="1" s="1"/>
  <c r="K190" i="1"/>
  <c r="L190" i="1" s="1"/>
  <c r="N190" i="1" s="1"/>
  <c r="O190" i="1" s="1"/>
  <c r="R190" i="1" s="1"/>
  <c r="J358" i="1"/>
  <c r="J360" i="1" s="1"/>
  <c r="K280" i="1"/>
  <c r="L280" i="1" s="1"/>
  <c r="N280" i="1" s="1"/>
  <c r="O280" i="1" s="1"/>
  <c r="K267" i="1"/>
  <c r="L267" i="1" s="1"/>
  <c r="N267" i="1" s="1"/>
  <c r="O267" i="1" s="1"/>
  <c r="K255" i="1"/>
  <c r="L255" i="1" s="1"/>
  <c r="N255" i="1" s="1"/>
  <c r="O255" i="1" s="1"/>
  <c r="R255" i="1" s="1"/>
  <c r="K243" i="1"/>
  <c r="L243" i="1" s="1"/>
  <c r="N243" i="1" s="1"/>
  <c r="O243" i="1" s="1"/>
  <c r="R243" i="1" s="1"/>
  <c r="K229" i="1"/>
  <c r="L229" i="1" s="1"/>
  <c r="N229" i="1" s="1"/>
  <c r="O229" i="1" s="1"/>
  <c r="R229" i="1" s="1"/>
  <c r="K212" i="1"/>
  <c r="L212" i="1" s="1"/>
  <c r="N212" i="1" s="1"/>
  <c r="O212" i="1" s="1"/>
  <c r="K185" i="1"/>
  <c r="L185" i="1" s="1"/>
  <c r="N185" i="1" s="1"/>
  <c r="O185" i="1" s="1"/>
  <c r="R185" i="1" s="1"/>
  <c r="K147" i="1"/>
  <c r="L147" i="1" s="1"/>
  <c r="N147" i="1" s="1"/>
  <c r="O147" i="1" s="1"/>
  <c r="R147" i="1" s="1"/>
  <c r="K144" i="1"/>
  <c r="L144" i="1" s="1"/>
  <c r="N144" i="1" s="1"/>
  <c r="O144" i="1" s="1"/>
  <c r="R144" i="1" s="1"/>
  <c r="K143" i="1"/>
  <c r="L143" i="1" s="1"/>
  <c r="N143" i="1" s="1"/>
  <c r="O143" i="1" s="1"/>
  <c r="R143" i="1" s="1"/>
  <c r="K290" i="1"/>
  <c r="L290" i="1" s="1"/>
  <c r="N290" i="1" s="1"/>
  <c r="O290" i="1" s="1"/>
  <c r="R290" i="1" s="1"/>
  <c r="K282" i="1"/>
  <c r="L282" i="1" s="1"/>
  <c r="N282" i="1" s="1"/>
  <c r="O282" i="1" s="1"/>
  <c r="R282" i="1" s="1"/>
  <c r="K273" i="1"/>
  <c r="L273" i="1" s="1"/>
  <c r="N273" i="1" s="1"/>
  <c r="O273" i="1" s="1"/>
  <c r="K263" i="1"/>
  <c r="L263" i="1" s="1"/>
  <c r="N263" i="1" s="1"/>
  <c r="O263" i="1" s="1"/>
  <c r="R263" i="1" s="1"/>
  <c r="K254" i="1"/>
  <c r="L254" i="1" s="1"/>
  <c r="N254" i="1" s="1"/>
  <c r="O254" i="1" s="1"/>
  <c r="R254" i="1" s="1"/>
  <c r="K246" i="1"/>
  <c r="L246" i="1" s="1"/>
  <c r="N246" i="1" s="1"/>
  <c r="O246" i="1" s="1"/>
  <c r="R246" i="1" s="1"/>
  <c r="K236" i="1"/>
  <c r="L236" i="1" s="1"/>
  <c r="N236" i="1" s="1"/>
  <c r="O236" i="1" s="1"/>
  <c r="R236" i="1" s="1"/>
  <c r="K225" i="1"/>
  <c r="L225" i="1" s="1"/>
  <c r="N225" i="1" s="1"/>
  <c r="O225" i="1" s="1"/>
  <c r="R225" i="1" s="1"/>
  <c r="K208" i="1"/>
  <c r="L208" i="1" s="1"/>
  <c r="N208" i="1" s="1"/>
  <c r="O208" i="1" s="1"/>
  <c r="R208" i="1" s="1"/>
  <c r="K193" i="1"/>
  <c r="L193" i="1" s="1"/>
  <c r="N193" i="1" s="1"/>
  <c r="O193" i="1" s="1"/>
  <c r="R193" i="1" s="1"/>
  <c r="K171" i="1"/>
  <c r="L171" i="1" s="1"/>
  <c r="N171" i="1" s="1"/>
  <c r="O171" i="1" s="1"/>
  <c r="R171" i="1" s="1"/>
  <c r="K131" i="1"/>
  <c r="L131" i="1" s="1"/>
  <c r="N131" i="1" s="1"/>
  <c r="O131" i="1" s="1"/>
  <c r="R131" i="1" s="1"/>
  <c r="K189" i="1"/>
  <c r="L189" i="1" s="1"/>
  <c r="N189" i="1" s="1"/>
  <c r="O189" i="1" s="1"/>
  <c r="R189" i="1" s="1"/>
  <c r="K165" i="1"/>
  <c r="L165" i="1" s="1"/>
  <c r="N165" i="1" s="1"/>
  <c r="O165" i="1" s="1"/>
  <c r="R165" i="1" s="1"/>
  <c r="K287" i="1"/>
  <c r="L287" i="1" s="1"/>
  <c r="N287" i="1" s="1"/>
  <c r="O287" i="1" s="1"/>
  <c r="R287" i="1" s="1"/>
  <c r="K278" i="1"/>
  <c r="L278" i="1" s="1"/>
  <c r="N278" i="1" s="1"/>
  <c r="O278" i="1" s="1"/>
  <c r="R278" i="1" s="1"/>
  <c r="K269" i="1"/>
  <c r="L269" i="1" s="1"/>
  <c r="N269" i="1" s="1"/>
  <c r="O269" i="1" s="1"/>
  <c r="R269" i="1" s="1"/>
  <c r="K260" i="1"/>
  <c r="L260" i="1" s="1"/>
  <c r="N260" i="1" s="1"/>
  <c r="O260" i="1" s="1"/>
  <c r="K251" i="1"/>
  <c r="L251" i="1" s="1"/>
  <c r="N251" i="1" s="1"/>
  <c r="O251" i="1" s="1"/>
  <c r="R251" i="1" s="1"/>
  <c r="K242" i="1"/>
  <c r="L242" i="1" s="1"/>
  <c r="N242" i="1" s="1"/>
  <c r="O242" i="1" s="1"/>
  <c r="R242" i="1" s="1"/>
  <c r="K231" i="1"/>
  <c r="L231" i="1" s="1"/>
  <c r="N231" i="1" s="1"/>
  <c r="O231" i="1" s="1"/>
  <c r="R231" i="1" s="1"/>
  <c r="K220" i="1"/>
  <c r="L220" i="1" s="1"/>
  <c r="N220" i="1" s="1"/>
  <c r="O220" i="1" s="1"/>
  <c r="K203" i="1"/>
  <c r="L203" i="1" s="1"/>
  <c r="N203" i="1" s="1"/>
  <c r="O203" i="1" s="1"/>
  <c r="R203" i="1" s="1"/>
  <c r="K188" i="1"/>
  <c r="L188" i="1" s="1"/>
  <c r="N188" i="1" s="1"/>
  <c r="O188" i="1" s="1"/>
  <c r="R188" i="1" s="1"/>
  <c r="K164" i="1"/>
  <c r="L164" i="1" s="1"/>
  <c r="N164" i="1" s="1"/>
  <c r="O164" i="1" s="1"/>
  <c r="R164" i="1" s="1"/>
  <c r="K118" i="1"/>
  <c r="L118" i="1" s="1"/>
  <c r="N118" i="1" s="1"/>
  <c r="O118" i="1" s="1"/>
  <c r="R118" i="1" s="1"/>
  <c r="K234" i="1"/>
  <c r="L234" i="1" s="1"/>
  <c r="N234" i="1" s="1"/>
  <c r="O234" i="1" s="1"/>
  <c r="K224" i="1"/>
  <c r="L224" i="1" s="1"/>
  <c r="N224" i="1" s="1"/>
  <c r="O224" i="1" s="1"/>
  <c r="R224" i="1" s="1"/>
  <c r="K210" i="1"/>
  <c r="L210" i="1" s="1"/>
  <c r="N210" i="1" s="1"/>
  <c r="O210" i="1" s="1"/>
  <c r="R210" i="1" s="1"/>
  <c r="K197" i="1"/>
  <c r="L197" i="1" s="1"/>
  <c r="N197" i="1" s="1"/>
  <c r="O197" i="1" s="1"/>
  <c r="R197" i="1" s="1"/>
  <c r="K179" i="1"/>
  <c r="L179" i="1" s="1"/>
  <c r="N179" i="1" s="1"/>
  <c r="O179" i="1" s="1"/>
  <c r="R179" i="1" s="1"/>
  <c r="K153" i="1"/>
  <c r="L153" i="1" s="1"/>
  <c r="N153" i="1" s="1"/>
  <c r="O153" i="1" s="1"/>
  <c r="R153" i="1" s="1"/>
  <c r="K119" i="1"/>
  <c r="L119" i="1" s="1"/>
  <c r="N119" i="1" s="1"/>
  <c r="O119" i="1" s="1"/>
  <c r="R119" i="1" s="1"/>
  <c r="K106" i="1"/>
  <c r="L106" i="1" s="1"/>
  <c r="N106" i="1" s="1"/>
  <c r="O106" i="1" s="1"/>
  <c r="R106" i="1" s="1"/>
  <c r="K223" i="1"/>
  <c r="L223" i="1" s="1"/>
  <c r="N223" i="1" s="1"/>
  <c r="O223" i="1" s="1"/>
  <c r="R223" i="1" s="1"/>
  <c r="K214" i="1"/>
  <c r="L214" i="1" s="1"/>
  <c r="N214" i="1" s="1"/>
  <c r="O214" i="1" s="1"/>
  <c r="R214" i="1" s="1"/>
  <c r="K205" i="1"/>
  <c r="L205" i="1" s="1"/>
  <c r="N205" i="1" s="1"/>
  <c r="O205" i="1" s="1"/>
  <c r="R205" i="1" s="1"/>
  <c r="K196" i="1"/>
  <c r="L196" i="1" s="1"/>
  <c r="N196" i="1" s="1"/>
  <c r="O196" i="1" s="1"/>
  <c r="R196" i="1" s="1"/>
  <c r="K187" i="1"/>
  <c r="L187" i="1" s="1"/>
  <c r="N187" i="1" s="1"/>
  <c r="O187" i="1" s="1"/>
  <c r="R187" i="1" s="1"/>
  <c r="K176" i="1"/>
  <c r="L176" i="1" s="1"/>
  <c r="N176" i="1" s="1"/>
  <c r="O176" i="1" s="1"/>
  <c r="R176" i="1" s="1"/>
  <c r="K161" i="1"/>
  <c r="L161" i="1" s="1"/>
  <c r="N161" i="1" s="1"/>
  <c r="O161" i="1" s="1"/>
  <c r="R161" i="1" s="1"/>
  <c r="K137" i="1"/>
  <c r="L137" i="1" s="1"/>
  <c r="N137" i="1" s="1"/>
  <c r="O137" i="1" s="1"/>
  <c r="R137" i="1" s="1"/>
  <c r="K104" i="1"/>
  <c r="L104" i="1" s="1"/>
  <c r="N104" i="1" s="1"/>
  <c r="O104" i="1" s="1"/>
  <c r="R104" i="1" s="1"/>
  <c r="K213" i="1"/>
  <c r="L213" i="1" s="1"/>
  <c r="N213" i="1" s="1"/>
  <c r="O213" i="1" s="1"/>
  <c r="R213" i="1" s="1"/>
  <c r="K204" i="1"/>
  <c r="L204" i="1" s="1"/>
  <c r="N204" i="1" s="1"/>
  <c r="O204" i="1" s="1"/>
  <c r="R204" i="1" s="1"/>
  <c r="K195" i="1"/>
  <c r="L195" i="1" s="1"/>
  <c r="N195" i="1" s="1"/>
  <c r="O195" i="1" s="1"/>
  <c r="R195" i="1" s="1"/>
  <c r="K186" i="1"/>
  <c r="L186" i="1" s="1"/>
  <c r="N186" i="1" s="1"/>
  <c r="O186" i="1" s="1"/>
  <c r="R186" i="1" s="1"/>
  <c r="K175" i="1"/>
  <c r="L175" i="1" s="1"/>
  <c r="N175" i="1" s="1"/>
  <c r="O175" i="1" s="1"/>
  <c r="R175" i="1" s="1"/>
  <c r="K156" i="1"/>
  <c r="L156" i="1" s="1"/>
  <c r="N156" i="1" s="1"/>
  <c r="O156" i="1" s="1"/>
  <c r="K133" i="1"/>
  <c r="L133" i="1" s="1"/>
  <c r="N133" i="1" s="1"/>
  <c r="O133" i="1" s="1"/>
  <c r="R133" i="1" s="1"/>
  <c r="K92" i="1"/>
  <c r="L92" i="1" s="1"/>
  <c r="N92" i="1" s="1"/>
  <c r="O92" i="1" s="1"/>
  <c r="R92" i="1" s="1"/>
  <c r="K152" i="1"/>
  <c r="L152" i="1" s="1"/>
  <c r="N152" i="1" s="1"/>
  <c r="O152" i="1" s="1"/>
  <c r="R152" i="1" s="1"/>
  <c r="K130" i="1"/>
  <c r="L130" i="1" s="1"/>
  <c r="N130" i="1" s="1"/>
  <c r="O130" i="1" s="1"/>
  <c r="R130" i="1" s="1"/>
  <c r="K227" i="1"/>
  <c r="L227" i="1" s="1"/>
  <c r="N227" i="1" s="1"/>
  <c r="O227" i="1" s="1"/>
  <c r="R227" i="1" s="1"/>
  <c r="K218" i="1"/>
  <c r="L218" i="1" s="1"/>
  <c r="N218" i="1" s="1"/>
  <c r="O218" i="1" s="1"/>
  <c r="R218" i="1" s="1"/>
  <c r="K209" i="1"/>
  <c r="L209" i="1" s="1"/>
  <c r="N209" i="1" s="1"/>
  <c r="O209" i="1" s="1"/>
  <c r="R209" i="1" s="1"/>
  <c r="K201" i="1"/>
  <c r="L201" i="1" s="1"/>
  <c r="N201" i="1" s="1"/>
  <c r="O201" i="1" s="1"/>
  <c r="R201" i="1" s="1"/>
  <c r="K191" i="1"/>
  <c r="L191" i="1" s="1"/>
  <c r="N191" i="1" s="1"/>
  <c r="O191" i="1" s="1"/>
  <c r="R191" i="1" s="1"/>
  <c r="K181" i="1"/>
  <c r="L181" i="1" s="1"/>
  <c r="N181" i="1" s="1"/>
  <c r="O181" i="1" s="1"/>
  <c r="R181" i="1" s="1"/>
  <c r="K169" i="1"/>
  <c r="L169" i="1" s="1"/>
  <c r="N169" i="1" s="1"/>
  <c r="O169" i="1" s="1"/>
  <c r="K151" i="1"/>
  <c r="L151" i="1" s="1"/>
  <c r="N151" i="1" s="1"/>
  <c r="O151" i="1" s="1"/>
  <c r="R151" i="1" s="1"/>
  <c r="K120" i="1"/>
  <c r="L120" i="1" s="1"/>
  <c r="N120" i="1" s="1"/>
  <c r="O120" i="1" s="1"/>
  <c r="R120" i="1" s="1"/>
  <c r="K94" i="1"/>
  <c r="L94" i="1" s="1"/>
  <c r="N94" i="1" s="1"/>
  <c r="O94" i="1" s="1"/>
  <c r="R94" i="1" s="1"/>
  <c r="K91" i="1"/>
  <c r="L91" i="1" s="1"/>
  <c r="N91" i="1" s="1"/>
  <c r="O91" i="1" s="1"/>
  <c r="R91" i="1" s="1"/>
  <c r="K200" i="1"/>
  <c r="L200" i="1" s="1"/>
  <c r="N200" i="1" s="1"/>
  <c r="O200" i="1" s="1"/>
  <c r="R200" i="1" s="1"/>
  <c r="K192" i="1"/>
  <c r="L192" i="1" s="1"/>
  <c r="N192" i="1" s="1"/>
  <c r="O192" i="1" s="1"/>
  <c r="R192" i="1" s="1"/>
  <c r="K184" i="1"/>
  <c r="L184" i="1" s="1"/>
  <c r="N184" i="1" s="1"/>
  <c r="O184" i="1" s="1"/>
  <c r="R184" i="1" s="1"/>
  <c r="K174" i="1"/>
  <c r="L174" i="1" s="1"/>
  <c r="N174" i="1" s="1"/>
  <c r="O174" i="1" s="1"/>
  <c r="R174" i="1" s="1"/>
  <c r="K157" i="1"/>
  <c r="L157" i="1" s="1"/>
  <c r="N157" i="1" s="1"/>
  <c r="O157" i="1" s="1"/>
  <c r="R157" i="1" s="1"/>
  <c r="K138" i="1"/>
  <c r="L138" i="1" s="1"/>
  <c r="N138" i="1" s="1"/>
  <c r="O138" i="1" s="1"/>
  <c r="R138" i="1" s="1"/>
  <c r="K112" i="1"/>
  <c r="L112" i="1" s="1"/>
  <c r="N112" i="1" s="1"/>
  <c r="O112" i="1" s="1"/>
  <c r="R112" i="1" s="1"/>
  <c r="K86" i="1"/>
  <c r="L86" i="1" s="1"/>
  <c r="N86" i="1" s="1"/>
  <c r="O86" i="1" s="1"/>
  <c r="K108" i="1"/>
  <c r="L108" i="1" s="1"/>
  <c r="N108" i="1" s="1"/>
  <c r="O108" i="1" s="1"/>
  <c r="R108" i="1" s="1"/>
  <c r="K80" i="1"/>
  <c r="L80" i="1" s="1"/>
  <c r="N80" i="1" s="1"/>
  <c r="O80" i="1" s="1"/>
  <c r="R80" i="1" s="1"/>
  <c r="K182" i="1"/>
  <c r="L182" i="1" s="1"/>
  <c r="N182" i="1" s="1"/>
  <c r="O182" i="1" s="1"/>
  <c r="R182" i="1" s="1"/>
  <c r="K173" i="1"/>
  <c r="L173" i="1" s="1"/>
  <c r="N173" i="1" s="1"/>
  <c r="O173" i="1" s="1"/>
  <c r="R173" i="1" s="1"/>
  <c r="K160" i="1"/>
  <c r="L160" i="1" s="1"/>
  <c r="N160" i="1" s="1"/>
  <c r="O160" i="1" s="1"/>
  <c r="R160" i="1" s="1"/>
  <c r="K145" i="1"/>
  <c r="L145" i="1" s="1"/>
  <c r="N145" i="1" s="1"/>
  <c r="O145" i="1" s="1"/>
  <c r="R145" i="1" s="1"/>
  <c r="K125" i="1"/>
  <c r="L125" i="1" s="1"/>
  <c r="N125" i="1" s="1"/>
  <c r="O125" i="1" s="1"/>
  <c r="K100" i="1"/>
  <c r="L100" i="1" s="1"/>
  <c r="N100" i="1" s="1"/>
  <c r="O100" i="1" s="1"/>
  <c r="R100" i="1" s="1"/>
  <c r="K76" i="1"/>
  <c r="L76" i="1" s="1"/>
  <c r="N76" i="1" s="1"/>
  <c r="O76" i="1" s="1"/>
  <c r="R76" i="1" s="1"/>
  <c r="K73" i="1"/>
  <c r="L73" i="1" s="1"/>
  <c r="N73" i="1" s="1"/>
  <c r="O73" i="1" s="1"/>
  <c r="R73" i="1" s="1"/>
  <c r="K167" i="1"/>
  <c r="L167" i="1" s="1"/>
  <c r="N167" i="1" s="1"/>
  <c r="O167" i="1" s="1"/>
  <c r="R167" i="1" s="1"/>
  <c r="K159" i="1"/>
  <c r="L159" i="1" s="1"/>
  <c r="N159" i="1" s="1"/>
  <c r="O159" i="1" s="1"/>
  <c r="R159" i="1" s="1"/>
  <c r="K150" i="1"/>
  <c r="L150" i="1" s="1"/>
  <c r="N150" i="1" s="1"/>
  <c r="O150" i="1" s="1"/>
  <c r="K140" i="1"/>
  <c r="L140" i="1" s="1"/>
  <c r="N140" i="1" s="1"/>
  <c r="O140" i="1" s="1"/>
  <c r="R140" i="1" s="1"/>
  <c r="K129" i="1"/>
  <c r="L129" i="1" s="1"/>
  <c r="N129" i="1" s="1"/>
  <c r="O129" i="1" s="1"/>
  <c r="R129" i="1" s="1"/>
  <c r="K116" i="1"/>
  <c r="L116" i="1" s="1"/>
  <c r="N116" i="1" s="1"/>
  <c r="O116" i="1" s="1"/>
  <c r="R116" i="1" s="1"/>
  <c r="K102" i="1"/>
  <c r="L102" i="1" s="1"/>
  <c r="N102" i="1" s="1"/>
  <c r="O102" i="1" s="1"/>
  <c r="R102" i="1" s="1"/>
  <c r="K90" i="1"/>
  <c r="L90" i="1" s="1"/>
  <c r="N90" i="1" s="1"/>
  <c r="O90" i="1" s="1"/>
  <c r="R90" i="1" s="1"/>
  <c r="K62" i="1"/>
  <c r="L62" i="1" s="1"/>
  <c r="N62" i="1" s="1"/>
  <c r="O62" i="1" s="1"/>
  <c r="R62" i="1" s="1"/>
  <c r="K166" i="1"/>
  <c r="L166" i="1" s="1"/>
  <c r="N166" i="1" s="1"/>
  <c r="O166" i="1" s="1"/>
  <c r="R166" i="1" s="1"/>
  <c r="K158" i="1"/>
  <c r="L158" i="1" s="1"/>
  <c r="N158" i="1" s="1"/>
  <c r="O158" i="1" s="1"/>
  <c r="R158" i="1" s="1"/>
  <c r="K148" i="1"/>
  <c r="L148" i="1" s="1"/>
  <c r="N148" i="1" s="1"/>
  <c r="O148" i="1" s="1"/>
  <c r="R148" i="1" s="1"/>
  <c r="K139" i="1"/>
  <c r="L139" i="1" s="1"/>
  <c r="N139" i="1" s="1"/>
  <c r="O139" i="1" s="1"/>
  <c r="R139" i="1" s="1"/>
  <c r="K128" i="1"/>
  <c r="L128" i="1" s="1"/>
  <c r="N128" i="1" s="1"/>
  <c r="O128" i="1" s="1"/>
  <c r="R128" i="1" s="1"/>
  <c r="K115" i="1"/>
  <c r="L115" i="1" s="1"/>
  <c r="N115" i="1" s="1"/>
  <c r="O115" i="1" s="1"/>
  <c r="K101" i="1"/>
  <c r="L101" i="1" s="1"/>
  <c r="N101" i="1" s="1"/>
  <c r="O101" i="1" s="1"/>
  <c r="R101" i="1" s="1"/>
  <c r="K89" i="1"/>
  <c r="L89" i="1" s="1"/>
  <c r="N89" i="1" s="1"/>
  <c r="O89" i="1" s="1"/>
  <c r="R89" i="1" s="1"/>
  <c r="K50" i="1"/>
  <c r="L50" i="1" s="1"/>
  <c r="N50" i="1" s="1"/>
  <c r="O50" i="1" s="1"/>
  <c r="R50" i="1" s="1"/>
  <c r="K123" i="1"/>
  <c r="L123" i="1" s="1"/>
  <c r="N123" i="1" s="1"/>
  <c r="O123" i="1" s="1"/>
  <c r="R123" i="1" s="1"/>
  <c r="K111" i="1"/>
  <c r="L111" i="1" s="1"/>
  <c r="N111" i="1" s="1"/>
  <c r="O111" i="1" s="1"/>
  <c r="K99" i="1"/>
  <c r="L99" i="1" s="1"/>
  <c r="N99" i="1" s="1"/>
  <c r="O99" i="1" s="1"/>
  <c r="R99" i="1" s="1"/>
  <c r="K83" i="1"/>
  <c r="L83" i="1" s="1"/>
  <c r="N83" i="1" s="1"/>
  <c r="O83" i="1" s="1"/>
  <c r="R83" i="1" s="1"/>
  <c r="K180" i="1"/>
  <c r="L180" i="1" s="1"/>
  <c r="N180" i="1" s="1"/>
  <c r="O180" i="1" s="1"/>
  <c r="R180" i="1" s="1"/>
  <c r="K172" i="1"/>
  <c r="L172" i="1" s="1"/>
  <c r="N172" i="1" s="1"/>
  <c r="O172" i="1" s="1"/>
  <c r="R172" i="1" s="1"/>
  <c r="K163" i="1"/>
  <c r="L163" i="1" s="1"/>
  <c r="N163" i="1" s="1"/>
  <c r="O163" i="1" s="1"/>
  <c r="R163" i="1" s="1"/>
  <c r="K154" i="1"/>
  <c r="L154" i="1" s="1"/>
  <c r="N154" i="1" s="1"/>
  <c r="O154" i="1" s="1"/>
  <c r="R154" i="1" s="1"/>
  <c r="K146" i="1"/>
  <c r="L146" i="1" s="1"/>
  <c r="N146" i="1" s="1"/>
  <c r="O146" i="1" s="1"/>
  <c r="R146" i="1" s="1"/>
  <c r="K134" i="1"/>
  <c r="L134" i="1" s="1"/>
  <c r="N134" i="1" s="1"/>
  <c r="O134" i="1" s="1"/>
  <c r="R134" i="1" s="1"/>
  <c r="K121" i="1"/>
  <c r="L121" i="1" s="1"/>
  <c r="N121" i="1" s="1"/>
  <c r="O121" i="1" s="1"/>
  <c r="R121" i="1" s="1"/>
  <c r="K109" i="1"/>
  <c r="L109" i="1" s="1"/>
  <c r="N109" i="1" s="1"/>
  <c r="O109" i="1" s="1"/>
  <c r="R109" i="1" s="1"/>
  <c r="K95" i="1"/>
  <c r="L95" i="1" s="1"/>
  <c r="N95" i="1" s="1"/>
  <c r="O95" i="1" s="1"/>
  <c r="R95" i="1" s="1"/>
  <c r="K81" i="1"/>
  <c r="L81" i="1" s="1"/>
  <c r="N81" i="1" s="1"/>
  <c r="O81" i="1" s="1"/>
  <c r="R81" i="1" s="1"/>
  <c r="K51" i="1"/>
  <c r="L51" i="1" s="1"/>
  <c r="N51" i="1" s="1"/>
  <c r="O51" i="1" s="1"/>
  <c r="R51" i="1" s="1"/>
  <c r="K72" i="1"/>
  <c r="L72" i="1" s="1"/>
  <c r="N72" i="1" s="1"/>
  <c r="O72" i="1" s="1"/>
  <c r="K49" i="1"/>
  <c r="L49" i="1" s="1"/>
  <c r="N49" i="1" s="1"/>
  <c r="O49" i="1" s="1"/>
  <c r="R49" i="1" s="1"/>
  <c r="K68" i="1"/>
  <c r="L68" i="1" s="1"/>
  <c r="N68" i="1" s="1"/>
  <c r="O68" i="1" s="1"/>
  <c r="K41" i="1"/>
  <c r="L41" i="1" s="1"/>
  <c r="N41" i="1" s="1"/>
  <c r="O41" i="1" s="1"/>
  <c r="R41" i="1" s="1"/>
  <c r="K64" i="1"/>
  <c r="L64" i="1" s="1"/>
  <c r="N64" i="1" s="1"/>
  <c r="O64" i="1" s="1"/>
  <c r="K36" i="1"/>
  <c r="L36" i="1" s="1"/>
  <c r="N36" i="1" s="1"/>
  <c r="O36" i="1" s="1"/>
  <c r="R36" i="1" s="1"/>
  <c r="K57" i="1"/>
  <c r="L57" i="1" s="1"/>
  <c r="N57" i="1" s="1"/>
  <c r="O57" i="1" s="1"/>
  <c r="R57" i="1" s="1"/>
  <c r="K79" i="1"/>
  <c r="L79" i="1" s="1"/>
  <c r="N79" i="1" s="1"/>
  <c r="O79" i="1" s="1"/>
  <c r="R79" i="1" s="1"/>
  <c r="K56" i="1"/>
  <c r="L56" i="1" s="1"/>
  <c r="N56" i="1" s="1"/>
  <c r="O56" i="1" s="1"/>
  <c r="R56" i="1" s="1"/>
  <c r="K32" i="1"/>
  <c r="L32" i="1" s="1"/>
  <c r="N32" i="1" s="1"/>
  <c r="O32" i="1" s="1"/>
  <c r="R32" i="1" s="1"/>
  <c r="K31" i="1"/>
  <c r="L31" i="1" s="1"/>
  <c r="N31" i="1" s="1"/>
  <c r="O31" i="1" s="1"/>
  <c r="R31" i="1" s="1"/>
  <c r="K61" i="1"/>
  <c r="L61" i="1" s="1"/>
  <c r="N61" i="1" s="1"/>
  <c r="O61" i="1" s="1"/>
  <c r="R61" i="1" s="1"/>
  <c r="K46" i="1"/>
  <c r="L46" i="1" s="1"/>
  <c r="N46" i="1" s="1"/>
  <c r="O46" i="1" s="1"/>
  <c r="R46" i="1" s="1"/>
  <c r="K28" i="1"/>
  <c r="L28" i="1" s="1"/>
  <c r="N28" i="1" s="1"/>
  <c r="O28" i="1" s="1"/>
  <c r="R28" i="1" s="1"/>
  <c r="K136" i="1"/>
  <c r="L136" i="1" s="1"/>
  <c r="N136" i="1" s="1"/>
  <c r="O136" i="1" s="1"/>
  <c r="K127" i="1"/>
  <c r="L127" i="1" s="1"/>
  <c r="N127" i="1" s="1"/>
  <c r="O127" i="1" s="1"/>
  <c r="K117" i="1"/>
  <c r="L117" i="1" s="1"/>
  <c r="N117" i="1" s="1"/>
  <c r="O117" i="1" s="1"/>
  <c r="R117" i="1" s="1"/>
  <c r="K107" i="1"/>
  <c r="L107" i="1" s="1"/>
  <c r="N107" i="1" s="1"/>
  <c r="O107" i="1" s="1"/>
  <c r="R107" i="1" s="1"/>
  <c r="K98" i="1"/>
  <c r="L98" i="1" s="1"/>
  <c r="N98" i="1" s="1"/>
  <c r="O98" i="1" s="1"/>
  <c r="R98" i="1" s="1"/>
  <c r="K87" i="1"/>
  <c r="L87" i="1" s="1"/>
  <c r="N87" i="1" s="1"/>
  <c r="O87" i="1" s="1"/>
  <c r="R87" i="1" s="1"/>
  <c r="K74" i="1"/>
  <c r="L74" i="1" s="1"/>
  <c r="N74" i="1" s="1"/>
  <c r="O74" i="1" s="1"/>
  <c r="R74" i="1" s="1"/>
  <c r="K59" i="1"/>
  <c r="L59" i="1" s="1"/>
  <c r="N59" i="1" s="1"/>
  <c r="O59" i="1" s="1"/>
  <c r="R59" i="1" s="1"/>
  <c r="K45" i="1"/>
  <c r="L45" i="1" s="1"/>
  <c r="N45" i="1" s="1"/>
  <c r="O45" i="1" s="1"/>
  <c r="K27" i="1"/>
  <c r="L27" i="1" s="1"/>
  <c r="N27" i="1" s="1"/>
  <c r="O27" i="1" s="1"/>
  <c r="R27" i="1" s="1"/>
  <c r="K40" i="1"/>
  <c r="L40" i="1" s="1"/>
  <c r="N40" i="1" s="1"/>
  <c r="O40" i="1" s="1"/>
  <c r="K142" i="1"/>
  <c r="L142" i="1" s="1"/>
  <c r="N142" i="1" s="1"/>
  <c r="O142" i="1" s="1"/>
  <c r="K132" i="1"/>
  <c r="L132" i="1" s="1"/>
  <c r="N132" i="1" s="1"/>
  <c r="O132" i="1" s="1"/>
  <c r="R132" i="1" s="1"/>
  <c r="K122" i="1"/>
  <c r="L122" i="1" s="1"/>
  <c r="N122" i="1" s="1"/>
  <c r="O122" i="1" s="1"/>
  <c r="R122" i="1" s="1"/>
  <c r="K113" i="1"/>
  <c r="L113" i="1" s="1"/>
  <c r="N113" i="1" s="1"/>
  <c r="O113" i="1" s="1"/>
  <c r="R113" i="1" s="1"/>
  <c r="K103" i="1"/>
  <c r="L103" i="1" s="1"/>
  <c r="N103" i="1" s="1"/>
  <c r="O103" i="1" s="1"/>
  <c r="R103" i="1" s="1"/>
  <c r="K93" i="1"/>
  <c r="L93" i="1" s="1"/>
  <c r="N93" i="1" s="1"/>
  <c r="O93" i="1" s="1"/>
  <c r="R93" i="1" s="1"/>
  <c r="K82" i="1"/>
  <c r="L82" i="1" s="1"/>
  <c r="N82" i="1" s="1"/>
  <c r="O82" i="1" s="1"/>
  <c r="R82" i="1" s="1"/>
  <c r="K69" i="1"/>
  <c r="L69" i="1" s="1"/>
  <c r="N69" i="1" s="1"/>
  <c r="O69" i="1" s="1"/>
  <c r="R69" i="1" s="1"/>
  <c r="K53" i="1"/>
  <c r="L53" i="1" s="1"/>
  <c r="N53" i="1" s="1"/>
  <c r="O53" i="1" s="1"/>
  <c r="R53" i="1" s="1"/>
  <c r="K37" i="1"/>
  <c r="L37" i="1" s="1"/>
  <c r="N37" i="1" s="1"/>
  <c r="O37" i="1" s="1"/>
  <c r="R37" i="1" s="1"/>
  <c r="K24" i="1"/>
  <c r="L24" i="1" s="1"/>
  <c r="N24" i="1" s="1"/>
  <c r="O24" i="1" s="1"/>
  <c r="R24" i="1" s="1"/>
  <c r="K22" i="1"/>
  <c r="L22" i="1" s="1"/>
  <c r="N22" i="1" s="1"/>
  <c r="O22" i="1" s="1"/>
  <c r="R22" i="1" s="1"/>
  <c r="K70" i="1"/>
  <c r="L70" i="1" s="1"/>
  <c r="N70" i="1" s="1"/>
  <c r="O70" i="1" s="1"/>
  <c r="R70" i="1" s="1"/>
  <c r="K58" i="1"/>
  <c r="L58" i="1" s="1"/>
  <c r="N58" i="1" s="1"/>
  <c r="O58" i="1" s="1"/>
  <c r="R58" i="1" s="1"/>
  <c r="K47" i="1"/>
  <c r="L47" i="1" s="1"/>
  <c r="N47" i="1" s="1"/>
  <c r="O47" i="1" s="1"/>
  <c r="R47" i="1" s="1"/>
  <c r="K35" i="1"/>
  <c r="L35" i="1" s="1"/>
  <c r="N35" i="1" s="1"/>
  <c r="O35" i="1" s="1"/>
  <c r="K20" i="1"/>
  <c r="L20" i="1" s="1"/>
  <c r="N20" i="1" s="1"/>
  <c r="O20" i="1" s="1"/>
  <c r="R20" i="1" s="1"/>
  <c r="K105" i="1"/>
  <c r="L105" i="1" s="1"/>
  <c r="N105" i="1" s="1"/>
  <c r="O105" i="1" s="1"/>
  <c r="R105" i="1" s="1"/>
  <c r="K97" i="1"/>
  <c r="L97" i="1" s="1"/>
  <c r="N97" i="1" s="1"/>
  <c r="O97" i="1" s="1"/>
  <c r="K88" i="1"/>
  <c r="L88" i="1" s="1"/>
  <c r="N88" i="1" s="1"/>
  <c r="O88" i="1" s="1"/>
  <c r="R88" i="1" s="1"/>
  <c r="K78" i="1"/>
  <c r="L78" i="1" s="1"/>
  <c r="N78" i="1" s="1"/>
  <c r="O78" i="1" s="1"/>
  <c r="K66" i="1"/>
  <c r="L66" i="1" s="1"/>
  <c r="N66" i="1" s="1"/>
  <c r="O66" i="1" s="1"/>
  <c r="R66" i="1" s="1"/>
  <c r="K54" i="1"/>
  <c r="L54" i="1" s="1"/>
  <c r="N54" i="1" s="1"/>
  <c r="O54" i="1" s="1"/>
  <c r="R54" i="1" s="1"/>
  <c r="K42" i="1"/>
  <c r="L42" i="1" s="1"/>
  <c r="N42" i="1" s="1"/>
  <c r="O42" i="1" s="1"/>
  <c r="R42" i="1" s="1"/>
  <c r="K30" i="1"/>
  <c r="L30" i="1" s="1"/>
  <c r="N30" i="1" s="1"/>
  <c r="O30" i="1" s="1"/>
  <c r="R30" i="1" s="1"/>
  <c r="K17" i="1"/>
  <c r="L17" i="1" s="1"/>
  <c r="N17" i="1" s="1"/>
  <c r="O17" i="1" s="1"/>
  <c r="R17" i="1" s="1"/>
  <c r="K16" i="1"/>
  <c r="L16" i="1" s="1"/>
  <c r="N16" i="1" s="1"/>
  <c r="O16" i="1" s="1"/>
  <c r="R16" i="1" s="1"/>
  <c r="K26" i="1"/>
  <c r="L26" i="1" s="1"/>
  <c r="N26" i="1" s="1"/>
  <c r="O26" i="1" s="1"/>
  <c r="R26" i="1" s="1"/>
  <c r="K60" i="1"/>
  <c r="L60" i="1" s="1"/>
  <c r="N60" i="1" s="1"/>
  <c r="O60" i="1" s="1"/>
  <c r="R60" i="1" s="1"/>
  <c r="K55" i="1"/>
  <c r="L55" i="1" s="1"/>
  <c r="N55" i="1" s="1"/>
  <c r="O55" i="1" s="1"/>
  <c r="R55" i="1" s="1"/>
  <c r="K48" i="1"/>
  <c r="L48" i="1" s="1"/>
  <c r="N48" i="1" s="1"/>
  <c r="O48" i="1" s="1"/>
  <c r="R48" i="1" s="1"/>
  <c r="K38" i="1"/>
  <c r="L38" i="1" s="1"/>
  <c r="N38" i="1" s="1"/>
  <c r="O38" i="1" s="1"/>
  <c r="R38" i="1" s="1"/>
  <c r="K29" i="1"/>
  <c r="L29" i="1" s="1"/>
  <c r="N29" i="1" s="1"/>
  <c r="O29" i="1" s="1"/>
  <c r="R29" i="1" s="1"/>
  <c r="K21" i="1"/>
  <c r="L21" i="1" s="1"/>
  <c r="N21" i="1" s="1"/>
  <c r="O21" i="1" s="1"/>
  <c r="R21" i="1" s="1"/>
  <c r="K84" i="1"/>
  <c r="L84" i="1" s="1"/>
  <c r="N84" i="1" s="1"/>
  <c r="O84" i="1" s="1"/>
  <c r="R84" i="1" s="1"/>
  <c r="K75" i="1"/>
  <c r="L75" i="1" s="1"/>
  <c r="N75" i="1" s="1"/>
  <c r="O75" i="1" s="1"/>
  <c r="R75" i="1" s="1"/>
  <c r="K65" i="1"/>
  <c r="L65" i="1" s="1"/>
  <c r="N65" i="1" s="1"/>
  <c r="O65" i="1" s="1"/>
  <c r="R65" i="1" s="1"/>
  <c r="K52" i="1"/>
  <c r="L52" i="1" s="1"/>
  <c r="N52" i="1" s="1"/>
  <c r="O52" i="1" s="1"/>
  <c r="R52" i="1" s="1"/>
  <c r="K43" i="1"/>
  <c r="L43" i="1" s="1"/>
  <c r="N43" i="1" s="1"/>
  <c r="O43" i="1" s="1"/>
  <c r="R43" i="1" s="1"/>
  <c r="K33" i="1"/>
  <c r="L33" i="1" s="1"/>
  <c r="N33" i="1" s="1"/>
  <c r="O33" i="1" s="1"/>
  <c r="R33" i="1" s="1"/>
  <c r="K25" i="1"/>
  <c r="L25" i="1" s="1"/>
  <c r="N25" i="1" s="1"/>
  <c r="O25" i="1" s="1"/>
  <c r="R25" i="1" s="1"/>
  <c r="K15" i="1"/>
  <c r="L15" i="1" s="1"/>
  <c r="N15" i="1" s="1"/>
  <c r="O15" i="1" s="1"/>
  <c r="R15" i="1" s="1"/>
  <c r="K23" i="1"/>
  <c r="L23" i="1" s="1"/>
  <c r="N23" i="1" s="1"/>
  <c r="O23" i="1" s="1"/>
  <c r="R23" i="1" s="1"/>
  <c r="K13" i="1"/>
  <c r="L13" i="1" s="1"/>
  <c r="N13" i="1" s="1"/>
  <c r="O13" i="1" s="1"/>
  <c r="R13" i="1" s="1"/>
  <c r="K11" i="1"/>
  <c r="L11" i="1" s="1"/>
  <c r="N11" i="1" s="1"/>
  <c r="O11" i="1" s="1"/>
  <c r="R11" i="1" s="1"/>
  <c r="K18" i="1"/>
  <c r="L18" i="1" s="1"/>
  <c r="N18" i="1" s="1"/>
  <c r="O18" i="1" s="1"/>
  <c r="R18" i="1" s="1"/>
  <c r="K14" i="1"/>
  <c r="L14" i="1" s="1"/>
  <c r="N14" i="1" s="1"/>
  <c r="O14" i="1" s="1"/>
  <c r="R14" i="1" s="1"/>
  <c r="K19" i="1"/>
  <c r="L19" i="1" s="1"/>
  <c r="N19" i="1" s="1"/>
  <c r="O19" i="1" s="1"/>
  <c r="R19" i="1" s="1"/>
  <c r="K12" i="1"/>
  <c r="L12" i="1" s="1"/>
  <c r="N12" i="1" s="1"/>
  <c r="O12" i="1" s="1"/>
  <c r="R12" i="1" s="1"/>
  <c r="K10" i="1"/>
  <c r="L10" i="1" s="1"/>
  <c r="N10" i="1" s="1"/>
  <c r="O10" i="1" s="1"/>
  <c r="R10" i="1" s="1"/>
  <c r="K9" i="1"/>
  <c r="L9" i="1" s="1"/>
  <c r="N9" i="1" s="1"/>
  <c r="O9" i="1" s="1"/>
  <c r="R9" i="1" s="1"/>
  <c r="K7" i="1"/>
  <c r="L7" i="1" s="1"/>
  <c r="N7" i="1" s="1"/>
  <c r="O7" i="1" s="1"/>
  <c r="R7" i="1" s="1"/>
  <c r="K8" i="1"/>
  <c r="L8" i="1" s="1"/>
  <c r="N8" i="1" s="1"/>
  <c r="O8" i="1" s="1"/>
  <c r="R8" i="1" s="1"/>
  <c r="L6" i="1" l="1"/>
  <c r="N6" i="1" s="1"/>
  <c r="O6" i="1" s="1"/>
  <c r="R142" i="1"/>
  <c r="O149" i="1"/>
  <c r="R149" i="1" s="1"/>
  <c r="R150" i="1"/>
  <c r="O155" i="1"/>
  <c r="R155" i="1" s="1"/>
  <c r="R245" i="1"/>
  <c r="O259" i="1"/>
  <c r="R259" i="1" s="1"/>
  <c r="R35" i="1"/>
  <c r="O39" i="1"/>
  <c r="R39" i="1" s="1"/>
  <c r="R40" i="1"/>
  <c r="O44" i="1"/>
  <c r="R44" i="1" s="1"/>
  <c r="R72" i="1"/>
  <c r="O77" i="1"/>
  <c r="R77" i="1" s="1"/>
  <c r="R169" i="1"/>
  <c r="O211" i="1"/>
  <c r="R211" i="1" s="1"/>
  <c r="R212" i="1"/>
  <c r="O219" i="1"/>
  <c r="R219" i="1" s="1"/>
  <c r="R127" i="1"/>
  <c r="O135" i="1"/>
  <c r="R135" i="1" s="1"/>
  <c r="R234" i="1"/>
  <c r="O238" i="1"/>
  <c r="R238" i="1" s="1"/>
  <c r="R273" i="1"/>
  <c r="O279" i="1"/>
  <c r="R279" i="1" s="1"/>
  <c r="R45" i="1"/>
  <c r="O63" i="1"/>
  <c r="R63" i="1" s="1"/>
  <c r="R136" i="1"/>
  <c r="O141" i="1"/>
  <c r="R141" i="1" s="1"/>
  <c r="R260" i="1"/>
  <c r="O266" i="1"/>
  <c r="R266" i="1" s="1"/>
  <c r="R78" i="1"/>
  <c r="O85" i="1"/>
  <c r="R85" i="1" s="1"/>
  <c r="R115" i="1"/>
  <c r="O124" i="1"/>
  <c r="R124" i="1" s="1"/>
  <c r="R156" i="1"/>
  <c r="O168" i="1"/>
  <c r="R168" i="1" s="1"/>
  <c r="R64" i="1"/>
  <c r="O67" i="1"/>
  <c r="R67" i="1" s="1"/>
  <c r="R86" i="1"/>
  <c r="O96" i="1"/>
  <c r="R96" i="1" s="1"/>
  <c r="R267" i="1"/>
  <c r="O272" i="1"/>
  <c r="R272" i="1" s="1"/>
  <c r="R239" i="1"/>
  <c r="O244" i="1"/>
  <c r="R244" i="1" s="1"/>
  <c r="R97" i="1"/>
  <c r="O110" i="1"/>
  <c r="R110" i="1" s="1"/>
  <c r="R125" i="1"/>
  <c r="O126" i="1"/>
  <c r="R126" i="1" s="1"/>
  <c r="R280" i="1"/>
  <c r="O291" i="1"/>
  <c r="R291" i="1" s="1"/>
  <c r="R68" i="1"/>
  <c r="O71" i="1"/>
  <c r="R71" i="1" s="1"/>
  <c r="R111" i="1"/>
  <c r="O114" i="1"/>
  <c r="R114" i="1" s="1"/>
  <c r="R220" i="1"/>
  <c r="O233" i="1"/>
  <c r="R233" i="1" s="1"/>
  <c r="R5" i="1"/>
  <c r="R6" i="1" l="1"/>
  <c r="O34" i="1"/>
  <c r="R34" i="1" s="1"/>
  <c r="O292" i="1" l="1"/>
  <c r="R293" i="1" s="1"/>
  <c r="O358" i="1"/>
  <c r="R358" i="1" s="1"/>
  <c r="D358" i="1"/>
  <c r="D360" i="1" s="1"/>
  <c r="O360" i="1" l="1"/>
  <c r="R3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Bernal</author>
    <author>Contador</author>
  </authors>
  <commentList>
    <comment ref="F4" authorId="0" shapeId="0" xr:uid="{CB2B4729-0F64-4E35-9577-0A8AB1DBCDC5}">
      <text>
        <r>
          <rPr>
            <b/>
            <sz val="8"/>
            <color indexed="81"/>
            <rFont val="Tahoma"/>
            <family val="2"/>
          </rPr>
          <t xml:space="preserve">Según SIT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 shapeId="0" xr:uid="{2CE02F70-1FC9-47B1-8E9C-507AFFA019FF}">
      <text>
        <r>
          <rPr>
            <b/>
            <sz val="9"/>
            <color indexed="81"/>
            <rFont val="Tahoma"/>
            <family val="2"/>
          </rPr>
          <t>Adriana Bernal:</t>
        </r>
        <r>
          <rPr>
            <sz val="9"/>
            <color indexed="81"/>
            <rFont val="Tahoma"/>
            <family val="2"/>
          </rPr>
          <t xml:space="preserve">
SIT + CONTABLE</t>
        </r>
      </text>
    </comment>
    <comment ref="E68" authorId="1" shapeId="0" xr:uid="{3B12674C-308D-46F5-9AA4-7D824A4EDC5C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$292
dic $182</t>
        </r>
      </text>
    </comment>
    <comment ref="E69" authorId="1" shapeId="0" xr:uid="{2D0E233F-41B3-4951-8F99-27F1DDDE9D6B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dic $262
Ene $448</t>
        </r>
      </text>
    </comment>
    <comment ref="F172" authorId="1" shapeId="0" xr:uid="{84976F46-F3FE-4F1F-BBEE-5E3881B79A3D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$9.351 
se coloca MO análogo $3.209</t>
        </r>
      </text>
    </comment>
    <comment ref="F176" authorId="1" shapeId="0" xr:uid="{CAF2A3DF-2B3E-49A5-AC53-C3EC163015D5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$10.454 
se coloca MO análogo $4.314</t>
        </r>
      </text>
    </comment>
    <comment ref="F182" authorId="1" shapeId="0" xr:uid="{135FED89-F6DF-42AB-B65C-4B1E8E167298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$12.451 
se coloca MO análogo $5.756</t>
        </r>
      </text>
    </comment>
    <comment ref="F188" authorId="1" shapeId="0" xr:uid="{3CC96938-7D4A-4CC8-8082-0B39AE16759D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$9.103 
se coloca MO análogo $2.880</t>
        </r>
      </text>
    </comment>
    <comment ref="F192" authorId="1" shapeId="0" xr:uid="{8A05F765-D26E-4DC9-B515-A1EE463BF359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$9.719
se coloca MO análogo $3.493</t>
        </r>
      </text>
    </comment>
    <comment ref="F196" authorId="1" shapeId="0" xr:uid="{0F313471-5375-43C4-9F70-7043DDD27096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$10.301
se coloca MO análogo $4.172</t>
        </r>
      </text>
    </comment>
    <comment ref="F200" authorId="1" shapeId="0" xr:uid="{2E2E6D92-CD99-4196-8D03-1AC4A91DAA72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$10.659
se coloca MO análogo $4.432</t>
        </r>
      </text>
    </comment>
    <comment ref="F202" authorId="1" shapeId="0" xr:uid="{B12D5CEA-2A39-4E34-9826-EE37CE3F83ED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$12.381
se coloca MO análogo $5.278</t>
        </r>
      </text>
    </comment>
    <comment ref="F204" authorId="1" shapeId="0" xr:uid="{B7D78CDC-2EAA-4FCE-ADB6-C337D08D53DD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$11.257
se coloca MO análogo $5.388</t>
        </r>
      </text>
    </comment>
    <comment ref="F206" authorId="1" shapeId="0" xr:uid="{DC4602AF-E711-4E74-B41B-9D7412E89012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$13.744
se coloca MO análogo $6.420</t>
        </r>
      </text>
    </comment>
    <comment ref="F208" authorId="1" shapeId="0" xr:uid="{A82936B8-514F-4CFB-97CA-A61BECDC4F31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$12.561
se coloca MO análogo $6.756</t>
        </r>
      </text>
    </comment>
    <comment ref="F210" authorId="1" shapeId="0" xr:uid="{B151DB84-01FA-4C81-9042-41DCE7806EF3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$13.888
se coloca MO análogo $8.052</t>
        </r>
      </text>
    </comment>
    <comment ref="F221" authorId="1" shapeId="0" xr:uid="{3FFFBCDC-157B-4229-ADD6-0CA7061874A0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$5.201
se coloca MO análogo $670</t>
        </r>
      </text>
    </comment>
    <comment ref="F223" authorId="1" shapeId="0" xr:uid="{403202C8-9B9A-4CF2-B0F2-574F6332BAE0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$5.595
se coloca MO análogo $1.021</t>
        </r>
      </text>
    </comment>
    <comment ref="F225" authorId="1" shapeId="0" xr:uid="{EAF4EBE1-0479-446F-BA9C-CE78C625FA51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$5.664
se coloca MO análogo $1.070</t>
        </r>
      </text>
    </comment>
    <comment ref="F227" authorId="1" shapeId="0" xr:uid="{DAA8C768-470F-4473-ADAF-F016F38891B5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$5.620
se coloca MO análogo $977</t>
        </r>
      </text>
    </comment>
    <comment ref="F229" authorId="1" shapeId="0" xr:uid="{BC578F55-A90E-45CC-B1B0-7B073795F1A8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$5.865
se coloca MO análogo $1.281</t>
        </r>
      </text>
    </comment>
    <comment ref="F230" authorId="1" shapeId="0" xr:uid="{136718C6-514B-4A28-8304-ECAEF0A0764A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$5.798
se coloca MO análogo $1.281</t>
        </r>
      </text>
    </comment>
    <comment ref="F231" authorId="1" shapeId="0" xr:uid="{49DE8654-0D22-4CE5-89C1-12BADBA495BD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$5.896
se coloca MO análogo $961.98 TE8-BIM
</t>
        </r>
      </text>
    </comment>
    <comment ref="F232" authorId="1" shapeId="0" xr:uid="{80D3825B-61E3-428D-8961-BC22A29E3322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$5.800
se coloca MO análogo $961.98 TE8-BIM</t>
        </r>
      </text>
    </comment>
    <comment ref="F234" authorId="1" shapeId="0" xr:uid="{4FA00E97-6B93-44DA-9E92-0403A6B6FACC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$5.694
se coloca MO análogo $911.76 TTP4-BIM</t>
        </r>
      </text>
    </comment>
    <comment ref="F235" authorId="1" shapeId="0" xr:uid="{A6E6ED1D-BE86-4083-ADAE-B0BD1D7CB926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$5.562
se coloca MO análogo $911.76 TTP4-BIM</t>
        </r>
      </text>
    </comment>
    <comment ref="F236" authorId="1" shapeId="0" xr:uid="{5ACD0E89-2B86-4FC5-BCD4-D5F39E17BDF0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$5.773
se coloca MO análogo $1.036,77 TTP6-BIM</t>
        </r>
      </text>
    </comment>
    <comment ref="F237" authorId="1" shapeId="0" xr:uid="{3343A816-9292-4A52-A646-36F7EA9F1BB0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$5.686
se coloca MO análogo $1.036,77 TTP6-BIM</t>
        </r>
      </text>
    </comment>
    <comment ref="F246" authorId="1" shapeId="0" xr:uid="{E013BBCC-ADA8-4FE4-9AA2-DF062707EE42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$5.240
se coloca MO análogo $654 TE2</t>
        </r>
      </text>
    </comment>
    <comment ref="F247" authorId="1" shapeId="0" xr:uid="{A10E95D2-8FA2-4F41-BDDE-5D8A7583A7E8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$5.256
se coloca MO análogo $654 TE2</t>
        </r>
      </text>
    </comment>
    <comment ref="F250" authorId="1" shapeId="0" xr:uid="{12E8F833-9036-41BA-9D42-F2DBC4BA8FF1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$5.635
se coloca MO análogo $1.107 TE3M</t>
        </r>
      </text>
    </comment>
    <comment ref="F252" authorId="1" shapeId="0" xr:uid="{87F13FF6-CEA2-4F58-8779-5726D52F32E7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$5.813
se coloca MO análogo $1.169 TE4</t>
        </r>
      </text>
    </comment>
    <comment ref="F254" authorId="1" shapeId="0" xr:uid="{0ACF51E2-3F7C-4EB6-B8EC-A332A917AE69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$5.772
se coloca MO análogo $1.218 TE4M</t>
        </r>
      </text>
    </comment>
    <comment ref="F256" authorId="1" shapeId="0" xr:uid="{83681559-0867-411B-9112-B86BCE234501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$6.091
se coloca MO análogo $1.492 TE6</t>
        </r>
      </text>
    </comment>
    <comment ref="F258" authorId="1" shapeId="0" xr:uid="{1E3E1E3B-9707-41B9-BB22-20FE44D749AD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$6.071
se coloca MO análogo $1.422 TE6M</t>
        </r>
      </text>
    </comment>
    <comment ref="F261" authorId="1" shapeId="0" xr:uid="{E74E337B-BF10-4E1F-96B8-C1708F246550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$5.760
se coloca MO análogo $1.209 TTP4
</t>
        </r>
      </text>
    </comment>
    <comment ref="F262" authorId="1" shapeId="0" xr:uid="{344C49AF-DD30-47C3-BD59-16EBC954091A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$5.706
se coloca MO análogo $1.209 TTP4</t>
        </r>
      </text>
    </comment>
    <comment ref="F264" authorId="1" shapeId="0" xr:uid="{51F83339-EB4B-4A4B-87F3-F4B989BE91FF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$5.983
se coloca MO análogo $1.385 TTP6</t>
        </r>
      </text>
    </comment>
    <comment ref="F265" authorId="1" shapeId="0" xr:uid="{FD42C741-C4F0-42FA-BF06-F95F4C00A29E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$5.954
se coloca MO análogo $1.385 TTP6</t>
        </r>
      </text>
    </comment>
    <comment ref="F271" authorId="1" shapeId="0" xr:uid="{54D36475-0561-4214-84C7-6592E560A19B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$8.436
se coloca MO análogo $969 TTP8G-BIM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Bernal</author>
    <author>Contador</author>
  </authors>
  <commentList>
    <comment ref="F4" authorId="0" shapeId="0" xr:uid="{5FE57642-EF2A-4AD4-96CC-2C43B33610E0}">
      <text>
        <r>
          <rPr>
            <b/>
            <sz val="8"/>
            <color indexed="81"/>
            <rFont val="Tahoma"/>
            <family val="2"/>
          </rPr>
          <t xml:space="preserve">Según SIT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 shapeId="0" xr:uid="{597C21F0-58D7-4300-86E1-32E344C632DA}">
      <text>
        <r>
          <rPr>
            <b/>
            <sz val="9"/>
            <color indexed="81"/>
            <rFont val="Tahoma"/>
            <family val="2"/>
          </rPr>
          <t>Adriana Bernal:</t>
        </r>
        <r>
          <rPr>
            <sz val="9"/>
            <color indexed="81"/>
            <rFont val="Tahoma"/>
            <family val="2"/>
          </rPr>
          <t xml:space="preserve">
SIT + CONTABLE</t>
        </r>
      </text>
    </comment>
    <comment ref="E63" authorId="1" shapeId="0" xr:uid="{9DC902D0-8E78-4C64-B2D8-53B1F65758DF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$292
dic $182</t>
        </r>
      </text>
    </comment>
    <comment ref="E64" authorId="1" shapeId="0" xr:uid="{1D7C971E-8249-4FE7-9378-369B31C6ED7E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dic $262
Ene $448</t>
        </r>
      </text>
    </comment>
    <comment ref="F154" authorId="1" shapeId="0" xr:uid="{CBFEFE00-09FF-4A9A-8C41-FA9153A4F96B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$9.351 
se coloca MO análogo $3.209</t>
        </r>
      </text>
    </comment>
    <comment ref="F158" authorId="1" shapeId="0" xr:uid="{AD4CFA65-51F2-4FFC-A466-74FEF9318B96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$10.454 
se coloca MO análogo $4.314</t>
        </r>
      </text>
    </comment>
    <comment ref="F164" authorId="1" shapeId="0" xr:uid="{856E657E-BB10-4FD4-A167-65A1D6153E7B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$12.451 
se coloca MO análogo $5.756</t>
        </r>
      </text>
    </comment>
    <comment ref="F170" authorId="1" shapeId="0" xr:uid="{B05E6020-7D90-46D7-A72C-5A3220009021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$9.103 
se coloca MO análogo $2.880</t>
        </r>
      </text>
    </comment>
    <comment ref="F174" authorId="1" shapeId="0" xr:uid="{4A94BFBF-7F2F-4AEE-A0A1-208B9C987F08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$9.719
se coloca MO análogo $3.493</t>
        </r>
      </text>
    </comment>
    <comment ref="F178" authorId="1" shapeId="0" xr:uid="{698DE461-17CA-4C69-A3A9-1344E55BCA3A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$10.301
se coloca MO análogo $4.172</t>
        </r>
      </text>
    </comment>
    <comment ref="F182" authorId="1" shapeId="0" xr:uid="{5F10EDF8-34CF-4DBD-8070-A30225E1FDCB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$10.659
se coloca MO análogo $4.432</t>
        </r>
      </text>
    </comment>
    <comment ref="F184" authorId="1" shapeId="0" xr:uid="{DF127E70-4DD8-4044-9426-68DE301E1DFE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$12.381
se coloca MO análogo $5.278</t>
        </r>
      </text>
    </comment>
    <comment ref="F186" authorId="1" shapeId="0" xr:uid="{4C759EDE-7C6B-48A2-A5AC-7BB70C25DC18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$11.257
se coloca MO análogo $5.388</t>
        </r>
      </text>
    </comment>
    <comment ref="F188" authorId="1" shapeId="0" xr:uid="{583EBC20-1888-41B2-8B19-46B3D9FD40DA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$13.744
se coloca MO análogo $6.420</t>
        </r>
      </text>
    </comment>
    <comment ref="F190" authorId="1" shapeId="0" xr:uid="{1E08965A-F02F-44D6-B574-7BF8D0928742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$12.561
se coloca MO análogo $6.756</t>
        </r>
      </text>
    </comment>
    <comment ref="F192" authorId="1" shapeId="0" xr:uid="{28C9F1B6-8584-4443-BEDE-C27C888CC4EE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$13.888
se coloca MO análogo $8.052</t>
        </r>
      </text>
    </comment>
    <comment ref="F201" authorId="1" shapeId="0" xr:uid="{A96EBA20-668E-421C-B876-DAA42A620803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$5.201
se coloca MO análogo $670</t>
        </r>
      </text>
    </comment>
    <comment ref="F203" authorId="1" shapeId="0" xr:uid="{E97A1A98-5563-40E7-989D-560AC02D2A75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$5.595
se coloca MO análogo $1.021</t>
        </r>
      </text>
    </comment>
    <comment ref="F205" authorId="1" shapeId="0" xr:uid="{3BD50023-B4EB-45D3-9392-4AA344453C5B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$5.664
se coloca MO análogo $1.070</t>
        </r>
      </text>
    </comment>
    <comment ref="F207" authorId="1" shapeId="0" xr:uid="{95608D73-1553-49F8-9205-87E05356C99E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$5.620
se coloca MO análogo $977</t>
        </r>
      </text>
    </comment>
    <comment ref="F209" authorId="1" shapeId="0" xr:uid="{EA705D1F-9502-4E19-B24B-AD733DBD9A32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$5.865
se coloca MO análogo $1.281</t>
        </r>
      </text>
    </comment>
    <comment ref="F210" authorId="1" shapeId="0" xr:uid="{62FC1716-AFFB-4D3D-83DE-6FF763F8FD52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$5.798
se coloca MO análogo $1.281</t>
        </r>
      </text>
    </comment>
    <comment ref="F211" authorId="1" shapeId="0" xr:uid="{DD45A598-38CA-4827-8CB9-BA4F7B5E8C66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$5.896
se coloca MO análogo $961.98 TE8-BIM
</t>
        </r>
      </text>
    </comment>
    <comment ref="F212" authorId="1" shapeId="0" xr:uid="{8612D9B3-EB06-4B43-AFEE-5330383D7445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$5.800
se coloca MO análogo $961.98 TE8-BIM</t>
        </r>
      </text>
    </comment>
    <comment ref="F213" authorId="1" shapeId="0" xr:uid="{7A1416D5-35AC-46C1-BFBE-5DF997B18E7A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$5.694
se coloca MO análogo $911.76 TTP4-BIM</t>
        </r>
      </text>
    </comment>
    <comment ref="F214" authorId="1" shapeId="0" xr:uid="{624C748B-3716-4B6C-B5D0-A75D052BB801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$5.562
se coloca MO análogo $911.76 TTP4-BIM</t>
        </r>
      </text>
    </comment>
    <comment ref="F215" authorId="1" shapeId="0" xr:uid="{20A9716A-E5B3-4076-8B0C-C117760DF3E8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$5.773
se coloca MO análogo $1.036,77 TTP6-BIM</t>
        </r>
      </text>
    </comment>
    <comment ref="F216" authorId="1" shapeId="0" xr:uid="{2475A71C-9F18-4F80-AC73-A33430E73A5A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$5.686
se coloca MO análogo $1.036,77 TTP6-BIM</t>
        </r>
      </text>
    </comment>
    <comment ref="F223" authorId="1" shapeId="0" xr:uid="{DDE85942-0730-4332-AA0D-DE6E247D8459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$5.240
se coloca MO análogo $654 TE2</t>
        </r>
      </text>
    </comment>
    <comment ref="F224" authorId="1" shapeId="0" xr:uid="{83E94AE3-4262-4EFE-8FF8-B004F144DB9B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$5.256
se coloca MO análogo $654 TE2</t>
        </r>
      </text>
    </comment>
    <comment ref="F227" authorId="1" shapeId="0" xr:uid="{93F96A36-5021-4466-9810-5DEAADA51EB7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$5.635
se coloca MO análogo $1.107 TE3M</t>
        </r>
      </text>
    </comment>
    <comment ref="F229" authorId="1" shapeId="0" xr:uid="{B3E17FC3-66D2-4A0C-91F3-78900611D636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$5.813
se coloca MO análogo $1.169 TE4</t>
        </r>
      </text>
    </comment>
    <comment ref="F231" authorId="1" shapeId="0" xr:uid="{3AE6335A-DBE1-4662-80DA-F6EC9FD17CA6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$5.772
se coloca MO análogo $1.218 TE4M</t>
        </r>
      </text>
    </comment>
    <comment ref="F233" authorId="1" shapeId="0" xr:uid="{0A50ADD9-F3A0-4842-A923-770D811BD3CE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$6.091
se coloca MO análogo $1.492 TE6</t>
        </r>
      </text>
    </comment>
    <comment ref="F235" authorId="1" shapeId="0" xr:uid="{DEE2C9DC-F93A-4E9B-A2A4-8BD5138760AB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$6.071
se coloca MO análogo $1.422 TE6M</t>
        </r>
      </text>
    </comment>
    <comment ref="F237" authorId="1" shapeId="0" xr:uid="{8BD12003-48DA-4BEE-B045-7D7550C5BDC3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$5.760
se coloca MO análogo $1.209 TTP4
</t>
        </r>
      </text>
    </comment>
    <comment ref="F238" authorId="1" shapeId="0" xr:uid="{26B73A1E-1604-44AC-8810-EBC169E933D9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$5.706
se coloca MO análogo $1.209 TTP4</t>
        </r>
      </text>
    </comment>
    <comment ref="F240" authorId="1" shapeId="0" xr:uid="{62851CE4-4103-4898-9006-3BE6D8878DEB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$5.983
se coloca MO análogo $1.385 TTP6</t>
        </r>
      </text>
    </comment>
    <comment ref="F241" authorId="1" shapeId="0" xr:uid="{80532ED6-EAB4-4738-9EBA-CD1465006657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$5.954
se coloca MO análogo $1.385 TTP6</t>
        </r>
      </text>
    </comment>
    <comment ref="F246" authorId="1" shapeId="0" xr:uid="{41A05C43-7A0F-4A71-BDA9-51E0F01CB468}">
      <text>
        <r>
          <rPr>
            <b/>
            <sz val="9"/>
            <color indexed="81"/>
            <rFont val="Tahoma"/>
            <family val="2"/>
          </rPr>
          <t>Contador:</t>
        </r>
        <r>
          <rPr>
            <sz val="9"/>
            <color indexed="81"/>
            <rFont val="Tahoma"/>
            <family val="2"/>
          </rPr>
          <t xml:space="preserve">
ene $8.436
se coloca MO análogo $969 TTP8G-BIM</t>
        </r>
      </text>
    </comment>
    <comment ref="Q317" authorId="0" shapeId="0" xr:uid="{745C21F7-15FC-49F6-9D37-9CE560AE1EB1}">
      <text>
        <r>
          <rPr>
            <b/>
            <sz val="9"/>
            <color indexed="81"/>
            <rFont val="Tahoma"/>
            <family val="2"/>
          </rPr>
          <t>Adriana Bernal:</t>
        </r>
        <r>
          <rPr>
            <sz val="9"/>
            <color indexed="81"/>
            <rFont val="Tahoma"/>
            <family val="2"/>
          </rPr>
          <t xml:space="preserve">
no tiene lista de precios este mes, dependió  del precio de compra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Bernal</author>
  </authors>
  <commentList>
    <comment ref="F4" authorId="0" shapeId="0" xr:uid="{18D361D7-ADEC-42A1-BB03-2D24BF314893}">
      <text>
        <r>
          <rPr>
            <b/>
            <sz val="8"/>
            <color indexed="81"/>
            <rFont val="Tahoma"/>
            <family val="2"/>
          </rPr>
          <t xml:space="preserve">Según SIT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 shapeId="0" xr:uid="{B6DF9B57-8AD4-4292-BD62-CBA34F023C35}">
      <text>
        <r>
          <rPr>
            <b/>
            <sz val="9"/>
            <color indexed="81"/>
            <rFont val="Tahoma"/>
            <family val="2"/>
          </rPr>
          <t>Adriana Bernal:</t>
        </r>
        <r>
          <rPr>
            <sz val="9"/>
            <color indexed="81"/>
            <rFont val="Tahoma"/>
            <family val="2"/>
          </rPr>
          <t xml:space="preserve">
SIT + CONTABLE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Bernal</author>
  </authors>
  <commentList>
    <comment ref="F4" authorId="0" shapeId="0" xr:uid="{7957C51D-441B-49E8-8B77-AFE81A669A53}">
      <text>
        <r>
          <rPr>
            <b/>
            <sz val="8"/>
            <color indexed="81"/>
            <rFont val="Tahoma"/>
            <family val="2"/>
          </rPr>
          <t xml:space="preserve">Según SIT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 shapeId="0" xr:uid="{CA2F2992-39E8-4636-A2E7-3E34C63F86D1}">
      <text>
        <r>
          <rPr>
            <b/>
            <sz val="9"/>
            <color indexed="81"/>
            <rFont val="Tahoma"/>
            <family val="2"/>
          </rPr>
          <t>Adriana Bernal:</t>
        </r>
        <r>
          <rPr>
            <sz val="9"/>
            <color indexed="81"/>
            <rFont val="Tahoma"/>
            <family val="2"/>
          </rPr>
          <t xml:space="preserve">
SIT + CONTABLE</t>
        </r>
      </text>
    </comment>
    <comment ref="Q333" authorId="0" shapeId="0" xr:uid="{A9212B8F-8242-4829-9647-FE938C64CBB1}">
      <text>
        <r>
          <rPr>
            <b/>
            <sz val="9"/>
            <color indexed="81"/>
            <rFont val="Tahoma"/>
            <family val="2"/>
          </rPr>
          <t>Adriana Bernal:</t>
        </r>
        <r>
          <rPr>
            <sz val="9"/>
            <color indexed="81"/>
            <rFont val="Tahoma"/>
            <family val="2"/>
          </rPr>
          <t xml:space="preserve">
no tiene lista de precios este mes, dependió  del precio de compra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Bernal</author>
  </authors>
  <commentList>
    <comment ref="F4" authorId="0" shapeId="0" xr:uid="{9BF6036B-2706-4DC9-B74E-03262F4B3D35}">
      <text>
        <r>
          <rPr>
            <b/>
            <sz val="8"/>
            <color indexed="81"/>
            <rFont val="Tahoma"/>
            <family val="2"/>
          </rPr>
          <t xml:space="preserve">Según SIT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 shapeId="0" xr:uid="{68C3B4C2-C0EC-4EB9-9C62-5B6CB2048366}">
      <text>
        <r>
          <rPr>
            <b/>
            <sz val="9"/>
            <color indexed="81"/>
            <rFont val="Tahoma"/>
            <family val="2"/>
          </rPr>
          <t>Adriana Bernal:</t>
        </r>
        <r>
          <rPr>
            <sz val="9"/>
            <color indexed="81"/>
            <rFont val="Tahoma"/>
            <family val="2"/>
          </rPr>
          <t xml:space="preserve">
SIT + CONTABLE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Bernal</author>
  </authors>
  <commentList>
    <comment ref="F4" authorId="0" shapeId="0" xr:uid="{3DA99B5D-7716-44A6-A7AC-8852A081CEB5}">
      <text>
        <r>
          <rPr>
            <b/>
            <sz val="8"/>
            <color indexed="81"/>
            <rFont val="Tahoma"/>
            <family val="2"/>
          </rPr>
          <t xml:space="preserve">Según SIT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 shapeId="0" xr:uid="{29D8B107-1F44-43F3-9083-B0A35856CC04}">
      <text>
        <r>
          <rPr>
            <b/>
            <sz val="9"/>
            <color indexed="81"/>
            <rFont val="Tahoma"/>
            <family val="2"/>
          </rPr>
          <t>Adriana Bernal:</t>
        </r>
        <r>
          <rPr>
            <sz val="9"/>
            <color indexed="81"/>
            <rFont val="Tahoma"/>
            <family val="2"/>
          </rPr>
          <t xml:space="preserve">
SIT + CONTABLE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Adriana Bernal</author>
  </authors>
  <commentList>
    <comment ref="F4" authorId="0" shapeId="0" xr:uid="{89CFF960-D589-4BD0-B17C-238B817999F6}">
      <text>
        <r>
          <rPr>
            <b/>
            <sz val="8"/>
            <color indexed="81"/>
            <rFont val="Tahoma"/>
            <family val="2"/>
          </rPr>
          <t xml:space="preserve">Según SIT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4" authorId="0" shapeId="0" xr:uid="{FCDFCDD7-4D0D-425E-855F-B8A6CE5E1F9B}">
      <text>
        <r>
          <rPr>
            <b/>
            <sz val="9"/>
            <color indexed="81"/>
            <rFont val="Tahoma"/>
            <family val="2"/>
          </rPr>
          <t>Adriana Bernal:</t>
        </r>
        <r>
          <rPr>
            <sz val="9"/>
            <color indexed="81"/>
            <rFont val="Tahoma"/>
            <family val="2"/>
          </rPr>
          <t xml:space="preserve">
SIT + CONTABLE</t>
        </r>
      </text>
    </comment>
  </commentList>
</comments>
</file>

<file path=xl/sharedStrings.xml><?xml version="1.0" encoding="utf-8"?>
<sst xmlns="http://schemas.openxmlformats.org/spreadsheetml/2006/main" count="7184" uniqueCount="1173">
  <si>
    <t>COSTO SIT UNITARIO</t>
  </si>
  <si>
    <t>COSTO SIT CANTIDAD</t>
  </si>
  <si>
    <t>GRUPO</t>
  </si>
  <si>
    <t>REF.</t>
  </si>
  <si>
    <t>DESCRIPCION</t>
  </si>
  <si>
    <t>CANT</t>
  </si>
  <si>
    <t>CUMAT</t>
  </si>
  <si>
    <t>CUMO</t>
  </si>
  <si>
    <t>CTMAT</t>
  </si>
  <si>
    <t>CTMO</t>
  </si>
  <si>
    <t>CTSIT</t>
  </si>
  <si>
    <t>%PART</t>
  </si>
  <si>
    <t>CIFU</t>
  </si>
  <si>
    <t>MOU</t>
  </si>
  <si>
    <t>CTU</t>
  </si>
  <si>
    <t>CT</t>
  </si>
  <si>
    <t>PUV</t>
  </si>
  <si>
    <t>PRECIOTOT</t>
  </si>
  <si>
    <t>%CTO</t>
  </si>
  <si>
    <t>%Part.</t>
  </si>
  <si>
    <t>CHAPA-2</t>
  </si>
  <si>
    <t>CIERRE</t>
  </si>
  <si>
    <t>DIFERENCIA</t>
  </si>
  <si>
    <t>GRAPAM12-D</t>
  </si>
  <si>
    <t>GRAPA METALICA 1/2" DOBLE</t>
  </si>
  <si>
    <t>GRAPAM12-S</t>
  </si>
  <si>
    <t>GRAPA METALICA 1/2" SENCILLA</t>
  </si>
  <si>
    <t>NEUTRO12R</t>
  </si>
  <si>
    <t>NEUTRO18R</t>
  </si>
  <si>
    <t>NEUTRO24R</t>
  </si>
  <si>
    <t>NEUTRO DE 24 CIRCUITOS REFORZADO</t>
  </si>
  <si>
    <t>NEUTRO30R</t>
  </si>
  <si>
    <t>NEUTRO42R</t>
  </si>
  <si>
    <t>NEUTRO DE 42 CIRCUITOS REFORZADO</t>
  </si>
  <si>
    <t>NEUTRO6</t>
  </si>
  <si>
    <t>NEUTRO DE 6 CIRCUITOS</t>
  </si>
  <si>
    <t>NEUTRO8</t>
  </si>
  <si>
    <t>NEUTRO DE 8 CIRCUITOS</t>
  </si>
  <si>
    <t>PUERTA VISOR12</t>
  </si>
  <si>
    <t>PUERTA VISOR8</t>
  </si>
  <si>
    <t>PUERTA VISOR PLASTICO TABLERO 8 DE 95 AMP</t>
  </si>
  <si>
    <t>RSLP</t>
  </si>
  <si>
    <t>T1012P</t>
  </si>
  <si>
    <t>TORNILLO LAMINA 10 x1/2</t>
  </si>
  <si>
    <t>TAPA12P</t>
  </si>
  <si>
    <t>TAPA PARA TABLERO TB12P</t>
  </si>
  <si>
    <t>TAPA18R</t>
  </si>
  <si>
    <t>TCE1212L</t>
  </si>
  <si>
    <t>TAPA PARA CE-125 LISA.</t>
  </si>
  <si>
    <t>TCE1212LX</t>
  </si>
  <si>
    <t>TCE1212T</t>
  </si>
  <si>
    <t>TAPA  CE-125 TROQUELADA LEV</t>
  </si>
  <si>
    <t>TIERRA24R</t>
  </si>
  <si>
    <t>TIERRA30R</t>
  </si>
  <si>
    <t>TIERRA42R</t>
  </si>
  <si>
    <t>TIERRA DE 42 CIRCUITOS REFORZADA</t>
  </si>
  <si>
    <t>TIERRA8</t>
  </si>
  <si>
    <t>TIERRA DE 8 CIRCUITOS</t>
  </si>
  <si>
    <t>ACAMPANA12</t>
  </si>
  <si>
    <t>ADAPTADOR CAMPANA 1/2"</t>
  </si>
  <si>
    <t>ADAPTER12</t>
  </si>
  <si>
    <t>ADAPTADOR TERMINAL 1/2"</t>
  </si>
  <si>
    <t>ADAPTER34</t>
  </si>
  <si>
    <t>ADAPTADOR TERMINAL 3/4"</t>
  </si>
  <si>
    <t>CA-30</t>
  </si>
  <si>
    <t>CAJA ARRANCADOR Y CONTROL INDUSTRIAL 30X20X16</t>
  </si>
  <si>
    <t>CA-40</t>
  </si>
  <si>
    <t>CA-50</t>
  </si>
  <si>
    <t>CA-90</t>
  </si>
  <si>
    <t>CAJA ARRANCADOR Y CONTROL INDUSTRIAL 90X50X25</t>
  </si>
  <si>
    <t>CE13-13-8B</t>
  </si>
  <si>
    <t>CAJA DE EMPALME 13X13X8 BLANCA</t>
  </si>
  <si>
    <t>CE15-15-10B</t>
  </si>
  <si>
    <t>CAJA DE EMPALME 15X15X10 BLANCA</t>
  </si>
  <si>
    <t>CE20-15-10B</t>
  </si>
  <si>
    <t>CAJA DE EMPALME 20X15X10 BLANCA</t>
  </si>
  <si>
    <t>CE20-20-10B</t>
  </si>
  <si>
    <t>CAJA DE EMPALME 20X20X10 BLANCA</t>
  </si>
  <si>
    <t>CE20-20-15B</t>
  </si>
  <si>
    <t>CAJA DE EMPALME 20X20X15 BLANCA</t>
  </si>
  <si>
    <t>CE25-20-10B</t>
  </si>
  <si>
    <t>CAJA DE EMPALME 25X20X10 BLANCA</t>
  </si>
  <si>
    <t>CE25-25-10B</t>
  </si>
  <si>
    <t>CAJA DE EMPALME 25X25X10 BLANCA</t>
  </si>
  <si>
    <t>CE25-25-15B</t>
  </si>
  <si>
    <t>CAJA DE EMPALME 25X25X15 BLANCA</t>
  </si>
  <si>
    <t>CE30-30-10B</t>
  </si>
  <si>
    <t>CAJA DE EMPALME 30X30X10 BLANCA</t>
  </si>
  <si>
    <t>CE30-30-15B</t>
  </si>
  <si>
    <t>CAJA DE EMPALME 30X30X15 BLANCA</t>
  </si>
  <si>
    <t>CE30-30-20B</t>
  </si>
  <si>
    <t>CAJA DE EMPALME 30X30X20 BLANCA</t>
  </si>
  <si>
    <t>CE40-40-15B</t>
  </si>
  <si>
    <t>CAJA DE EMPALME 40X40X15 BLANCA</t>
  </si>
  <si>
    <t>CE40-40-20B</t>
  </si>
  <si>
    <t>CAJA DE EMPALME 40X40X20 BLANCA</t>
  </si>
  <si>
    <t>CE50-50-20B</t>
  </si>
  <si>
    <t>CAJA DE EMPALME 50X50X20 BLANCA</t>
  </si>
  <si>
    <t>CE60-60-20B</t>
  </si>
  <si>
    <t>CAJA DE EMPALME 60X60X20 BLANCA</t>
  </si>
  <si>
    <t>CE60-60-30B</t>
  </si>
  <si>
    <t>CAJA DE EMPALME 60X60X30 BLANCA</t>
  </si>
  <si>
    <t>CEP30-15-08</t>
  </si>
  <si>
    <t>CAJA DE EMPALME 30X15X08 PROVISIONAL</t>
  </si>
  <si>
    <t>CI-BU</t>
  </si>
  <si>
    <t>CAJA INDUSTRIAL BREAKER UNIVERSAL 100 AMP</t>
  </si>
  <si>
    <t>CP2X4-CC</t>
  </si>
  <si>
    <t>CAJA PLASTICA 2X4 BLANCA</t>
  </si>
  <si>
    <t>CP4X4-CC</t>
  </si>
  <si>
    <t>CAJA PLASTICA 4X4 BLANCA</t>
  </si>
  <si>
    <t>CPOCTOGONAL-CC</t>
  </si>
  <si>
    <t>CAJA PLASTICA OCTOGONAL BLANCA</t>
  </si>
  <si>
    <t>CP2X4-LH</t>
  </si>
  <si>
    <t>CAJA PLASTICA 2X4 LIBRE DE HALOGENOS</t>
  </si>
  <si>
    <t>CP4X4-LH</t>
  </si>
  <si>
    <t>CAJA PLASTICA 4X4 LIBRE DE HALOGENOS</t>
  </si>
  <si>
    <t>CPOCT-LH</t>
  </si>
  <si>
    <t>CAJA PLASTICA OCTOGONAL LIBRE DE HALOGENOS</t>
  </si>
  <si>
    <t>CT20-20-10</t>
  </si>
  <si>
    <t>CAJA TELEFONICA 20X20X10</t>
  </si>
  <si>
    <t>CT20-20-15</t>
  </si>
  <si>
    <t>CAJA TELEFONICA 20X20X15</t>
  </si>
  <si>
    <t>CT30-30-10</t>
  </si>
  <si>
    <t>CAJA TELEFONICA 30X30X10</t>
  </si>
  <si>
    <t>CT30-30-15</t>
  </si>
  <si>
    <t>CT40-40-15</t>
  </si>
  <si>
    <t>CAJA TELEFONICA 40X40X15</t>
  </si>
  <si>
    <t>CT40-40-20</t>
  </si>
  <si>
    <t>CAJA TELEFONICA 40X40X20</t>
  </si>
  <si>
    <t>CT40-60-15</t>
  </si>
  <si>
    <t>CT60-80-15</t>
  </si>
  <si>
    <t>CE125LE</t>
  </si>
  <si>
    <t>CAJA 12X12X5 TAPA LEVITON GRIS</t>
  </si>
  <si>
    <t>CE125LEB</t>
  </si>
  <si>
    <t>CAJA 12X12X5 TAPA LEVITON BLANCA</t>
  </si>
  <si>
    <t>CE125LED</t>
  </si>
  <si>
    <t>CE125LEDB</t>
  </si>
  <si>
    <t>CAJA 12X12X5 TAPA LEVITON DOBLE BLANCA</t>
  </si>
  <si>
    <t>CE125LI</t>
  </si>
  <si>
    <t>CAJA 12X12X5 TAPA LISA GRIS</t>
  </si>
  <si>
    <t>CE125LIB</t>
  </si>
  <si>
    <t>CAJA 12X12X5 TAPA LISA BLANCA</t>
  </si>
  <si>
    <t>CE125LX</t>
  </si>
  <si>
    <t>CAJA 12X12X5 TAPA DATOS GRIS</t>
  </si>
  <si>
    <t>CE125LXB</t>
  </si>
  <si>
    <t>CAJA 12X12X5 TAPA DATOS BLANCA</t>
  </si>
  <si>
    <t>I312-125</t>
  </si>
  <si>
    <t>I318</t>
  </si>
  <si>
    <t>INTERIOR 18 CTOS 3F 225 AMP</t>
  </si>
  <si>
    <t>I324</t>
  </si>
  <si>
    <t>INTERIOR 24 CTOS 3F 225 AMP</t>
  </si>
  <si>
    <t>I336</t>
  </si>
  <si>
    <t>INTERIOR 36 CTOS 3F 225 AMP</t>
  </si>
  <si>
    <t>I342</t>
  </si>
  <si>
    <t>INTERIOR 42 CTOS 3F 225 AMP</t>
  </si>
  <si>
    <t>R4</t>
  </si>
  <si>
    <t>R4M</t>
  </si>
  <si>
    <t>GCOMP45-45-15G</t>
  </si>
  <si>
    <t>GABINETE COMPLEMENTARIO 45X45X15 GAL</t>
  </si>
  <si>
    <t>GPISO100G</t>
  </si>
  <si>
    <t>GABINETE DE PISO 100X55X20 GAL</t>
  </si>
  <si>
    <t>GPISO7030G</t>
  </si>
  <si>
    <t>GABINETE DE PISO DE 70X50X30 GAL</t>
  </si>
  <si>
    <t>GPISO70G</t>
  </si>
  <si>
    <t>GABINETE DE PISO 70X50X20 GAL</t>
  </si>
  <si>
    <t>PAU ESPECIAL</t>
  </si>
  <si>
    <t>PAU506G</t>
  </si>
  <si>
    <t>CAJA PAU 30X50X6 PLUS GAL</t>
  </si>
  <si>
    <t>PAU506G-E</t>
  </si>
  <si>
    <t>CAJA PAU 30X50X6 ESTANDAR GAL</t>
  </si>
  <si>
    <t>PAU506G-H</t>
  </si>
  <si>
    <t>CAJA PAU 30X50X6 TAPA PLUS CAJA ESTANDAR</t>
  </si>
  <si>
    <t>TER12BG-BIMETALICO</t>
  </si>
  <si>
    <t>TB12-BIMETALICO</t>
  </si>
  <si>
    <t>TB12P-BIMETALICO</t>
  </si>
  <si>
    <t>TABLERO 12 CTOS 2F 100 AMP PUERTA BIM</t>
  </si>
  <si>
    <t>TB12PG-BIMETALICO</t>
  </si>
  <si>
    <t>TABLERO 12 CTOS 2F 100 AMP PUERTA GAL BIM</t>
  </si>
  <si>
    <t>TB18P-BIMETALICO</t>
  </si>
  <si>
    <t>TABLERO 18 CTOS 2F 100 AMP PUERTA BIM</t>
  </si>
  <si>
    <t>TB18PG-BIMETALICO</t>
  </si>
  <si>
    <t>TABLERO 18 CTOS 2F 100 AMP PUERTA GAL BIM</t>
  </si>
  <si>
    <t>TB6PG-BIMETALICO</t>
  </si>
  <si>
    <t>TABLERO 06 CTOS 2F 100 AMP PUERTA GAL BIM</t>
  </si>
  <si>
    <t>TB8-BIMETALICO</t>
  </si>
  <si>
    <t>TB8G-BIMETALICO</t>
  </si>
  <si>
    <t>TABLERO 08 CTOS 2F 100 AMP GAL BIM</t>
  </si>
  <si>
    <t>TB8P-BIMETALICO</t>
  </si>
  <si>
    <t>TABLERO 08 CTOS 2F 100 AMP PUERTA BIM</t>
  </si>
  <si>
    <t>TB8PG-BIMETALICO</t>
  </si>
  <si>
    <t>TABLERO 08 CTOS 2F 100 AMP PUERTA GAL BIM</t>
  </si>
  <si>
    <t>TP306-100 BIMETALICO</t>
  </si>
  <si>
    <t>TABLERO 06 CTOS 3F 100 AMP BIM</t>
  </si>
  <si>
    <t>TP306G-100 BIMETALICO</t>
  </si>
  <si>
    <t>TABLERO 06 CTOS 3F 100 AMP GAL BIM</t>
  </si>
  <si>
    <t>TP312-100 BIMETALICO</t>
  </si>
  <si>
    <t>TABLERO 12 CTOS 3F 100 AMP BIM</t>
  </si>
  <si>
    <t>TP312G-100 BIMETALICO</t>
  </si>
  <si>
    <t>TABLERO 12 CTOS 3F 100 AMP GAL BIM</t>
  </si>
  <si>
    <t>TP318G-100 BIMETALICO</t>
  </si>
  <si>
    <t>TABLERO 18 CTOS 3F 100 AMP GAL BIM</t>
  </si>
  <si>
    <t>TB12P</t>
  </si>
  <si>
    <t>TABLERO 12 CTOS 2F 125 AMP PUERTA</t>
  </si>
  <si>
    <t>TB12PG</t>
  </si>
  <si>
    <t>TABLERO 12 CTOS 2F 125 AMP PUERTA GAL</t>
  </si>
  <si>
    <t>TB18P</t>
  </si>
  <si>
    <t>TABLERO 18 CTOS 2F 125 AMP PUERTA</t>
  </si>
  <si>
    <t>TB18PG</t>
  </si>
  <si>
    <t>TABLERO 18 CTOS 2F 125 AMP PUERTA GAL</t>
  </si>
  <si>
    <t>TB8</t>
  </si>
  <si>
    <t>TABLERO 08 CTOS 2F 125 AMP</t>
  </si>
  <si>
    <t>TB8P</t>
  </si>
  <si>
    <t>TABLERO 08 CTOS 2F 125 AMP PUERTA</t>
  </si>
  <si>
    <t>TB8PG</t>
  </si>
  <si>
    <t>TABLERO 08 CTOS 2F 125 AMP PUERTA GAL</t>
  </si>
  <si>
    <t>TP306-125</t>
  </si>
  <si>
    <t>TABLERO 06 CTOS 3F 125 AMP</t>
  </si>
  <si>
    <t>TP306-125G</t>
  </si>
  <si>
    <t>TABLERO 06 CTOS 3F 125 AMP GAL</t>
  </si>
  <si>
    <t>TP312-125</t>
  </si>
  <si>
    <t xml:space="preserve">TABLERO 12 CTOS 3F 125 AMP </t>
  </si>
  <si>
    <t>TP312-125G</t>
  </si>
  <si>
    <t>TABLERO 12 CTOS 3F 125 AMP GAL</t>
  </si>
  <si>
    <t>TP318-125G</t>
  </si>
  <si>
    <t>TABLERO 18 CTOS 3F 125 AMP GAL</t>
  </si>
  <si>
    <t>TRP312G-BM</t>
  </si>
  <si>
    <t>TABLERO 12 CTOS 3F 175 AMP GAL BIMETALICO</t>
  </si>
  <si>
    <t>TRP312TG-BM</t>
  </si>
  <si>
    <t>TABLERO 12 CTOS 3F 175 AMP TOTALIZADOR GAL BIMETALICO</t>
  </si>
  <si>
    <t>TRP318G-BM</t>
  </si>
  <si>
    <t>TABLERO 18 CTOS 3F 175 AMP GAL BIM</t>
  </si>
  <si>
    <t>TRP318TG-BM</t>
  </si>
  <si>
    <t>TABLERO 18 CTOS 3F 175 AMP TOTALIZADOR GAL BIMETALICO</t>
  </si>
  <si>
    <t>TRP324G-BM</t>
  </si>
  <si>
    <t>TABLERO 24 CTOS 3F 175 AMP GAL BIMETALICO</t>
  </si>
  <si>
    <t>TRP324TG-BM</t>
  </si>
  <si>
    <t>TABLERO 24 CTOS 3F 175 AMP TOTALIZADOR GAL BIMETALICO</t>
  </si>
  <si>
    <t>TRP330G-BM</t>
  </si>
  <si>
    <t>TABLERO 30 CTOS 3F 175 AMP GAL BIMETALICO</t>
  </si>
  <si>
    <t>TRP330TG-BM</t>
  </si>
  <si>
    <t>TABLERO 30 CTOS 3F 175 AMP TOTALIZADOR GAL BIMETALICO</t>
  </si>
  <si>
    <t>TRP336G-BM</t>
  </si>
  <si>
    <t>TABLERO 36 CTOS 3F 175 AMP GAL BIMETALICO</t>
  </si>
  <si>
    <t>TRP336TG-BM</t>
  </si>
  <si>
    <t>TABLERO 36 CTOS 3F 175 AMP TOTALIZADOR GAL BIMETALICO</t>
  </si>
  <si>
    <t>TRP342TG-BM</t>
  </si>
  <si>
    <t>TABLERO 42 CTOS 3F 175 AMP TOTALIZADOR GAL BIMETALICO</t>
  </si>
  <si>
    <t>TRP212T</t>
  </si>
  <si>
    <t>TABLERO 12 CTOS 2F 225 AMP TOTALIZADOR</t>
  </si>
  <si>
    <t>TRP212TG</t>
  </si>
  <si>
    <t xml:space="preserve">TABLERO 12 CTOS 2F 225 AMP TOTALIZADOR GAL </t>
  </si>
  <si>
    <t>TRP218</t>
  </si>
  <si>
    <t>TABLERO 18 CTOS 2F 225 AMP</t>
  </si>
  <si>
    <t>TRP218G</t>
  </si>
  <si>
    <t>TABLERO 18 CTOS 2F 225 AMP GAL</t>
  </si>
  <si>
    <t>TRP218T</t>
  </si>
  <si>
    <t>TABLERO 18 CTOS 2F 225 AMP TOTALIZADOR</t>
  </si>
  <si>
    <t>TRP218TG</t>
  </si>
  <si>
    <t>TABLERO 18 CTOS 2F 225 AMP TOTALIZADOR GAL</t>
  </si>
  <si>
    <t>TRP224</t>
  </si>
  <si>
    <t>TABLERO 24 CTOS 2F 225 AMP</t>
  </si>
  <si>
    <t>TRP224G</t>
  </si>
  <si>
    <t>TABLERO 24 CTOS 2F 225 AMP GAL</t>
  </si>
  <si>
    <t>TRP224T</t>
  </si>
  <si>
    <t>TABLERO 24 CTOS 2F 225 AMP TOTALIZADOR</t>
  </si>
  <si>
    <t>TRP224TG</t>
  </si>
  <si>
    <t>TABLERO 24 CTOS 2F 225 AMP TOTALIZADOR GAL</t>
  </si>
  <si>
    <t>TRP230T</t>
  </si>
  <si>
    <t>TABLERO 30 CTOS 2F 225 AMP TOTALIZADOR</t>
  </si>
  <si>
    <t>TRP230TG</t>
  </si>
  <si>
    <t>TABLERO 30 CTOS 2F 225 AMP TOTALIZADOR GAL</t>
  </si>
  <si>
    <t>TRP236</t>
  </si>
  <si>
    <t>TABLERO 36 CTOS 2F 225 AMP</t>
  </si>
  <si>
    <t>TRP236G</t>
  </si>
  <si>
    <t>TABLERO 36 CTOS 2F 225 AMP GAL</t>
  </si>
  <si>
    <t>TRP236T</t>
  </si>
  <si>
    <t>TABLERO 36 CTOS 2F 225 AMP TOTALIZADOR</t>
  </si>
  <si>
    <t>TRP236TG</t>
  </si>
  <si>
    <t>TABLERO 36 CTOS 2F 225 AMP TOTALIZADOR GAL</t>
  </si>
  <si>
    <t>TRP306</t>
  </si>
  <si>
    <t>TABLERO 06 CTOS 3F 225 AMP</t>
  </si>
  <si>
    <t>TRP306G</t>
  </si>
  <si>
    <t>TABLERO 06 CTOS 3F 225 AMP GAL</t>
  </si>
  <si>
    <t>TRP312</t>
  </si>
  <si>
    <t>TABLERO 12 CTOS 3F 225 AMP</t>
  </si>
  <si>
    <t>TRP312G</t>
  </si>
  <si>
    <t>TABLERO 12 CTOS 3F 225 AMP GAL</t>
  </si>
  <si>
    <t>TRP312T</t>
  </si>
  <si>
    <t>TABLERO 12 CTOS 3F 225 AMP TOTALIZADOR</t>
  </si>
  <si>
    <t>TRP312TG</t>
  </si>
  <si>
    <t>TABLERO 12 CTOS 3F 225 AMP TOTALIZADOR GAL</t>
  </si>
  <si>
    <t>TRP318</t>
  </si>
  <si>
    <t>TABLERO 18 CTOS 3F 225 AMP</t>
  </si>
  <si>
    <t>TRP318G</t>
  </si>
  <si>
    <t>TABLERO 18 CTOS 3F 225 AMP GAL</t>
  </si>
  <si>
    <t>TRP318T</t>
  </si>
  <si>
    <t>TABLERO 18 CTOS 3F 225 AMP TOTALIZADOR</t>
  </si>
  <si>
    <t>TRP318TG</t>
  </si>
  <si>
    <t>TABLERO 18 CTOS 3F 225 AMP TOTALIZADOR GAL</t>
  </si>
  <si>
    <t>TRP324</t>
  </si>
  <si>
    <t>TABLERO 24 CTOS 3F 225 AMP</t>
  </si>
  <si>
    <t>TRP324G</t>
  </si>
  <si>
    <t>TABLERO 24 CTOS 3F 225 AMP GAL</t>
  </si>
  <si>
    <t>TRP324T</t>
  </si>
  <si>
    <t>TABLERO 24 CTOS 3F 225 AMP TOTALIZADOR</t>
  </si>
  <si>
    <t>TRP324TG</t>
  </si>
  <si>
    <t>TABLERO 24 CTOS 3F 225 AMP TOTALIZADOR GAL</t>
  </si>
  <si>
    <t>TRP330</t>
  </si>
  <si>
    <t>TABLERO 30 CTOS 3F 225 AMP</t>
  </si>
  <si>
    <t>TRP330G</t>
  </si>
  <si>
    <t>TABLERO 30 CTOS 3F 225 AMP GAL</t>
  </si>
  <si>
    <t>TRP330T</t>
  </si>
  <si>
    <t>TABLERO 30 CTOS 3F 225 AMP TOTALIZADOR</t>
  </si>
  <si>
    <t>TRP330TG</t>
  </si>
  <si>
    <t>TABLERO 30 CTOS 3F 225 AMP TOTALIZADOR GAL</t>
  </si>
  <si>
    <t>TRP336</t>
  </si>
  <si>
    <t>TABLERO 36 CTOS 3F 225 AMP</t>
  </si>
  <si>
    <t>TRP336G</t>
  </si>
  <si>
    <t>TABLERO 36 CTOS 3F 225 AMP GAL</t>
  </si>
  <si>
    <t>TRP336T</t>
  </si>
  <si>
    <t>TABLERO 36 CTOS 3F 225 AMP TOTALIZADOR</t>
  </si>
  <si>
    <t>TRP336TG</t>
  </si>
  <si>
    <t>TABLERO 36 CTOS 3F 225 AMP TOTALIZADOR GAL</t>
  </si>
  <si>
    <t>TRP342</t>
  </si>
  <si>
    <t>TABLERO 42 CTOS 3F 225 AMP</t>
  </si>
  <si>
    <t>TRP342G</t>
  </si>
  <si>
    <t>TABLERO 42 CTOS 3F 225 AMP GAL</t>
  </si>
  <si>
    <t>TRP342T</t>
  </si>
  <si>
    <t>TABLERO 42 CTOS 3F 225 AMP TOTALIZADOR</t>
  </si>
  <si>
    <t>TRP342TG</t>
  </si>
  <si>
    <t>TABLERO 42 CTOS 3F 225 AMP TOTALIZADOR GAL</t>
  </si>
  <si>
    <t>TE4MPG-BIMETALICO</t>
  </si>
  <si>
    <t>TABLERO 04 CTOS 1F 75 AMP PUERTA GAL BIM</t>
  </si>
  <si>
    <t>TE4PG-BIMETALICO</t>
  </si>
  <si>
    <t>TABLERO 04 CTOS 2F 75 AMP PUERTA GAL BIM</t>
  </si>
  <si>
    <t>TE6MPG-BIMETALICO</t>
  </si>
  <si>
    <t>TABLERO 06 CTOS 1F 75 AMP PUERTA GAL BIM</t>
  </si>
  <si>
    <t>TE6PG-BIMETALICO</t>
  </si>
  <si>
    <t>TABLERO 06 CTOS 2F 75 AMP PUERTA GAL BIM</t>
  </si>
  <si>
    <t>TE8MPG-BIMETALICO</t>
  </si>
  <si>
    <t>TABLERO 08 CTOS 1F 75 AMP PUERTA GAL BIM</t>
  </si>
  <si>
    <t>TE8PG-BIMETALICO</t>
  </si>
  <si>
    <t>TABLERO 08 CTOS 2F 75 AMP PUERTA GAL BIM</t>
  </si>
  <si>
    <t>TE2G-BIMETALICO</t>
  </si>
  <si>
    <t>TE2M-BIMETALICO</t>
  </si>
  <si>
    <t>TABLERO 02 CTOS 1F 75 AMP BIM</t>
  </si>
  <si>
    <t>TE2MG-BIMETALICO</t>
  </si>
  <si>
    <t>TABLERO 02 CTOS 1F 75 AMP GAL BIM</t>
  </si>
  <si>
    <t>TE3M-BIMETALICO</t>
  </si>
  <si>
    <t>TABLERO 03 CTOS 1F 75 AMP BIM</t>
  </si>
  <si>
    <t>TE3MG-BIMETALICO</t>
  </si>
  <si>
    <t>TABLERO 03 CTOS 1F 75 AMP GAL BIM</t>
  </si>
  <si>
    <t>TE4-BIMETALICO</t>
  </si>
  <si>
    <t>TABLERO 04 CTOS 2F 75 AMP BIM</t>
  </si>
  <si>
    <t>TE4G-BIMETALICO</t>
  </si>
  <si>
    <t>TABLERO 04 CTOS 2F 75 AMP GAL BIM</t>
  </si>
  <si>
    <t>TE4M-BIMETALICO</t>
  </si>
  <si>
    <t>TABLERO 04 CTOS 1F 75 AMP BIM</t>
  </si>
  <si>
    <t>TE4MG-BIMETALICO</t>
  </si>
  <si>
    <t>TABLERO 04 CTOS 1F 75 AMP GAL BIM</t>
  </si>
  <si>
    <t>TE6-BIMETALICO</t>
  </si>
  <si>
    <t>TABLERO 06 CTOS 2F 75 AMP BIM</t>
  </si>
  <si>
    <t>TE6G-BIMETALICO</t>
  </si>
  <si>
    <t>TABLERO 06 CTOS 2F 75 AMP GAL BIM</t>
  </si>
  <si>
    <t>TE6M-BIMETALICO</t>
  </si>
  <si>
    <t>TE6MG-BIMETALICO</t>
  </si>
  <si>
    <t>TABLERO 06 CTOS 1F 75 AMP GAL BIM</t>
  </si>
  <si>
    <t>TE8MG-BIMETALICO</t>
  </si>
  <si>
    <t>TABLERO 08 CTOS 1F 75 AMP GAL BIM</t>
  </si>
  <si>
    <t>TTP4G-BIMETALICO</t>
  </si>
  <si>
    <t>TABLERO 04 CTOS 2F 75 AMP TAPA PLASTICA GAL BIM</t>
  </si>
  <si>
    <t>TTP4MG-BIMETALICO</t>
  </si>
  <si>
    <t>TABLERO 04 CTOS 1F 75 AMP TAPA PLASTICA GAL BIM</t>
  </si>
  <si>
    <t>TTP6G-BIMETALICO</t>
  </si>
  <si>
    <t>TABLERO 06 CTOS 2F 75 AMP TAPA PLASTICA GAL BIM</t>
  </si>
  <si>
    <t>TTP6MG-BIMETALICO</t>
  </si>
  <si>
    <t>TABLERO 06 CTOS 1F 75 AMP TAPA PLASTICA GAL BIM</t>
  </si>
  <si>
    <t>TE4MPG</t>
  </si>
  <si>
    <t>TE4P</t>
  </si>
  <si>
    <t>TABLERO 04 CTOS 2F 75 AMP PUERTA</t>
  </si>
  <si>
    <t>TE4PG</t>
  </si>
  <si>
    <t>TABLERO 04 CTOS 2F 75 AMP PUERTA GAL</t>
  </si>
  <si>
    <t>TE6MP</t>
  </si>
  <si>
    <t>TABLERO 06 CTOS 1F 75 AMP PUERTA</t>
  </si>
  <si>
    <t>TE6MPG</t>
  </si>
  <si>
    <t>TABLERO 06 CTOS 1F 75 AMP PUERTA GAL</t>
  </si>
  <si>
    <t>TE6P</t>
  </si>
  <si>
    <t>TABLERO 06 CTOS 2F 75 AMP PUERTA</t>
  </si>
  <si>
    <t>TE6PG</t>
  </si>
  <si>
    <t>TE2</t>
  </si>
  <si>
    <t>TABLERO 02 CTOS 2F 75 AMP</t>
  </si>
  <si>
    <t>TE2G</t>
  </si>
  <si>
    <t>TABLERO 02 CTOS 2F 75 AMP GAL</t>
  </si>
  <si>
    <t>TE2M</t>
  </si>
  <si>
    <t>TE2MG</t>
  </si>
  <si>
    <t>TABLERO 02 CTOS 1F 75 AMP GAL</t>
  </si>
  <si>
    <t>TE3</t>
  </si>
  <si>
    <t>TABLERO 03 CTOS 3F 75 AMP</t>
  </si>
  <si>
    <t>TE3M</t>
  </si>
  <si>
    <t>TABLERO 03 CTOS 1F 75 AMP</t>
  </si>
  <si>
    <t>TE3MG</t>
  </si>
  <si>
    <t>TABLERO 03 CTOS 1F 75 AMP GAL</t>
  </si>
  <si>
    <t>TE4</t>
  </si>
  <si>
    <t>TABLERO 04 CTOS 2F 75 AMP</t>
  </si>
  <si>
    <t>TE4G</t>
  </si>
  <si>
    <t>TABLERO 04 CTOS 2F 75 AMP GAL</t>
  </si>
  <si>
    <t>TE4M</t>
  </si>
  <si>
    <t>TABLERO 04 CTOS 1F 75 AMP</t>
  </si>
  <si>
    <t>TE4MG</t>
  </si>
  <si>
    <t>TABLERO 04 CTOS 1F 75 AMP GAL</t>
  </si>
  <si>
    <t>TE6</t>
  </si>
  <si>
    <t>TABLERO 06 CTOS 2F 75 AMP</t>
  </si>
  <si>
    <t>TE6G</t>
  </si>
  <si>
    <t>TABLERO 06 CTOS 2F 75 AMP GAL</t>
  </si>
  <si>
    <t>TE6M</t>
  </si>
  <si>
    <t>TABLERO 06 CTOS 1F 75 AMP</t>
  </si>
  <si>
    <t>TE6MG</t>
  </si>
  <si>
    <t>TABLERO 06 CTOS 1F 75 AMP GAL</t>
  </si>
  <si>
    <t>TE8</t>
  </si>
  <si>
    <t>TE8G</t>
  </si>
  <si>
    <t>TE8M</t>
  </si>
  <si>
    <t>TE8MG</t>
  </si>
  <si>
    <t>TTP4</t>
  </si>
  <si>
    <t>TABLERO 04 CTOS 2F 75 AMP TAPA PLASTICA</t>
  </si>
  <si>
    <t>TTP4G</t>
  </si>
  <si>
    <t>TABLERO 04 CTOS 2F 75 AMP TAPA PLASTICA GAL</t>
  </si>
  <si>
    <t>TTP4MG</t>
  </si>
  <si>
    <t>TABLERO 04 CTOS 1F 75 AMP TAPA PLASTICA GAL</t>
  </si>
  <si>
    <t>TTP6</t>
  </si>
  <si>
    <t>TABLERO 06 CTOS 2F 75 AMP TAPA PLASTICA</t>
  </si>
  <si>
    <t>TTP6G</t>
  </si>
  <si>
    <t>TABLERO 06 CTOS 2F 75 AMP TAPA PLASTICA GAL</t>
  </si>
  <si>
    <t>TTP6MG</t>
  </si>
  <si>
    <t>TABLERO 06 CTOS 1F 75 AMP TAPA PLASTICA GAL</t>
  </si>
  <si>
    <t>TTP12-BIMETALICO</t>
  </si>
  <si>
    <t>TABLERO 12 CTOS 2F 85 AMP TAPA PLASTICA BIM</t>
  </si>
  <si>
    <t>TTP12G-BIMETALICO</t>
  </si>
  <si>
    <t>TABLERO 12 CTOS 2F 85 AMP TAPA PLASTICA GAL BIM</t>
  </si>
  <si>
    <t>TTP8G-BIMETALICO</t>
  </si>
  <si>
    <t>TABLERO 08 CTOS 2F 85 AMP TAPA PLASTICA GAL BIM</t>
  </si>
  <si>
    <t>TTP8MG-BIMETALICO</t>
  </si>
  <si>
    <t>TABLERO 08 CTOS 1F 85 AMP TAPA PLASTICA GAL BIM</t>
  </si>
  <si>
    <t>TTP12</t>
  </si>
  <si>
    <t>TABLERO 12 CTOS 2F 95 AMP TAPA PLASTICA</t>
  </si>
  <si>
    <t>TTP12G</t>
  </si>
  <si>
    <t>TABLERO 12 CTOS 2F 95 AMP TAPA PLASTICA GAL</t>
  </si>
  <si>
    <t>TTP12MG</t>
  </si>
  <si>
    <t>TABLERO 12 CTOS 1F 95 AMP TAPA PLASTICA GAL</t>
  </si>
  <si>
    <t>TTP8</t>
  </si>
  <si>
    <t>TABLERO 08 CTOS 2F 95 AMP TAPA PLASTICA</t>
  </si>
  <si>
    <t>TTP8G</t>
  </si>
  <si>
    <t>TABLERO 08 CTOS 2F 95 AMP TAPA PLASTICA GAL</t>
  </si>
  <si>
    <t>TTP8MG</t>
  </si>
  <si>
    <t>TABLERO 08 CTOS 1F 95 AMP TAPA PLASTICA GAL</t>
  </si>
  <si>
    <t>TAPA12-95</t>
  </si>
  <si>
    <t xml:space="preserve">TAPA PLAS 12 CTOS 95 AMP </t>
  </si>
  <si>
    <t>TAPA4-PLAS</t>
  </si>
  <si>
    <t>TAPA PLAST 4 CTOS 75 AMP</t>
  </si>
  <si>
    <t>TAPA6P</t>
  </si>
  <si>
    <t>TAPA6-PLAS</t>
  </si>
  <si>
    <t>TAPA PLAST 6 CTOS 75 AMP</t>
  </si>
  <si>
    <t>TAPA8-95</t>
  </si>
  <si>
    <t xml:space="preserve">TAPA PLAS 8 CTOS 95 AMP </t>
  </si>
  <si>
    <t>TAPAKOR</t>
  </si>
  <si>
    <t>TAPA KNOCK OUT RECTANGULAR</t>
  </si>
  <si>
    <t>TPF4X4</t>
  </si>
  <si>
    <t>TAPA PLASTICA FLUSH 4X4</t>
  </si>
  <si>
    <t>TPF4X4-LH</t>
  </si>
  <si>
    <t>TAPA PLASTICA FLUSH 4X4 LIBRE DE HALOGENOS</t>
  </si>
  <si>
    <t>TPL2X4</t>
  </si>
  <si>
    <t>TAPA PLASTICA LISA 2X4</t>
  </si>
  <si>
    <t>TPL2X4-LH</t>
  </si>
  <si>
    <t>TAPA PLASTICA LISA 2X4 LIBRE DE HALOGENOS</t>
  </si>
  <si>
    <t>TPL4X4</t>
  </si>
  <si>
    <t>TAPA PLASTICA LISA 4X4</t>
  </si>
  <si>
    <t>TPL4X4-LH</t>
  </si>
  <si>
    <t>TAPA PLASTICA LISA 4X4 LIBRE DE HALOGENOS</t>
  </si>
  <si>
    <t>Total general</t>
  </si>
  <si>
    <t>EXCOSTALES</t>
  </si>
  <si>
    <t xml:space="preserve">EXCEDENTE  DE PLASTICO COSTALES </t>
  </si>
  <si>
    <t>G-SETI/SETS 2 X 1.5</t>
  </si>
  <si>
    <t>ITM115</t>
  </si>
  <si>
    <t>INTERRUPTOR TERMOMAGNETICO 1P 15 AMP BLANCO</t>
  </si>
  <si>
    <t>ITM115NG</t>
  </si>
  <si>
    <t>INTERRUPTOR TERMOMAGNETICO 1P 15 AMP NEGRO</t>
  </si>
  <si>
    <t>ITM120</t>
  </si>
  <si>
    <t>INTERRUPTOR TERMOMAGNETICO 1P 20 AMP BLANCO</t>
  </si>
  <si>
    <t>ITM120NG</t>
  </si>
  <si>
    <t>INTERRUPTOR TERMOMAGNETICO 1P 20 AMP NEGRO</t>
  </si>
  <si>
    <t>ITM130</t>
  </si>
  <si>
    <t>INTERRUPTOR TERMOMAGNETICO 1P 30 AMP BLANCO</t>
  </si>
  <si>
    <t>ITM130NG</t>
  </si>
  <si>
    <t>INTERRUPTOR TERMOMAGNETICO 1P 30 AMP NEGRO</t>
  </si>
  <si>
    <t>ITM140</t>
  </si>
  <si>
    <t>INTERRUPTOR TERMOMAGNETICO 1P 40 AMP BLANCO</t>
  </si>
  <si>
    <t>ITM140NG</t>
  </si>
  <si>
    <t>INTERRUPTOR TERMOMAGNETICO 1P 40 AMP NEGRO</t>
  </si>
  <si>
    <t>ITM150</t>
  </si>
  <si>
    <t>INTERRUPTOR TERMOMAGNETICO 1P 50 AMP BLANCO</t>
  </si>
  <si>
    <t>ITM150NG</t>
  </si>
  <si>
    <t>INTERRUPTOR TERMOMAGNETICO 1P 50 AMP NEGRO</t>
  </si>
  <si>
    <t>ITM160</t>
  </si>
  <si>
    <t>INTERRUPTOR TERMOMAGNETICO 1P 60 AMP BLANCO</t>
  </si>
  <si>
    <t>ITM160NG</t>
  </si>
  <si>
    <t>INTERRUPTOR TERMOMAGNETICO 1P 60 AMP NEGRO</t>
  </si>
  <si>
    <t>ITM215</t>
  </si>
  <si>
    <t>INTERRUPTOR TERMOMAGNETICO 2P 15 AMP BLANCO</t>
  </si>
  <si>
    <t>ITM215NG</t>
  </si>
  <si>
    <t>ITM220</t>
  </si>
  <si>
    <t>INTERRUPTOR TERMOMAGNETICO 2P 20 AMP BLANCO</t>
  </si>
  <si>
    <t>ITM220NG</t>
  </si>
  <si>
    <t>INTERRUPTOR TERMOMAGNETICO 2P 20 AMP NEGRO</t>
  </si>
  <si>
    <t>ITM230</t>
  </si>
  <si>
    <t>INTERRUPTOR TERMOMAGNETICO 2P 30 AMP BLANCO</t>
  </si>
  <si>
    <t>ITM230NG</t>
  </si>
  <si>
    <t>INTERRUPTOR TERMOMAGNETICO 2P 30 AMP NEGRO</t>
  </si>
  <si>
    <t>ITM240</t>
  </si>
  <si>
    <t>INTERRUPTOR TERMOMAGNETICO 2P 40 AMP BLANCO</t>
  </si>
  <si>
    <t>ITM240NG</t>
  </si>
  <si>
    <t>INTERRUPTOR TERMOMAGNETICO 2P 40 AMP NEGRO</t>
  </si>
  <si>
    <t>ITM250</t>
  </si>
  <si>
    <t>INTERRUPTOR TERMOMAGNETICO 2P 50 AMP BLANCO</t>
  </si>
  <si>
    <t>ITM250NG</t>
  </si>
  <si>
    <t>INTERRUPTOR TERMOMAGNETICO 2P 50 AMP NEGRO</t>
  </si>
  <si>
    <t>ITM260</t>
  </si>
  <si>
    <t>INTERRUPTOR TERMOMAGNETICO 2P 60 AMP BLANCO</t>
  </si>
  <si>
    <t>ITM260NG</t>
  </si>
  <si>
    <t>INTERRUPTOR TERMOMAGNETICO 2P 60 AMP NEGRO</t>
  </si>
  <si>
    <t>ITM315</t>
  </si>
  <si>
    <t>INTERRUPTOR TERMOMAGNETICO 3P 15 AMP BLANCO</t>
  </si>
  <si>
    <t>ITM320</t>
  </si>
  <si>
    <t>INTERRUPTOR TERMOMAGNETICO 3P 20 AMP BLANCO</t>
  </si>
  <si>
    <t>ITM320NG</t>
  </si>
  <si>
    <t>INTERRUPTOR TERMOMAGNETICO 3P 20 AMP NEGRO</t>
  </si>
  <si>
    <t>ITM330</t>
  </si>
  <si>
    <t>INTERRUPTOR TERMOMAGNETICO 3P 30 AMP BLANCO</t>
  </si>
  <si>
    <t>ITM330NG</t>
  </si>
  <si>
    <t>INTERRUPTOR TERMOMAGNETICO 3P 30 AMP NEGRO</t>
  </si>
  <si>
    <t>ITM340</t>
  </si>
  <si>
    <t>INTERRUPTOR TERMOMAGNETICO 3P 40 AMP BLANCO</t>
  </si>
  <si>
    <t>ITM340NG</t>
  </si>
  <si>
    <t>INTERRUPTOR TERMOMAGNETICO 3P 40 AMP NEGRO</t>
  </si>
  <si>
    <t>ITM350</t>
  </si>
  <si>
    <t>INTERRUPTOR TERMOMAGNETICO 3P 50 AMP BLANCO</t>
  </si>
  <si>
    <t>ITM350NG</t>
  </si>
  <si>
    <t>INTERRUPTOR TERMOMAGNETICO 3P 50 AMP NEGRO</t>
  </si>
  <si>
    <t>ITM360</t>
  </si>
  <si>
    <t>ITM360NG</t>
  </si>
  <si>
    <t>INTERRUPTOR TERMOMAGNETICO 3P 60 AMP NEGRO</t>
  </si>
  <si>
    <t>VCU C-120</t>
  </si>
  <si>
    <t>VARILLA COBRE 5/8  X 120</t>
  </si>
  <si>
    <t>VCU C-150</t>
  </si>
  <si>
    <t>VARILLA COBRE 5/8 X 150</t>
  </si>
  <si>
    <t>VCU C-180</t>
  </si>
  <si>
    <t>VARILLA COBRE 5/8 X 180</t>
  </si>
  <si>
    <t>VCU C-240</t>
  </si>
  <si>
    <t>VARILLA COBRE 5/8 X 240</t>
  </si>
  <si>
    <t>VCU1/2-120</t>
  </si>
  <si>
    <t>VARILLA COBRE 1/2 X 120</t>
  </si>
  <si>
    <t>VCU1/2-150</t>
  </si>
  <si>
    <t>VARILLA COBRE 1/2 X 150</t>
  </si>
  <si>
    <t>VCU1/2-240</t>
  </si>
  <si>
    <t>VARILLA COBRE 1/2 X 240</t>
  </si>
  <si>
    <t>COSTO MATERIA PRIMA</t>
  </si>
  <si>
    <t>MANO DE OBRA DIRECTA E INDIRECTA</t>
  </si>
  <si>
    <t>COSTOS INDIRECTOS DE FABRICACION</t>
  </si>
  <si>
    <t>Insumos a planta</t>
  </si>
  <si>
    <t>COSTO MERCANCIA VENDIDA</t>
  </si>
  <si>
    <t>Costos del mes</t>
  </si>
  <si>
    <t>ok con balance</t>
  </si>
  <si>
    <t>RITEL</t>
  </si>
  <si>
    <t>CAJAS PLASTICAS CC</t>
  </si>
  <si>
    <t>BREAKERS</t>
  </si>
  <si>
    <t>TABLEROS 125 AMP COBRE 2 FASES</t>
  </si>
  <si>
    <t>ADAPTADORES</t>
  </si>
  <si>
    <t>TABLEROS 95 AMP COBRE</t>
  </si>
  <si>
    <t>TABLEROS 75 AMP COBRE CON PUERTA</t>
  </si>
  <si>
    <t>CAJAS EMPALME</t>
  </si>
  <si>
    <t>TAPAS PLASTICAS</t>
  </si>
  <si>
    <t>CE 125</t>
  </si>
  <si>
    <t>TABLEROS 100 AMP BIMETALICO 2 FASES</t>
  </si>
  <si>
    <t>TABLEROS 75 AMP COBRE TAPA LISA</t>
  </si>
  <si>
    <t>TABLEROS 75 AMP BIMETALICO TAPA LISA</t>
  </si>
  <si>
    <t>TABLEROS 225 AMP COBRE</t>
  </si>
  <si>
    <t>TABLEROS 75 AMP COBRE TAPA PLASTICA</t>
  </si>
  <si>
    <t>TABLEROS 100 AMP BIMETALICO 3 FASES</t>
  </si>
  <si>
    <t>TABLEROS 85 AMP BIMETALICO</t>
  </si>
  <si>
    <t>TABLEROS 175 AMP BIMETALICO</t>
  </si>
  <si>
    <t>SETI</t>
  </si>
  <si>
    <t>TABLEROS 75 AMP BIMETALICO CON PUERTA</t>
  </si>
  <si>
    <t>VARILLAS</t>
  </si>
  <si>
    <t>CAJAS PLASTICAS LH</t>
  </si>
  <si>
    <t>TABLEROS 125 AMP COBRE 3 FASES</t>
  </si>
  <si>
    <t>TABLEROS 75 AMP BIMETALICO TAPA PLASTICA</t>
  </si>
  <si>
    <t>CAJAS TELEFONICAS</t>
  </si>
  <si>
    <t>CAJAS ARRANCADORAS</t>
  </si>
  <si>
    <t>ACCESORIOS</t>
  </si>
  <si>
    <t>INTERIORES</t>
  </si>
  <si>
    <t>TABLERO RIEL</t>
  </si>
  <si>
    <t>EXCEDENTES INDUSTRIALES</t>
  </si>
  <si>
    <t>REGLETAS</t>
  </si>
  <si>
    <t>BN-12</t>
  </si>
  <si>
    <t>BANDEJA PARA INTERIOR *I-12P,I-212,I-312</t>
  </si>
  <si>
    <t>BN-18</t>
  </si>
  <si>
    <t>BN-36</t>
  </si>
  <si>
    <t>CTUBON</t>
  </si>
  <si>
    <t>FLETES</t>
  </si>
  <si>
    <t>VALOR FLETES MERCANCIA</t>
  </si>
  <si>
    <t>MAYOR</t>
  </si>
  <si>
    <t>NEUTRO12</t>
  </si>
  <si>
    <t>NEUTRO DE 12 CIRCUITOS</t>
  </si>
  <si>
    <t>NEUTRO36R</t>
  </si>
  <si>
    <t>PUERTA VISOR6</t>
  </si>
  <si>
    <t>REPROCESO</t>
  </si>
  <si>
    <t>T10P</t>
  </si>
  <si>
    <t>TORNILLO LAMINA 10 x 1. 1/4  PUNTA GUIA</t>
  </si>
  <si>
    <t>TAPA8P</t>
  </si>
  <si>
    <t>TAPA PARA TABLERO TB8P</t>
  </si>
  <si>
    <t>TAPAPAU506</t>
  </si>
  <si>
    <t>TAPA PARA CAJA PAU 30X50 PLUS</t>
  </si>
  <si>
    <t>TIERRA12</t>
  </si>
  <si>
    <t>TIERRA DE 12 CIRCUITOS</t>
  </si>
  <si>
    <t>TIERRA36R</t>
  </si>
  <si>
    <t>TIERRA4</t>
  </si>
  <si>
    <t>ACAMPANA34</t>
  </si>
  <si>
    <t>ADAPTADOR CAMPANA 3/4"</t>
  </si>
  <si>
    <t>CA-60</t>
  </si>
  <si>
    <t>CA-70</t>
  </si>
  <si>
    <t>CAJA ARRANCADOR Y CONTROL INDUSTRIAL 70X50X25</t>
  </si>
  <si>
    <t>CA-80</t>
  </si>
  <si>
    <t>CAJA ARRANCADOR Y CONTROL INDUSTRIAL 80X50X25</t>
  </si>
  <si>
    <t>CE-ESPECIAL</t>
  </si>
  <si>
    <t>CT15-15-10</t>
  </si>
  <si>
    <t>I12P</t>
  </si>
  <si>
    <t>INTERIOR 12 CTOS 2F 125 AMP</t>
  </si>
  <si>
    <t>I224</t>
  </si>
  <si>
    <t>INTERIOR 24 CTOS 2F 225 AMP</t>
  </si>
  <si>
    <t>I230</t>
  </si>
  <si>
    <t>INTERIOR 30 CTOS 2F 225 AMP</t>
  </si>
  <si>
    <t>I312</t>
  </si>
  <si>
    <t>INTERIOR 12 CTOS 3F 225 AMP</t>
  </si>
  <si>
    <t>R6M</t>
  </si>
  <si>
    <t>REGLETA DE 6 CIRCUITOS MONO (R6TPEM)</t>
  </si>
  <si>
    <t>REGLETA DE 6 CTOS 1 FASE BIMETALICA (R6TPEM)</t>
  </si>
  <si>
    <t>R8M-BIMETALICO</t>
  </si>
  <si>
    <t>GPISO ESPECIAL</t>
  </si>
  <si>
    <t>GABINETE DE PISO MEDIDAS ESPECIALES</t>
  </si>
  <si>
    <t>TRP342G-BM</t>
  </si>
  <si>
    <t>TABLERO 42 CTOS 3F 175 AMP GAL BIMETALICO</t>
  </si>
  <si>
    <t>TE12PG-BIMETALICO</t>
  </si>
  <si>
    <t>TABLERO 12 CTOS 2F 75 AMP PUERTA GAL BIM</t>
  </si>
  <si>
    <t>TE8G-BIMETALICO</t>
  </si>
  <si>
    <t>TABLERO 08 CTOS 2F 75 AMP GAL BIM</t>
  </si>
  <si>
    <t>TTP12MG-BIMETALICO</t>
  </si>
  <si>
    <t>TABLERO 12 CTOS 1F 85 AMP TAPA PLASTICA GAL BIM</t>
  </si>
  <si>
    <t>TAPA8E</t>
  </si>
  <si>
    <t>G-SETI/SETS 2 X1</t>
  </si>
  <si>
    <t>VCU1/2-180</t>
  </si>
  <si>
    <t>VARILLA COBRE 1/2 X 180</t>
  </si>
  <si>
    <t>BN-24</t>
  </si>
  <si>
    <t>BANDEJA PARA INTERIOR *I-224,I-324*</t>
  </si>
  <si>
    <t>BN-30</t>
  </si>
  <si>
    <t>BNTOTA</t>
  </si>
  <si>
    <t>CHAPA-1</t>
  </si>
  <si>
    <t>CHAPA GAVETA (TRPs)</t>
  </si>
  <si>
    <t>NEUTRO6R</t>
  </si>
  <si>
    <t>TAPA12R</t>
  </si>
  <si>
    <t>TAPA18P</t>
  </si>
  <si>
    <t>TAPA PARA TABLERO TB18P</t>
  </si>
  <si>
    <t>TAPA24R</t>
  </si>
  <si>
    <t>TAPA36R</t>
  </si>
  <si>
    <t>TAPAPAU506-E</t>
  </si>
  <si>
    <t>T-CT2020</t>
  </si>
  <si>
    <t>T-CT3030</t>
  </si>
  <si>
    <t>TIERRA18R</t>
  </si>
  <si>
    <t>TIERRA6</t>
  </si>
  <si>
    <t>TIERRA DE 6 CIRCUITOS</t>
  </si>
  <si>
    <t>TIERRA6R</t>
  </si>
  <si>
    <t>EXCEDENTES</t>
  </si>
  <si>
    <t xml:space="preserve">EXCEDENTES INDUSTRIALES MADEROS CORTOS </t>
  </si>
  <si>
    <t>EXCEDENTESIN</t>
  </si>
  <si>
    <t>EXCEDENTES INDUSTRIALES MADEROS LARGOS</t>
  </si>
  <si>
    <t>EXCERETALAL</t>
  </si>
  <si>
    <t>EXCERIPIOCO</t>
  </si>
  <si>
    <t>I18P</t>
  </si>
  <si>
    <t>INTERIOR 18 CTOS 2F 125 AMP</t>
  </si>
  <si>
    <t>I218</t>
  </si>
  <si>
    <t>I306</t>
  </si>
  <si>
    <t>I330</t>
  </si>
  <si>
    <t>INTERIOR 30 CTOS 3F 225 AMP</t>
  </si>
  <si>
    <t>I8P</t>
  </si>
  <si>
    <t>INTERIOR 08 CTOS 2F 125 AMP</t>
  </si>
  <si>
    <t>R4M-BIMETALICO</t>
  </si>
  <si>
    <t>REGLETA DE 4 CTOS 1 FASE BIMETALICA (R4TPEM)</t>
  </si>
  <si>
    <t>R6</t>
  </si>
  <si>
    <t>R6M-BIMETALICO</t>
  </si>
  <si>
    <t>PAU508G-E</t>
  </si>
  <si>
    <t>TAPA4P</t>
  </si>
  <si>
    <t>ITM315NG</t>
  </si>
  <si>
    <t>BN-42</t>
  </si>
  <si>
    <t>NEUTRO4</t>
  </si>
  <si>
    <t>EXCELIMAALU</t>
  </si>
  <si>
    <t>EXCELIMALATON</t>
  </si>
  <si>
    <t>EXCERETALCU</t>
  </si>
  <si>
    <t>I12TP</t>
  </si>
  <si>
    <t>I8TP</t>
  </si>
  <si>
    <t>R2</t>
  </si>
  <si>
    <t>TER6BG</t>
  </si>
  <si>
    <t>NEUTRO18</t>
  </si>
  <si>
    <t>NEUTRO DE 18 CIRCUITOS</t>
  </si>
  <si>
    <t>TAPA12RT</t>
  </si>
  <si>
    <t>TAPA18RT</t>
  </si>
  <si>
    <t>TAPA42RT</t>
  </si>
  <si>
    <t>TIERRA12R</t>
  </si>
  <si>
    <t>TIERRA18</t>
  </si>
  <si>
    <t>TIERRA DE 18 CIRCUITOS</t>
  </si>
  <si>
    <t>EXBOLSASP</t>
  </si>
  <si>
    <t>EXCEDENTES BOLSAS PLASTICAS</t>
  </si>
  <si>
    <t>EXCEBARREDU</t>
  </si>
  <si>
    <t>EXCEDENTES INDUSTRIALES - BARREDURA PP</t>
  </si>
  <si>
    <t>EXCEDENTESM</t>
  </si>
  <si>
    <t>EXCELIMACOBRE</t>
  </si>
  <si>
    <t>EXCETORTAPOC</t>
  </si>
  <si>
    <t>EXCEDENTES INDUSTRIALES TORTA POLICARBONATO</t>
  </si>
  <si>
    <t>EXCETORTAPOLIP</t>
  </si>
  <si>
    <t>EXCEDENTES INDUSTRIALES TORTA POLIPROPILENO</t>
  </si>
  <si>
    <t>TORTA</t>
  </si>
  <si>
    <t>I12TP-BIMETALICO</t>
  </si>
  <si>
    <t>I236</t>
  </si>
  <si>
    <t>TER6BG-BIMETALICO</t>
  </si>
  <si>
    <t>G-SETI/SET 180X50X25</t>
  </si>
  <si>
    <t>NEUTRO8ALET</t>
  </si>
  <si>
    <t>NEUTRO 8 CIRCUITOS ALET</t>
  </si>
  <si>
    <t>TIERRA8ALET</t>
  </si>
  <si>
    <t>TIERRA 8 CIRCUITOS ALET</t>
  </si>
  <si>
    <t>EXCEDESLATON</t>
  </si>
  <si>
    <t>I8TP-BIMETALICO</t>
  </si>
  <si>
    <t>PAU5011G</t>
  </si>
  <si>
    <t>T-CE4040</t>
  </si>
  <si>
    <t>EXCARTON</t>
  </si>
  <si>
    <t xml:space="preserve">EXCEDENTES INDUSTRIALES  DE CATON </t>
  </si>
  <si>
    <t>EXCINDUSTR</t>
  </si>
  <si>
    <t>EXCEDENTES INDUSTRIALES - REMOLIDO DE POLICARBONATO</t>
  </si>
  <si>
    <t>I318-125</t>
  </si>
  <si>
    <t>INTERIOR 18 CTOS 3F 125 AMP</t>
  </si>
  <si>
    <t>TABLERO ESPECIAL</t>
  </si>
  <si>
    <t>TAPA24RT</t>
  </si>
  <si>
    <t>TAPA36RT</t>
  </si>
  <si>
    <t>EXARCHIVO</t>
  </si>
  <si>
    <t xml:space="preserve">EXCEDENTES INDUSTRIALES  DE ARCHIVO </t>
  </si>
  <si>
    <t>EXCERIPIOALU</t>
  </si>
  <si>
    <t>I312-100BIMETALICO</t>
  </si>
  <si>
    <t>TER12TG-BIMETALICO</t>
  </si>
  <si>
    <t>TER6TG-BIMETALICO</t>
  </si>
  <si>
    <t>TE4-BIMETALICO-E</t>
  </si>
  <si>
    <t>BN-08</t>
  </si>
  <si>
    <t>BANDEJA PARA INTERIOR *I-8P*</t>
  </si>
  <si>
    <t>CTUBONALET</t>
  </si>
  <si>
    <t>NEUTRO18ALET</t>
  </si>
  <si>
    <t>NEUTRO6ALET</t>
  </si>
  <si>
    <t>TAPA6</t>
  </si>
  <si>
    <t>TAPA-GA100</t>
  </si>
  <si>
    <t>TAPA-GA70</t>
  </si>
  <si>
    <t>T-CE2020</t>
  </si>
  <si>
    <t>TIERRA18ALET</t>
  </si>
  <si>
    <t>TIERRA6ALET</t>
  </si>
  <si>
    <t>ADAPTER12-AI</t>
  </si>
  <si>
    <t>I212</t>
  </si>
  <si>
    <t>I8</t>
  </si>
  <si>
    <t>NEUTRO12ALET</t>
  </si>
  <si>
    <t>TIERRA12ALET</t>
  </si>
  <si>
    <t>EXPAPEL</t>
  </si>
  <si>
    <t>I306-100 BIMETALICO</t>
  </si>
  <si>
    <t>PAU506G-EH</t>
  </si>
  <si>
    <t>CAJA PAU 30X50X6 TAPA ESTANDAR CAJA PLUS SIN DF</t>
  </si>
  <si>
    <t>T5MCIL</t>
  </si>
  <si>
    <t>T812</t>
  </si>
  <si>
    <t>ADAPTER34-AI</t>
  </si>
  <si>
    <t>ITM-R106</t>
  </si>
  <si>
    <t>ITM-R116</t>
  </si>
  <si>
    <t>INTERRUPTOR TERMOMAGNÉTICO 1P 16 AMP TIPO RIEL</t>
  </si>
  <si>
    <t>ITM-R120</t>
  </si>
  <si>
    <t>INTERRUPTOR TERMOMAGNÉTICO 1P 20 AMP TIPO RIEL</t>
  </si>
  <si>
    <t>ITM-R132</t>
  </si>
  <si>
    <t>INTERRUPTOR TERMOMAGNÉTICO 1P 32 AMP TIPO RIEL</t>
  </si>
  <si>
    <t>ITM-R140</t>
  </si>
  <si>
    <t>INTERRUPTOR TERMOMAGNÉTICO 1P 40 AMP TIPO RIEL</t>
  </si>
  <si>
    <t>ITM-R150</t>
  </si>
  <si>
    <t>INTERRUPTOR TERMOMAGNÉTICO 1P 50 AMP TIPO RIEL</t>
  </si>
  <si>
    <t>ITM-R206</t>
  </si>
  <si>
    <t>ITM-R216</t>
  </si>
  <si>
    <t>INTERRUPTOR TERMOMAGNÉTICO 2P 16 AMP TIPO RIEL</t>
  </si>
  <si>
    <t>ITM-R220</t>
  </si>
  <si>
    <t>INTERRUPTOR TERMOMAGNÉTICO 2P 20 AMP TIPO RIEL</t>
  </si>
  <si>
    <t>ITM-R232</t>
  </si>
  <si>
    <t>INTERRUPTOR TERMOMAGNÉTICO 2P 32 AMP TIPO RIEL</t>
  </si>
  <si>
    <t>ITM-R240</t>
  </si>
  <si>
    <t>INTERRUPTOR TERMOMAGNÉTICO 2P 40 AMP TIPO RIEL</t>
  </si>
  <si>
    <t>ITM-R250</t>
  </si>
  <si>
    <t>INTERRUPTOR TERMOMAGNÉTICO 2P 50 AMP TIPO RIEL</t>
  </si>
  <si>
    <t>ITM-R263</t>
  </si>
  <si>
    <t>INTERRUPTOR TERMOMAGNÉTICO 2P 63 AMP TIPO RIEL</t>
  </si>
  <si>
    <t>ITM-R316</t>
  </si>
  <si>
    <t>INTERRUPTOR TERMOMAGNÉTICO 3P 16 AMP TIPO RIEL</t>
  </si>
  <si>
    <t>ITM-R320</t>
  </si>
  <si>
    <t>INTERRUPTOR TERMOMAGNÉTICO 3P 20 AMP TIPO RIEL</t>
  </si>
  <si>
    <t>ITM-R332</t>
  </si>
  <si>
    <t>INTERRUPTOR TERMOMAGNÉTICO 3P 32 AMP TIPO RIEL</t>
  </si>
  <si>
    <t>ITM-R340</t>
  </si>
  <si>
    <t>INTERRUPTOR TERMOMAGNÉTICO 3P 40 AMP TIPO RIEL</t>
  </si>
  <si>
    <t>ITM-R350</t>
  </si>
  <si>
    <t>INTERRUPTOR TERMOMAGNÉTICO 3P 50 AMP TIPO RIEL</t>
  </si>
  <si>
    <t>ITM-R363</t>
  </si>
  <si>
    <t>INTERRUPTOR TERMOMAGNÉTICO 3P 63 AMP TIPO RIEL</t>
  </si>
  <si>
    <t xml:space="preserve"> GRUPO</t>
  </si>
  <si>
    <t xml:space="preserve"> CANT</t>
  </si>
  <si>
    <t xml:space="preserve"> CTO TOTAL</t>
  </si>
  <si>
    <t xml:space="preserve"> PRECIO TOTAL</t>
  </si>
  <si>
    <t xml:space="preserve"> MARGEN</t>
  </si>
  <si>
    <t xml:space="preserve"> % CTO</t>
  </si>
  <si>
    <t xml:space="preserve"> % MARGEN</t>
  </si>
  <si>
    <t xml:space="preserve"> % PART.VTAS</t>
  </si>
  <si>
    <t xml:space="preserve"> % PART.MARG</t>
  </si>
  <si>
    <t>TABLEROS 125 AMP COBRE</t>
  </si>
  <si>
    <t>CAJAS PLASTICAS</t>
  </si>
  <si>
    <t>TABLEROS 75 AMP COBRE</t>
  </si>
  <si>
    <t>TABLEROS 100 AMP BIMETALICO</t>
  </si>
  <si>
    <t>TABLEROS 75 AMP BIMETALICO</t>
  </si>
  <si>
    <t>MES</t>
  </si>
  <si>
    <t>AÑO</t>
  </si>
  <si>
    <t>PRECIO TOT</t>
  </si>
  <si>
    <t>MARGEN</t>
  </si>
  <si>
    <t>ENERO</t>
  </si>
  <si>
    <t>EXPORTACIÓN</t>
  </si>
  <si>
    <t>RECUPERACION</t>
  </si>
  <si>
    <t>BN08</t>
  </si>
  <si>
    <t>BISAGRAT</t>
  </si>
  <si>
    <t>OBSEQUIOS</t>
  </si>
  <si>
    <t>CAJA12</t>
  </si>
  <si>
    <t>CAJA12P</t>
  </si>
  <si>
    <t>CCE125</t>
  </si>
  <si>
    <t>CPT</t>
  </si>
  <si>
    <t>EP</t>
  </si>
  <si>
    <t>LLAVE-2</t>
  </si>
  <si>
    <t>NEUTRO2</t>
  </si>
  <si>
    <t>NEUTRO3</t>
  </si>
  <si>
    <t>PUERTA8-95</t>
  </si>
  <si>
    <t>PUERTA8-95B</t>
  </si>
  <si>
    <t>PUERTA6PLASTICA</t>
  </si>
  <si>
    <t>PUERTA4BPLASTICA</t>
  </si>
  <si>
    <t>PUERTA VISOR4</t>
  </si>
  <si>
    <t>TAPA2</t>
  </si>
  <si>
    <t>TAPA3</t>
  </si>
  <si>
    <t>TAPA30R</t>
  </si>
  <si>
    <t>TAPA42R</t>
  </si>
  <si>
    <t>TAPA12</t>
  </si>
  <si>
    <t>TAPA12R-125</t>
  </si>
  <si>
    <t>TAPA4</t>
  </si>
  <si>
    <t>T-CT8060</t>
  </si>
  <si>
    <t>TCE125TLG</t>
  </si>
  <si>
    <t>TCE125TXG</t>
  </si>
  <si>
    <t>TCE125TVG</t>
  </si>
  <si>
    <t>TCE1212LED</t>
  </si>
  <si>
    <t>T-CT4040</t>
  </si>
  <si>
    <t>T-CE3030</t>
  </si>
  <si>
    <t>TIERRA2</t>
  </si>
  <si>
    <t>TIERRA3</t>
  </si>
  <si>
    <t>TUERCA12-PLAS</t>
  </si>
  <si>
    <t>CTUBONAL</t>
  </si>
  <si>
    <t>TAPA ESPECIAL</t>
  </si>
  <si>
    <t>TAPA18R-125</t>
  </si>
  <si>
    <t>TAPA6R-125</t>
  </si>
  <si>
    <t>T-CE1515</t>
  </si>
  <si>
    <t>T51612CR</t>
  </si>
  <si>
    <t>CA-ESPECIAL</t>
  </si>
  <si>
    <t>CE15-15-10TTB</t>
  </si>
  <si>
    <t>CE25-20-10</t>
  </si>
  <si>
    <t>CE13-13-8</t>
  </si>
  <si>
    <t>CE15-15-10</t>
  </si>
  <si>
    <t>CE15-10TTB</t>
  </si>
  <si>
    <t>CE20-15-10</t>
  </si>
  <si>
    <t>CE20-20-10</t>
  </si>
  <si>
    <t>CE20-20-15</t>
  </si>
  <si>
    <t>CE25-25-10</t>
  </si>
  <si>
    <t>CE25-25-15</t>
  </si>
  <si>
    <t>CE30-30-10</t>
  </si>
  <si>
    <t>CE30-30-15</t>
  </si>
  <si>
    <t>CE30-30-20</t>
  </si>
  <si>
    <t>CE40-40-15</t>
  </si>
  <si>
    <t>CE40-40-20</t>
  </si>
  <si>
    <t>CE50-50-20</t>
  </si>
  <si>
    <t>CP2X4</t>
  </si>
  <si>
    <t>CP4X4</t>
  </si>
  <si>
    <t>CPOCTOGONAL</t>
  </si>
  <si>
    <t>CPOCTNG-CC</t>
  </si>
  <si>
    <t>CP2X4NG</t>
  </si>
  <si>
    <t>CAJAS PLASTICAS NEGRAS</t>
  </si>
  <si>
    <t>CP4X4NG</t>
  </si>
  <si>
    <t>CP-OCT NEGRA</t>
  </si>
  <si>
    <t>CP4X4NG-CC</t>
  </si>
  <si>
    <t>CAJAS PLASTICAS NEGRAS CC</t>
  </si>
  <si>
    <t>CP2X4NG-CC</t>
  </si>
  <si>
    <t>CPOCT NG-CC</t>
  </si>
  <si>
    <t>CT-ESPECIAL</t>
  </si>
  <si>
    <t>CT2-40-20-15</t>
  </si>
  <si>
    <t>CT2-40-20-20</t>
  </si>
  <si>
    <t>CT30-30-20</t>
  </si>
  <si>
    <t>CT3-60-20-20</t>
  </si>
  <si>
    <t>CT3-60-20-15</t>
  </si>
  <si>
    <t>ALTOIMPACTO</t>
  </si>
  <si>
    <t>EXCEDESALUMINIO</t>
  </si>
  <si>
    <t>EXCELIMACON</t>
  </si>
  <si>
    <t>EXCELIMAALUCON</t>
  </si>
  <si>
    <t>EXCEMASTER</t>
  </si>
  <si>
    <t>BARREDURA</t>
  </si>
  <si>
    <t>EXCELAMIN</t>
  </si>
  <si>
    <t>EXCETAPA</t>
  </si>
  <si>
    <t>EXCINDUSTRI</t>
  </si>
  <si>
    <t>EXINDUSTRIALES</t>
  </si>
  <si>
    <t>EXCINDUSTRIALES</t>
  </si>
  <si>
    <t>EXINDUSTRI</t>
  </si>
  <si>
    <t>EXINDUSTRIA</t>
  </si>
  <si>
    <t>EXCELAMI</t>
  </si>
  <si>
    <t>EXCEREMOABS</t>
  </si>
  <si>
    <t>EXCERETALATON</t>
  </si>
  <si>
    <t>EXCEMASTERN</t>
  </si>
  <si>
    <t>EXCERETALATONR</t>
  </si>
  <si>
    <t>EXCESTIBAP</t>
  </si>
  <si>
    <t>EXINDUSTRIALESP</t>
  </si>
  <si>
    <t>CE20-20-10EX</t>
  </si>
  <si>
    <t>CE25-25-10EX</t>
  </si>
  <si>
    <t>CE30-30-15EX</t>
  </si>
  <si>
    <t>FLETEINT</t>
  </si>
  <si>
    <t>SEGUROEXP</t>
  </si>
  <si>
    <t>TB12EX-BIMETALICO</t>
  </si>
  <si>
    <t>TB18EX-BIMETALICO</t>
  </si>
  <si>
    <t>TP312EX-BIMETALICO</t>
  </si>
  <si>
    <t>TP318EX-BIMETALICO</t>
  </si>
  <si>
    <t>TRP342TGEX-BM</t>
  </si>
  <si>
    <t>ITM120NGEX</t>
  </si>
  <si>
    <t>I306-125</t>
  </si>
  <si>
    <t>I324-BIMETALICO</t>
  </si>
  <si>
    <t>I895</t>
  </si>
  <si>
    <t>I12P-BIMETALICO</t>
  </si>
  <si>
    <t>I8TPM</t>
  </si>
  <si>
    <t>R8</t>
  </si>
  <si>
    <t>R2TE</t>
  </si>
  <si>
    <t>R2TEM</t>
  </si>
  <si>
    <t>R3</t>
  </si>
  <si>
    <t>R8M</t>
  </si>
  <si>
    <t>R3TEM</t>
  </si>
  <si>
    <t>R2M-BIMETALICO</t>
  </si>
  <si>
    <t>R3M-BIMETALICO</t>
  </si>
  <si>
    <t>R4TPEM</t>
  </si>
  <si>
    <t>R6TPE</t>
  </si>
  <si>
    <t>R6TPEM</t>
  </si>
  <si>
    <t>R4-BIMETALICO</t>
  </si>
  <si>
    <t>R4TPEM-BIMETALICO</t>
  </si>
  <si>
    <t>R8TPEM</t>
  </si>
  <si>
    <t>R6-BIMETALICO</t>
  </si>
  <si>
    <t>R8-BIMETALICO</t>
  </si>
  <si>
    <t>PAU5011G-E</t>
  </si>
  <si>
    <t>TER4MG</t>
  </si>
  <si>
    <t>TER6MG</t>
  </si>
  <si>
    <t>TER6MG-BIMETALICO</t>
  </si>
  <si>
    <t>TER8BG-BIMETALICO</t>
  </si>
  <si>
    <t>TER8BG</t>
  </si>
  <si>
    <t>TER4BG</t>
  </si>
  <si>
    <t>TER4BG-BIMETALICO</t>
  </si>
  <si>
    <t>TER4MG-BIMETALICO</t>
  </si>
  <si>
    <t>TER12BG</t>
  </si>
  <si>
    <t>ESPECIAL</t>
  </si>
  <si>
    <t>TRP312T-BM</t>
  </si>
  <si>
    <t>TRP318T-BM</t>
  </si>
  <si>
    <t>TRP324T-BM</t>
  </si>
  <si>
    <t>TRP336T-BM</t>
  </si>
  <si>
    <t>TE4MP-BIMETALICO</t>
  </si>
  <si>
    <t>TE6MP-BIMETALICO</t>
  </si>
  <si>
    <t>TE6P-BIMETALICO</t>
  </si>
  <si>
    <t>TE3G-BIMETALICO</t>
  </si>
  <si>
    <t>TE2-BIMETALICO</t>
  </si>
  <si>
    <t>TE8M-BIMETALICO</t>
  </si>
  <si>
    <t>TE3-BIMETALICO</t>
  </si>
  <si>
    <t>TE8-BIMETALICO</t>
  </si>
  <si>
    <t>TTP4-BIMETALICO</t>
  </si>
  <si>
    <t>TTP4M-BIMETALICO</t>
  </si>
  <si>
    <t>TTP6-BIMETALICO</t>
  </si>
  <si>
    <t>TTP6M-BIMETALICO</t>
  </si>
  <si>
    <t>TE4MP</t>
  </si>
  <si>
    <t>TE3G</t>
  </si>
  <si>
    <t>TTP4M</t>
  </si>
  <si>
    <t>TTP6M</t>
  </si>
  <si>
    <t>TTP8-BIMETALICO</t>
  </si>
  <si>
    <t>TTP8M-BIMETALICO</t>
  </si>
  <si>
    <t>TTP8M</t>
  </si>
  <si>
    <t>TAPA8-75</t>
  </si>
  <si>
    <t>G-SETI/SET 2 X 2</t>
  </si>
  <si>
    <t>I18P-BIMETALICO</t>
  </si>
  <si>
    <t>ITM-R163</t>
  </si>
  <si>
    <t>INTERRUPTOR TERMOMAGNÉTICO 1P 63 AMP TIPO RIEL</t>
  </si>
  <si>
    <t>DETALLE DE VENTAS 2026</t>
  </si>
  <si>
    <t>I318-BIMETALICO</t>
  </si>
  <si>
    <t>INTERIOR 18 CTOS 3 FASES TRP318 BIMETALICO</t>
  </si>
  <si>
    <t>TABLERO RIEL 4 CTOS 1F 75 AMP GAL BIM</t>
  </si>
  <si>
    <t>VCU-E 120X1200</t>
  </si>
  <si>
    <t>VARILLA ENCHAQUETADA 1/2 X 120</t>
  </si>
  <si>
    <t>VCU-E 120X1500</t>
  </si>
  <si>
    <t>VARILLA ENCHAQUETADA 1/2 X 150</t>
  </si>
  <si>
    <t>VCU-E 120X1800</t>
  </si>
  <si>
    <t>VARILLA ENCHAQUETADA 1/2 X 180</t>
  </si>
  <si>
    <t>CUNago</t>
  </si>
  <si>
    <t>TOTAL FABRICADO</t>
  </si>
  <si>
    <t>TOTAL BREAKERS</t>
  </si>
  <si>
    <t>TOTAL VARILLAS</t>
  </si>
  <si>
    <t>TOTAL</t>
  </si>
  <si>
    <t>DESCUENTOS</t>
  </si>
  <si>
    <t>TOTAL SIN DESCUENTOS</t>
  </si>
  <si>
    <t>Total ACCESORIOS</t>
  </si>
  <si>
    <t>Total ADAPTADORES</t>
  </si>
  <si>
    <t>Total CAJAS ARRANCADORAS</t>
  </si>
  <si>
    <t>Total CAJAS EMPALME</t>
  </si>
  <si>
    <t>Total CAJAS PLASTICAS CC</t>
  </si>
  <si>
    <t>Total CAJAS PLASTICAS LH</t>
  </si>
  <si>
    <t>Total CAJAS TELEFONICAS</t>
  </si>
  <si>
    <t>Total CE 125</t>
  </si>
  <si>
    <t>Total EXCEDENTES INDUSTRIALES</t>
  </si>
  <si>
    <t>Total INTERIORES</t>
  </si>
  <si>
    <t>Total REGLETAS</t>
  </si>
  <si>
    <t>Total RITEL</t>
  </si>
  <si>
    <t>Total TABLERO RIEL</t>
  </si>
  <si>
    <t>Total TABLEROS 100 AMP BIMETALICO 2 FASES</t>
  </si>
  <si>
    <t>Total TABLEROS 100 AMP BIMETALICO 3 FASES</t>
  </si>
  <si>
    <t>Total TABLEROS 125 AMP COBRE 2 FASES</t>
  </si>
  <si>
    <t>Total TABLEROS 125 AMP COBRE 3 FASES</t>
  </si>
  <si>
    <t>Total TABLEROS 175 AMP BIMETALICO</t>
  </si>
  <si>
    <t>Total TABLEROS 225 AMP COBRE</t>
  </si>
  <si>
    <t>Total TABLEROS 75 AMP BIMETALICO CON PUERTA</t>
  </si>
  <si>
    <t>Total TABLEROS 75 AMP BIMETALICO TAPA LISA</t>
  </si>
  <si>
    <t>Total TABLEROS 75 AMP BIMETALICO TAPA PLASTICA</t>
  </si>
  <si>
    <t>Total TABLEROS 75 AMP COBRE CON PUERTA</t>
  </si>
  <si>
    <t>Total TABLEROS 75 AMP COBRE TAPA LISA</t>
  </si>
  <si>
    <t>Total TABLEROS 75 AMP COBRE TAPA PLASTICA</t>
  </si>
  <si>
    <t>Total TABLEROS 85 AMP BIMETALICO</t>
  </si>
  <si>
    <t>Total TABLEROS 95 AMP COBRE</t>
  </si>
  <si>
    <t>Total TAPAS PLASTICAS</t>
  </si>
  <si>
    <t>VENTAS 2026 Vs 2025 - RESUMIDO</t>
  </si>
  <si>
    <t xml:space="preserve">VENTAS 2026 Vs 2025 - SIN RESUMIR </t>
  </si>
  <si>
    <t>MAYOR VALOR COBRADO</t>
  </si>
  <si>
    <t>ADAPTADOR TERMINAL 1/2" ALTO IMPACTO</t>
  </si>
  <si>
    <t>ADAPTER12-PP-SE</t>
  </si>
  <si>
    <t>ADAPTADOR TERMINAL 1/2" EN POLIPROPILENO SIN ENSAMBLE</t>
  </si>
  <si>
    <t>BANDEJA PARA INTERIOR *I-18P,I-218,I-318</t>
  </si>
  <si>
    <t>BANDEJA PARA INTERIOR *I-236,I-336*</t>
  </si>
  <si>
    <t>BANDEJA PARA TOTALIZADOR</t>
  </si>
  <si>
    <t>CAJA ARRANCADOR Y CONTROL INDUSTRIAL 40X30X20</t>
  </si>
  <si>
    <t>CAJA ARRANCADOR Y CONTROL INDUSTRIAL 60X40X25</t>
  </si>
  <si>
    <t>CAJA 12X12X5 TAPA LEVITON DOBLE GRIS</t>
  </si>
  <si>
    <t>CAJA DE EMPALME ESPECIAL</t>
  </si>
  <si>
    <t>CIERRE DE TRINQUETE</t>
  </si>
  <si>
    <t>CAJA TELEFONICA 15X15X10</t>
  </si>
  <si>
    <t>CAJA TELEFONICA 30X30X15</t>
  </si>
  <si>
    <t>CAJA TELEFONICA 40X60X15</t>
  </si>
  <si>
    <t>CAJA TELEFONICA 60X80X15</t>
  </si>
  <si>
    <t>EXCEDENTES INDUSTRIALES - RETAL ALUMINIO</t>
  </si>
  <si>
    <t xml:space="preserve">EXCEDENTES INDUSTRIALES - RETAL COBRE </t>
  </si>
  <si>
    <t>GABINETE TELECOMUNICACION 2 M X 1.5 M X 50 CM</t>
  </si>
  <si>
    <t>GABINETE TELECOMUNICACION 2 M X 1 M X 50 CM</t>
  </si>
  <si>
    <t>INTERIOR 18 CTOS 2 FASES TB18P BIMETALICO</t>
  </si>
  <si>
    <t>INTERIOR 36 CTOS 2F 225 AMP</t>
  </si>
  <si>
    <t>INTERIOR 12 CTOS 3F 125 AMP</t>
  </si>
  <si>
    <t>INTERIOR 8 CTOS 85 AMP BIMETALICO</t>
  </si>
  <si>
    <t>INTERRUPTOR TERMOMAGNETICO 2P 15 AMP NEGRO</t>
  </si>
  <si>
    <t>INTERRUPTOR TERMOMAGNETICO 3P 60 AMP BLANCO</t>
  </si>
  <si>
    <t>NEUTRO DE 18 CIRCUITOS REFORZADO</t>
  </si>
  <si>
    <t>NEUTRO4ALET</t>
  </si>
  <si>
    <t>NEUTRO 4 CIRCUITOS ALET</t>
  </si>
  <si>
    <t>CAJA PAU 30X50X6 ESTANTAR GALV</t>
  </si>
  <si>
    <t>CAJA PAU 30X50X8 ESTANDAR GAL</t>
  </si>
  <si>
    <t xml:space="preserve">REGLETA DE 8 CTOS 75 AMPERIOS </t>
  </si>
  <si>
    <t>REGLETA SOPORTE LATON POLICARBONATO</t>
  </si>
  <si>
    <t>TAPA PARA TABLERO TRP236 Y TRP336</t>
  </si>
  <si>
    <t>TAPA PARA TABLERO TRP236T Y TRP336T</t>
  </si>
  <si>
    <t>TAPA PARA GABINETE DE PISO 70X50 RITEL</t>
  </si>
  <si>
    <t>TABLERO 12 CTOS 2F 100 AMP BIM</t>
  </si>
  <si>
    <t>TABLERO 08 CTOS 2F 100 AMP BIM</t>
  </si>
  <si>
    <t>TAPA CE-125 TROQUELADA LX</t>
  </si>
  <si>
    <t>TABLERO 02 CTOS 2F 75 AMP GAL BIM</t>
  </si>
  <si>
    <t>TABLERO 02 CTOS 1F 75 AMP</t>
  </si>
  <si>
    <t>TABLERO 04 CTOS 1F 75 AMP PUERTA GAL</t>
  </si>
  <si>
    <t>TABLERO 06 CTOS 1F 75 AMP BIM</t>
  </si>
  <si>
    <t>TABLERO 06 CTOS 2F 75 AMP PUERTA GAL</t>
  </si>
  <si>
    <t>TABLERO 08 CTOS 2F 75 AMP</t>
  </si>
  <si>
    <t>TABLERO 08 CTOS 2F 75 AMP GAL</t>
  </si>
  <si>
    <t>TABLERO 08 CTOS 1F 75 AMP</t>
  </si>
  <si>
    <t>TABLERO 08 CTOS 1F 75 AMP GAL</t>
  </si>
  <si>
    <t>TABLERO RIEL 12 CTOS 2F 75 AMP GAL</t>
  </si>
  <si>
    <t>TABLERO RIEL 8 CTOS 2F 75 AMP GAL BIM</t>
  </si>
  <si>
    <t>TER8MG-BIMETALICO</t>
  </si>
  <si>
    <t>TABLERO RIEL 8 CTOS 1F 75 AMP GAL BIM</t>
  </si>
  <si>
    <t>TIERRA DE 12 CIRCUITOS REFORZADA</t>
  </si>
  <si>
    <t>TIERRA DE 18 CIRCUITOS REFORZADA</t>
  </si>
  <si>
    <t>TIERRA DE 24 CIRCUITOS REFORZADA</t>
  </si>
  <si>
    <t>VCU-E 140X2400</t>
  </si>
  <si>
    <t>VARILLA ENCHAQUETADA 5/8  X 240</t>
  </si>
  <si>
    <t>TOTAL SETI</t>
  </si>
  <si>
    <t>FEBRERO</t>
  </si>
  <si>
    <t>ADAPTADOR TERMINAL 3/4'' ALTO IMPACTO</t>
  </si>
  <si>
    <t xml:space="preserve">EXCEDENTES INDUSTRIALES HUACALES GRANDES MADERA </t>
  </si>
  <si>
    <t>EXCEDENTES INDUSTRIALES - DESPUNTE ALUMINIO</t>
  </si>
  <si>
    <t xml:space="preserve">EXCEDENTES INDUSTRIALES - RIPIO DE COBRE </t>
  </si>
  <si>
    <t>NEUTRO18RALET</t>
  </si>
  <si>
    <t>NEUTRO 18 CIRCUITOS RALET</t>
  </si>
  <si>
    <t>NEUTRO DE 36 CIRCUITOS REFORZADO</t>
  </si>
  <si>
    <t>PUERTA VISOR PLASTICO TABLERO 6 DE 75 AMP</t>
  </si>
  <si>
    <t>REGLETA DE 02 CTOS 1 FASE BIMETALICA (R2TEM)</t>
  </si>
  <si>
    <t>REGLETA DE 6 CTOS 2 FASES BIMETALICA (R6TPE)</t>
  </si>
  <si>
    <t>TAPA PARA TABLERO TRP212 Y TRP312</t>
  </si>
  <si>
    <t>TAPA PARA TABLERO TRP212T Y TRP312T</t>
  </si>
  <si>
    <t>TAPA PARA TABLERO TRP218 Y TRP318</t>
  </si>
  <si>
    <t>TAPA PARA TABLERO TRP218T Y TRP318T</t>
  </si>
  <si>
    <t>TAPA PARA TABLERO TRP224 Y TRP324</t>
  </si>
  <si>
    <t>TAPA PARA TABLERO TRP224T Y TRP324T</t>
  </si>
  <si>
    <t>TAPA PARA TABLERO TRP230 Y TRP330</t>
  </si>
  <si>
    <t>TAPA8</t>
  </si>
  <si>
    <t xml:space="preserve">TAPA PARA TABLERO TB8 </t>
  </si>
  <si>
    <t>TAPA PARA CAJA PAU 30X50 ESTANDAR</t>
  </si>
  <si>
    <t>TABLERO 04 CTOS 2F 75 AMP ESPECIAL EPM</t>
  </si>
  <si>
    <t>TIERRA DE 36 CIRCUITOS REFORZADA</t>
  </si>
  <si>
    <t>VCU-E 120X2400</t>
  </si>
  <si>
    <t>VARILLA ENCHAQUETADA 1/2 X 240</t>
  </si>
  <si>
    <t>MARZO</t>
  </si>
  <si>
    <t>TOTAL VENTAS</t>
  </si>
  <si>
    <t>Etiquetas de columna</t>
  </si>
  <si>
    <t xml:space="preserve"> COSTO</t>
  </si>
  <si>
    <t xml:space="preserve"> PRECIO DE VENTA</t>
  </si>
  <si>
    <t xml:space="preserve"> % COSTO</t>
  </si>
  <si>
    <t xml:space="preserve"> PUV</t>
  </si>
  <si>
    <t xml:space="preserve"> CU</t>
  </si>
  <si>
    <t>PU-LISTA</t>
  </si>
  <si>
    <t>DCTO PIE FACT</t>
  </si>
  <si>
    <t>(Todas)</t>
  </si>
  <si>
    <t>%</t>
  </si>
  <si>
    <t>% DCTO</t>
  </si>
  <si>
    <t>MO Nago</t>
  </si>
  <si>
    <t>Dif</t>
  </si>
  <si>
    <t>CAJA ARRANCADOR Y CONTROL INDUSTRIAL 50X30X20</t>
  </si>
  <si>
    <t>CAJA DE EMPALME 15x15x10 TAPA TORNILLO BLANCA</t>
  </si>
  <si>
    <t>CUADRANTE DE TUBERIA DE 3/4</t>
  </si>
  <si>
    <t>EXACEITE IND</t>
  </si>
  <si>
    <t>EXCEDENTES INDUSTRIALES ACEITE QUEMADO</t>
  </si>
  <si>
    <t>INTERIOR DE 8 CIRCUITOS 95 AMP</t>
  </si>
  <si>
    <t>INTERRUPTOR TERMOMAGNETICO 3P 15 AMP NEGRO</t>
  </si>
  <si>
    <t>NEUTRO DE 18 CIRCUITOS ALET</t>
  </si>
  <si>
    <t>NEUTRO DE 30 CIRCUITOS REFORZADO</t>
  </si>
  <si>
    <t>NEUTRO 6 CIRCUITOS ALET</t>
  </si>
  <si>
    <t>NEUTRO8T</t>
  </si>
  <si>
    <t>NEUTRO DE 8 CIRCUITOS  T</t>
  </si>
  <si>
    <t xml:space="preserve">REGLETA DE 8 CTOS 75 AMP 1 FASE BIMETALICA  </t>
  </si>
  <si>
    <t>TAPA PARA CT-20-10 Y CT-20-15</t>
  </si>
  <si>
    <t>TABLERO RIEL 6 CTOS 2F 75 AMP GAL</t>
  </si>
  <si>
    <t>TABLERO RIEL 6 CTOS 2F 75 AMP GAL BIM</t>
  </si>
  <si>
    <t>TIERRA 18 CIRCUITOS ALET</t>
  </si>
  <si>
    <t>TIERRA DE 30 CIRCUITOS REFORZADA</t>
  </si>
  <si>
    <t>TIERRA DE 4 CIRCUITOS</t>
  </si>
  <si>
    <t>TIERRA 6 CIRCUITOS ALET</t>
  </si>
  <si>
    <t>TIERRA8T</t>
  </si>
  <si>
    <t>TIERRA DE 8  CIRCUITOS  T</t>
  </si>
  <si>
    <t xml:space="preserve">TABLEROS 75 AMP BIMETALICO </t>
  </si>
  <si>
    <t xml:space="preserve">TABLEROS 75 AMP COBRE </t>
  </si>
  <si>
    <t>MP Nago</t>
  </si>
  <si>
    <t>ABRIL</t>
  </si>
  <si>
    <t xml:space="preserve">CAJAS PLASTICAS </t>
  </si>
  <si>
    <t xml:space="preserve">TABLEROS 125 AMP COBRE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</si>
</sst>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-* #,##0\ _€_-;\-* #,##0\ _€_-;_-* &quot;-&quot;??\ _€_-;_-@_-"/>
    <numFmt numFmtId="168" formatCode="_-* #,##0.00\ _€_-;\-* #,##0.00\ _€_-;_-* &quot;-&quot;??\ _€_-;_-@_-"/>
    <numFmt numFmtId="169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0F0F0"/>
      </patternFill>
    </fill>
    <fill>
      <patternFill patternType="solid">
        <fgColor rgb="FFFFF7E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quotePrefix="1" applyFont="0" applyFill="0" applyBorder="0" applyAlignment="0">
      <protection locked="0"/>
    </xf>
    <xf numFmtId="43" fontId="3" fillId="0" borderId="0" quotePrefix="1" applyFont="0" applyFill="0" applyBorder="0" applyAlignment="0">
      <protection locked="0"/>
    </xf>
    <xf numFmtId="43" fontId="3" fillId="0" borderId="0" quotePrefix="1" applyFont="0" applyFill="0" applyBorder="0" applyAlignment="0">
      <protection locked="0"/>
    </xf>
    <xf numFmtId="164" fontId="1" fillId="0" borderId="0" applyFont="0" applyFill="0" applyBorder="0" applyAlignment="0" applyProtection="0"/>
    <xf numFmtId="164" fontId="3" fillId="0" borderId="0" quotePrefix="1" applyFont="0" applyFill="0" applyBorder="0" applyAlignment="0">
      <protection locked="0"/>
    </xf>
    <xf numFmtId="9" fontId="3" fillId="0" borderId="0" quotePrefix="1" applyFont="0" applyFill="0" applyBorder="0" applyAlignment="0">
      <protection locked="0"/>
    </xf>
    <xf numFmtId="164" fontId="3" fillId="0" borderId="0" quotePrefix="1" applyFont="0" applyFill="0" applyBorder="0" applyAlignment="0">
      <protection locked="0"/>
    </xf>
    <xf numFmtId="164" fontId="1" fillId="0" borderId="0" applyFont="0" applyFill="0" applyBorder="0" applyAlignment="0" applyProtection="0"/>
    <xf numFmtId="164" fontId="3" fillId="0" borderId="0" quotePrefix="1" applyFont="0" applyFill="0" applyBorder="0" applyAlignment="0">
      <protection locked="0"/>
    </xf>
    <xf numFmtId="164" fontId="3" fillId="0" borderId="0" quotePrefix="1" applyFont="0" applyFill="0" applyBorder="0" applyAlignment="0">
      <protection locked="0"/>
    </xf>
    <xf numFmtId="164" fontId="1" fillId="0" borderId="0" applyFont="0" applyFill="0" applyBorder="0" applyAlignment="0" applyProtection="0"/>
  </cellStyleXfs>
  <cellXfs count="213">
    <xf numFmtId="0" fontId="0" fillId="0" borderId="0" xfId="0"/>
    <xf numFmtId="3" fontId="4" fillId="0" borderId="0" xfId="3" applyNumberFormat="1" applyFont="1"/>
    <xf numFmtId="165" fontId="4" fillId="0" borderId="0" xfId="1" applyNumberFormat="1" applyFont="1" applyProtection="1">
      <protection locked="0"/>
    </xf>
    <xf numFmtId="165" fontId="4" fillId="0" borderId="0" xfId="1" applyNumberFormat="1" applyFont="1" applyAlignment="1">
      <alignment horizontal="right"/>
    </xf>
    <xf numFmtId="165" fontId="4" fillId="0" borderId="0" xfId="3" applyNumberFormat="1" applyFont="1" applyAlignment="1">
      <alignment horizontal="right"/>
    </xf>
    <xf numFmtId="3" fontId="5" fillId="0" borderId="0" xfId="3" applyNumberFormat="1" applyFont="1" applyAlignment="1">
      <alignment horizontal="right"/>
    </xf>
    <xf numFmtId="3" fontId="4" fillId="0" borderId="0" xfId="3" applyNumberFormat="1" applyFont="1" applyAlignment="1">
      <alignment horizontal="right"/>
    </xf>
    <xf numFmtId="3" fontId="4" fillId="0" borderId="0" xfId="4" applyNumberFormat="1" applyFont="1" applyAlignment="1" applyProtection="1">
      <alignment horizontal="right"/>
    </xf>
    <xf numFmtId="166" fontId="4" fillId="0" borderId="0" xfId="5" applyNumberFormat="1" applyFont="1" applyAlignment="1">
      <alignment horizontal="right"/>
      <protection locked="0"/>
    </xf>
    <xf numFmtId="165" fontId="4" fillId="0" borderId="0" xfId="1" applyNumberFormat="1" applyFont="1" applyAlignment="1" applyProtection="1">
      <alignment horizontal="right"/>
      <protection locked="0"/>
    </xf>
    <xf numFmtId="10" fontId="4" fillId="0" borderId="0" xfId="3" applyNumberFormat="1" applyFont="1"/>
    <xf numFmtId="10" fontId="5" fillId="0" borderId="0" xfId="2" applyNumberFormat="1" applyFont="1" applyProtection="1">
      <protection locked="0"/>
    </xf>
    <xf numFmtId="3" fontId="5" fillId="0" borderId="0" xfId="3" applyNumberFormat="1" applyFont="1" applyAlignment="1">
      <alignment horizontal="left"/>
    </xf>
    <xf numFmtId="3" fontId="5" fillId="0" borderId="0" xfId="3" applyNumberFormat="1" applyFont="1" applyAlignment="1">
      <alignment horizontal="center"/>
    </xf>
    <xf numFmtId="165" fontId="5" fillId="0" borderId="0" xfId="1" applyNumberFormat="1" applyFont="1" applyAlignment="1" applyProtection="1">
      <alignment horizontal="center"/>
      <protection locked="0"/>
    </xf>
    <xf numFmtId="165" fontId="5" fillId="0" borderId="0" xfId="1" applyNumberFormat="1" applyFont="1" applyAlignment="1">
      <alignment horizontal="center"/>
    </xf>
    <xf numFmtId="165" fontId="5" fillId="0" borderId="0" xfId="3" applyNumberFormat="1" applyFont="1" applyAlignment="1">
      <alignment horizontal="center"/>
    </xf>
    <xf numFmtId="166" fontId="5" fillId="0" borderId="0" xfId="5" applyNumberFormat="1" applyFont="1" applyAlignment="1">
      <alignment horizontal="center"/>
      <protection locked="0"/>
    </xf>
    <xf numFmtId="10" fontId="5" fillId="0" borderId="0" xfId="2" applyNumberFormat="1" applyFont="1" applyAlignment="1">
      <alignment horizontal="center"/>
    </xf>
    <xf numFmtId="165" fontId="5" fillId="0" borderId="1" xfId="1" applyNumberFormat="1" applyFont="1" applyBorder="1" applyAlignment="1" applyProtection="1">
      <alignment horizontal="center"/>
    </xf>
    <xf numFmtId="165" fontId="5" fillId="0" borderId="2" xfId="1" applyNumberFormat="1" applyFont="1" applyBorder="1" applyAlignment="1" applyProtection="1">
      <alignment horizontal="center"/>
    </xf>
    <xf numFmtId="165" fontId="5" fillId="0" borderId="3" xfId="1" applyNumberFormat="1" applyFont="1" applyBorder="1" applyAlignment="1" applyProtection="1">
      <alignment horizontal="center"/>
    </xf>
    <xf numFmtId="165" fontId="5" fillId="0" borderId="2" xfId="5" applyNumberFormat="1" applyFont="1" applyBorder="1" applyAlignment="1" applyProtection="1">
      <alignment horizontal="center"/>
    </xf>
    <xf numFmtId="165" fontId="5" fillId="0" borderId="3" xfId="5" applyNumberFormat="1" applyFont="1" applyBorder="1" applyAlignment="1" applyProtection="1">
      <alignment horizontal="center"/>
    </xf>
    <xf numFmtId="3" fontId="5" fillId="0" borderId="0" xfId="5" applyNumberFormat="1" applyFont="1" applyAlignment="1" applyProtection="1">
      <alignment horizontal="center"/>
    </xf>
    <xf numFmtId="3" fontId="4" fillId="0" borderId="0" xfId="4" applyNumberFormat="1" applyFont="1" applyAlignment="1" applyProtection="1">
      <alignment horizontal="center"/>
    </xf>
    <xf numFmtId="3" fontId="5" fillId="0" borderId="0" xfId="4" applyNumberFormat="1" applyFont="1" applyAlignment="1" applyProtection="1">
      <alignment horizontal="center"/>
    </xf>
    <xf numFmtId="166" fontId="4" fillId="0" borderId="0" xfId="5" applyNumberFormat="1" applyFont="1" applyAlignment="1">
      <alignment horizontal="center"/>
      <protection locked="0"/>
    </xf>
    <xf numFmtId="165" fontId="4" fillId="0" borderId="0" xfId="1" applyNumberFormat="1" applyFont="1" applyAlignment="1" applyProtection="1">
      <alignment horizontal="center"/>
      <protection locked="0"/>
    </xf>
    <xf numFmtId="10" fontId="4" fillId="0" borderId="0" xfId="5" applyNumberFormat="1" applyFont="1" applyAlignment="1" applyProtection="1">
      <alignment horizontal="center"/>
    </xf>
    <xf numFmtId="10" fontId="5" fillId="0" borderId="0" xfId="2" applyNumberFormat="1" applyFont="1" applyAlignment="1" applyProtection="1">
      <alignment horizontal="center"/>
      <protection locked="0"/>
    </xf>
    <xf numFmtId="3" fontId="5" fillId="2" borderId="4" xfId="3" applyNumberFormat="1" applyFont="1" applyFill="1" applyBorder="1" applyAlignment="1">
      <alignment horizontal="center"/>
    </xf>
    <xf numFmtId="3" fontId="5" fillId="2" borderId="5" xfId="3" applyNumberFormat="1" applyFont="1" applyFill="1" applyBorder="1" applyAlignment="1">
      <alignment horizontal="center"/>
    </xf>
    <xf numFmtId="165" fontId="5" fillId="2" borderId="4" xfId="1" applyNumberFormat="1" applyFont="1" applyFill="1" applyBorder="1" applyAlignment="1" applyProtection="1">
      <alignment horizontal="center"/>
      <protection locked="0"/>
    </xf>
    <xf numFmtId="165" fontId="5" fillId="2" borderId="4" xfId="1" applyNumberFormat="1" applyFont="1" applyFill="1" applyBorder="1" applyAlignment="1" applyProtection="1">
      <alignment horizontal="center"/>
    </xf>
    <xf numFmtId="165" fontId="5" fillId="2" borderId="4" xfId="5" applyNumberFormat="1" applyFont="1" applyFill="1" applyBorder="1" applyAlignment="1" applyProtection="1">
      <alignment horizontal="center"/>
    </xf>
    <xf numFmtId="3" fontId="5" fillId="2" borderId="4" xfId="5" applyNumberFormat="1" applyFont="1" applyFill="1" applyBorder="1" applyAlignment="1" applyProtection="1">
      <alignment horizontal="center"/>
    </xf>
    <xf numFmtId="166" fontId="5" fillId="2" borderId="4" xfId="5" applyNumberFormat="1" applyFont="1" applyFill="1" applyBorder="1" applyAlignment="1">
      <alignment horizontal="center"/>
      <protection locked="0"/>
    </xf>
    <xf numFmtId="10" fontId="5" fillId="2" borderId="4" xfId="4" applyNumberFormat="1" applyFont="1" applyFill="1" applyBorder="1" applyAlignment="1" applyProtection="1">
      <alignment horizontal="center"/>
    </xf>
    <xf numFmtId="10" fontId="5" fillId="2" borderId="6" xfId="2" applyNumberFormat="1" applyFont="1" applyFill="1" applyBorder="1" applyAlignment="1" applyProtection="1">
      <alignment horizontal="center"/>
      <protection locked="0"/>
    </xf>
    <xf numFmtId="4" fontId="6" fillId="3" borderId="7" xfId="3" applyNumberFormat="1" applyFont="1" applyFill="1" applyBorder="1" applyAlignment="1">
      <alignment horizontal="left" vertical="center" readingOrder="1"/>
    </xf>
    <xf numFmtId="49" fontId="6" fillId="3" borderId="0" xfId="0" applyNumberFormat="1" applyFont="1" applyFill="1" applyAlignment="1">
      <alignment horizontal="left" vertical="center" readingOrder="1"/>
    </xf>
    <xf numFmtId="165" fontId="6" fillId="4" borderId="0" xfId="1" applyNumberFormat="1" applyFont="1" applyFill="1" applyBorder="1" applyAlignment="1">
      <alignment horizontal="right" vertical="center" readingOrder="1"/>
    </xf>
    <xf numFmtId="165" fontId="3" fillId="0" borderId="0" xfId="1" applyNumberFormat="1" applyFont="1" applyBorder="1" applyProtection="1">
      <protection locked="0"/>
    </xf>
    <xf numFmtId="10" fontId="3" fillId="0" borderId="0" xfId="4" applyNumberFormat="1" applyFont="1" applyBorder="1" applyAlignment="1">
      <alignment horizontal="right" wrapText="1"/>
      <protection locked="0"/>
    </xf>
    <xf numFmtId="167" fontId="3" fillId="0" borderId="0" xfId="5" applyNumberFormat="1" applyFont="1" applyBorder="1" applyAlignment="1">
      <alignment horizontal="right" wrapText="1"/>
      <protection locked="0"/>
    </xf>
    <xf numFmtId="165" fontId="3" fillId="0" borderId="0" xfId="5" applyNumberFormat="1" applyFont="1" applyBorder="1" applyAlignment="1">
      <alignment horizontal="right" wrapText="1"/>
      <protection locked="0"/>
    </xf>
    <xf numFmtId="166" fontId="3" fillId="0" borderId="0" xfId="5" applyNumberFormat="1" applyFont="1" applyBorder="1">
      <protection locked="0"/>
    </xf>
    <xf numFmtId="10" fontId="3" fillId="0" borderId="8" xfId="4" applyNumberFormat="1" applyFont="1" applyBorder="1">
      <protection locked="0"/>
    </xf>
    <xf numFmtId="10" fontId="3" fillId="0" borderId="8" xfId="2" applyNumberFormat="1" applyFont="1" applyBorder="1"/>
    <xf numFmtId="4" fontId="7" fillId="3" borderId="7" xfId="3" applyNumberFormat="1" applyFont="1" applyFill="1" applyBorder="1" applyAlignment="1">
      <alignment horizontal="left" vertical="center" readingOrder="1"/>
    </xf>
    <xf numFmtId="165" fontId="7" fillId="4" borderId="0" xfId="1" applyNumberFormat="1" applyFont="1" applyFill="1" applyBorder="1" applyAlignment="1">
      <alignment horizontal="right" vertical="center" readingOrder="1"/>
    </xf>
    <xf numFmtId="165" fontId="8" fillId="0" borderId="0" xfId="1" applyNumberFormat="1" applyFont="1" applyBorder="1" applyProtection="1">
      <protection locked="0"/>
    </xf>
    <xf numFmtId="10" fontId="8" fillId="0" borderId="0" xfId="4" applyNumberFormat="1" applyFont="1" applyBorder="1" applyAlignment="1">
      <alignment horizontal="right" wrapText="1"/>
      <protection locked="0"/>
    </xf>
    <xf numFmtId="167" fontId="8" fillId="0" borderId="0" xfId="5" applyNumberFormat="1" applyFont="1" applyBorder="1" applyAlignment="1">
      <alignment horizontal="right" wrapText="1"/>
      <protection locked="0"/>
    </xf>
    <xf numFmtId="165" fontId="8" fillId="0" borderId="0" xfId="5" applyNumberFormat="1" applyFont="1" applyBorder="1" applyAlignment="1">
      <alignment horizontal="right" wrapText="1"/>
      <protection locked="0"/>
    </xf>
    <xf numFmtId="166" fontId="8" fillId="0" borderId="0" xfId="5" applyNumberFormat="1" applyFont="1" applyBorder="1">
      <protection locked="0"/>
    </xf>
    <xf numFmtId="10" fontId="8" fillId="0" borderId="8" xfId="4" applyNumberFormat="1" applyFont="1" applyBorder="1">
      <protection locked="0"/>
    </xf>
    <xf numFmtId="10" fontId="8" fillId="0" borderId="8" xfId="2" applyNumberFormat="1" applyFont="1" applyBorder="1"/>
    <xf numFmtId="0" fontId="8" fillId="0" borderId="0" xfId="3" applyFont="1"/>
    <xf numFmtId="165" fontId="8" fillId="0" borderId="0" xfId="1" applyNumberFormat="1" applyFont="1" applyBorder="1"/>
    <xf numFmtId="165" fontId="3" fillId="0" borderId="0" xfId="3" applyNumberFormat="1"/>
    <xf numFmtId="0" fontId="3" fillId="0" borderId="0" xfId="3"/>
    <xf numFmtId="165" fontId="8" fillId="0" borderId="10" xfId="1" applyNumberFormat="1" applyFont="1" applyBorder="1"/>
    <xf numFmtId="0" fontId="8" fillId="0" borderId="10" xfId="3" applyFont="1" applyBorder="1"/>
    <xf numFmtId="10" fontId="8" fillId="0" borderId="0" xfId="4" applyNumberFormat="1" applyFont="1" applyBorder="1">
      <protection locked="0"/>
    </xf>
    <xf numFmtId="10" fontId="8" fillId="0" borderId="0" xfId="2" applyNumberFormat="1" applyFont="1" applyBorder="1"/>
    <xf numFmtId="4" fontId="6" fillId="0" borderId="0" xfId="3" applyNumberFormat="1" applyFont="1" applyAlignment="1">
      <alignment horizontal="left" vertical="center" readingOrder="1"/>
    </xf>
    <xf numFmtId="165" fontId="3" fillId="0" borderId="0" xfId="1" applyNumberFormat="1" applyFont="1"/>
    <xf numFmtId="165" fontId="3" fillId="0" borderId="11" xfId="1" applyNumberFormat="1" applyFont="1" applyBorder="1" applyAlignment="1">
      <alignment horizontal="center"/>
    </xf>
    <xf numFmtId="165" fontId="3" fillId="0" borderId="11" xfId="3" applyNumberFormat="1" applyBorder="1" applyAlignment="1">
      <alignment horizontal="center"/>
    </xf>
    <xf numFmtId="3" fontId="3" fillId="0" borderId="11" xfId="5" applyNumberFormat="1" applyFont="1" applyBorder="1" applyAlignment="1" applyProtection="1">
      <alignment horizontal="right"/>
    </xf>
    <xf numFmtId="166" fontId="3" fillId="0" borderId="0" xfId="5" applyNumberFormat="1" applyFont="1">
      <protection locked="0"/>
    </xf>
    <xf numFmtId="165" fontId="8" fillId="0" borderId="0" xfId="1" applyNumberFormat="1" applyFont="1"/>
    <xf numFmtId="10" fontId="3" fillId="0" borderId="0" xfId="3" applyNumberFormat="1"/>
    <xf numFmtId="10" fontId="3" fillId="0" borderId="0" xfId="2" applyNumberFormat="1" applyFont="1"/>
    <xf numFmtId="165" fontId="3" fillId="0" borderId="9" xfId="1" applyNumberFormat="1" applyFont="1" applyBorder="1" applyAlignment="1">
      <alignment horizontal="center"/>
    </xf>
    <xf numFmtId="165" fontId="3" fillId="0" borderId="9" xfId="3" applyNumberFormat="1" applyBorder="1" applyAlignment="1">
      <alignment horizontal="center"/>
    </xf>
    <xf numFmtId="3" fontId="3" fillId="0" borderId="9" xfId="5" applyNumberFormat="1" applyFont="1" applyBorder="1" applyAlignment="1" applyProtection="1">
      <alignment horizontal="right"/>
    </xf>
    <xf numFmtId="10" fontId="3" fillId="0" borderId="0" xfId="4" applyNumberFormat="1" applyFont="1" applyBorder="1" applyAlignment="1">
      <alignment horizontal="right"/>
      <protection locked="0"/>
    </xf>
    <xf numFmtId="0" fontId="3" fillId="5" borderId="0" xfId="3" applyFill="1"/>
    <xf numFmtId="166" fontId="3" fillId="5" borderId="0" xfId="5" applyNumberFormat="1" applyFont="1" applyFill="1">
      <protection locked="0"/>
    </xf>
    <xf numFmtId="165" fontId="8" fillId="0" borderId="9" xfId="1" applyNumberFormat="1" applyFont="1" applyBorder="1" applyAlignment="1">
      <alignment horizontal="center"/>
    </xf>
    <xf numFmtId="165" fontId="8" fillId="0" borderId="9" xfId="3" applyNumberFormat="1" applyFont="1" applyBorder="1" applyAlignment="1">
      <alignment horizontal="center"/>
    </xf>
    <xf numFmtId="3" fontId="8" fillId="0" borderId="9" xfId="5" applyNumberFormat="1" applyFont="1" applyBorder="1" applyAlignment="1" applyProtection="1">
      <alignment horizontal="right"/>
    </xf>
    <xf numFmtId="9" fontId="8" fillId="0" borderId="0" xfId="4" applyFont="1" applyBorder="1" applyAlignment="1">
      <alignment horizontal="right"/>
      <protection locked="0"/>
    </xf>
    <xf numFmtId="166" fontId="3" fillId="0" borderId="0" xfId="3" applyNumberFormat="1"/>
    <xf numFmtId="0" fontId="3" fillId="6" borderId="0" xfId="3" applyFill="1"/>
    <xf numFmtId="165" fontId="3" fillId="6" borderId="0" xfId="1" applyNumberFormat="1" applyFont="1" applyFill="1"/>
    <xf numFmtId="165" fontId="3" fillId="6" borderId="0" xfId="3" applyNumberFormat="1" applyFill="1"/>
    <xf numFmtId="10" fontId="3" fillId="6" borderId="0" xfId="2" applyNumberFormat="1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2" fillId="0" borderId="0" xfId="0" applyFont="1"/>
    <xf numFmtId="10" fontId="0" fillId="0" borderId="0" xfId="0" applyNumberFormat="1"/>
    <xf numFmtId="165" fontId="8" fillId="0" borderId="0" xfId="3" applyNumberFormat="1" applyFont="1"/>
    <xf numFmtId="166" fontId="8" fillId="0" borderId="0" xfId="3" applyNumberFormat="1" applyFont="1"/>
    <xf numFmtId="166" fontId="5" fillId="2" borderId="16" xfId="5" applyNumberFormat="1" applyFont="1" applyFill="1" applyBorder="1" applyAlignment="1" applyProtection="1">
      <alignment horizontal="center"/>
    </xf>
    <xf numFmtId="166" fontId="5" fillId="2" borderId="11" xfId="5" applyNumberFormat="1" applyFont="1" applyFill="1" applyBorder="1" applyAlignment="1" applyProtection="1">
      <alignment horizontal="center"/>
    </xf>
    <xf numFmtId="3" fontId="5" fillId="2" borderId="11" xfId="3" applyNumberFormat="1" applyFont="1" applyFill="1" applyBorder="1" applyAlignment="1">
      <alignment horizontal="center"/>
    </xf>
    <xf numFmtId="3" fontId="5" fillId="2" borderId="11" xfId="5" applyNumberFormat="1" applyFont="1" applyFill="1" applyBorder="1" applyAlignment="1" applyProtection="1">
      <alignment horizontal="center"/>
    </xf>
    <xf numFmtId="0" fontId="0" fillId="0" borderId="17" xfId="0" applyBorder="1"/>
    <xf numFmtId="0" fontId="0" fillId="0" borderId="15" xfId="0" applyBorder="1"/>
    <xf numFmtId="0" fontId="0" fillId="0" borderId="9" xfId="0" applyBorder="1"/>
    <xf numFmtId="3" fontId="13" fillId="0" borderId="9" xfId="0" applyNumberFormat="1" applyFont="1" applyBorder="1"/>
    <xf numFmtId="3" fontId="6" fillId="7" borderId="9" xfId="1" applyNumberFormat="1" applyFont="1" applyFill="1" applyBorder="1" applyAlignment="1">
      <alignment horizontal="right" vertical="center" readingOrder="1"/>
    </xf>
    <xf numFmtId="3" fontId="3" fillId="0" borderId="9" xfId="6" applyNumberFormat="1" applyFont="1" applyBorder="1" applyAlignment="1" applyProtection="1">
      <alignment horizontal="right" wrapText="1"/>
    </xf>
    <xf numFmtId="165" fontId="0" fillId="0" borderId="14" xfId="0" applyNumberFormat="1" applyBorder="1"/>
    <xf numFmtId="3" fontId="13" fillId="0" borderId="18" xfId="0" applyNumberFormat="1" applyFont="1" applyBorder="1"/>
    <xf numFmtId="3" fontId="6" fillId="7" borderId="18" xfId="1" applyNumberFormat="1" applyFont="1" applyFill="1" applyBorder="1" applyAlignment="1">
      <alignment horizontal="right" vertical="center" readingOrder="1"/>
    </xf>
    <xf numFmtId="3" fontId="3" fillId="0" borderId="18" xfId="6" applyNumberFormat="1" applyFont="1" applyBorder="1" applyAlignment="1" applyProtection="1">
      <alignment horizontal="right" wrapText="1"/>
    </xf>
    <xf numFmtId="165" fontId="0" fillId="0" borderId="12" xfId="0" applyNumberFormat="1" applyBorder="1"/>
    <xf numFmtId="165" fontId="0" fillId="0" borderId="0" xfId="0" applyNumberFormat="1"/>
    <xf numFmtId="9" fontId="0" fillId="0" borderId="0" xfId="2" applyFont="1"/>
    <xf numFmtId="10" fontId="0" fillId="0" borderId="0" xfId="2" applyNumberFormat="1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2" fillId="0" borderId="0" xfId="0" pivotButton="1" applyFont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3" fontId="5" fillId="2" borderId="19" xfId="0" applyNumberFormat="1" applyFont="1" applyFill="1" applyBorder="1" applyAlignment="1">
      <alignment horizontal="center"/>
    </xf>
    <xf numFmtId="49" fontId="6" fillId="3" borderId="9" xfId="0" applyNumberFormat="1" applyFont="1" applyFill="1" applyBorder="1" applyAlignment="1">
      <alignment horizontal="left" vertical="center" readingOrder="1"/>
    </xf>
    <xf numFmtId="4" fontId="6" fillId="3" borderId="9" xfId="0" applyNumberFormat="1" applyFont="1" applyFill="1" applyBorder="1" applyAlignment="1">
      <alignment horizontal="left" vertical="center" readingOrder="1"/>
    </xf>
    <xf numFmtId="9" fontId="8" fillId="0" borderId="0" xfId="2" applyFont="1" applyBorder="1"/>
    <xf numFmtId="4" fontId="8" fillId="0" borderId="0" xfId="5" applyNumberFormat="1" applyFont="1" applyBorder="1" applyAlignment="1">
      <alignment horizontal="right"/>
      <protection locked="0"/>
    </xf>
    <xf numFmtId="165" fontId="3" fillId="0" borderId="0" xfId="1" applyNumberFormat="1" applyFont="1" applyBorder="1" applyAlignment="1">
      <alignment horizontal="right"/>
    </xf>
    <xf numFmtId="165" fontId="3" fillId="0" borderId="0" xfId="1" applyNumberFormat="1" applyFont="1" applyBorder="1" applyAlignment="1">
      <alignment horizontal="right" wrapText="1"/>
    </xf>
    <xf numFmtId="165" fontId="3" fillId="0" borderId="0" xfId="3" applyNumberFormat="1" applyAlignment="1">
      <alignment horizontal="right" wrapText="1"/>
    </xf>
    <xf numFmtId="49" fontId="7" fillId="3" borderId="0" xfId="0" applyNumberFormat="1" applyFont="1" applyFill="1" applyAlignment="1">
      <alignment horizontal="left" vertical="center" readingOrder="1"/>
    </xf>
    <xf numFmtId="165" fontId="8" fillId="0" borderId="0" xfId="1" applyNumberFormat="1" applyFont="1" applyBorder="1" applyAlignment="1">
      <alignment horizontal="right"/>
    </xf>
    <xf numFmtId="165" fontId="8" fillId="0" borderId="0" xfId="1" applyNumberFormat="1" applyFont="1" applyBorder="1" applyAlignment="1">
      <alignment horizontal="right" wrapText="1"/>
    </xf>
    <xf numFmtId="4" fontId="7" fillId="3" borderId="13" xfId="3" applyNumberFormat="1" applyFont="1" applyFill="1" applyBorder="1" applyAlignment="1">
      <alignment horizontal="left" vertical="center" readingOrder="1"/>
    </xf>
    <xf numFmtId="4" fontId="7" fillId="3" borderId="17" xfId="3" applyNumberFormat="1" applyFont="1" applyFill="1" applyBorder="1" applyAlignment="1">
      <alignment horizontal="left" vertical="center" readingOrder="1"/>
    </xf>
    <xf numFmtId="49" fontId="6" fillId="3" borderId="10" xfId="0" applyNumberFormat="1" applyFont="1" applyFill="1" applyBorder="1" applyAlignment="1">
      <alignment horizontal="left" vertical="center" readingOrder="1"/>
    </xf>
    <xf numFmtId="165" fontId="7" fillId="4" borderId="10" xfId="1" applyNumberFormat="1" applyFont="1" applyFill="1" applyBorder="1" applyAlignment="1">
      <alignment horizontal="right" vertical="center" readingOrder="1"/>
    </xf>
    <xf numFmtId="165" fontId="3" fillId="0" borderId="10" xfId="1" applyNumberFormat="1" applyFont="1" applyBorder="1" applyProtection="1">
      <protection locked="0"/>
    </xf>
    <xf numFmtId="165" fontId="3" fillId="0" borderId="10" xfId="1" applyNumberFormat="1" applyFont="1" applyBorder="1" applyAlignment="1">
      <alignment horizontal="right"/>
    </xf>
    <xf numFmtId="165" fontId="8" fillId="0" borderId="10" xfId="1" applyNumberFormat="1" applyFont="1" applyBorder="1" applyAlignment="1">
      <alignment horizontal="right" wrapText="1"/>
    </xf>
    <xf numFmtId="10" fontId="3" fillId="0" borderId="10" xfId="4" applyNumberFormat="1" applyFont="1" applyBorder="1" applyAlignment="1">
      <alignment horizontal="right" wrapText="1"/>
      <protection locked="0"/>
    </xf>
    <xf numFmtId="167" fontId="3" fillId="0" borderId="10" xfId="5" applyNumberFormat="1" applyFont="1" applyBorder="1" applyAlignment="1">
      <alignment horizontal="right" wrapText="1"/>
      <protection locked="0"/>
    </xf>
    <xf numFmtId="166" fontId="3" fillId="0" borderId="10" xfId="5" applyNumberFormat="1" applyFont="1" applyBorder="1">
      <protection locked="0"/>
    </xf>
    <xf numFmtId="10" fontId="8" fillId="0" borderId="10" xfId="4" applyNumberFormat="1" applyFont="1" applyBorder="1">
      <protection locked="0"/>
    </xf>
    <xf numFmtId="10" fontId="3" fillId="0" borderId="0" xfId="4" applyNumberFormat="1" applyFont="1" applyBorder="1">
      <protection locked="0"/>
    </xf>
    <xf numFmtId="10" fontId="3" fillId="0" borderId="20" xfId="2" applyNumberFormat="1" applyFont="1" applyBorder="1"/>
    <xf numFmtId="10" fontId="3" fillId="0" borderId="11" xfId="2" applyNumberFormat="1" applyFont="1" applyBorder="1"/>
    <xf numFmtId="165" fontId="8" fillId="0" borderId="0" xfId="3" applyNumberFormat="1" applyFont="1" applyAlignment="1">
      <alignment horizontal="right" wrapText="1"/>
    </xf>
    <xf numFmtId="165" fontId="2" fillId="0" borderId="0" xfId="0" applyNumberFormat="1" applyFont="1"/>
    <xf numFmtId="10" fontId="8" fillId="0" borderId="20" xfId="2" applyNumberFormat="1" applyFont="1" applyBorder="1"/>
    <xf numFmtId="168" fontId="3" fillId="0" borderId="0" xfId="3" applyNumberFormat="1"/>
    <xf numFmtId="10" fontId="8" fillId="0" borderId="0" xfId="2" applyNumberFormat="1" applyFont="1" applyBorder="1" applyAlignment="1" applyProtection="1">
      <alignment horizontal="right" wrapText="1"/>
      <protection locked="0"/>
    </xf>
    <xf numFmtId="10" fontId="8" fillId="0" borderId="0" xfId="2" applyNumberFormat="1" applyFont="1"/>
    <xf numFmtId="10" fontId="3" fillId="0" borderId="8" xfId="4" applyNumberFormat="1" applyFont="1" applyFill="1" applyBorder="1">
      <protection locked="0"/>
    </xf>
    <xf numFmtId="166" fontId="0" fillId="0" borderId="0" xfId="0" applyNumberFormat="1"/>
    <xf numFmtId="0" fontId="0" fillId="0" borderId="21" xfId="0" applyBorder="1"/>
    <xf numFmtId="0" fontId="0" fillId="0" borderId="18" xfId="0" applyBorder="1"/>
    <xf numFmtId="164" fontId="0" fillId="0" borderId="0" xfId="0" applyNumberFormat="1"/>
    <xf numFmtId="165" fontId="0" fillId="0" borderId="0" xfId="1" applyNumberFormat="1" applyFont="1"/>
    <xf numFmtId="165" fontId="2" fillId="0" borderId="0" xfId="1" applyNumberFormat="1" applyFont="1"/>
    <xf numFmtId="9" fontId="3" fillId="0" borderId="0" xfId="2" applyFont="1"/>
    <xf numFmtId="168" fontId="3" fillId="6" borderId="0" xfId="3" applyNumberFormat="1" applyFill="1"/>
    <xf numFmtId="165" fontId="7" fillId="0" borderId="0" xfId="1" applyNumberFormat="1" applyFont="1" applyFill="1" applyBorder="1" applyAlignment="1">
      <alignment horizontal="right" vertical="center" readingOrder="1"/>
    </xf>
    <xf numFmtId="10" fontId="3" fillId="8" borderId="8" xfId="4" applyNumberFormat="1" applyFont="1" applyFill="1" applyBorder="1">
      <protection locked="0"/>
    </xf>
    <xf numFmtId="165" fontId="3" fillId="8" borderId="0" xfId="1" applyNumberFormat="1" applyFont="1" applyFill="1" applyBorder="1" applyProtection="1">
      <protection locked="0"/>
    </xf>
    <xf numFmtId="10" fontId="8" fillId="0" borderId="8" xfId="4" applyNumberFormat="1" applyFont="1" applyFill="1" applyBorder="1">
      <protection locked="0"/>
    </xf>
    <xf numFmtId="0" fontId="0" fillId="0" borderId="0" xfId="0" pivotButton="1"/>
    <xf numFmtId="166" fontId="3" fillId="8" borderId="0" xfId="5" applyNumberFormat="1" applyFont="1" applyFill="1" applyBorder="1">
      <protection locked="0"/>
    </xf>
    <xf numFmtId="166" fontId="3" fillId="9" borderId="0" xfId="5" applyNumberFormat="1" applyFont="1" applyFill="1" applyBorder="1">
      <protection locked="0"/>
    </xf>
    <xf numFmtId="3" fontId="0" fillId="0" borderId="13" xfId="0" applyNumberFormat="1" applyBorder="1"/>
    <xf numFmtId="3" fontId="0" fillId="0" borderId="8" xfId="0" applyNumberFormat="1" applyBorder="1"/>
    <xf numFmtId="3" fontId="0" fillId="0" borderId="17" xfId="0" applyNumberFormat="1" applyBorder="1"/>
    <xf numFmtId="3" fontId="0" fillId="0" borderId="16" xfId="0" applyNumberFormat="1" applyBorder="1"/>
    <xf numFmtId="3" fontId="0" fillId="0" borderId="12" xfId="0" applyNumberFormat="1" applyBorder="1"/>
    <xf numFmtId="3" fontId="0" fillId="0" borderId="21" xfId="0" applyNumberFormat="1" applyBorder="1"/>
    <xf numFmtId="0" fontId="0" fillId="0" borderId="14" xfId="0" applyBorder="1"/>
    <xf numFmtId="3" fontId="0" fillId="0" borderId="22" xfId="0" applyNumberFormat="1" applyBorder="1"/>
    <xf numFmtId="3" fontId="0" fillId="0" borderId="10" xfId="0" applyNumberFormat="1" applyBorder="1"/>
    <xf numFmtId="0" fontId="0" fillId="0" borderId="23" xfId="0" applyBorder="1"/>
    <xf numFmtId="3" fontId="15" fillId="0" borderId="16" xfId="0" applyNumberFormat="1" applyFont="1" applyBorder="1"/>
    <xf numFmtId="169" fontId="0" fillId="0" borderId="8" xfId="0" applyNumberFormat="1" applyBorder="1"/>
    <xf numFmtId="169" fontId="0" fillId="0" borderId="16" xfId="0" applyNumberFormat="1" applyBorder="1"/>
    <xf numFmtId="3" fontId="15" fillId="0" borderId="10" xfId="0" applyNumberFormat="1" applyFont="1" applyBorder="1"/>
    <xf numFmtId="169" fontId="0" fillId="0" borderId="22" xfId="0" applyNumberFormat="1" applyBorder="1"/>
    <xf numFmtId="169" fontId="0" fillId="0" borderId="21" xfId="0" applyNumberFormat="1" applyBorder="1"/>
    <xf numFmtId="169" fontId="0" fillId="0" borderId="10" xfId="0" applyNumberFormat="1" applyBorder="1"/>
    <xf numFmtId="0" fontId="0" fillId="0" borderId="14" xfId="0" pivotButton="1" applyBorder="1"/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4" xfId="0" applyBorder="1" applyAlignment="1">
      <alignment horizontal="left"/>
    </xf>
    <xf numFmtId="166" fontId="5" fillId="9" borderId="4" xfId="5" applyNumberFormat="1" applyFont="1" applyFill="1" applyBorder="1" applyAlignment="1">
      <alignment horizontal="center"/>
      <protection locked="0"/>
    </xf>
    <xf numFmtId="9" fontId="3" fillId="0" borderId="0" xfId="2" applyFont="1" applyBorder="1" applyProtection="1">
      <protection locked="0"/>
    </xf>
    <xf numFmtId="165" fontId="3" fillId="10" borderId="0" xfId="1" applyNumberFormat="1" applyFont="1" applyFill="1" applyBorder="1" applyProtection="1">
      <protection locked="0"/>
    </xf>
    <xf numFmtId="165" fontId="8" fillId="0" borderId="0" xfId="2" applyNumberFormat="1" applyFont="1" applyBorder="1"/>
    <xf numFmtId="165" fontId="3" fillId="0" borderId="0" xfId="1" applyNumberFormat="1" applyFont="1" applyFill="1" applyBorder="1" applyProtection="1">
      <protection locked="0"/>
    </xf>
    <xf numFmtId="165" fontId="3" fillId="11" borderId="0" xfId="1" applyNumberFormat="1" applyFont="1" applyFill="1" applyBorder="1" applyProtection="1">
      <protection locked="0"/>
    </xf>
    <xf numFmtId="165" fontId="3" fillId="12" borderId="0" xfId="1" applyNumberFormat="1" applyFont="1" applyFill="1" applyBorder="1" applyProtection="1">
      <protection locked="0"/>
    </xf>
    <xf numFmtId="169" fontId="0" fillId="0" borderId="0" xfId="0" applyNumberFormat="1"/>
    <xf numFmtId="10" fontId="8" fillId="0" borderId="8" xfId="2" applyNumberFormat="1" applyFont="1" applyFill="1" applyBorder="1" applyProtection="1">
      <protection locked="0"/>
    </xf>
    <xf numFmtId="10" fontId="14" fillId="8" borderId="0" xfId="0" applyNumberFormat="1" applyFont="1" applyFill="1"/>
    <xf numFmtId="4" fontId="6" fillId="8" borderId="7" xfId="3" applyNumberFormat="1" applyFont="1" applyFill="1" applyBorder="1" applyAlignment="1">
      <alignment horizontal="left" vertical="center" readingOrder="1"/>
    </xf>
    <xf numFmtId="49" fontId="6" fillId="8" borderId="0" xfId="0" applyNumberFormat="1" applyFont="1" applyFill="1" applyAlignment="1">
      <alignment horizontal="left" vertical="center" readingOrder="1"/>
    </xf>
    <xf numFmtId="165" fontId="6" fillId="8" borderId="0" xfId="1" applyNumberFormat="1" applyFont="1" applyFill="1" applyBorder="1" applyAlignment="1">
      <alignment horizontal="right" vertical="center" readingOrder="1"/>
    </xf>
    <xf numFmtId="165" fontId="3" fillId="8" borderId="0" xfId="1" applyNumberFormat="1" applyFont="1" applyFill="1" applyBorder="1" applyAlignment="1">
      <alignment horizontal="right"/>
    </xf>
    <xf numFmtId="165" fontId="3" fillId="8" borderId="0" xfId="1" applyNumberFormat="1" applyFont="1" applyFill="1" applyBorder="1" applyAlignment="1">
      <alignment horizontal="right" wrapText="1"/>
    </xf>
    <xf numFmtId="165" fontId="3" fillId="8" borderId="0" xfId="3" applyNumberFormat="1" applyFill="1" applyAlignment="1">
      <alignment horizontal="right" wrapText="1"/>
    </xf>
    <xf numFmtId="10" fontId="3" fillId="8" borderId="0" xfId="4" applyNumberFormat="1" applyFont="1" applyFill="1" applyBorder="1" applyAlignment="1">
      <alignment horizontal="right" wrapText="1"/>
      <protection locked="0"/>
    </xf>
    <xf numFmtId="167" fontId="3" fillId="8" borderId="0" xfId="5" applyNumberFormat="1" applyFont="1" applyFill="1" applyBorder="1" applyAlignment="1">
      <alignment horizontal="right" wrapText="1"/>
      <protection locked="0"/>
    </xf>
    <xf numFmtId="165" fontId="3" fillId="8" borderId="0" xfId="5" applyNumberFormat="1" applyFont="1" applyFill="1" applyBorder="1" applyAlignment="1">
      <alignment horizontal="right" wrapText="1"/>
      <protection locked="0"/>
    </xf>
    <xf numFmtId="10" fontId="3" fillId="8" borderId="8" xfId="2" applyNumberFormat="1" applyFont="1" applyFill="1" applyBorder="1"/>
    <xf numFmtId="165" fontId="0" fillId="8" borderId="0" xfId="1" applyNumberFormat="1" applyFont="1" applyFill="1"/>
    <xf numFmtId="165" fontId="0" fillId="8" borderId="0" xfId="0" applyNumberFormat="1" applyFill="1"/>
    <xf numFmtId="0" fontId="0" fillId="8" borderId="0" xfId="0" applyFill="1"/>
  </cellXfs>
  <cellStyles count="15">
    <cellStyle name="Millares" xfId="1" builtinId="3"/>
    <cellStyle name="Millares 2" xfId="5" xr:uid="{7A491D17-54C8-4B50-9988-AA4746949568}"/>
    <cellStyle name="Millares 2 2" xfId="6" xr:uid="{C2EDC578-0F9B-414C-ADA4-60F7B9ADEED7}"/>
    <cellStyle name="Millares 2 2 2" xfId="13" xr:uid="{B9E1D7CD-0233-45C0-85DD-CD6020698867}"/>
    <cellStyle name="Millares 2 2 3" xfId="10" xr:uid="{251034FF-2BA3-433A-88F0-FBBB5842679D}"/>
    <cellStyle name="Millares 2 3" xfId="12" xr:uid="{78E498B3-430A-49C9-BAD5-4C227E405B24}"/>
    <cellStyle name="Millares 2 4" xfId="8" xr:uid="{FA635ED5-65E3-4A46-A4E1-787E429E596F}"/>
    <cellStyle name="Millares 3" xfId="11" xr:uid="{31AB917F-11FC-414B-A2D0-7F322D8C24D8}"/>
    <cellStyle name="Millares 4" xfId="14" xr:uid="{C6D3F11A-ADFE-42E4-9212-8DC785FEFB40}"/>
    <cellStyle name="Millares 5" xfId="7" xr:uid="{808B3772-64E2-4785-8C09-0E430ECF907E}"/>
    <cellStyle name="Normal" xfId="0" builtinId="0"/>
    <cellStyle name="Normal 2" xfId="3" xr:uid="{C95C5D08-3A29-4E46-BEED-B504F88CCC72}"/>
    <cellStyle name="Porcentaje" xfId="2" builtinId="5"/>
    <cellStyle name="Porcentaje 2" xfId="4" xr:uid="{434ED7C2-8E41-486C-BE87-5F3142C24956}"/>
    <cellStyle name="Porcentaje 2 2" xfId="9" xr:uid="{6B47A09B-C7DC-4CE5-9E94-35AF332D1E78}"/>
  </cellStyles>
  <dxfs count="99">
    <dxf>
      <numFmt numFmtId="165" formatCode="_-* #,##0_-;\-* #,##0_-;_-* &quot;-&quot;??_-;_-@_-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FF7EC"/>
        </patternFill>
      </fill>
      <alignment horizontal="right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FF7EC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FF7EC"/>
        </patternFill>
      </fill>
      <alignment horizontal="right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FF7EC"/>
        </patternFill>
      </fill>
      <alignment horizontal="right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FF7EC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FF7EC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FFF7EC"/>
        </patternFill>
      </fill>
      <alignment horizontal="righ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0.0%"/>
    </dxf>
    <dxf>
      <font>
        <b/>
        <color rgb="FFFF0000"/>
      </font>
      <fill>
        <patternFill patternType="solid">
          <fgColor indexed="64"/>
          <bgColor rgb="FFFFFF00"/>
        </patternFill>
      </fill>
    </dxf>
    <dxf>
      <font>
        <b/>
        <color rgb="FFFF0000"/>
      </font>
      <fill>
        <patternFill patternType="solid">
          <fgColor indexed="64"/>
          <bgColor rgb="FFFFFF00"/>
        </patternFill>
      </fill>
    </dxf>
    <dxf>
      <font>
        <b/>
        <color rgb="FFFF0000"/>
      </font>
      <fill>
        <patternFill patternType="solid">
          <fgColor indexed="64"/>
          <bgColor rgb="FFFFFF00"/>
        </patternFill>
      </fill>
    </dxf>
    <dxf>
      <font>
        <b/>
        <color rgb="FFFF0000"/>
      </font>
      <fill>
        <patternFill patternType="solid">
          <fgColor indexed="64"/>
          <bgColor rgb="FFFFFF00"/>
        </patternFill>
      </fill>
    </dxf>
    <dxf>
      <font>
        <b/>
        <color rgb="FFFF0000"/>
      </font>
      <fill>
        <patternFill patternType="solid">
          <fgColor indexed="64"/>
          <bgColor rgb="FFFFFF00"/>
        </patternFill>
      </fill>
    </dxf>
    <dxf>
      <font>
        <b/>
      </font>
    </dxf>
    <dxf>
      <font>
        <color rgb="FFFF0000"/>
      </font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color rgb="FFFF0000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color rgb="FFFF0000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color rgb="FFFF0000"/>
      </font>
      <fill>
        <patternFill patternType="solid">
          <fgColor indexed="64"/>
          <bgColor rgb="FFFFFF00"/>
        </patternFill>
      </fill>
    </dxf>
    <dxf>
      <font>
        <b/>
        <color rgb="FFFF0000"/>
      </font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color rgb="FFFF0000"/>
      </font>
    </dxf>
    <dxf>
      <font>
        <b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1" defaultTableStyle="TableStyleMedium2" defaultPivotStyle="PivotStyleLight16">
    <tableStyle name="Invisible" pivot="0" table="0" count="0" xr9:uid="{8F1CE001-3B96-40B7-BB9B-F3C50B6A1C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07/relationships/slicerCache" Target="slicerCaches/slicerCache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microsoft.com/office/2007/relationships/slicerCache" Target="slicerCaches/slicerCache4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07/relationships/slicerCache" Target="slicerCaches/slicerCache3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148587</xdr:rowOff>
    </xdr:from>
    <xdr:to>
      <xdr:col>1</xdr:col>
      <xdr:colOff>876300</xdr:colOff>
      <xdr:row>10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 1">
              <a:extLst>
                <a:ext uri="{FF2B5EF4-FFF2-40B4-BE49-F238E27FC236}">
                  <a16:creationId xmlns:a16="http://schemas.microsoft.com/office/drawing/2014/main" id="{6B7E22EF-C622-9FDA-C15C-14F4831C93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1467"/>
              <a:ext cx="1859280" cy="9791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55245</xdr:colOff>
      <xdr:row>12</xdr:row>
      <xdr:rowOff>150495</xdr:rowOff>
    </xdr:from>
    <xdr:to>
      <xdr:col>1</xdr:col>
      <xdr:colOff>931545</xdr:colOff>
      <xdr:row>18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 1">
              <a:extLst>
                <a:ext uri="{FF2B5EF4-FFF2-40B4-BE49-F238E27FC236}">
                  <a16:creationId xmlns:a16="http://schemas.microsoft.com/office/drawing/2014/main" id="{019C40DF-B64C-DFF1-806E-160E07D6EC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" y="2345055"/>
              <a:ext cx="1859280" cy="946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150495</xdr:colOff>
      <xdr:row>3</xdr:row>
      <xdr:rowOff>102868</xdr:rowOff>
    </xdr:from>
    <xdr:to>
      <xdr:col>1</xdr:col>
      <xdr:colOff>521970</xdr:colOff>
      <xdr:row>11</xdr:row>
      <xdr:rowOff>167640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ES">
              <a:extLst>
                <a:ext uri="{FF2B5EF4-FFF2-40B4-BE49-F238E27FC236}">
                  <a16:creationId xmlns:a16="http://schemas.microsoft.com/office/drawing/2014/main" id="{998496CB-9265-92EE-32A5-618CB19506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495" y="651508"/>
              <a:ext cx="1872615" cy="9791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167640</xdr:colOff>
      <xdr:row>13</xdr:row>
      <xdr:rowOff>9524</xdr:rowOff>
    </xdr:from>
    <xdr:to>
      <xdr:col>1</xdr:col>
      <xdr:colOff>539115</xdr:colOff>
      <xdr:row>18</xdr:row>
      <xdr:rowOff>76199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">
              <a:extLst>
                <a:ext uri="{FF2B5EF4-FFF2-40B4-BE49-F238E27FC236}">
                  <a16:creationId xmlns:a16="http://schemas.microsoft.com/office/drawing/2014/main" id="{EA128BBA-9AC8-F713-F895-367FCE6D6C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40" y="2386964"/>
              <a:ext cx="1872615" cy="981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driana_bernal_tercol_com_co/Documents/Documents-Adriana/Adriana/INVENTARIOS/2026/ABRIL%202026/COPIA%20DE%20SEGURIDAD%20ABRIL%202026.xlsx" TargetMode="External"/><Relationship Id="rId2" Type="http://schemas.openxmlformats.org/officeDocument/2006/relationships/externalLinkPath" Target="https://tercol585-my.sharepoint.com/personal/adriana_bernal_tercol_com_co/Documents/Documents-Adriana/Adriana/INVENTARIOS/2026/ABRIL%202026/COPIA%20DE%20SEGURIDAD%20ABRIL%202026.xlsx" TargetMode="External"/><Relationship Id="rId1" Type="http://schemas.openxmlformats.org/officeDocument/2006/relationships/externalLinkPath" Target="/personal/adriana_bernal_tercol_com_co/Documents/Documents-Adriana/Adriana/INVENTARIOS/2026/ABRIL%202026/COPIA%20DE%20SEGURIDAD%20ABRI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driana_bernal_tercol_com_co/Documents/Documents-Adriana/Adriana/INFORMES/INFORMES%20FINANCIEROS%20MENSUALES/2026/COSTO%20BREAKERS%202026.xlsx" TargetMode="External"/><Relationship Id="rId2" Type="http://schemas.openxmlformats.org/officeDocument/2006/relationships/externalLinkPath" Target="https://tercol585-my.sharepoint.com/personal/adriana_bernal_tercol_com_co/Documents/Documents-Adriana/Adriana/INFORMES/INFORMES%20FINANCIEROS%20MENSUALES/2026/COSTO%20BREAKERS%202026.xlsx" TargetMode="External"/><Relationship Id="rId1" Type="http://schemas.openxmlformats.org/officeDocument/2006/relationships/externalLinkPath" Target="/personal/adriana_bernal_tercol_com_co/Documents/Documents-Adriana/Adriana/INFORMES/INFORMES%20FINANCIEROS%20MENSUALES/2026/COSTO%20BREAKERS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driana_bernal_tercol_com_co/Documents/Documents-Adriana/Adriana/INFORMES/INFORMES%20FINANCIEROS%20MENSUALES/2026/COSTO%20VARILLAS%202026.xlsx" TargetMode="External"/><Relationship Id="rId2" Type="http://schemas.openxmlformats.org/officeDocument/2006/relationships/externalLinkPath" Target="https://tercol585-my.sharepoint.com/personal/adriana_bernal_tercol_com_co/Documents/Documents-Adriana/Adriana/INFORMES/INFORMES%20FINANCIEROS%20MENSUALES/2026/COSTO%20VARILLAS%202026.xlsx" TargetMode="External"/><Relationship Id="rId1" Type="http://schemas.openxmlformats.org/officeDocument/2006/relationships/externalLinkPath" Target="/personal/adriana_bernal_tercol_com_co/Documents/Documents-Adriana/Adriana/INFORMES/INFORMES%20FINANCIEROS%20MENSUALES/2026/COSTO%20VARILLAS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ernal\Downloads\costos%20MO%20NAGO.xlsx" TargetMode="External"/><Relationship Id="rId1" Type="http://schemas.openxmlformats.org/officeDocument/2006/relationships/externalLinkPath" Target="file:///C:\Users\abernal\Downloads\costos%20MO%20NA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"/>
      <sheetName val="PP"/>
      <sheetName val="PT"/>
      <sheetName val="PROVEEDORES"/>
      <sheetName val="Todos"/>
    </sheetNames>
    <sheetDataSet>
      <sheetData sheetId="0"/>
      <sheetData sheetId="1"/>
      <sheetData sheetId="2"/>
      <sheetData sheetId="3"/>
      <sheetData sheetId="4">
        <row r="2">
          <cell r="A2" t="str">
            <v>ABS</v>
          </cell>
          <cell r="B2">
            <v>4500</v>
          </cell>
        </row>
        <row r="3">
          <cell r="A3" t="str">
            <v>ACIDO NITRICO</v>
          </cell>
          <cell r="B3">
            <v>3120</v>
          </cell>
        </row>
        <row r="4">
          <cell r="A4" t="str">
            <v>ACPM</v>
          </cell>
          <cell r="B4">
            <v>10868</v>
          </cell>
        </row>
        <row r="5">
          <cell r="A5" t="str">
            <v>AEROSOL</v>
          </cell>
          <cell r="B5">
            <v>15000</v>
          </cell>
        </row>
        <row r="6">
          <cell r="A6" t="str">
            <v>AL102</v>
          </cell>
          <cell r="B6">
            <v>23760</v>
          </cell>
        </row>
        <row r="7">
          <cell r="A7" t="str">
            <v>AL1238</v>
          </cell>
          <cell r="B7">
            <v>23450</v>
          </cell>
        </row>
        <row r="8">
          <cell r="A8" t="str">
            <v>AL182</v>
          </cell>
          <cell r="B8">
            <v>23760</v>
          </cell>
        </row>
        <row r="9">
          <cell r="A9" t="str">
            <v>AL322</v>
          </cell>
          <cell r="B9">
            <v>23760</v>
          </cell>
        </row>
        <row r="10">
          <cell r="A10" t="str">
            <v>AL372</v>
          </cell>
          <cell r="B10">
            <v>23760</v>
          </cell>
        </row>
        <row r="11">
          <cell r="A11" t="str">
            <v>AL592</v>
          </cell>
          <cell r="B11">
            <v>23760</v>
          </cell>
        </row>
        <row r="12">
          <cell r="A12" t="str">
            <v>AL914</v>
          </cell>
          <cell r="B12">
            <v>23450</v>
          </cell>
        </row>
        <row r="13">
          <cell r="A13" t="str">
            <v>ALICATE</v>
          </cell>
          <cell r="B13">
            <v>34000</v>
          </cell>
        </row>
        <row r="14">
          <cell r="A14" t="str">
            <v>ALTOIMPACTO</v>
          </cell>
          <cell r="B14">
            <v>6950</v>
          </cell>
        </row>
        <row r="15">
          <cell r="A15" t="str">
            <v>AMARRADERA15</v>
          </cell>
          <cell r="B15">
            <v>63</v>
          </cell>
        </row>
        <row r="16">
          <cell r="A16" t="str">
            <v>AMARRADERA30</v>
          </cell>
          <cell r="B16">
            <v>195</v>
          </cell>
        </row>
        <row r="17">
          <cell r="A17" t="str">
            <v>Anillo.</v>
          </cell>
          <cell r="B17">
            <v>0</v>
          </cell>
        </row>
        <row r="18">
          <cell r="A18" t="str">
            <v>AnilloLT</v>
          </cell>
          <cell r="B18">
            <v>0</v>
          </cell>
        </row>
        <row r="19">
          <cell r="A19" t="str">
            <v>Antillama</v>
          </cell>
          <cell r="B19">
            <v>43000</v>
          </cell>
        </row>
        <row r="20">
          <cell r="A20" t="str">
            <v>Arandeladeseguridad.</v>
          </cell>
          <cell r="B20">
            <v>0</v>
          </cell>
        </row>
        <row r="21">
          <cell r="A21" t="str">
            <v>ArandeladeseguridadLT</v>
          </cell>
          <cell r="B21">
            <v>0</v>
          </cell>
        </row>
        <row r="22">
          <cell r="A22" t="str">
            <v>Atornilladordepunzon.</v>
          </cell>
          <cell r="B22">
            <v>0</v>
          </cell>
        </row>
        <row r="23">
          <cell r="A23" t="str">
            <v>B-ARMI</v>
          </cell>
          <cell r="B23">
            <v>716</v>
          </cell>
        </row>
        <row r="24">
          <cell r="A24" t="str">
            <v>B112</v>
          </cell>
          <cell r="B24">
            <v>405</v>
          </cell>
        </row>
        <row r="25">
          <cell r="A25" t="str">
            <v>BasedematrizestiloJ.</v>
          </cell>
          <cell r="B25">
            <v>0</v>
          </cell>
        </row>
        <row r="26">
          <cell r="A26" t="str">
            <v>BasedematrizestiloJ.1</v>
          </cell>
          <cell r="B26">
            <v>0</v>
          </cell>
        </row>
        <row r="27">
          <cell r="A27" t="str">
            <v>Bloquedematriz.</v>
          </cell>
          <cell r="B27">
            <v>0</v>
          </cell>
        </row>
        <row r="28">
          <cell r="A28" t="str">
            <v>BP1524</v>
          </cell>
          <cell r="B28">
            <v>92.43</v>
          </cell>
        </row>
        <row r="29">
          <cell r="A29" t="str">
            <v>BP1530</v>
          </cell>
          <cell r="B29">
            <v>33</v>
          </cell>
        </row>
        <row r="30">
          <cell r="A30" t="str">
            <v>BP2230</v>
          </cell>
          <cell r="B30">
            <v>112</v>
          </cell>
        </row>
        <row r="31">
          <cell r="A31" t="str">
            <v>BP2535</v>
          </cell>
          <cell r="B31">
            <v>67</v>
          </cell>
        </row>
        <row r="32">
          <cell r="A32" t="str">
            <v>BP3145</v>
          </cell>
          <cell r="B32">
            <v>237</v>
          </cell>
        </row>
        <row r="33">
          <cell r="A33" t="str">
            <v>BP3462</v>
          </cell>
          <cell r="B33">
            <v>284</v>
          </cell>
        </row>
        <row r="34">
          <cell r="A34" t="str">
            <v>BP7514</v>
          </cell>
          <cell r="B34">
            <v>58</v>
          </cell>
        </row>
        <row r="35">
          <cell r="A35" t="str">
            <v>BPC1475</v>
          </cell>
          <cell r="B35">
            <v>40</v>
          </cell>
        </row>
        <row r="36">
          <cell r="A36" t="str">
            <v>C102</v>
          </cell>
          <cell r="B36">
            <v>47293</v>
          </cell>
        </row>
        <row r="37">
          <cell r="A37" t="str">
            <v>C182</v>
          </cell>
          <cell r="B37">
            <v>47293</v>
          </cell>
        </row>
        <row r="38">
          <cell r="A38" t="str">
            <v>C322</v>
          </cell>
          <cell r="B38">
            <v>47293</v>
          </cell>
        </row>
        <row r="39">
          <cell r="A39" t="str">
            <v>C372</v>
          </cell>
          <cell r="B39">
            <v>47293</v>
          </cell>
        </row>
        <row r="40">
          <cell r="A40" t="str">
            <v>C592</v>
          </cell>
          <cell r="B40">
            <v>47293</v>
          </cell>
        </row>
        <row r="41">
          <cell r="A41" t="str">
            <v>Cabezadepunzon.</v>
          </cell>
          <cell r="B41">
            <v>0</v>
          </cell>
        </row>
        <row r="42">
          <cell r="A42" t="str">
            <v>Cabezadepunzoninferior.</v>
          </cell>
          <cell r="B42">
            <v>0</v>
          </cell>
        </row>
        <row r="43">
          <cell r="A43" t="str">
            <v>Cabezadepunzoninferior1.</v>
          </cell>
          <cell r="B43">
            <v>0</v>
          </cell>
        </row>
        <row r="44">
          <cell r="A44" t="str">
            <v>Cabezadepunzoninferior2.</v>
          </cell>
          <cell r="B44">
            <v>0</v>
          </cell>
        </row>
        <row r="45">
          <cell r="A45" t="str">
            <v>Cabezadepunzoninferior3.</v>
          </cell>
          <cell r="B45">
            <v>0</v>
          </cell>
        </row>
        <row r="46">
          <cell r="A46" t="str">
            <v>Cabezadepunzoninferior4.</v>
          </cell>
          <cell r="B46">
            <v>0</v>
          </cell>
        </row>
        <row r="47">
          <cell r="A47" t="str">
            <v>Cabezadepunzonsuperior.</v>
          </cell>
          <cell r="B47">
            <v>0</v>
          </cell>
        </row>
        <row r="48">
          <cell r="A48" t="str">
            <v>Cabezadepunzonsuperior1.</v>
          </cell>
          <cell r="B48">
            <v>0</v>
          </cell>
        </row>
        <row r="49">
          <cell r="A49" t="str">
            <v>Cabezadepunzonsuperior2.</v>
          </cell>
          <cell r="B49">
            <v>0</v>
          </cell>
        </row>
        <row r="50">
          <cell r="A50" t="str">
            <v>Cabezadepunzonsuperior3.</v>
          </cell>
          <cell r="B50">
            <v>0</v>
          </cell>
        </row>
        <row r="51">
          <cell r="A51" t="str">
            <v>Cabezadepunzonsuperior4.</v>
          </cell>
          <cell r="B51">
            <v>0</v>
          </cell>
        </row>
        <row r="52">
          <cell r="A52" t="str">
            <v>CABLE14V</v>
          </cell>
          <cell r="B52">
            <v>1637</v>
          </cell>
        </row>
        <row r="53">
          <cell r="A53" t="str">
            <v>CABUYA</v>
          </cell>
          <cell r="B53">
            <v>12500</v>
          </cell>
        </row>
        <row r="54">
          <cell r="A54" t="str">
            <v>Camisaguiaalfa2tipoC.</v>
          </cell>
          <cell r="B54">
            <v>0</v>
          </cell>
        </row>
        <row r="55">
          <cell r="A55" t="str">
            <v>Camisaguiaalfa3½tipoD.</v>
          </cell>
          <cell r="B55">
            <v>0</v>
          </cell>
        </row>
        <row r="56">
          <cell r="A56" t="str">
            <v>Camisaguiaalfa4½tipoE.</v>
          </cell>
          <cell r="B56">
            <v>0</v>
          </cell>
        </row>
        <row r="57">
          <cell r="A57" t="str">
            <v>CamisaNCT1/2TipoA.</v>
          </cell>
          <cell r="B57">
            <v>0</v>
          </cell>
        </row>
        <row r="58">
          <cell r="A58" t="str">
            <v>CamisaNCT1¼TipoB.</v>
          </cell>
          <cell r="B58">
            <v>0</v>
          </cell>
        </row>
        <row r="59">
          <cell r="A59" t="str">
            <v>CamisaZ-Tooling1/2tipoA.</v>
          </cell>
          <cell r="B59">
            <v>0</v>
          </cell>
        </row>
        <row r="60">
          <cell r="A60" t="str">
            <v>CamisaZ-Tooling1¼TipoB.</v>
          </cell>
          <cell r="B60">
            <v>0</v>
          </cell>
        </row>
        <row r="61">
          <cell r="A61" t="str">
            <v>Carbonato de Calcio</v>
          </cell>
          <cell r="B61">
            <v>2750</v>
          </cell>
        </row>
        <row r="62">
          <cell r="A62" t="str">
            <v>CARRETE</v>
          </cell>
          <cell r="B62">
            <v>134454</v>
          </cell>
        </row>
        <row r="63">
          <cell r="A63" t="str">
            <v>CC-CA4050</v>
          </cell>
          <cell r="B63">
            <v>4074</v>
          </cell>
        </row>
        <row r="64">
          <cell r="A64" t="str">
            <v>CC-CA60</v>
          </cell>
          <cell r="B64">
            <v>6731</v>
          </cell>
        </row>
        <row r="65">
          <cell r="A65" t="str">
            <v>CC-CE2010</v>
          </cell>
          <cell r="B65">
            <v>2086</v>
          </cell>
        </row>
        <row r="66">
          <cell r="A66" t="str">
            <v>CC-CE25</v>
          </cell>
          <cell r="B66">
            <v>2727</v>
          </cell>
        </row>
        <row r="67">
          <cell r="A67" t="str">
            <v>CC-CE3010</v>
          </cell>
          <cell r="B67">
            <v>3155</v>
          </cell>
        </row>
        <row r="68">
          <cell r="A68" t="str">
            <v>CC-CE3015</v>
          </cell>
          <cell r="B68">
            <v>4461</v>
          </cell>
        </row>
        <row r="69">
          <cell r="A69" t="str">
            <v>CC-CE60</v>
          </cell>
          <cell r="B69">
            <v>7812</v>
          </cell>
        </row>
        <row r="70">
          <cell r="A70" t="str">
            <v>CC-CT6080</v>
          </cell>
          <cell r="B70">
            <v>6294</v>
          </cell>
        </row>
        <row r="71">
          <cell r="A71" t="str">
            <v>CC-MCROCE2010</v>
          </cell>
          <cell r="B71">
            <v>11519</v>
          </cell>
        </row>
        <row r="72">
          <cell r="A72" t="str">
            <v>CC-MCROCE6952</v>
          </cell>
          <cell r="B72">
            <v>11519</v>
          </cell>
        </row>
        <row r="73">
          <cell r="A73" t="str">
            <v>CC-TB12PE</v>
          </cell>
          <cell r="B73">
            <v>3227</v>
          </cell>
        </row>
        <row r="74">
          <cell r="A74" t="str">
            <v>CC-TB18PE</v>
          </cell>
          <cell r="B74">
            <v>3540</v>
          </cell>
        </row>
        <row r="75">
          <cell r="A75" t="str">
            <v>CC-TRP42RTE</v>
          </cell>
          <cell r="B75">
            <v>8187</v>
          </cell>
        </row>
        <row r="76">
          <cell r="A76" t="str">
            <v>CC101</v>
          </cell>
          <cell r="B76">
            <v>10104</v>
          </cell>
        </row>
        <row r="77">
          <cell r="A77" t="str">
            <v>CC1218R</v>
          </cell>
          <cell r="B77">
            <v>2107</v>
          </cell>
        </row>
        <row r="78">
          <cell r="A78" t="str">
            <v>CC2430R</v>
          </cell>
          <cell r="B78">
            <v>2389</v>
          </cell>
        </row>
        <row r="79">
          <cell r="A79" t="str">
            <v>CC3042RT</v>
          </cell>
          <cell r="B79">
            <v>5333</v>
          </cell>
        </row>
        <row r="80">
          <cell r="A80" t="str">
            <v>CC3642R</v>
          </cell>
          <cell r="B80">
            <v>2882</v>
          </cell>
        </row>
        <row r="81">
          <cell r="A81" t="str">
            <v>CC71</v>
          </cell>
          <cell r="B81">
            <v>7272</v>
          </cell>
        </row>
        <row r="82">
          <cell r="A82" t="str">
            <v>CCAG</v>
          </cell>
          <cell r="B82">
            <v>4191</v>
          </cell>
        </row>
        <row r="83">
          <cell r="A83" t="str">
            <v>CCBASE-TR</v>
          </cell>
          <cell r="B83">
            <v>1758</v>
          </cell>
        </row>
        <row r="84">
          <cell r="A84" t="str">
            <v>CCGRANDE</v>
          </cell>
          <cell r="B84">
            <v>5559</v>
          </cell>
        </row>
        <row r="85">
          <cell r="A85" t="str">
            <v>CCMEDIANA</v>
          </cell>
          <cell r="B85">
            <v>6327</v>
          </cell>
        </row>
        <row r="86">
          <cell r="A86" t="str">
            <v>CCORRUGADO125</v>
          </cell>
          <cell r="B86">
            <v>175042</v>
          </cell>
        </row>
        <row r="87">
          <cell r="A87" t="str">
            <v>CCORRUGADO60</v>
          </cell>
          <cell r="B87">
            <v>105050</v>
          </cell>
        </row>
        <row r="88">
          <cell r="A88" t="str">
            <v>CCPEQUE</v>
          </cell>
          <cell r="B88">
            <v>5157</v>
          </cell>
        </row>
        <row r="89">
          <cell r="A89" t="str">
            <v>CCRECTANGULAR</v>
          </cell>
          <cell r="B89">
            <v>5313</v>
          </cell>
        </row>
        <row r="90">
          <cell r="A90" t="str">
            <v>CCTAPA-TR</v>
          </cell>
          <cell r="B90">
            <v>1249</v>
          </cell>
        </row>
        <row r="91">
          <cell r="A91" t="str">
            <v>CCTPL2X4</v>
          </cell>
          <cell r="B91">
            <v>1714</v>
          </cell>
        </row>
        <row r="92">
          <cell r="A92" t="str">
            <v>CCXGRANDE</v>
          </cell>
          <cell r="B92">
            <v>7963</v>
          </cell>
        </row>
        <row r="93">
          <cell r="A93" t="str">
            <v>CHAPA-1</v>
          </cell>
          <cell r="B93">
            <v>3200</v>
          </cell>
        </row>
        <row r="94">
          <cell r="A94" t="str">
            <v>CHAPA2</v>
          </cell>
          <cell r="B94">
            <v>6895</v>
          </cell>
        </row>
        <row r="95">
          <cell r="A95" t="str">
            <v>CHAPA2-D</v>
          </cell>
          <cell r="B95">
            <v>7450</v>
          </cell>
        </row>
        <row r="96">
          <cell r="A96" t="str">
            <v>Chipdematriz.</v>
          </cell>
          <cell r="B96">
            <v>0</v>
          </cell>
        </row>
        <row r="97">
          <cell r="A97" t="str">
            <v>Chipdeperforacion.</v>
          </cell>
          <cell r="B97">
            <v>0</v>
          </cell>
        </row>
        <row r="98">
          <cell r="A98" t="str">
            <v>ChipdeperforaciontipoA.</v>
          </cell>
          <cell r="B98">
            <v>0</v>
          </cell>
        </row>
        <row r="99">
          <cell r="A99" t="str">
            <v>ChipdeperforaciontipoB.</v>
          </cell>
          <cell r="B99">
            <v>0</v>
          </cell>
        </row>
        <row r="100">
          <cell r="A100" t="str">
            <v>Chipdeperforado.</v>
          </cell>
          <cell r="B100">
            <v>0</v>
          </cell>
        </row>
        <row r="101">
          <cell r="A101" t="str">
            <v>ChipdeperforadotipoA Forma .</v>
          </cell>
          <cell r="B101">
            <v>0</v>
          </cell>
        </row>
        <row r="102">
          <cell r="A102" t="str">
            <v>Chipdepunzonconforma.</v>
          </cell>
          <cell r="B102">
            <v>0</v>
          </cell>
        </row>
        <row r="103">
          <cell r="A103" t="str">
            <v>ChipdepunzontipoII.</v>
          </cell>
          <cell r="B103">
            <v>0</v>
          </cell>
        </row>
        <row r="104">
          <cell r="A104" t="str">
            <v>cinta72</v>
          </cell>
          <cell r="B104">
            <v>6660</v>
          </cell>
        </row>
        <row r="105">
          <cell r="A105" t="str">
            <v>CINTACERA</v>
          </cell>
          <cell r="B105">
            <v>15000</v>
          </cell>
        </row>
        <row r="106">
          <cell r="A106" t="str">
            <v>CINTAE</v>
          </cell>
          <cell r="B106">
            <v>1350</v>
          </cell>
        </row>
        <row r="107">
          <cell r="A107" t="str">
            <v>CINTAFRAGIL</v>
          </cell>
          <cell r="B107">
            <v>5600</v>
          </cell>
        </row>
        <row r="108">
          <cell r="A108" t="str">
            <v>CO2</v>
          </cell>
          <cell r="B108">
            <v>142857</v>
          </cell>
        </row>
        <row r="109">
          <cell r="A109" t="str">
            <v>COPALARGA</v>
          </cell>
          <cell r="B109">
            <v>5500</v>
          </cell>
        </row>
        <row r="110">
          <cell r="A110" t="str">
            <v>Cortezonabisagra SP CPEE .</v>
          </cell>
          <cell r="B110">
            <v>0</v>
          </cell>
        </row>
        <row r="111">
          <cell r="A111" t="str">
            <v>Cortezonabisagra SP MEE .</v>
          </cell>
          <cell r="B111">
            <v>0</v>
          </cell>
        </row>
        <row r="112">
          <cell r="A112" t="str">
            <v>CQ500</v>
          </cell>
          <cell r="B112">
            <v>28873</v>
          </cell>
        </row>
        <row r="113">
          <cell r="A113" t="str">
            <v>CRC556</v>
          </cell>
          <cell r="B113">
            <v>26500</v>
          </cell>
        </row>
        <row r="114">
          <cell r="A114" t="str">
            <v>CRISTAL 5203</v>
          </cell>
          <cell r="B114">
            <v>10528</v>
          </cell>
        </row>
        <row r="115">
          <cell r="A115" t="str">
            <v>CTUBONALET</v>
          </cell>
          <cell r="B115">
            <v>894</v>
          </cell>
        </row>
        <row r="116">
          <cell r="A116" t="str">
            <v>CTUBONPALET</v>
          </cell>
          <cell r="B116">
            <v>345</v>
          </cell>
        </row>
        <row r="117">
          <cell r="A117" t="str">
            <v>CUBARRA</v>
          </cell>
          <cell r="B117">
            <v>46700</v>
          </cell>
        </row>
        <row r="118">
          <cell r="A118" t="str">
            <v>Cuelloderesorte.</v>
          </cell>
          <cell r="B118">
            <v>0</v>
          </cell>
        </row>
        <row r="119">
          <cell r="A119" t="str">
            <v>Cuelloderesorte.1</v>
          </cell>
          <cell r="B119">
            <v>0</v>
          </cell>
        </row>
        <row r="120">
          <cell r="A120" t="str">
            <v>Cuelloderesorte.10</v>
          </cell>
          <cell r="B120">
            <v>0</v>
          </cell>
        </row>
        <row r="121">
          <cell r="A121" t="str">
            <v>Cuelloderesorte.11</v>
          </cell>
          <cell r="B121">
            <v>0</v>
          </cell>
        </row>
        <row r="122">
          <cell r="A122" t="str">
            <v>Cuelloderesorte.12</v>
          </cell>
          <cell r="B122">
            <v>0</v>
          </cell>
        </row>
        <row r="123">
          <cell r="A123" t="str">
            <v>Cuelloderesorte.2</v>
          </cell>
          <cell r="B123">
            <v>0</v>
          </cell>
        </row>
        <row r="124">
          <cell r="A124" t="str">
            <v>Cuelloderesorte.3</v>
          </cell>
          <cell r="B124">
            <v>0</v>
          </cell>
        </row>
        <row r="125">
          <cell r="A125" t="str">
            <v>Cuelloderesorte.5</v>
          </cell>
          <cell r="B125">
            <v>0</v>
          </cell>
        </row>
        <row r="126">
          <cell r="A126" t="str">
            <v>Cuelloderesorte.6</v>
          </cell>
          <cell r="B126">
            <v>0</v>
          </cell>
        </row>
        <row r="127">
          <cell r="A127" t="str">
            <v>Cuelloderesorte.7</v>
          </cell>
          <cell r="B127">
            <v>0</v>
          </cell>
        </row>
        <row r="128">
          <cell r="A128" t="str">
            <v>Cuelloderesorte.8</v>
          </cell>
          <cell r="B128">
            <v>0</v>
          </cell>
        </row>
        <row r="129">
          <cell r="A129" t="str">
            <v>Cuelloderesorte.9</v>
          </cell>
          <cell r="B129">
            <v>0</v>
          </cell>
        </row>
        <row r="130">
          <cell r="A130" t="str">
            <v>Cuelloderesorte4</v>
          </cell>
          <cell r="B130">
            <v>0</v>
          </cell>
        </row>
        <row r="131">
          <cell r="A131" t="str">
            <v>Cuerpodecabezaajustable.</v>
          </cell>
          <cell r="B131">
            <v>0</v>
          </cell>
        </row>
        <row r="132">
          <cell r="A132" t="str">
            <v>CuerpodecabezaajustableLT</v>
          </cell>
          <cell r="B132">
            <v>0</v>
          </cell>
        </row>
        <row r="133">
          <cell r="A133" t="str">
            <v>Cuerpodelpunzon Soporte .</v>
          </cell>
          <cell r="B133">
            <v>0</v>
          </cell>
        </row>
        <row r="134">
          <cell r="A134" t="str">
            <v>Cuerpodelpunzon.</v>
          </cell>
          <cell r="B134">
            <v>0</v>
          </cell>
        </row>
        <row r="135">
          <cell r="A135" t="str">
            <v>Cuerpodelpunzon.1</v>
          </cell>
          <cell r="B135">
            <v>0</v>
          </cell>
        </row>
        <row r="136">
          <cell r="A136" t="str">
            <v>Cuerpodelpunzon.2</v>
          </cell>
          <cell r="B136">
            <v>0</v>
          </cell>
        </row>
        <row r="137">
          <cell r="A137" t="str">
            <v>Cuerpodematriz CMEB .</v>
          </cell>
          <cell r="B137">
            <v>0</v>
          </cell>
        </row>
        <row r="138">
          <cell r="A138" t="str">
            <v>Cuerpodematriz CMEB .1</v>
          </cell>
          <cell r="B138">
            <v>0</v>
          </cell>
        </row>
        <row r="139">
          <cell r="A139" t="str">
            <v>Cuerpodematriz. CMEC .</v>
          </cell>
          <cell r="B139">
            <v>0</v>
          </cell>
        </row>
        <row r="140">
          <cell r="A140" t="str">
            <v>Cuerpodematriz. CMEC .1</v>
          </cell>
          <cell r="B140">
            <v>0</v>
          </cell>
        </row>
        <row r="141">
          <cell r="A141" t="str">
            <v>Cuerpodematriz. CMEC .2</v>
          </cell>
          <cell r="B141">
            <v>0</v>
          </cell>
        </row>
        <row r="142">
          <cell r="A142" t="str">
            <v>Cuerpodematriz. CMEC .3</v>
          </cell>
          <cell r="B142">
            <v>0</v>
          </cell>
        </row>
        <row r="143">
          <cell r="A143" t="str">
            <v>Cuerpodematriz. CMED .</v>
          </cell>
          <cell r="B143">
            <v>0</v>
          </cell>
        </row>
        <row r="144">
          <cell r="A144" t="str">
            <v>Cuerpodematriz. CMED .1</v>
          </cell>
          <cell r="B144">
            <v>0</v>
          </cell>
        </row>
        <row r="145">
          <cell r="A145" t="str">
            <v>CuerpodematrizredondotipoJ.</v>
          </cell>
          <cell r="B145">
            <v>0</v>
          </cell>
        </row>
        <row r="146">
          <cell r="A146" t="str">
            <v>CuerpodematriztipoA. Forma .</v>
          </cell>
          <cell r="B146">
            <v>0</v>
          </cell>
        </row>
        <row r="147">
          <cell r="A147" t="str">
            <v>CuerpodematriztipoA. Forma .1</v>
          </cell>
          <cell r="B147">
            <v>0</v>
          </cell>
        </row>
        <row r="148">
          <cell r="A148" t="str">
            <v>CuerpodematriztipoB.</v>
          </cell>
          <cell r="B148">
            <v>0</v>
          </cell>
        </row>
        <row r="149">
          <cell r="A149" t="str">
            <v>CuerpodematriztipoD.</v>
          </cell>
          <cell r="B149">
            <v>0</v>
          </cell>
        </row>
        <row r="150">
          <cell r="A150" t="str">
            <v>DESEN</v>
          </cell>
          <cell r="B150">
            <v>11772</v>
          </cell>
        </row>
        <row r="151">
          <cell r="A151" t="str">
            <v>DESTORNILLADORP</v>
          </cell>
          <cell r="B151">
            <v>8900</v>
          </cell>
        </row>
        <row r="152">
          <cell r="A152" t="str">
            <v>Dioxido</v>
          </cell>
          <cell r="B152">
            <v>8652</v>
          </cell>
        </row>
        <row r="153">
          <cell r="A153" t="str">
            <v>DISCOPUL</v>
          </cell>
          <cell r="B153">
            <v>3600</v>
          </cell>
        </row>
        <row r="154">
          <cell r="A154" t="str">
            <v>DISCORTE</v>
          </cell>
          <cell r="B154">
            <v>1508</v>
          </cell>
        </row>
        <row r="155">
          <cell r="A155" t="str">
            <v>DISPENSADORCINTAE</v>
          </cell>
          <cell r="B155">
            <v>22000</v>
          </cell>
        </row>
        <row r="156">
          <cell r="A156" t="str">
            <v>DISPENSADORCINTAE-72</v>
          </cell>
          <cell r="B156">
            <v>65000</v>
          </cell>
        </row>
        <row r="157">
          <cell r="A157" t="str">
            <v>E3125</v>
          </cell>
          <cell r="B157">
            <v>57.24</v>
          </cell>
        </row>
        <row r="158">
          <cell r="A158" t="str">
            <v>EC1</v>
          </cell>
          <cell r="B158">
            <v>45.3</v>
          </cell>
        </row>
        <row r="159">
          <cell r="A159" t="str">
            <v>ECB3225</v>
          </cell>
          <cell r="B159">
            <v>5.5</v>
          </cell>
        </row>
        <row r="160">
          <cell r="A160" t="str">
            <v>ECB69</v>
          </cell>
          <cell r="B160">
            <v>27.48</v>
          </cell>
        </row>
        <row r="161">
          <cell r="A161" t="str">
            <v>EE125</v>
          </cell>
          <cell r="B161">
            <v>52.51</v>
          </cell>
        </row>
        <row r="162">
          <cell r="A162" t="str">
            <v>EE75</v>
          </cell>
          <cell r="B162">
            <v>46.34</v>
          </cell>
        </row>
        <row r="163">
          <cell r="A163" t="str">
            <v>EMC18</v>
          </cell>
          <cell r="B163">
            <v>68.64</v>
          </cell>
        </row>
        <row r="164">
          <cell r="A164" t="str">
            <v>EMC42</v>
          </cell>
          <cell r="B164">
            <v>143.80000000000001</v>
          </cell>
        </row>
        <row r="165">
          <cell r="A165" t="str">
            <v>EMEX1213</v>
          </cell>
          <cell r="B165">
            <v>320</v>
          </cell>
        </row>
        <row r="166">
          <cell r="A166" t="str">
            <v>EMPACA</v>
          </cell>
          <cell r="B166">
            <v>3422</v>
          </cell>
        </row>
        <row r="167">
          <cell r="A167" t="str">
            <v>EMR</v>
          </cell>
          <cell r="B167">
            <v>44.5</v>
          </cell>
        </row>
        <row r="168">
          <cell r="A168" t="str">
            <v>EP</v>
          </cell>
          <cell r="B168">
            <v>25.95</v>
          </cell>
        </row>
        <row r="169">
          <cell r="A169" t="str">
            <v>EQR</v>
          </cell>
          <cell r="B169">
            <v>22.37</v>
          </cell>
        </row>
        <row r="170">
          <cell r="A170" t="str">
            <v>ER2</v>
          </cell>
          <cell r="B170">
            <v>87.25</v>
          </cell>
        </row>
        <row r="171">
          <cell r="A171" t="str">
            <v>ER3</v>
          </cell>
          <cell r="B171">
            <v>69.25</v>
          </cell>
        </row>
        <row r="172">
          <cell r="A172" t="str">
            <v>EROTULO 100x80 mm</v>
          </cell>
          <cell r="B172">
            <v>41.98</v>
          </cell>
        </row>
        <row r="173">
          <cell r="A173" t="str">
            <v>ESPARRAGO12</v>
          </cell>
          <cell r="B173">
            <v>20500</v>
          </cell>
        </row>
        <row r="174">
          <cell r="A174" t="str">
            <v>Esparragodecabezaajustable.</v>
          </cell>
          <cell r="B174">
            <v>0</v>
          </cell>
        </row>
        <row r="175">
          <cell r="A175" t="str">
            <v>ESTEARATO</v>
          </cell>
          <cell r="B175">
            <v>22479</v>
          </cell>
        </row>
        <row r="176">
          <cell r="A176" t="str">
            <v>F20</v>
          </cell>
          <cell r="B176">
            <v>24000</v>
          </cell>
        </row>
        <row r="177">
          <cell r="A177" t="str">
            <v>FOSFA</v>
          </cell>
          <cell r="B177">
            <v>64972</v>
          </cell>
        </row>
        <row r="178">
          <cell r="A178" t="str">
            <v>GANCHOG</v>
          </cell>
          <cell r="B178">
            <v>550</v>
          </cell>
        </row>
        <row r="179">
          <cell r="A179" t="str">
            <v>GANCHOM</v>
          </cell>
          <cell r="B179">
            <v>200</v>
          </cell>
        </row>
        <row r="180">
          <cell r="A180" t="str">
            <v>GANCHOP</v>
          </cell>
          <cell r="B180">
            <v>200</v>
          </cell>
        </row>
        <row r="181">
          <cell r="A181" t="str">
            <v>Garra SP CPEB .</v>
          </cell>
          <cell r="B181">
            <v>0</v>
          </cell>
        </row>
        <row r="182">
          <cell r="A182" t="str">
            <v>GP-CHAPA</v>
          </cell>
          <cell r="B182">
            <v>0</v>
          </cell>
        </row>
        <row r="183">
          <cell r="A183" t="str">
            <v>GP-CHAPA2</v>
          </cell>
          <cell r="B183">
            <v>0</v>
          </cell>
        </row>
        <row r="184">
          <cell r="A184" t="str">
            <v>GP-EMB TIERRA</v>
          </cell>
          <cell r="B184">
            <v>0</v>
          </cell>
        </row>
        <row r="185">
          <cell r="A185" t="str">
            <v>GP-NEUTRO</v>
          </cell>
          <cell r="B185">
            <v>0</v>
          </cell>
        </row>
        <row r="186">
          <cell r="A186" t="str">
            <v>GP-OV-12X2</v>
          </cell>
          <cell r="B186">
            <v>0</v>
          </cell>
        </row>
        <row r="187">
          <cell r="A187" t="str">
            <v>GP-OV-20X5</v>
          </cell>
          <cell r="B187">
            <v>0</v>
          </cell>
        </row>
        <row r="188">
          <cell r="A188" t="str">
            <v>GP-RADIO</v>
          </cell>
          <cell r="B188">
            <v>0</v>
          </cell>
        </row>
        <row r="189">
          <cell r="A189" t="str">
            <v>GP-RADIO MEDIO</v>
          </cell>
          <cell r="B189">
            <v>0</v>
          </cell>
        </row>
        <row r="190">
          <cell r="A190" t="str">
            <v>GP-RADIO TAPA</v>
          </cell>
          <cell r="B190">
            <v>0</v>
          </cell>
        </row>
        <row r="191">
          <cell r="A191" t="str">
            <v>GP-RD-12</v>
          </cell>
          <cell r="B191">
            <v>0</v>
          </cell>
        </row>
        <row r="192">
          <cell r="A192" t="str">
            <v>GP-RD-2-5M</v>
          </cell>
          <cell r="B192">
            <v>0</v>
          </cell>
        </row>
        <row r="193">
          <cell r="A193" t="str">
            <v>GP-RD-20</v>
          </cell>
          <cell r="B193">
            <v>0</v>
          </cell>
        </row>
        <row r="194">
          <cell r="A194" t="str">
            <v>GP-RD-3-4M</v>
          </cell>
          <cell r="B194">
            <v>0</v>
          </cell>
        </row>
        <row r="195">
          <cell r="A195" t="str">
            <v>GP-RD-4-3M</v>
          </cell>
          <cell r="B195">
            <v>0</v>
          </cell>
        </row>
        <row r="196">
          <cell r="A196" t="str">
            <v>GP-RD-5</v>
          </cell>
          <cell r="B196">
            <v>0</v>
          </cell>
        </row>
        <row r="197">
          <cell r="A197" t="str">
            <v>GP-RD-7</v>
          </cell>
          <cell r="B197">
            <v>0</v>
          </cell>
        </row>
        <row r="198">
          <cell r="A198" t="str">
            <v>GP-RD-8</v>
          </cell>
          <cell r="B198">
            <v>0</v>
          </cell>
        </row>
        <row r="199">
          <cell r="A199" t="str">
            <v>GP-RD-9</v>
          </cell>
          <cell r="B199">
            <v>0</v>
          </cell>
        </row>
        <row r="200">
          <cell r="A200" t="str">
            <v>GP-RE-12X3-5M</v>
          </cell>
          <cell r="B200">
            <v>0</v>
          </cell>
        </row>
        <row r="201">
          <cell r="A201" t="str">
            <v>GP-RE-17-3X5M</v>
          </cell>
          <cell r="B201">
            <v>0</v>
          </cell>
        </row>
        <row r="202">
          <cell r="A202" t="str">
            <v>GP-RE-20-3X2M</v>
          </cell>
          <cell r="B202">
            <v>0</v>
          </cell>
        </row>
        <row r="203">
          <cell r="A203" t="str">
            <v>GP-RE-20X10</v>
          </cell>
          <cell r="B203">
            <v>0</v>
          </cell>
        </row>
        <row r="204">
          <cell r="A204" t="str">
            <v>GP-RE-27X10</v>
          </cell>
          <cell r="B204">
            <v>0</v>
          </cell>
        </row>
        <row r="205">
          <cell r="A205" t="str">
            <v>GP-RE-30X2</v>
          </cell>
          <cell r="B205">
            <v>0</v>
          </cell>
        </row>
        <row r="206">
          <cell r="A206" t="str">
            <v>GP-RE-7-5X4-3M</v>
          </cell>
          <cell r="B206">
            <v>0</v>
          </cell>
        </row>
        <row r="207">
          <cell r="A207" t="str">
            <v>GP-SQ-10</v>
          </cell>
          <cell r="B207">
            <v>0</v>
          </cell>
        </row>
        <row r="208">
          <cell r="A208" t="str">
            <v>GP-SQ-15</v>
          </cell>
          <cell r="B208">
            <v>0</v>
          </cell>
        </row>
        <row r="209">
          <cell r="A209" t="str">
            <v>GP-SQ-15-56M</v>
          </cell>
          <cell r="B209">
            <v>0</v>
          </cell>
        </row>
        <row r="210">
          <cell r="A210" t="str">
            <v>GP-SQ-18</v>
          </cell>
          <cell r="B210">
            <v>0</v>
          </cell>
        </row>
        <row r="211">
          <cell r="A211" t="str">
            <v>GP-SQ-20</v>
          </cell>
          <cell r="B211">
            <v>0</v>
          </cell>
        </row>
        <row r="212">
          <cell r="A212" t="str">
            <v>GP-SQ-22</v>
          </cell>
          <cell r="B212">
            <v>0</v>
          </cell>
        </row>
        <row r="213">
          <cell r="A213" t="str">
            <v>GP-SQ-8</v>
          </cell>
          <cell r="B213">
            <v>0</v>
          </cell>
        </row>
        <row r="214">
          <cell r="A214" t="str">
            <v>GP-TIERRA</v>
          </cell>
          <cell r="B214">
            <v>0</v>
          </cell>
        </row>
        <row r="215">
          <cell r="A215" t="str">
            <v>GP-TRIANGULO</v>
          </cell>
          <cell r="B215">
            <v>0</v>
          </cell>
        </row>
        <row r="216">
          <cell r="A216" t="str">
            <v>GRASA-M</v>
          </cell>
          <cell r="B216">
            <v>65000</v>
          </cell>
        </row>
        <row r="217">
          <cell r="A217" t="str">
            <v>Guiadepunzonbisagradepuerta. G</v>
          </cell>
          <cell r="B217">
            <v>0</v>
          </cell>
        </row>
        <row r="218">
          <cell r="A218" t="str">
            <v>H-RadiotapaSPCPEB1/2</v>
          </cell>
          <cell r="B218">
            <v>0</v>
          </cell>
        </row>
        <row r="219">
          <cell r="A219" t="str">
            <v>H-RadiotapaSPMEB1/2</v>
          </cell>
          <cell r="B219">
            <v>0</v>
          </cell>
        </row>
        <row r="220">
          <cell r="A220" t="str">
            <v>H-RapidFormRib2"</v>
          </cell>
          <cell r="B220">
            <v>0</v>
          </cell>
        </row>
        <row r="221">
          <cell r="A221" t="str">
            <v>HOMBRESOLO</v>
          </cell>
          <cell r="B221">
            <v>35000</v>
          </cell>
        </row>
        <row r="222">
          <cell r="A222" t="str">
            <v>IMANDOBLE</v>
          </cell>
          <cell r="B222">
            <v>55000</v>
          </cell>
        </row>
        <row r="223">
          <cell r="A223" t="str">
            <v>IMANSENCILLO</v>
          </cell>
          <cell r="B223">
            <v>42000</v>
          </cell>
        </row>
        <row r="224">
          <cell r="A224" t="str">
            <v>ITM115-1</v>
          </cell>
          <cell r="B224">
            <v>0</v>
          </cell>
        </row>
        <row r="225">
          <cell r="A225" t="str">
            <v>ITM115NG</v>
          </cell>
          <cell r="B225">
            <v>0</v>
          </cell>
        </row>
        <row r="226">
          <cell r="A226" t="str">
            <v>ITM120-1</v>
          </cell>
          <cell r="B226">
            <v>0</v>
          </cell>
        </row>
        <row r="227">
          <cell r="A227" t="str">
            <v>ITM120NG</v>
          </cell>
          <cell r="B227">
            <v>0</v>
          </cell>
        </row>
        <row r="228">
          <cell r="A228" t="str">
            <v>ITM130-1</v>
          </cell>
          <cell r="B228">
            <v>0</v>
          </cell>
        </row>
        <row r="229">
          <cell r="A229" t="str">
            <v>ITM130NG</v>
          </cell>
          <cell r="B229">
            <v>0</v>
          </cell>
        </row>
        <row r="230">
          <cell r="A230" t="str">
            <v>ITM140-1</v>
          </cell>
          <cell r="B230">
            <v>0</v>
          </cell>
        </row>
        <row r="231">
          <cell r="A231" t="str">
            <v>ITM140NG</v>
          </cell>
          <cell r="B231">
            <v>0</v>
          </cell>
        </row>
        <row r="232">
          <cell r="A232" t="str">
            <v>ITM150-1</v>
          </cell>
          <cell r="B232">
            <v>0</v>
          </cell>
        </row>
        <row r="233">
          <cell r="A233" t="str">
            <v>ITM150NG</v>
          </cell>
          <cell r="B233">
            <v>0</v>
          </cell>
        </row>
        <row r="234">
          <cell r="A234" t="str">
            <v>ITM160-1</v>
          </cell>
          <cell r="B234">
            <v>0</v>
          </cell>
        </row>
        <row r="235">
          <cell r="A235" t="str">
            <v>ITM160NG</v>
          </cell>
          <cell r="B235">
            <v>0</v>
          </cell>
        </row>
        <row r="236">
          <cell r="A236" t="str">
            <v>ITM215-1</v>
          </cell>
          <cell r="B236">
            <v>0</v>
          </cell>
        </row>
        <row r="237">
          <cell r="A237" t="str">
            <v>ITM215NG</v>
          </cell>
          <cell r="B237">
            <v>0</v>
          </cell>
        </row>
        <row r="238">
          <cell r="A238" t="str">
            <v>ITM220-1</v>
          </cell>
          <cell r="B238">
            <v>0</v>
          </cell>
        </row>
        <row r="239">
          <cell r="A239" t="str">
            <v>ITM220NG</v>
          </cell>
          <cell r="B239">
            <v>0</v>
          </cell>
        </row>
        <row r="240">
          <cell r="A240" t="str">
            <v>ITM230-1</v>
          </cell>
          <cell r="B240">
            <v>0</v>
          </cell>
        </row>
        <row r="241">
          <cell r="A241" t="str">
            <v>ITM230NG</v>
          </cell>
          <cell r="B241">
            <v>0</v>
          </cell>
        </row>
        <row r="242">
          <cell r="A242" t="str">
            <v>ITM240-1</v>
          </cell>
          <cell r="B242">
            <v>0</v>
          </cell>
        </row>
        <row r="243">
          <cell r="A243" t="str">
            <v>ITM240NG</v>
          </cell>
          <cell r="B243">
            <v>0</v>
          </cell>
        </row>
        <row r="244">
          <cell r="A244" t="str">
            <v>ITM250-1</v>
          </cell>
          <cell r="B244">
            <v>0</v>
          </cell>
        </row>
        <row r="245">
          <cell r="A245" t="str">
            <v>ITM250NG</v>
          </cell>
          <cell r="B245">
            <v>0</v>
          </cell>
        </row>
        <row r="246">
          <cell r="A246" t="str">
            <v>ITM260-1</v>
          </cell>
          <cell r="B246">
            <v>0</v>
          </cell>
        </row>
        <row r="247">
          <cell r="A247" t="str">
            <v>ITM260NG</v>
          </cell>
          <cell r="B247">
            <v>0</v>
          </cell>
        </row>
        <row r="248">
          <cell r="A248" t="str">
            <v>ITM315-1</v>
          </cell>
          <cell r="B248">
            <v>0</v>
          </cell>
        </row>
        <row r="249">
          <cell r="A249" t="str">
            <v>ITM315NG</v>
          </cell>
          <cell r="B249">
            <v>0</v>
          </cell>
        </row>
        <row r="250">
          <cell r="A250" t="str">
            <v>ITM320-1</v>
          </cell>
          <cell r="B250">
            <v>0</v>
          </cell>
        </row>
        <row r="251">
          <cell r="A251" t="str">
            <v>ITM320NG</v>
          </cell>
          <cell r="B251">
            <v>0</v>
          </cell>
        </row>
        <row r="252">
          <cell r="A252" t="str">
            <v>ITM330-1</v>
          </cell>
          <cell r="B252">
            <v>0</v>
          </cell>
        </row>
        <row r="253">
          <cell r="A253" t="str">
            <v>ITM330NG</v>
          </cell>
          <cell r="B253">
            <v>0</v>
          </cell>
        </row>
        <row r="254">
          <cell r="A254" t="str">
            <v>ITM340-1</v>
          </cell>
          <cell r="B254">
            <v>0</v>
          </cell>
        </row>
        <row r="255">
          <cell r="A255" t="str">
            <v>ITM340NG</v>
          </cell>
          <cell r="B255">
            <v>0</v>
          </cell>
        </row>
        <row r="256">
          <cell r="A256" t="str">
            <v>ITM350-1</v>
          </cell>
          <cell r="B256">
            <v>0</v>
          </cell>
        </row>
        <row r="257">
          <cell r="A257" t="str">
            <v>ITM350NG</v>
          </cell>
          <cell r="B257">
            <v>0</v>
          </cell>
        </row>
        <row r="258">
          <cell r="A258" t="str">
            <v>ITM360-1</v>
          </cell>
          <cell r="B258">
            <v>0</v>
          </cell>
        </row>
        <row r="259">
          <cell r="A259" t="str">
            <v>ITM360NG</v>
          </cell>
          <cell r="B259">
            <v>0</v>
          </cell>
        </row>
        <row r="260">
          <cell r="A260" t="str">
            <v>Juegotornillo4x4.</v>
          </cell>
          <cell r="B260">
            <v>0</v>
          </cell>
        </row>
        <row r="261">
          <cell r="A261" t="str">
            <v>L16</v>
          </cell>
          <cell r="B261">
            <v>3150</v>
          </cell>
        </row>
        <row r="262">
          <cell r="A262" t="str">
            <v>L18</v>
          </cell>
          <cell r="B262">
            <v>3050</v>
          </cell>
        </row>
        <row r="263">
          <cell r="A263" t="str">
            <v>L18-2x1</v>
          </cell>
          <cell r="B263">
            <v>3150</v>
          </cell>
        </row>
        <row r="264">
          <cell r="A264" t="str">
            <v>L20</v>
          </cell>
          <cell r="B264">
            <v>3050</v>
          </cell>
        </row>
        <row r="265">
          <cell r="A265" t="str">
            <v>L20-2x1</v>
          </cell>
          <cell r="B265">
            <v>3150</v>
          </cell>
        </row>
        <row r="266">
          <cell r="A266" t="str">
            <v>L22</v>
          </cell>
          <cell r="B266">
            <v>3050</v>
          </cell>
        </row>
        <row r="267">
          <cell r="A267" t="str">
            <v>L22-2X1</v>
          </cell>
          <cell r="B267">
            <v>3150</v>
          </cell>
        </row>
        <row r="268">
          <cell r="A268" t="str">
            <v>L26</v>
          </cell>
          <cell r="B268">
            <v>3150</v>
          </cell>
        </row>
        <row r="269">
          <cell r="A269" t="str">
            <v>LA1238</v>
          </cell>
          <cell r="B269">
            <v>46059</v>
          </cell>
        </row>
        <row r="270">
          <cell r="A270" t="str">
            <v>LA914</v>
          </cell>
          <cell r="B270">
            <v>43046</v>
          </cell>
        </row>
        <row r="271">
          <cell r="A271" t="str">
            <v>LACA</v>
          </cell>
          <cell r="B271">
            <v>39496</v>
          </cell>
        </row>
        <row r="272">
          <cell r="A272" t="str">
            <v>LG18</v>
          </cell>
          <cell r="B272">
            <v>4074</v>
          </cell>
        </row>
        <row r="273">
          <cell r="A273" t="str">
            <v>LG20</v>
          </cell>
          <cell r="B273">
            <v>4074</v>
          </cell>
        </row>
        <row r="274">
          <cell r="A274" t="str">
            <v>LG22</v>
          </cell>
          <cell r="B274">
            <v>4074</v>
          </cell>
        </row>
        <row r="275">
          <cell r="A275" t="str">
            <v>LG25</v>
          </cell>
          <cell r="B275">
            <v>4400</v>
          </cell>
        </row>
        <row r="276">
          <cell r="A276" t="str">
            <v>LIJA-PUL</v>
          </cell>
          <cell r="B276">
            <v>1485</v>
          </cell>
        </row>
        <row r="277">
          <cell r="A277" t="str">
            <v>LimallaAL</v>
          </cell>
          <cell r="B277">
            <v>0</v>
          </cell>
        </row>
        <row r="278">
          <cell r="A278" t="str">
            <v>LimallaCu</v>
          </cell>
          <cell r="B278">
            <v>48827</v>
          </cell>
        </row>
        <row r="279">
          <cell r="A279" t="str">
            <v>Limallalaton</v>
          </cell>
          <cell r="B279">
            <v>8000</v>
          </cell>
        </row>
        <row r="280">
          <cell r="A280" t="str">
            <v>LIMASP</v>
          </cell>
          <cell r="B280">
            <v>12500</v>
          </cell>
        </row>
        <row r="281">
          <cell r="A281" t="str">
            <v>LLAVE2</v>
          </cell>
          <cell r="B281">
            <v>1890</v>
          </cell>
        </row>
        <row r="282">
          <cell r="A282" t="str">
            <v>Llavedematriz.</v>
          </cell>
          <cell r="B282">
            <v>0</v>
          </cell>
        </row>
        <row r="283">
          <cell r="A283" t="str">
            <v>LUBRI-GRAFITO</v>
          </cell>
          <cell r="B283">
            <v>58500</v>
          </cell>
        </row>
        <row r="284">
          <cell r="A284" t="str">
            <v>LUBRI-SOLDMIG</v>
          </cell>
          <cell r="B284">
            <v>18487</v>
          </cell>
        </row>
        <row r="285">
          <cell r="A285" t="str">
            <v>LUBRI-SOLDP</v>
          </cell>
          <cell r="B285">
            <v>18487</v>
          </cell>
        </row>
        <row r="286">
          <cell r="A286" t="str">
            <v>LXX</v>
          </cell>
          <cell r="B286">
            <v>3300</v>
          </cell>
        </row>
        <row r="287">
          <cell r="A287" t="str">
            <v>MACHETE20</v>
          </cell>
          <cell r="B287">
            <v>21000</v>
          </cell>
        </row>
        <row r="288">
          <cell r="A288" t="str">
            <v>MACHUELO10/24</v>
          </cell>
          <cell r="B288">
            <v>20000</v>
          </cell>
        </row>
        <row r="289">
          <cell r="A289" t="str">
            <v>MACHUELO8/32</v>
          </cell>
          <cell r="B289">
            <v>20000</v>
          </cell>
        </row>
        <row r="290">
          <cell r="A290" t="str">
            <v>MANUAL100EX</v>
          </cell>
          <cell r="B290">
            <v>40</v>
          </cell>
        </row>
        <row r="291">
          <cell r="A291" t="str">
            <v>MANUAL125</v>
          </cell>
          <cell r="B291">
            <v>40</v>
          </cell>
        </row>
        <row r="292">
          <cell r="A292" t="str">
            <v>MANUAL125T</v>
          </cell>
          <cell r="B292">
            <v>40</v>
          </cell>
        </row>
        <row r="293">
          <cell r="A293" t="str">
            <v>MANUAL175EX</v>
          </cell>
          <cell r="B293">
            <v>40</v>
          </cell>
        </row>
        <row r="294">
          <cell r="A294" t="str">
            <v>MANUAL225</v>
          </cell>
          <cell r="B294">
            <v>40</v>
          </cell>
        </row>
        <row r="295">
          <cell r="A295" t="str">
            <v>MANUAL225T</v>
          </cell>
          <cell r="B295">
            <v>40</v>
          </cell>
        </row>
        <row r="296">
          <cell r="A296" t="str">
            <v>MANUAL75</v>
          </cell>
          <cell r="B296">
            <v>40</v>
          </cell>
        </row>
        <row r="297">
          <cell r="A297" t="str">
            <v>MANUAL95</v>
          </cell>
          <cell r="B297">
            <v>40</v>
          </cell>
        </row>
        <row r="298">
          <cell r="A298" t="str">
            <v>MANUALPUERTAPLASTICA</v>
          </cell>
          <cell r="B298">
            <v>40</v>
          </cell>
        </row>
        <row r="299">
          <cell r="A299" t="str">
            <v>MARTILLOB</v>
          </cell>
          <cell r="B299">
            <v>32500</v>
          </cell>
        </row>
        <row r="300">
          <cell r="A300" t="str">
            <v>MARTILLOG</v>
          </cell>
          <cell r="B300">
            <v>34000</v>
          </cell>
        </row>
        <row r="301">
          <cell r="A301" t="str">
            <v>Matriz Forma .</v>
          </cell>
          <cell r="B301">
            <v>0</v>
          </cell>
        </row>
        <row r="302">
          <cell r="A302" t="str">
            <v>MBBLANCO</v>
          </cell>
          <cell r="B302">
            <v>8775</v>
          </cell>
        </row>
        <row r="303">
          <cell r="A303" t="str">
            <v>MBNEGRO</v>
          </cell>
          <cell r="B303">
            <v>8010</v>
          </cell>
        </row>
        <row r="304">
          <cell r="A304" t="str">
            <v>MBVERDE</v>
          </cell>
          <cell r="B304">
            <v>17900</v>
          </cell>
        </row>
        <row r="305">
          <cell r="A305" t="str">
            <v>Muelledebobina12-25.</v>
          </cell>
          <cell r="B305">
            <v>0</v>
          </cell>
        </row>
        <row r="306">
          <cell r="A306" t="str">
            <v>Muelledebobinarojo3/8x1</v>
          </cell>
          <cell r="B306">
            <v>0</v>
          </cell>
        </row>
        <row r="307">
          <cell r="A307" t="str">
            <v>Muelledebobinarojo3/8x1.</v>
          </cell>
          <cell r="B307">
            <v>0</v>
          </cell>
        </row>
        <row r="308">
          <cell r="A308" t="str">
            <v>MuelledebobinaSWM20-25.</v>
          </cell>
          <cell r="B308">
            <v>0</v>
          </cell>
        </row>
        <row r="309">
          <cell r="A309" t="str">
            <v>MuelledebobinaSWM20-25.1</v>
          </cell>
          <cell r="B309">
            <v>0</v>
          </cell>
        </row>
        <row r="310">
          <cell r="A310" t="str">
            <v>Muelledeuretano.</v>
          </cell>
          <cell r="B310">
            <v>0</v>
          </cell>
        </row>
        <row r="311">
          <cell r="A311" t="str">
            <v>Muelledeuretano.1</v>
          </cell>
          <cell r="B311">
            <v>0</v>
          </cell>
        </row>
        <row r="312">
          <cell r="A312" t="str">
            <v>Muelledeuretano.2</v>
          </cell>
          <cell r="B312">
            <v>0</v>
          </cell>
        </row>
        <row r="313">
          <cell r="A313" t="str">
            <v>Muelledeuretano.3</v>
          </cell>
          <cell r="B313">
            <v>0</v>
          </cell>
        </row>
        <row r="314">
          <cell r="A314" t="str">
            <v>Muelledeuretano.4</v>
          </cell>
          <cell r="B314">
            <v>0</v>
          </cell>
        </row>
        <row r="315">
          <cell r="A315" t="str">
            <v>Muelledeuretano12x25mm.</v>
          </cell>
          <cell r="B315">
            <v>0</v>
          </cell>
        </row>
        <row r="316">
          <cell r="A316" t="str">
            <v>Muelledeuretano15-26.</v>
          </cell>
          <cell r="B316">
            <v>0</v>
          </cell>
        </row>
        <row r="317">
          <cell r="A317" t="str">
            <v>Muelledeuretano15x20.</v>
          </cell>
          <cell r="B317">
            <v>0</v>
          </cell>
        </row>
        <row r="318">
          <cell r="A318" t="str">
            <v>Muelledeuretano15x20.1</v>
          </cell>
          <cell r="B318">
            <v>0</v>
          </cell>
        </row>
        <row r="319">
          <cell r="A319" t="str">
            <v>Muelledeuretano15x25.</v>
          </cell>
          <cell r="B319">
            <v>0</v>
          </cell>
        </row>
        <row r="320">
          <cell r="A320" t="str">
            <v>Muelledeuretano15x26L.</v>
          </cell>
          <cell r="B320">
            <v>0</v>
          </cell>
        </row>
        <row r="321">
          <cell r="A321" t="str">
            <v>Muelledeuretano50x14x50mm.</v>
          </cell>
          <cell r="B321">
            <v>0</v>
          </cell>
        </row>
        <row r="322">
          <cell r="A322" t="str">
            <v>Muelledeuretano50x14x50mm.1</v>
          </cell>
          <cell r="B322">
            <v>0</v>
          </cell>
        </row>
        <row r="323">
          <cell r="A323" t="str">
            <v>NEUTRO12ALET</v>
          </cell>
          <cell r="B323">
            <v>1698</v>
          </cell>
        </row>
        <row r="324">
          <cell r="A324" t="str">
            <v>NEUTRO12RALET</v>
          </cell>
          <cell r="B324">
            <v>3190</v>
          </cell>
        </row>
        <row r="325">
          <cell r="A325" t="str">
            <v>NEUTRO12RT</v>
          </cell>
          <cell r="B325">
            <v>5520</v>
          </cell>
        </row>
        <row r="326">
          <cell r="A326" t="str">
            <v>NEUTRO12T</v>
          </cell>
          <cell r="B326">
            <v>2106</v>
          </cell>
        </row>
        <row r="327">
          <cell r="A327" t="str">
            <v>NEUTRO18ALET</v>
          </cell>
          <cell r="B327">
            <v>2342</v>
          </cell>
        </row>
        <row r="328">
          <cell r="A328" t="str">
            <v>NEUTRO18RALET</v>
          </cell>
          <cell r="B328">
            <v>4402</v>
          </cell>
        </row>
        <row r="329">
          <cell r="A329" t="str">
            <v>NEUTRO18RT</v>
          </cell>
          <cell r="B329">
            <v>7233</v>
          </cell>
        </row>
        <row r="330">
          <cell r="A330" t="str">
            <v>NEUTRO18T</v>
          </cell>
          <cell r="B330">
            <v>3087</v>
          </cell>
        </row>
        <row r="331">
          <cell r="A331" t="str">
            <v>NEUTRO24RALET</v>
          </cell>
          <cell r="B331">
            <v>5391</v>
          </cell>
        </row>
        <row r="332">
          <cell r="A332" t="str">
            <v>NEUTRO24RT</v>
          </cell>
          <cell r="B332">
            <v>9030</v>
          </cell>
        </row>
        <row r="333">
          <cell r="A333" t="str">
            <v>NEUTRO2ALET</v>
          </cell>
          <cell r="B333">
            <v>477</v>
          </cell>
        </row>
        <row r="334">
          <cell r="A334" t="str">
            <v>NEUTRO2T</v>
          </cell>
          <cell r="B334">
            <v>695</v>
          </cell>
        </row>
        <row r="335">
          <cell r="A335" t="str">
            <v>NEUTRO30RT</v>
          </cell>
          <cell r="B335">
            <v>11096</v>
          </cell>
        </row>
        <row r="336">
          <cell r="A336" t="str">
            <v>NEUTRO36RALET</v>
          </cell>
          <cell r="B336">
            <v>7592</v>
          </cell>
        </row>
        <row r="337">
          <cell r="A337" t="str">
            <v>NEUTRO36RT</v>
          </cell>
          <cell r="B337">
            <v>12803</v>
          </cell>
        </row>
        <row r="338">
          <cell r="A338" t="str">
            <v>NEUTRO42RT</v>
          </cell>
          <cell r="B338">
            <v>14780</v>
          </cell>
        </row>
        <row r="339">
          <cell r="A339" t="str">
            <v>NEUTRO4ALET</v>
          </cell>
          <cell r="B339">
            <v>676</v>
          </cell>
        </row>
        <row r="340">
          <cell r="A340" t="str">
            <v>NEUTRO4T</v>
          </cell>
          <cell r="B340">
            <v>885</v>
          </cell>
        </row>
        <row r="341">
          <cell r="A341" t="str">
            <v>NEUTRO6ALET</v>
          </cell>
          <cell r="B341">
            <v>892</v>
          </cell>
        </row>
        <row r="342">
          <cell r="A342" t="str">
            <v>NEUTRO6T</v>
          </cell>
          <cell r="B342">
            <v>1153</v>
          </cell>
        </row>
        <row r="343">
          <cell r="A343" t="str">
            <v>NEUTRO8ALET</v>
          </cell>
          <cell r="B343">
            <v>1185</v>
          </cell>
        </row>
        <row r="344">
          <cell r="A344" t="str">
            <v>NEUTRO8T</v>
          </cell>
          <cell r="B344">
            <v>1516</v>
          </cell>
        </row>
        <row r="345">
          <cell r="A345" t="str">
            <v>ON-OFF SP CPEB .</v>
          </cell>
          <cell r="B345">
            <v>0</v>
          </cell>
        </row>
        <row r="346">
          <cell r="A346" t="str">
            <v>ON-OFF SP MEB .</v>
          </cell>
          <cell r="B346">
            <v>0</v>
          </cell>
        </row>
        <row r="347">
          <cell r="A347" t="str">
            <v>OV-OVALADO 12X2-MA</v>
          </cell>
          <cell r="B347">
            <v>0</v>
          </cell>
        </row>
        <row r="348">
          <cell r="A348" t="str">
            <v>OV-OVALADO 12X2-PU</v>
          </cell>
          <cell r="B348">
            <v>0</v>
          </cell>
        </row>
        <row r="349">
          <cell r="A349" t="str">
            <v>OV-OVALADO 50X20-PU</v>
          </cell>
          <cell r="B349">
            <v>0</v>
          </cell>
        </row>
        <row r="350">
          <cell r="A350" t="str">
            <v>OV-OVALADO 5X20-MA</v>
          </cell>
          <cell r="B350">
            <v>0</v>
          </cell>
        </row>
        <row r="351">
          <cell r="A351" t="str">
            <v>PA112</v>
          </cell>
          <cell r="B351">
            <v>1553</v>
          </cell>
        </row>
        <row r="352">
          <cell r="A352" t="str">
            <v>PAPEL PESCADO</v>
          </cell>
          <cell r="B352">
            <v>1098300</v>
          </cell>
        </row>
        <row r="353">
          <cell r="A353" t="str">
            <v>PAPEL SIN IMPRESION</v>
          </cell>
          <cell r="B353">
            <v>0</v>
          </cell>
        </row>
        <row r="354">
          <cell r="A354" t="str">
            <v>Pasadordeclavija.</v>
          </cell>
          <cell r="B354">
            <v>0</v>
          </cell>
        </row>
        <row r="355">
          <cell r="A355" t="str">
            <v>Pasadordeclavija.1</v>
          </cell>
          <cell r="B355">
            <v>0</v>
          </cell>
        </row>
        <row r="356">
          <cell r="A356" t="str">
            <v>Pasadordeclavija.2</v>
          </cell>
          <cell r="B356">
            <v>0</v>
          </cell>
        </row>
        <row r="357">
          <cell r="A357" t="str">
            <v>Pasadordeclavija.3</v>
          </cell>
          <cell r="B357">
            <v>0</v>
          </cell>
        </row>
        <row r="358">
          <cell r="A358" t="str">
            <v>Pasadordeclavija.4</v>
          </cell>
          <cell r="B358">
            <v>0</v>
          </cell>
        </row>
        <row r="359">
          <cell r="A359" t="str">
            <v>Pasadordeclavija.5</v>
          </cell>
          <cell r="B359">
            <v>0</v>
          </cell>
        </row>
        <row r="360">
          <cell r="A360" t="str">
            <v>Pasadordeclavija.6</v>
          </cell>
          <cell r="B360">
            <v>0</v>
          </cell>
        </row>
        <row r="361">
          <cell r="A361" t="str">
            <v>Pasadordeclavija1/4x1/2L.</v>
          </cell>
          <cell r="B361">
            <v>0</v>
          </cell>
        </row>
        <row r="362">
          <cell r="A362" t="str">
            <v>Pasadordeclavija3/16x3/8.</v>
          </cell>
          <cell r="B362">
            <v>0</v>
          </cell>
        </row>
        <row r="363">
          <cell r="A363" t="str">
            <v>PASIV</v>
          </cell>
          <cell r="B363">
            <v>7944</v>
          </cell>
        </row>
        <row r="364">
          <cell r="A364" t="str">
            <v>PC-BOTELLON</v>
          </cell>
          <cell r="B364">
            <v>19000</v>
          </cell>
        </row>
        <row r="365">
          <cell r="A365" t="str">
            <v>PC-ORIGINAL</v>
          </cell>
          <cell r="B365">
            <v>9800</v>
          </cell>
        </row>
        <row r="366">
          <cell r="A366" t="str">
            <v>PEINE1F-CU</v>
          </cell>
          <cell r="B366">
            <v>28380</v>
          </cell>
        </row>
        <row r="367">
          <cell r="A367" t="str">
            <v>PEINE2F-CU</v>
          </cell>
          <cell r="B367">
            <v>50820</v>
          </cell>
        </row>
        <row r="368">
          <cell r="A368" t="str">
            <v>PEINE3F-CU</v>
          </cell>
          <cell r="B368">
            <v>66550</v>
          </cell>
        </row>
        <row r="369">
          <cell r="A369" t="str">
            <v>PERIODICO</v>
          </cell>
          <cell r="B369">
            <v>5233</v>
          </cell>
        </row>
        <row r="370">
          <cell r="A370" t="str">
            <v>Pernoajustablecabeza.</v>
          </cell>
          <cell r="B370">
            <v>0</v>
          </cell>
        </row>
        <row r="371">
          <cell r="A371" t="str">
            <v>Pernodeexpulsion.</v>
          </cell>
          <cell r="B371">
            <v>0</v>
          </cell>
        </row>
        <row r="372">
          <cell r="A372" t="str">
            <v>Pernodeexpulsion.1</v>
          </cell>
          <cell r="B372">
            <v>0</v>
          </cell>
        </row>
        <row r="373">
          <cell r="A373" t="str">
            <v>Pernodeexpulsion.2</v>
          </cell>
          <cell r="B373">
            <v>0</v>
          </cell>
        </row>
        <row r="374">
          <cell r="A374" t="str">
            <v>Pernodeexpulsion.3</v>
          </cell>
          <cell r="B374">
            <v>0</v>
          </cell>
        </row>
        <row r="375">
          <cell r="A375" t="str">
            <v>Pernodeexpulsion.4</v>
          </cell>
          <cell r="B375">
            <v>0</v>
          </cell>
        </row>
        <row r="376">
          <cell r="A376" t="str">
            <v>Pernodeexpulsion.5</v>
          </cell>
          <cell r="B376">
            <v>0</v>
          </cell>
        </row>
        <row r="377">
          <cell r="A377" t="str">
            <v>Pernodehombro1/4x3/8.</v>
          </cell>
          <cell r="B377">
            <v>0</v>
          </cell>
        </row>
        <row r="378">
          <cell r="A378" t="str">
            <v>Pernodehombro1/4x3/8.1</v>
          </cell>
          <cell r="B378">
            <v>0</v>
          </cell>
        </row>
        <row r="379">
          <cell r="A379" t="str">
            <v>Pernodehombro1/4Xx3/8.</v>
          </cell>
          <cell r="B379">
            <v>0</v>
          </cell>
        </row>
        <row r="380">
          <cell r="A380" t="str">
            <v>Pernodehombro6x12.</v>
          </cell>
          <cell r="B380">
            <v>0</v>
          </cell>
        </row>
        <row r="381">
          <cell r="A381" t="str">
            <v>PI-CORTE BISAGRA</v>
          </cell>
          <cell r="B381">
            <v>0</v>
          </cell>
        </row>
        <row r="382">
          <cell r="A382" t="str">
            <v>PI-KO RECTANGULAR</v>
          </cell>
          <cell r="B382">
            <v>0</v>
          </cell>
        </row>
        <row r="383">
          <cell r="A383" t="str">
            <v>PI-KOC</v>
          </cell>
          <cell r="B383">
            <v>0</v>
          </cell>
        </row>
        <row r="384">
          <cell r="A384" t="str">
            <v>PI-KOD</v>
          </cell>
          <cell r="B384">
            <v>0</v>
          </cell>
        </row>
        <row r="385">
          <cell r="A385" t="str">
            <v>PI-KOE</v>
          </cell>
          <cell r="B385">
            <v>0</v>
          </cell>
        </row>
        <row r="386">
          <cell r="A386" t="str">
            <v>PI-LEVINTON</v>
          </cell>
          <cell r="B386">
            <v>0</v>
          </cell>
        </row>
        <row r="387">
          <cell r="A387" t="str">
            <v>PI-RD-35</v>
          </cell>
          <cell r="B387">
            <v>0</v>
          </cell>
        </row>
        <row r="388">
          <cell r="A388" t="str">
            <v>PI-RD-58</v>
          </cell>
          <cell r="B388">
            <v>0</v>
          </cell>
        </row>
        <row r="389">
          <cell r="A389" t="str">
            <v>PI-RE-21-85X24M</v>
          </cell>
          <cell r="B389">
            <v>0</v>
          </cell>
        </row>
        <row r="390">
          <cell r="A390" t="str">
            <v>PI-RE-40X5</v>
          </cell>
          <cell r="B390">
            <v>0</v>
          </cell>
        </row>
        <row r="391">
          <cell r="A391" t="str">
            <v>PI-RE-50X2</v>
          </cell>
          <cell r="B391">
            <v>0</v>
          </cell>
        </row>
        <row r="392">
          <cell r="A392" t="str">
            <v>PI-REFUEZO BISAGRA</v>
          </cell>
          <cell r="B392">
            <v>0</v>
          </cell>
        </row>
        <row r="393">
          <cell r="A393" t="str">
            <v>PI-SQ-25</v>
          </cell>
          <cell r="B393">
            <v>0</v>
          </cell>
        </row>
        <row r="394">
          <cell r="A394" t="str">
            <v>PI-TRIANGULO TE</v>
          </cell>
          <cell r="B394">
            <v>0</v>
          </cell>
        </row>
        <row r="395">
          <cell r="A395" t="str">
            <v>PigmentoNH</v>
          </cell>
          <cell r="B395">
            <v>21726</v>
          </cell>
        </row>
        <row r="396">
          <cell r="A396" t="str">
            <v>PINCEL</v>
          </cell>
          <cell r="B396">
            <v>2000</v>
          </cell>
        </row>
        <row r="397">
          <cell r="A397" t="str">
            <v>Pindeexpulsion.</v>
          </cell>
          <cell r="B397">
            <v>0</v>
          </cell>
        </row>
        <row r="398">
          <cell r="A398" t="str">
            <v>Pineyector.</v>
          </cell>
          <cell r="B398">
            <v>0</v>
          </cell>
        </row>
        <row r="399">
          <cell r="A399" t="str">
            <v>Pineyectordematriz.</v>
          </cell>
          <cell r="B399">
            <v>0</v>
          </cell>
        </row>
        <row r="400">
          <cell r="A400" t="str">
            <v>Pineyectordematriz.1</v>
          </cell>
          <cell r="B400">
            <v>0</v>
          </cell>
        </row>
        <row r="401">
          <cell r="A401" t="str">
            <v>Pineyectordematriz.2</v>
          </cell>
          <cell r="B401">
            <v>0</v>
          </cell>
        </row>
        <row r="402">
          <cell r="A402" t="str">
            <v>Pineyectordematriz.3</v>
          </cell>
          <cell r="B402">
            <v>0</v>
          </cell>
        </row>
        <row r="403">
          <cell r="A403" t="str">
            <v>Pineyectordematriz.4</v>
          </cell>
          <cell r="B403">
            <v>0</v>
          </cell>
        </row>
        <row r="404">
          <cell r="A404" t="str">
            <v>Pineyectordematriz.5</v>
          </cell>
          <cell r="B404">
            <v>0</v>
          </cell>
        </row>
        <row r="405">
          <cell r="A405" t="str">
            <v>Pineyectordematriz.6</v>
          </cell>
          <cell r="B405">
            <v>0</v>
          </cell>
        </row>
        <row r="406">
          <cell r="A406" t="str">
            <v>Pineyectordepunzon.</v>
          </cell>
          <cell r="B406">
            <v>0</v>
          </cell>
        </row>
        <row r="407">
          <cell r="A407" t="str">
            <v>Pineyectordepunzon.1</v>
          </cell>
          <cell r="B407">
            <v>0</v>
          </cell>
        </row>
        <row r="408">
          <cell r="A408" t="str">
            <v>Pineyectordepunzon.3</v>
          </cell>
          <cell r="B408">
            <v>0</v>
          </cell>
        </row>
        <row r="409">
          <cell r="A409" t="str">
            <v>PINZAPUNTALARG</v>
          </cell>
          <cell r="B409">
            <v>43000</v>
          </cell>
        </row>
        <row r="410">
          <cell r="A410" t="str">
            <v>PINZATAPAS</v>
          </cell>
          <cell r="B410">
            <v>31900</v>
          </cell>
        </row>
        <row r="411">
          <cell r="A411" t="str">
            <v>PIVO</v>
          </cell>
          <cell r="B411">
            <v>950</v>
          </cell>
        </row>
        <row r="412">
          <cell r="A412" t="str">
            <v>Placadeperforacion.</v>
          </cell>
          <cell r="B412">
            <v>0</v>
          </cell>
        </row>
        <row r="413">
          <cell r="A413" t="str">
            <v>Placaderespaldo.</v>
          </cell>
          <cell r="B413">
            <v>0</v>
          </cell>
        </row>
        <row r="414">
          <cell r="A414" t="str">
            <v>Placaderespaldo.1</v>
          </cell>
          <cell r="B414">
            <v>0</v>
          </cell>
        </row>
        <row r="415">
          <cell r="A415" t="str">
            <v>Placaderespaldo.2</v>
          </cell>
          <cell r="B415">
            <v>0</v>
          </cell>
        </row>
        <row r="416">
          <cell r="A416" t="str">
            <v>Placaderespaldo.3</v>
          </cell>
          <cell r="B416">
            <v>0</v>
          </cell>
        </row>
        <row r="417">
          <cell r="A417" t="str">
            <v>Placaderespaldo.4</v>
          </cell>
          <cell r="B417">
            <v>0</v>
          </cell>
        </row>
        <row r="418">
          <cell r="A418" t="str">
            <v>Placaderespaldo.5</v>
          </cell>
          <cell r="B418">
            <v>0</v>
          </cell>
        </row>
        <row r="419">
          <cell r="A419" t="str">
            <v>Placaderespaldo.6</v>
          </cell>
          <cell r="B419">
            <v>0</v>
          </cell>
        </row>
        <row r="420">
          <cell r="A420" t="str">
            <v>Placaderespaldo.7</v>
          </cell>
          <cell r="B420">
            <v>0</v>
          </cell>
        </row>
        <row r="421">
          <cell r="A421" t="str">
            <v>Placaeyector.</v>
          </cell>
          <cell r="B421">
            <v>0</v>
          </cell>
        </row>
        <row r="422">
          <cell r="A422" t="str">
            <v>Placaeyector.1</v>
          </cell>
          <cell r="B422">
            <v>0</v>
          </cell>
        </row>
        <row r="423">
          <cell r="A423" t="str">
            <v>PlacaeyectoratipoA.</v>
          </cell>
          <cell r="B423">
            <v>0</v>
          </cell>
        </row>
        <row r="424">
          <cell r="A424" t="str">
            <v>PlacaeyectoratipoB.</v>
          </cell>
          <cell r="B424">
            <v>0</v>
          </cell>
        </row>
        <row r="425">
          <cell r="A425" t="str">
            <v>PlacaeyectoratipoJ.</v>
          </cell>
          <cell r="B425">
            <v>0</v>
          </cell>
        </row>
        <row r="426">
          <cell r="A426" t="str">
            <v>PlacaeyectortipoB.</v>
          </cell>
          <cell r="B426">
            <v>0</v>
          </cell>
        </row>
        <row r="427">
          <cell r="A427" t="str">
            <v>PlacaeyectortipoD.</v>
          </cell>
          <cell r="B427">
            <v>0</v>
          </cell>
        </row>
        <row r="428">
          <cell r="A428" t="str">
            <v>PlacaeyectortipoJ.</v>
          </cell>
          <cell r="B428">
            <v>0</v>
          </cell>
        </row>
        <row r="429">
          <cell r="A429" t="str">
            <v>PlacaeyectortipoJ.1</v>
          </cell>
          <cell r="B429">
            <v>0</v>
          </cell>
        </row>
        <row r="430">
          <cell r="A430" t="str">
            <v>POLICARBONATO</v>
          </cell>
          <cell r="B430">
            <v>19000</v>
          </cell>
        </row>
        <row r="431">
          <cell r="A431" t="str">
            <v>POLIETILENO AD</v>
          </cell>
          <cell r="B431">
            <v>0</v>
          </cell>
        </row>
        <row r="432">
          <cell r="A432" t="str">
            <v>Portapunzonesconforma.</v>
          </cell>
          <cell r="B432">
            <v>0</v>
          </cell>
        </row>
        <row r="433">
          <cell r="A433" t="str">
            <v>PortapunzonestipoII.</v>
          </cell>
          <cell r="B433">
            <v>0</v>
          </cell>
        </row>
        <row r="434">
          <cell r="A434" t="str">
            <v>PP</v>
          </cell>
          <cell r="B434">
            <v>4150</v>
          </cell>
        </row>
        <row r="435">
          <cell r="A435" t="str">
            <v>PP-GRIS</v>
          </cell>
          <cell r="B435">
            <v>4350</v>
          </cell>
        </row>
        <row r="436">
          <cell r="A436" t="str">
            <v>PP-NEGRO</v>
          </cell>
          <cell r="B436">
            <v>4300</v>
          </cell>
        </row>
        <row r="437">
          <cell r="A437" t="str">
            <v>PP-ORIGINAL</v>
          </cell>
          <cell r="B437">
            <v>0</v>
          </cell>
        </row>
        <row r="438">
          <cell r="A438" t="str">
            <v>PP-VERDE</v>
          </cell>
          <cell r="B438">
            <v>4350</v>
          </cell>
        </row>
        <row r="439">
          <cell r="A439" t="str">
            <v>PPOLVO1</v>
          </cell>
          <cell r="B439">
            <v>19320</v>
          </cell>
        </row>
        <row r="440">
          <cell r="A440" t="str">
            <v>PPOLVO2</v>
          </cell>
          <cell r="B440">
            <v>10050</v>
          </cell>
        </row>
        <row r="441">
          <cell r="A441" t="str">
            <v>PPOLVO3</v>
          </cell>
          <cell r="B441">
            <v>21511</v>
          </cell>
        </row>
        <row r="442">
          <cell r="A442" t="str">
            <v>PUNTAESTRELLA</v>
          </cell>
          <cell r="B442">
            <v>1800</v>
          </cell>
        </row>
        <row r="443">
          <cell r="A443" t="str">
            <v>PUNTAPALA</v>
          </cell>
          <cell r="B443">
            <v>3500</v>
          </cell>
        </row>
        <row r="444">
          <cell r="A444" t="str">
            <v>PURGA</v>
          </cell>
          <cell r="B444">
            <v>15225</v>
          </cell>
        </row>
        <row r="445">
          <cell r="A445" t="str">
            <v>RA1817</v>
          </cell>
          <cell r="B445">
            <v>41.56</v>
          </cell>
        </row>
        <row r="446">
          <cell r="A446" t="str">
            <v>RA45</v>
          </cell>
          <cell r="B446">
            <v>23.14</v>
          </cell>
        </row>
        <row r="447">
          <cell r="A447" t="str">
            <v>RD-12-MA</v>
          </cell>
          <cell r="B447">
            <v>0</v>
          </cell>
        </row>
        <row r="448">
          <cell r="A448" t="str">
            <v>RD-12-PU</v>
          </cell>
          <cell r="B448">
            <v>0</v>
          </cell>
        </row>
        <row r="449">
          <cell r="A449" t="str">
            <v>RD-2-5M-MA</v>
          </cell>
          <cell r="B449">
            <v>0</v>
          </cell>
        </row>
        <row r="450">
          <cell r="A450" t="str">
            <v>RD-2-5M-PU</v>
          </cell>
          <cell r="B450">
            <v>0</v>
          </cell>
        </row>
        <row r="451">
          <cell r="A451" t="str">
            <v>RD-20-MA</v>
          </cell>
          <cell r="B451">
            <v>0</v>
          </cell>
        </row>
        <row r="452">
          <cell r="A452" t="str">
            <v>RD-20-PU</v>
          </cell>
          <cell r="B452">
            <v>0</v>
          </cell>
        </row>
        <row r="453">
          <cell r="A453" t="str">
            <v>RD-3-4M-MA</v>
          </cell>
          <cell r="B453">
            <v>0</v>
          </cell>
        </row>
        <row r="454">
          <cell r="A454" t="str">
            <v>RD-3-4M-PU</v>
          </cell>
          <cell r="B454">
            <v>0</v>
          </cell>
        </row>
        <row r="455">
          <cell r="A455" t="str">
            <v>RD-35-MA</v>
          </cell>
          <cell r="B455">
            <v>0</v>
          </cell>
        </row>
        <row r="456">
          <cell r="A456" t="str">
            <v>RD-35-PU</v>
          </cell>
          <cell r="B456">
            <v>0</v>
          </cell>
        </row>
        <row r="457">
          <cell r="A457" t="str">
            <v>RD-4-3M-MA</v>
          </cell>
          <cell r="B457">
            <v>0</v>
          </cell>
        </row>
        <row r="458">
          <cell r="A458" t="str">
            <v>RD-4-3M-PU</v>
          </cell>
          <cell r="B458">
            <v>0</v>
          </cell>
        </row>
        <row r="459">
          <cell r="A459" t="str">
            <v>RD-5-MA</v>
          </cell>
          <cell r="B459">
            <v>0</v>
          </cell>
        </row>
        <row r="460">
          <cell r="A460" t="str">
            <v>RD-5-PU</v>
          </cell>
          <cell r="B460">
            <v>0</v>
          </cell>
        </row>
        <row r="461">
          <cell r="A461" t="str">
            <v>RD-58-MA</v>
          </cell>
          <cell r="B461">
            <v>0</v>
          </cell>
        </row>
        <row r="462">
          <cell r="A462" t="str">
            <v>RD-58-PU</v>
          </cell>
          <cell r="B462">
            <v>0</v>
          </cell>
        </row>
        <row r="463">
          <cell r="A463" t="str">
            <v>RD-7-MA</v>
          </cell>
          <cell r="B463">
            <v>0</v>
          </cell>
        </row>
        <row r="464">
          <cell r="A464" t="str">
            <v>RD-7-PU</v>
          </cell>
          <cell r="B464">
            <v>0</v>
          </cell>
        </row>
        <row r="465">
          <cell r="A465" t="str">
            <v>RD-8-MA</v>
          </cell>
          <cell r="B465">
            <v>0</v>
          </cell>
        </row>
        <row r="466">
          <cell r="A466" t="str">
            <v>RD-8-PU</v>
          </cell>
          <cell r="B466">
            <v>0</v>
          </cell>
        </row>
        <row r="467">
          <cell r="A467" t="str">
            <v>RD-9-MA</v>
          </cell>
          <cell r="B467">
            <v>0</v>
          </cell>
        </row>
        <row r="468">
          <cell r="A468" t="str">
            <v>RD-9-PU</v>
          </cell>
          <cell r="B468">
            <v>0</v>
          </cell>
        </row>
        <row r="469">
          <cell r="A469" t="str">
            <v>RE-12X3-5M-MA</v>
          </cell>
          <cell r="B469">
            <v>0</v>
          </cell>
        </row>
        <row r="470">
          <cell r="A470" t="str">
            <v>RE-17-3X5M-MA</v>
          </cell>
          <cell r="B470">
            <v>0</v>
          </cell>
        </row>
        <row r="471">
          <cell r="A471" t="str">
            <v>RE-20-3X2M-MA</v>
          </cell>
          <cell r="B471">
            <v>0</v>
          </cell>
        </row>
        <row r="472">
          <cell r="A472" t="str">
            <v>RE-20X10-MA</v>
          </cell>
          <cell r="B472">
            <v>0</v>
          </cell>
        </row>
        <row r="473">
          <cell r="A473" t="str">
            <v>RE-21-85X24-4M CLR 0-150-MA</v>
          </cell>
          <cell r="B473">
            <v>0</v>
          </cell>
        </row>
        <row r="474">
          <cell r="A474" t="str">
            <v>RE-21-85X24-4M CLR 0-200-MA</v>
          </cell>
          <cell r="B474">
            <v>0</v>
          </cell>
        </row>
        <row r="475">
          <cell r="A475" t="str">
            <v>RE-21-85X24-4M-PU</v>
          </cell>
          <cell r="B475">
            <v>0</v>
          </cell>
        </row>
        <row r="476">
          <cell r="A476" t="str">
            <v>RE-27X10-MA</v>
          </cell>
          <cell r="B476">
            <v>0</v>
          </cell>
        </row>
        <row r="477">
          <cell r="A477" t="str">
            <v>RE-30X2 CLR 0-150-MA</v>
          </cell>
          <cell r="B477">
            <v>0</v>
          </cell>
        </row>
        <row r="478">
          <cell r="A478" t="str">
            <v>RE-30X2 CLR 0-200-MA</v>
          </cell>
          <cell r="B478">
            <v>0</v>
          </cell>
        </row>
        <row r="479">
          <cell r="A479" t="str">
            <v>RE-30X2-PU</v>
          </cell>
          <cell r="B479">
            <v>0</v>
          </cell>
        </row>
        <row r="480">
          <cell r="A480" t="str">
            <v>RE-40X5-MA</v>
          </cell>
          <cell r="B480">
            <v>0</v>
          </cell>
        </row>
        <row r="481">
          <cell r="A481" t="str">
            <v>RE-40X5-PU</v>
          </cell>
          <cell r="B481">
            <v>0</v>
          </cell>
        </row>
        <row r="482">
          <cell r="A482" t="str">
            <v>RE-50X2 CLR 0-150-MA</v>
          </cell>
          <cell r="B482">
            <v>0</v>
          </cell>
        </row>
        <row r="483">
          <cell r="A483" t="str">
            <v>RE-50X2 CLR 0-200-MA</v>
          </cell>
          <cell r="B483">
            <v>0</v>
          </cell>
        </row>
        <row r="484">
          <cell r="A484" t="str">
            <v>RE-50X2-PU</v>
          </cell>
          <cell r="B484">
            <v>0</v>
          </cell>
        </row>
        <row r="485">
          <cell r="A485" t="str">
            <v>RE-7-5X4-3M-MA</v>
          </cell>
          <cell r="B485">
            <v>0</v>
          </cell>
        </row>
        <row r="486">
          <cell r="A486" t="str">
            <v>RE-7-5X4-3M-PU</v>
          </cell>
          <cell r="B486">
            <v>0</v>
          </cell>
        </row>
        <row r="487">
          <cell r="A487" t="str">
            <v>Reborde.</v>
          </cell>
          <cell r="B487">
            <v>0</v>
          </cell>
        </row>
        <row r="488">
          <cell r="A488" t="str">
            <v>RECIPIENTE DE RETOQUE</v>
          </cell>
          <cell r="B488">
            <v>512.61</v>
          </cell>
        </row>
        <row r="489">
          <cell r="A489" t="str">
            <v>Rectangulo 12x3.5mm RE CPEA</v>
          </cell>
          <cell r="B489">
            <v>0</v>
          </cell>
        </row>
        <row r="490">
          <cell r="A490" t="str">
            <v>Rectangulo 17.3x5mm RE CPEB</v>
          </cell>
          <cell r="B490">
            <v>0</v>
          </cell>
        </row>
        <row r="491">
          <cell r="A491" t="str">
            <v>Rectangulo 20.3x2mm RE CPEB</v>
          </cell>
          <cell r="B491">
            <v>0</v>
          </cell>
        </row>
        <row r="492">
          <cell r="A492" t="str">
            <v>Rectangulo 20x10mm RE CPEB</v>
          </cell>
          <cell r="B492">
            <v>0</v>
          </cell>
        </row>
        <row r="493">
          <cell r="A493" t="str">
            <v>Rectangulo 27x10mm RE CPEB</v>
          </cell>
          <cell r="B493">
            <v>0</v>
          </cell>
        </row>
        <row r="494">
          <cell r="A494" t="str">
            <v>Redondo3.4mm RD CLR 0.150 v2</v>
          </cell>
          <cell r="B494">
            <v>0</v>
          </cell>
        </row>
        <row r="495">
          <cell r="A495" t="str">
            <v>REMACHADOR18</v>
          </cell>
          <cell r="B495">
            <v>52500</v>
          </cell>
        </row>
        <row r="496">
          <cell r="A496" t="str">
            <v>REMACHADOR532</v>
          </cell>
          <cell r="B496">
            <v>52500</v>
          </cell>
        </row>
        <row r="497">
          <cell r="A497" t="str">
            <v>REMOVEDOR</v>
          </cell>
          <cell r="B497">
            <v>12623</v>
          </cell>
        </row>
        <row r="498">
          <cell r="A498" t="str">
            <v>REMOVEDOR DX 480</v>
          </cell>
          <cell r="B498">
            <v>16834</v>
          </cell>
        </row>
        <row r="499">
          <cell r="A499" t="str">
            <v>RESORTE-N</v>
          </cell>
          <cell r="B499">
            <v>30</v>
          </cell>
        </row>
        <row r="500">
          <cell r="A500" t="str">
            <v>Resortedebobina.</v>
          </cell>
          <cell r="B500">
            <v>0</v>
          </cell>
        </row>
        <row r="501">
          <cell r="A501" t="str">
            <v>Resortedebobina.1</v>
          </cell>
          <cell r="B501">
            <v>0</v>
          </cell>
        </row>
        <row r="502">
          <cell r="A502" t="str">
            <v>Resortedebobina.2</v>
          </cell>
          <cell r="B502">
            <v>0</v>
          </cell>
        </row>
        <row r="503">
          <cell r="A503" t="str">
            <v>Resortedebobina.3</v>
          </cell>
          <cell r="B503">
            <v>0</v>
          </cell>
        </row>
        <row r="504">
          <cell r="A504" t="str">
            <v>Resortedebobina35-40.</v>
          </cell>
          <cell r="B504">
            <v>0</v>
          </cell>
        </row>
        <row r="505">
          <cell r="A505" t="str">
            <v>Resortedebobinarojo M 3/8x1.</v>
          </cell>
          <cell r="B505">
            <v>0</v>
          </cell>
        </row>
        <row r="506">
          <cell r="A506" t="str">
            <v>RETALAL</v>
          </cell>
          <cell r="B506">
            <v>0</v>
          </cell>
        </row>
        <row r="507">
          <cell r="A507" t="str">
            <v>RETALCU</v>
          </cell>
          <cell r="B507">
            <v>24000</v>
          </cell>
        </row>
        <row r="508">
          <cell r="A508" t="str">
            <v>RETALLA1238</v>
          </cell>
          <cell r="B508">
            <v>32500</v>
          </cell>
        </row>
        <row r="509">
          <cell r="A509" t="str">
            <v>RETALLA914</v>
          </cell>
          <cell r="B509">
            <v>32500</v>
          </cell>
        </row>
        <row r="510">
          <cell r="A510" t="str">
            <v>RIPIOCU</v>
          </cell>
          <cell r="B510">
            <v>0</v>
          </cell>
        </row>
        <row r="511">
          <cell r="A511" t="str">
            <v>RO</v>
          </cell>
          <cell r="B511">
            <v>7370</v>
          </cell>
        </row>
        <row r="512">
          <cell r="A512" t="str">
            <v>SILICONA</v>
          </cell>
          <cell r="B512">
            <v>10115</v>
          </cell>
        </row>
        <row r="513">
          <cell r="A513" t="str">
            <v>Soportedepunzon.</v>
          </cell>
          <cell r="B513">
            <v>0</v>
          </cell>
        </row>
        <row r="514">
          <cell r="A514" t="str">
            <v>Soportedepunzon.1</v>
          </cell>
          <cell r="B514">
            <v>0</v>
          </cell>
        </row>
        <row r="515">
          <cell r="A515" t="str">
            <v>Soportedepunzon.2</v>
          </cell>
          <cell r="B515">
            <v>0</v>
          </cell>
        </row>
        <row r="516">
          <cell r="A516" t="str">
            <v>Soportedepunzon1.</v>
          </cell>
          <cell r="B516">
            <v>0</v>
          </cell>
        </row>
        <row r="517">
          <cell r="A517" t="str">
            <v>SP-ABC-MA</v>
          </cell>
          <cell r="B517">
            <v>0</v>
          </cell>
        </row>
        <row r="518">
          <cell r="A518" t="str">
            <v>SP-ABC-PU</v>
          </cell>
          <cell r="B518">
            <v>0</v>
          </cell>
        </row>
        <row r="519">
          <cell r="A519" t="str">
            <v>SP-BIS PUERTA-MA</v>
          </cell>
          <cell r="B519">
            <v>0</v>
          </cell>
        </row>
        <row r="520">
          <cell r="A520" t="str">
            <v>SP-BIS PUERTA-PU</v>
          </cell>
          <cell r="B520">
            <v>0</v>
          </cell>
        </row>
        <row r="521">
          <cell r="A521" t="str">
            <v>SP-CHAPA-MA</v>
          </cell>
          <cell r="B521">
            <v>0</v>
          </cell>
        </row>
        <row r="522">
          <cell r="A522" t="str">
            <v>SP-CHAPA-PU</v>
          </cell>
          <cell r="B522">
            <v>0</v>
          </cell>
        </row>
        <row r="523">
          <cell r="A523" t="str">
            <v>SP-CHAPA2-MA</v>
          </cell>
          <cell r="B523">
            <v>0</v>
          </cell>
        </row>
        <row r="524">
          <cell r="A524" t="str">
            <v>SP-CHAPA2-PU</v>
          </cell>
          <cell r="B524">
            <v>0</v>
          </cell>
        </row>
        <row r="525">
          <cell r="A525" t="str">
            <v>SP-EASY-SNAP-MA</v>
          </cell>
          <cell r="B525">
            <v>0</v>
          </cell>
        </row>
        <row r="526">
          <cell r="A526" t="str">
            <v>SP-EASY-SNAP-PU</v>
          </cell>
          <cell r="B526">
            <v>0</v>
          </cell>
        </row>
        <row r="527">
          <cell r="A527" t="str">
            <v>SP-EASY-UP-MA</v>
          </cell>
          <cell r="B527">
            <v>0</v>
          </cell>
        </row>
        <row r="528">
          <cell r="A528" t="str">
            <v>SP-EASY-UP-PU</v>
          </cell>
          <cell r="B528">
            <v>0</v>
          </cell>
        </row>
        <row r="529">
          <cell r="A529" t="str">
            <v>SP-EMB TIERRA-MA</v>
          </cell>
          <cell r="B529">
            <v>0</v>
          </cell>
        </row>
        <row r="530">
          <cell r="A530" t="str">
            <v>SP-EMB TIERRA-PU</v>
          </cell>
          <cell r="B530">
            <v>0</v>
          </cell>
        </row>
        <row r="531">
          <cell r="A531" t="str">
            <v>SP-GARRA-MA</v>
          </cell>
          <cell r="B531">
            <v>0</v>
          </cell>
        </row>
        <row r="532">
          <cell r="A532" t="str">
            <v>SP-GARRA-PU</v>
          </cell>
          <cell r="B532">
            <v>0</v>
          </cell>
        </row>
        <row r="533">
          <cell r="A533" t="str">
            <v>SP-KO RECTANGULAR-MA</v>
          </cell>
          <cell r="B533">
            <v>0</v>
          </cell>
        </row>
        <row r="534">
          <cell r="A534" t="str">
            <v>SP-KO RECTANGULAR-PU</v>
          </cell>
          <cell r="B534">
            <v>0</v>
          </cell>
        </row>
        <row r="535">
          <cell r="A535" t="str">
            <v>SP-KOC CLR 0-150-MA</v>
          </cell>
          <cell r="B535">
            <v>0</v>
          </cell>
        </row>
        <row r="536">
          <cell r="A536" t="str">
            <v>SP-KOC CLR 0-200-MA</v>
          </cell>
          <cell r="B536">
            <v>0</v>
          </cell>
        </row>
        <row r="537">
          <cell r="A537" t="str">
            <v>SP-KOC-PU</v>
          </cell>
          <cell r="B537">
            <v>0</v>
          </cell>
        </row>
        <row r="538">
          <cell r="A538" t="str">
            <v>SP-KOD CLR 0-150-MA</v>
          </cell>
          <cell r="B538">
            <v>0</v>
          </cell>
        </row>
        <row r="539">
          <cell r="A539" t="str">
            <v>SP-KOD CLR 0-200-MA</v>
          </cell>
          <cell r="B539">
            <v>0</v>
          </cell>
        </row>
        <row r="540">
          <cell r="A540" t="str">
            <v>SP-KOD-PU</v>
          </cell>
          <cell r="B540">
            <v>0</v>
          </cell>
        </row>
        <row r="541">
          <cell r="A541" t="str">
            <v>SP-KOE CLR 0-150-MA</v>
          </cell>
          <cell r="B541">
            <v>0</v>
          </cell>
        </row>
        <row r="542">
          <cell r="A542" t="str">
            <v>SP-KOE CLR 0-200-MA</v>
          </cell>
          <cell r="B542">
            <v>0</v>
          </cell>
        </row>
        <row r="543">
          <cell r="A543" t="str">
            <v>SP-KOE-PU</v>
          </cell>
          <cell r="B543">
            <v>0</v>
          </cell>
        </row>
        <row r="544">
          <cell r="A544" t="str">
            <v>SP-LEVINTON-MA</v>
          </cell>
          <cell r="B544">
            <v>0</v>
          </cell>
        </row>
        <row r="545">
          <cell r="A545" t="str">
            <v>SP-LEVINTON-PU</v>
          </cell>
          <cell r="B545">
            <v>0</v>
          </cell>
        </row>
        <row r="546">
          <cell r="A546" t="str">
            <v>SP-MAONEDA-MA</v>
          </cell>
          <cell r="B546">
            <v>0</v>
          </cell>
        </row>
        <row r="547">
          <cell r="A547" t="str">
            <v>SP-MAONEDA-PU</v>
          </cell>
          <cell r="B547">
            <v>0</v>
          </cell>
        </row>
        <row r="548">
          <cell r="A548" t="str">
            <v>SP-NEUTRO-MA</v>
          </cell>
          <cell r="B548">
            <v>0</v>
          </cell>
        </row>
        <row r="549">
          <cell r="A549" t="str">
            <v>SP-NEUTRO-PU</v>
          </cell>
          <cell r="B549">
            <v>0</v>
          </cell>
        </row>
        <row r="550">
          <cell r="A550" t="str">
            <v>SP-RADIO MEDIO-MA</v>
          </cell>
          <cell r="B550">
            <v>0</v>
          </cell>
        </row>
        <row r="551">
          <cell r="A551" t="str">
            <v>SP-RADIO MEDIO-PU</v>
          </cell>
          <cell r="B551">
            <v>0</v>
          </cell>
        </row>
        <row r="552">
          <cell r="A552" t="str">
            <v>SP-RADIO TAPA-MA</v>
          </cell>
          <cell r="B552">
            <v>0</v>
          </cell>
        </row>
        <row r="553">
          <cell r="A553" t="str">
            <v>SP-RADIO TAPA-PU</v>
          </cell>
          <cell r="B553">
            <v>0</v>
          </cell>
        </row>
        <row r="554">
          <cell r="A554" t="str">
            <v>SP-RADIO-MA</v>
          </cell>
          <cell r="B554">
            <v>0</v>
          </cell>
        </row>
        <row r="555">
          <cell r="A555" t="str">
            <v>SP-RADIO-PU</v>
          </cell>
          <cell r="B555">
            <v>0</v>
          </cell>
        </row>
        <row r="556">
          <cell r="A556" t="str">
            <v>SP-REFUERZO BISAGRA-MA</v>
          </cell>
          <cell r="B556">
            <v>0</v>
          </cell>
        </row>
        <row r="557">
          <cell r="A557" t="str">
            <v>SP-REFUERZO BISAGRA-PU</v>
          </cell>
          <cell r="B557">
            <v>0</v>
          </cell>
        </row>
        <row r="558">
          <cell r="A558" t="str">
            <v>SP-REFUERZO-MA</v>
          </cell>
          <cell r="B558">
            <v>0</v>
          </cell>
        </row>
        <row r="559">
          <cell r="A559" t="str">
            <v>SP-REFUERZO-PU</v>
          </cell>
          <cell r="B559">
            <v>0</v>
          </cell>
        </row>
        <row r="560">
          <cell r="A560" t="str">
            <v>SP-REPUJADO TI-MA</v>
          </cell>
          <cell r="B560">
            <v>0</v>
          </cell>
        </row>
        <row r="561">
          <cell r="A561" t="str">
            <v>SP-REPUJADO TI-PU</v>
          </cell>
          <cell r="B561">
            <v>0</v>
          </cell>
        </row>
        <row r="562">
          <cell r="A562" t="str">
            <v>SP-REPUJADO-MA</v>
          </cell>
          <cell r="B562">
            <v>0</v>
          </cell>
        </row>
        <row r="563">
          <cell r="A563" t="str">
            <v>SP-REPUJADO-PU</v>
          </cell>
          <cell r="B563">
            <v>0</v>
          </cell>
        </row>
        <row r="564">
          <cell r="A564" t="str">
            <v>SP-TERCOL-MA</v>
          </cell>
          <cell r="B564">
            <v>0</v>
          </cell>
        </row>
        <row r="565">
          <cell r="A565" t="str">
            <v>SP-TERCOL-PU</v>
          </cell>
          <cell r="B565">
            <v>0</v>
          </cell>
        </row>
        <row r="566">
          <cell r="A566" t="str">
            <v>SP-TIERRA-MA</v>
          </cell>
          <cell r="B566">
            <v>0</v>
          </cell>
        </row>
        <row r="567">
          <cell r="A567" t="str">
            <v>SP-TIERRA-PU</v>
          </cell>
          <cell r="B567">
            <v>0</v>
          </cell>
        </row>
        <row r="568">
          <cell r="A568" t="str">
            <v>SP-TRIANGULO TE-MA</v>
          </cell>
          <cell r="B568">
            <v>0</v>
          </cell>
        </row>
        <row r="569">
          <cell r="A569" t="str">
            <v>SP-TRIANGULO TE-PU</v>
          </cell>
          <cell r="B569">
            <v>0</v>
          </cell>
        </row>
        <row r="570">
          <cell r="A570" t="str">
            <v>SP-TRIANGULO-MA</v>
          </cell>
          <cell r="B570">
            <v>0</v>
          </cell>
        </row>
        <row r="571">
          <cell r="A571" t="str">
            <v>SP-TRIANGULO-PU</v>
          </cell>
          <cell r="B571">
            <v>0</v>
          </cell>
        </row>
        <row r="572">
          <cell r="A572" t="str">
            <v>SQ-10-MA</v>
          </cell>
          <cell r="B572">
            <v>0</v>
          </cell>
        </row>
        <row r="573">
          <cell r="A573" t="str">
            <v>SQ-10-PU</v>
          </cell>
          <cell r="B573">
            <v>0</v>
          </cell>
        </row>
        <row r="574">
          <cell r="A574" t="str">
            <v>SQ-15-56M-MA</v>
          </cell>
          <cell r="B574">
            <v>0</v>
          </cell>
        </row>
        <row r="575">
          <cell r="A575" t="str">
            <v>SQ-15-56M-PU</v>
          </cell>
          <cell r="B575">
            <v>0</v>
          </cell>
        </row>
        <row r="576">
          <cell r="A576" t="str">
            <v>SQ-15-MA</v>
          </cell>
          <cell r="B576">
            <v>0</v>
          </cell>
        </row>
        <row r="577">
          <cell r="A577" t="str">
            <v>SQ-15-PU</v>
          </cell>
          <cell r="B577">
            <v>0</v>
          </cell>
        </row>
        <row r="578">
          <cell r="A578" t="str">
            <v>SQ-18-MA</v>
          </cell>
          <cell r="B578">
            <v>0</v>
          </cell>
        </row>
        <row r="579">
          <cell r="A579" t="str">
            <v>SQ-18-PU</v>
          </cell>
          <cell r="B579">
            <v>0</v>
          </cell>
        </row>
        <row r="580">
          <cell r="A580" t="str">
            <v>SQ-20-MA</v>
          </cell>
          <cell r="B580">
            <v>0</v>
          </cell>
        </row>
        <row r="581">
          <cell r="A581" t="str">
            <v>SQ-20-PU</v>
          </cell>
          <cell r="B581">
            <v>0</v>
          </cell>
        </row>
        <row r="582">
          <cell r="A582" t="str">
            <v>SQ-22-MA</v>
          </cell>
          <cell r="B582">
            <v>0</v>
          </cell>
        </row>
        <row r="583">
          <cell r="A583" t="str">
            <v>SQ-22-PU</v>
          </cell>
          <cell r="B583">
            <v>0</v>
          </cell>
        </row>
        <row r="584">
          <cell r="A584" t="str">
            <v>SQ-25 CLR 0-150-MA</v>
          </cell>
          <cell r="B584">
            <v>0</v>
          </cell>
        </row>
        <row r="585">
          <cell r="A585" t="str">
            <v>SQ-25 CLR 0-200-MA</v>
          </cell>
          <cell r="B585">
            <v>0</v>
          </cell>
        </row>
        <row r="586">
          <cell r="A586" t="str">
            <v>SQ-25-PU</v>
          </cell>
          <cell r="B586">
            <v>0</v>
          </cell>
        </row>
        <row r="587">
          <cell r="A587" t="str">
            <v>SQ-8 CLR 0-200-MA</v>
          </cell>
          <cell r="B587">
            <v>0</v>
          </cell>
        </row>
        <row r="588">
          <cell r="A588" t="str">
            <v>SQ-8-PU</v>
          </cell>
          <cell r="B588">
            <v>0</v>
          </cell>
        </row>
        <row r="589">
          <cell r="A589" t="str">
            <v>STO13x70.</v>
          </cell>
          <cell r="B589">
            <v>0</v>
          </cell>
        </row>
        <row r="590">
          <cell r="A590" t="str">
            <v>STO13x70.1</v>
          </cell>
          <cell r="B590">
            <v>0</v>
          </cell>
        </row>
        <row r="591">
          <cell r="A591" t="str">
            <v>STO13x70.2</v>
          </cell>
          <cell r="B591">
            <v>0</v>
          </cell>
        </row>
        <row r="592">
          <cell r="A592" t="str">
            <v>STO13x70.3</v>
          </cell>
          <cell r="B592">
            <v>0</v>
          </cell>
        </row>
        <row r="593">
          <cell r="A593" t="str">
            <v>STO8x12.</v>
          </cell>
          <cell r="B593">
            <v>0</v>
          </cell>
        </row>
        <row r="594">
          <cell r="A594" t="str">
            <v>STO8x12.1</v>
          </cell>
          <cell r="B594">
            <v>0</v>
          </cell>
        </row>
        <row r="595">
          <cell r="A595" t="str">
            <v>STO8x25.</v>
          </cell>
          <cell r="B595">
            <v>0</v>
          </cell>
        </row>
        <row r="596">
          <cell r="A596" t="str">
            <v>STO8x25.1</v>
          </cell>
          <cell r="B596">
            <v>0</v>
          </cell>
        </row>
        <row r="597">
          <cell r="A597" t="str">
            <v>STO8x35.2</v>
          </cell>
          <cell r="B597">
            <v>0</v>
          </cell>
        </row>
        <row r="598">
          <cell r="A598" t="str">
            <v>STRETCHG</v>
          </cell>
          <cell r="B598">
            <v>34</v>
          </cell>
        </row>
        <row r="599">
          <cell r="A599" t="str">
            <v>STRETCHP</v>
          </cell>
          <cell r="B599">
            <v>13400</v>
          </cell>
        </row>
        <row r="600">
          <cell r="A600" t="str">
            <v>T1012P-NEGRO</v>
          </cell>
          <cell r="B600">
            <v>54.62</v>
          </cell>
        </row>
        <row r="601">
          <cell r="A601" t="str">
            <v>T1012PG</v>
          </cell>
          <cell r="B601">
            <v>60</v>
          </cell>
        </row>
        <row r="602">
          <cell r="A602" t="str">
            <v>T10316AR</v>
          </cell>
          <cell r="B602">
            <v>34.700000000000003</v>
          </cell>
        </row>
        <row r="603">
          <cell r="A603" t="str">
            <v>T10316ARG</v>
          </cell>
          <cell r="B603">
            <v>37</v>
          </cell>
        </row>
        <row r="604">
          <cell r="A604" t="str">
            <v>T10P</v>
          </cell>
          <cell r="B604">
            <v>84.21</v>
          </cell>
        </row>
        <row r="605">
          <cell r="A605" t="str">
            <v>T10PG</v>
          </cell>
          <cell r="B605">
            <v>95</v>
          </cell>
        </row>
        <row r="606">
          <cell r="A606" t="str">
            <v>T1215P</v>
          </cell>
          <cell r="B606">
            <v>392</v>
          </cell>
        </row>
        <row r="607">
          <cell r="A607" t="str">
            <v>T1215PG</v>
          </cell>
          <cell r="B607">
            <v>457</v>
          </cell>
        </row>
        <row r="608">
          <cell r="A608" t="str">
            <v>T1438CRO</v>
          </cell>
          <cell r="B608">
            <v>56.76</v>
          </cell>
        </row>
        <row r="609">
          <cell r="A609" t="str">
            <v>T1438CROG</v>
          </cell>
          <cell r="B609">
            <v>52.59</v>
          </cell>
        </row>
        <row r="610">
          <cell r="A610" t="str">
            <v>T3161CM-N</v>
          </cell>
          <cell r="B610">
            <v>58.95</v>
          </cell>
        </row>
        <row r="611">
          <cell r="A611" t="str">
            <v>T3161CMG</v>
          </cell>
          <cell r="B611">
            <v>95.33</v>
          </cell>
        </row>
        <row r="612">
          <cell r="A612" t="str">
            <v>T3162CM-N</v>
          </cell>
          <cell r="B612">
            <v>96.45</v>
          </cell>
        </row>
        <row r="613">
          <cell r="A613" t="str">
            <v>T3162CMG</v>
          </cell>
          <cell r="B613">
            <v>157</v>
          </cell>
        </row>
        <row r="614">
          <cell r="A614" t="str">
            <v>T51612CR</v>
          </cell>
          <cell r="B614">
            <v>133.41999999999999</v>
          </cell>
        </row>
        <row r="615">
          <cell r="A615" t="str">
            <v>T51612CRG</v>
          </cell>
          <cell r="B615">
            <v>123.54</v>
          </cell>
        </row>
        <row r="616">
          <cell r="A616" t="str">
            <v>T5M</v>
          </cell>
          <cell r="B616">
            <v>21.89</v>
          </cell>
        </row>
        <row r="617">
          <cell r="A617" t="str">
            <v>T5MCIL</v>
          </cell>
          <cell r="B617">
            <v>22.68</v>
          </cell>
        </row>
        <row r="618">
          <cell r="A618" t="str">
            <v>T5MCIL-9</v>
          </cell>
          <cell r="B618">
            <v>24.46</v>
          </cell>
        </row>
        <row r="619">
          <cell r="A619" t="str">
            <v>T5MCILG</v>
          </cell>
          <cell r="B619">
            <v>21</v>
          </cell>
        </row>
        <row r="620">
          <cell r="A620" t="str">
            <v>T5MG</v>
          </cell>
          <cell r="B620">
            <v>26</v>
          </cell>
        </row>
        <row r="621">
          <cell r="A621" t="str">
            <v>T638</v>
          </cell>
          <cell r="B621">
            <v>15.76</v>
          </cell>
        </row>
        <row r="622">
          <cell r="A622" t="str">
            <v>T638G</v>
          </cell>
          <cell r="B622">
            <v>15.76</v>
          </cell>
        </row>
        <row r="623">
          <cell r="A623" t="str">
            <v>T812</v>
          </cell>
          <cell r="B623">
            <v>51.54</v>
          </cell>
        </row>
        <row r="624">
          <cell r="A624" t="str">
            <v>T812G</v>
          </cell>
          <cell r="B624">
            <v>48</v>
          </cell>
        </row>
        <row r="625">
          <cell r="A625" t="str">
            <v>T817</v>
          </cell>
          <cell r="B625">
            <v>59.23</v>
          </cell>
        </row>
        <row r="626">
          <cell r="A626" t="str">
            <v>T817G</v>
          </cell>
          <cell r="B626">
            <v>62</v>
          </cell>
        </row>
        <row r="627">
          <cell r="A627" t="str">
            <v>T838</v>
          </cell>
          <cell r="B627">
            <v>25.57</v>
          </cell>
        </row>
        <row r="628">
          <cell r="A628" t="str">
            <v>T838G</v>
          </cell>
          <cell r="B628">
            <v>25.57</v>
          </cell>
        </row>
        <row r="629">
          <cell r="A629" t="str">
            <v>TE02-BOX</v>
          </cell>
          <cell r="B629">
            <v>0</v>
          </cell>
        </row>
        <row r="630">
          <cell r="A630" t="str">
            <v>TE02-COVER</v>
          </cell>
          <cell r="B630">
            <v>0</v>
          </cell>
        </row>
        <row r="631">
          <cell r="A631" t="str">
            <v>TE02-G-BOX</v>
          </cell>
          <cell r="B631">
            <v>0</v>
          </cell>
        </row>
        <row r="632">
          <cell r="A632" t="str">
            <v>TE04-COVER</v>
          </cell>
          <cell r="B632">
            <v>0</v>
          </cell>
        </row>
        <row r="633">
          <cell r="A633" t="str">
            <v>TE0475P-BOX</v>
          </cell>
          <cell r="B633">
            <v>0</v>
          </cell>
        </row>
        <row r="634">
          <cell r="A634" t="str">
            <v>TE0475P-COVER</v>
          </cell>
          <cell r="B634">
            <v>0</v>
          </cell>
        </row>
        <row r="635">
          <cell r="A635" t="str">
            <v>TE0475P-G-BOX</v>
          </cell>
          <cell r="B635">
            <v>0</v>
          </cell>
        </row>
        <row r="636">
          <cell r="A636" t="str">
            <v>TE06-COVER</v>
          </cell>
          <cell r="B636">
            <v>0</v>
          </cell>
        </row>
        <row r="637">
          <cell r="A637" t="str">
            <v>TE0675P-BOX</v>
          </cell>
          <cell r="B637">
            <v>0</v>
          </cell>
        </row>
        <row r="638">
          <cell r="A638" t="str">
            <v>TE0675P-COVER</v>
          </cell>
          <cell r="B638">
            <v>0</v>
          </cell>
        </row>
        <row r="639">
          <cell r="A639" t="str">
            <v>TE0675P-G-BOX</v>
          </cell>
          <cell r="B639">
            <v>0</v>
          </cell>
        </row>
        <row r="640">
          <cell r="A640" t="str">
            <v>TE08-BOX</v>
          </cell>
          <cell r="B640">
            <v>0</v>
          </cell>
        </row>
        <row r="641">
          <cell r="A641" t="str">
            <v>TE08-COVER</v>
          </cell>
          <cell r="B641">
            <v>0</v>
          </cell>
        </row>
        <row r="642">
          <cell r="A642" t="str">
            <v>TE08-G-BOX</v>
          </cell>
          <cell r="B642">
            <v>0</v>
          </cell>
        </row>
        <row r="643">
          <cell r="A643" t="str">
            <v>TE08P-G-BOX</v>
          </cell>
          <cell r="B643">
            <v>0</v>
          </cell>
        </row>
        <row r="644">
          <cell r="A644" t="str">
            <v>TE08P-G-COVER</v>
          </cell>
          <cell r="B644">
            <v>0</v>
          </cell>
        </row>
        <row r="645">
          <cell r="A645" t="str">
            <v>TE12P-G</v>
          </cell>
          <cell r="B645">
            <v>0</v>
          </cell>
        </row>
        <row r="646">
          <cell r="A646" t="str">
            <v>TE12P-G-BOX</v>
          </cell>
          <cell r="B646">
            <v>0</v>
          </cell>
        </row>
        <row r="647">
          <cell r="A647" t="str">
            <v>TH316</v>
          </cell>
          <cell r="B647">
            <v>19.22</v>
          </cell>
        </row>
        <row r="648">
          <cell r="A648" t="str">
            <v>THINNER</v>
          </cell>
          <cell r="B648">
            <v>36900</v>
          </cell>
        </row>
        <row r="649">
          <cell r="A649" t="str">
            <v>TIAR</v>
          </cell>
          <cell r="B649">
            <v>34</v>
          </cell>
        </row>
        <row r="650">
          <cell r="A650" t="str">
            <v>TIERRA12ALET</v>
          </cell>
          <cell r="B650">
            <v>1698</v>
          </cell>
        </row>
        <row r="651">
          <cell r="A651" t="str">
            <v>TIERRA12RALET</v>
          </cell>
          <cell r="B651">
            <v>3324</v>
          </cell>
        </row>
        <row r="652">
          <cell r="A652" t="str">
            <v>TIERRA12RT</v>
          </cell>
          <cell r="B652">
            <v>5861</v>
          </cell>
        </row>
        <row r="653">
          <cell r="A653" t="str">
            <v>TIERRA12T</v>
          </cell>
          <cell r="B653">
            <v>2106</v>
          </cell>
        </row>
        <row r="654">
          <cell r="A654" t="str">
            <v>TIERRA18ALET</v>
          </cell>
          <cell r="B654">
            <v>2324</v>
          </cell>
        </row>
        <row r="655">
          <cell r="A655" t="str">
            <v>TIERRA18RALET</v>
          </cell>
          <cell r="B655">
            <v>4942</v>
          </cell>
        </row>
        <row r="656">
          <cell r="A656" t="str">
            <v>TIERRA18RT</v>
          </cell>
          <cell r="B656">
            <v>7457</v>
          </cell>
        </row>
        <row r="657">
          <cell r="A657" t="str">
            <v>TIERRA18T</v>
          </cell>
          <cell r="B657">
            <v>3237</v>
          </cell>
        </row>
        <row r="658">
          <cell r="A658" t="str">
            <v>TIERRA24RALET</v>
          </cell>
          <cell r="B658">
            <v>5750</v>
          </cell>
        </row>
        <row r="659">
          <cell r="A659" t="str">
            <v>TIERRA24RT</v>
          </cell>
          <cell r="B659">
            <v>9434</v>
          </cell>
        </row>
        <row r="660">
          <cell r="A660" t="str">
            <v>TIERRA2ALET</v>
          </cell>
          <cell r="B660">
            <v>483</v>
          </cell>
        </row>
        <row r="661">
          <cell r="A661" t="str">
            <v>TIERRA2T</v>
          </cell>
          <cell r="B661">
            <v>790</v>
          </cell>
        </row>
        <row r="662">
          <cell r="A662" t="str">
            <v>TIERRA30RT</v>
          </cell>
          <cell r="B662">
            <v>11455</v>
          </cell>
        </row>
        <row r="663">
          <cell r="A663" t="str">
            <v>TIERRA36RALET</v>
          </cell>
          <cell r="B663">
            <v>8221</v>
          </cell>
        </row>
        <row r="664">
          <cell r="A664" t="str">
            <v>TIERRA36RT</v>
          </cell>
          <cell r="B664">
            <v>13387</v>
          </cell>
        </row>
        <row r="665">
          <cell r="A665" t="str">
            <v>TIERRA42RT</v>
          </cell>
          <cell r="B665">
            <v>15274</v>
          </cell>
        </row>
        <row r="666">
          <cell r="A666" t="str">
            <v>TIERRA4ALET</v>
          </cell>
          <cell r="B666">
            <v>767</v>
          </cell>
        </row>
        <row r="667">
          <cell r="A667" t="str">
            <v>TIERRA4T</v>
          </cell>
          <cell r="B667">
            <v>1021</v>
          </cell>
        </row>
        <row r="668">
          <cell r="A668" t="str">
            <v>TIERRA6ALET</v>
          </cell>
          <cell r="B668">
            <v>899</v>
          </cell>
        </row>
        <row r="669">
          <cell r="A669" t="str">
            <v>TIERRA6T</v>
          </cell>
          <cell r="B669">
            <v>1153</v>
          </cell>
        </row>
        <row r="670">
          <cell r="A670" t="str">
            <v>TIERRA8ALET</v>
          </cell>
          <cell r="B670">
            <v>1201</v>
          </cell>
        </row>
        <row r="671">
          <cell r="A671" t="str">
            <v>TIERRA8T</v>
          </cell>
          <cell r="B671">
            <v>1575</v>
          </cell>
        </row>
        <row r="672">
          <cell r="A672" t="str">
            <v>TIJERALAMINA</v>
          </cell>
          <cell r="B672">
            <v>68200</v>
          </cell>
        </row>
        <row r="673">
          <cell r="A673" t="str">
            <v>TIJERASPZRECTAS</v>
          </cell>
          <cell r="B673">
            <v>78000</v>
          </cell>
        </row>
        <row r="674">
          <cell r="A674" t="str">
            <v>TOMA DOBLE</v>
          </cell>
          <cell r="B674">
            <v>2563</v>
          </cell>
        </row>
        <row r="675">
          <cell r="A675" t="str">
            <v>Topetelefonico SP CNMEB .</v>
          </cell>
          <cell r="B675">
            <v>0</v>
          </cell>
        </row>
        <row r="676">
          <cell r="A676" t="str">
            <v>Topetelefonico SP CNPEB .</v>
          </cell>
          <cell r="B676">
            <v>0</v>
          </cell>
        </row>
        <row r="677">
          <cell r="A677" t="str">
            <v>Tornillodehombroespecial.1</v>
          </cell>
          <cell r="B677">
            <v>0</v>
          </cell>
        </row>
        <row r="678">
          <cell r="A678" t="str">
            <v>Tornillodehombroespecial.2</v>
          </cell>
          <cell r="B678">
            <v>0</v>
          </cell>
        </row>
        <row r="679">
          <cell r="A679" t="str">
            <v>Tornillodehombroespecial.3</v>
          </cell>
          <cell r="B679">
            <v>0</v>
          </cell>
        </row>
        <row r="680">
          <cell r="A680" t="str">
            <v>Tornillodehombroespecial.4</v>
          </cell>
          <cell r="B680">
            <v>0</v>
          </cell>
        </row>
        <row r="681">
          <cell r="A681" t="str">
            <v>TornilloM12.</v>
          </cell>
          <cell r="B681">
            <v>0</v>
          </cell>
        </row>
        <row r="682">
          <cell r="A682" t="str">
            <v>TornilloM12x1.75x45mm.</v>
          </cell>
          <cell r="B682">
            <v>0</v>
          </cell>
        </row>
        <row r="683">
          <cell r="A683" t="str">
            <v>TornilloM5x12.</v>
          </cell>
          <cell r="B683">
            <v>0</v>
          </cell>
        </row>
        <row r="684">
          <cell r="A684" t="str">
            <v>TornilloM5x12mm.</v>
          </cell>
          <cell r="B684">
            <v>0</v>
          </cell>
        </row>
        <row r="685">
          <cell r="A685" t="str">
            <v>TornilloM5x12S.H.C.S.</v>
          </cell>
          <cell r="B685">
            <v>0</v>
          </cell>
        </row>
        <row r="686">
          <cell r="A686" t="str">
            <v>TornilloM5x12S.H.C.S.1</v>
          </cell>
          <cell r="B686">
            <v>0</v>
          </cell>
        </row>
        <row r="687">
          <cell r="A687" t="str">
            <v>TornilloM5x12S.H.C.S.2</v>
          </cell>
          <cell r="B687">
            <v>0</v>
          </cell>
        </row>
        <row r="688">
          <cell r="A688" t="str">
            <v>TornilloM5x12S.H.C.S.3</v>
          </cell>
          <cell r="B688">
            <v>0</v>
          </cell>
        </row>
        <row r="689">
          <cell r="A689" t="str">
            <v>TornilloM5x12S.H.C.S.4</v>
          </cell>
          <cell r="B689">
            <v>0</v>
          </cell>
        </row>
        <row r="690">
          <cell r="A690" t="str">
            <v>TornilloM5x12S.H.C.S.5</v>
          </cell>
          <cell r="B690">
            <v>0</v>
          </cell>
        </row>
        <row r="691">
          <cell r="A691" t="str">
            <v>TornilloM5x18.</v>
          </cell>
          <cell r="B691">
            <v>0</v>
          </cell>
        </row>
        <row r="692">
          <cell r="A692" t="str">
            <v>TornilloM5x20.</v>
          </cell>
          <cell r="B692">
            <v>0</v>
          </cell>
        </row>
        <row r="693">
          <cell r="A693" t="str">
            <v>TornilloM5x20.1</v>
          </cell>
          <cell r="B693">
            <v>0</v>
          </cell>
        </row>
        <row r="694">
          <cell r="A694" t="str">
            <v>TornilloM5x25.</v>
          </cell>
          <cell r="B694">
            <v>0</v>
          </cell>
        </row>
        <row r="695">
          <cell r="A695" t="str">
            <v>TornilloM5x25.1</v>
          </cell>
          <cell r="B695">
            <v>0</v>
          </cell>
        </row>
        <row r="696">
          <cell r="A696" t="str">
            <v>TornilloM5x25.2</v>
          </cell>
          <cell r="B696">
            <v>0</v>
          </cell>
        </row>
        <row r="697">
          <cell r="A697" t="str">
            <v>TornilloM5x25.3</v>
          </cell>
          <cell r="B697">
            <v>0</v>
          </cell>
        </row>
        <row r="698">
          <cell r="A698" t="str">
            <v>TornilloM5x25.4</v>
          </cell>
          <cell r="B698">
            <v>0</v>
          </cell>
        </row>
        <row r="699">
          <cell r="A699" t="str">
            <v>TornilloM6.</v>
          </cell>
          <cell r="B699">
            <v>0</v>
          </cell>
        </row>
        <row r="700">
          <cell r="A700" t="str">
            <v>TornilloM6x10STO.</v>
          </cell>
          <cell r="B700">
            <v>0</v>
          </cell>
        </row>
        <row r="701">
          <cell r="A701" t="str">
            <v>TornilloM6x10STO.1</v>
          </cell>
          <cell r="B701">
            <v>0</v>
          </cell>
        </row>
        <row r="702">
          <cell r="A702" t="str">
            <v>TornilloM6x20.</v>
          </cell>
          <cell r="B702">
            <v>0</v>
          </cell>
        </row>
        <row r="703">
          <cell r="A703" t="str">
            <v>TornilloM6x20mm.</v>
          </cell>
          <cell r="B703">
            <v>0</v>
          </cell>
        </row>
        <row r="704">
          <cell r="A704" t="str">
            <v>TornilloM6x25.</v>
          </cell>
          <cell r="B704">
            <v>0</v>
          </cell>
        </row>
        <row r="705">
          <cell r="A705" t="str">
            <v>TornilloM6x70.</v>
          </cell>
          <cell r="B705">
            <v>0</v>
          </cell>
        </row>
        <row r="706">
          <cell r="A706" t="str">
            <v>TPONCHA</v>
          </cell>
          <cell r="B706">
            <v>183</v>
          </cell>
        </row>
        <row r="707">
          <cell r="A707" t="str">
            <v>TRAPOS</v>
          </cell>
          <cell r="B707">
            <v>3550</v>
          </cell>
        </row>
        <row r="708">
          <cell r="A708" t="str">
            <v>TTP04-BOX</v>
          </cell>
          <cell r="B708">
            <v>0</v>
          </cell>
        </row>
        <row r="709">
          <cell r="A709" t="str">
            <v>TTP04-G-BOX</v>
          </cell>
          <cell r="B709">
            <v>0</v>
          </cell>
        </row>
        <row r="710">
          <cell r="A710" t="str">
            <v>TTP06-BOX</v>
          </cell>
          <cell r="B710">
            <v>0</v>
          </cell>
        </row>
        <row r="711">
          <cell r="A711" t="str">
            <v>TTP06-G-BOX</v>
          </cell>
          <cell r="B711">
            <v>0</v>
          </cell>
        </row>
        <row r="712">
          <cell r="A712" t="str">
            <v>TUBO516AL</v>
          </cell>
          <cell r="B712">
            <v>9159.66</v>
          </cell>
        </row>
        <row r="713">
          <cell r="A713" t="str">
            <v>TUBOC</v>
          </cell>
          <cell r="B713">
            <v>45016</v>
          </cell>
        </row>
        <row r="714">
          <cell r="A714" t="str">
            <v>TUBOCAL</v>
          </cell>
          <cell r="B714">
            <v>22000</v>
          </cell>
        </row>
        <row r="715">
          <cell r="A715" t="str">
            <v>TUBOCP</v>
          </cell>
          <cell r="B715">
            <v>15633</v>
          </cell>
        </row>
        <row r="716">
          <cell r="A716" t="str">
            <v>TUBOCPAL</v>
          </cell>
          <cell r="B716">
            <v>22000</v>
          </cell>
        </row>
        <row r="717">
          <cell r="A717" t="str">
            <v>TX100MP</v>
          </cell>
          <cell r="B717">
            <v>16541</v>
          </cell>
        </row>
        <row r="718">
          <cell r="A718" t="str">
            <v>TX120MP</v>
          </cell>
          <cell r="B718">
            <v>24811</v>
          </cell>
        </row>
        <row r="719">
          <cell r="A719" t="str">
            <v>TX15</v>
          </cell>
          <cell r="B719">
            <v>895</v>
          </cell>
        </row>
        <row r="720">
          <cell r="A720" t="str">
            <v>TX20</v>
          </cell>
          <cell r="B720">
            <v>1559</v>
          </cell>
        </row>
        <row r="721">
          <cell r="A721" t="str">
            <v>TX30</v>
          </cell>
          <cell r="B721">
            <v>3347</v>
          </cell>
        </row>
        <row r="722">
          <cell r="A722" t="str">
            <v>TX40</v>
          </cell>
          <cell r="B722">
            <v>5894</v>
          </cell>
        </row>
        <row r="723">
          <cell r="A723" t="str">
            <v>TX60</v>
          </cell>
          <cell r="B723">
            <v>8658</v>
          </cell>
        </row>
        <row r="724">
          <cell r="A724" t="str">
            <v>TX80</v>
          </cell>
          <cell r="B724">
            <v>17316</v>
          </cell>
        </row>
        <row r="725">
          <cell r="A725" t="str">
            <v>VARSOL</v>
          </cell>
          <cell r="B725">
            <v>29600</v>
          </cell>
        </row>
        <row r="726">
          <cell r="A726" t="str">
            <v>VCU-E 120X1200-MP</v>
          </cell>
          <cell r="B726">
            <v>9215</v>
          </cell>
        </row>
        <row r="727">
          <cell r="A727" t="str">
            <v>VCU-E 120X1500-MP</v>
          </cell>
          <cell r="B727">
            <v>10379</v>
          </cell>
        </row>
        <row r="728">
          <cell r="A728" t="str">
            <v>VCU-E 120X1800-MP</v>
          </cell>
          <cell r="B728">
            <v>12125</v>
          </cell>
        </row>
        <row r="729">
          <cell r="A729" t="str">
            <v>VCU-E 120X2400-MP</v>
          </cell>
          <cell r="B729">
            <v>0</v>
          </cell>
        </row>
        <row r="730">
          <cell r="A730" t="str">
            <v>VCU-E 140X2400-MP</v>
          </cell>
          <cell r="B730">
            <v>33500</v>
          </cell>
        </row>
        <row r="731">
          <cell r="A731" t="str">
            <v>VCU-E 160X2400-MP</v>
          </cell>
          <cell r="B731">
            <v>0</v>
          </cell>
        </row>
        <row r="732">
          <cell r="A732" t="str">
            <v>VCU127-120</v>
          </cell>
          <cell r="B732">
            <v>0</v>
          </cell>
        </row>
        <row r="733">
          <cell r="A733" t="str">
            <v>VCU127-150</v>
          </cell>
          <cell r="B733">
            <v>0</v>
          </cell>
        </row>
        <row r="734">
          <cell r="A734" t="str">
            <v>VCU127-180</v>
          </cell>
          <cell r="B734">
            <v>0</v>
          </cell>
        </row>
        <row r="735">
          <cell r="A735" t="str">
            <v>VCU127-240</v>
          </cell>
          <cell r="B735">
            <v>0</v>
          </cell>
        </row>
        <row r="736">
          <cell r="A736" t="str">
            <v>VCU130 -180</v>
          </cell>
          <cell r="B736">
            <v>0</v>
          </cell>
        </row>
        <row r="737">
          <cell r="A737" t="str">
            <v>VCU130-120</v>
          </cell>
          <cell r="B737">
            <v>0</v>
          </cell>
        </row>
        <row r="738">
          <cell r="A738" t="str">
            <v>VCU130-150</v>
          </cell>
          <cell r="B738">
            <v>0</v>
          </cell>
        </row>
        <row r="739">
          <cell r="A739" t="str">
            <v>VCU130-240</v>
          </cell>
          <cell r="B739">
            <v>0</v>
          </cell>
        </row>
        <row r="740">
          <cell r="A740" t="str">
            <v>VCU140 - 120</v>
          </cell>
          <cell r="B740">
            <v>0</v>
          </cell>
        </row>
        <row r="741">
          <cell r="A741" t="str">
            <v>VCU140 - 150</v>
          </cell>
          <cell r="B741">
            <v>0</v>
          </cell>
        </row>
        <row r="742">
          <cell r="A742" t="str">
            <v>VCU140 - 180</v>
          </cell>
          <cell r="B742">
            <v>0</v>
          </cell>
        </row>
        <row r="743">
          <cell r="A743" t="str">
            <v>VCU140 - 240</v>
          </cell>
          <cell r="B743">
            <v>0</v>
          </cell>
        </row>
        <row r="744">
          <cell r="A744" t="str">
            <v>VCU140- 120</v>
          </cell>
          <cell r="B744">
            <v>0</v>
          </cell>
        </row>
        <row r="745">
          <cell r="A745" t="str">
            <v>VCU142 - 120</v>
          </cell>
          <cell r="B745">
            <v>0</v>
          </cell>
        </row>
        <row r="746">
          <cell r="A746" t="str">
            <v>VCU142 - 150</v>
          </cell>
          <cell r="B746">
            <v>0</v>
          </cell>
        </row>
        <row r="747">
          <cell r="A747" t="str">
            <v>VCU142 - 180</v>
          </cell>
          <cell r="B747">
            <v>0</v>
          </cell>
        </row>
        <row r="748">
          <cell r="A748" t="str">
            <v>VCU142 - 240</v>
          </cell>
          <cell r="B748">
            <v>0</v>
          </cell>
        </row>
        <row r="749">
          <cell r="A749" t="str">
            <v>VCU150 - 120</v>
          </cell>
          <cell r="B749">
            <v>0</v>
          </cell>
        </row>
        <row r="750">
          <cell r="A750" t="str">
            <v>VCU150 - 150</v>
          </cell>
          <cell r="B750">
            <v>0</v>
          </cell>
        </row>
        <row r="751">
          <cell r="A751" t="str">
            <v>VCU150 - 180</v>
          </cell>
          <cell r="B751">
            <v>0</v>
          </cell>
        </row>
        <row r="752">
          <cell r="A752" t="str">
            <v>VCU150 - 240</v>
          </cell>
          <cell r="B752">
            <v>0</v>
          </cell>
        </row>
        <row r="753">
          <cell r="A753" t="str">
            <v>VCU159 - 120</v>
          </cell>
          <cell r="B753">
            <v>0</v>
          </cell>
        </row>
        <row r="754">
          <cell r="A754" t="str">
            <v>VCU159 - 150</v>
          </cell>
          <cell r="B754">
            <v>0</v>
          </cell>
        </row>
        <row r="755">
          <cell r="A755" t="str">
            <v>VCU159 - 180</v>
          </cell>
          <cell r="B755">
            <v>0</v>
          </cell>
        </row>
        <row r="756">
          <cell r="A756" t="str">
            <v>VCU159 - 240</v>
          </cell>
          <cell r="B756">
            <v>0</v>
          </cell>
        </row>
        <row r="757">
          <cell r="A757" t="str">
            <v>ZUNCHO</v>
          </cell>
          <cell r="B757">
            <v>123000</v>
          </cell>
        </row>
        <row r="758">
          <cell r="A758" t="str">
            <v>AESTRIADAT</v>
          </cell>
          <cell r="B758">
            <v>3.92</v>
          </cell>
          <cell r="C758">
            <v>12.42</v>
          </cell>
        </row>
        <row r="759">
          <cell r="A759" t="str">
            <v>AL212D</v>
          </cell>
          <cell r="B759">
            <v>1525.87</v>
          </cell>
          <cell r="C759">
            <v>0</v>
          </cell>
        </row>
        <row r="760">
          <cell r="A760" t="str">
            <v>AL212DE</v>
          </cell>
          <cell r="B760">
            <v>1525.87</v>
          </cell>
          <cell r="C760">
            <v>0</v>
          </cell>
        </row>
        <row r="761">
          <cell r="A761" t="str">
            <v>AL212I</v>
          </cell>
          <cell r="B761">
            <v>1280.6600000000001</v>
          </cell>
          <cell r="C761">
            <v>0</v>
          </cell>
        </row>
        <row r="762">
          <cell r="A762" t="str">
            <v>AL212IE</v>
          </cell>
          <cell r="B762">
            <v>1280.6600000000001</v>
          </cell>
          <cell r="C762">
            <v>0</v>
          </cell>
        </row>
        <row r="763">
          <cell r="A763" t="str">
            <v>AL218D</v>
          </cell>
          <cell r="B763">
            <v>2098.0100000000002</v>
          </cell>
          <cell r="C763">
            <v>0</v>
          </cell>
        </row>
        <row r="764">
          <cell r="A764" t="str">
            <v>AL218DE</v>
          </cell>
          <cell r="B764">
            <v>2098.0100000000002</v>
          </cell>
          <cell r="C764">
            <v>0</v>
          </cell>
        </row>
        <row r="765">
          <cell r="A765" t="str">
            <v>AL218I</v>
          </cell>
          <cell r="B765">
            <v>2207.3000000000002</v>
          </cell>
          <cell r="C765">
            <v>0</v>
          </cell>
        </row>
        <row r="766">
          <cell r="A766" t="str">
            <v>AL218IE</v>
          </cell>
          <cell r="B766">
            <v>2207.3000000000002</v>
          </cell>
          <cell r="C766">
            <v>0</v>
          </cell>
        </row>
        <row r="767">
          <cell r="A767" t="str">
            <v>AL224D</v>
          </cell>
          <cell r="B767">
            <v>2906.8</v>
          </cell>
          <cell r="C767">
            <v>0</v>
          </cell>
        </row>
        <row r="768">
          <cell r="A768" t="str">
            <v>AL224DE</v>
          </cell>
          <cell r="B768">
            <v>2906.8</v>
          </cell>
          <cell r="C768">
            <v>0</v>
          </cell>
        </row>
        <row r="769">
          <cell r="A769" t="str">
            <v>AL224I</v>
          </cell>
          <cell r="B769">
            <v>2661.36</v>
          </cell>
          <cell r="C769">
            <v>0</v>
          </cell>
        </row>
        <row r="770">
          <cell r="A770" t="str">
            <v>AL224IE</v>
          </cell>
          <cell r="B770">
            <v>2661.36</v>
          </cell>
          <cell r="C770">
            <v>0</v>
          </cell>
        </row>
        <row r="771">
          <cell r="A771" t="str">
            <v>AL230D</v>
          </cell>
          <cell r="B771">
            <v>3478.94</v>
          </cell>
          <cell r="C771">
            <v>0</v>
          </cell>
        </row>
        <row r="772">
          <cell r="A772" t="str">
            <v>AL230DE</v>
          </cell>
          <cell r="B772">
            <v>3478.94</v>
          </cell>
          <cell r="C772">
            <v>0</v>
          </cell>
        </row>
        <row r="773">
          <cell r="A773" t="str">
            <v>AL230I</v>
          </cell>
          <cell r="B773">
            <v>3588</v>
          </cell>
          <cell r="C773">
            <v>0</v>
          </cell>
        </row>
        <row r="774">
          <cell r="A774" t="str">
            <v>AL230IE</v>
          </cell>
          <cell r="B774">
            <v>3588</v>
          </cell>
          <cell r="C774">
            <v>0</v>
          </cell>
        </row>
        <row r="775">
          <cell r="A775" t="str">
            <v>AL236D</v>
          </cell>
          <cell r="B775">
            <v>4296.5200000000004</v>
          </cell>
          <cell r="C775">
            <v>0</v>
          </cell>
        </row>
        <row r="776">
          <cell r="A776" t="str">
            <v>AL236DE</v>
          </cell>
          <cell r="B776">
            <v>4296.5200000000004</v>
          </cell>
          <cell r="C776">
            <v>0</v>
          </cell>
        </row>
        <row r="777">
          <cell r="A777" t="str">
            <v>AL236I</v>
          </cell>
          <cell r="B777">
            <v>4051.32</v>
          </cell>
          <cell r="C777">
            <v>0</v>
          </cell>
        </row>
        <row r="778">
          <cell r="A778" t="str">
            <v>AL236IE</v>
          </cell>
          <cell r="B778">
            <v>4051.32</v>
          </cell>
          <cell r="C778">
            <v>0</v>
          </cell>
        </row>
        <row r="779">
          <cell r="A779" t="str">
            <v>AL306D</v>
          </cell>
          <cell r="B779">
            <v>817.34</v>
          </cell>
          <cell r="C779">
            <v>0</v>
          </cell>
        </row>
        <row r="780">
          <cell r="A780" t="str">
            <v>AL306D-100</v>
          </cell>
          <cell r="B780">
            <v>518.44000000000005</v>
          </cell>
          <cell r="C780">
            <v>130.93</v>
          </cell>
        </row>
        <row r="781">
          <cell r="A781" t="str">
            <v>AL306D-100E</v>
          </cell>
          <cell r="B781">
            <v>518.44000000000005</v>
          </cell>
          <cell r="C781">
            <v>130.93</v>
          </cell>
        </row>
        <row r="782">
          <cell r="A782" t="str">
            <v>AL306DE</v>
          </cell>
          <cell r="B782">
            <v>817.34</v>
          </cell>
          <cell r="C782">
            <v>0</v>
          </cell>
        </row>
        <row r="783">
          <cell r="A783" t="str">
            <v>AL306I</v>
          </cell>
          <cell r="B783">
            <v>354.26</v>
          </cell>
          <cell r="C783">
            <v>0</v>
          </cell>
        </row>
        <row r="784">
          <cell r="A784" t="str">
            <v>AL306I-100</v>
          </cell>
          <cell r="B784">
            <v>341.91</v>
          </cell>
          <cell r="C784">
            <v>120.62</v>
          </cell>
        </row>
        <row r="785">
          <cell r="A785" t="str">
            <v>AL306I-100E</v>
          </cell>
          <cell r="B785">
            <v>341.91</v>
          </cell>
          <cell r="C785">
            <v>120.62</v>
          </cell>
        </row>
        <row r="786">
          <cell r="A786" t="str">
            <v>AL306IE</v>
          </cell>
          <cell r="B786">
            <v>354.26</v>
          </cell>
          <cell r="C786">
            <v>0</v>
          </cell>
        </row>
        <row r="787">
          <cell r="A787" t="str">
            <v>AL312D</v>
          </cell>
          <cell r="B787">
            <v>1507.81</v>
          </cell>
          <cell r="C787">
            <v>286.57</v>
          </cell>
        </row>
        <row r="788">
          <cell r="A788" t="str">
            <v>AL312D-100</v>
          </cell>
          <cell r="B788">
            <v>951.35</v>
          </cell>
          <cell r="C788">
            <v>142.27000000000001</v>
          </cell>
        </row>
        <row r="789">
          <cell r="A789" t="str">
            <v>AL312D-100E</v>
          </cell>
          <cell r="B789">
            <v>951.35</v>
          </cell>
          <cell r="C789">
            <v>142.27000000000001</v>
          </cell>
        </row>
        <row r="790">
          <cell r="A790" t="str">
            <v>AL312D.v2</v>
          </cell>
          <cell r="B790">
            <v>1507.93</v>
          </cell>
          <cell r="C790">
            <v>308.8</v>
          </cell>
        </row>
        <row r="791">
          <cell r="A791" t="str">
            <v>AL312DE</v>
          </cell>
          <cell r="B791">
            <v>1507.81</v>
          </cell>
          <cell r="C791">
            <v>286.57</v>
          </cell>
        </row>
        <row r="792">
          <cell r="A792" t="str">
            <v>AL312DE.v2</v>
          </cell>
          <cell r="B792">
            <v>1507.93</v>
          </cell>
          <cell r="C792">
            <v>308.8</v>
          </cell>
        </row>
        <row r="793">
          <cell r="A793" t="str">
            <v>AL312I</v>
          </cell>
          <cell r="B793">
            <v>1062.78</v>
          </cell>
          <cell r="C793">
            <v>203.27</v>
          </cell>
        </row>
        <row r="794">
          <cell r="A794" t="str">
            <v>AL312I-100</v>
          </cell>
          <cell r="B794">
            <v>666.47</v>
          </cell>
          <cell r="C794">
            <v>122.05</v>
          </cell>
        </row>
        <row r="795">
          <cell r="A795" t="str">
            <v>AL312I-100E</v>
          </cell>
          <cell r="B795">
            <v>666.47</v>
          </cell>
          <cell r="C795">
            <v>122.05</v>
          </cell>
        </row>
        <row r="796">
          <cell r="A796" t="str">
            <v>AL312I.v2</v>
          </cell>
          <cell r="B796">
            <v>1062.81</v>
          </cell>
          <cell r="C796">
            <v>166.66</v>
          </cell>
        </row>
        <row r="797">
          <cell r="A797" t="str">
            <v>AL312IE</v>
          </cell>
          <cell r="B797">
            <v>1062.78</v>
          </cell>
          <cell r="C797">
            <v>203.27</v>
          </cell>
        </row>
        <row r="798">
          <cell r="A798" t="str">
            <v>AL312IE.v2</v>
          </cell>
          <cell r="B798">
            <v>1062.81</v>
          </cell>
          <cell r="C798">
            <v>166.66</v>
          </cell>
        </row>
        <row r="799">
          <cell r="A799" t="str">
            <v>AL318D</v>
          </cell>
          <cell r="B799">
            <v>2198.2800000000002</v>
          </cell>
          <cell r="C799">
            <v>283.77</v>
          </cell>
        </row>
        <row r="800">
          <cell r="A800" t="str">
            <v>AL318D-100</v>
          </cell>
          <cell r="B800">
            <v>1395.66</v>
          </cell>
          <cell r="C800">
            <v>205.39</v>
          </cell>
        </row>
        <row r="801">
          <cell r="A801" t="str">
            <v>AL318D-100E</v>
          </cell>
          <cell r="B801">
            <v>1395.66</v>
          </cell>
          <cell r="C801">
            <v>205.39</v>
          </cell>
        </row>
        <row r="802">
          <cell r="A802" t="str">
            <v>AL318D.v2</v>
          </cell>
          <cell r="B802">
            <v>2198.3000000000002</v>
          </cell>
          <cell r="C802">
            <v>382.93</v>
          </cell>
        </row>
        <row r="803">
          <cell r="A803" t="str">
            <v>AL318DE</v>
          </cell>
          <cell r="B803">
            <v>2198.2800000000002</v>
          </cell>
          <cell r="C803">
            <v>283.77</v>
          </cell>
        </row>
        <row r="804">
          <cell r="A804" t="str">
            <v>AL318DE.v2</v>
          </cell>
          <cell r="B804">
            <v>2198.3000000000002</v>
          </cell>
          <cell r="C804">
            <v>382.93</v>
          </cell>
        </row>
        <row r="805">
          <cell r="A805" t="str">
            <v>AL318I</v>
          </cell>
          <cell r="B805">
            <v>1743.98</v>
          </cell>
          <cell r="C805">
            <v>188.68</v>
          </cell>
        </row>
        <row r="806">
          <cell r="A806" t="str">
            <v>AL318I-100</v>
          </cell>
          <cell r="B806">
            <v>1105.08</v>
          </cell>
          <cell r="C806">
            <v>150.18</v>
          </cell>
        </row>
        <row r="807">
          <cell r="A807" t="str">
            <v>AL318I-100E</v>
          </cell>
          <cell r="B807">
            <v>1105.08</v>
          </cell>
          <cell r="C807">
            <v>150.18</v>
          </cell>
        </row>
        <row r="808">
          <cell r="A808" t="str">
            <v>AL318I.v2</v>
          </cell>
          <cell r="B808">
            <v>1744.1</v>
          </cell>
          <cell r="C808">
            <v>359.42</v>
          </cell>
        </row>
        <row r="809">
          <cell r="A809" t="str">
            <v>AL318IE</v>
          </cell>
          <cell r="B809">
            <v>1743.98</v>
          </cell>
          <cell r="C809">
            <v>188.68</v>
          </cell>
        </row>
        <row r="810">
          <cell r="A810" t="str">
            <v>AL318IE.v2</v>
          </cell>
          <cell r="B810">
            <v>1744.1</v>
          </cell>
          <cell r="C810">
            <v>359.42</v>
          </cell>
        </row>
        <row r="811">
          <cell r="A811" t="str">
            <v>AL324D</v>
          </cell>
          <cell r="B811">
            <v>2879.47</v>
          </cell>
          <cell r="C811">
            <v>230.25</v>
          </cell>
        </row>
        <row r="812">
          <cell r="A812" t="str">
            <v>AL324D.v2</v>
          </cell>
          <cell r="B812">
            <v>2879.59</v>
          </cell>
          <cell r="C812">
            <v>296.76</v>
          </cell>
        </row>
        <row r="813">
          <cell r="A813" t="str">
            <v>AL324DE</v>
          </cell>
          <cell r="B813">
            <v>2879.47</v>
          </cell>
          <cell r="C813">
            <v>230.25</v>
          </cell>
        </row>
        <row r="814">
          <cell r="A814" t="str">
            <v>AL324DE.v2</v>
          </cell>
          <cell r="B814">
            <v>2879.59</v>
          </cell>
          <cell r="C814">
            <v>296.76</v>
          </cell>
        </row>
        <row r="815">
          <cell r="A815" t="str">
            <v>AL324I</v>
          </cell>
          <cell r="B815">
            <v>2443.48</v>
          </cell>
          <cell r="C815">
            <v>204.32</v>
          </cell>
        </row>
        <row r="816">
          <cell r="A816" t="str">
            <v>AL324I.v2</v>
          </cell>
          <cell r="B816">
            <v>2443.5700000000002</v>
          </cell>
          <cell r="C816">
            <v>218.56</v>
          </cell>
        </row>
        <row r="817">
          <cell r="A817" t="str">
            <v>AL324IE</v>
          </cell>
          <cell r="B817">
            <v>2443.48</v>
          </cell>
          <cell r="C817">
            <v>204.32</v>
          </cell>
        </row>
        <row r="818">
          <cell r="A818" t="str">
            <v>AL324IE.v2</v>
          </cell>
          <cell r="B818">
            <v>2443.5700000000002</v>
          </cell>
          <cell r="C818">
            <v>218.56</v>
          </cell>
        </row>
        <row r="819">
          <cell r="A819" t="str">
            <v>AL330D</v>
          </cell>
          <cell r="B819">
            <v>3578.97</v>
          </cell>
          <cell r="C819">
            <v>0</v>
          </cell>
        </row>
        <row r="820">
          <cell r="A820" t="str">
            <v>AL330D.v2</v>
          </cell>
          <cell r="B820">
            <v>3579.06</v>
          </cell>
          <cell r="C820">
            <v>0</v>
          </cell>
        </row>
        <row r="821">
          <cell r="A821" t="str">
            <v>AL330DE</v>
          </cell>
          <cell r="B821">
            <v>3578.97</v>
          </cell>
          <cell r="C821">
            <v>0</v>
          </cell>
        </row>
        <row r="822">
          <cell r="A822" t="str">
            <v>AL330DE.v2</v>
          </cell>
          <cell r="B822">
            <v>3579.06</v>
          </cell>
          <cell r="C822">
            <v>0</v>
          </cell>
        </row>
        <row r="823">
          <cell r="A823" t="str">
            <v>AL330I</v>
          </cell>
          <cell r="B823">
            <v>3124.68</v>
          </cell>
          <cell r="C823">
            <v>0</v>
          </cell>
        </row>
        <row r="824">
          <cell r="A824" t="str">
            <v>AL330I.v2</v>
          </cell>
          <cell r="B824">
            <v>3124.87</v>
          </cell>
          <cell r="C824">
            <v>0</v>
          </cell>
        </row>
        <row r="825">
          <cell r="A825" t="str">
            <v>AL330IE</v>
          </cell>
          <cell r="B825">
            <v>3124.68</v>
          </cell>
          <cell r="C825">
            <v>0</v>
          </cell>
        </row>
        <row r="826">
          <cell r="A826" t="str">
            <v>AL330IE.v2</v>
          </cell>
          <cell r="B826">
            <v>3124.87</v>
          </cell>
          <cell r="C826">
            <v>0</v>
          </cell>
        </row>
        <row r="827">
          <cell r="A827" t="str">
            <v>AL336D</v>
          </cell>
          <cell r="B827">
            <v>4278.46</v>
          </cell>
          <cell r="C827">
            <v>294.06</v>
          </cell>
        </row>
        <row r="828">
          <cell r="A828" t="str">
            <v>AL336D.v2</v>
          </cell>
          <cell r="B828">
            <v>4278.53</v>
          </cell>
          <cell r="C828">
            <v>419.77</v>
          </cell>
        </row>
        <row r="829">
          <cell r="A829" t="str">
            <v>AL336DE</v>
          </cell>
          <cell r="B829">
            <v>4278.46</v>
          </cell>
          <cell r="C829">
            <v>294.06</v>
          </cell>
        </row>
        <row r="830">
          <cell r="A830" t="str">
            <v>AL336DE.v2</v>
          </cell>
          <cell r="B830">
            <v>4278.53</v>
          </cell>
          <cell r="C830">
            <v>419.77</v>
          </cell>
        </row>
        <row r="831">
          <cell r="A831" t="str">
            <v>AL336I</v>
          </cell>
          <cell r="B831">
            <v>3824.17</v>
          </cell>
          <cell r="C831">
            <v>272.33999999999997</v>
          </cell>
        </row>
        <row r="832">
          <cell r="A832" t="str">
            <v>AL336I.v2</v>
          </cell>
          <cell r="B832">
            <v>3824.34</v>
          </cell>
          <cell r="C832">
            <v>323.95999999999998</v>
          </cell>
        </row>
        <row r="833">
          <cell r="A833" t="str">
            <v>AL336IE</v>
          </cell>
          <cell r="B833">
            <v>3824.17</v>
          </cell>
          <cell r="C833">
            <v>272.33999999999997</v>
          </cell>
        </row>
        <row r="834">
          <cell r="A834" t="str">
            <v>AL336IE.v2</v>
          </cell>
          <cell r="B834">
            <v>3824.34</v>
          </cell>
          <cell r="C834">
            <v>323.95999999999998</v>
          </cell>
        </row>
        <row r="835">
          <cell r="A835" t="str">
            <v>AL342D</v>
          </cell>
          <cell r="B835">
            <v>4977.96</v>
          </cell>
          <cell r="C835">
            <v>0</v>
          </cell>
        </row>
        <row r="836">
          <cell r="A836" t="str">
            <v>AL342D.v2</v>
          </cell>
          <cell r="B836">
            <v>4977.9799999999996</v>
          </cell>
          <cell r="C836">
            <v>0</v>
          </cell>
        </row>
        <row r="837">
          <cell r="A837" t="str">
            <v>AL342DE</v>
          </cell>
          <cell r="B837">
            <v>4977.96</v>
          </cell>
          <cell r="C837">
            <v>0</v>
          </cell>
        </row>
        <row r="838">
          <cell r="A838" t="str">
            <v>AL342DE.v2</v>
          </cell>
          <cell r="B838">
            <v>4977.9799999999996</v>
          </cell>
          <cell r="C838">
            <v>0</v>
          </cell>
        </row>
        <row r="839">
          <cell r="A839" t="str">
            <v>AL342I</v>
          </cell>
          <cell r="B839">
            <v>4532.7</v>
          </cell>
          <cell r="C839">
            <v>0</v>
          </cell>
        </row>
        <row r="840">
          <cell r="A840" t="str">
            <v>AL342I.v2</v>
          </cell>
          <cell r="B840">
            <v>4532.8900000000003</v>
          </cell>
          <cell r="C840">
            <v>0</v>
          </cell>
        </row>
        <row r="841">
          <cell r="A841" t="str">
            <v>AL342IE</v>
          </cell>
          <cell r="B841">
            <v>4532.7</v>
          </cell>
          <cell r="C841">
            <v>0</v>
          </cell>
        </row>
        <row r="842">
          <cell r="A842" t="str">
            <v>AL342IE.v2</v>
          </cell>
          <cell r="B842">
            <v>4532.8900000000003</v>
          </cell>
          <cell r="C842">
            <v>0</v>
          </cell>
        </row>
        <row r="843">
          <cell r="A843" t="str">
            <v>ALE1285D</v>
          </cell>
          <cell r="B843">
            <v>798.1</v>
          </cell>
          <cell r="C843">
            <v>103.14</v>
          </cell>
        </row>
        <row r="844">
          <cell r="A844" t="str">
            <v>ALE1285DE</v>
          </cell>
          <cell r="B844">
            <v>798.1</v>
          </cell>
          <cell r="C844">
            <v>103.14</v>
          </cell>
        </row>
        <row r="845">
          <cell r="A845" t="str">
            <v>ALE1285I</v>
          </cell>
          <cell r="B845">
            <v>660.05</v>
          </cell>
          <cell r="C845">
            <v>118.73</v>
          </cell>
        </row>
        <row r="846">
          <cell r="A846" t="str">
            <v>ALE1285IE</v>
          </cell>
          <cell r="B846">
            <v>660.05</v>
          </cell>
          <cell r="C846">
            <v>118.73</v>
          </cell>
        </row>
        <row r="847">
          <cell r="A847" t="str">
            <v>ALE1285M</v>
          </cell>
          <cell r="B847">
            <v>837.54</v>
          </cell>
          <cell r="C847">
            <v>189.11</v>
          </cell>
        </row>
        <row r="848">
          <cell r="A848" t="str">
            <v>ALE1285ME</v>
          </cell>
          <cell r="B848">
            <v>837.54</v>
          </cell>
          <cell r="C848">
            <v>189.11</v>
          </cell>
        </row>
        <row r="849">
          <cell r="A849" t="str">
            <v>ALE12D</v>
          </cell>
          <cell r="B849">
            <v>957.05</v>
          </cell>
          <cell r="C849">
            <v>126.24</v>
          </cell>
        </row>
        <row r="850">
          <cell r="A850" t="str">
            <v>ALE12DE</v>
          </cell>
          <cell r="B850">
            <v>957.05</v>
          </cell>
          <cell r="C850">
            <v>126.24</v>
          </cell>
        </row>
        <row r="851">
          <cell r="A851" t="str">
            <v>ALE12I</v>
          </cell>
          <cell r="B851">
            <v>809.03</v>
          </cell>
          <cell r="C851">
            <v>109.64</v>
          </cell>
        </row>
        <row r="852">
          <cell r="A852" t="str">
            <v>ALE12IE</v>
          </cell>
          <cell r="B852">
            <v>809.03</v>
          </cell>
          <cell r="C852">
            <v>109.64</v>
          </cell>
        </row>
        <row r="853">
          <cell r="A853" t="str">
            <v>ALE16D</v>
          </cell>
          <cell r="B853">
            <v>1247.4000000000001</v>
          </cell>
          <cell r="C853">
            <v>0</v>
          </cell>
        </row>
        <row r="854">
          <cell r="A854" t="str">
            <v>ALE16DE</v>
          </cell>
          <cell r="B854">
            <v>1247.4000000000001</v>
          </cell>
          <cell r="C854">
            <v>0</v>
          </cell>
        </row>
        <row r="855">
          <cell r="A855" t="str">
            <v>ALE16I</v>
          </cell>
          <cell r="B855">
            <v>1092.96</v>
          </cell>
          <cell r="C855">
            <v>0</v>
          </cell>
        </row>
        <row r="856">
          <cell r="A856" t="str">
            <v>ALE16IE</v>
          </cell>
          <cell r="B856">
            <v>1092.96</v>
          </cell>
          <cell r="C856">
            <v>0</v>
          </cell>
        </row>
        <row r="857">
          <cell r="A857" t="str">
            <v>ALE18D</v>
          </cell>
          <cell r="B857">
            <v>1247.4000000000001</v>
          </cell>
          <cell r="C857">
            <v>127.27</v>
          </cell>
        </row>
        <row r="858">
          <cell r="A858" t="str">
            <v>ALE18DE</v>
          </cell>
          <cell r="B858">
            <v>1247.4000000000001</v>
          </cell>
          <cell r="C858">
            <v>127.27</v>
          </cell>
        </row>
        <row r="859">
          <cell r="A859" t="str">
            <v>ALE18I</v>
          </cell>
          <cell r="B859">
            <v>1385.21</v>
          </cell>
          <cell r="C859">
            <v>140.41</v>
          </cell>
        </row>
        <row r="860">
          <cell r="A860" t="str">
            <v>ALE18IE</v>
          </cell>
          <cell r="B860">
            <v>1385.21</v>
          </cell>
          <cell r="C860">
            <v>140.41</v>
          </cell>
        </row>
        <row r="861">
          <cell r="A861" t="str">
            <v>ALE6D</v>
          </cell>
          <cell r="B861">
            <v>517.97</v>
          </cell>
          <cell r="C861">
            <v>178.43</v>
          </cell>
        </row>
        <row r="862">
          <cell r="A862" t="str">
            <v>ALE6DE</v>
          </cell>
          <cell r="B862">
            <v>517.97</v>
          </cell>
          <cell r="C862">
            <v>178.43</v>
          </cell>
        </row>
        <row r="863">
          <cell r="A863" t="str">
            <v>ALE6I</v>
          </cell>
          <cell r="B863">
            <v>517.97</v>
          </cell>
          <cell r="C863">
            <v>179.01</v>
          </cell>
        </row>
        <row r="864">
          <cell r="A864" t="str">
            <v>ALE6IE</v>
          </cell>
          <cell r="B864">
            <v>517.97</v>
          </cell>
          <cell r="C864">
            <v>179.01</v>
          </cell>
        </row>
        <row r="865">
          <cell r="A865" t="str">
            <v>ALE885D</v>
          </cell>
          <cell r="B865">
            <v>551.71</v>
          </cell>
          <cell r="C865">
            <v>145.63</v>
          </cell>
        </row>
        <row r="866">
          <cell r="A866" t="str">
            <v>ALE885DE</v>
          </cell>
          <cell r="B866">
            <v>551.71</v>
          </cell>
          <cell r="C866">
            <v>145.63</v>
          </cell>
        </row>
        <row r="867">
          <cell r="A867" t="str">
            <v>ALE885I</v>
          </cell>
          <cell r="B867">
            <v>418.65</v>
          </cell>
          <cell r="C867">
            <v>84.38</v>
          </cell>
        </row>
        <row r="868">
          <cell r="A868" t="str">
            <v>ALE885IE</v>
          </cell>
          <cell r="B868">
            <v>418.65</v>
          </cell>
          <cell r="C868">
            <v>84.38</v>
          </cell>
        </row>
        <row r="869">
          <cell r="A869" t="str">
            <v>ALE885M</v>
          </cell>
          <cell r="B869">
            <v>586.16</v>
          </cell>
          <cell r="C869">
            <v>273.75</v>
          </cell>
        </row>
        <row r="870">
          <cell r="A870" t="str">
            <v>ALE885ME</v>
          </cell>
          <cell r="B870">
            <v>586.16</v>
          </cell>
          <cell r="C870">
            <v>273.75</v>
          </cell>
        </row>
        <row r="871">
          <cell r="A871" t="str">
            <v>ALE8D</v>
          </cell>
          <cell r="B871">
            <v>666.47</v>
          </cell>
          <cell r="C871">
            <v>100.68</v>
          </cell>
        </row>
        <row r="872">
          <cell r="A872" t="str">
            <v>ALE8DE</v>
          </cell>
          <cell r="B872">
            <v>666.47</v>
          </cell>
          <cell r="C872">
            <v>100.68</v>
          </cell>
        </row>
        <row r="873">
          <cell r="A873" t="str">
            <v>ALE8I</v>
          </cell>
          <cell r="B873">
            <v>518.44000000000005</v>
          </cell>
          <cell r="C873">
            <v>95.16</v>
          </cell>
        </row>
        <row r="874">
          <cell r="A874" t="str">
            <v>ALE8IE</v>
          </cell>
          <cell r="B874">
            <v>518.44000000000005</v>
          </cell>
          <cell r="C874">
            <v>95.16</v>
          </cell>
        </row>
        <row r="875">
          <cell r="A875" t="str">
            <v>ALPTE2M</v>
          </cell>
          <cell r="B875">
            <v>51.32</v>
          </cell>
          <cell r="C875">
            <v>16.72</v>
          </cell>
        </row>
        <row r="876">
          <cell r="A876" t="str">
            <v>ALPTE2ME</v>
          </cell>
          <cell r="B876">
            <v>51.32</v>
          </cell>
          <cell r="C876">
            <v>16.72</v>
          </cell>
        </row>
        <row r="877">
          <cell r="A877" t="str">
            <v>ALPTE3M</v>
          </cell>
          <cell r="B877">
            <v>86.01</v>
          </cell>
          <cell r="C877">
            <v>22.71</v>
          </cell>
        </row>
        <row r="878">
          <cell r="A878" t="str">
            <v>ALPTE3ME</v>
          </cell>
          <cell r="B878">
            <v>86.01</v>
          </cell>
          <cell r="C878">
            <v>22.71</v>
          </cell>
        </row>
        <row r="879">
          <cell r="A879" t="str">
            <v>ALPTE4M</v>
          </cell>
          <cell r="B879">
            <v>137.1</v>
          </cell>
          <cell r="C879">
            <v>22.84</v>
          </cell>
        </row>
        <row r="880">
          <cell r="A880" t="str">
            <v>ALPTE4ME</v>
          </cell>
          <cell r="B880">
            <v>137.1</v>
          </cell>
          <cell r="C880">
            <v>22.84</v>
          </cell>
        </row>
        <row r="881">
          <cell r="A881" t="str">
            <v>ALPTE6M</v>
          </cell>
          <cell r="B881">
            <v>214.08</v>
          </cell>
          <cell r="C881">
            <v>30.31</v>
          </cell>
        </row>
        <row r="882">
          <cell r="A882" t="str">
            <v>ALPTE6ME</v>
          </cell>
          <cell r="B882">
            <v>214.08</v>
          </cell>
          <cell r="C882">
            <v>30.31</v>
          </cell>
        </row>
        <row r="883">
          <cell r="A883" t="str">
            <v>ALPTE8M</v>
          </cell>
          <cell r="B883">
            <v>295.57</v>
          </cell>
          <cell r="C883">
            <v>58.98</v>
          </cell>
        </row>
        <row r="884">
          <cell r="A884" t="str">
            <v>ALPTE8ME</v>
          </cell>
          <cell r="B884">
            <v>295.57</v>
          </cell>
          <cell r="C884">
            <v>58.98</v>
          </cell>
        </row>
        <row r="885">
          <cell r="A885" t="str">
            <v>BISAGRAG</v>
          </cell>
          <cell r="B885">
            <v>23.27</v>
          </cell>
          <cell r="C885">
            <v>12.04</v>
          </cell>
        </row>
        <row r="886">
          <cell r="A886" t="str">
            <v>BISAGRAN</v>
          </cell>
          <cell r="B886">
            <v>14.08</v>
          </cell>
          <cell r="C886">
            <v>0</v>
          </cell>
        </row>
        <row r="887">
          <cell r="A887" t="str">
            <v>BISAGRAV4</v>
          </cell>
          <cell r="B887">
            <v>12.5</v>
          </cell>
          <cell r="C887">
            <v>0</v>
          </cell>
        </row>
        <row r="888">
          <cell r="A888" t="str">
            <v>BN04EP</v>
          </cell>
          <cell r="B888">
            <v>596.33000000000004</v>
          </cell>
          <cell r="C888">
            <v>96.36</v>
          </cell>
        </row>
        <row r="889">
          <cell r="A889" t="str">
            <v>BN04EP-CMB</v>
          </cell>
          <cell r="B889">
            <v>407.48</v>
          </cell>
          <cell r="C889">
            <v>0</v>
          </cell>
        </row>
        <row r="890">
          <cell r="A890" t="str">
            <v>BN06</v>
          </cell>
          <cell r="B890">
            <v>945.72</v>
          </cell>
          <cell r="C890">
            <v>51.46</v>
          </cell>
        </row>
        <row r="891">
          <cell r="A891" t="str">
            <v>BN06-CMB</v>
          </cell>
          <cell r="B891">
            <v>645.38</v>
          </cell>
          <cell r="C891">
            <v>0</v>
          </cell>
        </row>
        <row r="892">
          <cell r="A892" t="str">
            <v>BN06-CMB.v2</v>
          </cell>
          <cell r="B892">
            <v>751.22</v>
          </cell>
          <cell r="C892">
            <v>0</v>
          </cell>
        </row>
        <row r="893">
          <cell r="A893" t="str">
            <v>BN06.v2</v>
          </cell>
          <cell r="B893">
            <v>1099.33</v>
          </cell>
          <cell r="C893">
            <v>39.130000000000003</v>
          </cell>
        </row>
        <row r="894">
          <cell r="A894" t="str">
            <v>BN06EP</v>
          </cell>
          <cell r="B894">
            <v>787.35</v>
          </cell>
          <cell r="C894">
            <v>134.53</v>
          </cell>
        </row>
        <row r="895">
          <cell r="A895" t="str">
            <v>BN06EP-CMB</v>
          </cell>
          <cell r="B895">
            <v>508.13</v>
          </cell>
          <cell r="C895">
            <v>0</v>
          </cell>
        </row>
        <row r="896">
          <cell r="A896" t="str">
            <v>BN06R-125</v>
          </cell>
          <cell r="B896">
            <v>747.98</v>
          </cell>
          <cell r="C896">
            <v>18.440000000000001</v>
          </cell>
        </row>
        <row r="897">
          <cell r="A897" t="str">
            <v>BN08</v>
          </cell>
          <cell r="B897">
            <v>1083.79</v>
          </cell>
          <cell r="C897">
            <v>75.73</v>
          </cell>
        </row>
        <row r="898">
          <cell r="A898" t="str">
            <v>BN08-75P</v>
          </cell>
          <cell r="B898">
            <v>1248.5999999999999</v>
          </cell>
          <cell r="C898">
            <v>180.29</v>
          </cell>
        </row>
        <row r="899">
          <cell r="A899" t="str">
            <v>BN08-75P-CMB</v>
          </cell>
          <cell r="B899">
            <v>794.83</v>
          </cell>
          <cell r="C899">
            <v>0</v>
          </cell>
        </row>
        <row r="900">
          <cell r="A900" t="str">
            <v>BN08-95</v>
          </cell>
          <cell r="B900">
            <v>918.23</v>
          </cell>
          <cell r="C900">
            <v>36.880000000000003</v>
          </cell>
        </row>
        <row r="901">
          <cell r="A901" t="str">
            <v>BN08-CMB</v>
          </cell>
          <cell r="B901">
            <v>740.24</v>
          </cell>
          <cell r="C901">
            <v>0</v>
          </cell>
        </row>
        <row r="902">
          <cell r="A902" t="str">
            <v>BN12</v>
          </cell>
          <cell r="B902">
            <v>1378.08</v>
          </cell>
          <cell r="C902">
            <v>77.08</v>
          </cell>
        </row>
        <row r="903">
          <cell r="A903" t="str">
            <v>BN12-75P</v>
          </cell>
          <cell r="B903">
            <v>1578.13</v>
          </cell>
          <cell r="C903">
            <v>56.18</v>
          </cell>
        </row>
        <row r="904">
          <cell r="A904" t="str">
            <v>BN12-75P-CMB</v>
          </cell>
          <cell r="B904">
            <v>1077.57</v>
          </cell>
          <cell r="C904">
            <v>0</v>
          </cell>
        </row>
        <row r="905">
          <cell r="A905" t="str">
            <v>BN12-CMB</v>
          </cell>
          <cell r="B905">
            <v>941.23</v>
          </cell>
          <cell r="C905">
            <v>0</v>
          </cell>
        </row>
        <row r="906">
          <cell r="A906" t="str">
            <v>BN12-CMB.v2</v>
          </cell>
          <cell r="B906">
            <v>1037</v>
          </cell>
          <cell r="C906">
            <v>0</v>
          </cell>
        </row>
        <row r="907">
          <cell r="A907" t="str">
            <v>BN12-EX</v>
          </cell>
          <cell r="B907">
            <v>2089.79</v>
          </cell>
          <cell r="C907">
            <v>0</v>
          </cell>
        </row>
        <row r="908">
          <cell r="A908" t="str">
            <v>BN12-EX-CMB</v>
          </cell>
          <cell r="B908">
            <v>1498.16</v>
          </cell>
          <cell r="C908">
            <v>0</v>
          </cell>
        </row>
        <row r="909">
          <cell r="A909" t="str">
            <v>BN12.v2</v>
          </cell>
          <cell r="B909">
            <v>1519.34</v>
          </cell>
          <cell r="C909">
            <v>42.05</v>
          </cell>
        </row>
        <row r="910">
          <cell r="A910" t="str">
            <v>BN12R-125</v>
          </cell>
          <cell r="B910">
            <v>1270.3800000000001</v>
          </cell>
          <cell r="C910">
            <v>36.880000000000003</v>
          </cell>
        </row>
        <row r="911">
          <cell r="A911" t="str">
            <v>BN16</v>
          </cell>
          <cell r="B911">
            <v>1656.42</v>
          </cell>
          <cell r="C911">
            <v>36.880000000000003</v>
          </cell>
        </row>
        <row r="912">
          <cell r="A912" t="str">
            <v>BN18</v>
          </cell>
          <cell r="B912">
            <v>1902.46</v>
          </cell>
          <cell r="C912">
            <v>127.83</v>
          </cell>
        </row>
        <row r="913">
          <cell r="A913" t="str">
            <v>BN18-CMB</v>
          </cell>
          <cell r="B913">
            <v>1212.68</v>
          </cell>
          <cell r="C913">
            <v>0</v>
          </cell>
        </row>
        <row r="914">
          <cell r="A914" t="str">
            <v>BN18-CMB.v2</v>
          </cell>
          <cell r="B914">
            <v>1323.09</v>
          </cell>
          <cell r="C914">
            <v>0</v>
          </cell>
        </row>
        <row r="915">
          <cell r="A915" t="str">
            <v>BN18-EX</v>
          </cell>
          <cell r="B915">
            <v>2657.81</v>
          </cell>
          <cell r="C915">
            <v>0</v>
          </cell>
        </row>
        <row r="916">
          <cell r="A916" t="str">
            <v>BN18-EX-CMB</v>
          </cell>
          <cell r="B916">
            <v>1915.71</v>
          </cell>
          <cell r="C916">
            <v>0</v>
          </cell>
        </row>
        <row r="917">
          <cell r="A917" t="str">
            <v>BN18.v2</v>
          </cell>
          <cell r="B917">
            <v>1937.4</v>
          </cell>
          <cell r="C917">
            <v>55.21</v>
          </cell>
        </row>
        <row r="918">
          <cell r="A918" t="str">
            <v>BN18R-125</v>
          </cell>
          <cell r="B918">
            <v>1792.76</v>
          </cell>
          <cell r="C918">
            <v>55.32</v>
          </cell>
        </row>
        <row r="919">
          <cell r="A919" t="str">
            <v>BN24</v>
          </cell>
          <cell r="B919">
            <v>2116.58</v>
          </cell>
          <cell r="C919">
            <v>75.459999999999994</v>
          </cell>
        </row>
        <row r="920">
          <cell r="A920" t="str">
            <v>BN24-CMB</v>
          </cell>
          <cell r="B920">
            <v>1445.4</v>
          </cell>
          <cell r="C920">
            <v>0</v>
          </cell>
        </row>
        <row r="921">
          <cell r="A921" t="str">
            <v>BN24-CMB.v2</v>
          </cell>
          <cell r="B921">
            <v>1608.88</v>
          </cell>
          <cell r="C921">
            <v>0</v>
          </cell>
        </row>
        <row r="922">
          <cell r="A922" t="str">
            <v>BN24.v2</v>
          </cell>
          <cell r="B922">
            <v>2355.13</v>
          </cell>
          <cell r="C922">
            <v>77.98</v>
          </cell>
        </row>
        <row r="923">
          <cell r="A923" t="str">
            <v>BN30</v>
          </cell>
          <cell r="B923">
            <v>2526.5700000000002</v>
          </cell>
          <cell r="C923">
            <v>125.17</v>
          </cell>
        </row>
        <row r="924">
          <cell r="A924" t="str">
            <v>BN30-CMB</v>
          </cell>
          <cell r="B924">
            <v>1725.69</v>
          </cell>
          <cell r="C924">
            <v>0</v>
          </cell>
        </row>
        <row r="925">
          <cell r="A925" t="str">
            <v>BN30-CMB.v2</v>
          </cell>
          <cell r="B925">
            <v>1894.97</v>
          </cell>
          <cell r="C925">
            <v>0</v>
          </cell>
        </row>
        <row r="926">
          <cell r="A926" t="str">
            <v>BN30.v2</v>
          </cell>
          <cell r="B926">
            <v>2775.45</v>
          </cell>
          <cell r="C926">
            <v>45.96</v>
          </cell>
        </row>
        <row r="927">
          <cell r="A927" t="str">
            <v>BN36</v>
          </cell>
          <cell r="B927">
            <v>2926.65</v>
          </cell>
          <cell r="C927">
            <v>150.88999999999999</v>
          </cell>
        </row>
        <row r="928">
          <cell r="A928" t="str">
            <v>BN36-CMB</v>
          </cell>
          <cell r="B928">
            <v>1998.36</v>
          </cell>
          <cell r="C928">
            <v>0</v>
          </cell>
        </row>
        <row r="929">
          <cell r="A929" t="str">
            <v>BN36-CMB.v2</v>
          </cell>
          <cell r="B929">
            <v>2180.75</v>
          </cell>
          <cell r="C929">
            <v>0</v>
          </cell>
        </row>
        <row r="930">
          <cell r="A930" t="str">
            <v>BN36.v2</v>
          </cell>
          <cell r="B930">
            <v>3193.23</v>
          </cell>
          <cell r="C930">
            <v>160.91</v>
          </cell>
        </row>
        <row r="931">
          <cell r="A931" t="str">
            <v>BN42</v>
          </cell>
          <cell r="B931">
            <v>3352.15</v>
          </cell>
          <cell r="C931">
            <v>179.44</v>
          </cell>
        </row>
        <row r="932">
          <cell r="A932" t="str">
            <v>BN42-CMB</v>
          </cell>
          <cell r="B932">
            <v>2289.64</v>
          </cell>
          <cell r="C932">
            <v>0</v>
          </cell>
        </row>
        <row r="933">
          <cell r="A933" t="str">
            <v>BN42-CMB.v2</v>
          </cell>
          <cell r="B933">
            <v>2466.84</v>
          </cell>
          <cell r="C933">
            <v>0</v>
          </cell>
        </row>
        <row r="934">
          <cell r="A934" t="str">
            <v>BN42-EX</v>
          </cell>
          <cell r="B934">
            <v>5446.8</v>
          </cell>
          <cell r="C934">
            <v>0</v>
          </cell>
        </row>
        <row r="935">
          <cell r="A935" t="str">
            <v>BN42-EX-CMB</v>
          </cell>
          <cell r="B935">
            <v>3837.51</v>
          </cell>
          <cell r="C935">
            <v>0</v>
          </cell>
        </row>
        <row r="936">
          <cell r="A936" t="str">
            <v>BN42.v2</v>
          </cell>
          <cell r="B936">
            <v>3611.27</v>
          </cell>
          <cell r="C936">
            <v>146.76</v>
          </cell>
        </row>
        <row r="937">
          <cell r="A937" t="str">
            <v>BN8-6</v>
          </cell>
          <cell r="B937">
            <v>1168.8699999999999</v>
          </cell>
          <cell r="C937">
            <v>36.880000000000003</v>
          </cell>
        </row>
        <row r="938">
          <cell r="A938" t="str">
            <v>BNTOTA</v>
          </cell>
          <cell r="B938">
            <v>1927.16</v>
          </cell>
          <cell r="C938">
            <v>67</v>
          </cell>
        </row>
        <row r="939">
          <cell r="A939" t="str">
            <v>BNTOTA-CMB</v>
          </cell>
          <cell r="B939">
            <v>1394.77</v>
          </cell>
          <cell r="C939">
            <v>0</v>
          </cell>
        </row>
        <row r="940">
          <cell r="A940" t="str">
            <v>BNTOTA-CMB.v2</v>
          </cell>
          <cell r="B940">
            <v>1316.08</v>
          </cell>
          <cell r="C940">
            <v>0</v>
          </cell>
        </row>
        <row r="941">
          <cell r="A941" t="str">
            <v>BNTOTA-EX</v>
          </cell>
          <cell r="B941">
            <v>2314.04</v>
          </cell>
          <cell r="C941">
            <v>0</v>
          </cell>
        </row>
        <row r="942">
          <cell r="A942" t="str">
            <v>BNTOTA.v2</v>
          </cell>
          <cell r="B942">
            <v>1818.89</v>
          </cell>
          <cell r="C942">
            <v>66.290000000000006</v>
          </cell>
        </row>
        <row r="943">
          <cell r="A943" t="str">
            <v>BS06R</v>
          </cell>
          <cell r="B943">
            <v>1134.3800000000001</v>
          </cell>
          <cell r="C943">
            <v>279.3</v>
          </cell>
        </row>
        <row r="944">
          <cell r="A944" t="str">
            <v>BS06R-CMB</v>
          </cell>
          <cell r="B944">
            <v>863.69</v>
          </cell>
          <cell r="C944">
            <v>0</v>
          </cell>
        </row>
        <row r="945">
          <cell r="A945" t="str">
            <v>BS08</v>
          </cell>
          <cell r="B945">
            <v>477.65</v>
          </cell>
          <cell r="C945">
            <v>0</v>
          </cell>
        </row>
        <row r="946">
          <cell r="A946" t="str">
            <v>BS08E</v>
          </cell>
          <cell r="B946">
            <v>698.33</v>
          </cell>
          <cell r="C946">
            <v>0</v>
          </cell>
        </row>
        <row r="947">
          <cell r="A947" t="str">
            <v>BS08P</v>
          </cell>
          <cell r="B947">
            <v>2791.13</v>
          </cell>
          <cell r="C947">
            <v>0</v>
          </cell>
        </row>
        <row r="948">
          <cell r="A948" t="str">
            <v>BS12</v>
          </cell>
          <cell r="B948">
            <v>636.87</v>
          </cell>
          <cell r="C948">
            <v>0</v>
          </cell>
        </row>
        <row r="949">
          <cell r="A949" t="str">
            <v>BS125</v>
          </cell>
          <cell r="B949">
            <v>568.4</v>
          </cell>
          <cell r="C949">
            <v>39.96</v>
          </cell>
        </row>
        <row r="950">
          <cell r="A950" t="str">
            <v>BS125-B</v>
          </cell>
          <cell r="B950">
            <v>568.4</v>
          </cell>
          <cell r="C950">
            <v>35.56</v>
          </cell>
        </row>
        <row r="951">
          <cell r="A951" t="str">
            <v>BS12E</v>
          </cell>
          <cell r="B951">
            <v>932.65</v>
          </cell>
          <cell r="C951">
            <v>0</v>
          </cell>
        </row>
        <row r="952">
          <cell r="A952" t="str">
            <v>BS12EP</v>
          </cell>
          <cell r="B952">
            <v>3025.45</v>
          </cell>
          <cell r="C952">
            <v>0</v>
          </cell>
        </row>
        <row r="953">
          <cell r="A953" t="str">
            <v>BS12R</v>
          </cell>
          <cell r="B953">
            <v>1558.08</v>
          </cell>
          <cell r="C953">
            <v>259.61</v>
          </cell>
        </row>
        <row r="954">
          <cell r="A954" t="str">
            <v>BS12R-125</v>
          </cell>
          <cell r="B954">
            <v>3697.29</v>
          </cell>
          <cell r="C954">
            <v>0</v>
          </cell>
        </row>
        <row r="955">
          <cell r="A955" t="str">
            <v>BS12R-CMB</v>
          </cell>
          <cell r="B955">
            <v>1287.3800000000001</v>
          </cell>
          <cell r="C955">
            <v>0</v>
          </cell>
        </row>
        <row r="956">
          <cell r="A956" t="str">
            <v>BS16EP</v>
          </cell>
          <cell r="B956">
            <v>3271.57</v>
          </cell>
          <cell r="C956">
            <v>0</v>
          </cell>
        </row>
        <row r="957">
          <cell r="A957" t="str">
            <v>BS18E</v>
          </cell>
          <cell r="B957">
            <v>3370.3</v>
          </cell>
          <cell r="C957">
            <v>0</v>
          </cell>
        </row>
        <row r="958">
          <cell r="A958" t="str">
            <v>BS18R</v>
          </cell>
          <cell r="B958">
            <v>1987.07</v>
          </cell>
          <cell r="C958">
            <v>439.67</v>
          </cell>
        </row>
        <row r="959">
          <cell r="A959" t="str">
            <v>BS18R-CMB</v>
          </cell>
          <cell r="B959">
            <v>1716.38</v>
          </cell>
          <cell r="C959">
            <v>0</v>
          </cell>
        </row>
        <row r="960">
          <cell r="A960" t="str">
            <v>BS225</v>
          </cell>
          <cell r="B960">
            <v>590.94000000000005</v>
          </cell>
          <cell r="C960">
            <v>34.92</v>
          </cell>
        </row>
        <row r="961">
          <cell r="A961" t="str">
            <v>BS225T</v>
          </cell>
          <cell r="B961">
            <v>0</v>
          </cell>
          <cell r="C961">
            <v>0</v>
          </cell>
        </row>
        <row r="962">
          <cell r="A962" t="str">
            <v>BS24R</v>
          </cell>
          <cell r="B962">
            <v>2410.77</v>
          </cell>
          <cell r="C962">
            <v>550.94000000000005</v>
          </cell>
        </row>
        <row r="963">
          <cell r="A963" t="str">
            <v>BS24R-CMB</v>
          </cell>
          <cell r="B963">
            <v>2140.0700000000002</v>
          </cell>
          <cell r="C963">
            <v>0</v>
          </cell>
        </row>
        <row r="964">
          <cell r="A964" t="str">
            <v>BS30R</v>
          </cell>
          <cell r="B964">
            <v>2834.05</v>
          </cell>
          <cell r="C964">
            <v>209.12</v>
          </cell>
        </row>
        <row r="965">
          <cell r="A965" t="str">
            <v>BS30R-CMB</v>
          </cell>
          <cell r="B965">
            <v>2563.36</v>
          </cell>
          <cell r="C965">
            <v>0</v>
          </cell>
        </row>
        <row r="966">
          <cell r="A966" t="str">
            <v>BS36R</v>
          </cell>
          <cell r="B966">
            <v>3257.75</v>
          </cell>
          <cell r="C966">
            <v>464.69</v>
          </cell>
        </row>
        <row r="967">
          <cell r="A967" t="str">
            <v>BS36R-CMB</v>
          </cell>
          <cell r="B967">
            <v>2987.06</v>
          </cell>
          <cell r="C967">
            <v>167.84</v>
          </cell>
        </row>
        <row r="968">
          <cell r="A968" t="str">
            <v>BS42R</v>
          </cell>
          <cell r="B968">
            <v>3681.04</v>
          </cell>
          <cell r="C968">
            <v>290.20999999999998</v>
          </cell>
        </row>
        <row r="969">
          <cell r="A969" t="str">
            <v>BS42R-CMB</v>
          </cell>
          <cell r="B969">
            <v>3410.35</v>
          </cell>
          <cell r="C969">
            <v>0</v>
          </cell>
        </row>
        <row r="970">
          <cell r="A970" t="str">
            <v>BS42R-EX</v>
          </cell>
          <cell r="B970">
            <v>4884.91</v>
          </cell>
          <cell r="C970">
            <v>72.44</v>
          </cell>
        </row>
        <row r="971">
          <cell r="A971" t="str">
            <v>BS42R-EX-CMB</v>
          </cell>
          <cell r="B971">
            <v>4614.21</v>
          </cell>
          <cell r="C971">
            <v>0</v>
          </cell>
        </row>
        <row r="972">
          <cell r="A972" t="str">
            <v>BS95</v>
          </cell>
          <cell r="B972">
            <v>294</v>
          </cell>
          <cell r="C972">
            <v>25.96</v>
          </cell>
        </row>
        <row r="973">
          <cell r="A973" t="str">
            <v>BS95M</v>
          </cell>
          <cell r="B973">
            <v>254.8</v>
          </cell>
          <cell r="C973">
            <v>34</v>
          </cell>
        </row>
        <row r="974">
          <cell r="A974" t="str">
            <v>BSC225B</v>
          </cell>
          <cell r="B974">
            <v>137.19999999999999</v>
          </cell>
          <cell r="C974">
            <v>17.43</v>
          </cell>
        </row>
        <row r="975">
          <cell r="A975" t="str">
            <v>BSC225T</v>
          </cell>
          <cell r="B975">
            <v>204.82</v>
          </cell>
          <cell r="C975">
            <v>16.03</v>
          </cell>
        </row>
        <row r="976">
          <cell r="A976" t="str">
            <v>BSCENTRO-125</v>
          </cell>
          <cell r="B976">
            <v>117.6</v>
          </cell>
          <cell r="C976">
            <v>17.25</v>
          </cell>
        </row>
        <row r="977">
          <cell r="A977" t="str">
            <v>BSCENTRO-125B</v>
          </cell>
          <cell r="B977">
            <v>88.2</v>
          </cell>
          <cell r="C977">
            <v>13.58</v>
          </cell>
        </row>
        <row r="978">
          <cell r="A978" t="str">
            <v>BSCENTRO225</v>
          </cell>
          <cell r="B978">
            <v>218.54</v>
          </cell>
          <cell r="C978">
            <v>20.29</v>
          </cell>
        </row>
        <row r="979">
          <cell r="A979" t="str">
            <v>CABLETIERRA</v>
          </cell>
          <cell r="B979">
            <v>611.54999999999995</v>
          </cell>
          <cell r="C979">
            <v>200.56</v>
          </cell>
        </row>
        <row r="980">
          <cell r="A980" t="str">
            <v>CAJA12</v>
          </cell>
          <cell r="B980">
            <v>6950.99</v>
          </cell>
          <cell r="C980">
            <v>32.93</v>
          </cell>
        </row>
        <row r="981">
          <cell r="A981" t="str">
            <v>CAJA12-125</v>
          </cell>
          <cell r="B981">
            <v>7303.21</v>
          </cell>
          <cell r="C981">
            <v>385.97</v>
          </cell>
        </row>
        <row r="982">
          <cell r="A982" t="str">
            <v>CAJA12-125G</v>
          </cell>
          <cell r="B982">
            <v>7215.34</v>
          </cell>
          <cell r="C982">
            <v>354.51</v>
          </cell>
        </row>
        <row r="983">
          <cell r="A983" t="str">
            <v>CAJA12-95</v>
          </cell>
          <cell r="B983">
            <v>4608.26</v>
          </cell>
          <cell r="C983">
            <v>225.09</v>
          </cell>
        </row>
        <row r="984">
          <cell r="A984" t="str">
            <v>CAJA12-95G</v>
          </cell>
          <cell r="B984">
            <v>4587.26</v>
          </cell>
          <cell r="C984">
            <v>186.54</v>
          </cell>
        </row>
        <row r="985">
          <cell r="A985" t="str">
            <v>CAJA12G</v>
          </cell>
          <cell r="B985">
            <v>6861.18</v>
          </cell>
          <cell r="C985">
            <v>0</v>
          </cell>
        </row>
        <row r="986">
          <cell r="A986" t="str">
            <v>CAJA12M-95</v>
          </cell>
          <cell r="B986">
            <v>4608.26</v>
          </cell>
          <cell r="C986">
            <v>0</v>
          </cell>
        </row>
        <row r="987">
          <cell r="A987" t="str">
            <v>CAJA12M-95G</v>
          </cell>
          <cell r="B987">
            <v>4587.26</v>
          </cell>
          <cell r="C987">
            <v>0</v>
          </cell>
        </row>
        <row r="988">
          <cell r="A988" t="str">
            <v>CAJA12P</v>
          </cell>
          <cell r="B988">
            <v>7638.41</v>
          </cell>
          <cell r="C988">
            <v>0</v>
          </cell>
        </row>
        <row r="989">
          <cell r="A989" t="str">
            <v>CAJA12PG</v>
          </cell>
          <cell r="B989">
            <v>7624.13</v>
          </cell>
          <cell r="C989">
            <v>0</v>
          </cell>
        </row>
        <row r="990">
          <cell r="A990" t="str">
            <v>CAJA12PG-75</v>
          </cell>
          <cell r="B990">
            <v>4977.78</v>
          </cell>
          <cell r="C990">
            <v>174.33</v>
          </cell>
        </row>
        <row r="991">
          <cell r="A991" t="str">
            <v>CAJA12R</v>
          </cell>
          <cell r="B991">
            <v>13063.11</v>
          </cell>
          <cell r="C991">
            <v>431.54</v>
          </cell>
        </row>
        <row r="992">
          <cell r="A992" t="str">
            <v>CAJA12R-125</v>
          </cell>
          <cell r="B992">
            <v>7209.67</v>
          </cell>
          <cell r="C992">
            <v>53.56</v>
          </cell>
        </row>
        <row r="993">
          <cell r="A993" t="str">
            <v>CAJA12R-125G</v>
          </cell>
          <cell r="B993">
            <v>7038.49</v>
          </cell>
          <cell r="C993">
            <v>58.2</v>
          </cell>
        </row>
        <row r="994">
          <cell r="A994" t="str">
            <v>CAJA12R-EX</v>
          </cell>
          <cell r="B994">
            <v>12738.69</v>
          </cell>
          <cell r="C994">
            <v>0</v>
          </cell>
        </row>
        <row r="995">
          <cell r="A995" t="str">
            <v>CAJA12R.v2</v>
          </cell>
          <cell r="B995">
            <v>16451.95</v>
          </cell>
          <cell r="C995">
            <v>262.93</v>
          </cell>
        </row>
        <row r="996">
          <cell r="A996" t="str">
            <v>CAJA12RG</v>
          </cell>
          <cell r="B996">
            <v>13900.08</v>
          </cell>
          <cell r="C996">
            <v>6650.48</v>
          </cell>
        </row>
        <row r="997">
          <cell r="A997" t="str">
            <v>CAJA12RG.v2</v>
          </cell>
          <cell r="B997">
            <v>17124.97</v>
          </cell>
          <cell r="C997">
            <v>369.4</v>
          </cell>
        </row>
        <row r="998">
          <cell r="A998" t="str">
            <v>CAJA12RT</v>
          </cell>
          <cell r="B998">
            <v>19020.349999999999</v>
          </cell>
          <cell r="C998">
            <v>940.38</v>
          </cell>
        </row>
        <row r="999">
          <cell r="A999" t="str">
            <v>CAJA12RT.v2</v>
          </cell>
          <cell r="B999">
            <v>21855.74</v>
          </cell>
          <cell r="C999">
            <v>939.74</v>
          </cell>
        </row>
        <row r="1000">
          <cell r="A1000" t="str">
            <v>CAJA12RTG</v>
          </cell>
          <cell r="B1000">
            <v>20144.61</v>
          </cell>
          <cell r="C1000">
            <v>6924.69</v>
          </cell>
        </row>
        <row r="1001">
          <cell r="A1001" t="str">
            <v>CAJA12RTG.v2</v>
          </cell>
          <cell r="B1001">
            <v>22736.58</v>
          </cell>
          <cell r="C1001">
            <v>759</v>
          </cell>
        </row>
        <row r="1002">
          <cell r="A1002" t="str">
            <v>CAJA16P</v>
          </cell>
          <cell r="B1002">
            <v>7922.52</v>
          </cell>
          <cell r="C1002">
            <v>0</v>
          </cell>
        </row>
        <row r="1003">
          <cell r="A1003" t="str">
            <v>CAJA16PG</v>
          </cell>
          <cell r="B1003">
            <v>7900.31</v>
          </cell>
          <cell r="C1003">
            <v>0</v>
          </cell>
        </row>
        <row r="1004">
          <cell r="A1004" t="str">
            <v>CAJA18-125</v>
          </cell>
          <cell r="B1004">
            <v>8432.51</v>
          </cell>
          <cell r="C1004">
            <v>458.79</v>
          </cell>
        </row>
        <row r="1005">
          <cell r="A1005" t="str">
            <v>CAJA18-125G</v>
          </cell>
          <cell r="B1005">
            <v>8374.8799999999992</v>
          </cell>
          <cell r="C1005">
            <v>378.85</v>
          </cell>
        </row>
        <row r="1006">
          <cell r="A1006" t="str">
            <v>CAJA18P</v>
          </cell>
          <cell r="B1006">
            <v>8381.19</v>
          </cell>
          <cell r="C1006">
            <v>0</v>
          </cell>
        </row>
        <row r="1007">
          <cell r="A1007" t="str">
            <v>CAJA18PG</v>
          </cell>
          <cell r="B1007">
            <v>8718.77</v>
          </cell>
          <cell r="C1007">
            <v>0</v>
          </cell>
        </row>
        <row r="1008">
          <cell r="A1008" t="str">
            <v>CAJA18R</v>
          </cell>
          <cell r="B1008">
            <v>14668.88</v>
          </cell>
          <cell r="C1008">
            <v>530.6</v>
          </cell>
        </row>
        <row r="1009">
          <cell r="A1009" t="str">
            <v>CAJA18R-125</v>
          </cell>
          <cell r="B1009">
            <v>8297.33</v>
          </cell>
          <cell r="C1009">
            <v>53.56</v>
          </cell>
        </row>
        <row r="1010">
          <cell r="A1010" t="str">
            <v>CAJA18R-125G</v>
          </cell>
          <cell r="B1010">
            <v>8238.48</v>
          </cell>
          <cell r="C1010">
            <v>58.2</v>
          </cell>
        </row>
        <row r="1011">
          <cell r="A1011" t="str">
            <v>CAJA18R-EX</v>
          </cell>
          <cell r="B1011">
            <v>12738.69</v>
          </cell>
          <cell r="C1011">
            <v>0</v>
          </cell>
        </row>
        <row r="1012">
          <cell r="A1012" t="str">
            <v>CAJA18R.v2</v>
          </cell>
          <cell r="B1012">
            <v>18013.07</v>
          </cell>
          <cell r="C1012">
            <v>569.71</v>
          </cell>
        </row>
        <row r="1013">
          <cell r="A1013" t="str">
            <v>CAJA18RG</v>
          </cell>
          <cell r="B1013">
            <v>15570.9</v>
          </cell>
          <cell r="C1013">
            <v>6773.84</v>
          </cell>
        </row>
        <row r="1014">
          <cell r="A1014" t="str">
            <v>CAJA18RG.v2</v>
          </cell>
          <cell r="B1014">
            <v>18751.32</v>
          </cell>
          <cell r="C1014">
            <v>482.12</v>
          </cell>
        </row>
        <row r="1015">
          <cell r="A1015" t="str">
            <v>CAJA18RT</v>
          </cell>
          <cell r="B1015">
            <v>20603.11</v>
          </cell>
          <cell r="C1015">
            <v>1496.35</v>
          </cell>
        </row>
        <row r="1016">
          <cell r="A1016" t="str">
            <v>CAJA18RT.v2</v>
          </cell>
          <cell r="B1016">
            <v>23416.85</v>
          </cell>
          <cell r="C1016">
            <v>706.14</v>
          </cell>
        </row>
        <row r="1017">
          <cell r="A1017" t="str">
            <v>CAJA18RTG</v>
          </cell>
          <cell r="B1017">
            <v>21793.77</v>
          </cell>
          <cell r="C1017">
            <v>7328.42</v>
          </cell>
        </row>
        <row r="1018">
          <cell r="A1018" t="str">
            <v>CAJA18RTG.v2</v>
          </cell>
          <cell r="B1018">
            <v>24362.92</v>
          </cell>
          <cell r="C1018">
            <v>619.25</v>
          </cell>
        </row>
        <row r="1019">
          <cell r="A1019" t="str">
            <v>CAJA2</v>
          </cell>
          <cell r="B1019">
            <v>2453.62</v>
          </cell>
          <cell r="C1019">
            <v>212.54</v>
          </cell>
        </row>
        <row r="1020">
          <cell r="A1020" t="str">
            <v>CAJA24R</v>
          </cell>
          <cell r="B1020">
            <v>16251.61</v>
          </cell>
          <cell r="C1020">
            <v>523.85</v>
          </cell>
        </row>
        <row r="1021">
          <cell r="A1021" t="str">
            <v>CAJA24R.v2</v>
          </cell>
          <cell r="B1021">
            <v>19691.77</v>
          </cell>
          <cell r="C1021">
            <v>829.72</v>
          </cell>
        </row>
        <row r="1022">
          <cell r="A1022" t="str">
            <v>CAJA24RG</v>
          </cell>
          <cell r="B1022">
            <v>17220.02</v>
          </cell>
          <cell r="C1022">
            <v>6849.12</v>
          </cell>
        </row>
        <row r="1023">
          <cell r="A1023" t="str">
            <v>CAJA24RG.v2</v>
          </cell>
          <cell r="B1023">
            <v>20495.150000000001</v>
          </cell>
          <cell r="C1023">
            <v>523.42999999999995</v>
          </cell>
        </row>
        <row r="1024">
          <cell r="A1024" t="str">
            <v>CAJA24RT</v>
          </cell>
          <cell r="B1024">
            <v>22185.81</v>
          </cell>
          <cell r="C1024">
            <v>926.37</v>
          </cell>
        </row>
        <row r="1025">
          <cell r="A1025" t="str">
            <v>CAJA24RT.v2</v>
          </cell>
          <cell r="B1025">
            <v>25095.56</v>
          </cell>
          <cell r="C1025">
            <v>883.76</v>
          </cell>
        </row>
        <row r="1026">
          <cell r="A1026" t="str">
            <v>CAJA24RTG</v>
          </cell>
          <cell r="B1026">
            <v>23442.880000000001</v>
          </cell>
          <cell r="C1026">
            <v>7246.68</v>
          </cell>
        </row>
        <row r="1027">
          <cell r="A1027" t="str">
            <v>CAJA24RTG.v2</v>
          </cell>
          <cell r="B1027">
            <v>26106.75</v>
          </cell>
          <cell r="C1027">
            <v>873.09</v>
          </cell>
        </row>
        <row r="1028">
          <cell r="A1028" t="str">
            <v>CAJA2G</v>
          </cell>
          <cell r="B1028">
            <v>2481.1799999999998</v>
          </cell>
          <cell r="C1028">
            <v>201.23</v>
          </cell>
        </row>
        <row r="1029">
          <cell r="A1029" t="str">
            <v>CAJA3</v>
          </cell>
          <cell r="B1029">
            <v>4005.77</v>
          </cell>
          <cell r="C1029">
            <v>61.3</v>
          </cell>
        </row>
        <row r="1030">
          <cell r="A1030" t="str">
            <v>CAJA30R</v>
          </cell>
          <cell r="B1030">
            <v>18356.5</v>
          </cell>
          <cell r="C1030">
            <v>617.29</v>
          </cell>
        </row>
        <row r="1031">
          <cell r="A1031" t="str">
            <v>CAJA30R.v2</v>
          </cell>
          <cell r="B1031">
            <v>21252.89</v>
          </cell>
          <cell r="C1031">
            <v>724.06</v>
          </cell>
        </row>
        <row r="1032">
          <cell r="A1032" t="str">
            <v>CAJA30RG</v>
          </cell>
          <cell r="B1032">
            <v>19411.63</v>
          </cell>
          <cell r="C1032">
            <v>6739.03</v>
          </cell>
        </row>
        <row r="1033">
          <cell r="A1033" t="str">
            <v>CAJA30RG.v2</v>
          </cell>
          <cell r="B1033">
            <v>22121.49</v>
          </cell>
          <cell r="C1033">
            <v>295.95</v>
          </cell>
        </row>
        <row r="1034">
          <cell r="A1034" t="str">
            <v>CAJA30RT</v>
          </cell>
          <cell r="B1034">
            <v>23791.63</v>
          </cell>
          <cell r="C1034">
            <v>1088.74</v>
          </cell>
        </row>
        <row r="1035">
          <cell r="A1035" t="str">
            <v>CAJA30RT.v2</v>
          </cell>
          <cell r="B1035">
            <v>26656.67</v>
          </cell>
          <cell r="C1035">
            <v>720.35</v>
          </cell>
        </row>
        <row r="1036">
          <cell r="A1036" t="str">
            <v>CAJA30RTG</v>
          </cell>
          <cell r="B1036">
            <v>25113.71</v>
          </cell>
          <cell r="C1036">
            <v>7158.74</v>
          </cell>
        </row>
        <row r="1037">
          <cell r="A1037" t="str">
            <v>CAJA30RTG.v2</v>
          </cell>
          <cell r="B1037">
            <v>27733.09</v>
          </cell>
          <cell r="C1037">
            <v>834.61</v>
          </cell>
        </row>
        <row r="1038">
          <cell r="A1038" t="str">
            <v>CAJA36R</v>
          </cell>
          <cell r="B1038">
            <v>19939.25</v>
          </cell>
          <cell r="C1038">
            <v>591.62</v>
          </cell>
        </row>
        <row r="1039">
          <cell r="A1039" t="str">
            <v>CAJA36R.v2</v>
          </cell>
          <cell r="B1039">
            <v>22816.28</v>
          </cell>
          <cell r="C1039">
            <v>446.41</v>
          </cell>
        </row>
        <row r="1040">
          <cell r="A1040" t="str">
            <v>CAJA36RG</v>
          </cell>
          <cell r="B1040">
            <v>21060.78</v>
          </cell>
          <cell r="C1040">
            <v>6886.35</v>
          </cell>
        </row>
        <row r="1041">
          <cell r="A1041" t="str">
            <v>CAJA36RG.v2</v>
          </cell>
          <cell r="B1041">
            <v>23747.83</v>
          </cell>
          <cell r="C1041">
            <v>570.03</v>
          </cell>
        </row>
        <row r="1042">
          <cell r="A1042" t="str">
            <v>CAJA36RT</v>
          </cell>
          <cell r="B1042">
            <v>25374.33</v>
          </cell>
          <cell r="C1042">
            <v>1384.23</v>
          </cell>
        </row>
        <row r="1043">
          <cell r="A1043" t="str">
            <v>CAJA36RT.v2</v>
          </cell>
          <cell r="B1043">
            <v>28217.78</v>
          </cell>
          <cell r="C1043">
            <v>1375.99</v>
          </cell>
        </row>
        <row r="1044">
          <cell r="A1044" t="str">
            <v>CAJA36RTG</v>
          </cell>
          <cell r="B1044">
            <v>26762.83</v>
          </cell>
          <cell r="C1044">
            <v>7556.71</v>
          </cell>
        </row>
        <row r="1045">
          <cell r="A1045" t="str">
            <v>CAJA36RTG.v2</v>
          </cell>
          <cell r="B1045">
            <v>29359.43</v>
          </cell>
          <cell r="C1045">
            <v>1473.97</v>
          </cell>
        </row>
        <row r="1046">
          <cell r="A1046" t="str">
            <v>CAJA3G</v>
          </cell>
          <cell r="B1046">
            <v>3983.08</v>
          </cell>
          <cell r="C1046">
            <v>63.38</v>
          </cell>
        </row>
        <row r="1047">
          <cell r="A1047" t="str">
            <v>CAJA4</v>
          </cell>
          <cell r="B1047">
            <v>2135.3200000000002</v>
          </cell>
          <cell r="C1047">
            <v>353.54</v>
          </cell>
        </row>
        <row r="1048">
          <cell r="A1048" t="str">
            <v>CAJA4-E</v>
          </cell>
          <cell r="B1048">
            <v>2135.31</v>
          </cell>
          <cell r="C1048">
            <v>231.03</v>
          </cell>
        </row>
        <row r="1049">
          <cell r="A1049" t="str">
            <v>CAJA42R</v>
          </cell>
          <cell r="B1049">
            <v>21521.95</v>
          </cell>
          <cell r="C1049">
            <v>502.81</v>
          </cell>
        </row>
        <row r="1050">
          <cell r="A1050" t="str">
            <v>CAJA42R.v2</v>
          </cell>
          <cell r="B1050">
            <v>24377.08</v>
          </cell>
          <cell r="C1050">
            <v>491.95</v>
          </cell>
        </row>
        <row r="1051">
          <cell r="A1051" t="str">
            <v>CAJA42RG</v>
          </cell>
          <cell r="B1051">
            <v>22709.9</v>
          </cell>
          <cell r="C1051">
            <v>6731.9</v>
          </cell>
        </row>
        <row r="1052">
          <cell r="A1052" t="str">
            <v>CAJA42RG.v2</v>
          </cell>
          <cell r="B1052">
            <v>25373.759999999998</v>
          </cell>
          <cell r="C1052">
            <v>661.31</v>
          </cell>
        </row>
        <row r="1053">
          <cell r="A1053" t="str">
            <v>CAJA42RT</v>
          </cell>
          <cell r="B1053">
            <v>26645.13</v>
          </cell>
          <cell r="C1053">
            <v>1600.33</v>
          </cell>
        </row>
        <row r="1054">
          <cell r="A1054" t="str">
            <v>CAJA42RT.v2</v>
          </cell>
          <cell r="B1054">
            <v>29781.18</v>
          </cell>
          <cell r="C1054">
            <v>1073.55</v>
          </cell>
        </row>
        <row r="1055">
          <cell r="A1055" t="str">
            <v>CAJA42RTG</v>
          </cell>
          <cell r="B1055">
            <v>28086.47</v>
          </cell>
          <cell r="C1055">
            <v>7884.41</v>
          </cell>
        </row>
        <row r="1056">
          <cell r="A1056" t="str">
            <v>CAJA42RTG-EX</v>
          </cell>
          <cell r="B1056">
            <v>30469.51</v>
          </cell>
          <cell r="C1056">
            <v>99.44</v>
          </cell>
        </row>
        <row r="1057">
          <cell r="A1057" t="str">
            <v>CAJA42RTG.v2</v>
          </cell>
          <cell r="B1057">
            <v>30985.77</v>
          </cell>
          <cell r="C1057">
            <v>1315.88</v>
          </cell>
        </row>
        <row r="1058">
          <cell r="A1058" t="str">
            <v>CAJA4G</v>
          </cell>
          <cell r="B1058">
            <v>2852.23</v>
          </cell>
          <cell r="C1058">
            <v>337.72</v>
          </cell>
        </row>
        <row r="1059">
          <cell r="A1059" t="str">
            <v>CAJA4P</v>
          </cell>
          <cell r="B1059">
            <v>2999.45</v>
          </cell>
          <cell r="C1059">
            <v>189.45</v>
          </cell>
        </row>
        <row r="1060">
          <cell r="A1060" t="str">
            <v>CAJA4PG</v>
          </cell>
          <cell r="B1060">
            <v>3003.59</v>
          </cell>
          <cell r="C1060">
            <v>200.17</v>
          </cell>
        </row>
        <row r="1061">
          <cell r="A1061" t="str">
            <v>CAJA6</v>
          </cell>
          <cell r="B1061">
            <v>3311.97</v>
          </cell>
          <cell r="C1061">
            <v>374.6</v>
          </cell>
        </row>
        <row r="1062">
          <cell r="A1062" t="str">
            <v>CAJA6-125G</v>
          </cell>
          <cell r="B1062">
            <v>5938.26</v>
          </cell>
          <cell r="C1062">
            <v>259.56</v>
          </cell>
        </row>
        <row r="1063">
          <cell r="A1063" t="str">
            <v>CAJA6G</v>
          </cell>
          <cell r="B1063">
            <v>3311.64</v>
          </cell>
          <cell r="C1063">
            <v>334.14</v>
          </cell>
        </row>
        <row r="1064">
          <cell r="A1064" t="str">
            <v>CAJA6P</v>
          </cell>
          <cell r="B1064">
            <v>3500.47</v>
          </cell>
          <cell r="C1064">
            <v>199.19</v>
          </cell>
        </row>
        <row r="1065">
          <cell r="A1065" t="str">
            <v>CAJA6PG</v>
          </cell>
          <cell r="B1065">
            <v>3487.46</v>
          </cell>
          <cell r="C1065">
            <v>214.28</v>
          </cell>
        </row>
        <row r="1066">
          <cell r="A1066" t="str">
            <v>CAJA6R</v>
          </cell>
          <cell r="B1066">
            <v>10247.11</v>
          </cell>
          <cell r="C1066">
            <v>1049.99</v>
          </cell>
        </row>
        <row r="1067">
          <cell r="A1067" t="str">
            <v>CAJA6R-125</v>
          </cell>
          <cell r="B1067">
            <v>6134.35</v>
          </cell>
          <cell r="C1067">
            <v>53.56</v>
          </cell>
        </row>
        <row r="1068">
          <cell r="A1068" t="str">
            <v>CAJA6R-125G</v>
          </cell>
          <cell r="B1068">
            <v>6148.6</v>
          </cell>
          <cell r="C1068">
            <v>58.2</v>
          </cell>
        </row>
        <row r="1069">
          <cell r="A1069" t="str">
            <v>CAJA6R.v2</v>
          </cell>
          <cell r="B1069">
            <v>14890.82</v>
          </cell>
          <cell r="C1069">
            <v>299.39999999999998</v>
          </cell>
        </row>
        <row r="1070">
          <cell r="A1070" t="str">
            <v>CAJA6RG</v>
          </cell>
          <cell r="B1070">
            <v>10952.82</v>
          </cell>
          <cell r="C1070">
            <v>524.01</v>
          </cell>
        </row>
        <row r="1071">
          <cell r="A1071" t="str">
            <v>CAJA6RG.v2</v>
          </cell>
          <cell r="B1071">
            <v>15498.63</v>
          </cell>
          <cell r="C1071">
            <v>173.92</v>
          </cell>
        </row>
        <row r="1072">
          <cell r="A1072" t="str">
            <v>CAJA8</v>
          </cell>
          <cell r="B1072">
            <v>6109.03</v>
          </cell>
          <cell r="C1072">
            <v>317.29000000000002</v>
          </cell>
        </row>
        <row r="1073">
          <cell r="A1073" t="str">
            <v>CAJA8-6</v>
          </cell>
          <cell r="B1073">
            <v>6590.45</v>
          </cell>
          <cell r="C1073">
            <v>364.19</v>
          </cell>
        </row>
        <row r="1074">
          <cell r="A1074" t="str">
            <v>CAJA8-6G</v>
          </cell>
          <cell r="B1074">
            <v>6595.11</v>
          </cell>
          <cell r="C1074">
            <v>353.03</v>
          </cell>
        </row>
        <row r="1075">
          <cell r="A1075" t="str">
            <v>CAJA8-75</v>
          </cell>
          <cell r="B1075">
            <v>3770.09</v>
          </cell>
          <cell r="C1075">
            <v>639.92999999999995</v>
          </cell>
        </row>
        <row r="1076">
          <cell r="A1076" t="str">
            <v>CAJA8-75G</v>
          </cell>
          <cell r="B1076">
            <v>3753.38</v>
          </cell>
          <cell r="C1076">
            <v>255.24</v>
          </cell>
        </row>
        <row r="1077">
          <cell r="A1077" t="str">
            <v>CAJA8-95</v>
          </cell>
          <cell r="B1077">
            <v>3916.5</v>
          </cell>
          <cell r="C1077">
            <v>262.54000000000002</v>
          </cell>
        </row>
        <row r="1078">
          <cell r="A1078" t="str">
            <v>CAJA8-95G</v>
          </cell>
          <cell r="B1078">
            <v>3918.54</v>
          </cell>
          <cell r="C1078">
            <v>1167.3699999999999</v>
          </cell>
        </row>
        <row r="1079">
          <cell r="A1079" t="str">
            <v>CAJA8-95GTM</v>
          </cell>
          <cell r="B1079">
            <v>4324.9399999999996</v>
          </cell>
          <cell r="C1079">
            <v>0</v>
          </cell>
        </row>
        <row r="1080">
          <cell r="A1080" t="str">
            <v>CAJA8-95TM</v>
          </cell>
          <cell r="B1080">
            <v>4309.4799999999996</v>
          </cell>
          <cell r="C1080">
            <v>0</v>
          </cell>
        </row>
        <row r="1081">
          <cell r="A1081" t="str">
            <v>CAJA8G</v>
          </cell>
          <cell r="B1081">
            <v>6161.47</v>
          </cell>
          <cell r="C1081">
            <v>516.91999999999996</v>
          </cell>
        </row>
        <row r="1082">
          <cell r="A1082" t="str">
            <v>CAJA8M-95</v>
          </cell>
          <cell r="B1082">
            <v>3916.5</v>
          </cell>
          <cell r="C1082">
            <v>0</v>
          </cell>
        </row>
        <row r="1083">
          <cell r="A1083" t="str">
            <v>CAJA8M-95G</v>
          </cell>
          <cell r="B1083">
            <v>3918.54</v>
          </cell>
          <cell r="C1083">
            <v>0</v>
          </cell>
        </row>
        <row r="1084">
          <cell r="A1084" t="str">
            <v>CAJA8M-95GTM</v>
          </cell>
          <cell r="B1084">
            <v>4324.9399999999996</v>
          </cell>
          <cell r="C1084">
            <v>0</v>
          </cell>
        </row>
        <row r="1085">
          <cell r="A1085" t="str">
            <v>CAJA8M-95TM</v>
          </cell>
          <cell r="B1085">
            <v>4309.4799999999996</v>
          </cell>
          <cell r="C1085">
            <v>0</v>
          </cell>
        </row>
        <row r="1086">
          <cell r="A1086" t="str">
            <v>CAJA8P</v>
          </cell>
          <cell r="B1086">
            <v>6823.85</v>
          </cell>
          <cell r="C1086">
            <v>0</v>
          </cell>
        </row>
        <row r="1087">
          <cell r="A1087" t="str">
            <v>CAJA8PG</v>
          </cell>
          <cell r="B1087">
            <v>6836.99</v>
          </cell>
          <cell r="C1087">
            <v>0</v>
          </cell>
        </row>
        <row r="1088">
          <cell r="A1088" t="str">
            <v>CAJA8PG-75</v>
          </cell>
          <cell r="B1088">
            <v>3990.68</v>
          </cell>
          <cell r="C1088">
            <v>268.10000000000002</v>
          </cell>
        </row>
        <row r="1089">
          <cell r="A1089" t="str">
            <v>CAJAR12G</v>
          </cell>
          <cell r="B1089">
            <v>3753.38</v>
          </cell>
          <cell r="C1089">
            <v>344.22</v>
          </cell>
        </row>
        <row r="1090">
          <cell r="A1090" t="str">
            <v>CAJAR4G</v>
          </cell>
          <cell r="B1090">
            <v>2965.25</v>
          </cell>
          <cell r="C1090">
            <v>160.91</v>
          </cell>
        </row>
        <row r="1091">
          <cell r="A1091" t="str">
            <v>CAJAR8G</v>
          </cell>
          <cell r="B1091">
            <v>3311.75</v>
          </cell>
          <cell r="C1091">
            <v>63.38</v>
          </cell>
        </row>
        <row r="1092">
          <cell r="A1092" t="str">
            <v>CCA30</v>
          </cell>
          <cell r="B1092">
            <v>11373.07</v>
          </cell>
          <cell r="C1092">
            <v>4187.82</v>
          </cell>
        </row>
        <row r="1093">
          <cell r="A1093" t="str">
            <v>CCA30M</v>
          </cell>
          <cell r="B1093">
            <v>28426.26</v>
          </cell>
          <cell r="C1093">
            <v>0</v>
          </cell>
        </row>
        <row r="1094">
          <cell r="A1094" t="str">
            <v>CCA35</v>
          </cell>
          <cell r="B1094">
            <v>12438.05</v>
          </cell>
          <cell r="C1094">
            <v>0</v>
          </cell>
        </row>
        <row r="1095">
          <cell r="A1095" t="str">
            <v>CCA40</v>
          </cell>
          <cell r="B1095">
            <v>18269.73</v>
          </cell>
          <cell r="C1095">
            <v>4697.22</v>
          </cell>
        </row>
        <row r="1096">
          <cell r="A1096" t="str">
            <v>CCA40M</v>
          </cell>
          <cell r="B1096">
            <v>39983.440000000002</v>
          </cell>
          <cell r="C1096">
            <v>14.01</v>
          </cell>
        </row>
        <row r="1097">
          <cell r="A1097" t="str">
            <v>CCA50</v>
          </cell>
          <cell r="B1097">
            <v>21003.62</v>
          </cell>
          <cell r="C1097">
            <v>3764.52</v>
          </cell>
        </row>
        <row r="1098">
          <cell r="A1098" t="str">
            <v>CCA50M</v>
          </cell>
          <cell r="B1098">
            <v>45060.42</v>
          </cell>
          <cell r="C1098">
            <v>1.04</v>
          </cell>
        </row>
        <row r="1099">
          <cell r="A1099" t="str">
            <v>CCA60</v>
          </cell>
          <cell r="B1099">
            <v>31162</v>
          </cell>
          <cell r="C1099">
            <v>4945.22</v>
          </cell>
        </row>
        <row r="1100">
          <cell r="A1100" t="str">
            <v>CCA60M</v>
          </cell>
          <cell r="B1100">
            <v>61701.95</v>
          </cell>
          <cell r="C1100">
            <v>2.1800000000000002</v>
          </cell>
        </row>
        <row r="1101">
          <cell r="A1101" t="str">
            <v>CCA70</v>
          </cell>
          <cell r="B1101">
            <v>39104.07</v>
          </cell>
          <cell r="C1101">
            <v>6889.66</v>
          </cell>
        </row>
        <row r="1102">
          <cell r="A1102" t="str">
            <v>CCA70M</v>
          </cell>
          <cell r="B1102">
            <v>77554.34</v>
          </cell>
          <cell r="C1102">
            <v>1.24</v>
          </cell>
        </row>
        <row r="1103">
          <cell r="A1103" t="str">
            <v>CCA80</v>
          </cell>
          <cell r="B1103">
            <v>41626.94</v>
          </cell>
          <cell r="C1103">
            <v>7596.38</v>
          </cell>
        </row>
        <row r="1104">
          <cell r="A1104" t="str">
            <v>CCA80M</v>
          </cell>
          <cell r="B1104">
            <v>84633.33</v>
          </cell>
          <cell r="C1104">
            <v>3.6</v>
          </cell>
        </row>
        <row r="1105">
          <cell r="A1105" t="str">
            <v>CCA90</v>
          </cell>
          <cell r="B1105">
            <v>48430.5</v>
          </cell>
          <cell r="C1105">
            <v>5060.21</v>
          </cell>
        </row>
        <row r="1106">
          <cell r="A1106" t="str">
            <v>CCA90M</v>
          </cell>
          <cell r="B1106">
            <v>94080.36</v>
          </cell>
          <cell r="C1106">
            <v>0</v>
          </cell>
        </row>
        <row r="1107">
          <cell r="A1107" t="str">
            <v>CCE125GV</v>
          </cell>
          <cell r="B1107">
            <v>1206.96</v>
          </cell>
          <cell r="C1107">
            <v>171.75</v>
          </cell>
        </row>
        <row r="1108">
          <cell r="A1108" t="str">
            <v>CCE125TG</v>
          </cell>
          <cell r="B1108">
            <v>903.62</v>
          </cell>
          <cell r="C1108">
            <v>287.16000000000003</v>
          </cell>
        </row>
        <row r="1109">
          <cell r="A1109" t="str">
            <v>CCE13</v>
          </cell>
          <cell r="B1109">
            <v>1326.89</v>
          </cell>
          <cell r="C1109">
            <v>238.69</v>
          </cell>
        </row>
        <row r="1110">
          <cell r="A1110" t="str">
            <v>CCE15</v>
          </cell>
          <cell r="B1110">
            <v>1862.95</v>
          </cell>
          <cell r="C1110">
            <v>411.32</v>
          </cell>
        </row>
        <row r="1111">
          <cell r="A1111" t="str">
            <v>CCE15-EX</v>
          </cell>
          <cell r="B1111">
            <v>3056.04</v>
          </cell>
          <cell r="C1111">
            <v>0</v>
          </cell>
        </row>
        <row r="1112">
          <cell r="A1112" t="str">
            <v>CCE20</v>
          </cell>
          <cell r="B1112">
            <v>2222.35</v>
          </cell>
          <cell r="C1112">
            <v>248.6</v>
          </cell>
        </row>
        <row r="1113">
          <cell r="A1113" t="str">
            <v>CCE2010</v>
          </cell>
          <cell r="B1113">
            <v>2654.6</v>
          </cell>
          <cell r="C1113">
            <v>417.6</v>
          </cell>
        </row>
        <row r="1114">
          <cell r="A1114" t="str">
            <v>CCE2010-EX</v>
          </cell>
          <cell r="B1114">
            <v>4396.6400000000003</v>
          </cell>
          <cell r="C1114">
            <v>0</v>
          </cell>
        </row>
        <row r="1115">
          <cell r="A1115" t="str">
            <v>CCE2010TT</v>
          </cell>
          <cell r="B1115">
            <v>4180.62</v>
          </cell>
          <cell r="C1115">
            <v>34.96</v>
          </cell>
        </row>
        <row r="1116">
          <cell r="A1116" t="str">
            <v>CCE2015</v>
          </cell>
          <cell r="B1116">
            <v>3504.46</v>
          </cell>
          <cell r="C1116">
            <v>305.70999999999998</v>
          </cell>
        </row>
        <row r="1117">
          <cell r="A1117" t="str">
            <v>CCE2510</v>
          </cell>
          <cell r="B1117">
            <v>3545.16</v>
          </cell>
          <cell r="C1117">
            <v>254.94</v>
          </cell>
        </row>
        <row r="1118">
          <cell r="A1118" t="str">
            <v>CCE2510-EX</v>
          </cell>
          <cell r="B1118">
            <v>5879.44</v>
          </cell>
          <cell r="C1118">
            <v>0</v>
          </cell>
        </row>
        <row r="1119">
          <cell r="A1119" t="str">
            <v>CCE2515</v>
          </cell>
          <cell r="B1119">
            <v>4603.42</v>
          </cell>
          <cell r="C1119">
            <v>281.92</v>
          </cell>
        </row>
        <row r="1120">
          <cell r="A1120" t="str">
            <v>CCE2520</v>
          </cell>
          <cell r="B1120">
            <v>3062.85</v>
          </cell>
          <cell r="C1120">
            <v>188.14</v>
          </cell>
        </row>
        <row r="1121">
          <cell r="A1121" t="str">
            <v>CCE3010</v>
          </cell>
          <cell r="B1121">
            <v>4607.4799999999996</v>
          </cell>
          <cell r="C1121">
            <v>316.12</v>
          </cell>
        </row>
        <row r="1122">
          <cell r="A1122" t="str">
            <v>CCE3010-EX</v>
          </cell>
          <cell r="B1122">
            <v>7548.14</v>
          </cell>
          <cell r="C1122">
            <v>0</v>
          </cell>
        </row>
        <row r="1123">
          <cell r="A1123" t="str">
            <v>CCE3015</v>
          </cell>
          <cell r="B1123">
            <v>5869.26</v>
          </cell>
          <cell r="C1123">
            <v>384.29</v>
          </cell>
        </row>
        <row r="1124">
          <cell r="A1124" t="str">
            <v>CCE3015-EX</v>
          </cell>
          <cell r="B1124">
            <v>11044.24</v>
          </cell>
          <cell r="C1124">
            <v>0</v>
          </cell>
        </row>
        <row r="1125">
          <cell r="A1125" t="str">
            <v>CCE3020</v>
          </cell>
          <cell r="B1125">
            <v>7863.66</v>
          </cell>
          <cell r="C1125">
            <v>338.81</v>
          </cell>
        </row>
        <row r="1126">
          <cell r="A1126" t="str">
            <v>CCE40</v>
          </cell>
          <cell r="B1126">
            <v>8758.8700000000008</v>
          </cell>
          <cell r="C1126">
            <v>420.26</v>
          </cell>
        </row>
        <row r="1127">
          <cell r="A1127" t="str">
            <v>CCE40-EX</v>
          </cell>
          <cell r="B1127">
            <v>14364.51</v>
          </cell>
          <cell r="C1127">
            <v>0</v>
          </cell>
        </row>
        <row r="1128">
          <cell r="A1128" t="str">
            <v>CCE4020</v>
          </cell>
          <cell r="B1128">
            <v>10427.98</v>
          </cell>
          <cell r="C1128">
            <v>438.77</v>
          </cell>
        </row>
        <row r="1129">
          <cell r="A1129" t="str">
            <v>CCE50</v>
          </cell>
          <cell r="B1129">
            <v>14009.63</v>
          </cell>
          <cell r="C1129">
            <v>732.41</v>
          </cell>
        </row>
        <row r="1130">
          <cell r="A1130" t="str">
            <v>CCE50-15-6</v>
          </cell>
          <cell r="B1130">
            <v>6552.3</v>
          </cell>
          <cell r="C1130">
            <v>857.33</v>
          </cell>
        </row>
        <row r="1131">
          <cell r="A1131" t="str">
            <v>CCE6020</v>
          </cell>
          <cell r="B1131">
            <v>17998.32</v>
          </cell>
          <cell r="C1131">
            <v>1234.3399999999999</v>
          </cell>
        </row>
        <row r="1132">
          <cell r="A1132" t="str">
            <v>CCE6030</v>
          </cell>
          <cell r="B1132">
            <v>22964.3</v>
          </cell>
          <cell r="C1132">
            <v>1317.25</v>
          </cell>
        </row>
        <row r="1133">
          <cell r="A1133" t="str">
            <v>CCE70</v>
          </cell>
          <cell r="B1133">
            <v>27609.55</v>
          </cell>
          <cell r="C1133">
            <v>0</v>
          </cell>
        </row>
        <row r="1134">
          <cell r="A1134" t="str">
            <v>CCE80</v>
          </cell>
          <cell r="B1134">
            <v>33248.15</v>
          </cell>
          <cell r="C1134">
            <v>0</v>
          </cell>
        </row>
        <row r="1135">
          <cell r="A1135" t="str">
            <v>CCEP</v>
          </cell>
          <cell r="B1135">
            <v>2549.52</v>
          </cell>
          <cell r="C1135">
            <v>530.9</v>
          </cell>
        </row>
        <row r="1136">
          <cell r="A1136" t="str">
            <v>CCGA100</v>
          </cell>
          <cell r="B1136">
            <v>33516.5</v>
          </cell>
          <cell r="C1136">
            <v>3142.8</v>
          </cell>
        </row>
        <row r="1137">
          <cell r="A1137" t="str">
            <v>CCGA70</v>
          </cell>
          <cell r="B1137">
            <v>23980.44</v>
          </cell>
          <cell r="C1137">
            <v>1087.3800000000001</v>
          </cell>
        </row>
        <row r="1138">
          <cell r="A1138" t="str">
            <v>CCGA70-D</v>
          </cell>
          <cell r="B1138">
            <v>36980.92</v>
          </cell>
          <cell r="C1138">
            <v>0</v>
          </cell>
        </row>
        <row r="1139">
          <cell r="A1139" t="str">
            <v>CCGA7030</v>
          </cell>
          <cell r="B1139">
            <v>30347.63</v>
          </cell>
          <cell r="C1139">
            <v>1211.42</v>
          </cell>
        </row>
        <row r="1140">
          <cell r="A1140" t="str">
            <v>CCGCOM</v>
          </cell>
          <cell r="B1140">
            <v>13507.67</v>
          </cell>
          <cell r="C1140">
            <v>738.3</v>
          </cell>
        </row>
        <row r="1141">
          <cell r="A1141" t="str">
            <v>CCIBU</v>
          </cell>
          <cell r="B1141">
            <v>3958.65</v>
          </cell>
          <cell r="C1141">
            <v>331.13</v>
          </cell>
        </row>
        <row r="1142">
          <cell r="A1142" t="str">
            <v>CCIBU250</v>
          </cell>
          <cell r="B1142">
            <v>6892.26</v>
          </cell>
          <cell r="C1142">
            <v>0</v>
          </cell>
        </row>
        <row r="1143">
          <cell r="A1143" t="str">
            <v>CCPAU506G</v>
          </cell>
          <cell r="B1143">
            <v>7274.82</v>
          </cell>
          <cell r="C1143">
            <v>289.66000000000003</v>
          </cell>
        </row>
        <row r="1144">
          <cell r="A1144" t="str">
            <v>CCPAU506G-E</v>
          </cell>
          <cell r="B1144">
            <v>7274.82</v>
          </cell>
          <cell r="C1144">
            <v>507.59</v>
          </cell>
        </row>
        <row r="1145">
          <cell r="A1145" t="str">
            <v>CCPAU511</v>
          </cell>
          <cell r="B1145">
            <v>9495.74</v>
          </cell>
          <cell r="C1145">
            <v>0</v>
          </cell>
        </row>
        <row r="1146">
          <cell r="A1146" t="str">
            <v>CCT100</v>
          </cell>
          <cell r="B1146">
            <v>51660</v>
          </cell>
          <cell r="C1146">
            <v>192.72</v>
          </cell>
        </row>
        <row r="1147">
          <cell r="A1147" t="str">
            <v>CCT120</v>
          </cell>
          <cell r="B1147">
            <v>69714.23</v>
          </cell>
          <cell r="C1147">
            <v>0</v>
          </cell>
        </row>
        <row r="1148">
          <cell r="A1148" t="str">
            <v>CCT1510</v>
          </cell>
          <cell r="B1148">
            <v>3495.38</v>
          </cell>
          <cell r="C1148">
            <v>568.02</v>
          </cell>
        </row>
        <row r="1149">
          <cell r="A1149" t="str">
            <v>CCT2010</v>
          </cell>
          <cell r="B1149">
            <v>2232.2800000000002</v>
          </cell>
          <cell r="C1149">
            <v>309.13</v>
          </cell>
        </row>
        <row r="1150">
          <cell r="A1150" t="str">
            <v>CCT2010V</v>
          </cell>
          <cell r="B1150">
            <v>4685.34</v>
          </cell>
          <cell r="C1150">
            <v>0</v>
          </cell>
        </row>
        <row r="1151">
          <cell r="A1151" t="str">
            <v>CCT2015</v>
          </cell>
          <cell r="B1151">
            <v>3220.63</v>
          </cell>
          <cell r="C1151">
            <v>297.75</v>
          </cell>
        </row>
        <row r="1152">
          <cell r="A1152" t="str">
            <v>CCT2015V</v>
          </cell>
          <cell r="B1152">
            <v>5673.89</v>
          </cell>
          <cell r="C1152">
            <v>0</v>
          </cell>
        </row>
        <row r="1153">
          <cell r="A1153" t="str">
            <v>CCT3010</v>
          </cell>
          <cell r="B1153">
            <v>3353.98</v>
          </cell>
          <cell r="C1153">
            <v>336.16</v>
          </cell>
        </row>
        <row r="1154">
          <cell r="A1154" t="str">
            <v>CCT3010V</v>
          </cell>
          <cell r="B1154">
            <v>7686.75</v>
          </cell>
          <cell r="C1154">
            <v>12.51</v>
          </cell>
        </row>
        <row r="1155">
          <cell r="A1155" t="str">
            <v>CCT3015</v>
          </cell>
          <cell r="B1155">
            <v>4839.09</v>
          </cell>
          <cell r="C1155">
            <v>339.96</v>
          </cell>
        </row>
        <row r="1156">
          <cell r="A1156" t="str">
            <v>CCT3015V</v>
          </cell>
          <cell r="B1156">
            <v>9169.42</v>
          </cell>
          <cell r="C1156">
            <v>12.51</v>
          </cell>
        </row>
        <row r="1157">
          <cell r="A1157" t="str">
            <v>CCT3020</v>
          </cell>
          <cell r="B1157">
            <v>6827.95</v>
          </cell>
          <cell r="C1157">
            <v>0</v>
          </cell>
        </row>
        <row r="1158">
          <cell r="A1158" t="str">
            <v>CCT3020V</v>
          </cell>
          <cell r="B1158">
            <v>10654.35</v>
          </cell>
          <cell r="C1158">
            <v>12.51</v>
          </cell>
        </row>
        <row r="1159">
          <cell r="A1159" t="str">
            <v>CCT40</v>
          </cell>
          <cell r="B1159">
            <v>6408.2</v>
          </cell>
          <cell r="C1159">
            <v>527.84</v>
          </cell>
        </row>
        <row r="1160">
          <cell r="A1160" t="str">
            <v>CCT4020</v>
          </cell>
          <cell r="B1160">
            <v>8373.92</v>
          </cell>
          <cell r="C1160">
            <v>273.24</v>
          </cell>
        </row>
        <row r="1161">
          <cell r="A1161" t="str">
            <v>CCT402010</v>
          </cell>
          <cell r="B1161">
            <v>8273.24</v>
          </cell>
          <cell r="C1161">
            <v>0</v>
          </cell>
        </row>
        <row r="1162">
          <cell r="A1162" t="str">
            <v>CCT402015</v>
          </cell>
          <cell r="B1162">
            <v>10529.42</v>
          </cell>
          <cell r="C1162">
            <v>0</v>
          </cell>
        </row>
        <row r="1163">
          <cell r="A1163" t="str">
            <v>CCT402020</v>
          </cell>
          <cell r="B1163">
            <v>11871.41</v>
          </cell>
          <cell r="C1163">
            <v>0</v>
          </cell>
        </row>
        <row r="1164">
          <cell r="A1164" t="str">
            <v>CCT4020V</v>
          </cell>
          <cell r="B1164">
            <v>14181.44</v>
          </cell>
          <cell r="C1164">
            <v>0</v>
          </cell>
        </row>
        <row r="1165">
          <cell r="A1165" t="str">
            <v>CCT40V</v>
          </cell>
          <cell r="B1165">
            <v>12168.81</v>
          </cell>
          <cell r="C1165">
            <v>0</v>
          </cell>
        </row>
        <row r="1166">
          <cell r="A1166" t="str">
            <v>CCT60</v>
          </cell>
          <cell r="B1166">
            <v>7981.79</v>
          </cell>
          <cell r="C1166">
            <v>629.62</v>
          </cell>
        </row>
        <row r="1167">
          <cell r="A1167" t="str">
            <v>CCT602010</v>
          </cell>
          <cell r="B1167">
            <v>12148.69</v>
          </cell>
          <cell r="C1167">
            <v>37.53</v>
          </cell>
        </row>
        <row r="1168">
          <cell r="A1168" t="str">
            <v>CCT602015</v>
          </cell>
          <cell r="B1168">
            <v>15292.91</v>
          </cell>
          <cell r="C1168">
            <v>37.53</v>
          </cell>
        </row>
        <row r="1169">
          <cell r="A1169" t="str">
            <v>CCT602020</v>
          </cell>
          <cell r="B1169">
            <v>16911.47</v>
          </cell>
          <cell r="C1169">
            <v>37.53</v>
          </cell>
        </row>
        <row r="1170">
          <cell r="A1170" t="str">
            <v>CCT60V</v>
          </cell>
          <cell r="B1170">
            <v>16858.77</v>
          </cell>
          <cell r="C1170">
            <v>12.51</v>
          </cell>
        </row>
        <row r="1171">
          <cell r="A1171" t="str">
            <v>CCT80</v>
          </cell>
          <cell r="B1171">
            <v>11220.51</v>
          </cell>
          <cell r="C1171">
            <v>956.44</v>
          </cell>
        </row>
        <row r="1172">
          <cell r="A1172" t="str">
            <v>CCT80V</v>
          </cell>
          <cell r="B1172">
            <v>23042.51</v>
          </cell>
          <cell r="C1172">
            <v>12.51</v>
          </cell>
        </row>
        <row r="1173">
          <cell r="A1173" t="str">
            <v>CCUNI</v>
          </cell>
          <cell r="B1173">
            <v>8677.1299999999992</v>
          </cell>
          <cell r="C1173">
            <v>0</v>
          </cell>
        </row>
        <row r="1174">
          <cell r="A1174" t="str">
            <v>CENTRO06</v>
          </cell>
          <cell r="B1174">
            <v>2912.3</v>
          </cell>
          <cell r="C1174">
            <v>184.22</v>
          </cell>
        </row>
        <row r="1175">
          <cell r="A1175" t="str">
            <v>CENTRO06-100AL</v>
          </cell>
          <cell r="B1175">
            <v>484.23</v>
          </cell>
          <cell r="C1175">
            <v>111.01</v>
          </cell>
        </row>
        <row r="1176">
          <cell r="A1176" t="str">
            <v>CENTRO06-100ALE</v>
          </cell>
          <cell r="B1176">
            <v>484.23</v>
          </cell>
          <cell r="C1176">
            <v>111.01</v>
          </cell>
        </row>
        <row r="1177">
          <cell r="A1177" t="str">
            <v>CENTRO06-125</v>
          </cell>
          <cell r="B1177">
            <v>2912.3</v>
          </cell>
          <cell r="C1177">
            <v>0</v>
          </cell>
        </row>
        <row r="1178">
          <cell r="A1178" t="str">
            <v>CENTRO06.v2</v>
          </cell>
          <cell r="B1178">
            <v>2931.88</v>
          </cell>
          <cell r="C1178">
            <v>235.93</v>
          </cell>
        </row>
        <row r="1179">
          <cell r="A1179" t="str">
            <v>CENTRO06AL</v>
          </cell>
          <cell r="B1179">
            <v>483.99</v>
          </cell>
          <cell r="C1179">
            <v>0</v>
          </cell>
        </row>
        <row r="1180">
          <cell r="A1180" t="str">
            <v>CENTRO06ALE</v>
          </cell>
          <cell r="B1180">
            <v>483.99</v>
          </cell>
          <cell r="C1180">
            <v>0</v>
          </cell>
        </row>
        <row r="1181">
          <cell r="A1181" t="str">
            <v>CENTRO12</v>
          </cell>
          <cell r="B1181">
            <v>4830.9799999999996</v>
          </cell>
          <cell r="C1181">
            <v>183.85</v>
          </cell>
        </row>
        <row r="1182">
          <cell r="A1182" t="str">
            <v>CENTRO12-100AL</v>
          </cell>
          <cell r="B1182">
            <v>911.43</v>
          </cell>
          <cell r="C1182">
            <v>169.91</v>
          </cell>
        </row>
        <row r="1183">
          <cell r="A1183" t="str">
            <v>CENTRO12-100ALE</v>
          </cell>
          <cell r="B1183">
            <v>911.43</v>
          </cell>
          <cell r="C1183">
            <v>169.91</v>
          </cell>
        </row>
        <row r="1184">
          <cell r="A1184" t="str">
            <v>CENTRO12-125</v>
          </cell>
          <cell r="B1184">
            <v>5481.73</v>
          </cell>
          <cell r="C1184">
            <v>222.04</v>
          </cell>
        </row>
        <row r="1185">
          <cell r="A1185" t="str">
            <v>CENTRO12.v2</v>
          </cell>
          <cell r="B1185">
            <v>4863.5200000000004</v>
          </cell>
          <cell r="C1185">
            <v>136.88</v>
          </cell>
        </row>
        <row r="1186">
          <cell r="A1186" t="str">
            <v>CENTRO12AL</v>
          </cell>
          <cell r="B1186">
            <v>803.09</v>
          </cell>
          <cell r="C1186">
            <v>176.61</v>
          </cell>
        </row>
        <row r="1187">
          <cell r="A1187" t="str">
            <v>CENTRO12AL.v2</v>
          </cell>
          <cell r="B1187">
            <v>803.23</v>
          </cell>
          <cell r="C1187">
            <v>158.44999999999999</v>
          </cell>
        </row>
        <row r="1188">
          <cell r="A1188" t="str">
            <v>CENTRO12ALE</v>
          </cell>
          <cell r="B1188">
            <v>803.09</v>
          </cell>
          <cell r="C1188">
            <v>176.61</v>
          </cell>
        </row>
        <row r="1189">
          <cell r="A1189" t="str">
            <v>CENTRO12ALE.v2</v>
          </cell>
          <cell r="B1189">
            <v>803.23</v>
          </cell>
          <cell r="C1189">
            <v>158.44999999999999</v>
          </cell>
        </row>
        <row r="1190">
          <cell r="A1190" t="str">
            <v>CENTRO18</v>
          </cell>
          <cell r="B1190">
            <v>7486.48</v>
          </cell>
          <cell r="C1190">
            <v>192.33</v>
          </cell>
        </row>
        <row r="1191">
          <cell r="A1191" t="str">
            <v>CENTRO18-100AL</v>
          </cell>
          <cell r="B1191">
            <v>1350.04</v>
          </cell>
          <cell r="C1191">
            <v>181.64</v>
          </cell>
        </row>
        <row r="1192">
          <cell r="A1192" t="str">
            <v>CENTRO18-100ALE</v>
          </cell>
          <cell r="B1192">
            <v>1350.04</v>
          </cell>
          <cell r="C1192">
            <v>181.64</v>
          </cell>
        </row>
        <row r="1193">
          <cell r="A1193" t="str">
            <v>CENTRO18-125</v>
          </cell>
          <cell r="B1193">
            <v>8176.96</v>
          </cell>
          <cell r="C1193">
            <v>309.44</v>
          </cell>
        </row>
        <row r="1194">
          <cell r="A1194" t="str">
            <v>CENTRO18.v2</v>
          </cell>
          <cell r="B1194">
            <v>7484.97</v>
          </cell>
          <cell r="C1194">
            <v>185.74</v>
          </cell>
        </row>
        <row r="1195">
          <cell r="A1195" t="str">
            <v>CENTRO18AL</v>
          </cell>
          <cell r="B1195">
            <v>1236</v>
          </cell>
          <cell r="C1195">
            <v>199.15</v>
          </cell>
        </row>
        <row r="1196">
          <cell r="A1196" t="str">
            <v>CENTRO18AL.v2</v>
          </cell>
          <cell r="B1196">
            <v>1236.19</v>
          </cell>
          <cell r="C1196">
            <v>172.95</v>
          </cell>
        </row>
        <row r="1197">
          <cell r="A1197" t="str">
            <v>CENTRO18ALE</v>
          </cell>
          <cell r="B1197">
            <v>1236</v>
          </cell>
          <cell r="C1197">
            <v>199.15</v>
          </cell>
        </row>
        <row r="1198">
          <cell r="A1198" t="str">
            <v>CENTRO18ALE.v2</v>
          </cell>
          <cell r="B1198">
            <v>1236.19</v>
          </cell>
          <cell r="C1198">
            <v>172.95</v>
          </cell>
        </row>
        <row r="1199">
          <cell r="A1199" t="str">
            <v>CENTRO24</v>
          </cell>
          <cell r="B1199">
            <v>10106.51</v>
          </cell>
          <cell r="C1199">
            <v>180.53</v>
          </cell>
        </row>
        <row r="1200">
          <cell r="A1200" t="str">
            <v>CENTRO24.v2</v>
          </cell>
          <cell r="B1200">
            <v>10106.42</v>
          </cell>
          <cell r="C1200">
            <v>245.28</v>
          </cell>
        </row>
        <row r="1201">
          <cell r="A1201" t="str">
            <v>CENTRO24AL</v>
          </cell>
          <cell r="B1201">
            <v>1668.9</v>
          </cell>
          <cell r="C1201">
            <v>218.82</v>
          </cell>
        </row>
        <row r="1202">
          <cell r="A1202" t="str">
            <v>CENTRO24AL.v2</v>
          </cell>
          <cell r="B1202">
            <v>1669.14</v>
          </cell>
          <cell r="C1202">
            <v>137.75</v>
          </cell>
        </row>
        <row r="1203">
          <cell r="A1203" t="str">
            <v>CENTRO24ALE</v>
          </cell>
          <cell r="B1203">
            <v>1668.9</v>
          </cell>
          <cell r="C1203">
            <v>218.82</v>
          </cell>
        </row>
        <row r="1204">
          <cell r="A1204" t="str">
            <v>CENTRO24ALE.v2</v>
          </cell>
          <cell r="B1204">
            <v>1669.14</v>
          </cell>
          <cell r="C1204">
            <v>137.75</v>
          </cell>
        </row>
        <row r="1205">
          <cell r="A1205" t="str">
            <v>CENTRO30</v>
          </cell>
          <cell r="B1205">
            <v>12726.55</v>
          </cell>
          <cell r="C1205">
            <v>300.39</v>
          </cell>
        </row>
        <row r="1206">
          <cell r="A1206" t="str">
            <v>CENTRO30.v2</v>
          </cell>
          <cell r="B1206">
            <v>12727.87</v>
          </cell>
          <cell r="C1206">
            <v>419.76</v>
          </cell>
        </row>
        <row r="1207">
          <cell r="A1207" t="str">
            <v>CENTRO30AL</v>
          </cell>
          <cell r="B1207">
            <v>2102.0500000000002</v>
          </cell>
          <cell r="C1207">
            <v>5308.81</v>
          </cell>
        </row>
        <row r="1208">
          <cell r="A1208" t="str">
            <v>CENTRO30AL.v2</v>
          </cell>
          <cell r="B1208">
            <v>2102.0700000000002</v>
          </cell>
          <cell r="C1208">
            <v>0</v>
          </cell>
        </row>
        <row r="1209">
          <cell r="A1209" t="str">
            <v>CENTRO30ALE</v>
          </cell>
          <cell r="B1209">
            <v>2102.0500000000002</v>
          </cell>
          <cell r="C1209">
            <v>5308.81</v>
          </cell>
        </row>
        <row r="1210">
          <cell r="A1210" t="str">
            <v>CENTRO30ALE.v2</v>
          </cell>
          <cell r="B1210">
            <v>2102.0700000000002</v>
          </cell>
          <cell r="C1210">
            <v>0</v>
          </cell>
        </row>
        <row r="1211">
          <cell r="A1211" t="str">
            <v>CENTRO36</v>
          </cell>
          <cell r="B1211">
            <v>15351.31</v>
          </cell>
          <cell r="C1211">
            <v>269.79000000000002</v>
          </cell>
        </row>
        <row r="1212">
          <cell r="A1212" t="str">
            <v>CENTRO36.v2</v>
          </cell>
          <cell r="B1212">
            <v>15349.32</v>
          </cell>
          <cell r="C1212">
            <v>278.35000000000002</v>
          </cell>
        </row>
        <row r="1213">
          <cell r="A1213" t="str">
            <v>CENTRO36AL</v>
          </cell>
          <cell r="B1213">
            <v>2534.9499999999998</v>
          </cell>
          <cell r="C1213">
            <v>354.07</v>
          </cell>
        </row>
        <row r="1214">
          <cell r="A1214" t="str">
            <v>CENTRO36AL.v2</v>
          </cell>
          <cell r="B1214">
            <v>2535.0300000000002</v>
          </cell>
          <cell r="C1214">
            <v>265.42</v>
          </cell>
        </row>
        <row r="1215">
          <cell r="A1215" t="str">
            <v>CENTRO36ALE</v>
          </cell>
          <cell r="B1215">
            <v>2534.9499999999998</v>
          </cell>
          <cell r="C1215">
            <v>354.07</v>
          </cell>
        </row>
        <row r="1216">
          <cell r="A1216" t="str">
            <v>CENTRO36ALE.v2</v>
          </cell>
          <cell r="B1216">
            <v>2535.0300000000002</v>
          </cell>
          <cell r="C1216">
            <v>265.42</v>
          </cell>
        </row>
        <row r="1217">
          <cell r="A1217" t="str">
            <v>CENTRO42</v>
          </cell>
          <cell r="B1217">
            <v>18004.45</v>
          </cell>
          <cell r="C1217">
            <v>336.59</v>
          </cell>
        </row>
        <row r="1218">
          <cell r="A1218" t="str">
            <v>CENTRO42.v2</v>
          </cell>
          <cell r="B1218">
            <v>18005.3</v>
          </cell>
          <cell r="C1218">
            <v>456.78</v>
          </cell>
        </row>
        <row r="1219">
          <cell r="A1219" t="str">
            <v>CENTRO42AL</v>
          </cell>
          <cell r="B1219">
            <v>2973.56</v>
          </cell>
          <cell r="C1219">
            <v>269.94</v>
          </cell>
        </row>
        <row r="1220">
          <cell r="A1220" t="str">
            <v>CENTRO42AL.v2</v>
          </cell>
          <cell r="B1220">
            <v>2973.68</v>
          </cell>
          <cell r="C1220">
            <v>1</v>
          </cell>
        </row>
        <row r="1221">
          <cell r="A1221" t="str">
            <v>CENTRO42ALE</v>
          </cell>
          <cell r="B1221">
            <v>2973.56</v>
          </cell>
          <cell r="C1221">
            <v>269.94</v>
          </cell>
        </row>
        <row r="1222">
          <cell r="A1222" t="str">
            <v>CENTRO42ALE.v2</v>
          </cell>
          <cell r="B1222">
            <v>2973.68</v>
          </cell>
          <cell r="C1222">
            <v>1</v>
          </cell>
        </row>
        <row r="1223">
          <cell r="A1223" t="str">
            <v>CF-AL</v>
          </cell>
          <cell r="B1223">
            <v>40.39</v>
          </cell>
          <cell r="C1223">
            <v>0</v>
          </cell>
        </row>
        <row r="1224">
          <cell r="A1224" t="str">
            <v>CF-ALE</v>
          </cell>
          <cell r="B1224">
            <v>40.39</v>
          </cell>
          <cell r="C1224">
            <v>0</v>
          </cell>
        </row>
        <row r="1225">
          <cell r="A1225" t="str">
            <v>CF-CU</v>
          </cell>
          <cell r="B1225">
            <v>23.65</v>
          </cell>
          <cell r="C1225">
            <v>0</v>
          </cell>
        </row>
        <row r="1226">
          <cell r="A1226" t="str">
            <v>CHACORREA</v>
          </cell>
          <cell r="B1226">
            <v>33.31</v>
          </cell>
          <cell r="C1226">
            <v>0</v>
          </cell>
        </row>
        <row r="1227">
          <cell r="A1227" t="str">
            <v>CIERRE</v>
          </cell>
          <cell r="B1227">
            <v>68.150000000000006</v>
          </cell>
          <cell r="C1227">
            <v>12.51</v>
          </cell>
        </row>
        <row r="1228">
          <cell r="A1228" t="str">
            <v>CIERRE-V</v>
          </cell>
          <cell r="B1228">
            <v>67.53</v>
          </cell>
          <cell r="C1228">
            <v>0</v>
          </cell>
        </row>
        <row r="1229">
          <cell r="A1229" t="str">
            <v>CIERREN</v>
          </cell>
          <cell r="B1229">
            <v>67.53</v>
          </cell>
          <cell r="C1229">
            <v>0</v>
          </cell>
        </row>
        <row r="1230">
          <cell r="A1230" t="str">
            <v>CIERREN-V</v>
          </cell>
          <cell r="B1230">
            <v>99.5</v>
          </cell>
          <cell r="C1230">
            <v>0</v>
          </cell>
        </row>
        <row r="1231">
          <cell r="A1231" t="str">
            <v>CN02</v>
          </cell>
          <cell r="B1231">
            <v>1256.68</v>
          </cell>
          <cell r="C1231">
            <v>0</v>
          </cell>
        </row>
        <row r="1232">
          <cell r="A1232" t="str">
            <v>CN02G</v>
          </cell>
          <cell r="B1232">
            <v>1678.6</v>
          </cell>
          <cell r="C1232">
            <v>0</v>
          </cell>
        </row>
        <row r="1233">
          <cell r="A1233" t="str">
            <v>CN03</v>
          </cell>
          <cell r="B1233">
            <v>2381.08</v>
          </cell>
          <cell r="C1233">
            <v>0</v>
          </cell>
        </row>
        <row r="1234">
          <cell r="A1234" t="str">
            <v>CN03G</v>
          </cell>
          <cell r="B1234">
            <v>3180.5</v>
          </cell>
          <cell r="C1234">
            <v>0</v>
          </cell>
        </row>
        <row r="1235">
          <cell r="A1235" t="str">
            <v>CN04</v>
          </cell>
          <cell r="B1235">
            <v>1534.47</v>
          </cell>
          <cell r="C1235">
            <v>103.82</v>
          </cell>
        </row>
        <row r="1236">
          <cell r="A1236" t="str">
            <v>CN04-E</v>
          </cell>
          <cell r="B1236">
            <v>1534.46</v>
          </cell>
          <cell r="C1236">
            <v>0</v>
          </cell>
        </row>
        <row r="1237">
          <cell r="A1237" t="str">
            <v>CN04EP</v>
          </cell>
          <cell r="B1237">
            <v>1680.84</v>
          </cell>
          <cell r="C1237">
            <v>1.34</v>
          </cell>
        </row>
        <row r="1238">
          <cell r="A1238" t="str">
            <v>CN04EPG</v>
          </cell>
          <cell r="B1238">
            <v>2245.16</v>
          </cell>
          <cell r="C1238">
            <v>12.75</v>
          </cell>
        </row>
        <row r="1239">
          <cell r="A1239" t="str">
            <v>CN04G</v>
          </cell>
          <cell r="B1239">
            <v>2049.65</v>
          </cell>
          <cell r="C1239">
            <v>103.94</v>
          </cell>
        </row>
        <row r="1240">
          <cell r="A1240" t="str">
            <v>CN06</v>
          </cell>
          <cell r="B1240">
            <v>1878.41</v>
          </cell>
          <cell r="C1240">
            <v>127.68</v>
          </cell>
        </row>
        <row r="1241">
          <cell r="A1241" t="str">
            <v>CN06EP</v>
          </cell>
          <cell r="B1241">
            <v>2043.09</v>
          </cell>
          <cell r="C1241">
            <v>1.06</v>
          </cell>
        </row>
        <row r="1242">
          <cell r="A1242" t="str">
            <v>CN06EPG</v>
          </cell>
          <cell r="B1242">
            <v>2729.03</v>
          </cell>
          <cell r="C1242">
            <v>0</v>
          </cell>
        </row>
        <row r="1243">
          <cell r="A1243" t="str">
            <v>CN06G</v>
          </cell>
          <cell r="B1243">
            <v>2509.06</v>
          </cell>
          <cell r="C1243">
            <v>107.99</v>
          </cell>
        </row>
        <row r="1244">
          <cell r="A1244" t="str">
            <v>CN06R</v>
          </cell>
          <cell r="B1244">
            <v>6036.1</v>
          </cell>
          <cell r="C1244">
            <v>1.33</v>
          </cell>
        </row>
        <row r="1245">
          <cell r="A1245" t="str">
            <v>CN06R-125</v>
          </cell>
          <cell r="B1245">
            <v>3411.82</v>
          </cell>
          <cell r="C1245">
            <v>0</v>
          </cell>
        </row>
        <row r="1246">
          <cell r="A1246" t="str">
            <v>CN06R-125G</v>
          </cell>
          <cell r="B1246">
            <v>4557.3</v>
          </cell>
          <cell r="C1246">
            <v>0</v>
          </cell>
        </row>
        <row r="1247">
          <cell r="A1247" t="str">
            <v>CN06R.v2</v>
          </cell>
          <cell r="B1247">
            <v>6787.47</v>
          </cell>
          <cell r="C1247">
            <v>0</v>
          </cell>
        </row>
        <row r="1248">
          <cell r="A1248" t="str">
            <v>CN06RG</v>
          </cell>
          <cell r="B1248">
            <v>8062.65</v>
          </cell>
          <cell r="C1248">
            <v>0</v>
          </cell>
        </row>
        <row r="1249">
          <cell r="A1249" t="str">
            <v>CN06RG.v2</v>
          </cell>
          <cell r="B1249">
            <v>9066.2800000000007</v>
          </cell>
          <cell r="C1249">
            <v>0</v>
          </cell>
        </row>
        <row r="1250">
          <cell r="A1250" t="str">
            <v>CN08-75PG</v>
          </cell>
          <cell r="B1250">
            <v>3232.26</v>
          </cell>
          <cell r="C1250">
            <v>0</v>
          </cell>
        </row>
        <row r="1251">
          <cell r="A1251" t="str">
            <v>CN08-95</v>
          </cell>
          <cell r="B1251">
            <v>2211.15</v>
          </cell>
          <cell r="C1251">
            <v>10.75</v>
          </cell>
        </row>
        <row r="1252">
          <cell r="A1252" t="str">
            <v>CN08-95G</v>
          </cell>
          <cell r="B1252">
            <v>2953.52</v>
          </cell>
          <cell r="C1252">
            <v>962.35</v>
          </cell>
        </row>
        <row r="1253">
          <cell r="A1253" t="str">
            <v>CN08-95GTM</v>
          </cell>
          <cell r="B1253">
            <v>3169.63</v>
          </cell>
          <cell r="C1253">
            <v>0</v>
          </cell>
        </row>
        <row r="1254">
          <cell r="A1254" t="str">
            <v>CN08-95TM</v>
          </cell>
          <cell r="B1254">
            <v>2372.94</v>
          </cell>
          <cell r="C1254">
            <v>0</v>
          </cell>
        </row>
        <row r="1255">
          <cell r="A1255" t="str">
            <v>CN08E</v>
          </cell>
          <cell r="B1255">
            <v>3428.75</v>
          </cell>
          <cell r="C1255">
            <v>0</v>
          </cell>
        </row>
        <row r="1256">
          <cell r="A1256" t="str">
            <v>CN08E-75</v>
          </cell>
          <cell r="B1256">
            <v>2209.12</v>
          </cell>
          <cell r="C1256">
            <v>1.49</v>
          </cell>
        </row>
        <row r="1257">
          <cell r="A1257" t="str">
            <v>CN08E-75G</v>
          </cell>
          <cell r="B1257">
            <v>2950.8</v>
          </cell>
          <cell r="C1257">
            <v>0</v>
          </cell>
        </row>
        <row r="1258">
          <cell r="A1258" t="str">
            <v>CN08EG</v>
          </cell>
          <cell r="B1258">
            <v>4579.91</v>
          </cell>
          <cell r="C1258">
            <v>0</v>
          </cell>
        </row>
        <row r="1259">
          <cell r="A1259" t="str">
            <v>CN08EP</v>
          </cell>
          <cell r="B1259">
            <v>3701.14</v>
          </cell>
          <cell r="C1259">
            <v>0</v>
          </cell>
        </row>
        <row r="1260">
          <cell r="A1260" t="str">
            <v>CN08EPG</v>
          </cell>
          <cell r="B1260">
            <v>4943.76</v>
          </cell>
          <cell r="C1260">
            <v>0</v>
          </cell>
        </row>
        <row r="1261">
          <cell r="A1261" t="str">
            <v>CN08M-95</v>
          </cell>
          <cell r="B1261">
            <v>2211.15</v>
          </cell>
          <cell r="C1261">
            <v>0</v>
          </cell>
        </row>
        <row r="1262">
          <cell r="A1262" t="str">
            <v>CN08M-95G</v>
          </cell>
          <cell r="B1262">
            <v>2953.52</v>
          </cell>
          <cell r="C1262">
            <v>0</v>
          </cell>
        </row>
        <row r="1263">
          <cell r="A1263" t="str">
            <v>CN08M-95GTM</v>
          </cell>
          <cell r="B1263">
            <v>3169.63</v>
          </cell>
          <cell r="C1263">
            <v>0</v>
          </cell>
        </row>
        <row r="1264">
          <cell r="A1264" t="str">
            <v>CN08M-95TM</v>
          </cell>
          <cell r="B1264">
            <v>2372.94</v>
          </cell>
          <cell r="C1264">
            <v>0</v>
          </cell>
        </row>
        <row r="1265">
          <cell r="A1265" t="str">
            <v>CN12-125</v>
          </cell>
          <cell r="B1265">
            <v>4128.51</v>
          </cell>
          <cell r="C1265">
            <v>2.97</v>
          </cell>
        </row>
        <row r="1266">
          <cell r="A1266" t="str">
            <v>CN12-125G</v>
          </cell>
          <cell r="B1266">
            <v>5447.18</v>
          </cell>
          <cell r="C1266">
            <v>0</v>
          </cell>
        </row>
        <row r="1267">
          <cell r="A1267" t="str">
            <v>CN12-75PG</v>
          </cell>
          <cell r="B1267">
            <v>4219.3599999999997</v>
          </cell>
          <cell r="C1267">
            <v>0</v>
          </cell>
        </row>
        <row r="1268">
          <cell r="A1268" t="str">
            <v>CN12-95</v>
          </cell>
          <cell r="B1268">
            <v>2711.79</v>
          </cell>
          <cell r="C1268">
            <v>0</v>
          </cell>
        </row>
        <row r="1269">
          <cell r="A1269" t="str">
            <v>CN12-95G</v>
          </cell>
          <cell r="B1269">
            <v>3622.24</v>
          </cell>
          <cell r="C1269">
            <v>15.46</v>
          </cell>
        </row>
        <row r="1270">
          <cell r="A1270" t="str">
            <v>CN12E</v>
          </cell>
          <cell r="B1270">
            <v>3952.59</v>
          </cell>
          <cell r="C1270">
            <v>0</v>
          </cell>
        </row>
        <row r="1271">
          <cell r="A1271" t="str">
            <v>CN12EG</v>
          </cell>
          <cell r="B1271">
            <v>5279.62</v>
          </cell>
          <cell r="C1271">
            <v>0</v>
          </cell>
        </row>
        <row r="1272">
          <cell r="A1272" t="str">
            <v>CN12EP</v>
          </cell>
          <cell r="B1272">
            <v>4290.4399999999996</v>
          </cell>
          <cell r="C1272">
            <v>0</v>
          </cell>
        </row>
        <row r="1273">
          <cell r="A1273" t="str">
            <v>CN12EPG</v>
          </cell>
          <cell r="B1273">
            <v>5730.9</v>
          </cell>
          <cell r="C1273">
            <v>0</v>
          </cell>
        </row>
        <row r="1274">
          <cell r="A1274" t="str">
            <v>CN12M-95</v>
          </cell>
          <cell r="B1274">
            <v>2711.79</v>
          </cell>
          <cell r="C1274">
            <v>0</v>
          </cell>
        </row>
        <row r="1275">
          <cell r="A1275" t="str">
            <v>CN12M-95G</v>
          </cell>
          <cell r="B1275">
            <v>3622.24</v>
          </cell>
          <cell r="C1275">
            <v>0</v>
          </cell>
        </row>
        <row r="1276">
          <cell r="A1276" t="str">
            <v>CN12R</v>
          </cell>
          <cell r="B1276">
            <v>8041.26</v>
          </cell>
          <cell r="C1276">
            <v>3.5</v>
          </cell>
        </row>
        <row r="1277">
          <cell r="A1277" t="str">
            <v>CN12R-125</v>
          </cell>
          <cell r="B1277">
            <v>4189.08</v>
          </cell>
          <cell r="C1277">
            <v>0</v>
          </cell>
        </row>
        <row r="1278">
          <cell r="A1278" t="str">
            <v>CN12R-125G</v>
          </cell>
          <cell r="B1278">
            <v>5595.52</v>
          </cell>
          <cell r="C1278">
            <v>0</v>
          </cell>
        </row>
        <row r="1279">
          <cell r="A1279" t="str">
            <v>CN12R-EX</v>
          </cell>
          <cell r="B1279">
            <v>7714.06</v>
          </cell>
          <cell r="C1279">
            <v>0</v>
          </cell>
        </row>
        <row r="1280">
          <cell r="A1280" t="str">
            <v>CN12R.v2</v>
          </cell>
          <cell r="B1280">
            <v>8005.03</v>
          </cell>
          <cell r="C1280">
            <v>0</v>
          </cell>
        </row>
        <row r="1281">
          <cell r="A1281" t="str">
            <v>CN12RG</v>
          </cell>
          <cell r="B1281">
            <v>10741.02</v>
          </cell>
          <cell r="C1281">
            <v>4.97</v>
          </cell>
        </row>
        <row r="1282">
          <cell r="A1282" t="str">
            <v>CN12RG.v2</v>
          </cell>
          <cell r="B1282">
            <v>10692.62</v>
          </cell>
          <cell r="C1282">
            <v>0</v>
          </cell>
        </row>
        <row r="1283">
          <cell r="A1283" t="str">
            <v>CN12RT</v>
          </cell>
          <cell r="B1283">
            <v>12167.49</v>
          </cell>
          <cell r="C1283">
            <v>3.62</v>
          </cell>
        </row>
        <row r="1284">
          <cell r="A1284" t="str">
            <v>CN12RT.v2</v>
          </cell>
          <cell r="B1284">
            <v>11657.41</v>
          </cell>
          <cell r="C1284">
            <v>0</v>
          </cell>
        </row>
        <row r="1285">
          <cell r="A1285" t="str">
            <v>CN12RTG</v>
          </cell>
          <cell r="B1285">
            <v>16252.57</v>
          </cell>
          <cell r="C1285">
            <v>7.78</v>
          </cell>
        </row>
        <row r="1286">
          <cell r="A1286" t="str">
            <v>CN12RTG.v2</v>
          </cell>
          <cell r="B1286">
            <v>15571.24</v>
          </cell>
          <cell r="C1286">
            <v>0</v>
          </cell>
        </row>
        <row r="1287">
          <cell r="A1287" t="str">
            <v>CN16EP</v>
          </cell>
          <cell r="B1287">
            <v>4497.1899999999996</v>
          </cell>
          <cell r="C1287">
            <v>0</v>
          </cell>
        </row>
        <row r="1288">
          <cell r="A1288" t="str">
            <v>CN16EPG</v>
          </cell>
          <cell r="B1288">
            <v>6007.07</v>
          </cell>
          <cell r="C1288">
            <v>0</v>
          </cell>
        </row>
        <row r="1289">
          <cell r="A1289" t="str">
            <v>CN18-125</v>
          </cell>
          <cell r="B1289">
            <v>4946.12</v>
          </cell>
          <cell r="C1289">
            <v>26.9</v>
          </cell>
        </row>
        <row r="1290">
          <cell r="A1290" t="str">
            <v>CN18-125G</v>
          </cell>
          <cell r="B1290">
            <v>6606.72</v>
          </cell>
          <cell r="C1290">
            <v>0</v>
          </cell>
        </row>
        <row r="1291">
          <cell r="A1291" t="str">
            <v>CN18EP</v>
          </cell>
          <cell r="B1291">
            <v>4785.45</v>
          </cell>
          <cell r="C1291">
            <v>0</v>
          </cell>
        </row>
        <row r="1292">
          <cell r="A1292" t="str">
            <v>CN18EPG</v>
          </cell>
          <cell r="B1292">
            <v>6766.59</v>
          </cell>
          <cell r="C1292">
            <v>0</v>
          </cell>
        </row>
        <row r="1293">
          <cell r="A1293" t="str">
            <v>CN18R</v>
          </cell>
          <cell r="B1293">
            <v>9292.1299999999992</v>
          </cell>
          <cell r="C1293">
            <v>0</v>
          </cell>
        </row>
        <row r="1294">
          <cell r="A1294" t="str">
            <v>CN18R-125</v>
          </cell>
          <cell r="B1294">
            <v>4976.41</v>
          </cell>
          <cell r="C1294">
            <v>0</v>
          </cell>
        </row>
        <row r="1295">
          <cell r="A1295" t="str">
            <v>CN18R-125G</v>
          </cell>
          <cell r="B1295">
            <v>6647.18</v>
          </cell>
          <cell r="C1295">
            <v>0</v>
          </cell>
        </row>
        <row r="1296">
          <cell r="A1296" t="str">
            <v>CN18R-EX</v>
          </cell>
          <cell r="B1296">
            <v>7714.06</v>
          </cell>
          <cell r="C1296">
            <v>0</v>
          </cell>
        </row>
        <row r="1297">
          <cell r="A1297" t="str">
            <v>CN18R.v2</v>
          </cell>
          <cell r="B1297">
            <v>9222.59</v>
          </cell>
          <cell r="C1297">
            <v>0</v>
          </cell>
        </row>
        <row r="1298">
          <cell r="A1298" t="str">
            <v>CN18RG</v>
          </cell>
          <cell r="B1298">
            <v>12411.85</v>
          </cell>
          <cell r="C1298">
            <v>0</v>
          </cell>
        </row>
        <row r="1299">
          <cell r="A1299" t="str">
            <v>CN18RG.v2</v>
          </cell>
          <cell r="B1299">
            <v>12318.96</v>
          </cell>
          <cell r="C1299">
            <v>0</v>
          </cell>
        </row>
        <row r="1300">
          <cell r="A1300" t="str">
            <v>CN18RT</v>
          </cell>
          <cell r="B1300">
            <v>13402.13</v>
          </cell>
          <cell r="C1300">
            <v>0</v>
          </cell>
        </row>
        <row r="1301">
          <cell r="A1301" t="str">
            <v>CN18RT.v2</v>
          </cell>
          <cell r="B1301">
            <v>12874.97</v>
          </cell>
          <cell r="C1301">
            <v>0</v>
          </cell>
        </row>
        <row r="1302">
          <cell r="A1302" t="str">
            <v>CN18RTG</v>
          </cell>
          <cell r="B1302">
            <v>17901.73</v>
          </cell>
          <cell r="C1302">
            <v>0</v>
          </cell>
        </row>
        <row r="1303">
          <cell r="A1303" t="str">
            <v>CN18RTG.v2</v>
          </cell>
          <cell r="B1303">
            <v>17197.580000000002</v>
          </cell>
          <cell r="C1303">
            <v>0</v>
          </cell>
        </row>
        <row r="1304">
          <cell r="A1304" t="str">
            <v>CN24R</v>
          </cell>
          <cell r="B1304">
            <v>10526.74</v>
          </cell>
          <cell r="C1304">
            <v>10.57</v>
          </cell>
        </row>
        <row r="1305">
          <cell r="A1305" t="str">
            <v>CN24R.v2</v>
          </cell>
          <cell r="B1305">
            <v>10439.85</v>
          </cell>
          <cell r="C1305">
            <v>0</v>
          </cell>
        </row>
        <row r="1306">
          <cell r="A1306" t="str">
            <v>CN24RG</v>
          </cell>
          <cell r="B1306">
            <v>14060.96</v>
          </cell>
          <cell r="C1306">
            <v>28.81</v>
          </cell>
        </row>
        <row r="1307">
          <cell r="A1307" t="str">
            <v>CN24RG.v2</v>
          </cell>
          <cell r="B1307">
            <v>13944.89</v>
          </cell>
          <cell r="C1307">
            <v>0</v>
          </cell>
        </row>
        <row r="1308">
          <cell r="A1308" t="str">
            <v>CN24RT</v>
          </cell>
          <cell r="B1308">
            <v>14636.74</v>
          </cell>
          <cell r="C1308">
            <v>4.49</v>
          </cell>
        </row>
        <row r="1309">
          <cell r="A1309" t="str">
            <v>CN24RT.v2</v>
          </cell>
          <cell r="B1309">
            <v>14092.22</v>
          </cell>
          <cell r="C1309">
            <v>0</v>
          </cell>
        </row>
        <row r="1310">
          <cell r="A1310" t="str">
            <v>CN24RTG</v>
          </cell>
          <cell r="B1310">
            <v>19550.84</v>
          </cell>
          <cell r="C1310">
            <v>34.76</v>
          </cell>
        </row>
        <row r="1311">
          <cell r="A1311" t="str">
            <v>CN24RTG.v2</v>
          </cell>
          <cell r="B1311">
            <v>18823.509999999998</v>
          </cell>
          <cell r="C1311">
            <v>0</v>
          </cell>
        </row>
        <row r="1312">
          <cell r="A1312" t="str">
            <v>CN30R</v>
          </cell>
          <cell r="B1312">
            <v>12167.49</v>
          </cell>
          <cell r="C1312">
            <v>20.72</v>
          </cell>
        </row>
        <row r="1313">
          <cell r="A1313" t="str">
            <v>CN30R.v2</v>
          </cell>
          <cell r="B1313">
            <v>11657.41</v>
          </cell>
          <cell r="C1313">
            <v>0</v>
          </cell>
        </row>
        <row r="1314">
          <cell r="A1314" t="str">
            <v>CN30RG</v>
          </cell>
          <cell r="B1314">
            <v>16252.57</v>
          </cell>
          <cell r="C1314">
            <v>0</v>
          </cell>
        </row>
        <row r="1315">
          <cell r="A1315" t="str">
            <v>CN30RG.v2</v>
          </cell>
          <cell r="B1315">
            <v>15571.24</v>
          </cell>
          <cell r="C1315">
            <v>0</v>
          </cell>
        </row>
        <row r="1316">
          <cell r="A1316" t="str">
            <v>CN30RT</v>
          </cell>
          <cell r="B1316">
            <v>15887.6</v>
          </cell>
          <cell r="C1316">
            <v>28.63</v>
          </cell>
        </row>
        <row r="1317">
          <cell r="A1317" t="str">
            <v>CN30RT.v2</v>
          </cell>
          <cell r="B1317">
            <v>15309.78</v>
          </cell>
          <cell r="C1317">
            <v>0</v>
          </cell>
        </row>
        <row r="1318">
          <cell r="A1318" t="str">
            <v>CN30RTG</v>
          </cell>
          <cell r="B1318">
            <v>21221.67</v>
          </cell>
          <cell r="C1318">
            <v>0</v>
          </cell>
        </row>
        <row r="1319">
          <cell r="A1319" t="str">
            <v>CN30RTG.v2</v>
          </cell>
          <cell r="B1319">
            <v>20449.849999999999</v>
          </cell>
          <cell r="C1319">
            <v>0</v>
          </cell>
        </row>
        <row r="1320">
          <cell r="A1320" t="str">
            <v>CN36R</v>
          </cell>
          <cell r="B1320">
            <v>13402.13</v>
          </cell>
          <cell r="C1320">
            <v>0</v>
          </cell>
        </row>
        <row r="1321">
          <cell r="A1321" t="str">
            <v>CN36R.v2</v>
          </cell>
          <cell r="B1321">
            <v>12874.97</v>
          </cell>
          <cell r="C1321">
            <v>0</v>
          </cell>
        </row>
        <row r="1322">
          <cell r="A1322" t="str">
            <v>CN36RG</v>
          </cell>
          <cell r="B1322">
            <v>17901.73</v>
          </cell>
          <cell r="C1322">
            <v>0</v>
          </cell>
        </row>
        <row r="1323">
          <cell r="A1323" t="str">
            <v>CN36RG.v2</v>
          </cell>
          <cell r="B1323">
            <v>17197.580000000002</v>
          </cell>
          <cell r="C1323">
            <v>0</v>
          </cell>
        </row>
        <row r="1324">
          <cell r="A1324" t="str">
            <v>CN36RT</v>
          </cell>
          <cell r="B1324">
            <v>17122.21</v>
          </cell>
          <cell r="C1324">
            <v>15.33</v>
          </cell>
        </row>
        <row r="1325">
          <cell r="A1325" t="str">
            <v>CN36RT.v2</v>
          </cell>
          <cell r="B1325">
            <v>16527.34</v>
          </cell>
          <cell r="C1325">
            <v>0</v>
          </cell>
        </row>
        <row r="1326">
          <cell r="A1326" t="str">
            <v>CN36RTG</v>
          </cell>
          <cell r="B1326">
            <v>22870.78</v>
          </cell>
          <cell r="C1326">
            <v>31.07</v>
          </cell>
        </row>
        <row r="1327">
          <cell r="A1327" t="str">
            <v>CN36RTG.v2</v>
          </cell>
          <cell r="B1327">
            <v>22076.19</v>
          </cell>
          <cell r="C1327">
            <v>0</v>
          </cell>
        </row>
        <row r="1328">
          <cell r="A1328" t="str">
            <v>CN42R</v>
          </cell>
          <cell r="B1328">
            <v>14636.74</v>
          </cell>
          <cell r="C1328">
            <v>0</v>
          </cell>
        </row>
        <row r="1329">
          <cell r="A1329" t="str">
            <v>CN42R.v2</v>
          </cell>
          <cell r="B1329">
            <v>14092.22</v>
          </cell>
          <cell r="C1329">
            <v>0</v>
          </cell>
        </row>
        <row r="1330">
          <cell r="A1330" t="str">
            <v>CN42RG</v>
          </cell>
          <cell r="B1330">
            <v>19550.84</v>
          </cell>
          <cell r="C1330">
            <v>0</v>
          </cell>
        </row>
        <row r="1331">
          <cell r="A1331" t="str">
            <v>CN42RG.v2</v>
          </cell>
          <cell r="B1331">
            <v>18823.509999999998</v>
          </cell>
          <cell r="C1331">
            <v>0</v>
          </cell>
        </row>
        <row r="1332">
          <cell r="A1332" t="str">
            <v>CN42RT</v>
          </cell>
          <cell r="B1332">
            <v>18113.16</v>
          </cell>
          <cell r="C1332">
            <v>0</v>
          </cell>
        </row>
        <row r="1333">
          <cell r="A1333" t="str">
            <v>CN42RT.v2</v>
          </cell>
          <cell r="B1333">
            <v>17744.900000000001</v>
          </cell>
          <cell r="C1333">
            <v>0</v>
          </cell>
        </row>
        <row r="1334">
          <cell r="A1334" t="str">
            <v>CN42RTG</v>
          </cell>
          <cell r="B1334">
            <v>24194.43</v>
          </cell>
          <cell r="C1334">
            <v>10.71</v>
          </cell>
        </row>
        <row r="1335">
          <cell r="A1335" t="str">
            <v>CN42RTG-EX</v>
          </cell>
          <cell r="B1335">
            <v>25864.2</v>
          </cell>
          <cell r="C1335">
            <v>0</v>
          </cell>
        </row>
        <row r="1336">
          <cell r="A1336" t="str">
            <v>CN42RTG.v2</v>
          </cell>
          <cell r="B1336">
            <v>23702.53</v>
          </cell>
          <cell r="C1336">
            <v>0</v>
          </cell>
        </row>
        <row r="1337">
          <cell r="A1337" t="str">
            <v>CN6-125G</v>
          </cell>
          <cell r="B1337">
            <v>4170.1099999999997</v>
          </cell>
          <cell r="C1337">
            <v>3.3</v>
          </cell>
        </row>
        <row r="1338">
          <cell r="A1338" t="str">
            <v>CN8-6</v>
          </cell>
          <cell r="B1338">
            <v>3613.7</v>
          </cell>
          <cell r="C1338">
            <v>6.56</v>
          </cell>
        </row>
        <row r="1339">
          <cell r="A1339" t="str">
            <v>CN8-6G</v>
          </cell>
          <cell r="B1339">
            <v>4826.96</v>
          </cell>
          <cell r="C1339">
            <v>14.1</v>
          </cell>
        </row>
        <row r="1340">
          <cell r="A1340" t="str">
            <v>CNCA30</v>
          </cell>
          <cell r="B1340">
            <v>4749.46</v>
          </cell>
          <cell r="C1340">
            <v>306.72000000000003</v>
          </cell>
        </row>
        <row r="1341">
          <cell r="A1341" t="str">
            <v>CNCA30-CMB</v>
          </cell>
          <cell r="B1341">
            <v>4749.46</v>
          </cell>
          <cell r="C1341">
            <v>4.8</v>
          </cell>
        </row>
        <row r="1342">
          <cell r="A1342" t="str">
            <v>CNCA30M</v>
          </cell>
          <cell r="B1342">
            <v>4749.46</v>
          </cell>
          <cell r="C1342">
            <v>0</v>
          </cell>
        </row>
        <row r="1343">
          <cell r="A1343" t="str">
            <v>CNCA35</v>
          </cell>
          <cell r="B1343">
            <v>5733.94</v>
          </cell>
          <cell r="C1343">
            <v>0</v>
          </cell>
        </row>
        <row r="1344">
          <cell r="A1344" t="str">
            <v>CNCA40</v>
          </cell>
          <cell r="B1344">
            <v>8315.2199999999993</v>
          </cell>
          <cell r="C1344">
            <v>195.33</v>
          </cell>
        </row>
        <row r="1345">
          <cell r="A1345" t="str">
            <v>CNCA40-CMB</v>
          </cell>
          <cell r="B1345">
            <v>8315.2199999999993</v>
          </cell>
          <cell r="C1345">
            <v>1.06</v>
          </cell>
        </row>
        <row r="1346">
          <cell r="A1346" t="str">
            <v>CNCA40M</v>
          </cell>
          <cell r="B1346">
            <v>8315.2199999999993</v>
          </cell>
          <cell r="C1346">
            <v>0</v>
          </cell>
        </row>
        <row r="1347">
          <cell r="A1347" t="str">
            <v>CNCA50</v>
          </cell>
          <cell r="B1347">
            <v>10394.1</v>
          </cell>
          <cell r="C1347">
            <v>142.05000000000001</v>
          </cell>
        </row>
        <row r="1348">
          <cell r="A1348" t="str">
            <v>CNCA50-CMB</v>
          </cell>
          <cell r="B1348">
            <v>10394.1</v>
          </cell>
          <cell r="C1348">
            <v>0</v>
          </cell>
        </row>
        <row r="1349">
          <cell r="A1349" t="str">
            <v>CNCA50M</v>
          </cell>
          <cell r="B1349">
            <v>10394.1</v>
          </cell>
          <cell r="C1349">
            <v>0</v>
          </cell>
        </row>
        <row r="1350">
          <cell r="A1350" t="str">
            <v>CNCA60</v>
          </cell>
          <cell r="B1350">
            <v>15777.04</v>
          </cell>
          <cell r="C1350">
            <v>137.62</v>
          </cell>
        </row>
        <row r="1351">
          <cell r="A1351" t="str">
            <v>CNCA60-CMB</v>
          </cell>
          <cell r="B1351">
            <v>15777.04</v>
          </cell>
          <cell r="C1351">
            <v>3.12</v>
          </cell>
        </row>
        <row r="1352">
          <cell r="A1352" t="str">
            <v>CNCA60M</v>
          </cell>
          <cell r="B1352">
            <v>15777.04</v>
          </cell>
          <cell r="C1352">
            <v>0</v>
          </cell>
        </row>
        <row r="1353">
          <cell r="A1353" t="str">
            <v>CNCA70</v>
          </cell>
          <cell r="B1353">
            <v>20333.740000000002</v>
          </cell>
          <cell r="C1353">
            <v>949.55</v>
          </cell>
        </row>
        <row r="1354">
          <cell r="A1354" t="str">
            <v>CNCA70-CMB</v>
          </cell>
          <cell r="B1354">
            <v>20333.740000000002</v>
          </cell>
          <cell r="C1354">
            <v>0</v>
          </cell>
        </row>
        <row r="1355">
          <cell r="A1355" t="str">
            <v>CNCA70M</v>
          </cell>
          <cell r="B1355">
            <v>20333.740000000002</v>
          </cell>
          <cell r="C1355">
            <v>0</v>
          </cell>
        </row>
        <row r="1356">
          <cell r="A1356" t="str">
            <v>CNCA80</v>
          </cell>
          <cell r="B1356">
            <v>23238.560000000001</v>
          </cell>
          <cell r="C1356">
            <v>425.12</v>
          </cell>
        </row>
        <row r="1357">
          <cell r="A1357" t="str">
            <v>CNCA80-CMB</v>
          </cell>
          <cell r="B1357">
            <v>23238.560000000001</v>
          </cell>
          <cell r="C1357">
            <v>5.34</v>
          </cell>
        </row>
        <row r="1358">
          <cell r="A1358" t="str">
            <v>CNCA80M</v>
          </cell>
          <cell r="B1358">
            <v>23238.560000000001</v>
          </cell>
          <cell r="C1358">
            <v>0</v>
          </cell>
        </row>
        <row r="1359">
          <cell r="A1359" t="str">
            <v>CNCA90</v>
          </cell>
          <cell r="B1359">
            <v>27134.63</v>
          </cell>
          <cell r="C1359">
            <v>613.55999999999995</v>
          </cell>
        </row>
        <row r="1360">
          <cell r="A1360" t="str">
            <v>CNCA90-CMB</v>
          </cell>
          <cell r="B1360">
            <v>27134.63</v>
          </cell>
          <cell r="C1360">
            <v>0</v>
          </cell>
        </row>
        <row r="1361">
          <cell r="A1361" t="str">
            <v>CNCA90M</v>
          </cell>
          <cell r="B1361">
            <v>27134.63</v>
          </cell>
          <cell r="C1361">
            <v>0</v>
          </cell>
        </row>
        <row r="1362">
          <cell r="A1362" t="str">
            <v>CNCE125</v>
          </cell>
          <cell r="B1362">
            <v>659.41</v>
          </cell>
          <cell r="C1362">
            <v>79.959999999999994</v>
          </cell>
        </row>
        <row r="1363">
          <cell r="A1363" t="str">
            <v>CNCE125-CMB</v>
          </cell>
          <cell r="B1363">
            <v>659.41</v>
          </cell>
          <cell r="C1363">
            <v>31.72</v>
          </cell>
        </row>
        <row r="1364">
          <cell r="A1364" t="str">
            <v>CNCE125GV</v>
          </cell>
          <cell r="B1364">
            <v>880.75</v>
          </cell>
          <cell r="C1364">
            <v>19.5</v>
          </cell>
        </row>
        <row r="1365">
          <cell r="A1365" t="str">
            <v>CNCE13</v>
          </cell>
          <cell r="B1365">
            <v>903.59</v>
          </cell>
          <cell r="C1365">
            <v>0</v>
          </cell>
        </row>
        <row r="1366">
          <cell r="A1366" t="str">
            <v>CNCE15</v>
          </cell>
          <cell r="B1366">
            <v>1252.4100000000001</v>
          </cell>
          <cell r="C1366">
            <v>143.54</v>
          </cell>
        </row>
        <row r="1367">
          <cell r="A1367" t="str">
            <v>CNCE15-EX</v>
          </cell>
          <cell r="B1367">
            <v>1691.23</v>
          </cell>
          <cell r="C1367">
            <v>0</v>
          </cell>
        </row>
        <row r="1368">
          <cell r="A1368" t="str">
            <v>CNCE20</v>
          </cell>
          <cell r="B1368">
            <v>1611.81</v>
          </cell>
          <cell r="C1368">
            <v>3.15</v>
          </cell>
        </row>
        <row r="1369">
          <cell r="A1369" t="str">
            <v>CNCE2010</v>
          </cell>
          <cell r="B1369">
            <v>1844.62</v>
          </cell>
          <cell r="C1369">
            <v>137.32</v>
          </cell>
        </row>
        <row r="1370">
          <cell r="A1370" t="str">
            <v>CNCE2010-EX</v>
          </cell>
          <cell r="B1370">
            <v>2509.54</v>
          </cell>
          <cell r="C1370">
            <v>0</v>
          </cell>
        </row>
        <row r="1371">
          <cell r="A1371" t="str">
            <v>CNCE2010TT</v>
          </cell>
          <cell r="B1371">
            <v>3370.65</v>
          </cell>
          <cell r="C1371">
            <v>0</v>
          </cell>
        </row>
        <row r="1372">
          <cell r="A1372" t="str">
            <v>CNCE2015</v>
          </cell>
          <cell r="B1372">
            <v>2283.39</v>
          </cell>
          <cell r="C1372">
            <v>40.049999999999997</v>
          </cell>
        </row>
        <row r="1373">
          <cell r="A1373" t="str">
            <v>CNCE2510</v>
          </cell>
          <cell r="B1373">
            <v>2527.61</v>
          </cell>
          <cell r="C1373">
            <v>1.03</v>
          </cell>
        </row>
        <row r="1374">
          <cell r="A1374" t="str">
            <v>CNCE2510-EX</v>
          </cell>
          <cell r="B1374">
            <v>3442.23</v>
          </cell>
          <cell r="C1374">
            <v>0</v>
          </cell>
        </row>
        <row r="1375">
          <cell r="A1375" t="str">
            <v>CNCE2515</v>
          </cell>
          <cell r="B1375">
            <v>3077.08</v>
          </cell>
          <cell r="C1375">
            <v>10.83</v>
          </cell>
        </row>
        <row r="1376">
          <cell r="A1376" t="str">
            <v>CNCE2520</v>
          </cell>
          <cell r="B1376">
            <v>2252.87</v>
          </cell>
          <cell r="C1376">
            <v>0</v>
          </cell>
        </row>
        <row r="1377">
          <cell r="A1377" t="str">
            <v>CNCE3010</v>
          </cell>
          <cell r="B1377">
            <v>3386.42</v>
          </cell>
          <cell r="C1377">
            <v>2.92</v>
          </cell>
        </row>
        <row r="1378">
          <cell r="A1378" t="str">
            <v>CNCE3010-EX</v>
          </cell>
          <cell r="B1378">
            <v>4524.37</v>
          </cell>
          <cell r="C1378">
            <v>0</v>
          </cell>
        </row>
        <row r="1379">
          <cell r="A1379" t="str">
            <v>CNCE3015</v>
          </cell>
          <cell r="B1379">
            <v>4037.65</v>
          </cell>
          <cell r="C1379">
            <v>11.26</v>
          </cell>
        </row>
        <row r="1380">
          <cell r="A1380" t="str">
            <v>CNCE3015-EX</v>
          </cell>
          <cell r="B1380">
            <v>5394.54</v>
          </cell>
          <cell r="C1380">
            <v>0</v>
          </cell>
        </row>
        <row r="1381">
          <cell r="A1381" t="str">
            <v>CNCE3020</v>
          </cell>
          <cell r="B1381">
            <v>5421.53</v>
          </cell>
          <cell r="C1381">
            <v>9.83</v>
          </cell>
        </row>
        <row r="1382">
          <cell r="A1382" t="str">
            <v>CNCE40</v>
          </cell>
          <cell r="B1382">
            <v>6154.17</v>
          </cell>
          <cell r="C1382">
            <v>30.29</v>
          </cell>
        </row>
        <row r="1383">
          <cell r="A1383" t="str">
            <v>CNCE40-EX</v>
          </cell>
          <cell r="B1383">
            <v>8266.7199999999993</v>
          </cell>
          <cell r="C1383">
            <v>0</v>
          </cell>
        </row>
        <row r="1384">
          <cell r="A1384" t="str">
            <v>CNCE4020</v>
          </cell>
          <cell r="B1384">
            <v>7008.93</v>
          </cell>
          <cell r="C1384">
            <v>0</v>
          </cell>
        </row>
        <row r="1385">
          <cell r="A1385" t="str">
            <v>CNCE50</v>
          </cell>
          <cell r="B1385">
            <v>9735.9699999999993</v>
          </cell>
          <cell r="C1385">
            <v>50.27</v>
          </cell>
        </row>
        <row r="1386">
          <cell r="A1386" t="str">
            <v>CNCE50x15x6</v>
          </cell>
          <cell r="B1386">
            <v>3068.3</v>
          </cell>
          <cell r="C1386">
            <v>854.47</v>
          </cell>
        </row>
        <row r="1387">
          <cell r="A1387" t="str">
            <v>CNCE6020</v>
          </cell>
          <cell r="B1387">
            <v>12870.05</v>
          </cell>
          <cell r="C1387">
            <v>0</v>
          </cell>
        </row>
        <row r="1388">
          <cell r="A1388" t="str">
            <v>CNCE6030</v>
          </cell>
          <cell r="B1388">
            <v>15393.59</v>
          </cell>
          <cell r="C1388">
            <v>0</v>
          </cell>
        </row>
        <row r="1389">
          <cell r="A1389" t="str">
            <v>CNCEP</v>
          </cell>
          <cell r="B1389">
            <v>1999.91</v>
          </cell>
          <cell r="C1389">
            <v>0</v>
          </cell>
        </row>
        <row r="1390">
          <cell r="A1390" t="str">
            <v>CNCIBU</v>
          </cell>
          <cell r="B1390">
            <v>2645.04</v>
          </cell>
          <cell r="C1390">
            <v>0</v>
          </cell>
        </row>
        <row r="1391">
          <cell r="A1391" t="str">
            <v>CNCIBU250</v>
          </cell>
          <cell r="B1391">
            <v>4830.53</v>
          </cell>
          <cell r="C1391">
            <v>0</v>
          </cell>
        </row>
        <row r="1392">
          <cell r="A1392" t="str">
            <v>CNCPAU5011</v>
          </cell>
          <cell r="B1392">
            <v>7701.61</v>
          </cell>
          <cell r="C1392">
            <v>0</v>
          </cell>
        </row>
        <row r="1393">
          <cell r="A1393" t="str">
            <v>CNCPAU506G</v>
          </cell>
          <cell r="B1393">
            <v>6296.2</v>
          </cell>
          <cell r="C1393">
            <v>120.47</v>
          </cell>
        </row>
        <row r="1394">
          <cell r="A1394" t="str">
            <v>CNCPAU506G-E</v>
          </cell>
          <cell r="B1394">
            <v>6296.2</v>
          </cell>
          <cell r="C1394">
            <v>240.63</v>
          </cell>
        </row>
        <row r="1395">
          <cell r="A1395" t="str">
            <v>CNGAP100G</v>
          </cell>
          <cell r="B1395">
            <v>27117.439999999999</v>
          </cell>
          <cell r="C1395">
            <v>1577.8</v>
          </cell>
        </row>
        <row r="1396">
          <cell r="A1396" t="str">
            <v>CNGAP7030G</v>
          </cell>
          <cell r="B1396">
            <v>21920.97</v>
          </cell>
          <cell r="C1396">
            <v>534.41</v>
          </cell>
        </row>
        <row r="1397">
          <cell r="A1397" t="str">
            <v>CNGAP70G</v>
          </cell>
          <cell r="B1397">
            <v>18163.11</v>
          </cell>
          <cell r="C1397">
            <v>500.07</v>
          </cell>
        </row>
        <row r="1398">
          <cell r="A1398" t="str">
            <v>CNGAP70G-D</v>
          </cell>
          <cell r="B1398">
            <v>25835.27</v>
          </cell>
          <cell r="C1398">
            <v>0</v>
          </cell>
        </row>
        <row r="1399">
          <cell r="A1399" t="str">
            <v>CNGC45x45x15</v>
          </cell>
          <cell r="B1399">
            <v>9837.81</v>
          </cell>
          <cell r="C1399">
            <v>291.72000000000003</v>
          </cell>
        </row>
        <row r="1400">
          <cell r="A1400" t="str">
            <v>CNR12G</v>
          </cell>
          <cell r="B1400">
            <v>2950.8</v>
          </cell>
          <cell r="C1400">
            <v>0</v>
          </cell>
        </row>
        <row r="1401">
          <cell r="A1401" t="str">
            <v>CNR4G</v>
          </cell>
          <cell r="B1401">
            <v>2118.21</v>
          </cell>
          <cell r="C1401">
            <v>0</v>
          </cell>
        </row>
        <row r="1402">
          <cell r="A1402" t="str">
            <v>CNR8G</v>
          </cell>
          <cell r="B1402">
            <v>2509.1799999999998</v>
          </cell>
          <cell r="C1402">
            <v>0</v>
          </cell>
        </row>
        <row r="1403">
          <cell r="A1403" t="str">
            <v>CONECTOR12</v>
          </cell>
          <cell r="B1403">
            <v>17.68</v>
          </cell>
          <cell r="C1403">
            <v>4.2300000000000004</v>
          </cell>
        </row>
        <row r="1404">
          <cell r="A1404" t="str">
            <v>CONECTOR12-AI</v>
          </cell>
          <cell r="B1404">
            <v>35.54</v>
          </cell>
          <cell r="C1404">
            <v>5.44</v>
          </cell>
        </row>
        <row r="1405">
          <cell r="A1405" t="str">
            <v>CONECTOR34</v>
          </cell>
          <cell r="B1405">
            <v>27.75</v>
          </cell>
          <cell r="C1405">
            <v>4.46</v>
          </cell>
        </row>
        <row r="1406">
          <cell r="A1406" t="str">
            <v>CONECTOR34-AI</v>
          </cell>
          <cell r="B1406">
            <v>50.63</v>
          </cell>
          <cell r="C1406">
            <v>0</v>
          </cell>
        </row>
        <row r="1407">
          <cell r="A1407" t="str">
            <v>CPT</v>
          </cell>
          <cell r="B1407">
            <v>13.88</v>
          </cell>
          <cell r="C1407">
            <v>0</v>
          </cell>
        </row>
        <row r="1408">
          <cell r="A1408" t="str">
            <v>CTUBON</v>
          </cell>
          <cell r="B1408">
            <v>150.35</v>
          </cell>
          <cell r="C1408">
            <v>0</v>
          </cell>
        </row>
        <row r="1409">
          <cell r="A1409" t="str">
            <v>CTUBONAL</v>
          </cell>
          <cell r="B1409">
            <v>211.2</v>
          </cell>
          <cell r="C1409">
            <v>0</v>
          </cell>
        </row>
        <row r="1410">
          <cell r="A1410" t="str">
            <v>CTUBONAL-EX</v>
          </cell>
          <cell r="B1410">
            <v>211.2</v>
          </cell>
          <cell r="C1410">
            <v>0</v>
          </cell>
        </row>
        <row r="1411">
          <cell r="A1411" t="str">
            <v>CTUBONALE</v>
          </cell>
          <cell r="B1411">
            <v>211.2</v>
          </cell>
          <cell r="C1411">
            <v>0</v>
          </cell>
        </row>
        <row r="1412">
          <cell r="A1412" t="str">
            <v>CTUBONALE-EX</v>
          </cell>
          <cell r="B1412">
            <v>211.2</v>
          </cell>
          <cell r="C1412">
            <v>0</v>
          </cell>
        </row>
        <row r="1413">
          <cell r="A1413" t="str">
            <v>CTUBONALET-EX</v>
          </cell>
          <cell r="B1413">
            <v>211.2</v>
          </cell>
          <cell r="C1413">
            <v>0</v>
          </cell>
        </row>
        <row r="1414">
          <cell r="A1414" t="str">
            <v>CTUBONALET-servicio</v>
          </cell>
          <cell r="B1414">
            <v>603.20000000000005</v>
          </cell>
          <cell r="C1414">
            <v>0</v>
          </cell>
        </row>
        <row r="1415">
          <cell r="A1415" t="str">
            <v>CTUBONP</v>
          </cell>
          <cell r="B1415">
            <v>39.08</v>
          </cell>
          <cell r="C1415">
            <v>0</v>
          </cell>
        </row>
        <row r="1416">
          <cell r="A1416" t="str">
            <v>CTUBONPAL</v>
          </cell>
          <cell r="B1416">
            <v>83.6</v>
          </cell>
          <cell r="C1416">
            <v>0</v>
          </cell>
        </row>
        <row r="1417">
          <cell r="A1417" t="str">
            <v>CTUBONPALE</v>
          </cell>
          <cell r="B1417">
            <v>83.6</v>
          </cell>
          <cell r="C1417">
            <v>0</v>
          </cell>
        </row>
        <row r="1418">
          <cell r="A1418" t="str">
            <v>CTUBONPALET-servicio</v>
          </cell>
          <cell r="B1418">
            <v>217.02</v>
          </cell>
          <cell r="C1418">
            <v>0</v>
          </cell>
        </row>
        <row r="1419">
          <cell r="A1419" t="str">
            <v>CTUBOPTR</v>
          </cell>
          <cell r="B1419">
            <v>39.08</v>
          </cell>
          <cell r="C1419">
            <v>0</v>
          </cell>
        </row>
        <row r="1420">
          <cell r="A1420" t="str">
            <v>CTUBOT</v>
          </cell>
          <cell r="B1420">
            <v>542.35</v>
          </cell>
          <cell r="C1420">
            <v>0</v>
          </cell>
        </row>
        <row r="1421">
          <cell r="A1421" t="str">
            <v>CTUBOTP</v>
          </cell>
          <cell r="B1421">
            <v>172.5</v>
          </cell>
          <cell r="C1421">
            <v>0</v>
          </cell>
        </row>
        <row r="1422">
          <cell r="A1422" t="str">
            <v>CTUBOTR</v>
          </cell>
          <cell r="B1422">
            <v>150.35</v>
          </cell>
          <cell r="C1422">
            <v>0</v>
          </cell>
        </row>
        <row r="1423">
          <cell r="A1423" t="str">
            <v>CU212D</v>
          </cell>
          <cell r="B1423">
            <v>9241.0499999999993</v>
          </cell>
          <cell r="C1423">
            <v>234.54</v>
          </cell>
        </row>
        <row r="1424">
          <cell r="A1424" t="str">
            <v>CU212D.v2</v>
          </cell>
          <cell r="B1424">
            <v>9240.34</v>
          </cell>
          <cell r="C1424">
            <v>0</v>
          </cell>
        </row>
        <row r="1425">
          <cell r="A1425" t="str">
            <v>CU212I</v>
          </cell>
          <cell r="B1425">
            <v>7756.05</v>
          </cell>
          <cell r="C1425">
            <v>178.43</v>
          </cell>
        </row>
        <row r="1426">
          <cell r="A1426" t="str">
            <v>CU212I.v2</v>
          </cell>
          <cell r="B1426">
            <v>7755.3</v>
          </cell>
          <cell r="C1426">
            <v>0</v>
          </cell>
        </row>
        <row r="1427">
          <cell r="A1427" t="str">
            <v>CU218D</v>
          </cell>
          <cell r="B1427">
            <v>12707.63</v>
          </cell>
          <cell r="C1427">
            <v>238.41</v>
          </cell>
        </row>
        <row r="1428">
          <cell r="A1428" t="str">
            <v>CU218D.v2</v>
          </cell>
          <cell r="B1428">
            <v>11990.48</v>
          </cell>
          <cell r="C1428">
            <v>0</v>
          </cell>
        </row>
        <row r="1429">
          <cell r="A1429" t="str">
            <v>CU218I</v>
          </cell>
          <cell r="B1429">
            <v>13365</v>
          </cell>
          <cell r="C1429">
            <v>258.02999999999997</v>
          </cell>
        </row>
        <row r="1430">
          <cell r="A1430" t="str">
            <v>CU218I.v2</v>
          </cell>
          <cell r="B1430">
            <v>13365.52</v>
          </cell>
          <cell r="C1430">
            <v>0</v>
          </cell>
        </row>
        <row r="1431">
          <cell r="A1431" t="str">
            <v>CU224D</v>
          </cell>
          <cell r="B1431">
            <v>17602.45</v>
          </cell>
          <cell r="C1431">
            <v>335.67</v>
          </cell>
        </row>
        <row r="1432">
          <cell r="A1432" t="str">
            <v>CU224D.v2</v>
          </cell>
          <cell r="B1432">
            <v>17600.7</v>
          </cell>
          <cell r="C1432">
            <v>0</v>
          </cell>
        </row>
        <row r="1433">
          <cell r="A1433" t="str">
            <v>CU224I</v>
          </cell>
          <cell r="B1433">
            <v>16117.45</v>
          </cell>
          <cell r="C1433">
            <v>330.43</v>
          </cell>
        </row>
        <row r="1434">
          <cell r="A1434" t="str">
            <v>CU224I.v2</v>
          </cell>
          <cell r="B1434">
            <v>16115.61</v>
          </cell>
          <cell r="C1434">
            <v>0</v>
          </cell>
        </row>
        <row r="1435">
          <cell r="A1435" t="str">
            <v>CU230D</v>
          </cell>
          <cell r="B1435">
            <v>21064.3</v>
          </cell>
          <cell r="C1435">
            <v>386.42</v>
          </cell>
        </row>
        <row r="1436">
          <cell r="A1436" t="str">
            <v>CU230D.v2</v>
          </cell>
          <cell r="B1436">
            <v>20350.79</v>
          </cell>
          <cell r="C1436">
            <v>0</v>
          </cell>
        </row>
        <row r="1437">
          <cell r="A1437" t="str">
            <v>CU230I</v>
          </cell>
          <cell r="B1437">
            <v>21726.400000000001</v>
          </cell>
          <cell r="C1437">
            <v>267.92</v>
          </cell>
        </row>
        <row r="1438">
          <cell r="A1438" t="str">
            <v>CU230I.v2</v>
          </cell>
          <cell r="B1438">
            <v>21725.84</v>
          </cell>
          <cell r="C1438">
            <v>0</v>
          </cell>
        </row>
        <row r="1439">
          <cell r="A1439" t="str">
            <v>CU236D</v>
          </cell>
          <cell r="B1439">
            <v>26015.88</v>
          </cell>
          <cell r="C1439">
            <v>510.7</v>
          </cell>
        </row>
        <row r="1440">
          <cell r="A1440" t="str">
            <v>CU236D.v2</v>
          </cell>
          <cell r="B1440">
            <v>26016.02</v>
          </cell>
          <cell r="C1440">
            <v>0</v>
          </cell>
        </row>
        <row r="1441">
          <cell r="A1441" t="str">
            <v>CU236I</v>
          </cell>
          <cell r="B1441">
            <v>24530.880000000001</v>
          </cell>
          <cell r="C1441">
            <v>437.36</v>
          </cell>
        </row>
        <row r="1442">
          <cell r="A1442" t="str">
            <v>CU236I.v2</v>
          </cell>
          <cell r="B1442">
            <v>24530.97</v>
          </cell>
          <cell r="C1442">
            <v>0</v>
          </cell>
        </row>
        <row r="1443">
          <cell r="A1443" t="str">
            <v>CU306D</v>
          </cell>
          <cell r="B1443">
            <v>4917.05</v>
          </cell>
          <cell r="C1443">
            <v>212.57</v>
          </cell>
        </row>
        <row r="1444">
          <cell r="A1444" t="str">
            <v>CU306D-125</v>
          </cell>
          <cell r="B1444">
            <v>3118.03</v>
          </cell>
          <cell r="C1444">
            <v>126.86</v>
          </cell>
        </row>
        <row r="1445">
          <cell r="A1445" t="str">
            <v>CU306D.v2</v>
          </cell>
          <cell r="B1445">
            <v>4950.21</v>
          </cell>
          <cell r="C1445">
            <v>0</v>
          </cell>
        </row>
        <row r="1446">
          <cell r="A1446" t="str">
            <v>CU306I</v>
          </cell>
          <cell r="B1446">
            <v>2145.0700000000002</v>
          </cell>
          <cell r="C1446">
            <v>257.32</v>
          </cell>
        </row>
        <row r="1447">
          <cell r="A1447" t="str">
            <v>CU306I-125</v>
          </cell>
          <cell r="B1447">
            <v>2055.83</v>
          </cell>
          <cell r="C1447">
            <v>123.54</v>
          </cell>
        </row>
        <row r="1448">
          <cell r="A1448" t="str">
            <v>CU306I.v2</v>
          </cell>
          <cell r="B1448">
            <v>2860.09</v>
          </cell>
          <cell r="C1448">
            <v>0</v>
          </cell>
        </row>
        <row r="1449">
          <cell r="A1449" t="str">
            <v>CU312D</v>
          </cell>
          <cell r="B1449">
            <v>9132.2800000000007</v>
          </cell>
          <cell r="C1449">
            <v>230.45</v>
          </cell>
        </row>
        <row r="1450">
          <cell r="A1450" t="str">
            <v>CU312D-125</v>
          </cell>
          <cell r="B1450">
            <v>5721.51</v>
          </cell>
          <cell r="C1450">
            <v>154.58000000000001</v>
          </cell>
        </row>
        <row r="1451">
          <cell r="A1451" t="str">
            <v>CU312D.v2</v>
          </cell>
          <cell r="B1451">
            <v>9130.34</v>
          </cell>
          <cell r="C1451">
            <v>0</v>
          </cell>
        </row>
        <row r="1452">
          <cell r="A1452" t="str">
            <v>CU312I</v>
          </cell>
          <cell r="B1452">
            <v>6392.12</v>
          </cell>
          <cell r="C1452">
            <v>148.6</v>
          </cell>
        </row>
        <row r="1453">
          <cell r="A1453" t="str">
            <v>CU312I-125</v>
          </cell>
          <cell r="B1453">
            <v>4008.55</v>
          </cell>
          <cell r="C1453">
            <v>158.74</v>
          </cell>
        </row>
        <row r="1454">
          <cell r="A1454" t="str">
            <v>CU312I.v2</v>
          </cell>
          <cell r="B1454">
            <v>6435.25</v>
          </cell>
          <cell r="C1454">
            <v>0</v>
          </cell>
        </row>
        <row r="1455">
          <cell r="A1455" t="str">
            <v>CU318D</v>
          </cell>
          <cell r="B1455">
            <v>13308.25</v>
          </cell>
          <cell r="C1455">
            <v>260.74</v>
          </cell>
        </row>
        <row r="1456">
          <cell r="A1456" t="str">
            <v>CU318D-125</v>
          </cell>
          <cell r="B1456">
            <v>8451.26</v>
          </cell>
          <cell r="C1456">
            <v>244.01</v>
          </cell>
        </row>
        <row r="1457">
          <cell r="A1457" t="str">
            <v>CU318D.v2</v>
          </cell>
          <cell r="B1457">
            <v>13310.52</v>
          </cell>
          <cell r="C1457">
            <v>0</v>
          </cell>
        </row>
        <row r="1458">
          <cell r="A1458" t="str">
            <v>CU318I</v>
          </cell>
          <cell r="B1458">
            <v>10560.53</v>
          </cell>
          <cell r="C1458">
            <v>203.2</v>
          </cell>
        </row>
        <row r="1459">
          <cell r="A1459" t="str">
            <v>CU318I-125</v>
          </cell>
          <cell r="B1459">
            <v>6647.03</v>
          </cell>
          <cell r="C1459">
            <v>181.46</v>
          </cell>
        </row>
        <row r="1460">
          <cell r="A1460" t="str">
            <v>CU318I.v2</v>
          </cell>
          <cell r="B1460">
            <v>10560.43</v>
          </cell>
          <cell r="C1460">
            <v>0</v>
          </cell>
        </row>
        <row r="1461">
          <cell r="A1461" t="str">
            <v>CU324D</v>
          </cell>
          <cell r="B1461">
            <v>17436.93</v>
          </cell>
          <cell r="C1461">
            <v>323.05</v>
          </cell>
        </row>
        <row r="1462">
          <cell r="A1462" t="str">
            <v>CU324D.v2</v>
          </cell>
          <cell r="B1462">
            <v>17435.7</v>
          </cell>
          <cell r="C1462">
            <v>0</v>
          </cell>
        </row>
        <row r="1463">
          <cell r="A1463" t="str">
            <v>CU324I</v>
          </cell>
          <cell r="B1463">
            <v>14793.25</v>
          </cell>
          <cell r="C1463">
            <v>262.14</v>
          </cell>
        </row>
        <row r="1464">
          <cell r="A1464" t="str">
            <v>CU324I.v2</v>
          </cell>
          <cell r="B1464">
            <v>14795.57</v>
          </cell>
          <cell r="C1464">
            <v>0</v>
          </cell>
        </row>
        <row r="1465">
          <cell r="A1465" t="str">
            <v>CU330D</v>
          </cell>
          <cell r="B1465">
            <v>21669.65</v>
          </cell>
          <cell r="C1465">
            <v>353.02</v>
          </cell>
        </row>
        <row r="1466">
          <cell r="A1466" t="str">
            <v>CU330D.v2</v>
          </cell>
          <cell r="B1466">
            <v>21670.83</v>
          </cell>
          <cell r="C1466">
            <v>0</v>
          </cell>
        </row>
        <row r="1467">
          <cell r="A1467" t="str">
            <v>CU330I</v>
          </cell>
          <cell r="B1467">
            <v>18921.93</v>
          </cell>
          <cell r="C1467">
            <v>387.67</v>
          </cell>
        </row>
        <row r="1468">
          <cell r="A1468" t="str">
            <v>CU330I.v2</v>
          </cell>
          <cell r="B1468">
            <v>18920.75</v>
          </cell>
          <cell r="C1468">
            <v>0</v>
          </cell>
        </row>
        <row r="1469">
          <cell r="A1469" t="str">
            <v>CU336D</v>
          </cell>
          <cell r="B1469">
            <v>25907.11</v>
          </cell>
          <cell r="C1469">
            <v>393</v>
          </cell>
        </row>
        <row r="1470">
          <cell r="A1470" t="str">
            <v>CU336D.v2</v>
          </cell>
          <cell r="B1470">
            <v>25906.02</v>
          </cell>
          <cell r="C1470">
            <v>0</v>
          </cell>
        </row>
        <row r="1471">
          <cell r="A1471" t="str">
            <v>CU336I</v>
          </cell>
          <cell r="B1471">
            <v>23154.65</v>
          </cell>
          <cell r="C1471">
            <v>358.1</v>
          </cell>
        </row>
        <row r="1472">
          <cell r="A1472" t="str">
            <v>CU336I.v2</v>
          </cell>
          <cell r="B1472">
            <v>23155.88</v>
          </cell>
          <cell r="C1472">
            <v>0</v>
          </cell>
        </row>
        <row r="1473">
          <cell r="A1473" t="str">
            <v>CU342D</v>
          </cell>
          <cell r="B1473">
            <v>30139.83</v>
          </cell>
          <cell r="C1473">
            <v>523.33000000000004</v>
          </cell>
        </row>
        <row r="1474">
          <cell r="A1474" t="str">
            <v>CU342D.v2</v>
          </cell>
          <cell r="B1474">
            <v>30141.15</v>
          </cell>
          <cell r="C1474">
            <v>0</v>
          </cell>
        </row>
        <row r="1475">
          <cell r="A1475" t="str">
            <v>CU342I</v>
          </cell>
          <cell r="B1475">
            <v>27444.13</v>
          </cell>
          <cell r="C1475">
            <v>909.55</v>
          </cell>
        </row>
        <row r="1476">
          <cell r="A1476" t="str">
            <v>CU342I.v2</v>
          </cell>
          <cell r="B1476">
            <v>27446.07</v>
          </cell>
          <cell r="C1476">
            <v>0</v>
          </cell>
        </row>
        <row r="1477">
          <cell r="A1477" t="str">
            <v>CUE1295D</v>
          </cell>
          <cell r="B1477">
            <v>4800.24</v>
          </cell>
          <cell r="C1477">
            <v>137.01</v>
          </cell>
        </row>
        <row r="1478">
          <cell r="A1478" t="str">
            <v>CUE1295I</v>
          </cell>
          <cell r="B1478">
            <v>3970.72</v>
          </cell>
          <cell r="C1478">
            <v>101.86</v>
          </cell>
        </row>
        <row r="1479">
          <cell r="A1479" t="str">
            <v>CUE1295M</v>
          </cell>
          <cell r="B1479">
            <v>5037.6499999999996</v>
          </cell>
          <cell r="C1479">
            <v>321.19</v>
          </cell>
        </row>
        <row r="1480">
          <cell r="A1480" t="str">
            <v>CUE12D</v>
          </cell>
          <cell r="B1480">
            <v>5756.03</v>
          </cell>
          <cell r="C1480">
            <v>142.04</v>
          </cell>
        </row>
        <row r="1481">
          <cell r="A1481" t="str">
            <v>CUE12I</v>
          </cell>
          <cell r="B1481">
            <v>4865.03</v>
          </cell>
          <cell r="C1481">
            <v>115.22</v>
          </cell>
        </row>
        <row r="1482">
          <cell r="A1482" t="str">
            <v>CUE16D</v>
          </cell>
          <cell r="B1482">
            <v>7552.69</v>
          </cell>
          <cell r="C1482">
            <v>0</v>
          </cell>
        </row>
        <row r="1483">
          <cell r="A1483" t="str">
            <v>CUE16I</v>
          </cell>
          <cell r="B1483">
            <v>6578.46</v>
          </cell>
          <cell r="C1483">
            <v>0</v>
          </cell>
        </row>
        <row r="1484">
          <cell r="A1484" t="str">
            <v>CUE18D</v>
          </cell>
          <cell r="B1484">
            <v>7552.69</v>
          </cell>
          <cell r="C1484">
            <v>158.44</v>
          </cell>
        </row>
        <row r="1485">
          <cell r="A1485" t="str">
            <v>CUE18I</v>
          </cell>
          <cell r="B1485">
            <v>8380.32</v>
          </cell>
          <cell r="C1485">
            <v>191.78</v>
          </cell>
        </row>
        <row r="1486">
          <cell r="A1486" t="str">
            <v>CUE895D</v>
          </cell>
          <cell r="B1486">
            <v>3318.55</v>
          </cell>
          <cell r="C1486">
            <v>99.88</v>
          </cell>
        </row>
        <row r="1487">
          <cell r="A1487" t="str">
            <v>CUE895I</v>
          </cell>
          <cell r="B1487">
            <v>2518.83</v>
          </cell>
          <cell r="C1487">
            <v>93.36</v>
          </cell>
        </row>
        <row r="1488">
          <cell r="A1488" t="str">
            <v>CUE895M</v>
          </cell>
          <cell r="B1488">
            <v>3526.17</v>
          </cell>
          <cell r="C1488">
            <v>274.64999999999998</v>
          </cell>
        </row>
        <row r="1489">
          <cell r="A1489" t="str">
            <v>CUE8D</v>
          </cell>
          <cell r="B1489">
            <v>4008.55</v>
          </cell>
          <cell r="C1489">
            <v>114.68</v>
          </cell>
        </row>
        <row r="1490">
          <cell r="A1490" t="str">
            <v>CUE8I</v>
          </cell>
          <cell r="B1490">
            <v>3118.03</v>
          </cell>
          <cell r="C1490">
            <v>147.88</v>
          </cell>
        </row>
        <row r="1491">
          <cell r="A1491" t="str">
            <v>CUPTE2M</v>
          </cell>
          <cell r="B1491">
            <v>371.44</v>
          </cell>
          <cell r="C1491">
            <v>41.94</v>
          </cell>
        </row>
        <row r="1492">
          <cell r="A1492" t="str">
            <v>CUPTE3M</v>
          </cell>
          <cell r="B1492">
            <v>567.52</v>
          </cell>
          <cell r="C1492">
            <v>53.05</v>
          </cell>
        </row>
        <row r="1493">
          <cell r="A1493" t="str">
            <v>CUPTE4M</v>
          </cell>
          <cell r="B1493">
            <v>829.71</v>
          </cell>
          <cell r="C1493">
            <v>25.3</v>
          </cell>
        </row>
        <row r="1494">
          <cell r="A1494" t="str">
            <v>CUPTE6M</v>
          </cell>
          <cell r="B1494">
            <v>1295.83</v>
          </cell>
          <cell r="C1494">
            <v>23.71</v>
          </cell>
        </row>
        <row r="1495">
          <cell r="A1495" t="str">
            <v>CUPTE8M</v>
          </cell>
          <cell r="B1495">
            <v>1789.9</v>
          </cell>
          <cell r="C1495">
            <v>48.55</v>
          </cell>
        </row>
        <row r="1496">
          <cell r="A1496" t="str">
            <v>DF06R-125</v>
          </cell>
          <cell r="B1496">
            <v>1113.2</v>
          </cell>
          <cell r="C1496">
            <v>189.17</v>
          </cell>
        </row>
        <row r="1497">
          <cell r="A1497" t="str">
            <v>DF06R-125-CMB</v>
          </cell>
          <cell r="B1497">
            <v>789.54</v>
          </cell>
          <cell r="C1497">
            <v>0</v>
          </cell>
        </row>
        <row r="1498">
          <cell r="A1498" t="str">
            <v>DF06R-CMB.v2</v>
          </cell>
          <cell r="B1498">
            <v>729.25</v>
          </cell>
          <cell r="C1498">
            <v>0</v>
          </cell>
        </row>
        <row r="1499">
          <cell r="A1499" t="str">
            <v>DF06R.v2</v>
          </cell>
          <cell r="B1499">
            <v>1052.9000000000001</v>
          </cell>
          <cell r="C1499">
            <v>114.64</v>
          </cell>
        </row>
        <row r="1500">
          <cell r="A1500" t="str">
            <v>DF08</v>
          </cell>
          <cell r="B1500">
            <v>789.69</v>
          </cell>
          <cell r="C1500">
            <v>0</v>
          </cell>
        </row>
        <row r="1501">
          <cell r="A1501" t="str">
            <v>DF12</v>
          </cell>
          <cell r="B1501">
            <v>1368.05</v>
          </cell>
          <cell r="C1501">
            <v>77.88</v>
          </cell>
        </row>
        <row r="1502">
          <cell r="A1502" t="str">
            <v>DF12R-125</v>
          </cell>
          <cell r="B1502">
            <v>1343.38</v>
          </cell>
          <cell r="C1502">
            <v>191.06</v>
          </cell>
        </row>
        <row r="1503">
          <cell r="A1503" t="str">
            <v>DF12R-125-CMB</v>
          </cell>
          <cell r="B1503">
            <v>1019.72</v>
          </cell>
          <cell r="C1503">
            <v>0</v>
          </cell>
        </row>
        <row r="1504">
          <cell r="A1504" t="str">
            <v>DF12R-CMB.v2</v>
          </cell>
          <cell r="B1504">
            <v>1053.94</v>
          </cell>
          <cell r="C1504">
            <v>0</v>
          </cell>
        </row>
        <row r="1505">
          <cell r="A1505" t="str">
            <v>DF12R-EX</v>
          </cell>
          <cell r="B1505">
            <v>1535.75</v>
          </cell>
          <cell r="C1505">
            <v>0</v>
          </cell>
        </row>
        <row r="1506">
          <cell r="A1506" t="str">
            <v>DF12R.v2</v>
          </cell>
          <cell r="B1506">
            <v>1377.6</v>
          </cell>
          <cell r="C1506">
            <v>184.04</v>
          </cell>
        </row>
        <row r="1507">
          <cell r="A1507" t="str">
            <v>DF18</v>
          </cell>
          <cell r="B1507">
            <v>1839.42</v>
          </cell>
          <cell r="C1507">
            <v>77.88</v>
          </cell>
        </row>
        <row r="1508">
          <cell r="A1508" t="str">
            <v>DF18R-125</v>
          </cell>
          <cell r="B1508">
            <v>1690.89</v>
          </cell>
          <cell r="C1508">
            <v>184.32</v>
          </cell>
        </row>
        <row r="1509">
          <cell r="A1509" t="str">
            <v>DF18R-125-CMB</v>
          </cell>
          <cell r="B1509">
            <v>1367.23</v>
          </cell>
          <cell r="C1509">
            <v>0</v>
          </cell>
        </row>
        <row r="1510">
          <cell r="A1510" t="str">
            <v>DF18R-CMB.v2</v>
          </cell>
          <cell r="B1510">
            <v>1378.23</v>
          </cell>
          <cell r="C1510">
            <v>0</v>
          </cell>
        </row>
        <row r="1511">
          <cell r="A1511" t="str">
            <v>DF18R-EX</v>
          </cell>
          <cell r="B1511">
            <v>1963.86</v>
          </cell>
          <cell r="C1511">
            <v>0</v>
          </cell>
        </row>
        <row r="1512">
          <cell r="A1512" t="str">
            <v>DF18R-EX-CMB</v>
          </cell>
          <cell r="B1512">
            <v>1323.09</v>
          </cell>
          <cell r="C1512">
            <v>0</v>
          </cell>
        </row>
        <row r="1513">
          <cell r="A1513" t="str">
            <v>DF18R.v2</v>
          </cell>
          <cell r="B1513">
            <v>1701.89</v>
          </cell>
          <cell r="C1513">
            <v>203.46</v>
          </cell>
        </row>
        <row r="1514">
          <cell r="A1514" t="str">
            <v>DF24R-CMB.v2</v>
          </cell>
          <cell r="B1514">
            <v>1702.52</v>
          </cell>
          <cell r="C1514">
            <v>0</v>
          </cell>
        </row>
        <row r="1515">
          <cell r="A1515" t="str">
            <v>DF24R.v2</v>
          </cell>
          <cell r="B1515">
            <v>2026.18</v>
          </cell>
          <cell r="C1515">
            <v>224.16</v>
          </cell>
        </row>
        <row r="1516">
          <cell r="A1516" t="str">
            <v>DF30R-CMB.v2</v>
          </cell>
          <cell r="B1516">
            <v>2027.22</v>
          </cell>
          <cell r="C1516">
            <v>0</v>
          </cell>
        </row>
        <row r="1517">
          <cell r="A1517" t="str">
            <v>DF30R.v2</v>
          </cell>
          <cell r="B1517">
            <v>2350.88</v>
          </cell>
          <cell r="C1517">
            <v>87.19</v>
          </cell>
        </row>
        <row r="1518">
          <cell r="A1518" t="str">
            <v>DF36R-CMB.v2</v>
          </cell>
          <cell r="B1518">
            <v>2351.5100000000002</v>
          </cell>
          <cell r="C1518">
            <v>0</v>
          </cell>
        </row>
        <row r="1519">
          <cell r="A1519" t="str">
            <v>DF36R.v2</v>
          </cell>
          <cell r="B1519">
            <v>2675.17</v>
          </cell>
          <cell r="C1519">
            <v>201.66</v>
          </cell>
        </row>
        <row r="1520">
          <cell r="A1520" t="str">
            <v>DF42R-CMB.v2</v>
          </cell>
          <cell r="B1520">
            <v>2675.8</v>
          </cell>
          <cell r="C1520">
            <v>0</v>
          </cell>
        </row>
        <row r="1521">
          <cell r="A1521" t="str">
            <v>DF42R.v2</v>
          </cell>
          <cell r="B1521">
            <v>2999.46</v>
          </cell>
          <cell r="C1521">
            <v>150.41</v>
          </cell>
        </row>
        <row r="1522">
          <cell r="A1522" t="str">
            <v>DFCA30</v>
          </cell>
          <cell r="B1522">
            <v>1656.9</v>
          </cell>
          <cell r="C1522">
            <v>55.26</v>
          </cell>
        </row>
        <row r="1523">
          <cell r="A1523" t="str">
            <v>DFCA30-CMB</v>
          </cell>
          <cell r="B1523">
            <v>1656.9</v>
          </cell>
          <cell r="C1523">
            <v>0</v>
          </cell>
        </row>
        <row r="1524">
          <cell r="A1524" t="str">
            <v>DFCA30M</v>
          </cell>
          <cell r="B1524">
            <v>1656.9</v>
          </cell>
          <cell r="C1524">
            <v>0</v>
          </cell>
        </row>
        <row r="1525">
          <cell r="A1525" t="str">
            <v>DFCA35</v>
          </cell>
          <cell r="B1525">
            <v>2197.9</v>
          </cell>
          <cell r="C1525">
            <v>0</v>
          </cell>
        </row>
        <row r="1526">
          <cell r="A1526" t="str">
            <v>DFCA40</v>
          </cell>
          <cell r="B1526">
            <v>2918.21</v>
          </cell>
          <cell r="C1526">
            <v>86.39</v>
          </cell>
        </row>
        <row r="1527">
          <cell r="A1527" t="str">
            <v>DFCA40-CMB</v>
          </cell>
          <cell r="B1527">
            <v>2918.21</v>
          </cell>
          <cell r="C1527">
            <v>13.77</v>
          </cell>
        </row>
        <row r="1528">
          <cell r="A1528" t="str">
            <v>DFCA40M</v>
          </cell>
          <cell r="B1528">
            <v>2918.21</v>
          </cell>
          <cell r="C1528">
            <v>0</v>
          </cell>
        </row>
        <row r="1529">
          <cell r="A1529" t="str">
            <v>DFCA50</v>
          </cell>
          <cell r="B1529">
            <v>3764.38</v>
          </cell>
          <cell r="C1529">
            <v>73.650000000000006</v>
          </cell>
        </row>
        <row r="1530">
          <cell r="A1530" t="str">
            <v>DFCA50-CMB</v>
          </cell>
          <cell r="B1530">
            <v>3764.38</v>
          </cell>
          <cell r="C1530">
            <v>0</v>
          </cell>
        </row>
        <row r="1531">
          <cell r="A1531" t="str">
            <v>DFCA50M</v>
          </cell>
          <cell r="B1531">
            <v>3764.38</v>
          </cell>
          <cell r="C1531">
            <v>0</v>
          </cell>
        </row>
        <row r="1532">
          <cell r="A1532" t="str">
            <v>DFCA60</v>
          </cell>
          <cell r="B1532">
            <v>6614.55</v>
          </cell>
          <cell r="C1532">
            <v>94.53</v>
          </cell>
        </row>
        <row r="1533">
          <cell r="A1533" t="str">
            <v>DFCA60-CMB</v>
          </cell>
          <cell r="B1533">
            <v>6614.55</v>
          </cell>
          <cell r="C1533">
            <v>0</v>
          </cell>
        </row>
        <row r="1534">
          <cell r="A1534" t="str">
            <v>DFCA60M</v>
          </cell>
          <cell r="B1534">
            <v>6614.55</v>
          </cell>
          <cell r="C1534">
            <v>0</v>
          </cell>
        </row>
        <row r="1535">
          <cell r="A1535" t="str">
            <v>DFCA70</v>
          </cell>
          <cell r="B1535">
            <v>10200.48</v>
          </cell>
          <cell r="C1535">
            <v>185.96</v>
          </cell>
        </row>
        <row r="1536">
          <cell r="A1536" t="str">
            <v>DFCA70-CMB</v>
          </cell>
          <cell r="B1536">
            <v>10200.48</v>
          </cell>
          <cell r="C1536">
            <v>0</v>
          </cell>
        </row>
        <row r="1537">
          <cell r="A1537" t="str">
            <v>DFCA70M</v>
          </cell>
          <cell r="B1537">
            <v>10200.48</v>
          </cell>
          <cell r="C1537">
            <v>0</v>
          </cell>
        </row>
        <row r="1538">
          <cell r="A1538" t="str">
            <v>DFCA80</v>
          </cell>
          <cell r="B1538">
            <v>11782.01</v>
          </cell>
          <cell r="C1538">
            <v>44.4</v>
          </cell>
        </row>
        <row r="1539">
          <cell r="A1539" t="str">
            <v>DFCA80-CMB</v>
          </cell>
          <cell r="B1539">
            <v>11782.01</v>
          </cell>
          <cell r="C1539">
            <v>16.670000000000002</v>
          </cell>
        </row>
        <row r="1540">
          <cell r="A1540" t="str">
            <v>DFCA80M</v>
          </cell>
          <cell r="B1540">
            <v>11782.01</v>
          </cell>
          <cell r="C1540">
            <v>0</v>
          </cell>
        </row>
        <row r="1541">
          <cell r="A1541" t="str">
            <v>DFCA90</v>
          </cell>
          <cell r="B1541">
            <v>13363.13</v>
          </cell>
          <cell r="C1541">
            <v>599.49</v>
          </cell>
        </row>
        <row r="1542">
          <cell r="A1542" t="str">
            <v>DFCA90-CMB</v>
          </cell>
          <cell r="B1542">
            <v>13363.13</v>
          </cell>
          <cell r="C1542">
            <v>578.98</v>
          </cell>
        </row>
        <row r="1543">
          <cell r="A1543" t="str">
            <v>DFCA90M</v>
          </cell>
          <cell r="B1543">
            <v>13363.13</v>
          </cell>
          <cell r="C1543">
            <v>0</v>
          </cell>
        </row>
        <row r="1544">
          <cell r="A1544" t="str">
            <v>DFCIBU-G</v>
          </cell>
          <cell r="B1544">
            <v>799.2</v>
          </cell>
          <cell r="C1544">
            <v>0</v>
          </cell>
        </row>
        <row r="1545">
          <cell r="A1545" t="str">
            <v>DFCUNI</v>
          </cell>
          <cell r="B1545">
            <v>1787.31</v>
          </cell>
          <cell r="C1545">
            <v>0</v>
          </cell>
        </row>
        <row r="1546">
          <cell r="A1546" t="str">
            <v>DFGA100</v>
          </cell>
          <cell r="B1546">
            <v>11506.89</v>
          </cell>
          <cell r="C1546">
            <v>0</v>
          </cell>
        </row>
        <row r="1547">
          <cell r="A1547" t="str">
            <v>DFGA70</v>
          </cell>
          <cell r="B1547">
            <v>7877.85</v>
          </cell>
          <cell r="C1547">
            <v>19.649999999999999</v>
          </cell>
        </row>
        <row r="1548">
          <cell r="A1548" t="str">
            <v>DFGCOM-ESPECIAL</v>
          </cell>
          <cell r="B1548">
            <v>4306.22</v>
          </cell>
          <cell r="C1548">
            <v>76.66</v>
          </cell>
        </row>
        <row r="1549">
          <cell r="A1549" t="str">
            <v>DFPAU-G</v>
          </cell>
          <cell r="B1549">
            <v>2857.28</v>
          </cell>
          <cell r="C1549">
            <v>0</v>
          </cell>
        </row>
        <row r="1550">
          <cell r="A1550" t="str">
            <v>DFTOTA</v>
          </cell>
          <cell r="B1550">
            <v>785.61</v>
          </cell>
          <cell r="C1550">
            <v>0</v>
          </cell>
        </row>
        <row r="1551">
          <cell r="A1551" t="str">
            <v>DFTOTA-EX</v>
          </cell>
          <cell r="B1551">
            <v>1031.54</v>
          </cell>
          <cell r="C1551">
            <v>0</v>
          </cell>
        </row>
        <row r="1552">
          <cell r="A1552" t="str">
            <v>DFTOTA.v2</v>
          </cell>
          <cell r="B1552">
            <v>740.25</v>
          </cell>
          <cell r="C1552">
            <v>8.6999999999999993</v>
          </cell>
        </row>
        <row r="1553">
          <cell r="A1553" t="str">
            <v>DIVICT10</v>
          </cell>
          <cell r="B1553">
            <v>435.75</v>
          </cell>
          <cell r="C1553">
            <v>0</v>
          </cell>
        </row>
        <row r="1554">
          <cell r="A1554" t="str">
            <v>DIVICT15</v>
          </cell>
          <cell r="B1554">
            <v>991.25</v>
          </cell>
          <cell r="C1554">
            <v>0</v>
          </cell>
        </row>
        <row r="1555">
          <cell r="A1555" t="str">
            <v>DIVICT20</v>
          </cell>
          <cell r="B1555">
            <v>770.95</v>
          </cell>
          <cell r="C1555">
            <v>0</v>
          </cell>
        </row>
        <row r="1556">
          <cell r="A1556" t="str">
            <v>FNCE70</v>
          </cell>
          <cell r="B1556">
            <v>9886.76</v>
          </cell>
          <cell r="C1556">
            <v>0</v>
          </cell>
        </row>
        <row r="1557">
          <cell r="A1557" t="str">
            <v>FNCE80</v>
          </cell>
          <cell r="B1557">
            <v>17489.77</v>
          </cell>
          <cell r="C1557">
            <v>0</v>
          </cell>
        </row>
        <row r="1558">
          <cell r="A1558" t="str">
            <v>FNCIBU250</v>
          </cell>
          <cell r="B1558">
            <v>2032.35</v>
          </cell>
          <cell r="C1558">
            <v>0</v>
          </cell>
        </row>
        <row r="1559">
          <cell r="A1559" t="str">
            <v>FNCUNI</v>
          </cell>
          <cell r="B1559">
            <v>1130.28</v>
          </cell>
          <cell r="C1559">
            <v>0</v>
          </cell>
        </row>
        <row r="1560">
          <cell r="A1560" t="str">
            <v>G-SETI/SET 2 X 2</v>
          </cell>
          <cell r="B1560">
            <v>1901.79</v>
          </cell>
          <cell r="C1560">
            <v>31.34</v>
          </cell>
        </row>
        <row r="1561">
          <cell r="A1561" t="str">
            <v>G-SETI/SETS 2 X 1</v>
          </cell>
          <cell r="B1561">
            <v>1901.79</v>
          </cell>
          <cell r="C1561">
            <v>31.34</v>
          </cell>
        </row>
        <row r="1562">
          <cell r="A1562" t="str">
            <v>G-SETI/SETS 2 X 1.5</v>
          </cell>
          <cell r="B1562">
            <v>1901.79</v>
          </cell>
          <cell r="C1562">
            <v>31.34</v>
          </cell>
        </row>
        <row r="1563">
          <cell r="A1563" t="str">
            <v>GRAPA12-s proceso terminado</v>
          </cell>
          <cell r="B1563">
            <v>1.37</v>
          </cell>
          <cell r="C1563">
            <v>0</v>
          </cell>
        </row>
        <row r="1564">
          <cell r="A1564" t="str">
            <v>GRAPA12DG</v>
          </cell>
          <cell r="B1564">
            <v>3.97</v>
          </cell>
          <cell r="C1564">
            <v>0</v>
          </cell>
        </row>
        <row r="1565">
          <cell r="A1565" t="str">
            <v>GRAPA12SG</v>
          </cell>
          <cell r="B1565">
            <v>1.75</v>
          </cell>
          <cell r="C1565">
            <v>0</v>
          </cell>
        </row>
        <row r="1566">
          <cell r="A1566" t="str">
            <v>I12</v>
          </cell>
          <cell r="B1566">
            <v>14656.95</v>
          </cell>
          <cell r="C1566">
            <v>257.26</v>
          </cell>
        </row>
        <row r="1567">
          <cell r="A1567" t="str">
            <v>I12-BIM</v>
          </cell>
          <cell r="B1567">
            <v>6098.1</v>
          </cell>
          <cell r="C1567">
            <v>661.35</v>
          </cell>
        </row>
        <row r="1568">
          <cell r="A1568" t="str">
            <v>I1285-BIM</v>
          </cell>
          <cell r="B1568">
            <v>3030.15</v>
          </cell>
          <cell r="C1568">
            <v>525</v>
          </cell>
        </row>
        <row r="1569">
          <cell r="A1569" t="str">
            <v>I1285M-BIM</v>
          </cell>
          <cell r="B1569">
            <v>1946.94</v>
          </cell>
          <cell r="C1569">
            <v>493.08</v>
          </cell>
        </row>
        <row r="1570">
          <cell r="A1570" t="str">
            <v>I1295</v>
          </cell>
          <cell r="B1570">
            <v>10342.959999999999</v>
          </cell>
          <cell r="C1570">
            <v>471.98</v>
          </cell>
        </row>
        <row r="1571">
          <cell r="A1571" t="str">
            <v>I1295M</v>
          </cell>
          <cell r="B1571">
            <v>6147.05</v>
          </cell>
          <cell r="C1571">
            <v>504.26</v>
          </cell>
        </row>
        <row r="1572">
          <cell r="A1572" t="str">
            <v>I12P</v>
          </cell>
          <cell r="B1572">
            <v>15188.54</v>
          </cell>
          <cell r="C1572">
            <v>848.26</v>
          </cell>
        </row>
        <row r="1573">
          <cell r="A1573" t="str">
            <v>I12P-BIM</v>
          </cell>
          <cell r="B1573">
            <v>6333.56</v>
          </cell>
          <cell r="C1573">
            <v>912.27</v>
          </cell>
        </row>
        <row r="1574">
          <cell r="A1574" t="str">
            <v>I12P-BIM-SIN DF</v>
          </cell>
          <cell r="B1574">
            <v>4955.4799999999996</v>
          </cell>
          <cell r="C1574">
            <v>584.71</v>
          </cell>
        </row>
        <row r="1575">
          <cell r="A1575" t="str">
            <v>I12P-BIMEX</v>
          </cell>
          <cell r="B1575">
            <v>9769.7199999999993</v>
          </cell>
          <cell r="C1575">
            <v>356.54</v>
          </cell>
        </row>
        <row r="1576">
          <cell r="A1576" t="str">
            <v>I12P-SIN DF</v>
          </cell>
          <cell r="B1576">
            <v>13810.46</v>
          </cell>
          <cell r="C1576">
            <v>523.84</v>
          </cell>
        </row>
        <row r="1577">
          <cell r="A1577" t="str">
            <v>I16P</v>
          </cell>
          <cell r="B1577">
            <v>21570.5</v>
          </cell>
          <cell r="C1577">
            <v>486.35</v>
          </cell>
        </row>
        <row r="1578">
          <cell r="A1578" t="str">
            <v>I16P-BIM</v>
          </cell>
          <cell r="B1578">
            <v>9779.7099999999991</v>
          </cell>
          <cell r="C1578">
            <v>486.35</v>
          </cell>
        </row>
        <row r="1579">
          <cell r="A1579" t="str">
            <v>I18P</v>
          </cell>
          <cell r="B1579">
            <v>21592.799999999999</v>
          </cell>
          <cell r="C1579">
            <v>1001.07</v>
          </cell>
        </row>
        <row r="1580">
          <cell r="A1580" t="str">
            <v>I18P-BIM</v>
          </cell>
          <cell r="B1580">
            <v>8292.4</v>
          </cell>
          <cell r="C1580">
            <v>975.1</v>
          </cell>
        </row>
        <row r="1581">
          <cell r="A1581" t="str">
            <v>I18P-BIM-SIN DF</v>
          </cell>
          <cell r="B1581">
            <v>6566.81</v>
          </cell>
          <cell r="C1581">
            <v>675.15</v>
          </cell>
        </row>
        <row r="1582">
          <cell r="A1582" t="str">
            <v>I18P-BIMEX</v>
          </cell>
          <cell r="B1582">
            <v>12377.18</v>
          </cell>
          <cell r="C1582">
            <v>455.46</v>
          </cell>
        </row>
        <row r="1583">
          <cell r="A1583" t="str">
            <v>I18P-SIN DF</v>
          </cell>
          <cell r="B1583">
            <v>19867.21</v>
          </cell>
          <cell r="C1583">
            <v>699.63</v>
          </cell>
        </row>
        <row r="1584">
          <cell r="A1584" t="str">
            <v>I212</v>
          </cell>
          <cell r="B1584">
            <v>21645.42</v>
          </cell>
          <cell r="C1584">
            <v>1417.07</v>
          </cell>
        </row>
        <row r="1585">
          <cell r="A1585" t="str">
            <v>I212-BIM</v>
          </cell>
          <cell r="B1585">
            <v>8832.92</v>
          </cell>
          <cell r="C1585">
            <v>513.80999999999995</v>
          </cell>
        </row>
        <row r="1586">
          <cell r="A1586" t="str">
            <v>I212-SIN BS</v>
          </cell>
          <cell r="B1586">
            <v>19881.18</v>
          </cell>
          <cell r="C1586">
            <v>778.55</v>
          </cell>
        </row>
        <row r="1587">
          <cell r="A1587" t="str">
            <v>I212.v2</v>
          </cell>
          <cell r="B1587">
            <v>21789.42</v>
          </cell>
          <cell r="C1587">
            <v>548.28</v>
          </cell>
        </row>
        <row r="1588">
          <cell r="A1588" t="str">
            <v>I218</v>
          </cell>
          <cell r="B1588">
            <v>31611.360000000001</v>
          </cell>
          <cell r="C1588">
            <v>1974.57</v>
          </cell>
        </row>
        <row r="1589">
          <cell r="A1589" t="str">
            <v>I218-BIM</v>
          </cell>
          <cell r="B1589">
            <v>11619.48</v>
          </cell>
          <cell r="C1589">
            <v>809.17</v>
          </cell>
        </row>
        <row r="1590">
          <cell r="A1590" t="str">
            <v>I218-SIN BS</v>
          </cell>
          <cell r="B1590">
            <v>29418.13</v>
          </cell>
          <cell r="C1590">
            <v>1099.55</v>
          </cell>
        </row>
        <row r="1591">
          <cell r="A1591" t="str">
            <v>I218.v2</v>
          </cell>
          <cell r="B1591">
            <v>31339.41</v>
          </cell>
          <cell r="C1591">
            <v>632.15</v>
          </cell>
        </row>
        <row r="1592">
          <cell r="A1592" t="str">
            <v>I224</v>
          </cell>
          <cell r="B1592">
            <v>40097.47</v>
          </cell>
          <cell r="C1592">
            <v>2027.61</v>
          </cell>
        </row>
        <row r="1593">
          <cell r="A1593" t="str">
            <v>I224-BIM</v>
          </cell>
          <cell r="B1593">
            <v>14062.3</v>
          </cell>
          <cell r="C1593">
            <v>932.62</v>
          </cell>
        </row>
        <row r="1594">
          <cell r="A1594" t="str">
            <v>I224-SIN BS</v>
          </cell>
          <cell r="B1594">
            <v>37480.550000000003</v>
          </cell>
          <cell r="C1594">
            <v>1125.43</v>
          </cell>
        </row>
        <row r="1595">
          <cell r="A1595" t="str">
            <v>I224.v2</v>
          </cell>
          <cell r="B1595">
            <v>40752.15</v>
          </cell>
          <cell r="C1595">
            <v>1156.67</v>
          </cell>
        </row>
        <row r="1596">
          <cell r="A1596" t="str">
            <v>I230</v>
          </cell>
          <cell r="B1596">
            <v>50029.84</v>
          </cell>
          <cell r="C1596">
            <v>1981.32</v>
          </cell>
        </row>
        <row r="1597">
          <cell r="A1597" t="str">
            <v>I230-BIM</v>
          </cell>
          <cell r="B1597">
            <v>16728.759999999998</v>
          </cell>
          <cell r="C1597">
            <v>705.06</v>
          </cell>
        </row>
        <row r="1598">
          <cell r="A1598" t="str">
            <v>I230-SIN BS</v>
          </cell>
          <cell r="B1598">
            <v>46989.63</v>
          </cell>
          <cell r="C1598">
            <v>1235.23</v>
          </cell>
        </row>
        <row r="1599">
          <cell r="A1599" t="str">
            <v>I230.v2</v>
          </cell>
          <cell r="B1599">
            <v>50302.51</v>
          </cell>
          <cell r="C1599">
            <v>1171.81</v>
          </cell>
        </row>
        <row r="1600">
          <cell r="A1600" t="str">
            <v>I236</v>
          </cell>
          <cell r="B1600">
            <v>58797.23</v>
          </cell>
          <cell r="C1600">
            <v>2622.81</v>
          </cell>
        </row>
        <row r="1601">
          <cell r="A1601" t="str">
            <v>I236-BIM</v>
          </cell>
          <cell r="B1601">
            <v>19322.849999999999</v>
          </cell>
          <cell r="C1601">
            <v>1050.9000000000001</v>
          </cell>
        </row>
        <row r="1602">
          <cell r="A1602" t="str">
            <v>I236-SIN BS</v>
          </cell>
          <cell r="B1602">
            <v>55230.239999999998</v>
          </cell>
          <cell r="C1602">
            <v>1759.77</v>
          </cell>
        </row>
        <row r="1603">
          <cell r="A1603" t="str">
            <v>I236.v2</v>
          </cell>
          <cell r="B1603">
            <v>59825.3</v>
          </cell>
          <cell r="C1603">
            <v>1341.39</v>
          </cell>
        </row>
        <row r="1604">
          <cell r="A1604" t="str">
            <v>I306</v>
          </cell>
          <cell r="B1604">
            <v>14716.77</v>
          </cell>
          <cell r="C1604">
            <v>1407.33</v>
          </cell>
        </row>
        <row r="1605">
          <cell r="A1605" t="str">
            <v>I306-100BIM</v>
          </cell>
          <cell r="B1605">
            <v>5879.15</v>
          </cell>
          <cell r="C1605">
            <v>960.28</v>
          </cell>
        </row>
        <row r="1606">
          <cell r="A1606" t="str">
            <v>I306-100BIM-SIN DF</v>
          </cell>
          <cell r="B1606">
            <v>4731.25</v>
          </cell>
          <cell r="C1606">
            <v>591.46</v>
          </cell>
        </row>
        <row r="1607">
          <cell r="A1607" t="str">
            <v>I306-125</v>
          </cell>
          <cell r="B1607">
            <v>12620.72</v>
          </cell>
          <cell r="C1607">
            <v>752.69</v>
          </cell>
        </row>
        <row r="1608">
          <cell r="A1608" t="str">
            <v>I306-125-SIN DF</v>
          </cell>
          <cell r="B1608">
            <v>11472.83</v>
          </cell>
          <cell r="C1608">
            <v>433.37</v>
          </cell>
        </row>
        <row r="1609">
          <cell r="A1609" t="str">
            <v>I306-BIM</v>
          </cell>
          <cell r="B1609">
            <v>7220.2</v>
          </cell>
          <cell r="C1609">
            <v>470.56</v>
          </cell>
        </row>
        <row r="1610">
          <cell r="A1610" t="str">
            <v>I306-SIN BS</v>
          </cell>
          <cell r="B1610">
            <v>13376.23</v>
          </cell>
          <cell r="C1610">
            <v>1055.22</v>
          </cell>
        </row>
        <row r="1611">
          <cell r="A1611" t="str">
            <v>I306.v2</v>
          </cell>
          <cell r="B1611">
            <v>15338.29</v>
          </cell>
          <cell r="C1611">
            <v>562.79</v>
          </cell>
        </row>
        <row r="1612">
          <cell r="A1612" t="str">
            <v>I312</v>
          </cell>
          <cell r="B1612">
            <v>26015.08</v>
          </cell>
          <cell r="C1612">
            <v>1418.47</v>
          </cell>
        </row>
        <row r="1613">
          <cell r="A1613" t="str">
            <v>I312-100BIM</v>
          </cell>
          <cell r="B1613">
            <v>8006.36</v>
          </cell>
          <cell r="C1613">
            <v>1034.26</v>
          </cell>
        </row>
        <row r="1614">
          <cell r="A1614" t="str">
            <v>I312-100BIM-SIN DF</v>
          </cell>
          <cell r="B1614">
            <v>6628.28</v>
          </cell>
          <cell r="C1614">
            <v>711.65</v>
          </cell>
        </row>
        <row r="1615">
          <cell r="A1615" t="str">
            <v>I312-100BIMEX</v>
          </cell>
          <cell r="B1615">
            <v>11864.82</v>
          </cell>
          <cell r="C1615">
            <v>548.65</v>
          </cell>
        </row>
        <row r="1616">
          <cell r="A1616" t="str">
            <v>I312-125</v>
          </cell>
          <cell r="B1616">
            <v>20688.900000000001</v>
          </cell>
          <cell r="C1616">
            <v>1215.18</v>
          </cell>
        </row>
        <row r="1617">
          <cell r="A1617" t="str">
            <v>I312-125-SIN DF</v>
          </cell>
          <cell r="B1617">
            <v>19310.82</v>
          </cell>
          <cell r="C1617">
            <v>887.16</v>
          </cell>
        </row>
        <row r="1618">
          <cell r="A1618" t="str">
            <v>I312-BIM</v>
          </cell>
          <cell r="B1618">
            <v>9000.99</v>
          </cell>
          <cell r="C1618">
            <v>1589.79</v>
          </cell>
        </row>
        <row r="1619">
          <cell r="A1619" t="str">
            <v>I312-BIM-SIN BS</v>
          </cell>
          <cell r="B1619">
            <v>7236.75</v>
          </cell>
          <cell r="C1619">
            <v>1031.06</v>
          </cell>
        </row>
        <row r="1620">
          <cell r="A1620" t="str">
            <v>I312-BIM.v2</v>
          </cell>
          <cell r="B1620">
            <v>9109.2099999999991</v>
          </cell>
          <cell r="C1620">
            <v>1098.72</v>
          </cell>
        </row>
        <row r="1621">
          <cell r="A1621" t="str">
            <v>I312-SIN BS</v>
          </cell>
          <cell r="B1621">
            <v>24250.85</v>
          </cell>
          <cell r="C1621">
            <v>898.6</v>
          </cell>
        </row>
        <row r="1622">
          <cell r="A1622" t="str">
            <v>I312.v2</v>
          </cell>
          <cell r="B1622">
            <v>26164.35</v>
          </cell>
          <cell r="C1622">
            <v>543.6</v>
          </cell>
        </row>
        <row r="1623">
          <cell r="A1623" t="str">
            <v>I318</v>
          </cell>
          <cell r="B1623">
            <v>37890.61</v>
          </cell>
          <cell r="C1623">
            <v>1956.45</v>
          </cell>
        </row>
        <row r="1624">
          <cell r="A1624" t="str">
            <v>I318-100BIM</v>
          </cell>
          <cell r="B1624">
            <v>10396.549999999999</v>
          </cell>
          <cell r="C1624">
            <v>1414.08</v>
          </cell>
        </row>
        <row r="1625">
          <cell r="A1625" t="str">
            <v>I318-100BIM-SIN DF</v>
          </cell>
          <cell r="B1625">
            <v>8670.9599999999991</v>
          </cell>
          <cell r="C1625">
            <v>1055.79</v>
          </cell>
        </row>
        <row r="1626">
          <cell r="A1626" t="str">
            <v>I318-100BIMEX</v>
          </cell>
          <cell r="B1626">
            <v>14903.63</v>
          </cell>
          <cell r="C1626">
            <v>708.84</v>
          </cell>
        </row>
        <row r="1627">
          <cell r="A1627" t="str">
            <v>I318-125</v>
          </cell>
          <cell r="B1627">
            <v>29821.02</v>
          </cell>
          <cell r="C1627">
            <v>1521.73</v>
          </cell>
        </row>
        <row r="1628">
          <cell r="A1628" t="str">
            <v>I318-125-SIN DF</v>
          </cell>
          <cell r="B1628">
            <v>28095.43</v>
          </cell>
          <cell r="C1628">
            <v>1134.8699999999999</v>
          </cell>
        </row>
        <row r="1629">
          <cell r="A1629" t="str">
            <v>I318-BIM</v>
          </cell>
          <cell r="B1629">
            <v>11692.17</v>
          </cell>
          <cell r="C1629">
            <v>2112.9699999999998</v>
          </cell>
        </row>
        <row r="1630">
          <cell r="A1630" t="str">
            <v>I318-BIM-SIN BS</v>
          </cell>
          <cell r="B1630">
            <v>9498.94</v>
          </cell>
          <cell r="C1630">
            <v>1366.21</v>
          </cell>
        </row>
        <row r="1631">
          <cell r="A1631" t="str">
            <v>I318-BIM.v2</v>
          </cell>
          <cell r="B1631">
            <v>12069.03</v>
          </cell>
          <cell r="C1631">
            <v>1621.91</v>
          </cell>
        </row>
        <row r="1632">
          <cell r="A1632" t="str">
            <v>I318-SIN BS</v>
          </cell>
          <cell r="B1632">
            <v>35697.379999999997</v>
          </cell>
          <cell r="C1632">
            <v>1245.4100000000001</v>
          </cell>
        </row>
        <row r="1633">
          <cell r="A1633" t="str">
            <v>I318.v2</v>
          </cell>
          <cell r="B1633">
            <v>38246.36</v>
          </cell>
          <cell r="C1633">
            <v>745.71</v>
          </cell>
        </row>
        <row r="1634">
          <cell r="A1634" t="str">
            <v>I324</v>
          </cell>
          <cell r="B1634">
            <v>49777.86</v>
          </cell>
          <cell r="C1634">
            <v>2292.84</v>
          </cell>
        </row>
        <row r="1635">
          <cell r="A1635" t="str">
            <v>I324-BIM</v>
          </cell>
          <cell r="B1635">
            <v>14433.35</v>
          </cell>
          <cell r="C1635">
            <v>2184.31</v>
          </cell>
        </row>
        <row r="1636">
          <cell r="A1636" t="str">
            <v>I324-BIM-SIN BS</v>
          </cell>
          <cell r="B1636">
            <v>11816.43</v>
          </cell>
          <cell r="C1636">
            <v>1487.97</v>
          </cell>
        </row>
        <row r="1637">
          <cell r="A1637" t="str">
            <v>I324-BIM.v2</v>
          </cell>
          <cell r="B1637">
            <v>15040.14</v>
          </cell>
          <cell r="C1637">
            <v>1449.28</v>
          </cell>
        </row>
        <row r="1638">
          <cell r="A1638" t="str">
            <v>I324-SIN BS</v>
          </cell>
          <cell r="B1638">
            <v>47160.94</v>
          </cell>
          <cell r="C1638">
            <v>1537.5</v>
          </cell>
        </row>
        <row r="1639">
          <cell r="A1639" t="str">
            <v>I324.v2</v>
          </cell>
          <cell r="B1639">
            <v>50385.52</v>
          </cell>
          <cell r="C1639">
            <v>1118.58</v>
          </cell>
        </row>
        <row r="1640">
          <cell r="A1640" t="str">
            <v>I330</v>
          </cell>
          <cell r="B1640">
            <v>61618.43</v>
          </cell>
          <cell r="C1640">
            <v>2535.17</v>
          </cell>
        </row>
        <row r="1641">
          <cell r="A1641" t="str">
            <v>I330-BIM</v>
          </cell>
          <cell r="B1641">
            <v>17104.669999999998</v>
          </cell>
          <cell r="C1641">
            <v>6433.3</v>
          </cell>
        </row>
        <row r="1642">
          <cell r="A1642" t="str">
            <v>I330-BIM-SIN BS</v>
          </cell>
          <cell r="B1642">
            <v>14064.45</v>
          </cell>
          <cell r="C1642">
            <v>6217.61</v>
          </cell>
        </row>
        <row r="1643">
          <cell r="A1643" t="str">
            <v>I330-BIM.v2</v>
          </cell>
          <cell r="B1643">
            <v>17985.27</v>
          </cell>
          <cell r="C1643">
            <v>483.06</v>
          </cell>
        </row>
        <row r="1644">
          <cell r="A1644" t="str">
            <v>I330-SIN BS</v>
          </cell>
          <cell r="B1644">
            <v>58578.21</v>
          </cell>
          <cell r="C1644">
            <v>2014.89</v>
          </cell>
        </row>
        <row r="1645">
          <cell r="A1645" t="str">
            <v>I330.v2</v>
          </cell>
          <cell r="B1645">
            <v>62498.720000000001</v>
          </cell>
          <cell r="C1645">
            <v>1157.3</v>
          </cell>
        </row>
        <row r="1646">
          <cell r="A1646" t="str">
            <v>I336</v>
          </cell>
          <cell r="B1646">
            <v>73810.09</v>
          </cell>
          <cell r="C1646">
            <v>2817.76</v>
          </cell>
        </row>
        <row r="1647">
          <cell r="A1647" t="str">
            <v>I336-BIM</v>
          </cell>
          <cell r="B1647">
            <v>20036.669999999998</v>
          </cell>
          <cell r="C1647">
            <v>2858</v>
          </cell>
        </row>
        <row r="1648">
          <cell r="A1648" t="str">
            <v>I336-BIM-SIN BS</v>
          </cell>
          <cell r="B1648">
            <v>16469.68</v>
          </cell>
          <cell r="C1648">
            <v>1899.12</v>
          </cell>
        </row>
        <row r="1649">
          <cell r="A1649" t="str">
            <v>I336-BIM.v2</v>
          </cell>
          <cell r="B1649">
            <v>20999.82</v>
          </cell>
          <cell r="C1649">
            <v>2432.0100000000002</v>
          </cell>
        </row>
        <row r="1650">
          <cell r="A1650" t="str">
            <v>I336-SIN BS</v>
          </cell>
          <cell r="B1650">
            <v>70243.100000000006</v>
          </cell>
          <cell r="C1650">
            <v>2026.77</v>
          </cell>
        </row>
        <row r="1651">
          <cell r="A1651" t="str">
            <v>I336.v2</v>
          </cell>
          <cell r="B1651">
            <v>74773.149999999994</v>
          </cell>
          <cell r="C1651">
            <v>1148.93</v>
          </cell>
        </row>
        <row r="1652">
          <cell r="A1652" t="str">
            <v>I342</v>
          </cell>
          <cell r="B1652">
            <v>85949.06</v>
          </cell>
          <cell r="C1652">
            <v>3956.03</v>
          </cell>
        </row>
        <row r="1653">
          <cell r="A1653" t="str">
            <v>I342-BIM</v>
          </cell>
          <cell r="B1653">
            <v>22844.02</v>
          </cell>
          <cell r="C1653">
            <v>1893.36</v>
          </cell>
        </row>
        <row r="1654">
          <cell r="A1654" t="str">
            <v>I342-BIM-SIN BS</v>
          </cell>
          <cell r="B1654">
            <v>18750.66</v>
          </cell>
          <cell r="C1654">
            <v>1485.82</v>
          </cell>
        </row>
        <row r="1655">
          <cell r="A1655" t="str">
            <v>I342-BIM.v2</v>
          </cell>
          <cell r="B1655">
            <v>23911.61</v>
          </cell>
          <cell r="C1655">
            <v>665.77</v>
          </cell>
        </row>
        <row r="1656">
          <cell r="A1656" t="str">
            <v>I342-BIMEX</v>
          </cell>
          <cell r="B1656">
            <v>30934.89</v>
          </cell>
          <cell r="C1656">
            <v>1053.99</v>
          </cell>
        </row>
        <row r="1657">
          <cell r="A1657" t="str">
            <v>I342-SIN BS</v>
          </cell>
          <cell r="B1657">
            <v>81855.7</v>
          </cell>
          <cell r="C1657">
            <v>3372.72</v>
          </cell>
        </row>
        <row r="1658">
          <cell r="A1658" t="str">
            <v>I342.v2</v>
          </cell>
          <cell r="B1658">
            <v>87019.58</v>
          </cell>
          <cell r="C1658">
            <v>1144.7</v>
          </cell>
        </row>
        <row r="1659">
          <cell r="A1659" t="str">
            <v>I6P-BIM</v>
          </cell>
          <cell r="B1659">
            <v>6368.82</v>
          </cell>
          <cell r="C1659">
            <v>803.5</v>
          </cell>
        </row>
        <row r="1660">
          <cell r="A1660" t="str">
            <v>I8</v>
          </cell>
          <cell r="B1660">
            <v>11052.02</v>
          </cell>
          <cell r="C1660">
            <v>523.26</v>
          </cell>
        </row>
        <row r="1661">
          <cell r="A1661" t="str">
            <v>I8-BIM</v>
          </cell>
          <cell r="B1661">
            <v>5110.3500000000004</v>
          </cell>
          <cell r="C1661">
            <v>396.65</v>
          </cell>
        </row>
        <row r="1662">
          <cell r="A1662" t="str">
            <v>I885-BIM</v>
          </cell>
          <cell r="B1662">
            <v>2248.36</v>
          </cell>
          <cell r="C1662">
            <v>466.5</v>
          </cell>
        </row>
        <row r="1663">
          <cell r="A1663" t="str">
            <v>I885M-BIM</v>
          </cell>
          <cell r="B1663">
            <v>1185.96</v>
          </cell>
          <cell r="C1663">
            <v>355.43</v>
          </cell>
        </row>
        <row r="1664">
          <cell r="A1664" t="str">
            <v>I895</v>
          </cell>
          <cell r="B1664">
            <v>7115.37</v>
          </cell>
          <cell r="C1664">
            <v>424.22</v>
          </cell>
        </row>
        <row r="1665">
          <cell r="A1665" t="str">
            <v>I895M</v>
          </cell>
          <cell r="B1665">
            <v>4380.7700000000004</v>
          </cell>
          <cell r="C1665">
            <v>387.72</v>
          </cell>
        </row>
        <row r="1666">
          <cell r="A1666" t="str">
            <v>I8P</v>
          </cell>
          <cell r="B1666">
            <v>11375.68</v>
          </cell>
          <cell r="C1666">
            <v>808.04</v>
          </cell>
        </row>
        <row r="1667">
          <cell r="A1667" t="str">
            <v>I8P-BIM</v>
          </cell>
          <cell r="B1667">
            <v>5434.01</v>
          </cell>
          <cell r="C1667">
            <v>733.29</v>
          </cell>
        </row>
        <row r="1668">
          <cell r="A1668" t="str">
            <v>I8P-BIM-SIN DF</v>
          </cell>
          <cell r="B1668">
            <v>4286.1099999999997</v>
          </cell>
          <cell r="C1668">
            <v>421.26</v>
          </cell>
        </row>
        <row r="1669">
          <cell r="A1669" t="str">
            <v>I8P-SIN DF</v>
          </cell>
          <cell r="B1669">
            <v>10227.780000000001</v>
          </cell>
          <cell r="C1669">
            <v>465.81</v>
          </cell>
        </row>
        <row r="1670">
          <cell r="A1670" t="str">
            <v>LCE3025</v>
          </cell>
          <cell r="B1670">
            <v>6691.46</v>
          </cell>
          <cell r="C1670">
            <v>0</v>
          </cell>
        </row>
        <row r="1671">
          <cell r="A1671" t="str">
            <v>LCE70</v>
          </cell>
          <cell r="B1671">
            <v>6333.9</v>
          </cell>
          <cell r="C1671">
            <v>0</v>
          </cell>
        </row>
        <row r="1672">
          <cell r="A1672" t="str">
            <v>LCE80</v>
          </cell>
          <cell r="B1672">
            <v>4995.75</v>
          </cell>
          <cell r="C1672">
            <v>0</v>
          </cell>
        </row>
        <row r="1673">
          <cell r="A1673" t="str">
            <v>LCT100</v>
          </cell>
          <cell r="B1673">
            <v>3905.37</v>
          </cell>
          <cell r="C1673">
            <v>0</v>
          </cell>
        </row>
        <row r="1674">
          <cell r="A1674" t="str">
            <v>LCT120</v>
          </cell>
          <cell r="B1674">
            <v>4640.0600000000004</v>
          </cell>
          <cell r="C1674">
            <v>0</v>
          </cell>
        </row>
        <row r="1675">
          <cell r="A1675" t="str">
            <v>LCT1510</v>
          </cell>
          <cell r="B1675">
            <v>1329.19</v>
          </cell>
          <cell r="C1675">
            <v>116.06</v>
          </cell>
        </row>
        <row r="1676">
          <cell r="A1676" t="str">
            <v>LCT1510-CMB</v>
          </cell>
          <cell r="B1676">
            <v>1329.19</v>
          </cell>
          <cell r="C1676">
            <v>0</v>
          </cell>
        </row>
        <row r="1677">
          <cell r="A1677" t="str">
            <v>LCT2010</v>
          </cell>
          <cell r="B1677">
            <v>1524.7</v>
          </cell>
          <cell r="C1677">
            <v>65.87</v>
          </cell>
        </row>
        <row r="1678">
          <cell r="A1678" t="str">
            <v>LCT2010-CMB</v>
          </cell>
          <cell r="B1678">
            <v>1524.7</v>
          </cell>
          <cell r="C1678">
            <v>3.29</v>
          </cell>
        </row>
        <row r="1679">
          <cell r="A1679" t="str">
            <v>LCT2010V</v>
          </cell>
          <cell r="B1679">
            <v>1753.91</v>
          </cell>
          <cell r="C1679">
            <v>0</v>
          </cell>
        </row>
        <row r="1680">
          <cell r="A1680" t="str">
            <v>LCT2015</v>
          </cell>
          <cell r="B1680">
            <v>2199.0500000000002</v>
          </cell>
          <cell r="C1680">
            <v>105.07</v>
          </cell>
        </row>
        <row r="1681">
          <cell r="A1681" t="str">
            <v>LCT2015-CMB</v>
          </cell>
          <cell r="B1681">
            <v>2199.0500000000002</v>
          </cell>
          <cell r="C1681">
            <v>0</v>
          </cell>
        </row>
        <row r="1682">
          <cell r="A1682" t="str">
            <v>LCT2015V</v>
          </cell>
          <cell r="B1682">
            <v>2428.4899999999998</v>
          </cell>
          <cell r="C1682">
            <v>0</v>
          </cell>
        </row>
        <row r="1683">
          <cell r="A1683" t="str">
            <v>LCT3010</v>
          </cell>
          <cell r="B1683">
            <v>2291.4699999999998</v>
          </cell>
          <cell r="C1683">
            <v>83.81</v>
          </cell>
        </row>
        <row r="1684">
          <cell r="A1684" t="str">
            <v>LCT3010-CMB</v>
          </cell>
          <cell r="B1684">
            <v>2291.4699999999998</v>
          </cell>
          <cell r="C1684">
            <v>0</v>
          </cell>
        </row>
        <row r="1685">
          <cell r="A1685" t="str">
            <v>LCT3010V</v>
          </cell>
          <cell r="B1685">
            <v>2636.31</v>
          </cell>
          <cell r="C1685">
            <v>0</v>
          </cell>
        </row>
        <row r="1686">
          <cell r="A1686" t="str">
            <v>LCT3015</v>
          </cell>
          <cell r="B1686">
            <v>3305.59</v>
          </cell>
          <cell r="C1686">
            <v>106.28</v>
          </cell>
        </row>
        <row r="1687">
          <cell r="A1687" t="str">
            <v>LCT3015-CMB</v>
          </cell>
          <cell r="B1687">
            <v>3305.59</v>
          </cell>
          <cell r="C1687">
            <v>0</v>
          </cell>
        </row>
        <row r="1688">
          <cell r="A1688" t="str">
            <v>LCT3015V</v>
          </cell>
          <cell r="B1688">
            <v>3650.27</v>
          </cell>
          <cell r="C1688">
            <v>0</v>
          </cell>
        </row>
        <row r="1689">
          <cell r="A1689" t="str">
            <v>LCT3020</v>
          </cell>
          <cell r="B1689">
            <v>4664.24</v>
          </cell>
          <cell r="C1689">
            <v>0</v>
          </cell>
        </row>
        <row r="1690">
          <cell r="A1690" t="str">
            <v>LCT40</v>
          </cell>
          <cell r="B1690">
            <v>4376.45</v>
          </cell>
          <cell r="C1690">
            <v>286.44</v>
          </cell>
        </row>
        <row r="1691">
          <cell r="A1691" t="str">
            <v>LCT40-CMB</v>
          </cell>
          <cell r="B1691">
            <v>4376.45</v>
          </cell>
          <cell r="C1691">
            <v>190.44</v>
          </cell>
        </row>
        <row r="1692">
          <cell r="A1692" t="str">
            <v>LCT4010</v>
          </cell>
          <cell r="B1692">
            <v>2614.52</v>
          </cell>
          <cell r="C1692">
            <v>0</v>
          </cell>
        </row>
        <row r="1693">
          <cell r="A1693" t="str">
            <v>LCT4015</v>
          </cell>
          <cell r="B1693">
            <v>1840.22</v>
          </cell>
          <cell r="C1693">
            <v>0</v>
          </cell>
        </row>
        <row r="1694">
          <cell r="A1694" t="str">
            <v>LCT4020</v>
          </cell>
          <cell r="B1694">
            <v>5718.75</v>
          </cell>
          <cell r="C1694">
            <v>81.03</v>
          </cell>
        </row>
        <row r="1695">
          <cell r="A1695" t="str">
            <v>LCT4020-CMB</v>
          </cell>
          <cell r="B1695">
            <v>5718.75</v>
          </cell>
          <cell r="C1695">
            <v>0</v>
          </cell>
        </row>
        <row r="1696">
          <cell r="A1696" t="str">
            <v>LCT402010</v>
          </cell>
          <cell r="B1696">
            <v>2636.31</v>
          </cell>
          <cell r="C1696">
            <v>0</v>
          </cell>
        </row>
        <row r="1697">
          <cell r="A1697" t="str">
            <v>LCT402015</v>
          </cell>
          <cell r="B1697">
            <v>3650.27</v>
          </cell>
          <cell r="C1697">
            <v>0</v>
          </cell>
        </row>
        <row r="1698">
          <cell r="A1698" t="str">
            <v>LCT402020</v>
          </cell>
          <cell r="B1698">
            <v>4664.24</v>
          </cell>
          <cell r="C1698">
            <v>0</v>
          </cell>
        </row>
        <row r="1699">
          <cell r="A1699" t="str">
            <v>LCT4020V</v>
          </cell>
          <cell r="B1699">
            <v>6206.14</v>
          </cell>
          <cell r="C1699">
            <v>0</v>
          </cell>
        </row>
        <row r="1700">
          <cell r="A1700" t="str">
            <v>LCT4025</v>
          </cell>
          <cell r="B1700">
            <v>5631.28</v>
          </cell>
          <cell r="C1700">
            <v>0</v>
          </cell>
        </row>
        <row r="1701">
          <cell r="A1701" t="str">
            <v>LCT40V</v>
          </cell>
          <cell r="B1701">
            <v>4832.8500000000004</v>
          </cell>
          <cell r="C1701">
            <v>0</v>
          </cell>
        </row>
        <row r="1702">
          <cell r="A1702" t="str">
            <v>LCT60</v>
          </cell>
          <cell r="B1702">
            <v>3350.43</v>
          </cell>
          <cell r="C1702">
            <v>168</v>
          </cell>
        </row>
        <row r="1703">
          <cell r="A1703" t="str">
            <v>LCT60-CMB</v>
          </cell>
          <cell r="B1703">
            <v>3350.43</v>
          </cell>
          <cell r="C1703">
            <v>0</v>
          </cell>
        </row>
        <row r="1704">
          <cell r="A1704" t="str">
            <v>LCT602010</v>
          </cell>
          <cell r="B1704">
            <v>3525.25</v>
          </cell>
          <cell r="C1704">
            <v>0</v>
          </cell>
        </row>
        <row r="1705">
          <cell r="A1705" t="str">
            <v>LCT602015</v>
          </cell>
          <cell r="B1705">
            <v>4859.99</v>
          </cell>
          <cell r="C1705">
            <v>0</v>
          </cell>
        </row>
        <row r="1706">
          <cell r="A1706" t="str">
            <v>LCT602020</v>
          </cell>
          <cell r="B1706">
            <v>6213.86</v>
          </cell>
          <cell r="C1706">
            <v>0</v>
          </cell>
        </row>
        <row r="1707">
          <cell r="A1707" t="str">
            <v>LCT60V</v>
          </cell>
          <cell r="B1707">
            <v>3699.83</v>
          </cell>
          <cell r="C1707">
            <v>0</v>
          </cell>
        </row>
        <row r="1708">
          <cell r="A1708" t="str">
            <v>LCT801</v>
          </cell>
          <cell r="B1708">
            <v>2023.37</v>
          </cell>
          <cell r="C1708">
            <v>67.430000000000007</v>
          </cell>
        </row>
        <row r="1709">
          <cell r="A1709" t="str">
            <v>LCT801-CMB</v>
          </cell>
          <cell r="B1709">
            <v>2023.37</v>
          </cell>
          <cell r="C1709">
            <v>0</v>
          </cell>
        </row>
        <row r="1710">
          <cell r="A1710" t="str">
            <v>LCT801-V</v>
          </cell>
          <cell r="B1710">
            <v>2023.37</v>
          </cell>
          <cell r="C1710">
            <v>0</v>
          </cell>
        </row>
        <row r="1711">
          <cell r="A1711" t="str">
            <v>LCT802</v>
          </cell>
          <cell r="B1711">
            <v>2687.05</v>
          </cell>
          <cell r="C1711">
            <v>96.36</v>
          </cell>
        </row>
        <row r="1712">
          <cell r="A1712" t="str">
            <v>LCT802-CMB</v>
          </cell>
          <cell r="B1712">
            <v>2687.05</v>
          </cell>
          <cell r="C1712">
            <v>0</v>
          </cell>
        </row>
        <row r="1713">
          <cell r="A1713" t="str">
            <v>LCT802-V</v>
          </cell>
          <cell r="B1713">
            <v>2687.05</v>
          </cell>
          <cell r="C1713">
            <v>0</v>
          </cell>
        </row>
        <row r="1714">
          <cell r="A1714" t="str">
            <v>LCUNI</v>
          </cell>
          <cell r="B1714">
            <v>3304.22</v>
          </cell>
          <cell r="C1714">
            <v>0</v>
          </cell>
        </row>
        <row r="1715">
          <cell r="A1715" t="str">
            <v>NEUTRO12</v>
          </cell>
          <cell r="B1715">
            <v>2166.94</v>
          </cell>
          <cell r="C1715">
            <v>0</v>
          </cell>
        </row>
        <row r="1716">
          <cell r="A1716" t="str">
            <v>NEUTRO12AL</v>
          </cell>
          <cell r="B1716">
            <v>376.37</v>
          </cell>
          <cell r="C1716">
            <v>0</v>
          </cell>
        </row>
        <row r="1717">
          <cell r="A1717" t="str">
            <v>NEUTRO12ALE</v>
          </cell>
          <cell r="B1717">
            <v>376.37</v>
          </cell>
          <cell r="C1717">
            <v>0</v>
          </cell>
        </row>
        <row r="1718">
          <cell r="A1718" t="str">
            <v>NEUTRO12ALET-servicio</v>
          </cell>
          <cell r="B1718">
            <v>661.73</v>
          </cell>
          <cell r="C1718">
            <v>0</v>
          </cell>
        </row>
        <row r="1719">
          <cell r="A1719" t="str">
            <v>NEUTRO12R</v>
          </cell>
          <cell r="B1719">
            <v>5707.17</v>
          </cell>
          <cell r="C1719">
            <v>0</v>
          </cell>
        </row>
        <row r="1720">
          <cell r="A1720" t="str">
            <v>NEUTRO12RAL</v>
          </cell>
          <cell r="B1720">
            <v>926.28</v>
          </cell>
          <cell r="C1720">
            <v>0</v>
          </cell>
        </row>
        <row r="1721">
          <cell r="A1721" t="str">
            <v>NEUTRO12RALE</v>
          </cell>
          <cell r="B1721">
            <v>926.28</v>
          </cell>
          <cell r="C1721">
            <v>0</v>
          </cell>
        </row>
        <row r="1722">
          <cell r="A1722" t="str">
            <v>NEUTRO12RALE-EX</v>
          </cell>
          <cell r="B1722">
            <v>1024.77</v>
          </cell>
          <cell r="C1722">
            <v>0</v>
          </cell>
        </row>
        <row r="1723">
          <cell r="A1723" t="str">
            <v>NEUTRO12RALET-EX</v>
          </cell>
          <cell r="B1723">
            <v>1441.95</v>
          </cell>
          <cell r="C1723">
            <v>0</v>
          </cell>
        </row>
        <row r="1724">
          <cell r="A1724" t="str">
            <v>NEUTRO12RALET-servicio</v>
          </cell>
          <cell r="B1724">
            <v>1237.8800000000001</v>
          </cell>
          <cell r="C1724">
            <v>0</v>
          </cell>
        </row>
        <row r="1725">
          <cell r="A1725" t="str">
            <v>NEUTRO12REAL-EX</v>
          </cell>
          <cell r="B1725">
            <v>1024.77</v>
          </cell>
          <cell r="C1725">
            <v>0</v>
          </cell>
        </row>
        <row r="1726">
          <cell r="A1726" t="str">
            <v>NEUTRO12RT-servicio</v>
          </cell>
          <cell r="B1726">
            <v>6018.77</v>
          </cell>
          <cell r="C1726">
            <v>0</v>
          </cell>
        </row>
        <row r="1727">
          <cell r="A1727" t="str">
            <v>NEUTRO12T-servicio</v>
          </cell>
          <cell r="B1727">
            <v>2452.3000000000002</v>
          </cell>
          <cell r="C1727">
            <v>0</v>
          </cell>
        </row>
        <row r="1728">
          <cell r="A1728" t="str">
            <v>NEUTRO16</v>
          </cell>
          <cell r="B1728">
            <v>372.92</v>
          </cell>
          <cell r="C1728">
            <v>0</v>
          </cell>
        </row>
        <row r="1729">
          <cell r="A1729" t="str">
            <v>NEUTRO16_DESCONTINUADO</v>
          </cell>
          <cell r="B1729">
            <v>0</v>
          </cell>
          <cell r="C1729">
            <v>0</v>
          </cell>
        </row>
        <row r="1730">
          <cell r="A1730" t="str">
            <v>NEUTRO16AL</v>
          </cell>
          <cell r="B1730">
            <v>478.38</v>
          </cell>
          <cell r="C1730">
            <v>0</v>
          </cell>
        </row>
        <row r="1731">
          <cell r="A1731" t="str">
            <v>NEUTRO16ALE</v>
          </cell>
          <cell r="B1731">
            <v>478.38</v>
          </cell>
          <cell r="C1731">
            <v>0</v>
          </cell>
        </row>
        <row r="1732">
          <cell r="A1732" t="str">
            <v>NEUTRO16ALET</v>
          </cell>
          <cell r="B1732">
            <v>851.3</v>
          </cell>
          <cell r="C1732">
            <v>0</v>
          </cell>
        </row>
        <row r="1733">
          <cell r="A1733" t="str">
            <v>NEUTRO18</v>
          </cell>
          <cell r="B1733">
            <v>3042.06</v>
          </cell>
          <cell r="C1733">
            <v>0</v>
          </cell>
        </row>
        <row r="1734">
          <cell r="A1734" t="str">
            <v>NEUTRO18AL</v>
          </cell>
          <cell r="B1734">
            <v>527.63</v>
          </cell>
          <cell r="C1734">
            <v>0</v>
          </cell>
        </row>
        <row r="1735">
          <cell r="A1735" t="str">
            <v>NEUTRO18ALE</v>
          </cell>
          <cell r="B1735">
            <v>527.63</v>
          </cell>
          <cell r="C1735">
            <v>0</v>
          </cell>
        </row>
        <row r="1736">
          <cell r="A1736" t="str">
            <v>NEUTRO18ALET-servicio</v>
          </cell>
          <cell r="B1736">
            <v>944.33</v>
          </cell>
          <cell r="C1736">
            <v>0</v>
          </cell>
        </row>
        <row r="1737">
          <cell r="A1737" t="str">
            <v>NEUTRO18R</v>
          </cell>
          <cell r="B1737">
            <v>7688.17</v>
          </cell>
          <cell r="C1737">
            <v>0</v>
          </cell>
        </row>
        <row r="1738">
          <cell r="A1738" t="str">
            <v>NEUTRO18RAL</v>
          </cell>
          <cell r="B1738">
            <v>1247.54</v>
          </cell>
          <cell r="C1738">
            <v>0</v>
          </cell>
        </row>
        <row r="1739">
          <cell r="A1739" t="str">
            <v>NEUTRO18RALE</v>
          </cell>
          <cell r="B1739">
            <v>1247.54</v>
          </cell>
          <cell r="C1739">
            <v>0</v>
          </cell>
        </row>
        <row r="1740">
          <cell r="A1740" t="str">
            <v>NEUTRO18RALE-EX</v>
          </cell>
          <cell r="B1740">
            <v>1404.66</v>
          </cell>
          <cell r="C1740">
            <v>0</v>
          </cell>
        </row>
        <row r="1741">
          <cell r="A1741" t="str">
            <v>NEUTRO18RALET-EX</v>
          </cell>
          <cell r="B1741">
            <v>1977.84</v>
          </cell>
          <cell r="C1741">
            <v>0</v>
          </cell>
        </row>
        <row r="1742">
          <cell r="A1742" t="str">
            <v>NEUTRO18RALET-servicio</v>
          </cell>
          <cell r="B1742">
            <v>1690.48</v>
          </cell>
          <cell r="C1742">
            <v>0</v>
          </cell>
        </row>
        <row r="1743">
          <cell r="A1743" t="str">
            <v>NEUTRO18REAL-EX</v>
          </cell>
          <cell r="B1743">
            <v>1404.66</v>
          </cell>
          <cell r="C1743">
            <v>0</v>
          </cell>
        </row>
        <row r="1744">
          <cell r="A1744" t="str">
            <v>NEUTRO18RT-servicio</v>
          </cell>
          <cell r="B1744">
            <v>8131.11</v>
          </cell>
          <cell r="C1744">
            <v>0</v>
          </cell>
        </row>
        <row r="1745">
          <cell r="A1745" t="str">
            <v>NEUTRO18T-servicio</v>
          </cell>
          <cell r="B1745">
            <v>3458.76</v>
          </cell>
          <cell r="C1745">
            <v>0</v>
          </cell>
        </row>
        <row r="1746">
          <cell r="A1746" t="str">
            <v>NEUTRO2</v>
          </cell>
          <cell r="B1746">
            <v>646.12</v>
          </cell>
          <cell r="C1746">
            <v>0</v>
          </cell>
        </row>
        <row r="1747">
          <cell r="A1747" t="str">
            <v>NEUTRO24R</v>
          </cell>
          <cell r="B1747">
            <v>9669.17</v>
          </cell>
          <cell r="C1747">
            <v>0</v>
          </cell>
        </row>
        <row r="1748">
          <cell r="A1748" t="str">
            <v>NEUTRO24RAL</v>
          </cell>
          <cell r="B1748">
            <v>1569.98</v>
          </cell>
          <cell r="C1748">
            <v>0</v>
          </cell>
        </row>
        <row r="1749">
          <cell r="A1749" t="str">
            <v>NEUTRO24RALE</v>
          </cell>
          <cell r="B1749">
            <v>1569.98</v>
          </cell>
          <cell r="C1749">
            <v>0</v>
          </cell>
        </row>
        <row r="1750">
          <cell r="A1750" t="str">
            <v>NEUTRO24RALE-EX</v>
          </cell>
          <cell r="B1750">
            <v>1772.82</v>
          </cell>
          <cell r="C1750">
            <v>0</v>
          </cell>
        </row>
        <row r="1751">
          <cell r="A1751" t="str">
            <v>NEUTRO24RALET-EX</v>
          </cell>
          <cell r="B1751">
            <v>2896.08</v>
          </cell>
          <cell r="C1751">
            <v>0</v>
          </cell>
        </row>
        <row r="1752">
          <cell r="A1752" t="str">
            <v>NEUTRO24RALET-servicio</v>
          </cell>
          <cell r="B1752">
            <v>2144.2600000000002</v>
          </cell>
          <cell r="C1752">
            <v>0</v>
          </cell>
        </row>
        <row r="1753">
          <cell r="A1753" t="str">
            <v>NEUTRO24REAL-EX</v>
          </cell>
          <cell r="B1753">
            <v>1772.82</v>
          </cell>
          <cell r="C1753">
            <v>0</v>
          </cell>
        </row>
        <row r="1754">
          <cell r="A1754" t="str">
            <v>NEUTRO24RT-servicio</v>
          </cell>
          <cell r="B1754">
            <v>10243.450000000001</v>
          </cell>
          <cell r="C1754">
            <v>0</v>
          </cell>
        </row>
        <row r="1755">
          <cell r="A1755" t="str">
            <v>NEUTRO2AL</v>
          </cell>
          <cell r="B1755">
            <v>112.09</v>
          </cell>
          <cell r="C1755">
            <v>0</v>
          </cell>
        </row>
        <row r="1756">
          <cell r="A1756" t="str">
            <v>NEUTRO2ALE</v>
          </cell>
          <cell r="B1756">
            <v>112.09</v>
          </cell>
          <cell r="C1756">
            <v>0</v>
          </cell>
        </row>
        <row r="1757">
          <cell r="A1757" t="str">
            <v>NEUTRO2ALET-servicio</v>
          </cell>
          <cell r="B1757">
            <v>177.76</v>
          </cell>
          <cell r="C1757">
            <v>0</v>
          </cell>
        </row>
        <row r="1758">
          <cell r="A1758" t="str">
            <v>NEUTRO2T-servicio</v>
          </cell>
          <cell r="B1758">
            <v>711.79</v>
          </cell>
          <cell r="C1758">
            <v>0</v>
          </cell>
        </row>
        <row r="1759">
          <cell r="A1759" t="str">
            <v>NEUTRO3</v>
          </cell>
          <cell r="B1759">
            <v>879.18</v>
          </cell>
          <cell r="C1759">
            <v>0</v>
          </cell>
        </row>
        <row r="1760">
          <cell r="A1760" t="str">
            <v>NEUTRO30R</v>
          </cell>
          <cell r="B1760">
            <v>11650.16</v>
          </cell>
          <cell r="C1760">
            <v>0</v>
          </cell>
        </row>
        <row r="1761">
          <cell r="A1761" t="str">
            <v>NEUTRO30RAL</v>
          </cell>
          <cell r="B1761">
            <v>1890.07</v>
          </cell>
          <cell r="C1761">
            <v>0</v>
          </cell>
        </row>
        <row r="1762">
          <cell r="A1762" t="str">
            <v>NEUTRO30RAL-EX</v>
          </cell>
          <cell r="B1762">
            <v>2138.64</v>
          </cell>
          <cell r="C1762">
            <v>0</v>
          </cell>
        </row>
        <row r="1763">
          <cell r="A1763" t="str">
            <v>NEUTRO30RALE</v>
          </cell>
          <cell r="B1763">
            <v>1890.07</v>
          </cell>
          <cell r="C1763">
            <v>0</v>
          </cell>
        </row>
        <row r="1764">
          <cell r="A1764" t="str">
            <v>NEUTRO30RALE-EX</v>
          </cell>
          <cell r="B1764">
            <v>2138.64</v>
          </cell>
          <cell r="C1764">
            <v>0</v>
          </cell>
        </row>
        <row r="1765">
          <cell r="A1765" t="str">
            <v>NEUTRO30RALET</v>
          </cell>
          <cell r="B1765">
            <v>2595.69</v>
          </cell>
          <cell r="C1765">
            <v>0</v>
          </cell>
        </row>
        <row r="1766">
          <cell r="A1766" t="str">
            <v>NEUTRO30RALET-EX</v>
          </cell>
          <cell r="B1766">
            <v>2970.64</v>
          </cell>
          <cell r="C1766">
            <v>0</v>
          </cell>
        </row>
        <row r="1767">
          <cell r="A1767" t="str">
            <v>NEUTRO30RT-servicio</v>
          </cell>
          <cell r="B1767">
            <v>12355.78</v>
          </cell>
          <cell r="C1767">
            <v>0</v>
          </cell>
        </row>
        <row r="1768">
          <cell r="A1768" t="str">
            <v>NEUTRO36R</v>
          </cell>
          <cell r="B1768">
            <v>13631.16</v>
          </cell>
          <cell r="C1768">
            <v>0</v>
          </cell>
        </row>
        <row r="1769">
          <cell r="A1769" t="str">
            <v>NEUTRO36RAL</v>
          </cell>
          <cell r="B1769">
            <v>2211.34</v>
          </cell>
          <cell r="C1769">
            <v>0</v>
          </cell>
        </row>
        <row r="1770">
          <cell r="A1770" t="str">
            <v>NEUTRO36RALE</v>
          </cell>
          <cell r="B1770">
            <v>2211.34</v>
          </cell>
          <cell r="C1770">
            <v>0</v>
          </cell>
        </row>
        <row r="1771">
          <cell r="A1771" t="str">
            <v>NEUTRO36RALE-EX</v>
          </cell>
          <cell r="B1771">
            <v>2520.88</v>
          </cell>
          <cell r="C1771">
            <v>0</v>
          </cell>
        </row>
        <row r="1772">
          <cell r="A1772" t="str">
            <v>NEUTRO36RALET-EX</v>
          </cell>
          <cell r="B1772">
            <v>2520.88</v>
          </cell>
          <cell r="C1772">
            <v>0</v>
          </cell>
        </row>
        <row r="1773">
          <cell r="A1773" t="str">
            <v>NEUTRO36RALET-servicio</v>
          </cell>
          <cell r="B1773">
            <v>3048.3</v>
          </cell>
          <cell r="C1773">
            <v>0</v>
          </cell>
        </row>
        <row r="1774">
          <cell r="A1774" t="str">
            <v>NEUTRO36REAL-EX</v>
          </cell>
          <cell r="B1774">
            <v>2520.88</v>
          </cell>
          <cell r="C1774">
            <v>0</v>
          </cell>
        </row>
        <row r="1775">
          <cell r="A1775" t="str">
            <v>NEUTRO36RT-servicio</v>
          </cell>
          <cell r="B1775">
            <v>14468.12</v>
          </cell>
          <cell r="C1775">
            <v>0</v>
          </cell>
        </row>
        <row r="1776">
          <cell r="A1776" t="str">
            <v>NEUTRO3AL</v>
          </cell>
          <cell r="B1776">
            <v>137.41999999999999</v>
          </cell>
          <cell r="C1776">
            <v>0</v>
          </cell>
        </row>
        <row r="1777">
          <cell r="A1777" t="str">
            <v>NEUTRO3ALE</v>
          </cell>
          <cell r="B1777">
            <v>137.41999999999999</v>
          </cell>
          <cell r="C1777">
            <v>0</v>
          </cell>
        </row>
        <row r="1778">
          <cell r="A1778" t="str">
            <v>NEUTRO3ALET</v>
          </cell>
          <cell r="B1778">
            <v>224.98</v>
          </cell>
          <cell r="C1778">
            <v>0</v>
          </cell>
        </row>
        <row r="1779">
          <cell r="A1779" t="str">
            <v>NEUTRO4</v>
          </cell>
          <cell r="B1779">
            <v>937.54</v>
          </cell>
          <cell r="C1779">
            <v>0</v>
          </cell>
        </row>
        <row r="1780">
          <cell r="A1780" t="str">
            <v>NEUTRO42R</v>
          </cell>
          <cell r="B1780">
            <v>15612.16</v>
          </cell>
          <cell r="C1780">
            <v>0</v>
          </cell>
        </row>
        <row r="1781">
          <cell r="A1781" t="str">
            <v>NEUTRO42RAL</v>
          </cell>
          <cell r="B1781">
            <v>2534.9499999999998</v>
          </cell>
          <cell r="C1781">
            <v>0</v>
          </cell>
        </row>
        <row r="1782">
          <cell r="A1782" t="str">
            <v>NEUTRO42RALE</v>
          </cell>
          <cell r="B1782">
            <v>2534.9499999999998</v>
          </cell>
          <cell r="C1782">
            <v>0</v>
          </cell>
        </row>
        <row r="1783">
          <cell r="A1783" t="str">
            <v>NEUTRO42RALE-EX</v>
          </cell>
          <cell r="B1783">
            <v>2896.08</v>
          </cell>
          <cell r="C1783">
            <v>0</v>
          </cell>
        </row>
        <row r="1784">
          <cell r="A1784" t="str">
            <v>NEUTRO42RALET</v>
          </cell>
          <cell r="B1784">
            <v>3503.25</v>
          </cell>
          <cell r="C1784">
            <v>0</v>
          </cell>
        </row>
        <row r="1785">
          <cell r="A1785" t="str">
            <v>NEUTRO42RALET-EX</v>
          </cell>
          <cell r="B1785">
            <v>3208.08</v>
          </cell>
          <cell r="C1785">
            <v>0</v>
          </cell>
        </row>
        <row r="1786">
          <cell r="A1786" t="str">
            <v>NEUTRO42REAL-EX</v>
          </cell>
          <cell r="B1786">
            <v>2896.08</v>
          </cell>
          <cell r="C1786">
            <v>0</v>
          </cell>
        </row>
        <row r="1787">
          <cell r="A1787" t="str">
            <v>NEUTRO42RT-servicio</v>
          </cell>
          <cell r="B1787">
            <v>16580.46</v>
          </cell>
          <cell r="C1787">
            <v>0</v>
          </cell>
        </row>
        <row r="1788">
          <cell r="A1788" t="str">
            <v>NEUTRO4AL</v>
          </cell>
          <cell r="B1788">
            <v>162.74</v>
          </cell>
          <cell r="C1788">
            <v>0</v>
          </cell>
        </row>
        <row r="1789">
          <cell r="A1789" t="str">
            <v>NEUTRO4ALE</v>
          </cell>
          <cell r="B1789">
            <v>162.74</v>
          </cell>
          <cell r="C1789">
            <v>0</v>
          </cell>
        </row>
        <row r="1790">
          <cell r="A1790" t="str">
            <v>NEUTRO4ALET-servicio</v>
          </cell>
          <cell r="B1790">
            <v>272.19</v>
          </cell>
          <cell r="C1790">
            <v>0</v>
          </cell>
        </row>
        <row r="1791">
          <cell r="A1791" t="str">
            <v>NEUTRO4RAL</v>
          </cell>
          <cell r="B1791">
            <v>372.41</v>
          </cell>
          <cell r="C1791">
            <v>0</v>
          </cell>
        </row>
        <row r="1792">
          <cell r="A1792" t="str">
            <v>NEUTRO4RALE</v>
          </cell>
          <cell r="B1792">
            <v>372.41</v>
          </cell>
          <cell r="C1792">
            <v>0</v>
          </cell>
        </row>
        <row r="1793">
          <cell r="A1793" t="str">
            <v>NEUTRO4RALET</v>
          </cell>
          <cell r="B1793">
            <v>482.65</v>
          </cell>
          <cell r="C1793">
            <v>0</v>
          </cell>
        </row>
        <row r="1794">
          <cell r="A1794" t="str">
            <v>NEUTRO4T-servicio</v>
          </cell>
          <cell r="B1794">
            <v>1046.99</v>
          </cell>
          <cell r="C1794">
            <v>0</v>
          </cell>
        </row>
        <row r="1795">
          <cell r="A1795" t="str">
            <v>NEUTRO6</v>
          </cell>
          <cell r="B1795">
            <v>1229.3900000000001</v>
          </cell>
          <cell r="C1795">
            <v>0</v>
          </cell>
        </row>
        <row r="1796">
          <cell r="A1796" t="str">
            <v>NEUTRO6AL</v>
          </cell>
          <cell r="B1796">
            <v>213.4</v>
          </cell>
          <cell r="C1796">
            <v>0</v>
          </cell>
        </row>
        <row r="1797">
          <cell r="A1797" t="str">
            <v>NEUTRO6ALE</v>
          </cell>
          <cell r="B1797">
            <v>213.4</v>
          </cell>
          <cell r="C1797">
            <v>0</v>
          </cell>
        </row>
        <row r="1798">
          <cell r="A1798" t="str">
            <v>NEUTRO6ALET-servicio</v>
          </cell>
          <cell r="B1798">
            <v>366.63</v>
          </cell>
          <cell r="C1798">
            <v>0</v>
          </cell>
        </row>
        <row r="1799">
          <cell r="A1799" t="str">
            <v>NEUTRO6R</v>
          </cell>
          <cell r="B1799">
            <v>3160.11</v>
          </cell>
          <cell r="C1799">
            <v>0</v>
          </cell>
        </row>
        <row r="1800">
          <cell r="A1800" t="str">
            <v>NEUTRO6RAL</v>
          </cell>
          <cell r="B1800">
            <v>513.55999999999995</v>
          </cell>
          <cell r="C1800">
            <v>0</v>
          </cell>
        </row>
        <row r="1801">
          <cell r="A1801" t="str">
            <v>NEUTRO6RALE</v>
          </cell>
          <cell r="B1801">
            <v>513.55999999999995</v>
          </cell>
          <cell r="C1801">
            <v>0</v>
          </cell>
        </row>
        <row r="1802">
          <cell r="A1802" t="str">
            <v>NEUTRO6RALET</v>
          </cell>
          <cell r="B1802">
            <v>669.36</v>
          </cell>
          <cell r="C1802">
            <v>0</v>
          </cell>
        </row>
        <row r="1803">
          <cell r="A1803" t="str">
            <v>NEUTRO6RT</v>
          </cell>
          <cell r="B1803">
            <v>3315.91</v>
          </cell>
          <cell r="C1803">
            <v>0</v>
          </cell>
        </row>
        <row r="1804">
          <cell r="A1804" t="str">
            <v>NEUTRO6T-servicio</v>
          </cell>
          <cell r="B1804">
            <v>1382.62</v>
          </cell>
          <cell r="C1804">
            <v>0</v>
          </cell>
        </row>
        <row r="1805">
          <cell r="A1805" t="str">
            <v>NEUTRO8</v>
          </cell>
          <cell r="B1805">
            <v>1583.66</v>
          </cell>
          <cell r="C1805">
            <v>0</v>
          </cell>
        </row>
        <row r="1806">
          <cell r="A1806" t="str">
            <v>NEUTRO8AL</v>
          </cell>
          <cell r="B1806">
            <v>275.07</v>
          </cell>
          <cell r="C1806">
            <v>0</v>
          </cell>
        </row>
        <row r="1807">
          <cell r="A1807" t="str">
            <v>NEUTRO8ALE</v>
          </cell>
          <cell r="B1807">
            <v>275.07</v>
          </cell>
          <cell r="C1807">
            <v>0</v>
          </cell>
        </row>
        <row r="1808">
          <cell r="A1808" t="str">
            <v>NEUTRO8ALET-servicio</v>
          </cell>
          <cell r="B1808">
            <v>472.87</v>
          </cell>
          <cell r="C1808">
            <v>0</v>
          </cell>
        </row>
        <row r="1809">
          <cell r="A1809" t="str">
            <v>NEUTRO8T-servicio</v>
          </cell>
          <cell r="B1809">
            <v>1781.46</v>
          </cell>
          <cell r="C1809">
            <v>0</v>
          </cell>
        </row>
        <row r="1810">
          <cell r="A1810" t="str">
            <v>PAPELPES06</v>
          </cell>
          <cell r="B1810">
            <v>18.670000000000002</v>
          </cell>
          <cell r="C1810">
            <v>0</v>
          </cell>
        </row>
        <row r="1811">
          <cell r="A1811" t="str">
            <v>PAPELPES12</v>
          </cell>
          <cell r="B1811">
            <v>45.03</v>
          </cell>
          <cell r="C1811">
            <v>0</v>
          </cell>
        </row>
        <row r="1812">
          <cell r="A1812" t="str">
            <v>PAPELPES12.v2</v>
          </cell>
          <cell r="B1812">
            <v>49.42</v>
          </cell>
          <cell r="C1812">
            <v>0</v>
          </cell>
        </row>
        <row r="1813">
          <cell r="A1813" t="str">
            <v>PAPELPES18</v>
          </cell>
          <cell r="B1813">
            <v>80.180000000000007</v>
          </cell>
          <cell r="C1813">
            <v>0</v>
          </cell>
        </row>
        <row r="1814">
          <cell r="A1814" t="str">
            <v>PAPELPES18.v2</v>
          </cell>
          <cell r="B1814">
            <v>84.57</v>
          </cell>
          <cell r="C1814">
            <v>0</v>
          </cell>
        </row>
        <row r="1815">
          <cell r="A1815" t="str">
            <v>PAPELPES24.v2</v>
          </cell>
          <cell r="B1815">
            <v>121.91</v>
          </cell>
          <cell r="C1815">
            <v>0</v>
          </cell>
        </row>
        <row r="1816">
          <cell r="A1816" t="str">
            <v>PAPELPES30.v2</v>
          </cell>
          <cell r="B1816">
            <v>132.88999999999999</v>
          </cell>
          <cell r="C1816">
            <v>0</v>
          </cell>
        </row>
        <row r="1817">
          <cell r="A1817" t="str">
            <v>PAPELPES36.v2</v>
          </cell>
          <cell r="B1817">
            <v>195.5</v>
          </cell>
          <cell r="C1817">
            <v>0</v>
          </cell>
        </row>
        <row r="1818">
          <cell r="A1818" t="str">
            <v>PAPELPES42.v2</v>
          </cell>
          <cell r="B1818">
            <v>140.58000000000001</v>
          </cell>
          <cell r="C1818">
            <v>0</v>
          </cell>
        </row>
        <row r="1819">
          <cell r="A1819" t="str">
            <v>PAPELPES6.v2</v>
          </cell>
          <cell r="B1819">
            <v>30.75</v>
          </cell>
          <cell r="C1819">
            <v>0</v>
          </cell>
        </row>
        <row r="1820">
          <cell r="A1820" t="str">
            <v>PEINE12B-CU</v>
          </cell>
          <cell r="B1820">
            <v>11495.48</v>
          </cell>
          <cell r="C1820">
            <v>0</v>
          </cell>
        </row>
        <row r="1821">
          <cell r="A1821" t="str">
            <v>PEINE12M-CU</v>
          </cell>
          <cell r="B1821">
            <v>6419.56</v>
          </cell>
          <cell r="C1821">
            <v>0</v>
          </cell>
        </row>
        <row r="1822">
          <cell r="A1822" t="str">
            <v>PEINE12T-CU</v>
          </cell>
          <cell r="B1822">
            <v>15053.61</v>
          </cell>
          <cell r="C1822">
            <v>0</v>
          </cell>
        </row>
        <row r="1823">
          <cell r="A1823" t="str">
            <v>PEINE4B-CU</v>
          </cell>
          <cell r="B1823">
            <v>3867.4</v>
          </cell>
          <cell r="C1823">
            <v>0</v>
          </cell>
        </row>
        <row r="1824">
          <cell r="A1824" t="str">
            <v>PEINE4M-CU</v>
          </cell>
          <cell r="B1824">
            <v>2159.7199999999998</v>
          </cell>
          <cell r="C1824">
            <v>0</v>
          </cell>
        </row>
        <row r="1825">
          <cell r="A1825" t="str">
            <v>PEINE6B-CU</v>
          </cell>
          <cell r="B1825">
            <v>5803.64</v>
          </cell>
          <cell r="C1825">
            <v>0</v>
          </cell>
        </row>
        <row r="1826">
          <cell r="A1826" t="str">
            <v>PEINE6M-CU</v>
          </cell>
          <cell r="B1826">
            <v>3241</v>
          </cell>
          <cell r="C1826">
            <v>0</v>
          </cell>
        </row>
        <row r="1827">
          <cell r="A1827" t="str">
            <v>PEINE6T-CU</v>
          </cell>
          <cell r="B1827">
            <v>7600.01</v>
          </cell>
          <cell r="C1827">
            <v>0</v>
          </cell>
        </row>
        <row r="1828">
          <cell r="A1828" t="str">
            <v>PEINE8B-CU</v>
          </cell>
          <cell r="B1828">
            <v>7683.98</v>
          </cell>
          <cell r="C1828">
            <v>0</v>
          </cell>
        </row>
        <row r="1829">
          <cell r="A1829" t="str">
            <v>PEINE8M-CU</v>
          </cell>
          <cell r="B1829">
            <v>4291.0600000000004</v>
          </cell>
          <cell r="C1829">
            <v>0</v>
          </cell>
        </row>
        <row r="1830">
          <cell r="A1830" t="str">
            <v>PLM-BIM</v>
          </cell>
          <cell r="B1830">
            <v>101.5</v>
          </cell>
          <cell r="C1830">
            <v>0</v>
          </cell>
        </row>
        <row r="1831">
          <cell r="A1831" t="str">
            <v>PLME-BIM</v>
          </cell>
          <cell r="B1831">
            <v>101.5</v>
          </cell>
          <cell r="C1831">
            <v>0</v>
          </cell>
        </row>
        <row r="1832">
          <cell r="A1832" t="str">
            <v>PPESPLG06</v>
          </cell>
          <cell r="B1832">
            <v>8075.8</v>
          </cell>
          <cell r="C1832">
            <v>0</v>
          </cell>
        </row>
        <row r="1833">
          <cell r="A1833" t="str">
            <v>PPESPLG06.v2</v>
          </cell>
          <cell r="B1833">
            <v>8857.7900000000009</v>
          </cell>
          <cell r="C1833">
            <v>0</v>
          </cell>
        </row>
        <row r="1834">
          <cell r="A1834" t="str">
            <v>PPESPLG12</v>
          </cell>
          <cell r="B1834">
            <v>5905.56</v>
          </cell>
          <cell r="C1834">
            <v>0</v>
          </cell>
        </row>
        <row r="1835">
          <cell r="A1835" t="str">
            <v>PPESPLG12.v2</v>
          </cell>
          <cell r="B1835">
            <v>6461.3</v>
          </cell>
          <cell r="C1835">
            <v>0</v>
          </cell>
        </row>
        <row r="1836">
          <cell r="A1836" t="str">
            <v>PPESPLG18</v>
          </cell>
          <cell r="B1836">
            <v>7086.23</v>
          </cell>
          <cell r="C1836">
            <v>0</v>
          </cell>
        </row>
        <row r="1837">
          <cell r="A1837" t="str">
            <v>PPESPLG18.v2</v>
          </cell>
          <cell r="B1837">
            <v>7471.73</v>
          </cell>
          <cell r="C1837">
            <v>0</v>
          </cell>
        </row>
        <row r="1838">
          <cell r="A1838" t="str">
            <v>PPESPLG24.v2</v>
          </cell>
          <cell r="B1838">
            <v>8017.59</v>
          </cell>
          <cell r="C1838">
            <v>0</v>
          </cell>
        </row>
        <row r="1839">
          <cell r="A1839" t="str">
            <v>PPESPLG30.v2</v>
          </cell>
          <cell r="B1839">
            <v>5842.96</v>
          </cell>
          <cell r="C1839">
            <v>0</v>
          </cell>
        </row>
        <row r="1840">
          <cell r="A1840" t="str">
            <v>PPESPLG36.v2</v>
          </cell>
          <cell r="B1840">
            <v>8581.02</v>
          </cell>
          <cell r="C1840">
            <v>0</v>
          </cell>
        </row>
        <row r="1841">
          <cell r="A1841" t="str">
            <v>PPESPLG42.v2</v>
          </cell>
          <cell r="B1841">
            <v>3102.7</v>
          </cell>
          <cell r="C1841">
            <v>0</v>
          </cell>
        </row>
        <row r="1842">
          <cell r="A1842" t="str">
            <v>ProcesoPintura</v>
          </cell>
          <cell r="B1842">
            <v>0</v>
          </cell>
          <cell r="C1842">
            <v>0</v>
          </cell>
        </row>
        <row r="1843">
          <cell r="A1843" t="str">
            <v>PRUEBA1</v>
          </cell>
          <cell r="B1843">
            <v>0</v>
          </cell>
          <cell r="C1843">
            <v>0</v>
          </cell>
        </row>
        <row r="1844">
          <cell r="A1844" t="str">
            <v>PTCA-100</v>
          </cell>
          <cell r="B1844">
            <v>1474.43</v>
          </cell>
          <cell r="C1844">
            <v>0</v>
          </cell>
        </row>
        <row r="1845">
          <cell r="A1845" t="str">
            <v>PTCA-120</v>
          </cell>
          <cell r="B1845">
            <v>1638.28</v>
          </cell>
          <cell r="C1845">
            <v>0</v>
          </cell>
        </row>
        <row r="1846">
          <cell r="A1846" t="str">
            <v>PTCA-30</v>
          </cell>
          <cell r="B1846">
            <v>318.12</v>
          </cell>
          <cell r="C1846">
            <v>233.5</v>
          </cell>
        </row>
        <row r="1847">
          <cell r="A1847" t="str">
            <v>PTCA-30-CMB</v>
          </cell>
          <cell r="B1847">
            <v>318.12</v>
          </cell>
          <cell r="C1847">
            <v>167.74</v>
          </cell>
        </row>
        <row r="1848">
          <cell r="A1848" t="str">
            <v>PTCA-30M</v>
          </cell>
          <cell r="B1848">
            <v>318.12</v>
          </cell>
          <cell r="C1848">
            <v>0</v>
          </cell>
        </row>
        <row r="1849">
          <cell r="A1849" t="str">
            <v>PTCA-35</v>
          </cell>
          <cell r="B1849">
            <v>395.1</v>
          </cell>
          <cell r="C1849">
            <v>0</v>
          </cell>
        </row>
        <row r="1850">
          <cell r="A1850" t="str">
            <v>PTCA-40</v>
          </cell>
          <cell r="B1850">
            <v>510.88</v>
          </cell>
          <cell r="C1850">
            <v>148.97</v>
          </cell>
        </row>
        <row r="1851">
          <cell r="A1851" t="str">
            <v>PTCA-40-CMB</v>
          </cell>
          <cell r="B1851">
            <v>510.88</v>
          </cell>
          <cell r="C1851">
            <v>62.13</v>
          </cell>
        </row>
        <row r="1852">
          <cell r="A1852" t="str">
            <v>PTCA-40M</v>
          </cell>
          <cell r="B1852">
            <v>510.88</v>
          </cell>
          <cell r="C1852">
            <v>14.01</v>
          </cell>
        </row>
        <row r="1853">
          <cell r="A1853" t="str">
            <v>PTCA-50</v>
          </cell>
          <cell r="B1853">
            <v>607.26</v>
          </cell>
          <cell r="C1853">
            <v>152.5</v>
          </cell>
        </row>
        <row r="1854">
          <cell r="A1854" t="str">
            <v>PTCA-50-CMB</v>
          </cell>
          <cell r="B1854">
            <v>607.26</v>
          </cell>
          <cell r="C1854">
            <v>53.37</v>
          </cell>
        </row>
        <row r="1855">
          <cell r="A1855" t="str">
            <v>PTCA-50M</v>
          </cell>
          <cell r="B1855">
            <v>607.26</v>
          </cell>
          <cell r="C1855">
            <v>1.04</v>
          </cell>
        </row>
        <row r="1856">
          <cell r="A1856" t="str">
            <v>PTCA-60</v>
          </cell>
          <cell r="B1856">
            <v>707.3</v>
          </cell>
          <cell r="C1856">
            <v>147.97999999999999</v>
          </cell>
        </row>
        <row r="1857">
          <cell r="A1857" t="str">
            <v>PTCA-60-CMB</v>
          </cell>
          <cell r="B1857">
            <v>707.3</v>
          </cell>
          <cell r="C1857">
            <v>49.45</v>
          </cell>
        </row>
        <row r="1858">
          <cell r="A1858" t="str">
            <v>PTCA-60M</v>
          </cell>
          <cell r="B1858">
            <v>707.3</v>
          </cell>
          <cell r="C1858">
            <v>2.1800000000000002</v>
          </cell>
        </row>
        <row r="1859">
          <cell r="A1859" t="str">
            <v>PTCA-70</v>
          </cell>
          <cell r="B1859">
            <v>896.09</v>
          </cell>
          <cell r="C1859">
            <v>379.59</v>
          </cell>
        </row>
        <row r="1860">
          <cell r="A1860" t="str">
            <v>PTCA-70-CMB</v>
          </cell>
          <cell r="B1860">
            <v>896.09</v>
          </cell>
          <cell r="C1860">
            <v>299.01</v>
          </cell>
        </row>
        <row r="1861">
          <cell r="A1861" t="str">
            <v>PTCA-70M</v>
          </cell>
          <cell r="B1861">
            <v>896.09</v>
          </cell>
          <cell r="C1861">
            <v>1.24</v>
          </cell>
        </row>
        <row r="1862">
          <cell r="A1862" t="str">
            <v>PTCA-80</v>
          </cell>
          <cell r="B1862">
            <v>896.09</v>
          </cell>
          <cell r="C1862">
            <v>657.18</v>
          </cell>
        </row>
        <row r="1863">
          <cell r="A1863" t="str">
            <v>PTCA-80-CMB</v>
          </cell>
          <cell r="B1863">
            <v>896.09</v>
          </cell>
          <cell r="C1863">
            <v>645.98</v>
          </cell>
        </row>
        <row r="1864">
          <cell r="A1864" t="str">
            <v>PTCA-80M</v>
          </cell>
          <cell r="B1864">
            <v>896.09</v>
          </cell>
          <cell r="C1864">
            <v>3.6</v>
          </cell>
        </row>
        <row r="1865">
          <cell r="A1865" t="str">
            <v>PTCA-90</v>
          </cell>
          <cell r="B1865">
            <v>896.09</v>
          </cell>
          <cell r="C1865">
            <v>184.15</v>
          </cell>
        </row>
        <row r="1866">
          <cell r="A1866" t="str">
            <v>PTCA-90-CMB</v>
          </cell>
          <cell r="B1866">
            <v>896.09</v>
          </cell>
          <cell r="C1866">
            <v>164.09</v>
          </cell>
        </row>
        <row r="1867">
          <cell r="A1867" t="str">
            <v>PTCA-90M</v>
          </cell>
          <cell r="B1867">
            <v>896.09</v>
          </cell>
          <cell r="C1867">
            <v>0</v>
          </cell>
        </row>
        <row r="1868">
          <cell r="A1868" t="str">
            <v>PUERTA-12-125</v>
          </cell>
          <cell r="B1868">
            <v>980.88</v>
          </cell>
          <cell r="C1868">
            <v>0</v>
          </cell>
        </row>
        <row r="1869">
          <cell r="A1869" t="str">
            <v>PUERTA-12-75P</v>
          </cell>
          <cell r="B1869">
            <v>816.79</v>
          </cell>
          <cell r="C1869">
            <v>0</v>
          </cell>
        </row>
        <row r="1870">
          <cell r="A1870" t="str">
            <v>PUERTA-12R</v>
          </cell>
          <cell r="B1870">
            <v>980.88</v>
          </cell>
          <cell r="C1870">
            <v>0</v>
          </cell>
        </row>
        <row r="1871">
          <cell r="A1871" t="str">
            <v>PUERTA-12RT30R</v>
          </cell>
          <cell r="B1871">
            <v>2060.2800000000002</v>
          </cell>
          <cell r="C1871">
            <v>0</v>
          </cell>
        </row>
        <row r="1872">
          <cell r="A1872" t="str">
            <v>PUERTA-18-125</v>
          </cell>
          <cell r="B1872">
            <v>1429.54</v>
          </cell>
          <cell r="C1872">
            <v>0</v>
          </cell>
        </row>
        <row r="1873">
          <cell r="A1873" t="str">
            <v>PUERTA-18R</v>
          </cell>
          <cell r="B1873">
            <v>1429.54</v>
          </cell>
          <cell r="C1873">
            <v>6.58</v>
          </cell>
        </row>
        <row r="1874">
          <cell r="A1874" t="str">
            <v>PUERTA-18RT36R</v>
          </cell>
          <cell r="B1874">
            <v>2360.6999999999998</v>
          </cell>
          <cell r="C1874">
            <v>1.31</v>
          </cell>
        </row>
        <row r="1875">
          <cell r="A1875" t="str">
            <v>PUERTA-24R</v>
          </cell>
          <cell r="B1875">
            <v>1795.23</v>
          </cell>
          <cell r="C1875">
            <v>0</v>
          </cell>
        </row>
        <row r="1876">
          <cell r="A1876" t="str">
            <v>PUERTA-24RT42R</v>
          </cell>
          <cell r="B1876">
            <v>2853.58</v>
          </cell>
          <cell r="C1876">
            <v>26.53</v>
          </cell>
        </row>
        <row r="1877">
          <cell r="A1877" t="str">
            <v>PUERTA-30RT</v>
          </cell>
          <cell r="B1877">
            <v>3238.19</v>
          </cell>
          <cell r="C1877">
            <v>0</v>
          </cell>
        </row>
        <row r="1878">
          <cell r="A1878" t="str">
            <v>PUERTA-36RT</v>
          </cell>
          <cell r="B1878">
            <v>3612.73</v>
          </cell>
          <cell r="C1878">
            <v>0</v>
          </cell>
        </row>
        <row r="1879">
          <cell r="A1879" t="str">
            <v>PUERTA-4-75P</v>
          </cell>
          <cell r="B1879">
            <v>254.07</v>
          </cell>
          <cell r="C1879">
            <v>0</v>
          </cell>
        </row>
        <row r="1880">
          <cell r="A1880" t="str">
            <v>PUERTA-42RT</v>
          </cell>
          <cell r="B1880">
            <v>3913.15</v>
          </cell>
          <cell r="C1880">
            <v>0</v>
          </cell>
        </row>
        <row r="1881">
          <cell r="A1881" t="str">
            <v>PUERTA-42RT-EX</v>
          </cell>
          <cell r="B1881">
            <v>3803.96</v>
          </cell>
          <cell r="C1881">
            <v>0</v>
          </cell>
        </row>
        <row r="1882">
          <cell r="A1882" t="str">
            <v>PUERTA-6-75P</v>
          </cell>
          <cell r="B1882">
            <v>337.03</v>
          </cell>
          <cell r="C1882">
            <v>23.18</v>
          </cell>
        </row>
        <row r="1883">
          <cell r="A1883" t="str">
            <v>PUERTA-6P-125</v>
          </cell>
          <cell r="B1883">
            <v>710.65</v>
          </cell>
          <cell r="C1883">
            <v>3.32</v>
          </cell>
        </row>
        <row r="1884">
          <cell r="A1884" t="str">
            <v>PUERTA-8-6P</v>
          </cell>
          <cell r="B1884">
            <v>710.65</v>
          </cell>
          <cell r="C1884">
            <v>0</v>
          </cell>
        </row>
        <row r="1885">
          <cell r="A1885" t="str">
            <v>PUERTA-8-75P</v>
          </cell>
          <cell r="B1885">
            <v>577.98</v>
          </cell>
          <cell r="C1885">
            <v>1.41</v>
          </cell>
        </row>
        <row r="1886">
          <cell r="A1886" t="str">
            <v>PUERTA-CT20</v>
          </cell>
          <cell r="B1886">
            <v>451.71</v>
          </cell>
          <cell r="C1886">
            <v>0</v>
          </cell>
        </row>
        <row r="1887">
          <cell r="A1887" t="str">
            <v>PUERTA-CT30</v>
          </cell>
          <cell r="B1887">
            <v>1261.79</v>
          </cell>
          <cell r="C1887">
            <v>0</v>
          </cell>
        </row>
        <row r="1888">
          <cell r="A1888" t="str">
            <v>PUERTA-CT40</v>
          </cell>
          <cell r="B1888">
            <v>2478.7399999999998</v>
          </cell>
          <cell r="C1888">
            <v>0</v>
          </cell>
        </row>
        <row r="1889">
          <cell r="A1889" t="str">
            <v>PUERTA-CT60</v>
          </cell>
          <cell r="B1889">
            <v>3326.64</v>
          </cell>
          <cell r="C1889">
            <v>0</v>
          </cell>
        </row>
        <row r="1890">
          <cell r="A1890" t="str">
            <v>PUERTA-CT80</v>
          </cell>
          <cell r="B1890">
            <v>7551.5</v>
          </cell>
          <cell r="C1890">
            <v>0</v>
          </cell>
        </row>
        <row r="1891">
          <cell r="A1891" t="str">
            <v>PUERTA-GAP100</v>
          </cell>
          <cell r="B1891">
            <v>11740.67</v>
          </cell>
          <cell r="C1891">
            <v>9.7799999999999994</v>
          </cell>
        </row>
        <row r="1892">
          <cell r="A1892" t="str">
            <v>PUERTA-GAP70</v>
          </cell>
          <cell r="B1892">
            <v>7083.32</v>
          </cell>
          <cell r="C1892">
            <v>195.46</v>
          </cell>
        </row>
        <row r="1893">
          <cell r="A1893" t="str">
            <v>PUERTA-PAU506</v>
          </cell>
          <cell r="B1893">
            <v>1999.28</v>
          </cell>
          <cell r="C1893">
            <v>0</v>
          </cell>
        </row>
        <row r="1894">
          <cell r="A1894" t="str">
            <v>PUERTA12-95</v>
          </cell>
          <cell r="B1894">
            <v>1327.79</v>
          </cell>
          <cell r="C1894">
            <v>67.400000000000006</v>
          </cell>
        </row>
        <row r="1895">
          <cell r="A1895" t="str">
            <v>PUERTA12-95B</v>
          </cell>
          <cell r="B1895">
            <v>1220.7</v>
          </cell>
          <cell r="C1895">
            <v>0</v>
          </cell>
        </row>
        <row r="1896">
          <cell r="A1896" t="str">
            <v>PUERTA12R-EX</v>
          </cell>
          <cell r="B1896">
            <v>857.66</v>
          </cell>
          <cell r="C1896">
            <v>0</v>
          </cell>
        </row>
        <row r="1897">
          <cell r="A1897" t="str">
            <v>PUERTA12R.v2</v>
          </cell>
          <cell r="B1897">
            <v>970.21</v>
          </cell>
          <cell r="C1897">
            <v>0</v>
          </cell>
        </row>
        <row r="1898">
          <cell r="A1898" t="str">
            <v>PUERTA12RT30R.v2</v>
          </cell>
          <cell r="B1898">
            <v>2099.62</v>
          </cell>
          <cell r="C1898">
            <v>0</v>
          </cell>
        </row>
        <row r="1899">
          <cell r="A1899" t="str">
            <v>PUERTA18R-EX</v>
          </cell>
          <cell r="B1899">
            <v>1216.95</v>
          </cell>
          <cell r="C1899">
            <v>0</v>
          </cell>
        </row>
        <row r="1900">
          <cell r="A1900" t="str">
            <v>PUERTA18R.v2</v>
          </cell>
          <cell r="B1900">
            <v>1346.58</v>
          </cell>
          <cell r="C1900">
            <v>0</v>
          </cell>
        </row>
        <row r="1901">
          <cell r="A1901" t="str">
            <v>PUERTA18RT36R.v2</v>
          </cell>
          <cell r="B1901">
            <v>2475.9899999999998</v>
          </cell>
          <cell r="C1901">
            <v>0</v>
          </cell>
        </row>
        <row r="1902">
          <cell r="A1902" t="str">
            <v>PUERTA24R.v2</v>
          </cell>
          <cell r="B1902">
            <v>1722.95</v>
          </cell>
          <cell r="C1902">
            <v>0</v>
          </cell>
        </row>
        <row r="1903">
          <cell r="A1903" t="str">
            <v>PUERTA24RT42R.v2</v>
          </cell>
          <cell r="B1903">
            <v>2852.36</v>
          </cell>
          <cell r="C1903">
            <v>0</v>
          </cell>
        </row>
        <row r="1904">
          <cell r="A1904" t="str">
            <v>PUERTA30RT.v2</v>
          </cell>
          <cell r="B1904">
            <v>3228.73</v>
          </cell>
          <cell r="C1904">
            <v>0</v>
          </cell>
        </row>
        <row r="1905">
          <cell r="A1905" t="str">
            <v>PUERTA36RT.v2</v>
          </cell>
          <cell r="B1905">
            <v>3605.1</v>
          </cell>
          <cell r="C1905">
            <v>0</v>
          </cell>
        </row>
        <row r="1906">
          <cell r="A1906" t="str">
            <v>PUERTA42RT.v2</v>
          </cell>
          <cell r="B1906">
            <v>3981.47</v>
          </cell>
          <cell r="C1906">
            <v>0</v>
          </cell>
        </row>
        <row r="1907">
          <cell r="A1907" t="str">
            <v>PUERTA4BPLASTICA</v>
          </cell>
          <cell r="B1907">
            <v>497.9</v>
          </cell>
          <cell r="C1907">
            <v>0</v>
          </cell>
        </row>
        <row r="1908">
          <cell r="A1908" t="str">
            <v>PUERTA4PLASTICA</v>
          </cell>
          <cell r="B1908">
            <v>509.32</v>
          </cell>
          <cell r="C1908">
            <v>71.400000000000006</v>
          </cell>
        </row>
        <row r="1909">
          <cell r="A1909" t="str">
            <v>PUERTA6BPLASTICA</v>
          </cell>
          <cell r="B1909">
            <v>581.29999999999995</v>
          </cell>
          <cell r="C1909">
            <v>0</v>
          </cell>
        </row>
        <row r="1910">
          <cell r="A1910" t="str">
            <v>PUERTA6PLASTICA</v>
          </cell>
          <cell r="B1910">
            <v>613.80999999999995</v>
          </cell>
          <cell r="C1910">
            <v>50.97</v>
          </cell>
        </row>
        <row r="1911">
          <cell r="A1911" t="str">
            <v>PUERTA6R</v>
          </cell>
          <cell r="B1911">
            <v>586.52</v>
          </cell>
          <cell r="C1911">
            <v>0</v>
          </cell>
        </row>
        <row r="1912">
          <cell r="A1912" t="str">
            <v>PUERTA6R.v2</v>
          </cell>
          <cell r="B1912">
            <v>593.84</v>
          </cell>
          <cell r="C1912">
            <v>0</v>
          </cell>
        </row>
        <row r="1913">
          <cell r="A1913" t="str">
            <v>PUERTA8-95</v>
          </cell>
          <cell r="B1913">
            <v>957.68</v>
          </cell>
          <cell r="C1913">
            <v>83.18</v>
          </cell>
        </row>
        <row r="1914">
          <cell r="A1914" t="str">
            <v>PUERTA8-95B</v>
          </cell>
          <cell r="B1914">
            <v>901</v>
          </cell>
          <cell r="C1914">
            <v>0</v>
          </cell>
        </row>
        <row r="1915">
          <cell r="A1915" t="str">
            <v>PUNTA</v>
          </cell>
          <cell r="B1915">
            <v>0</v>
          </cell>
          <cell r="C1915">
            <v>0</v>
          </cell>
        </row>
        <row r="1916">
          <cell r="A1916" t="str">
            <v>R1TE</v>
          </cell>
          <cell r="B1916">
            <v>874.95</v>
          </cell>
          <cell r="C1916">
            <v>47.65</v>
          </cell>
        </row>
        <row r="1917">
          <cell r="A1917" t="str">
            <v>R1TE-BIM</v>
          </cell>
          <cell r="B1917">
            <v>594.69000000000005</v>
          </cell>
          <cell r="C1917">
            <v>41.35</v>
          </cell>
        </row>
        <row r="1918">
          <cell r="A1918" t="str">
            <v>R2TE</v>
          </cell>
          <cell r="B1918">
            <v>1630.76</v>
          </cell>
          <cell r="C1918">
            <v>160.47</v>
          </cell>
        </row>
        <row r="1919">
          <cell r="A1919" t="str">
            <v>R2TE-BIM</v>
          </cell>
          <cell r="B1919">
            <v>1070.24</v>
          </cell>
          <cell r="C1919">
            <v>180.35</v>
          </cell>
        </row>
        <row r="1920">
          <cell r="A1920" t="str">
            <v>R2TPEM</v>
          </cell>
          <cell r="B1920">
            <v>1656.36</v>
          </cell>
          <cell r="C1920">
            <v>246.28</v>
          </cell>
        </row>
        <row r="1921">
          <cell r="A1921" t="str">
            <v>R2TPEM-BIM</v>
          </cell>
          <cell r="B1921">
            <v>755.29</v>
          </cell>
          <cell r="C1921">
            <v>181.97</v>
          </cell>
        </row>
        <row r="1922">
          <cell r="A1922" t="str">
            <v>R3TPEM</v>
          </cell>
          <cell r="B1922">
            <v>2382.85</v>
          </cell>
          <cell r="C1922">
            <v>376.63</v>
          </cell>
        </row>
        <row r="1923">
          <cell r="A1923" t="str">
            <v>R3TPEM-BIM</v>
          </cell>
          <cell r="B1923">
            <v>1019.69</v>
          </cell>
          <cell r="C1923">
            <v>264.66000000000003</v>
          </cell>
        </row>
        <row r="1924">
          <cell r="A1924" t="str">
            <v>R4TPE-EPM</v>
          </cell>
          <cell r="B1924">
            <v>1613</v>
          </cell>
          <cell r="C1924">
            <v>170.36</v>
          </cell>
        </row>
        <row r="1925">
          <cell r="A1925" t="str">
            <v>R4TPEM</v>
          </cell>
          <cell r="B1925">
            <v>3055.01</v>
          </cell>
          <cell r="C1925">
            <v>436.98</v>
          </cell>
        </row>
        <row r="1926">
          <cell r="A1926" t="str">
            <v>R4TPEM-BIM</v>
          </cell>
          <cell r="B1926">
            <v>1180.05</v>
          </cell>
          <cell r="C1926">
            <v>314.45</v>
          </cell>
        </row>
        <row r="1927">
          <cell r="A1927" t="str">
            <v>R6TPE</v>
          </cell>
          <cell r="B1927">
            <v>4639.6400000000003</v>
          </cell>
          <cell r="C1927">
            <v>701.88</v>
          </cell>
        </row>
        <row r="1928">
          <cell r="A1928" t="str">
            <v>R6TPE-BIM</v>
          </cell>
          <cell r="B1928">
            <v>1916.35</v>
          </cell>
          <cell r="C1928">
            <v>491.64</v>
          </cell>
        </row>
        <row r="1929">
          <cell r="A1929" t="str">
            <v>R6TPEM</v>
          </cell>
          <cell r="B1929">
            <v>4462.0600000000004</v>
          </cell>
          <cell r="C1929">
            <v>672.3</v>
          </cell>
        </row>
        <row r="1930">
          <cell r="A1930" t="str">
            <v>R6TPEM-BIM</v>
          </cell>
          <cell r="B1930">
            <v>1596.56</v>
          </cell>
          <cell r="C1930">
            <v>460.01</v>
          </cell>
        </row>
        <row r="1931">
          <cell r="A1931" t="str">
            <v>R8TPEM</v>
          </cell>
          <cell r="B1931">
            <v>5893.67</v>
          </cell>
          <cell r="C1931">
            <v>806.1</v>
          </cell>
        </row>
        <row r="1932">
          <cell r="A1932" t="str">
            <v>R8TPEM-BIM</v>
          </cell>
          <cell r="B1932">
            <v>2014.21</v>
          </cell>
          <cell r="C1932">
            <v>652.57000000000005</v>
          </cell>
        </row>
        <row r="1933">
          <cell r="A1933" t="str">
            <v>RCE</v>
          </cell>
          <cell r="B1933">
            <v>266</v>
          </cell>
          <cell r="C1933">
            <v>0</v>
          </cell>
        </row>
        <row r="1934">
          <cell r="A1934" t="str">
            <v>RCR</v>
          </cell>
          <cell r="B1934">
            <v>392</v>
          </cell>
          <cell r="C1934">
            <v>64.55</v>
          </cell>
        </row>
        <row r="1935">
          <cell r="A1935" t="str">
            <v>RE</v>
          </cell>
          <cell r="B1935">
            <v>117.6</v>
          </cell>
          <cell r="C1935">
            <v>16.02</v>
          </cell>
        </row>
        <row r="1936">
          <cell r="A1936" t="str">
            <v>RESORTE</v>
          </cell>
          <cell r="B1936">
            <v>30</v>
          </cell>
          <cell r="C1936">
            <v>0</v>
          </cell>
        </row>
        <row r="1937">
          <cell r="A1937" t="str">
            <v>RFTCT100</v>
          </cell>
          <cell r="B1937">
            <v>1546.69</v>
          </cell>
          <cell r="C1937">
            <v>0</v>
          </cell>
        </row>
        <row r="1938">
          <cell r="A1938" t="str">
            <v>RFTCT120</v>
          </cell>
          <cell r="B1938">
            <v>1953.71</v>
          </cell>
          <cell r="C1938">
            <v>0</v>
          </cell>
        </row>
        <row r="1939">
          <cell r="A1939" t="str">
            <v>RFTCT60</v>
          </cell>
          <cell r="B1939">
            <v>732.64</v>
          </cell>
          <cell r="C1939">
            <v>0</v>
          </cell>
        </row>
        <row r="1940">
          <cell r="A1940" t="str">
            <v>RFTCT80</v>
          </cell>
          <cell r="B1940">
            <v>1145.77</v>
          </cell>
          <cell r="C1940">
            <v>0</v>
          </cell>
        </row>
        <row r="1941">
          <cell r="A1941" t="str">
            <v>RIEL12</v>
          </cell>
          <cell r="B1941">
            <v>1665.62</v>
          </cell>
          <cell r="C1941">
            <v>0</v>
          </cell>
        </row>
        <row r="1942">
          <cell r="A1942" t="str">
            <v>RIEL4</v>
          </cell>
          <cell r="B1942">
            <v>553.49</v>
          </cell>
          <cell r="C1942">
            <v>0</v>
          </cell>
        </row>
        <row r="1943">
          <cell r="A1943" t="str">
            <v>RIEL4-6</v>
          </cell>
          <cell r="B1943">
            <v>1052.8599999999999</v>
          </cell>
          <cell r="C1943">
            <v>0</v>
          </cell>
        </row>
        <row r="1944">
          <cell r="A1944" t="str">
            <v>RIEL6</v>
          </cell>
          <cell r="B1944">
            <v>737</v>
          </cell>
          <cell r="C1944">
            <v>0</v>
          </cell>
        </row>
        <row r="1945">
          <cell r="A1945" t="str">
            <v>RIEL8</v>
          </cell>
          <cell r="B1945">
            <v>1105.5</v>
          </cell>
          <cell r="C1945">
            <v>0</v>
          </cell>
        </row>
        <row r="1946">
          <cell r="A1946" t="str">
            <v>RS</v>
          </cell>
          <cell r="B1946">
            <v>42.42</v>
          </cell>
          <cell r="C1946">
            <v>27.23</v>
          </cell>
        </row>
        <row r="1947">
          <cell r="A1947" t="str">
            <v>RS-T-CE1313-L18</v>
          </cell>
          <cell r="B1947">
            <v>636.23</v>
          </cell>
          <cell r="C1947">
            <v>0</v>
          </cell>
        </row>
        <row r="1948">
          <cell r="A1948" t="str">
            <v>RS-T-CE1515 L18</v>
          </cell>
          <cell r="B1948">
            <v>824.11</v>
          </cell>
          <cell r="C1948">
            <v>0</v>
          </cell>
        </row>
        <row r="1949">
          <cell r="A1949" t="str">
            <v>RS-T-CE2020-L18</v>
          </cell>
          <cell r="B1949">
            <v>1399.95</v>
          </cell>
          <cell r="C1949">
            <v>0</v>
          </cell>
        </row>
        <row r="1950">
          <cell r="A1950" t="str">
            <v>RS-T-CE3030-L18</v>
          </cell>
          <cell r="B1950">
            <v>2854.8</v>
          </cell>
          <cell r="C1950">
            <v>0</v>
          </cell>
        </row>
        <row r="1951">
          <cell r="A1951" t="str">
            <v>RS-T-CE4040-L18</v>
          </cell>
          <cell r="B1951">
            <v>4973.33</v>
          </cell>
          <cell r="C1951">
            <v>0</v>
          </cell>
        </row>
        <row r="1952">
          <cell r="A1952" t="str">
            <v>RS-TCE125TLG-L18</v>
          </cell>
          <cell r="B1952">
            <v>539.54999999999995</v>
          </cell>
          <cell r="C1952">
            <v>0</v>
          </cell>
        </row>
        <row r="1953">
          <cell r="A1953" t="str">
            <v>RS-TCE125TVG-L18</v>
          </cell>
          <cell r="B1953">
            <v>539.54999999999995</v>
          </cell>
          <cell r="C1953">
            <v>0</v>
          </cell>
        </row>
        <row r="1954">
          <cell r="A1954" t="str">
            <v>RS-TCE125TVGD-L18</v>
          </cell>
          <cell r="B1954">
            <v>539.54999999999995</v>
          </cell>
          <cell r="C1954">
            <v>0</v>
          </cell>
        </row>
        <row r="1955">
          <cell r="A1955" t="str">
            <v>RS-TCE125TXG-L18</v>
          </cell>
          <cell r="B1955">
            <v>539.54999999999995</v>
          </cell>
          <cell r="C1955">
            <v>0</v>
          </cell>
        </row>
        <row r="1956">
          <cell r="A1956" t="str">
            <v>RS-TS70-L18</v>
          </cell>
          <cell r="B1956">
            <v>406.26</v>
          </cell>
          <cell r="C1956">
            <v>0</v>
          </cell>
        </row>
        <row r="1957">
          <cell r="A1957" t="str">
            <v>RS-TS70EP-L18</v>
          </cell>
          <cell r="B1957">
            <v>384</v>
          </cell>
          <cell r="C1957">
            <v>0</v>
          </cell>
        </row>
        <row r="1958">
          <cell r="A1958" t="str">
            <v>RS-TS70EPG-LG18</v>
          </cell>
          <cell r="B1958">
            <v>512.91999999999996</v>
          </cell>
          <cell r="C1958">
            <v>0</v>
          </cell>
        </row>
        <row r="1959">
          <cell r="A1959" t="str">
            <v>RS-TS70G-LG18</v>
          </cell>
          <cell r="B1959">
            <v>542.66</v>
          </cell>
          <cell r="C1959">
            <v>0</v>
          </cell>
        </row>
        <row r="1960">
          <cell r="A1960" t="str">
            <v>RS-TSCE125-L18</v>
          </cell>
          <cell r="B1960">
            <v>165.31</v>
          </cell>
          <cell r="C1960">
            <v>0</v>
          </cell>
        </row>
        <row r="1961">
          <cell r="A1961" t="str">
            <v>RS-TSCE125GV-LG18</v>
          </cell>
          <cell r="B1961">
            <v>220.81</v>
          </cell>
          <cell r="C1961">
            <v>0</v>
          </cell>
        </row>
        <row r="1962">
          <cell r="A1962" t="str">
            <v>RS-TSCE138- L18</v>
          </cell>
          <cell r="B1962">
            <v>286.39999999999998</v>
          </cell>
          <cell r="C1962">
            <v>0</v>
          </cell>
        </row>
        <row r="1963">
          <cell r="A1963" t="str">
            <v>RS-TSCE1520-L18</v>
          </cell>
          <cell r="B1963">
            <v>412.97</v>
          </cell>
          <cell r="C1963">
            <v>0</v>
          </cell>
        </row>
        <row r="1964">
          <cell r="A1964" t="str">
            <v>RS-TSCE2015-L18</v>
          </cell>
          <cell r="B1964">
            <v>825.94</v>
          </cell>
          <cell r="C1964">
            <v>0</v>
          </cell>
        </row>
        <row r="1965">
          <cell r="A1965" t="str">
            <v>RS-TSCE2125-L18</v>
          </cell>
          <cell r="B1965">
            <v>547.78</v>
          </cell>
          <cell r="C1965">
            <v>0</v>
          </cell>
        </row>
        <row r="1966">
          <cell r="A1966" t="str">
            <v>RS-TSCE2515-L18</v>
          </cell>
          <cell r="B1966">
            <v>1032.43</v>
          </cell>
          <cell r="C1966">
            <v>0</v>
          </cell>
        </row>
        <row r="1967">
          <cell r="A1967" t="str">
            <v>RS-TSCE3010-L18</v>
          </cell>
          <cell r="B1967">
            <v>825.94</v>
          </cell>
          <cell r="C1967">
            <v>0</v>
          </cell>
        </row>
        <row r="1968">
          <cell r="A1968" t="str">
            <v>RS-TSCE3015-L18</v>
          </cell>
          <cell r="B1968">
            <v>1238.9100000000001</v>
          </cell>
          <cell r="C1968">
            <v>0</v>
          </cell>
        </row>
        <row r="1969">
          <cell r="A1969" t="str">
            <v>RS-TSTB-125-L18</v>
          </cell>
          <cell r="B1969">
            <v>806.12</v>
          </cell>
          <cell r="C1969">
            <v>0</v>
          </cell>
        </row>
        <row r="1970">
          <cell r="A1970" t="str">
            <v>RSLP</v>
          </cell>
          <cell r="B1970">
            <v>47.32</v>
          </cell>
          <cell r="C1970">
            <v>8.06</v>
          </cell>
        </row>
        <row r="1971">
          <cell r="A1971" t="str">
            <v>RTE</v>
          </cell>
          <cell r="B1971">
            <v>228</v>
          </cell>
          <cell r="C1971">
            <v>0</v>
          </cell>
        </row>
        <row r="1972">
          <cell r="A1972" t="str">
            <v>RTR</v>
          </cell>
          <cell r="B1972">
            <v>611.52</v>
          </cell>
          <cell r="C1972">
            <v>112.57</v>
          </cell>
        </row>
        <row r="1973">
          <cell r="A1973" t="str">
            <v>SL-T-CE1515</v>
          </cell>
          <cell r="B1973">
            <v>0</v>
          </cell>
          <cell r="C1973">
            <v>0</v>
          </cell>
        </row>
        <row r="1974">
          <cell r="A1974" t="str">
            <v>SL-T-CE2525</v>
          </cell>
          <cell r="B1974">
            <v>0</v>
          </cell>
          <cell r="C1974">
            <v>0</v>
          </cell>
        </row>
        <row r="1975">
          <cell r="A1975" t="str">
            <v>SL-T-CE3030</v>
          </cell>
          <cell r="B1975">
            <v>0</v>
          </cell>
          <cell r="C1975">
            <v>0</v>
          </cell>
        </row>
        <row r="1976">
          <cell r="A1976" t="str">
            <v>SL-TCE125TLG</v>
          </cell>
          <cell r="B1976">
            <v>0</v>
          </cell>
          <cell r="C1976">
            <v>0</v>
          </cell>
        </row>
        <row r="1977">
          <cell r="A1977" t="str">
            <v>SL-TCE125TVG</v>
          </cell>
          <cell r="B1977">
            <v>0</v>
          </cell>
          <cell r="C1977">
            <v>0</v>
          </cell>
        </row>
        <row r="1978">
          <cell r="A1978" t="str">
            <v>SL-TCE125TVGD</v>
          </cell>
          <cell r="B1978">
            <v>0</v>
          </cell>
          <cell r="C1978">
            <v>0</v>
          </cell>
        </row>
        <row r="1979">
          <cell r="A1979" t="str">
            <v>SL-TCE125TXG</v>
          </cell>
          <cell r="B1979">
            <v>0</v>
          </cell>
          <cell r="C1979">
            <v>0</v>
          </cell>
        </row>
        <row r="1980">
          <cell r="A1980" t="str">
            <v>SL-TS70</v>
          </cell>
          <cell r="B1980">
            <v>0</v>
          </cell>
          <cell r="C1980">
            <v>0</v>
          </cell>
        </row>
        <row r="1981">
          <cell r="A1981" t="str">
            <v>SL-TS70EP</v>
          </cell>
          <cell r="B1981">
            <v>0</v>
          </cell>
          <cell r="C1981">
            <v>0</v>
          </cell>
        </row>
        <row r="1982">
          <cell r="A1982" t="str">
            <v>SL-TSCE125</v>
          </cell>
          <cell r="B1982">
            <v>0</v>
          </cell>
          <cell r="C1982">
            <v>0</v>
          </cell>
        </row>
        <row r="1983">
          <cell r="A1983" t="str">
            <v>SL-TSCE138</v>
          </cell>
          <cell r="B1983">
            <v>0</v>
          </cell>
          <cell r="C1983">
            <v>0</v>
          </cell>
        </row>
        <row r="1984">
          <cell r="A1984" t="str">
            <v>SL-TSCE1520</v>
          </cell>
          <cell r="B1984">
            <v>0</v>
          </cell>
          <cell r="C1984">
            <v>0</v>
          </cell>
        </row>
        <row r="1985">
          <cell r="A1985" t="str">
            <v>SL-TSCE2015</v>
          </cell>
          <cell r="B1985">
            <v>0</v>
          </cell>
          <cell r="C1985">
            <v>0</v>
          </cell>
        </row>
        <row r="1986">
          <cell r="A1986" t="str">
            <v>SL-TSCE2125</v>
          </cell>
          <cell r="B1986">
            <v>0</v>
          </cell>
          <cell r="C1986">
            <v>0</v>
          </cell>
        </row>
        <row r="1987">
          <cell r="A1987" t="str">
            <v>SL-TSCE2515</v>
          </cell>
          <cell r="B1987">
            <v>0</v>
          </cell>
          <cell r="C1987">
            <v>0</v>
          </cell>
        </row>
        <row r="1988">
          <cell r="A1988" t="str">
            <v>SL-TSCE3015</v>
          </cell>
          <cell r="B1988">
            <v>0</v>
          </cell>
          <cell r="C1988">
            <v>0</v>
          </cell>
        </row>
        <row r="1989">
          <cell r="A1989" t="str">
            <v>SL-TSTB-125</v>
          </cell>
          <cell r="B1989">
            <v>0</v>
          </cell>
          <cell r="C1989">
            <v>0</v>
          </cell>
        </row>
        <row r="1990">
          <cell r="A1990" t="str">
            <v>SPGA70G-D</v>
          </cell>
          <cell r="B1990">
            <v>63.15</v>
          </cell>
          <cell r="C1990">
            <v>0</v>
          </cell>
        </row>
        <row r="1991">
          <cell r="A1991" t="str">
            <v>T-CA30</v>
          </cell>
          <cell r="B1991">
            <v>15516.67</v>
          </cell>
          <cell r="C1991">
            <v>186.82</v>
          </cell>
        </row>
        <row r="1992">
          <cell r="A1992" t="str">
            <v>T-CA30-CMB</v>
          </cell>
          <cell r="B1992">
            <v>2042.28</v>
          </cell>
          <cell r="C1992">
            <v>0</v>
          </cell>
        </row>
        <row r="1993">
          <cell r="A1993" t="str">
            <v>T-CA30M</v>
          </cell>
          <cell r="B1993">
            <v>14992.63</v>
          </cell>
          <cell r="C1993">
            <v>0</v>
          </cell>
        </row>
        <row r="1994">
          <cell r="A1994" t="str">
            <v>T-CA35</v>
          </cell>
          <cell r="B1994">
            <v>17112.939999999999</v>
          </cell>
          <cell r="C1994">
            <v>0</v>
          </cell>
        </row>
        <row r="1995">
          <cell r="A1995" t="str">
            <v>T-CA40</v>
          </cell>
          <cell r="B1995">
            <v>18795.509999999998</v>
          </cell>
          <cell r="C1995">
            <v>59.33</v>
          </cell>
        </row>
        <row r="1996">
          <cell r="A1996" t="str">
            <v>T-CA40-CMB</v>
          </cell>
          <cell r="B1996">
            <v>3834.77</v>
          </cell>
          <cell r="C1996">
            <v>7.06</v>
          </cell>
        </row>
        <row r="1997">
          <cell r="A1997" t="str">
            <v>T-CA40M</v>
          </cell>
          <cell r="B1997">
            <v>17811.72</v>
          </cell>
          <cell r="C1997">
            <v>0</v>
          </cell>
        </row>
        <row r="1998">
          <cell r="A1998" t="str">
            <v>T-CA50</v>
          </cell>
          <cell r="B1998">
            <v>20292.419999999998</v>
          </cell>
          <cell r="C1998">
            <v>158.57</v>
          </cell>
        </row>
        <row r="1999">
          <cell r="A1999" t="str">
            <v>T-CA50-CMB</v>
          </cell>
          <cell r="B1999">
            <v>4754.6499999999996</v>
          </cell>
          <cell r="C1999">
            <v>5.95</v>
          </cell>
        </row>
        <row r="2000">
          <cell r="A2000" t="str">
            <v>T-CA50M</v>
          </cell>
          <cell r="B2000">
            <v>19073.8</v>
          </cell>
          <cell r="C2000">
            <v>0</v>
          </cell>
        </row>
        <row r="2001">
          <cell r="A2001" t="str">
            <v>T-CA60</v>
          </cell>
          <cell r="B2001">
            <v>23925.4</v>
          </cell>
          <cell r="C2001">
            <v>236.1</v>
          </cell>
        </row>
        <row r="2002">
          <cell r="A2002" t="str">
            <v>T-CA60-CMB</v>
          </cell>
          <cell r="B2002">
            <v>7373.07</v>
          </cell>
          <cell r="C2002">
            <v>0</v>
          </cell>
        </row>
        <row r="2003">
          <cell r="A2003" t="str">
            <v>T-CA60M</v>
          </cell>
          <cell r="B2003">
            <v>22034.42</v>
          </cell>
          <cell r="C2003">
            <v>0</v>
          </cell>
        </row>
        <row r="2004">
          <cell r="A2004" t="str">
            <v>T-CA70</v>
          </cell>
          <cell r="B2004">
            <v>28249.79</v>
          </cell>
          <cell r="C2004">
            <v>208.11</v>
          </cell>
        </row>
        <row r="2005">
          <cell r="A2005" t="str">
            <v>T-CA70-CMB</v>
          </cell>
          <cell r="B2005">
            <v>10542.02</v>
          </cell>
          <cell r="C2005">
            <v>0</v>
          </cell>
        </row>
        <row r="2006">
          <cell r="A2006" t="str">
            <v>T-CA70M</v>
          </cell>
          <cell r="B2006">
            <v>25545.57</v>
          </cell>
          <cell r="C2006">
            <v>0</v>
          </cell>
        </row>
        <row r="2007">
          <cell r="A2007" t="str">
            <v>T-CA80</v>
          </cell>
          <cell r="B2007">
            <v>30098.400000000001</v>
          </cell>
          <cell r="C2007">
            <v>56.37</v>
          </cell>
        </row>
        <row r="2008">
          <cell r="A2008" t="str">
            <v>T-CA80-CMB</v>
          </cell>
          <cell r="B2008">
            <v>12012.43</v>
          </cell>
          <cell r="C2008">
            <v>8.3699999999999992</v>
          </cell>
        </row>
        <row r="2009">
          <cell r="A2009" t="str">
            <v>T-CA80M</v>
          </cell>
          <cell r="B2009">
            <v>27015.98</v>
          </cell>
          <cell r="C2009">
            <v>0</v>
          </cell>
        </row>
        <row r="2010">
          <cell r="A2010" t="str">
            <v>T-CA90</v>
          </cell>
          <cell r="B2010">
            <v>32286.720000000001</v>
          </cell>
          <cell r="C2010">
            <v>684.96</v>
          </cell>
        </row>
        <row r="2011">
          <cell r="A2011" t="str">
            <v>T-CA90-CMB</v>
          </cell>
          <cell r="B2011">
            <v>13482.83</v>
          </cell>
          <cell r="C2011">
            <v>539.13</v>
          </cell>
        </row>
        <row r="2012">
          <cell r="A2012" t="str">
            <v>T-CA90M</v>
          </cell>
          <cell r="B2012">
            <v>28828.58</v>
          </cell>
          <cell r="C2012">
            <v>0</v>
          </cell>
        </row>
        <row r="2013">
          <cell r="A2013" t="str">
            <v>T-CE1313</v>
          </cell>
          <cell r="B2013">
            <v>470.31</v>
          </cell>
          <cell r="C2013">
            <v>74.23</v>
          </cell>
        </row>
        <row r="2014">
          <cell r="A2014" t="str">
            <v>T-CE1313-CMB</v>
          </cell>
          <cell r="B2014">
            <v>470.31</v>
          </cell>
          <cell r="C2014">
            <v>0</v>
          </cell>
        </row>
        <row r="2015">
          <cell r="A2015" t="str">
            <v>T-CE1313LX</v>
          </cell>
          <cell r="B2015">
            <v>470.19</v>
          </cell>
          <cell r="C2015">
            <v>0</v>
          </cell>
        </row>
        <row r="2016">
          <cell r="A2016" t="str">
            <v>T-CE1515</v>
          </cell>
          <cell r="B2016">
            <v>609.07000000000005</v>
          </cell>
          <cell r="C2016">
            <v>133.16999999999999</v>
          </cell>
        </row>
        <row r="2017">
          <cell r="A2017" t="str">
            <v>T-CE1515-CMB</v>
          </cell>
          <cell r="B2017">
            <v>609.09</v>
          </cell>
          <cell r="C2017">
            <v>21.3</v>
          </cell>
        </row>
        <row r="2018">
          <cell r="A2018" t="str">
            <v>T-CE1515-EX</v>
          </cell>
          <cell r="B2018">
            <v>1000.9</v>
          </cell>
          <cell r="C2018">
            <v>0</v>
          </cell>
        </row>
        <row r="2019">
          <cell r="A2019" t="str">
            <v>T-CE1515TT</v>
          </cell>
          <cell r="B2019">
            <v>612.44000000000005</v>
          </cell>
          <cell r="C2019">
            <v>0</v>
          </cell>
        </row>
        <row r="2020">
          <cell r="A2020" t="str">
            <v>T-CE1515TT-CMB</v>
          </cell>
          <cell r="B2020">
            <v>612.44000000000005</v>
          </cell>
          <cell r="C2020">
            <v>0</v>
          </cell>
        </row>
        <row r="2021">
          <cell r="A2021" t="str">
            <v>T-CE2015</v>
          </cell>
          <cell r="B2021">
            <v>784.16</v>
          </cell>
          <cell r="C2021">
            <v>52.43</v>
          </cell>
        </row>
        <row r="2022">
          <cell r="A2022" t="str">
            <v>T-CE2015-CMB</v>
          </cell>
          <cell r="B2022">
            <v>784.16</v>
          </cell>
          <cell r="C2022">
            <v>0</v>
          </cell>
        </row>
        <row r="2023">
          <cell r="A2023" t="str">
            <v>T-CE2020</v>
          </cell>
          <cell r="B2023">
            <v>1034.81</v>
          </cell>
          <cell r="C2023">
            <v>134.01</v>
          </cell>
        </row>
        <row r="2024">
          <cell r="A2024" t="str">
            <v>T-CE2020-EX</v>
          </cell>
          <cell r="B2024">
            <v>1673.66</v>
          </cell>
          <cell r="C2024">
            <v>0</v>
          </cell>
        </row>
        <row r="2025">
          <cell r="A2025" t="str">
            <v>T-CE2020-EX-CMB</v>
          </cell>
          <cell r="B2025">
            <v>1332.55</v>
          </cell>
          <cell r="C2025">
            <v>0</v>
          </cell>
        </row>
        <row r="2026">
          <cell r="A2026" t="str">
            <v>T-CE2520</v>
          </cell>
          <cell r="B2026">
            <v>1238</v>
          </cell>
          <cell r="C2026">
            <v>88.65</v>
          </cell>
        </row>
        <row r="2027">
          <cell r="A2027" t="str">
            <v>T-CE2520-CMB</v>
          </cell>
          <cell r="B2027">
            <v>1238</v>
          </cell>
          <cell r="C2027">
            <v>0</v>
          </cell>
        </row>
        <row r="2028">
          <cell r="A2028" t="str">
            <v>T-CE2525</v>
          </cell>
          <cell r="B2028">
            <v>1511.28</v>
          </cell>
          <cell r="C2028">
            <v>126.97</v>
          </cell>
        </row>
        <row r="2029">
          <cell r="A2029" t="str">
            <v>T-CE2525-CMB</v>
          </cell>
          <cell r="B2029">
            <v>1511.28</v>
          </cell>
          <cell r="C2029">
            <v>25.77</v>
          </cell>
        </row>
        <row r="2030">
          <cell r="A2030" t="str">
            <v>T-CE2525-EX</v>
          </cell>
          <cell r="B2030">
            <v>2521.35</v>
          </cell>
          <cell r="C2030">
            <v>0</v>
          </cell>
        </row>
        <row r="2031">
          <cell r="A2031" t="str">
            <v>T-CE2525-EX-CMB</v>
          </cell>
          <cell r="B2031">
            <v>2007.21</v>
          </cell>
          <cell r="C2031">
            <v>0</v>
          </cell>
        </row>
        <row r="2032">
          <cell r="A2032" t="str">
            <v>T-CE3030</v>
          </cell>
          <cell r="B2032">
            <v>2109.9899999999998</v>
          </cell>
          <cell r="C2032">
            <v>79.260000000000005</v>
          </cell>
        </row>
        <row r="2033">
          <cell r="A2033" t="str">
            <v>T-CE3030-CMB</v>
          </cell>
          <cell r="B2033">
            <v>2109.9899999999998</v>
          </cell>
          <cell r="C2033">
            <v>0</v>
          </cell>
        </row>
        <row r="2034">
          <cell r="A2034" t="str">
            <v>T-CE3030-EX</v>
          </cell>
          <cell r="B2034">
            <v>3543.67</v>
          </cell>
          <cell r="C2034">
            <v>0</v>
          </cell>
        </row>
        <row r="2035">
          <cell r="A2035" t="str">
            <v>T-CE3030-EX-CMB</v>
          </cell>
          <cell r="B2035">
            <v>2819.42</v>
          </cell>
          <cell r="C2035">
            <v>0</v>
          </cell>
        </row>
        <row r="2036">
          <cell r="A2036" t="str">
            <v>T-CE4040</v>
          </cell>
          <cell r="B2036">
            <v>3675.86</v>
          </cell>
          <cell r="C2036">
            <v>277.93</v>
          </cell>
        </row>
        <row r="2037">
          <cell r="A2037" t="str">
            <v>T-CE4040-CMB</v>
          </cell>
          <cell r="B2037">
            <v>3675.86</v>
          </cell>
          <cell r="C2037">
            <v>160.55000000000001</v>
          </cell>
        </row>
        <row r="2038">
          <cell r="A2038" t="str">
            <v>T-CE4040-EX</v>
          </cell>
          <cell r="B2038">
            <v>6102.96</v>
          </cell>
          <cell r="C2038">
            <v>0</v>
          </cell>
        </row>
        <row r="2039">
          <cell r="A2039" t="str">
            <v>T-CE4040-EX-CMB</v>
          </cell>
          <cell r="B2039">
            <v>4857.13</v>
          </cell>
          <cell r="C2039">
            <v>0</v>
          </cell>
        </row>
        <row r="2040">
          <cell r="A2040" t="str">
            <v>T-CE5050</v>
          </cell>
          <cell r="B2040">
            <v>5609.26</v>
          </cell>
          <cell r="C2040">
            <v>276.32</v>
          </cell>
        </row>
        <row r="2041">
          <cell r="A2041" t="str">
            <v>T-CE5050-CMB</v>
          </cell>
          <cell r="B2041">
            <v>5609.26</v>
          </cell>
          <cell r="C2041">
            <v>132.25</v>
          </cell>
        </row>
        <row r="2042">
          <cell r="A2042" t="str">
            <v>T-CE50x15</v>
          </cell>
          <cell r="B2042">
            <v>3347.02</v>
          </cell>
          <cell r="C2042">
            <v>458.02</v>
          </cell>
        </row>
        <row r="2043">
          <cell r="A2043" t="str">
            <v>T-CE50x15-CMB</v>
          </cell>
          <cell r="B2043">
            <v>1860.5</v>
          </cell>
          <cell r="C2043">
            <v>458.02</v>
          </cell>
        </row>
        <row r="2044">
          <cell r="A2044" t="str">
            <v>T-CE6060</v>
          </cell>
          <cell r="B2044">
            <v>7924.21</v>
          </cell>
          <cell r="C2044">
            <v>187.66</v>
          </cell>
        </row>
        <row r="2045">
          <cell r="A2045" t="str">
            <v>T-CE6060-CMB</v>
          </cell>
          <cell r="B2045">
            <v>7924.21</v>
          </cell>
          <cell r="C2045">
            <v>0</v>
          </cell>
        </row>
        <row r="2046">
          <cell r="A2046" t="str">
            <v>T-CE7070</v>
          </cell>
          <cell r="B2046">
            <v>14609.79</v>
          </cell>
          <cell r="C2046">
            <v>0</v>
          </cell>
        </row>
        <row r="2047">
          <cell r="A2047" t="str">
            <v>T-CE8080</v>
          </cell>
          <cell r="B2047">
            <v>23832.71</v>
          </cell>
          <cell r="C2047">
            <v>0</v>
          </cell>
        </row>
        <row r="2048">
          <cell r="A2048" t="str">
            <v>T-CEP</v>
          </cell>
          <cell r="B2048">
            <v>1126.98</v>
          </cell>
          <cell r="C2048">
            <v>78.06</v>
          </cell>
        </row>
        <row r="2049">
          <cell r="A2049" t="str">
            <v>T-CEP-CMB</v>
          </cell>
          <cell r="B2049">
            <v>1126.98</v>
          </cell>
          <cell r="C2049">
            <v>0</v>
          </cell>
        </row>
        <row r="2050">
          <cell r="A2050" t="str">
            <v>T-CIBU</v>
          </cell>
          <cell r="B2050">
            <v>1421.91</v>
          </cell>
          <cell r="C2050">
            <v>95.88</v>
          </cell>
        </row>
        <row r="2051">
          <cell r="A2051" t="str">
            <v>T-CIBU-CMB</v>
          </cell>
          <cell r="B2051">
            <v>1421.91</v>
          </cell>
          <cell r="C2051">
            <v>0</v>
          </cell>
        </row>
        <row r="2052">
          <cell r="A2052" t="str">
            <v>T-CIBU250</v>
          </cell>
          <cell r="B2052">
            <v>3211.99</v>
          </cell>
          <cell r="C2052">
            <v>0</v>
          </cell>
        </row>
        <row r="2053">
          <cell r="A2053" t="str">
            <v>T-CT100</v>
          </cell>
          <cell r="B2053">
            <v>11301.45</v>
          </cell>
          <cell r="C2053">
            <v>0</v>
          </cell>
        </row>
        <row r="2054">
          <cell r="A2054" t="str">
            <v>T-CT120</v>
          </cell>
          <cell r="B2054">
            <v>16787.54</v>
          </cell>
          <cell r="C2054">
            <v>0</v>
          </cell>
        </row>
        <row r="2055">
          <cell r="A2055" t="str">
            <v>T-CT1515</v>
          </cell>
          <cell r="B2055">
            <v>449.49</v>
          </cell>
          <cell r="C2055">
            <v>0</v>
          </cell>
        </row>
        <row r="2056">
          <cell r="A2056" t="str">
            <v>T-CT2020</v>
          </cell>
          <cell r="B2056">
            <v>1783.45</v>
          </cell>
          <cell r="C2056">
            <v>143.05000000000001</v>
          </cell>
        </row>
        <row r="2057">
          <cell r="A2057" t="str">
            <v>T-CT2020-CMB</v>
          </cell>
          <cell r="B2057">
            <v>880.54</v>
          </cell>
          <cell r="C2057">
            <v>0</v>
          </cell>
        </row>
        <row r="2058">
          <cell r="A2058" t="str">
            <v>T-CT2020V</v>
          </cell>
          <cell r="B2058">
            <v>847.72</v>
          </cell>
          <cell r="C2058">
            <v>0</v>
          </cell>
        </row>
        <row r="2059">
          <cell r="A2059" t="str">
            <v>T-CT3030</v>
          </cell>
          <cell r="B2059">
            <v>4045.02</v>
          </cell>
          <cell r="C2059">
            <v>175.54</v>
          </cell>
        </row>
        <row r="2060">
          <cell r="A2060" t="str">
            <v>T-CT3030-CMB</v>
          </cell>
          <cell r="B2060">
            <v>1930.65</v>
          </cell>
          <cell r="C2060">
            <v>0</v>
          </cell>
        </row>
        <row r="2061">
          <cell r="A2061" t="str">
            <v>T-CT3030V</v>
          </cell>
          <cell r="B2061">
            <v>2067.23</v>
          </cell>
          <cell r="C2061">
            <v>12.51</v>
          </cell>
        </row>
        <row r="2062">
          <cell r="A2062" t="str">
            <v>T-CT4040</v>
          </cell>
          <cell r="B2062">
            <v>7275.92</v>
          </cell>
          <cell r="C2062">
            <v>135.29</v>
          </cell>
        </row>
        <row r="2063">
          <cell r="A2063" t="str">
            <v>T-CT4040-CMB</v>
          </cell>
          <cell r="B2063">
            <v>3387.64</v>
          </cell>
          <cell r="C2063">
            <v>0</v>
          </cell>
        </row>
        <row r="2064">
          <cell r="A2064" t="str">
            <v>T-CT4040V</v>
          </cell>
          <cell r="B2064">
            <v>3543.29</v>
          </cell>
          <cell r="C2064">
            <v>0</v>
          </cell>
        </row>
        <row r="2065">
          <cell r="A2065" t="str">
            <v>T-CT60</v>
          </cell>
          <cell r="B2065">
            <v>10567.98</v>
          </cell>
          <cell r="C2065">
            <v>258.05</v>
          </cell>
        </row>
        <row r="2066">
          <cell r="A2066" t="str">
            <v>T-CT60-CMB</v>
          </cell>
          <cell r="B2066">
            <v>5089.84</v>
          </cell>
          <cell r="C2066">
            <v>0</v>
          </cell>
        </row>
        <row r="2067">
          <cell r="A2067" t="str">
            <v>T-CT60V</v>
          </cell>
          <cell r="B2067">
            <v>3504.41</v>
          </cell>
          <cell r="C2067">
            <v>0</v>
          </cell>
        </row>
        <row r="2068">
          <cell r="A2068" t="str">
            <v>T-CT80</v>
          </cell>
          <cell r="B2068">
            <v>21679.78</v>
          </cell>
          <cell r="C2068">
            <v>187.85</v>
          </cell>
        </row>
        <row r="2069">
          <cell r="A2069" t="str">
            <v>T-CT80-CMB</v>
          </cell>
          <cell r="B2069">
            <v>10055.549999999999</v>
          </cell>
          <cell r="C2069">
            <v>10.41</v>
          </cell>
        </row>
        <row r="2070">
          <cell r="A2070" t="str">
            <v>T-CT80V</v>
          </cell>
          <cell r="B2070">
            <v>6927.53</v>
          </cell>
          <cell r="C2070">
            <v>0</v>
          </cell>
        </row>
        <row r="2071">
          <cell r="A2071" t="str">
            <v>T-CUNI</v>
          </cell>
          <cell r="B2071">
            <v>1036.1199999999999</v>
          </cell>
          <cell r="C2071">
            <v>0</v>
          </cell>
        </row>
        <row r="2072">
          <cell r="A2072" t="str">
            <v>T1012P</v>
          </cell>
          <cell r="B2072">
            <v>0</v>
          </cell>
          <cell r="C2072">
            <v>0</v>
          </cell>
        </row>
        <row r="2073">
          <cell r="A2073" t="str">
            <v>T1230RT</v>
          </cell>
          <cell r="B2073">
            <v>11361.34</v>
          </cell>
          <cell r="C2073">
            <v>352.61</v>
          </cell>
        </row>
        <row r="2074">
          <cell r="A2074" t="str">
            <v>T1230RT-CMB</v>
          </cell>
          <cell r="B2074">
            <v>7011.65</v>
          </cell>
          <cell r="C2074">
            <v>0</v>
          </cell>
        </row>
        <row r="2075">
          <cell r="A2075" t="str">
            <v>T1230RT-CMB.v2</v>
          </cell>
          <cell r="B2075">
            <v>6690.18</v>
          </cell>
          <cell r="C2075">
            <v>0</v>
          </cell>
        </row>
        <row r="2076">
          <cell r="A2076" t="str">
            <v>T1230RT.v2</v>
          </cell>
          <cell r="B2076">
            <v>11057.45</v>
          </cell>
          <cell r="C2076">
            <v>81.510000000000005</v>
          </cell>
        </row>
        <row r="2077">
          <cell r="A2077" t="str">
            <v>T1836RT</v>
          </cell>
          <cell r="B2077">
            <v>12561.81</v>
          </cell>
          <cell r="C2077">
            <v>370.78</v>
          </cell>
        </row>
        <row r="2078">
          <cell r="A2078" t="str">
            <v>T1836RT-CMB</v>
          </cell>
          <cell r="B2078">
            <v>7713.76</v>
          </cell>
          <cell r="C2078">
            <v>1.7</v>
          </cell>
        </row>
        <row r="2079">
          <cell r="A2079" t="str">
            <v>T1836RT-CMB.v2</v>
          </cell>
          <cell r="B2079">
            <v>7393.81</v>
          </cell>
          <cell r="C2079">
            <v>3.36</v>
          </cell>
        </row>
        <row r="2080">
          <cell r="A2080" t="str">
            <v>T1836RT.v2</v>
          </cell>
          <cell r="B2080">
            <v>12335.4</v>
          </cell>
          <cell r="C2080">
            <v>146.86000000000001</v>
          </cell>
        </row>
        <row r="2081">
          <cell r="A2081" t="str">
            <v>T2442RT</v>
          </cell>
          <cell r="B2081">
            <v>5541.16</v>
          </cell>
          <cell r="C2081">
            <v>375.36</v>
          </cell>
        </row>
        <row r="2082">
          <cell r="A2082" t="str">
            <v>T2442RT-CMB</v>
          </cell>
          <cell r="B2082">
            <v>0</v>
          </cell>
          <cell r="C2082">
            <v>14.9</v>
          </cell>
        </row>
        <row r="2083">
          <cell r="A2083" t="str">
            <v>T2442RT-CMB.v2</v>
          </cell>
          <cell r="B2083">
            <v>8097.45</v>
          </cell>
          <cell r="C2083">
            <v>0</v>
          </cell>
        </row>
        <row r="2084">
          <cell r="A2084" t="str">
            <v>T2442RT-P</v>
          </cell>
          <cell r="B2084">
            <v>8425.32</v>
          </cell>
          <cell r="C2084">
            <v>0</v>
          </cell>
        </row>
        <row r="2085">
          <cell r="A2085" t="str">
            <v>T2442RT.v2</v>
          </cell>
          <cell r="B2085">
            <v>13613.35</v>
          </cell>
          <cell r="C2085">
            <v>367.33</v>
          </cell>
        </row>
        <row r="2086">
          <cell r="A2086" t="str">
            <v>T3161CM</v>
          </cell>
          <cell r="B2086">
            <v>58.95</v>
          </cell>
          <cell r="C2086">
            <v>0</v>
          </cell>
        </row>
        <row r="2087">
          <cell r="A2087" t="str">
            <v>T3162CM</v>
          </cell>
          <cell r="B2087">
            <v>96.45</v>
          </cell>
          <cell r="C2087">
            <v>0</v>
          </cell>
        </row>
        <row r="2088">
          <cell r="A2088" t="str">
            <v>TAPA GABINETE C</v>
          </cell>
          <cell r="B2088">
            <v>5951.26</v>
          </cell>
          <cell r="C2088">
            <v>270.5</v>
          </cell>
        </row>
        <row r="2089">
          <cell r="A2089" t="str">
            <v>TAPA-GA100</v>
          </cell>
          <cell r="B2089">
            <v>31667.33</v>
          </cell>
          <cell r="C2089">
            <v>2518.75</v>
          </cell>
        </row>
        <row r="2090">
          <cell r="A2090" t="str">
            <v>TAPA-GA100-CMB</v>
          </cell>
          <cell r="B2090">
            <v>15250.49</v>
          </cell>
          <cell r="C2090">
            <v>2111.04</v>
          </cell>
        </row>
        <row r="2091">
          <cell r="A2091" t="str">
            <v>TAPA-GA70</v>
          </cell>
          <cell r="B2091">
            <v>12742.45</v>
          </cell>
          <cell r="C2091">
            <v>2568.62</v>
          </cell>
        </row>
        <row r="2092">
          <cell r="A2092" t="str">
            <v>TAPA-GA70-CMB</v>
          </cell>
          <cell r="B2092">
            <v>9719.6200000000008</v>
          </cell>
          <cell r="C2092">
            <v>2264.81</v>
          </cell>
        </row>
        <row r="2093">
          <cell r="A2093" t="str">
            <v>TAPA12</v>
          </cell>
          <cell r="B2093">
            <v>3345.36</v>
          </cell>
          <cell r="C2093">
            <v>0</v>
          </cell>
        </row>
        <row r="2094">
          <cell r="A2094" t="str">
            <v>TAPA12-125</v>
          </cell>
          <cell r="B2094">
            <v>5550.71</v>
          </cell>
          <cell r="C2094">
            <v>230.07</v>
          </cell>
        </row>
        <row r="2095">
          <cell r="A2095" t="str">
            <v>TAPA12-125-CMB</v>
          </cell>
          <cell r="B2095">
            <v>3359.27</v>
          </cell>
          <cell r="C2095">
            <v>22.81</v>
          </cell>
        </row>
        <row r="2096">
          <cell r="A2096" t="str">
            <v>TAPA12-75P</v>
          </cell>
          <cell r="B2096">
            <v>3374.36</v>
          </cell>
          <cell r="C2096">
            <v>235.77</v>
          </cell>
        </row>
        <row r="2097">
          <cell r="A2097" t="str">
            <v>TAPA12-75P-CMB</v>
          </cell>
          <cell r="B2097">
            <v>1715.32</v>
          </cell>
          <cell r="C2097">
            <v>0</v>
          </cell>
        </row>
        <row r="2098">
          <cell r="A2098" t="str">
            <v>TAPA12-95</v>
          </cell>
          <cell r="B2098">
            <v>1629.99</v>
          </cell>
          <cell r="C2098">
            <v>66.239999999999995</v>
          </cell>
        </row>
        <row r="2099">
          <cell r="A2099" t="str">
            <v>TAPA12P</v>
          </cell>
          <cell r="B2099">
            <v>4675.82</v>
          </cell>
          <cell r="C2099">
            <v>36.590000000000003</v>
          </cell>
        </row>
        <row r="2100">
          <cell r="A2100" t="str">
            <v>TAPA12R</v>
          </cell>
          <cell r="B2100">
            <v>7037.67</v>
          </cell>
          <cell r="C2100">
            <v>205.11</v>
          </cell>
        </row>
        <row r="2101">
          <cell r="A2101" t="str">
            <v>TAPA12R-125</v>
          </cell>
          <cell r="B2101">
            <v>4752.6000000000004</v>
          </cell>
          <cell r="C2101">
            <v>36.590000000000003</v>
          </cell>
        </row>
        <row r="2102">
          <cell r="A2102" t="str">
            <v>TAPA12R-CMB</v>
          </cell>
          <cell r="B2102">
            <v>4633.87</v>
          </cell>
          <cell r="C2102">
            <v>0</v>
          </cell>
        </row>
        <row r="2103">
          <cell r="A2103" t="str">
            <v>TAPA12R-CMB.v2</v>
          </cell>
          <cell r="B2103">
            <v>4579.88</v>
          </cell>
          <cell r="C2103">
            <v>0</v>
          </cell>
        </row>
        <row r="2104">
          <cell r="A2104" t="str">
            <v>TAPA12R-EX</v>
          </cell>
          <cell r="B2104">
            <v>6941.67</v>
          </cell>
          <cell r="C2104">
            <v>24.08</v>
          </cell>
        </row>
        <row r="2105">
          <cell r="A2105" t="str">
            <v>TAPA12R.v2</v>
          </cell>
          <cell r="B2105">
            <v>7123.19</v>
          </cell>
          <cell r="C2105">
            <v>165.18</v>
          </cell>
        </row>
        <row r="2106">
          <cell r="A2106" t="str">
            <v>TAPA16P</v>
          </cell>
          <cell r="B2106">
            <v>4790.84</v>
          </cell>
          <cell r="C2106">
            <v>12.51</v>
          </cell>
        </row>
        <row r="2107">
          <cell r="A2107" t="str">
            <v>TAPA18-125</v>
          </cell>
          <cell r="B2107">
            <v>6906.56</v>
          </cell>
          <cell r="C2107">
            <v>217.4</v>
          </cell>
        </row>
        <row r="2108">
          <cell r="A2108" t="str">
            <v>TAPA18-125-CMB</v>
          </cell>
          <cell r="B2108">
            <v>4066.26</v>
          </cell>
          <cell r="C2108">
            <v>8</v>
          </cell>
        </row>
        <row r="2109">
          <cell r="A2109" t="str">
            <v>TAPA18P</v>
          </cell>
          <cell r="B2109">
            <v>5476.9</v>
          </cell>
          <cell r="C2109">
            <v>36.590000000000003</v>
          </cell>
        </row>
        <row r="2110">
          <cell r="A2110" t="str">
            <v>TAPA18R</v>
          </cell>
          <cell r="B2110">
            <v>8438.06</v>
          </cell>
          <cell r="C2110">
            <v>206.45</v>
          </cell>
        </row>
        <row r="2111">
          <cell r="A2111" t="str">
            <v>TAPA18R-125</v>
          </cell>
          <cell r="B2111">
            <v>5628.84</v>
          </cell>
          <cell r="C2111">
            <v>36.590000000000003</v>
          </cell>
        </row>
        <row r="2112">
          <cell r="A2112" t="str">
            <v>TAPA18R-CMB</v>
          </cell>
          <cell r="B2112">
            <v>5354.89</v>
          </cell>
          <cell r="C2112">
            <v>2.27</v>
          </cell>
        </row>
        <row r="2113">
          <cell r="A2113" t="str">
            <v>TAPA18R-CMB.v2</v>
          </cell>
          <cell r="B2113">
            <v>5283.21</v>
          </cell>
          <cell r="C2113">
            <v>0</v>
          </cell>
        </row>
        <row r="2114">
          <cell r="A2114" t="str">
            <v>TAPA18R-EX</v>
          </cell>
          <cell r="B2114">
            <v>7300.96</v>
          </cell>
          <cell r="C2114">
            <v>24.08</v>
          </cell>
        </row>
        <row r="2115">
          <cell r="A2115" t="str">
            <v>TAPA18R.v2</v>
          </cell>
          <cell r="B2115">
            <v>8400.86</v>
          </cell>
          <cell r="C2115">
            <v>293.26</v>
          </cell>
        </row>
        <row r="2116">
          <cell r="A2116" t="str">
            <v>TAPA2</v>
          </cell>
          <cell r="B2116">
            <v>817</v>
          </cell>
          <cell r="C2116">
            <v>1.41</v>
          </cell>
        </row>
        <row r="2117">
          <cell r="A2117" t="str">
            <v>TAPA24R</v>
          </cell>
          <cell r="B2117">
            <v>9715.24</v>
          </cell>
          <cell r="C2117">
            <v>253.85</v>
          </cell>
        </row>
        <row r="2118">
          <cell r="A2118" t="str">
            <v>TAPA24R-CMB</v>
          </cell>
          <cell r="B2118">
            <v>6066.15</v>
          </cell>
          <cell r="C2118">
            <v>0</v>
          </cell>
        </row>
        <row r="2119">
          <cell r="A2119" t="str">
            <v>TAPA24R-CMB.v2</v>
          </cell>
          <cell r="B2119">
            <v>5986.85</v>
          </cell>
          <cell r="C2119">
            <v>0</v>
          </cell>
        </row>
        <row r="2120">
          <cell r="A2120" t="str">
            <v>TAPA24R.v2</v>
          </cell>
          <cell r="B2120">
            <v>9753.9699999999993</v>
          </cell>
          <cell r="C2120">
            <v>261.12</v>
          </cell>
        </row>
        <row r="2121">
          <cell r="A2121" t="str">
            <v>TAPA3</v>
          </cell>
          <cell r="B2121">
            <v>1453.49</v>
          </cell>
          <cell r="C2121">
            <v>9.2200000000000006</v>
          </cell>
        </row>
        <row r="2122">
          <cell r="A2122" t="str">
            <v>TAPA30RT</v>
          </cell>
          <cell r="B2122">
            <v>15276.87</v>
          </cell>
          <cell r="C2122">
            <v>156.33000000000001</v>
          </cell>
        </row>
        <row r="2123">
          <cell r="A2123" t="str">
            <v>TAPA30RT-CMB</v>
          </cell>
          <cell r="B2123">
            <v>9146.34</v>
          </cell>
          <cell r="C2123">
            <v>0</v>
          </cell>
        </row>
        <row r="2124">
          <cell r="A2124" t="str">
            <v>TAPA30RT-CMB.v2</v>
          </cell>
          <cell r="B2124">
            <v>8800.7800000000007</v>
          </cell>
          <cell r="C2124">
            <v>0</v>
          </cell>
        </row>
        <row r="2125">
          <cell r="A2125" t="str">
            <v>TAPA30RT.v2</v>
          </cell>
          <cell r="B2125">
            <v>14893.27</v>
          </cell>
          <cell r="C2125">
            <v>450.98</v>
          </cell>
        </row>
        <row r="2126">
          <cell r="A2126" t="str">
            <v>TAPA36RT</v>
          </cell>
          <cell r="B2126">
            <v>16597.88</v>
          </cell>
          <cell r="C2126">
            <v>533.71</v>
          </cell>
        </row>
        <row r="2127">
          <cell r="A2127" t="str">
            <v>TAPA36RT-CMB</v>
          </cell>
          <cell r="B2127">
            <v>9867.06</v>
          </cell>
          <cell r="C2127">
            <v>0</v>
          </cell>
        </row>
        <row r="2128">
          <cell r="A2128" t="str">
            <v>TAPA36RT-CMB.v2</v>
          </cell>
          <cell r="B2128">
            <v>9504.41</v>
          </cell>
          <cell r="C2128">
            <v>0</v>
          </cell>
        </row>
        <row r="2129">
          <cell r="A2129" t="str">
            <v>TAPA36RT.v2</v>
          </cell>
          <cell r="B2129">
            <v>16171.2</v>
          </cell>
          <cell r="C2129">
            <v>215.23</v>
          </cell>
        </row>
        <row r="2130">
          <cell r="A2130" t="str">
            <v>TAPA4</v>
          </cell>
          <cell r="B2130">
            <v>1148.3499999999999</v>
          </cell>
          <cell r="C2130">
            <v>87.82</v>
          </cell>
        </row>
        <row r="2131">
          <cell r="A2131" t="str">
            <v>TAPA4-6RPLASTICA</v>
          </cell>
          <cell r="B2131">
            <v>1144.43</v>
          </cell>
          <cell r="C2131">
            <v>0</v>
          </cell>
        </row>
        <row r="2132">
          <cell r="A2132" t="str">
            <v>TAPA4-E</v>
          </cell>
          <cell r="B2132">
            <v>1148.33</v>
          </cell>
          <cell r="C2132">
            <v>0</v>
          </cell>
        </row>
        <row r="2133">
          <cell r="A2133" t="str">
            <v>TAPA42RT</v>
          </cell>
          <cell r="B2133">
            <v>17619.38</v>
          </cell>
          <cell r="C2133">
            <v>305.69</v>
          </cell>
        </row>
        <row r="2134">
          <cell r="A2134" t="str">
            <v>TAPA42RT-CMB</v>
          </cell>
          <cell r="B2134">
            <v>10428.870000000001</v>
          </cell>
          <cell r="C2134">
            <v>0</v>
          </cell>
        </row>
        <row r="2135">
          <cell r="A2135" t="str">
            <v>TAPA42RT-CMB.v2</v>
          </cell>
          <cell r="B2135">
            <v>10208.049999999999</v>
          </cell>
          <cell r="C2135">
            <v>0</v>
          </cell>
        </row>
        <row r="2136">
          <cell r="A2136" t="str">
            <v>TAPA42RT-EX</v>
          </cell>
          <cell r="B2136">
            <v>18864.48</v>
          </cell>
          <cell r="C2136">
            <v>48.16</v>
          </cell>
        </row>
        <row r="2137">
          <cell r="A2137" t="str">
            <v>TAPA42RT-EX-CMB</v>
          </cell>
          <cell r="B2137">
            <v>11667.47</v>
          </cell>
          <cell r="C2137">
            <v>0</v>
          </cell>
        </row>
        <row r="2138">
          <cell r="A2138" t="str">
            <v>TAPA42RT.v2</v>
          </cell>
          <cell r="B2138">
            <v>17472.439999999999</v>
          </cell>
          <cell r="C2138">
            <v>210.5</v>
          </cell>
        </row>
        <row r="2139">
          <cell r="A2139" t="str">
            <v>TAPA4P</v>
          </cell>
          <cell r="B2139">
            <v>1686.18</v>
          </cell>
          <cell r="C2139">
            <v>245.57</v>
          </cell>
        </row>
        <row r="2140">
          <cell r="A2140" t="str">
            <v>TAPA4P-CMB</v>
          </cell>
          <cell r="B2140">
            <v>901.58</v>
          </cell>
          <cell r="C2140">
            <v>8.4700000000000006</v>
          </cell>
        </row>
        <row r="2141">
          <cell r="A2141" t="str">
            <v>TAPA4PLASTICA</v>
          </cell>
          <cell r="B2141">
            <v>1065.73</v>
          </cell>
          <cell r="C2141">
            <v>57.03</v>
          </cell>
        </row>
        <row r="2142">
          <cell r="A2142" t="str">
            <v>TAPA6</v>
          </cell>
          <cell r="B2142">
            <v>1875.56</v>
          </cell>
          <cell r="C2142">
            <v>101.43</v>
          </cell>
        </row>
        <row r="2143">
          <cell r="A2143" t="str">
            <v>TAPA6P</v>
          </cell>
          <cell r="B2143">
            <v>2045.96</v>
          </cell>
          <cell r="C2143">
            <v>274.88</v>
          </cell>
        </row>
        <row r="2144">
          <cell r="A2144" t="str">
            <v>TAPA6P-125</v>
          </cell>
          <cell r="B2144">
            <v>4434.7299999999996</v>
          </cell>
          <cell r="C2144">
            <v>350.77</v>
          </cell>
        </row>
        <row r="2145">
          <cell r="A2145" t="str">
            <v>TAPA6P-125-CMB</v>
          </cell>
          <cell r="B2145">
            <v>2752.32</v>
          </cell>
          <cell r="C2145">
            <v>203.37</v>
          </cell>
        </row>
        <row r="2146">
          <cell r="A2146" t="str">
            <v>TAPA6P-CMB</v>
          </cell>
          <cell r="B2146">
            <v>1101.05</v>
          </cell>
          <cell r="C2146">
            <v>0</v>
          </cell>
        </row>
        <row r="2147">
          <cell r="A2147" t="str">
            <v>TAPA6PLASTICA</v>
          </cell>
          <cell r="B2147">
            <v>1181.74</v>
          </cell>
          <cell r="C2147">
            <v>60.32</v>
          </cell>
        </row>
        <row r="2148">
          <cell r="A2148" t="str">
            <v>TAPA6R</v>
          </cell>
          <cell r="B2148">
            <v>5153.01</v>
          </cell>
          <cell r="C2148">
            <v>74.900000000000006</v>
          </cell>
        </row>
        <row r="2149">
          <cell r="A2149" t="str">
            <v>TAPA6R-125</v>
          </cell>
          <cell r="B2149">
            <v>3965.12</v>
          </cell>
          <cell r="C2149">
            <v>36.590000000000003</v>
          </cell>
        </row>
        <row r="2150">
          <cell r="A2150" t="str">
            <v>TAPA6R-CMB</v>
          </cell>
          <cell r="B2150">
            <v>3397.09</v>
          </cell>
          <cell r="C2150">
            <v>0</v>
          </cell>
        </row>
        <row r="2151">
          <cell r="A2151" t="str">
            <v>TAPA6R-CMB.v2</v>
          </cell>
          <cell r="B2151">
            <v>3876.25</v>
          </cell>
          <cell r="C2151">
            <v>0</v>
          </cell>
        </row>
        <row r="2152">
          <cell r="A2152" t="str">
            <v>TAPA6R.v2</v>
          </cell>
          <cell r="B2152">
            <v>5842.99</v>
          </cell>
          <cell r="C2152">
            <v>69.790000000000006</v>
          </cell>
        </row>
        <row r="2153">
          <cell r="A2153" t="str">
            <v>TAPA8</v>
          </cell>
          <cell r="B2153">
            <v>3014.96</v>
          </cell>
          <cell r="C2153">
            <v>0</v>
          </cell>
        </row>
        <row r="2154">
          <cell r="A2154" t="str">
            <v>TAPA8-6P</v>
          </cell>
          <cell r="B2154">
            <v>4770.05</v>
          </cell>
          <cell r="C2154">
            <v>228.01</v>
          </cell>
        </row>
        <row r="2155">
          <cell r="A2155" t="str">
            <v>TAPA8-6P-CMB</v>
          </cell>
          <cell r="B2155">
            <v>2960.33</v>
          </cell>
          <cell r="C2155">
            <v>0</v>
          </cell>
        </row>
        <row r="2156">
          <cell r="A2156" t="str">
            <v>TAPA8-75</v>
          </cell>
          <cell r="B2156">
            <v>1426.41</v>
          </cell>
          <cell r="C2156">
            <v>0</v>
          </cell>
        </row>
        <row r="2157">
          <cell r="A2157" t="str">
            <v>TAPA8-75P</v>
          </cell>
          <cell r="B2157">
            <v>2527.63</v>
          </cell>
          <cell r="C2157">
            <v>422.34</v>
          </cell>
        </row>
        <row r="2158">
          <cell r="A2158" t="str">
            <v>TAPA8-75P-CMB</v>
          </cell>
          <cell r="B2158">
            <v>1308.45</v>
          </cell>
          <cell r="C2158">
            <v>172.58</v>
          </cell>
        </row>
        <row r="2159">
          <cell r="A2159" t="str">
            <v>TAPA8-95</v>
          </cell>
          <cell r="B2159">
            <v>1496.86</v>
          </cell>
          <cell r="C2159">
            <v>56.49</v>
          </cell>
        </row>
        <row r="2160">
          <cell r="A2160" t="str">
            <v>TAPA8P</v>
          </cell>
          <cell r="B2160">
            <v>3990.63</v>
          </cell>
          <cell r="C2160">
            <v>36.590000000000003</v>
          </cell>
        </row>
        <row r="2161">
          <cell r="A2161" t="str">
            <v>TAPA8P-95</v>
          </cell>
          <cell r="B2161">
            <v>2219.42</v>
          </cell>
          <cell r="C2161">
            <v>36.590000000000003</v>
          </cell>
        </row>
        <row r="2162">
          <cell r="A2162" t="str">
            <v>TAPAKOR</v>
          </cell>
          <cell r="B2162">
            <v>21.3</v>
          </cell>
          <cell r="C2162">
            <v>9.2200000000000006</v>
          </cell>
        </row>
        <row r="2163">
          <cell r="A2163" t="str">
            <v>TAPAKOR-N</v>
          </cell>
          <cell r="B2163">
            <v>20.85</v>
          </cell>
          <cell r="C2163">
            <v>0</v>
          </cell>
        </row>
        <row r="2164">
          <cell r="A2164" t="str">
            <v>TAPAPAU506</v>
          </cell>
          <cell r="B2164">
            <v>6585.63</v>
          </cell>
          <cell r="C2164">
            <v>706.36</v>
          </cell>
        </row>
        <row r="2165">
          <cell r="A2165" t="str">
            <v>TAPAPAU506-CMB</v>
          </cell>
          <cell r="B2165">
            <v>3217.51</v>
          </cell>
          <cell r="C2165">
            <v>528.62</v>
          </cell>
        </row>
        <row r="2166">
          <cell r="A2166" t="str">
            <v>TAPAPAU506-E</v>
          </cell>
          <cell r="B2166">
            <v>4448.3900000000003</v>
          </cell>
          <cell r="C2166">
            <v>1.06</v>
          </cell>
        </row>
        <row r="2167">
          <cell r="A2167" t="str">
            <v>TAPAR12</v>
          </cell>
          <cell r="B2167">
            <v>1498.78</v>
          </cell>
          <cell r="C2167">
            <v>0</v>
          </cell>
        </row>
        <row r="2168">
          <cell r="A2168" t="str">
            <v>TAPAR4</v>
          </cell>
          <cell r="B2168">
            <v>1452.17</v>
          </cell>
          <cell r="C2168">
            <v>0</v>
          </cell>
        </row>
        <row r="2169">
          <cell r="A2169" t="str">
            <v>TAPAR6</v>
          </cell>
          <cell r="B2169">
            <v>1069.95</v>
          </cell>
          <cell r="C2169">
            <v>0</v>
          </cell>
        </row>
        <row r="2170">
          <cell r="A2170" t="str">
            <v>TAPAR8</v>
          </cell>
          <cell r="B2170">
            <v>1275.52</v>
          </cell>
          <cell r="C2170">
            <v>0</v>
          </cell>
        </row>
        <row r="2171">
          <cell r="A2171" t="str">
            <v>TCE125LEDGV</v>
          </cell>
          <cell r="B2171">
            <v>532.79999999999995</v>
          </cell>
          <cell r="C2171">
            <v>0</v>
          </cell>
        </row>
        <row r="2172">
          <cell r="A2172" t="str">
            <v>TCE125LGV</v>
          </cell>
          <cell r="B2172">
            <v>532.79999999999995</v>
          </cell>
          <cell r="C2172">
            <v>0</v>
          </cell>
        </row>
        <row r="2173">
          <cell r="A2173" t="str">
            <v>TCE125T3X50</v>
          </cell>
          <cell r="B2173">
            <v>537.30999999999995</v>
          </cell>
          <cell r="C2173">
            <v>0</v>
          </cell>
        </row>
        <row r="2174">
          <cell r="A2174" t="str">
            <v>TCE125T3X50GV</v>
          </cell>
          <cell r="B2174">
            <v>532.79999999999995</v>
          </cell>
          <cell r="C2174">
            <v>0</v>
          </cell>
        </row>
        <row r="2175">
          <cell r="A2175" t="str">
            <v>TCE125TLG</v>
          </cell>
          <cell r="B2175">
            <v>398.94</v>
          </cell>
          <cell r="C2175">
            <v>46.28</v>
          </cell>
        </row>
        <row r="2176">
          <cell r="A2176" t="str">
            <v>TCE125TLG-CMB</v>
          </cell>
          <cell r="B2176">
            <v>398.94</v>
          </cell>
          <cell r="C2176">
            <v>20.07</v>
          </cell>
        </row>
        <row r="2177">
          <cell r="A2177" t="str">
            <v>TCE125TPT</v>
          </cell>
          <cell r="B2177">
            <v>537.30999999999995</v>
          </cell>
          <cell r="C2177">
            <v>0</v>
          </cell>
        </row>
        <row r="2178">
          <cell r="A2178" t="str">
            <v>TCE125TVBD</v>
          </cell>
          <cell r="B2178">
            <v>551.39</v>
          </cell>
          <cell r="C2178">
            <v>31.34</v>
          </cell>
        </row>
        <row r="2179">
          <cell r="A2179" t="str">
            <v>TCE125TVBD-CMB</v>
          </cell>
          <cell r="B2179">
            <v>398.94</v>
          </cell>
          <cell r="C2179">
            <v>31.34</v>
          </cell>
        </row>
        <row r="2180">
          <cell r="A2180" t="str">
            <v>TCE125TVG</v>
          </cell>
          <cell r="B2180">
            <v>398.94</v>
          </cell>
          <cell r="C2180">
            <v>28.61</v>
          </cell>
        </row>
        <row r="2181">
          <cell r="A2181" t="str">
            <v>TCE125TVG-CMB</v>
          </cell>
          <cell r="B2181">
            <v>398.94</v>
          </cell>
          <cell r="C2181">
            <v>0</v>
          </cell>
        </row>
        <row r="2182">
          <cell r="A2182" t="str">
            <v>TCE125TVGD</v>
          </cell>
          <cell r="B2182">
            <v>398.94</v>
          </cell>
          <cell r="C2182">
            <v>81.08</v>
          </cell>
        </row>
        <row r="2183">
          <cell r="A2183" t="str">
            <v>TCE125TVGD-CMB</v>
          </cell>
          <cell r="B2183">
            <v>398.94</v>
          </cell>
          <cell r="C2183">
            <v>30.78</v>
          </cell>
        </row>
        <row r="2184">
          <cell r="A2184" t="str">
            <v>TCE125TXG</v>
          </cell>
          <cell r="B2184">
            <v>398.94</v>
          </cell>
          <cell r="C2184">
            <v>83.42</v>
          </cell>
        </row>
        <row r="2185">
          <cell r="A2185" t="str">
            <v>TCE125TXG-CMB</v>
          </cell>
          <cell r="B2185">
            <v>398.94</v>
          </cell>
          <cell r="C2185">
            <v>51.8</v>
          </cell>
        </row>
        <row r="2186">
          <cell r="A2186" t="str">
            <v>TCE125VGV</v>
          </cell>
          <cell r="B2186">
            <v>532.79999999999995</v>
          </cell>
          <cell r="C2186">
            <v>0</v>
          </cell>
        </row>
        <row r="2187">
          <cell r="A2187" t="str">
            <v>TCE125XGV</v>
          </cell>
          <cell r="B2187">
            <v>532.88</v>
          </cell>
          <cell r="C2187">
            <v>31.35</v>
          </cell>
        </row>
        <row r="2188">
          <cell r="A2188" t="str">
            <v>TCE125XGV-CMB</v>
          </cell>
          <cell r="B2188">
            <v>532.88</v>
          </cell>
          <cell r="C2188">
            <v>0</v>
          </cell>
        </row>
        <row r="2189">
          <cell r="A2189" t="str">
            <v>TCHCA30</v>
          </cell>
          <cell r="B2189">
            <v>1575.02</v>
          </cell>
          <cell r="C2189">
            <v>105.93</v>
          </cell>
        </row>
        <row r="2190">
          <cell r="A2190" t="str">
            <v>TCHCA30-CMB</v>
          </cell>
          <cell r="B2190">
            <v>1575.02</v>
          </cell>
          <cell r="C2190">
            <v>0</v>
          </cell>
        </row>
        <row r="2191">
          <cell r="A2191" t="str">
            <v>TCHCA30M</v>
          </cell>
          <cell r="B2191">
            <v>1575.02</v>
          </cell>
          <cell r="C2191">
            <v>0</v>
          </cell>
        </row>
        <row r="2192">
          <cell r="A2192" t="str">
            <v>TCHCA35</v>
          </cell>
          <cell r="B2192">
            <v>1734.63</v>
          </cell>
          <cell r="C2192">
            <v>0</v>
          </cell>
        </row>
        <row r="2193">
          <cell r="A2193" t="str">
            <v>TCHCA40</v>
          </cell>
          <cell r="B2193">
            <v>2577.25</v>
          </cell>
          <cell r="C2193">
            <v>71.16</v>
          </cell>
        </row>
        <row r="2194">
          <cell r="A2194" t="str">
            <v>TCHCA40-CMB</v>
          </cell>
          <cell r="B2194">
            <v>2577.25</v>
          </cell>
          <cell r="C2194">
            <v>2.9</v>
          </cell>
        </row>
        <row r="2195">
          <cell r="A2195" t="str">
            <v>TCHCA40M</v>
          </cell>
          <cell r="B2195">
            <v>2577.25</v>
          </cell>
          <cell r="C2195">
            <v>0</v>
          </cell>
        </row>
        <row r="2196">
          <cell r="A2196" t="str">
            <v>TCHCA50</v>
          </cell>
          <cell r="B2196">
            <v>2577.25</v>
          </cell>
          <cell r="C2196">
            <v>64.81</v>
          </cell>
        </row>
        <row r="2197">
          <cell r="A2197" t="str">
            <v>TCHCA50-CMB</v>
          </cell>
          <cell r="B2197">
            <v>2577.25</v>
          </cell>
          <cell r="C2197">
            <v>8.8699999999999992</v>
          </cell>
        </row>
        <row r="2198">
          <cell r="A2198" t="str">
            <v>TCHCA50M</v>
          </cell>
          <cell r="B2198">
            <v>2577.25</v>
          </cell>
          <cell r="C2198">
            <v>0</v>
          </cell>
        </row>
        <row r="2199">
          <cell r="A2199" t="str">
            <v>TCHCA60</v>
          </cell>
          <cell r="B2199">
            <v>3926.27</v>
          </cell>
          <cell r="C2199">
            <v>213.34</v>
          </cell>
        </row>
        <row r="2200">
          <cell r="A2200" t="str">
            <v>TCHCA60-CMB</v>
          </cell>
          <cell r="B2200">
            <v>3926.27</v>
          </cell>
          <cell r="C2200">
            <v>2.99</v>
          </cell>
        </row>
        <row r="2201">
          <cell r="A2201" t="str">
            <v>TCHCA60M</v>
          </cell>
          <cell r="B2201">
            <v>3926.27</v>
          </cell>
          <cell r="C2201">
            <v>0</v>
          </cell>
        </row>
        <row r="2202">
          <cell r="A2202" t="str">
            <v>TCHCA70</v>
          </cell>
          <cell r="B2202">
            <v>4779.96</v>
          </cell>
          <cell r="C2202">
            <v>219.42</v>
          </cell>
        </row>
        <row r="2203">
          <cell r="A2203" t="str">
            <v>TCHCA70-CMB</v>
          </cell>
          <cell r="B2203">
            <v>4779.96</v>
          </cell>
          <cell r="C2203">
            <v>6.84</v>
          </cell>
        </row>
        <row r="2204">
          <cell r="A2204" t="str">
            <v>TCHCA70M</v>
          </cell>
          <cell r="B2204">
            <v>4779.96</v>
          </cell>
          <cell r="C2204">
            <v>0</v>
          </cell>
        </row>
        <row r="2205">
          <cell r="A2205" t="str">
            <v>TCHCA80</v>
          </cell>
          <cell r="B2205">
            <v>4779.96</v>
          </cell>
          <cell r="C2205">
            <v>258.99</v>
          </cell>
        </row>
        <row r="2206">
          <cell r="A2206" t="str">
            <v>TCHCA80-CMB</v>
          </cell>
          <cell r="B2206">
            <v>4779.96</v>
          </cell>
          <cell r="C2206">
            <v>4.8</v>
          </cell>
        </row>
        <row r="2207">
          <cell r="A2207" t="str">
            <v>TCHCA80M</v>
          </cell>
          <cell r="B2207">
            <v>4779.96</v>
          </cell>
          <cell r="C2207">
            <v>0</v>
          </cell>
        </row>
        <row r="2208">
          <cell r="A2208" t="str">
            <v>TCHCA90</v>
          </cell>
          <cell r="B2208">
            <v>5088.32</v>
          </cell>
          <cell r="C2208">
            <v>114.44</v>
          </cell>
        </row>
        <row r="2209">
          <cell r="A2209" t="str">
            <v>TCHCA90-CMB</v>
          </cell>
          <cell r="B2209">
            <v>5088.32</v>
          </cell>
          <cell r="C2209">
            <v>0</v>
          </cell>
        </row>
        <row r="2210">
          <cell r="A2210" t="str">
            <v>TCHCA90M</v>
          </cell>
          <cell r="B2210">
            <v>5088.32</v>
          </cell>
          <cell r="C2210">
            <v>0</v>
          </cell>
        </row>
        <row r="2211">
          <cell r="A2211" t="str">
            <v>TIERRA12</v>
          </cell>
          <cell r="B2211">
            <v>2250.44</v>
          </cell>
          <cell r="C2211">
            <v>0</v>
          </cell>
        </row>
        <row r="2212">
          <cell r="A2212" t="str">
            <v>TIERRA12AL</v>
          </cell>
          <cell r="B2212">
            <v>390.68</v>
          </cell>
          <cell r="C2212">
            <v>0</v>
          </cell>
        </row>
        <row r="2213">
          <cell r="A2213" t="str">
            <v>TIERRA12ALE</v>
          </cell>
          <cell r="B2213">
            <v>390.68</v>
          </cell>
          <cell r="C2213">
            <v>0</v>
          </cell>
        </row>
        <row r="2214">
          <cell r="A2214" t="str">
            <v>TIERRA12ALET-servicio</v>
          </cell>
          <cell r="B2214">
            <v>676.04</v>
          </cell>
          <cell r="C2214">
            <v>0</v>
          </cell>
        </row>
        <row r="2215">
          <cell r="A2215" t="str">
            <v>TIERRA12R</v>
          </cell>
          <cell r="B2215">
            <v>6037.37</v>
          </cell>
          <cell r="C2215">
            <v>0</v>
          </cell>
        </row>
        <row r="2216">
          <cell r="A2216" t="str">
            <v>TIERRA12RAL</v>
          </cell>
          <cell r="B2216">
            <v>980.21</v>
          </cell>
          <cell r="C2216">
            <v>0</v>
          </cell>
        </row>
        <row r="2217">
          <cell r="A2217" t="str">
            <v>TIERRA12RALE</v>
          </cell>
          <cell r="B2217">
            <v>980.21</v>
          </cell>
          <cell r="C2217">
            <v>0</v>
          </cell>
        </row>
        <row r="2218">
          <cell r="A2218" t="str">
            <v>TIERRA12RALE-EX</v>
          </cell>
          <cell r="B2218">
            <v>1069.32</v>
          </cell>
          <cell r="C2218">
            <v>0</v>
          </cell>
        </row>
        <row r="2219">
          <cell r="A2219" t="str">
            <v>TIERRA12RALET-EX</v>
          </cell>
          <cell r="B2219">
            <v>1486.5</v>
          </cell>
          <cell r="C2219">
            <v>0</v>
          </cell>
        </row>
        <row r="2220">
          <cell r="A2220" t="str">
            <v>TIERRA12RALET-servicio</v>
          </cell>
          <cell r="B2220">
            <v>1291.81</v>
          </cell>
          <cell r="C2220">
            <v>0</v>
          </cell>
        </row>
        <row r="2221">
          <cell r="A2221" t="str">
            <v>TIERRA12REAL-EX</v>
          </cell>
          <cell r="B2221">
            <v>1069.32</v>
          </cell>
          <cell r="C2221">
            <v>0</v>
          </cell>
        </row>
        <row r="2222">
          <cell r="A2222" t="str">
            <v>TIERRA12RT-servicio</v>
          </cell>
          <cell r="B2222">
            <v>6348.97</v>
          </cell>
          <cell r="C2222">
            <v>0</v>
          </cell>
        </row>
        <row r="2223">
          <cell r="A2223" t="str">
            <v>TIERRA12T-servicio</v>
          </cell>
          <cell r="B2223">
            <v>2535.8000000000002</v>
          </cell>
          <cell r="C2223">
            <v>0</v>
          </cell>
        </row>
        <row r="2224">
          <cell r="A2224" t="str">
            <v>TIERRA16</v>
          </cell>
          <cell r="B2224">
            <v>372.92</v>
          </cell>
          <cell r="C2224">
            <v>0</v>
          </cell>
        </row>
        <row r="2225">
          <cell r="A2225" t="str">
            <v>TIERRA16_REPETIDA</v>
          </cell>
          <cell r="B2225">
            <v>0</v>
          </cell>
          <cell r="C2225">
            <v>0</v>
          </cell>
        </row>
        <row r="2226">
          <cell r="A2226" t="str">
            <v>TIERRA16AL</v>
          </cell>
          <cell r="B2226">
            <v>492.45</v>
          </cell>
          <cell r="C2226">
            <v>0</v>
          </cell>
        </row>
        <row r="2227">
          <cell r="A2227" t="str">
            <v>TIERRA16ALE</v>
          </cell>
          <cell r="B2227">
            <v>492.45</v>
          </cell>
          <cell r="C2227">
            <v>0</v>
          </cell>
        </row>
        <row r="2228">
          <cell r="A2228" t="str">
            <v>TIERRA16ALET</v>
          </cell>
          <cell r="B2228">
            <v>865.37</v>
          </cell>
          <cell r="C2228">
            <v>0</v>
          </cell>
        </row>
        <row r="2229">
          <cell r="A2229" t="str">
            <v>TIERRA18</v>
          </cell>
          <cell r="B2229">
            <v>3125.57</v>
          </cell>
          <cell r="C2229">
            <v>0</v>
          </cell>
        </row>
        <row r="2230">
          <cell r="A2230" t="str">
            <v>TIERRA18AL</v>
          </cell>
          <cell r="B2230">
            <v>542.63</v>
          </cell>
          <cell r="C2230">
            <v>0</v>
          </cell>
        </row>
        <row r="2231">
          <cell r="A2231" t="str">
            <v>TIERRA18ALE</v>
          </cell>
          <cell r="B2231">
            <v>542.63</v>
          </cell>
          <cell r="C2231">
            <v>0</v>
          </cell>
        </row>
        <row r="2232">
          <cell r="A2232" t="str">
            <v>TIERRA18ALET-servicio</v>
          </cell>
          <cell r="B2232">
            <v>959.33</v>
          </cell>
          <cell r="C2232">
            <v>0</v>
          </cell>
        </row>
        <row r="2233">
          <cell r="A2233" t="str">
            <v>TIERRA18R</v>
          </cell>
          <cell r="B2233">
            <v>8018.41</v>
          </cell>
          <cell r="C2233">
            <v>0</v>
          </cell>
        </row>
        <row r="2234">
          <cell r="A2234" t="str">
            <v>TIERRA18RAL</v>
          </cell>
          <cell r="B2234">
            <v>1301.48</v>
          </cell>
          <cell r="C2234">
            <v>0</v>
          </cell>
        </row>
        <row r="2235">
          <cell r="A2235" t="str">
            <v>TIERRA18RALE</v>
          </cell>
          <cell r="B2235">
            <v>1301.48</v>
          </cell>
          <cell r="C2235">
            <v>0</v>
          </cell>
        </row>
        <row r="2236">
          <cell r="A2236" t="str">
            <v>TIERRA18RALE-EX</v>
          </cell>
          <cell r="B2236">
            <v>1444.52</v>
          </cell>
          <cell r="C2236">
            <v>0</v>
          </cell>
        </row>
        <row r="2237">
          <cell r="A2237" t="str">
            <v>TIERRA18RALET-EX</v>
          </cell>
          <cell r="B2237">
            <v>2017.7</v>
          </cell>
          <cell r="C2237">
            <v>0</v>
          </cell>
        </row>
        <row r="2238">
          <cell r="A2238" t="str">
            <v>TIERRA18RALET-servicio</v>
          </cell>
          <cell r="B2238">
            <v>1744.42</v>
          </cell>
          <cell r="C2238">
            <v>0</v>
          </cell>
        </row>
        <row r="2239">
          <cell r="A2239" t="str">
            <v>TIERRA18REAL-EX</v>
          </cell>
          <cell r="B2239">
            <v>1444.52</v>
          </cell>
          <cell r="C2239">
            <v>0</v>
          </cell>
        </row>
        <row r="2240">
          <cell r="A2240" t="str">
            <v>TIERRA18RT-servicio</v>
          </cell>
          <cell r="B2240">
            <v>8461.35</v>
          </cell>
          <cell r="C2240">
            <v>0</v>
          </cell>
        </row>
        <row r="2241">
          <cell r="A2241" t="str">
            <v>TIERRA18T-servicio</v>
          </cell>
          <cell r="B2241">
            <v>3542.27</v>
          </cell>
          <cell r="C2241">
            <v>0</v>
          </cell>
        </row>
        <row r="2242">
          <cell r="A2242" t="str">
            <v>TIERRA2</v>
          </cell>
          <cell r="B2242">
            <v>687.44</v>
          </cell>
          <cell r="C2242">
            <v>0</v>
          </cell>
        </row>
        <row r="2243">
          <cell r="A2243" t="str">
            <v>TIERRA24R</v>
          </cell>
          <cell r="B2243">
            <v>9999.41</v>
          </cell>
          <cell r="C2243">
            <v>0</v>
          </cell>
        </row>
        <row r="2244">
          <cell r="A2244" t="str">
            <v>TIERRA24RAL</v>
          </cell>
          <cell r="B2244">
            <v>1622.74</v>
          </cell>
          <cell r="C2244">
            <v>0</v>
          </cell>
        </row>
        <row r="2245">
          <cell r="A2245" t="str">
            <v>TIERRA24RALE</v>
          </cell>
          <cell r="B2245">
            <v>1622.74</v>
          </cell>
          <cell r="C2245">
            <v>0</v>
          </cell>
        </row>
        <row r="2246">
          <cell r="A2246" t="str">
            <v>TIERRA24RALE-EX</v>
          </cell>
          <cell r="B2246">
            <v>1817.38</v>
          </cell>
          <cell r="C2246">
            <v>0</v>
          </cell>
        </row>
        <row r="2247">
          <cell r="A2247" t="str">
            <v>TIERRA24RALET-EX</v>
          </cell>
          <cell r="B2247">
            <v>1817.38</v>
          </cell>
          <cell r="C2247">
            <v>0</v>
          </cell>
        </row>
        <row r="2248">
          <cell r="A2248" t="str">
            <v>TIERRA24RALET-servicio</v>
          </cell>
          <cell r="B2248">
            <v>2197.02</v>
          </cell>
          <cell r="C2248">
            <v>0</v>
          </cell>
        </row>
        <row r="2249">
          <cell r="A2249" t="str">
            <v>TIERRA24REAL-EX</v>
          </cell>
          <cell r="B2249">
            <v>1817.38</v>
          </cell>
          <cell r="C2249">
            <v>0</v>
          </cell>
        </row>
        <row r="2250">
          <cell r="A2250" t="str">
            <v>TIERRA24RT-servicio</v>
          </cell>
          <cell r="B2250">
            <v>10573.69</v>
          </cell>
          <cell r="C2250">
            <v>0</v>
          </cell>
        </row>
        <row r="2251">
          <cell r="A2251" t="str">
            <v>TIERRA2AL</v>
          </cell>
          <cell r="B2251">
            <v>119.36</v>
          </cell>
          <cell r="C2251">
            <v>0</v>
          </cell>
        </row>
        <row r="2252">
          <cell r="A2252" t="str">
            <v>TIERRA2ALE</v>
          </cell>
          <cell r="B2252">
            <v>119.36</v>
          </cell>
          <cell r="C2252">
            <v>0</v>
          </cell>
        </row>
        <row r="2253">
          <cell r="A2253" t="str">
            <v>TIERRA2ALET-servicio</v>
          </cell>
          <cell r="B2253">
            <v>185.03</v>
          </cell>
          <cell r="C2253">
            <v>0</v>
          </cell>
        </row>
        <row r="2254">
          <cell r="A2254" t="str">
            <v>TIERRA2T-servicio</v>
          </cell>
          <cell r="B2254">
            <v>753.11</v>
          </cell>
          <cell r="C2254">
            <v>0</v>
          </cell>
        </row>
        <row r="2255">
          <cell r="A2255" t="str">
            <v>TIERRA3</v>
          </cell>
          <cell r="B2255">
            <v>920.93</v>
          </cell>
          <cell r="C2255">
            <v>0</v>
          </cell>
        </row>
        <row r="2256">
          <cell r="A2256" t="str">
            <v>TIERRA30R</v>
          </cell>
          <cell r="B2256">
            <v>11980.41</v>
          </cell>
          <cell r="C2256">
            <v>0</v>
          </cell>
        </row>
        <row r="2257">
          <cell r="A2257" t="str">
            <v>TIERRA30RAL</v>
          </cell>
          <cell r="B2257">
            <v>1944.01</v>
          </cell>
          <cell r="C2257">
            <v>0</v>
          </cell>
        </row>
        <row r="2258">
          <cell r="A2258" t="str">
            <v>TIERRA30RAL-EX</v>
          </cell>
          <cell r="B2258">
            <v>2169.13</v>
          </cell>
          <cell r="C2258">
            <v>0</v>
          </cell>
        </row>
        <row r="2259">
          <cell r="A2259" t="str">
            <v>TIERRA30RALE</v>
          </cell>
          <cell r="B2259">
            <v>1944.01</v>
          </cell>
          <cell r="C2259">
            <v>0</v>
          </cell>
        </row>
        <row r="2260">
          <cell r="A2260" t="str">
            <v>TIERRA30RALE-EX</v>
          </cell>
          <cell r="B2260">
            <v>2169.13</v>
          </cell>
          <cell r="C2260">
            <v>0</v>
          </cell>
        </row>
        <row r="2261">
          <cell r="A2261" t="str">
            <v>TIERRA30RALET</v>
          </cell>
          <cell r="B2261">
            <v>2649.63</v>
          </cell>
          <cell r="C2261">
            <v>0</v>
          </cell>
        </row>
        <row r="2262">
          <cell r="A2262" t="str">
            <v>TIERRA30RALET-EX</v>
          </cell>
          <cell r="B2262">
            <v>3054.31</v>
          </cell>
          <cell r="C2262">
            <v>0</v>
          </cell>
        </row>
        <row r="2263">
          <cell r="A2263" t="str">
            <v>TIERRA30RT-servicio</v>
          </cell>
          <cell r="B2263">
            <v>12686.03</v>
          </cell>
          <cell r="C2263">
            <v>0</v>
          </cell>
        </row>
        <row r="2264">
          <cell r="A2264" t="str">
            <v>TIERRA36R</v>
          </cell>
          <cell r="B2264">
            <v>13961.4</v>
          </cell>
          <cell r="C2264">
            <v>0</v>
          </cell>
        </row>
        <row r="2265">
          <cell r="A2265" t="str">
            <v>TIERRA36RAL</v>
          </cell>
          <cell r="B2265">
            <v>2265.27</v>
          </cell>
          <cell r="C2265">
            <v>0</v>
          </cell>
        </row>
        <row r="2266">
          <cell r="A2266" t="str">
            <v>TIERRA36RALE</v>
          </cell>
          <cell r="B2266">
            <v>2265.27</v>
          </cell>
          <cell r="C2266">
            <v>0</v>
          </cell>
        </row>
        <row r="2267">
          <cell r="A2267" t="str">
            <v>TIERRA36RALE-EX</v>
          </cell>
          <cell r="B2267">
            <v>2567.7800000000002</v>
          </cell>
          <cell r="C2267">
            <v>0</v>
          </cell>
        </row>
        <row r="2268">
          <cell r="A2268" t="str">
            <v>TIERRA36RALET-EX</v>
          </cell>
          <cell r="B2268">
            <v>2567.7800000000002</v>
          </cell>
          <cell r="C2268">
            <v>0</v>
          </cell>
        </row>
        <row r="2269">
          <cell r="A2269" t="str">
            <v>TIERRA36RALET-servicio</v>
          </cell>
          <cell r="B2269">
            <v>3102.23</v>
          </cell>
          <cell r="C2269">
            <v>0</v>
          </cell>
        </row>
        <row r="2270">
          <cell r="A2270" t="str">
            <v>TIERRA36REAL-EX</v>
          </cell>
          <cell r="B2270">
            <v>2567.7800000000002</v>
          </cell>
          <cell r="C2270">
            <v>0</v>
          </cell>
        </row>
        <row r="2271">
          <cell r="A2271" t="str">
            <v>TIERRA36RT-servicio</v>
          </cell>
          <cell r="B2271">
            <v>14798.36</v>
          </cell>
          <cell r="C2271">
            <v>0</v>
          </cell>
        </row>
        <row r="2272">
          <cell r="A2272" t="str">
            <v>TIERRA3AL</v>
          </cell>
          <cell r="B2272">
            <v>144.69</v>
          </cell>
          <cell r="C2272">
            <v>0</v>
          </cell>
        </row>
        <row r="2273">
          <cell r="A2273" t="str">
            <v>TIERRA3ALE</v>
          </cell>
          <cell r="B2273">
            <v>144.69</v>
          </cell>
          <cell r="C2273">
            <v>0</v>
          </cell>
        </row>
        <row r="2274">
          <cell r="A2274" t="str">
            <v>TIERRA3ALET</v>
          </cell>
          <cell r="B2274">
            <v>232.25</v>
          </cell>
          <cell r="C2274">
            <v>0</v>
          </cell>
        </row>
        <row r="2275">
          <cell r="A2275" t="str">
            <v>TIERRA4</v>
          </cell>
          <cell r="B2275">
            <v>1083.47</v>
          </cell>
          <cell r="C2275">
            <v>0</v>
          </cell>
        </row>
        <row r="2276">
          <cell r="A2276" t="str">
            <v>TIERRA42R</v>
          </cell>
          <cell r="B2276">
            <v>15942.4</v>
          </cell>
          <cell r="C2276">
            <v>0</v>
          </cell>
        </row>
        <row r="2277">
          <cell r="A2277" t="str">
            <v>TIERRA42RAL</v>
          </cell>
          <cell r="B2277">
            <v>2586.54</v>
          </cell>
          <cell r="C2277">
            <v>0</v>
          </cell>
        </row>
        <row r="2278">
          <cell r="A2278" t="str">
            <v>TIERRA42RALE</v>
          </cell>
          <cell r="B2278">
            <v>2586.54</v>
          </cell>
          <cell r="C2278">
            <v>0</v>
          </cell>
        </row>
        <row r="2279">
          <cell r="A2279" t="str">
            <v>TIERRA42RALE-EX</v>
          </cell>
          <cell r="B2279">
            <v>2947.67</v>
          </cell>
          <cell r="C2279">
            <v>0</v>
          </cell>
        </row>
        <row r="2280">
          <cell r="A2280" t="str">
            <v>TIERRA42RALET</v>
          </cell>
          <cell r="B2280">
            <v>3554.84</v>
          </cell>
          <cell r="C2280">
            <v>0</v>
          </cell>
        </row>
        <row r="2281">
          <cell r="A2281" t="str">
            <v>TIERRA42RALET-EX</v>
          </cell>
          <cell r="B2281">
            <v>2947.67</v>
          </cell>
          <cell r="C2281">
            <v>0</v>
          </cell>
        </row>
        <row r="2282">
          <cell r="A2282" t="str">
            <v>TIERRA42REAL-EX</v>
          </cell>
          <cell r="B2282">
            <v>2947.67</v>
          </cell>
          <cell r="C2282">
            <v>0</v>
          </cell>
        </row>
        <row r="2283">
          <cell r="A2283" t="str">
            <v>TIERRA42RT-servicio</v>
          </cell>
          <cell r="B2283">
            <v>16910.7</v>
          </cell>
          <cell r="C2283">
            <v>0</v>
          </cell>
        </row>
        <row r="2284">
          <cell r="A2284" t="str">
            <v>TIERRA4AL</v>
          </cell>
          <cell r="B2284">
            <v>193.23</v>
          </cell>
          <cell r="C2284">
            <v>0</v>
          </cell>
        </row>
        <row r="2285">
          <cell r="A2285" t="str">
            <v>TIERRA4ALE</v>
          </cell>
          <cell r="B2285">
            <v>193.23</v>
          </cell>
          <cell r="C2285">
            <v>0</v>
          </cell>
        </row>
        <row r="2286">
          <cell r="A2286" t="str">
            <v>TIERRA4ALET-servicio</v>
          </cell>
          <cell r="B2286">
            <v>302.68</v>
          </cell>
          <cell r="C2286">
            <v>0</v>
          </cell>
        </row>
        <row r="2287">
          <cell r="A2287" t="str">
            <v>TIERRA4RAL</v>
          </cell>
          <cell r="B2287">
            <v>425.88</v>
          </cell>
          <cell r="C2287">
            <v>0</v>
          </cell>
        </row>
        <row r="2288">
          <cell r="A2288" t="str">
            <v>TIERRA4RALE</v>
          </cell>
          <cell r="B2288">
            <v>425.88</v>
          </cell>
          <cell r="C2288">
            <v>0</v>
          </cell>
        </row>
        <row r="2289">
          <cell r="A2289" t="str">
            <v>TIERRA4RALET</v>
          </cell>
          <cell r="B2289">
            <v>536.12</v>
          </cell>
          <cell r="C2289">
            <v>0</v>
          </cell>
        </row>
        <row r="2290">
          <cell r="A2290" t="str">
            <v>TIERRA4T-servicio</v>
          </cell>
          <cell r="B2290">
            <v>1192.92</v>
          </cell>
          <cell r="C2290">
            <v>0</v>
          </cell>
        </row>
        <row r="2291">
          <cell r="A2291" t="str">
            <v>TIERRA6</v>
          </cell>
          <cell r="B2291">
            <v>1271.1500000000001</v>
          </cell>
          <cell r="C2291">
            <v>0</v>
          </cell>
        </row>
        <row r="2292">
          <cell r="A2292" t="str">
            <v>TIERRA6AL</v>
          </cell>
          <cell r="B2292">
            <v>220.66</v>
          </cell>
          <cell r="C2292">
            <v>0</v>
          </cell>
        </row>
        <row r="2293">
          <cell r="A2293" t="str">
            <v>TIERRA6ALE</v>
          </cell>
          <cell r="B2293">
            <v>220.66</v>
          </cell>
          <cell r="C2293">
            <v>0</v>
          </cell>
        </row>
        <row r="2294">
          <cell r="A2294" t="str">
            <v>TIERRA6ALET-servicio</v>
          </cell>
          <cell r="B2294">
            <v>373.89</v>
          </cell>
          <cell r="C2294">
            <v>0</v>
          </cell>
        </row>
        <row r="2295">
          <cell r="A2295" t="str">
            <v>TIERRA6R</v>
          </cell>
          <cell r="B2295">
            <v>3490.35</v>
          </cell>
          <cell r="C2295">
            <v>0</v>
          </cell>
        </row>
        <row r="2296">
          <cell r="A2296" t="str">
            <v>TIERRA6RAL</v>
          </cell>
          <cell r="B2296">
            <v>567.49</v>
          </cell>
          <cell r="C2296">
            <v>0</v>
          </cell>
        </row>
        <row r="2297">
          <cell r="A2297" t="str">
            <v>TIERRA6RALE</v>
          </cell>
          <cell r="B2297">
            <v>567.49</v>
          </cell>
          <cell r="C2297">
            <v>0</v>
          </cell>
        </row>
        <row r="2298">
          <cell r="A2298" t="str">
            <v>TIERRA6RALET</v>
          </cell>
          <cell r="B2298">
            <v>723.29</v>
          </cell>
          <cell r="C2298">
            <v>0</v>
          </cell>
        </row>
        <row r="2299">
          <cell r="A2299" t="str">
            <v>TIERRA6RT</v>
          </cell>
          <cell r="B2299">
            <v>3646.15</v>
          </cell>
          <cell r="C2299">
            <v>0</v>
          </cell>
        </row>
        <row r="2300">
          <cell r="A2300" t="str">
            <v>TIERRA6T-servicio</v>
          </cell>
          <cell r="B2300">
            <v>1424.38</v>
          </cell>
          <cell r="C2300">
            <v>0</v>
          </cell>
        </row>
        <row r="2301">
          <cell r="A2301" t="str">
            <v>TIERRA8</v>
          </cell>
          <cell r="B2301">
            <v>1666.74</v>
          </cell>
          <cell r="C2301">
            <v>0</v>
          </cell>
        </row>
        <row r="2302">
          <cell r="A2302" t="str">
            <v>TIERRA8AL</v>
          </cell>
          <cell r="B2302">
            <v>289.37</v>
          </cell>
          <cell r="C2302">
            <v>0</v>
          </cell>
        </row>
        <row r="2303">
          <cell r="A2303" t="str">
            <v>TIERRA8ALE</v>
          </cell>
          <cell r="B2303">
            <v>289.37</v>
          </cell>
          <cell r="C2303">
            <v>0</v>
          </cell>
        </row>
        <row r="2304">
          <cell r="A2304" t="str">
            <v>TIERRA8ALET-servicio</v>
          </cell>
          <cell r="B2304">
            <v>487.17</v>
          </cell>
          <cell r="C2304">
            <v>0</v>
          </cell>
        </row>
        <row r="2305">
          <cell r="A2305" t="str">
            <v>TIERRA8T-servicio</v>
          </cell>
          <cell r="B2305">
            <v>1864.54</v>
          </cell>
          <cell r="C2305">
            <v>0</v>
          </cell>
        </row>
        <row r="2306">
          <cell r="A2306" t="str">
            <v>TOCT120</v>
          </cell>
          <cell r="B2306">
            <v>382.6</v>
          </cell>
          <cell r="C2306">
            <v>0</v>
          </cell>
        </row>
        <row r="2307">
          <cell r="A2307" t="str">
            <v>TOCT15</v>
          </cell>
          <cell r="B2307">
            <v>105.83</v>
          </cell>
          <cell r="C2307">
            <v>56.8</v>
          </cell>
        </row>
        <row r="2308">
          <cell r="A2308" t="str">
            <v>TOCT20</v>
          </cell>
          <cell r="B2308">
            <v>138.38999999999999</v>
          </cell>
          <cell r="C2308">
            <v>0</v>
          </cell>
        </row>
        <row r="2309">
          <cell r="A2309" t="str">
            <v>TOCT30</v>
          </cell>
          <cell r="B2309">
            <v>227.93</v>
          </cell>
          <cell r="C2309">
            <v>0</v>
          </cell>
        </row>
        <row r="2310">
          <cell r="A2310" t="str">
            <v>TOCT40</v>
          </cell>
          <cell r="B2310">
            <v>309.33999999999997</v>
          </cell>
          <cell r="C2310">
            <v>0</v>
          </cell>
        </row>
        <row r="2311">
          <cell r="A2311" t="str">
            <v>TOCT60</v>
          </cell>
          <cell r="B2311">
            <v>472.15</v>
          </cell>
          <cell r="C2311">
            <v>0</v>
          </cell>
        </row>
        <row r="2312">
          <cell r="A2312" t="str">
            <v>TOCUNI</v>
          </cell>
          <cell r="B2312">
            <v>187.71</v>
          </cell>
          <cell r="C2312">
            <v>0</v>
          </cell>
        </row>
        <row r="2313">
          <cell r="A2313" t="str">
            <v>TOPE1</v>
          </cell>
          <cell r="B2313">
            <v>5.53</v>
          </cell>
          <cell r="C2313">
            <v>0</v>
          </cell>
        </row>
        <row r="2314">
          <cell r="A2314" t="str">
            <v>TRIN-CT</v>
          </cell>
          <cell r="B2314">
            <v>30.99</v>
          </cell>
          <cell r="C2314">
            <v>0</v>
          </cell>
        </row>
        <row r="2315">
          <cell r="A2315" t="str">
            <v>TRING-CT</v>
          </cell>
          <cell r="B2315">
            <v>35.11</v>
          </cell>
          <cell r="C2315">
            <v>0</v>
          </cell>
        </row>
        <row r="2316">
          <cell r="A2316" t="str">
            <v>TS70</v>
          </cell>
          <cell r="B2316">
            <v>300.43</v>
          </cell>
          <cell r="C2316">
            <v>30.65</v>
          </cell>
        </row>
        <row r="2317">
          <cell r="A2317" t="str">
            <v>TS70-CMB</v>
          </cell>
          <cell r="B2317">
            <v>300.43</v>
          </cell>
          <cell r="C2317">
            <v>3.48</v>
          </cell>
        </row>
        <row r="2318">
          <cell r="A2318" t="str">
            <v>TS70EP</v>
          </cell>
          <cell r="B2318">
            <v>283.89999999999998</v>
          </cell>
          <cell r="C2318">
            <v>0</v>
          </cell>
        </row>
        <row r="2319">
          <cell r="A2319" t="str">
            <v>TS70EPG</v>
          </cell>
          <cell r="B2319">
            <v>379.21</v>
          </cell>
          <cell r="C2319">
            <v>2.74</v>
          </cell>
        </row>
        <row r="2320">
          <cell r="A2320" t="str">
            <v>TS70G</v>
          </cell>
          <cell r="B2320">
            <v>401.29</v>
          </cell>
          <cell r="C2320">
            <v>31.69</v>
          </cell>
        </row>
        <row r="2321">
          <cell r="A2321" t="str">
            <v>TS70G-CMB</v>
          </cell>
          <cell r="B2321">
            <v>401.29</v>
          </cell>
          <cell r="C2321">
            <v>11.01</v>
          </cell>
        </row>
        <row r="2322">
          <cell r="A2322" t="str">
            <v>TSCA30</v>
          </cell>
          <cell r="B2322">
            <v>1033.6500000000001</v>
          </cell>
          <cell r="C2322">
            <v>114.62</v>
          </cell>
        </row>
        <row r="2323">
          <cell r="A2323" t="str">
            <v>TSCA30-CMB</v>
          </cell>
          <cell r="B2323">
            <v>1033.6500000000001</v>
          </cell>
          <cell r="C2323">
            <v>2.2799999999999998</v>
          </cell>
        </row>
        <row r="2324">
          <cell r="A2324" t="str">
            <v>TSCA30M</v>
          </cell>
          <cell r="B2324">
            <v>1033.6500000000001</v>
          </cell>
          <cell r="C2324">
            <v>0</v>
          </cell>
        </row>
        <row r="2325">
          <cell r="A2325" t="str">
            <v>TSCA35</v>
          </cell>
          <cell r="B2325">
            <v>1150.8</v>
          </cell>
          <cell r="C2325">
            <v>0</v>
          </cell>
        </row>
        <row r="2326">
          <cell r="A2326" t="str">
            <v>TSCA40</v>
          </cell>
          <cell r="B2326">
            <v>1856.23</v>
          </cell>
          <cell r="C2326">
            <v>96.52</v>
          </cell>
        </row>
        <row r="2327">
          <cell r="A2327" t="str">
            <v>TSCA40-CMB</v>
          </cell>
          <cell r="B2327">
            <v>1856.23</v>
          </cell>
          <cell r="C2327">
            <v>1.02</v>
          </cell>
        </row>
        <row r="2328">
          <cell r="A2328" t="str">
            <v>TSCA40M</v>
          </cell>
          <cell r="B2328">
            <v>1856.23</v>
          </cell>
          <cell r="C2328">
            <v>0</v>
          </cell>
        </row>
        <row r="2329">
          <cell r="A2329" t="str">
            <v>TSCA50</v>
          </cell>
          <cell r="B2329">
            <v>1856.23</v>
          </cell>
          <cell r="C2329">
            <v>66.48</v>
          </cell>
        </row>
        <row r="2330">
          <cell r="A2330" t="str">
            <v>TSCA50-CMB</v>
          </cell>
          <cell r="B2330">
            <v>1856.23</v>
          </cell>
          <cell r="C2330">
            <v>4.76</v>
          </cell>
        </row>
        <row r="2331">
          <cell r="A2331" t="str">
            <v>TSCA50M</v>
          </cell>
          <cell r="B2331">
            <v>1856.23</v>
          </cell>
          <cell r="C2331">
            <v>0</v>
          </cell>
        </row>
        <row r="2332">
          <cell r="A2332" t="str">
            <v>TSCA60</v>
          </cell>
          <cell r="B2332">
            <v>3015.54</v>
          </cell>
          <cell r="C2332">
            <v>210.76</v>
          </cell>
        </row>
        <row r="2333">
          <cell r="A2333" t="str">
            <v>TSCA60-CMB</v>
          </cell>
          <cell r="B2333">
            <v>3015.54</v>
          </cell>
          <cell r="C2333">
            <v>10.06</v>
          </cell>
        </row>
        <row r="2334">
          <cell r="A2334" t="str">
            <v>TSCA60M</v>
          </cell>
          <cell r="B2334">
            <v>3015.54</v>
          </cell>
          <cell r="C2334">
            <v>0</v>
          </cell>
        </row>
        <row r="2335">
          <cell r="A2335" t="str">
            <v>TSCA70</v>
          </cell>
          <cell r="B2335">
            <v>3736.86</v>
          </cell>
          <cell r="C2335">
            <v>218.24</v>
          </cell>
        </row>
        <row r="2336">
          <cell r="A2336" t="str">
            <v>TSCA70-CMB</v>
          </cell>
          <cell r="B2336">
            <v>3736.86</v>
          </cell>
          <cell r="C2336">
            <v>7.77</v>
          </cell>
        </row>
        <row r="2337">
          <cell r="A2337" t="str">
            <v>TSCA70M</v>
          </cell>
          <cell r="B2337">
            <v>3736.86</v>
          </cell>
          <cell r="C2337">
            <v>0</v>
          </cell>
        </row>
        <row r="2338">
          <cell r="A2338" t="str">
            <v>TSCA80</v>
          </cell>
          <cell r="B2338">
            <v>3736.86</v>
          </cell>
          <cell r="C2338">
            <v>237.37</v>
          </cell>
        </row>
        <row r="2339">
          <cell r="A2339" t="str">
            <v>TSCA80-CMB</v>
          </cell>
          <cell r="B2339">
            <v>3736.86</v>
          </cell>
          <cell r="C2339">
            <v>2.76</v>
          </cell>
        </row>
        <row r="2340">
          <cell r="A2340" t="str">
            <v>TSCA80M</v>
          </cell>
          <cell r="B2340">
            <v>3736.86</v>
          </cell>
          <cell r="C2340">
            <v>0</v>
          </cell>
        </row>
        <row r="2341">
          <cell r="A2341" t="str">
            <v>TSCA90</v>
          </cell>
          <cell r="B2341">
            <v>4050.71</v>
          </cell>
          <cell r="C2341">
            <v>127.23</v>
          </cell>
        </row>
        <row r="2342">
          <cell r="A2342" t="str">
            <v>TSCA90-CMB</v>
          </cell>
          <cell r="B2342">
            <v>4050.71</v>
          </cell>
          <cell r="C2342">
            <v>0</v>
          </cell>
        </row>
        <row r="2343">
          <cell r="A2343" t="str">
            <v>TSCA90M</v>
          </cell>
          <cell r="B2343">
            <v>4050.71</v>
          </cell>
          <cell r="C2343">
            <v>0</v>
          </cell>
        </row>
        <row r="2344">
          <cell r="A2344" t="str">
            <v>TSCE125</v>
          </cell>
          <cell r="B2344">
            <v>122.11</v>
          </cell>
          <cell r="C2344">
            <v>23.1</v>
          </cell>
        </row>
        <row r="2345">
          <cell r="A2345" t="str">
            <v>TSCE125GV</v>
          </cell>
          <cell r="B2345">
            <v>163.1</v>
          </cell>
          <cell r="C2345">
            <v>5.92</v>
          </cell>
        </row>
        <row r="2346">
          <cell r="A2346" t="str">
            <v>TSCE138</v>
          </cell>
          <cell r="B2346">
            <v>211.65</v>
          </cell>
          <cell r="C2346">
            <v>0</v>
          </cell>
        </row>
        <row r="2347">
          <cell r="A2347" t="str">
            <v>TSCE1520</v>
          </cell>
          <cell r="B2347">
            <v>305.27</v>
          </cell>
          <cell r="C2347">
            <v>16.63</v>
          </cell>
        </row>
        <row r="2348">
          <cell r="A2348" t="str">
            <v>TSCE1520-EX</v>
          </cell>
          <cell r="B2348">
            <v>412.97</v>
          </cell>
          <cell r="C2348">
            <v>0</v>
          </cell>
        </row>
        <row r="2349">
          <cell r="A2349" t="str">
            <v>TSCE2015</v>
          </cell>
          <cell r="B2349">
            <v>610.53</v>
          </cell>
          <cell r="C2349">
            <v>15.19</v>
          </cell>
        </row>
        <row r="2350">
          <cell r="A2350" t="str">
            <v>TSCE2125</v>
          </cell>
          <cell r="B2350">
            <v>404.99</v>
          </cell>
          <cell r="C2350">
            <v>17.48</v>
          </cell>
        </row>
        <row r="2351">
          <cell r="A2351" t="str">
            <v>TSCE2125-EX</v>
          </cell>
          <cell r="B2351">
            <v>550.53</v>
          </cell>
          <cell r="C2351">
            <v>0</v>
          </cell>
        </row>
        <row r="2352">
          <cell r="A2352" t="str">
            <v>TSCE2510</v>
          </cell>
          <cell r="B2352">
            <v>508.78</v>
          </cell>
          <cell r="C2352">
            <v>0</v>
          </cell>
        </row>
        <row r="2353">
          <cell r="A2353" t="str">
            <v>TSCE2510-EX</v>
          </cell>
          <cell r="B2353">
            <v>688.39</v>
          </cell>
          <cell r="C2353">
            <v>0</v>
          </cell>
        </row>
        <row r="2354">
          <cell r="A2354" t="str">
            <v>TSCE2515</v>
          </cell>
          <cell r="B2354">
            <v>763.17</v>
          </cell>
          <cell r="C2354">
            <v>0</v>
          </cell>
        </row>
        <row r="2355">
          <cell r="A2355" t="str">
            <v>TSCE3010</v>
          </cell>
          <cell r="B2355">
            <v>610.53</v>
          </cell>
          <cell r="C2355">
            <v>35.130000000000003</v>
          </cell>
        </row>
        <row r="2356">
          <cell r="A2356" t="str">
            <v>TSCE3010-EX</v>
          </cell>
          <cell r="B2356">
            <v>825.94</v>
          </cell>
          <cell r="C2356">
            <v>0</v>
          </cell>
        </row>
        <row r="2357">
          <cell r="A2357" t="str">
            <v>TSCE3015</v>
          </cell>
          <cell r="B2357">
            <v>915.8</v>
          </cell>
          <cell r="C2357">
            <v>45.09</v>
          </cell>
        </row>
        <row r="2358">
          <cell r="A2358" t="str">
            <v>TSCE3015EX</v>
          </cell>
          <cell r="B2358">
            <v>1238.9100000000001</v>
          </cell>
          <cell r="C2358">
            <v>0</v>
          </cell>
        </row>
        <row r="2359">
          <cell r="A2359" t="str">
            <v>TSCE3020</v>
          </cell>
          <cell r="B2359">
            <v>1221.07</v>
          </cell>
          <cell r="C2359">
            <v>0</v>
          </cell>
        </row>
        <row r="2360">
          <cell r="A2360" t="str">
            <v>TSCE40</v>
          </cell>
          <cell r="B2360">
            <v>1302.3499999999999</v>
          </cell>
          <cell r="C2360">
            <v>38.92</v>
          </cell>
        </row>
        <row r="2361">
          <cell r="A2361" t="str">
            <v>TSCE40-CMB</v>
          </cell>
          <cell r="B2361">
            <v>1302.3499999999999</v>
          </cell>
          <cell r="C2361">
            <v>0</v>
          </cell>
        </row>
        <row r="2362">
          <cell r="A2362" t="str">
            <v>TSCE40-EX</v>
          </cell>
          <cell r="B2362">
            <v>1762.29</v>
          </cell>
          <cell r="C2362">
            <v>0</v>
          </cell>
        </row>
        <row r="2363">
          <cell r="A2363" t="str">
            <v>TSCE40-EX-CMB</v>
          </cell>
          <cell r="B2363">
            <v>1762.29</v>
          </cell>
          <cell r="C2363">
            <v>0</v>
          </cell>
        </row>
        <row r="2364">
          <cell r="A2364" t="str">
            <v>TSCE4020</v>
          </cell>
          <cell r="B2364">
            <v>1709.53</v>
          </cell>
          <cell r="C2364">
            <v>65.48</v>
          </cell>
        </row>
        <row r="2365">
          <cell r="A2365" t="str">
            <v>TSCE4020-CMB</v>
          </cell>
          <cell r="B2365">
            <v>1709.53</v>
          </cell>
          <cell r="C2365">
            <v>0</v>
          </cell>
        </row>
        <row r="2366">
          <cell r="A2366" t="str">
            <v>TSCE50</v>
          </cell>
          <cell r="B2366">
            <v>2136.83</v>
          </cell>
          <cell r="C2366">
            <v>36.18</v>
          </cell>
        </row>
        <row r="2367">
          <cell r="A2367" t="str">
            <v>TSCE50-CMB</v>
          </cell>
          <cell r="B2367">
            <v>2136.83</v>
          </cell>
          <cell r="C2367">
            <v>1.36</v>
          </cell>
        </row>
        <row r="2368">
          <cell r="A2368" t="str">
            <v>TSCE50x15</v>
          </cell>
          <cell r="B2368">
            <v>427</v>
          </cell>
          <cell r="C2368">
            <v>0</v>
          </cell>
        </row>
        <row r="2369">
          <cell r="A2369" t="str">
            <v>TSCE50x15-CMB</v>
          </cell>
          <cell r="B2369">
            <v>427</v>
          </cell>
          <cell r="C2369">
            <v>0</v>
          </cell>
        </row>
        <row r="2370">
          <cell r="A2370" t="str">
            <v>TSCE6020</v>
          </cell>
          <cell r="B2370">
            <v>2564.14</v>
          </cell>
          <cell r="C2370">
            <v>288.75</v>
          </cell>
        </row>
        <row r="2371">
          <cell r="A2371" t="str">
            <v>TSCE6020-CMB</v>
          </cell>
          <cell r="B2371">
            <v>2564.14</v>
          </cell>
          <cell r="C2371">
            <v>235.49</v>
          </cell>
        </row>
        <row r="2372">
          <cell r="A2372" t="str">
            <v>TSCE6030</v>
          </cell>
          <cell r="B2372">
            <v>3785.36</v>
          </cell>
          <cell r="C2372">
            <v>69.23</v>
          </cell>
        </row>
        <row r="2373">
          <cell r="A2373" t="str">
            <v>TSCE6030-CMB</v>
          </cell>
          <cell r="B2373">
            <v>3785.36</v>
          </cell>
          <cell r="C2373">
            <v>0</v>
          </cell>
        </row>
        <row r="2374">
          <cell r="A2374" t="str">
            <v>TSCECIBU</v>
          </cell>
          <cell r="B2374">
            <v>463.91</v>
          </cell>
          <cell r="C2374">
            <v>20.84</v>
          </cell>
        </row>
        <row r="2375">
          <cell r="A2375" t="str">
            <v>TSCECIBU-CMB</v>
          </cell>
          <cell r="B2375">
            <v>463.91</v>
          </cell>
          <cell r="C2375">
            <v>0</v>
          </cell>
        </row>
        <row r="2376">
          <cell r="A2376" t="str">
            <v>TSCECIBU250</v>
          </cell>
          <cell r="B2376">
            <v>716.16</v>
          </cell>
          <cell r="C2376">
            <v>0</v>
          </cell>
        </row>
        <row r="2377">
          <cell r="A2377" t="str">
            <v>TSCEP</v>
          </cell>
          <cell r="B2377">
            <v>274.81</v>
          </cell>
          <cell r="C2377">
            <v>27.75</v>
          </cell>
        </row>
        <row r="2378">
          <cell r="A2378" t="str">
            <v>TSCEP-CMB</v>
          </cell>
          <cell r="B2378">
            <v>274.81</v>
          </cell>
          <cell r="C2378">
            <v>0</v>
          </cell>
        </row>
        <row r="2379">
          <cell r="A2379" t="str">
            <v>TSGA100G</v>
          </cell>
          <cell r="B2379">
            <v>3199.53</v>
          </cell>
          <cell r="C2379">
            <v>565.6</v>
          </cell>
        </row>
        <row r="2380">
          <cell r="A2380" t="str">
            <v>TSGA100G-CMB</v>
          </cell>
          <cell r="B2380">
            <v>3199.53</v>
          </cell>
          <cell r="C2380">
            <v>500.25</v>
          </cell>
        </row>
        <row r="2381">
          <cell r="A2381" t="str">
            <v>TSGA7030G</v>
          </cell>
          <cell r="B2381">
            <v>4213.33</v>
          </cell>
          <cell r="C2381">
            <v>39.42</v>
          </cell>
        </row>
        <row r="2382">
          <cell r="A2382" t="str">
            <v>TSGA7030G-CMB</v>
          </cell>
          <cell r="B2382">
            <v>4213.33</v>
          </cell>
          <cell r="C2382">
            <v>0</v>
          </cell>
        </row>
        <row r="2383">
          <cell r="A2383" t="str">
            <v>TSGA70G</v>
          </cell>
          <cell r="B2383">
            <v>2908.66</v>
          </cell>
          <cell r="C2383">
            <v>59.96</v>
          </cell>
        </row>
        <row r="2384">
          <cell r="A2384" t="str">
            <v>TSGA70G-CMB</v>
          </cell>
          <cell r="B2384">
            <v>2908.66</v>
          </cell>
          <cell r="C2384">
            <v>11.04</v>
          </cell>
        </row>
        <row r="2385">
          <cell r="A2385" t="str">
            <v>TSGA70G-D</v>
          </cell>
          <cell r="B2385">
            <v>5572.82</v>
          </cell>
          <cell r="C2385">
            <v>0</v>
          </cell>
        </row>
        <row r="2386">
          <cell r="A2386" t="str">
            <v>TSGC45x15</v>
          </cell>
          <cell r="B2386">
            <v>1834.93</v>
          </cell>
          <cell r="C2386">
            <v>87.61</v>
          </cell>
        </row>
        <row r="2387">
          <cell r="A2387" t="str">
            <v>TSGC45x15-CMB</v>
          </cell>
          <cell r="B2387">
            <v>1834.93</v>
          </cell>
          <cell r="C2387">
            <v>70.14</v>
          </cell>
        </row>
        <row r="2388">
          <cell r="A2388" t="str">
            <v>TSPAU506G</v>
          </cell>
          <cell r="B2388">
            <v>489.31</v>
          </cell>
          <cell r="C2388">
            <v>0</v>
          </cell>
        </row>
        <row r="2389">
          <cell r="A2389" t="str">
            <v>TSPAU506G-E</v>
          </cell>
          <cell r="B2389">
            <v>489.31</v>
          </cell>
          <cell r="C2389">
            <v>28.04</v>
          </cell>
        </row>
        <row r="2390">
          <cell r="A2390" t="str">
            <v>TSPAU511G</v>
          </cell>
          <cell r="B2390">
            <v>897.07</v>
          </cell>
          <cell r="C2390">
            <v>0</v>
          </cell>
        </row>
        <row r="2391">
          <cell r="A2391" t="str">
            <v>TSR70G</v>
          </cell>
          <cell r="B2391">
            <v>423.52</v>
          </cell>
          <cell r="C2391">
            <v>0</v>
          </cell>
        </row>
        <row r="2392">
          <cell r="A2392" t="str">
            <v>TSR70G-CMB</v>
          </cell>
          <cell r="B2392">
            <v>423.52</v>
          </cell>
          <cell r="C2392">
            <v>0</v>
          </cell>
        </row>
        <row r="2393">
          <cell r="A2393" t="str">
            <v>TSTB-125</v>
          </cell>
          <cell r="B2393">
            <v>595.66999999999996</v>
          </cell>
          <cell r="C2393">
            <v>26.78</v>
          </cell>
        </row>
        <row r="2394">
          <cell r="A2394" t="str">
            <v>TSTB-125-CMB</v>
          </cell>
          <cell r="B2394">
            <v>595.66999999999996</v>
          </cell>
          <cell r="C2394">
            <v>0</v>
          </cell>
        </row>
        <row r="2395">
          <cell r="A2395" t="str">
            <v>TSTB-125G</v>
          </cell>
          <cell r="B2395">
            <v>795.65</v>
          </cell>
          <cell r="C2395">
            <v>29.1</v>
          </cell>
        </row>
        <row r="2396">
          <cell r="A2396" t="str">
            <v>TSTB-125G-CMB</v>
          </cell>
          <cell r="B2396">
            <v>795.65</v>
          </cell>
          <cell r="C2396">
            <v>0</v>
          </cell>
        </row>
        <row r="2397">
          <cell r="A2397" t="str">
            <v>TSTB-95</v>
          </cell>
          <cell r="B2397">
            <v>361.23</v>
          </cell>
          <cell r="C2397">
            <v>0</v>
          </cell>
        </row>
        <row r="2398">
          <cell r="A2398" t="str">
            <v>TSTB-95G</v>
          </cell>
          <cell r="B2398">
            <v>482.51</v>
          </cell>
          <cell r="C2398">
            <v>0</v>
          </cell>
        </row>
        <row r="2399">
          <cell r="A2399" t="str">
            <v>TSTB-95GTM</v>
          </cell>
          <cell r="B2399">
            <v>577.66</v>
          </cell>
          <cell r="C2399">
            <v>0</v>
          </cell>
        </row>
        <row r="2400">
          <cell r="A2400" t="str">
            <v>TSTB-95TM</v>
          </cell>
          <cell r="B2400">
            <v>432.46</v>
          </cell>
          <cell r="C2400">
            <v>0</v>
          </cell>
        </row>
        <row r="2401">
          <cell r="A2401" t="str">
            <v>TSTBE</v>
          </cell>
          <cell r="B2401">
            <v>525.82000000000005</v>
          </cell>
          <cell r="C2401">
            <v>0</v>
          </cell>
        </row>
        <row r="2402">
          <cell r="A2402" t="str">
            <v>TSTBE-CMB</v>
          </cell>
          <cell r="B2402">
            <v>525.82000000000005</v>
          </cell>
          <cell r="C2402">
            <v>0</v>
          </cell>
        </row>
        <row r="2403">
          <cell r="A2403" t="str">
            <v>TSTBEG</v>
          </cell>
          <cell r="B2403">
            <v>702.36</v>
          </cell>
          <cell r="C2403">
            <v>0</v>
          </cell>
        </row>
        <row r="2404">
          <cell r="A2404" t="str">
            <v>TSTBEG-CMB</v>
          </cell>
          <cell r="B2404">
            <v>702.36</v>
          </cell>
          <cell r="C2404">
            <v>0</v>
          </cell>
        </row>
        <row r="2405">
          <cell r="A2405" t="str">
            <v>TSTBEP</v>
          </cell>
          <cell r="B2405">
            <v>642.49</v>
          </cell>
          <cell r="C2405">
            <v>0</v>
          </cell>
        </row>
        <row r="2406">
          <cell r="A2406" t="str">
            <v>TSTBEPG</v>
          </cell>
          <cell r="B2406">
            <v>858.19</v>
          </cell>
          <cell r="C2406">
            <v>0</v>
          </cell>
        </row>
        <row r="2407">
          <cell r="A2407" t="str">
            <v>TSTBR</v>
          </cell>
          <cell r="B2407">
            <v>1094.95</v>
          </cell>
          <cell r="C2407">
            <v>37.090000000000003</v>
          </cell>
        </row>
        <row r="2408">
          <cell r="A2408" t="str">
            <v>TSTBR-CMB</v>
          </cell>
          <cell r="B2408">
            <v>1094.95</v>
          </cell>
          <cell r="C2408">
            <v>0</v>
          </cell>
        </row>
        <row r="2409">
          <cell r="A2409" t="str">
            <v>TSTBR-CMB.v2</v>
          </cell>
          <cell r="B2409">
            <v>2319.5300000000002</v>
          </cell>
          <cell r="C2409">
            <v>0</v>
          </cell>
        </row>
        <row r="2410">
          <cell r="A2410" t="str">
            <v>TSTBR-EX</v>
          </cell>
          <cell r="B2410">
            <v>1079.4000000000001</v>
          </cell>
          <cell r="C2410">
            <v>0</v>
          </cell>
        </row>
        <row r="2411">
          <cell r="A2411" t="str">
            <v>TSTBR-EX-CMB</v>
          </cell>
          <cell r="B2411">
            <v>1079.4000000000001</v>
          </cell>
          <cell r="C2411">
            <v>0</v>
          </cell>
        </row>
        <row r="2412">
          <cell r="A2412" t="str">
            <v>TSTBR.v2</v>
          </cell>
          <cell r="B2412">
            <v>2319.5300000000002</v>
          </cell>
          <cell r="C2412">
            <v>37.049999999999997</v>
          </cell>
        </row>
        <row r="2413">
          <cell r="A2413" t="str">
            <v>TSTBR06</v>
          </cell>
          <cell r="B2413">
            <v>987.59</v>
          </cell>
          <cell r="C2413">
            <v>57.68</v>
          </cell>
        </row>
        <row r="2414">
          <cell r="A2414" t="str">
            <v>TSTBR06-CMB</v>
          </cell>
          <cell r="B2414">
            <v>987.59</v>
          </cell>
          <cell r="C2414">
            <v>3.31</v>
          </cell>
        </row>
        <row r="2415">
          <cell r="A2415" t="str">
            <v>TSTBR06G</v>
          </cell>
          <cell r="B2415">
            <v>1319.16</v>
          </cell>
          <cell r="C2415">
            <v>20.7</v>
          </cell>
        </row>
        <row r="2416">
          <cell r="A2416" t="str">
            <v>TSTBR06G-CMB</v>
          </cell>
          <cell r="B2416">
            <v>1319.16</v>
          </cell>
          <cell r="C2416">
            <v>0</v>
          </cell>
        </row>
        <row r="2417">
          <cell r="A2417" t="str">
            <v>TSTBRG</v>
          </cell>
          <cell r="B2417">
            <v>1453.6</v>
          </cell>
          <cell r="C2417">
            <v>3139.89</v>
          </cell>
        </row>
        <row r="2418">
          <cell r="A2418" t="str">
            <v>TSTBRG-CMB</v>
          </cell>
          <cell r="B2418">
            <v>1453.6</v>
          </cell>
          <cell r="C2418">
            <v>3101.28</v>
          </cell>
        </row>
        <row r="2419">
          <cell r="A2419" t="str">
            <v>TSTBRG-CMB.v2</v>
          </cell>
          <cell r="B2419">
            <v>3098.28</v>
          </cell>
          <cell r="C2419">
            <v>0</v>
          </cell>
        </row>
        <row r="2420">
          <cell r="A2420" t="str">
            <v>TSTBRG-EX</v>
          </cell>
          <cell r="B2420">
            <v>1747.75</v>
          </cell>
          <cell r="C2420">
            <v>0</v>
          </cell>
        </row>
        <row r="2421">
          <cell r="A2421" t="str">
            <v>TSTBRG.v2</v>
          </cell>
          <cell r="B2421">
            <v>3098.28</v>
          </cell>
          <cell r="C2421">
            <v>17</v>
          </cell>
        </row>
        <row r="2422">
          <cell r="A2422" t="str">
            <v>TUERCA12</v>
          </cell>
          <cell r="B2422">
            <v>5.78</v>
          </cell>
          <cell r="C2422">
            <v>3.34</v>
          </cell>
        </row>
        <row r="2423">
          <cell r="A2423" t="str">
            <v>TUERCA12-AI</v>
          </cell>
          <cell r="B2423">
            <v>17.45</v>
          </cell>
          <cell r="C2423">
            <v>3.95</v>
          </cell>
        </row>
        <row r="2424">
          <cell r="A2424" t="str">
            <v>TUERCA34</v>
          </cell>
          <cell r="B2424">
            <v>8.6999999999999993</v>
          </cell>
          <cell r="C2424">
            <v>3.7</v>
          </cell>
        </row>
        <row r="2425">
          <cell r="A2425" t="str">
            <v>TUERCA34-AI</v>
          </cell>
          <cell r="B2425">
            <v>17.079999999999998</v>
          </cell>
          <cell r="C2425">
            <v>2.75</v>
          </cell>
        </row>
        <row r="2426">
          <cell r="A2426" t="str">
            <v>UES</v>
          </cell>
          <cell r="B2426">
            <v>523.20000000000005</v>
          </cell>
          <cell r="C2426">
            <v>0</v>
          </cell>
        </row>
        <row r="2427">
          <cell r="A2427" t="str">
            <v>UES-M</v>
          </cell>
          <cell r="B2427">
            <v>75.53</v>
          </cell>
          <cell r="C2427">
            <v>0</v>
          </cell>
        </row>
        <row r="2428">
          <cell r="A2428" t="str">
            <v>UES-MG</v>
          </cell>
          <cell r="B2428">
            <v>80.91</v>
          </cell>
          <cell r="C2428">
            <v>19.47</v>
          </cell>
        </row>
        <row r="2429">
          <cell r="A2429" t="str">
            <v>UESG</v>
          </cell>
          <cell r="B2429">
            <v>67.67</v>
          </cell>
          <cell r="C2429">
            <v>18.11</v>
          </cell>
        </row>
        <row r="2430">
          <cell r="A2430" t="str">
            <v>UEST</v>
          </cell>
          <cell r="B2430">
            <v>64.97</v>
          </cell>
          <cell r="C2430">
            <v>33.200000000000003</v>
          </cell>
        </row>
        <row r="2431">
          <cell r="A2431" t="str">
            <v>UESTG</v>
          </cell>
          <cell r="B2431">
            <v>86.8</v>
          </cell>
          <cell r="C2431">
            <v>24.86</v>
          </cell>
        </row>
        <row r="2432">
          <cell r="A2432" t="str">
            <v>VCU127-120M</v>
          </cell>
          <cell r="B2432">
            <v>0</v>
          </cell>
          <cell r="C2432">
            <v>0</v>
          </cell>
        </row>
        <row r="2433">
          <cell r="A2433" t="str">
            <v>VCU127-150M</v>
          </cell>
          <cell r="B2433">
            <v>0</v>
          </cell>
          <cell r="C2433">
            <v>0</v>
          </cell>
        </row>
        <row r="2434">
          <cell r="A2434" t="str">
            <v>vcu127-180M</v>
          </cell>
          <cell r="B2434">
            <v>0</v>
          </cell>
          <cell r="C2434">
            <v>0</v>
          </cell>
        </row>
        <row r="2435">
          <cell r="A2435" t="str">
            <v>VCU127-240M</v>
          </cell>
          <cell r="B2435">
            <v>0</v>
          </cell>
          <cell r="C2435">
            <v>0</v>
          </cell>
        </row>
        <row r="2436">
          <cell r="A2436" t="str">
            <v>VCU130 -180M</v>
          </cell>
          <cell r="B2436">
            <v>0</v>
          </cell>
          <cell r="C2436">
            <v>0</v>
          </cell>
        </row>
        <row r="2437">
          <cell r="A2437" t="str">
            <v>VCU130-120M</v>
          </cell>
          <cell r="B2437">
            <v>0</v>
          </cell>
          <cell r="C2437">
            <v>0</v>
          </cell>
        </row>
        <row r="2438">
          <cell r="A2438" t="str">
            <v>VCU130-150M</v>
          </cell>
          <cell r="B2438">
            <v>0</v>
          </cell>
          <cell r="C2438">
            <v>0</v>
          </cell>
        </row>
        <row r="2439">
          <cell r="A2439" t="str">
            <v>VCU130-240M</v>
          </cell>
          <cell r="B2439">
            <v>0</v>
          </cell>
          <cell r="C2439">
            <v>0</v>
          </cell>
        </row>
        <row r="2440">
          <cell r="A2440" t="str">
            <v>VCU140 - 120M</v>
          </cell>
          <cell r="B2440">
            <v>0</v>
          </cell>
          <cell r="C2440">
            <v>0</v>
          </cell>
        </row>
        <row r="2441">
          <cell r="A2441" t="str">
            <v>VCU140 - 150M</v>
          </cell>
          <cell r="B2441">
            <v>0</v>
          </cell>
          <cell r="C2441">
            <v>0</v>
          </cell>
        </row>
        <row r="2442">
          <cell r="A2442" t="str">
            <v>VCU140 - 180M</v>
          </cell>
          <cell r="B2442">
            <v>0</v>
          </cell>
          <cell r="C2442">
            <v>0</v>
          </cell>
        </row>
        <row r="2443">
          <cell r="A2443" t="str">
            <v>VCU140 - 240M</v>
          </cell>
          <cell r="B2443">
            <v>0</v>
          </cell>
          <cell r="C2443">
            <v>0</v>
          </cell>
        </row>
        <row r="2444">
          <cell r="A2444" t="str">
            <v>VCU142 - 120M</v>
          </cell>
          <cell r="B2444">
            <v>0</v>
          </cell>
          <cell r="C2444">
            <v>0</v>
          </cell>
        </row>
        <row r="2445">
          <cell r="A2445" t="str">
            <v>VCU142 - 150M</v>
          </cell>
          <cell r="B2445">
            <v>0</v>
          </cell>
          <cell r="C2445">
            <v>0</v>
          </cell>
        </row>
        <row r="2446">
          <cell r="A2446" t="str">
            <v>VCU142 - 180M</v>
          </cell>
          <cell r="B2446">
            <v>0</v>
          </cell>
          <cell r="C2446">
            <v>0</v>
          </cell>
        </row>
        <row r="2447">
          <cell r="A2447" t="str">
            <v>VCU142 - 240M</v>
          </cell>
          <cell r="B2447">
            <v>0</v>
          </cell>
          <cell r="C2447">
            <v>0</v>
          </cell>
        </row>
        <row r="2448">
          <cell r="A2448" t="str">
            <v>VCU150 - 120M</v>
          </cell>
          <cell r="B2448">
            <v>0</v>
          </cell>
          <cell r="C2448">
            <v>0</v>
          </cell>
        </row>
        <row r="2449">
          <cell r="A2449" t="str">
            <v>VCU150 - 150M</v>
          </cell>
          <cell r="B2449">
            <v>0</v>
          </cell>
          <cell r="C2449">
            <v>0</v>
          </cell>
        </row>
        <row r="2450">
          <cell r="A2450" t="str">
            <v>VCU150 - 180M</v>
          </cell>
          <cell r="B2450">
            <v>0</v>
          </cell>
          <cell r="C2450">
            <v>0</v>
          </cell>
        </row>
        <row r="2451">
          <cell r="A2451" t="str">
            <v>VCU150 - 240M</v>
          </cell>
          <cell r="B2451">
            <v>0</v>
          </cell>
          <cell r="C2451">
            <v>0</v>
          </cell>
        </row>
        <row r="2452">
          <cell r="A2452" t="str">
            <v>VCU159 - 120M</v>
          </cell>
          <cell r="B2452">
            <v>0</v>
          </cell>
          <cell r="C2452">
            <v>0</v>
          </cell>
        </row>
        <row r="2453">
          <cell r="A2453" t="str">
            <v>VCU159 - 150M</v>
          </cell>
          <cell r="B2453">
            <v>0</v>
          </cell>
          <cell r="C2453">
            <v>0</v>
          </cell>
        </row>
        <row r="2454">
          <cell r="A2454" t="str">
            <v>VCU159 - 180M</v>
          </cell>
          <cell r="B2454">
            <v>0</v>
          </cell>
          <cell r="C2454">
            <v>0</v>
          </cell>
        </row>
        <row r="2455">
          <cell r="A2455" t="str">
            <v>VCU159 - 240M</v>
          </cell>
          <cell r="B2455">
            <v>0</v>
          </cell>
          <cell r="C2455">
            <v>0</v>
          </cell>
        </row>
        <row r="2456">
          <cell r="A2456" t="str">
            <v>ZL</v>
          </cell>
          <cell r="B2456">
            <v>368.89</v>
          </cell>
          <cell r="C2456">
            <v>29.32</v>
          </cell>
        </row>
        <row r="2457">
          <cell r="A2457" t="str">
            <v>ZLA</v>
          </cell>
          <cell r="B2457">
            <v>88.62</v>
          </cell>
          <cell r="C2457">
            <v>25.33</v>
          </cell>
        </row>
        <row r="2458">
          <cell r="A2458" t="str">
            <v>ZLAE</v>
          </cell>
          <cell r="B2458">
            <v>88.62</v>
          </cell>
          <cell r="C2458">
            <v>25.33</v>
          </cell>
        </row>
        <row r="2459">
          <cell r="A2459" t="str">
            <v>ZRAL</v>
          </cell>
          <cell r="B2459">
            <v>67.72</v>
          </cell>
          <cell r="C2459">
            <v>27.11</v>
          </cell>
        </row>
        <row r="2460">
          <cell r="A2460" t="str">
            <v>ZRALE</v>
          </cell>
          <cell r="B2460">
            <v>67.72</v>
          </cell>
          <cell r="C2460">
            <v>27.11</v>
          </cell>
        </row>
        <row r="2461">
          <cell r="A2461" t="str">
            <v>ZRC</v>
          </cell>
          <cell r="B2461">
            <v>368.41</v>
          </cell>
          <cell r="C2461">
            <v>64.290000000000006</v>
          </cell>
        </row>
        <row r="2462">
          <cell r="A2462" t="str">
            <v>ACAMPANA12</v>
          </cell>
          <cell r="B2462">
            <v>15.04</v>
          </cell>
          <cell r="C2462">
            <v>4.8499999999999996</v>
          </cell>
        </row>
        <row r="2463">
          <cell r="A2463" t="str">
            <v>ACAMPANA34</v>
          </cell>
          <cell r="B2463">
            <v>20.18</v>
          </cell>
          <cell r="C2463">
            <v>4.9000000000000004</v>
          </cell>
        </row>
        <row r="2464">
          <cell r="A2464" t="str">
            <v>ADAPTER12</v>
          </cell>
          <cell r="B2464">
            <v>26.12</v>
          </cell>
          <cell r="C2464">
            <v>10.32</v>
          </cell>
        </row>
        <row r="2465">
          <cell r="A2465" t="str">
            <v>ADAPTER12-AI</v>
          </cell>
          <cell r="B2465">
            <v>55.65</v>
          </cell>
          <cell r="C2465">
            <v>10.6</v>
          </cell>
        </row>
        <row r="2466">
          <cell r="A2466" t="str">
            <v>ADAPTER12-AI-SE</v>
          </cell>
          <cell r="B2466">
            <v>64.599999999999994</v>
          </cell>
          <cell r="C2466">
            <v>0</v>
          </cell>
        </row>
        <row r="2467">
          <cell r="A2467" t="str">
            <v>ADAPTER12-PP-SE</v>
          </cell>
          <cell r="B2467">
            <v>27.67</v>
          </cell>
          <cell r="C2467">
            <v>5.37</v>
          </cell>
        </row>
        <row r="2468">
          <cell r="A2468" t="str">
            <v>ADAPTER34</v>
          </cell>
          <cell r="B2468">
            <v>41.81</v>
          </cell>
          <cell r="C2468">
            <v>11.11</v>
          </cell>
        </row>
        <row r="2469">
          <cell r="A2469" t="str">
            <v>ADAPTER34-AI</v>
          </cell>
          <cell r="B2469">
            <v>73.069999999999993</v>
          </cell>
          <cell r="C2469">
            <v>2.75</v>
          </cell>
        </row>
        <row r="2470">
          <cell r="A2470" t="str">
            <v>C-UNI</v>
          </cell>
          <cell r="B2470">
            <v>11247</v>
          </cell>
          <cell r="C2470">
            <v>0</v>
          </cell>
        </row>
        <row r="2471">
          <cell r="A2471" t="str">
            <v>CA-30</v>
          </cell>
          <cell r="B2471">
            <v>30398.83</v>
          </cell>
          <cell r="C2471">
            <v>4472.47</v>
          </cell>
        </row>
        <row r="2472">
          <cell r="A2472" t="str">
            <v>CA-30M</v>
          </cell>
          <cell r="B2472">
            <v>29102.2</v>
          </cell>
          <cell r="C2472">
            <v>97.84</v>
          </cell>
        </row>
        <row r="2473">
          <cell r="A2473" t="str">
            <v>CA-35</v>
          </cell>
          <cell r="B2473">
            <v>32424.83</v>
          </cell>
          <cell r="C2473">
            <v>97.84</v>
          </cell>
        </row>
        <row r="2474">
          <cell r="A2474" t="str">
            <v>CA-40</v>
          </cell>
          <cell r="B2474">
            <v>40781.56</v>
          </cell>
          <cell r="C2474">
            <v>5353.18</v>
          </cell>
        </row>
        <row r="2475">
          <cell r="A2475" t="str">
            <v>CA-40M</v>
          </cell>
          <cell r="B2475">
            <v>40678.6</v>
          </cell>
          <cell r="C2475">
            <v>111.85</v>
          </cell>
        </row>
        <row r="2476">
          <cell r="A2476" t="str">
            <v>CA-50</v>
          </cell>
          <cell r="B2476">
            <v>45858.54</v>
          </cell>
          <cell r="C2476">
            <v>3844.13</v>
          </cell>
        </row>
        <row r="2477">
          <cell r="A2477" t="str">
            <v>CA-50M</v>
          </cell>
          <cell r="B2477">
            <v>45736.36</v>
          </cell>
          <cell r="C2477">
            <v>98.88</v>
          </cell>
        </row>
        <row r="2478">
          <cell r="A2478" t="str">
            <v>CA-60</v>
          </cell>
          <cell r="B2478">
            <v>62538.51</v>
          </cell>
          <cell r="C2478">
            <v>5265.73</v>
          </cell>
        </row>
        <row r="2479">
          <cell r="A2479" t="str">
            <v>CA-60M</v>
          </cell>
          <cell r="B2479">
            <v>69108.89</v>
          </cell>
          <cell r="C2479">
            <v>100.02</v>
          </cell>
        </row>
        <row r="2480">
          <cell r="A2480" t="str">
            <v>CA-70</v>
          </cell>
          <cell r="B2480">
            <v>78390.899999999994</v>
          </cell>
          <cell r="C2480">
            <v>7236.18</v>
          </cell>
        </row>
        <row r="2481">
          <cell r="A2481" t="str">
            <v>CA-70M</v>
          </cell>
          <cell r="B2481">
            <v>78268.72</v>
          </cell>
          <cell r="C2481">
            <v>99.08</v>
          </cell>
        </row>
        <row r="2482">
          <cell r="A2482" t="str">
            <v>CA-80</v>
          </cell>
          <cell r="B2482">
            <v>84343.91</v>
          </cell>
          <cell r="C2482">
            <v>8005.49</v>
          </cell>
        </row>
        <row r="2483">
          <cell r="A2483" t="str">
            <v>CA-80M</v>
          </cell>
          <cell r="B2483">
            <v>85347.71</v>
          </cell>
          <cell r="C2483">
            <v>101.44</v>
          </cell>
        </row>
        <row r="2484">
          <cell r="A2484" t="str">
            <v>CA-90</v>
          </cell>
          <cell r="B2484">
            <v>94916.92</v>
          </cell>
          <cell r="C2484">
            <v>5465.68</v>
          </cell>
        </row>
        <row r="2485">
          <cell r="A2485" t="str">
            <v>CA-90M</v>
          </cell>
          <cell r="B2485">
            <v>94794.74</v>
          </cell>
          <cell r="C2485">
            <v>97.84</v>
          </cell>
        </row>
        <row r="2486">
          <cell r="A2486" t="str">
            <v>CE-100</v>
          </cell>
          <cell r="B2486">
            <v>81.239999999999995</v>
          </cell>
          <cell r="C2486">
            <v>22.54</v>
          </cell>
        </row>
        <row r="2487">
          <cell r="A2487" t="str">
            <v>CE125-2X20</v>
          </cell>
          <cell r="B2487">
            <v>2077.2399999999998</v>
          </cell>
          <cell r="C2487">
            <v>230.98</v>
          </cell>
        </row>
        <row r="2488">
          <cell r="A2488" t="str">
            <v>CE125-3X50</v>
          </cell>
          <cell r="B2488">
            <v>2077.2399999999998</v>
          </cell>
          <cell r="C2488">
            <v>230.98</v>
          </cell>
        </row>
        <row r="2489">
          <cell r="A2489" t="str">
            <v>CE125-3X50G</v>
          </cell>
          <cell r="B2489">
            <v>1862.13</v>
          </cell>
          <cell r="C2489">
            <v>134.56</v>
          </cell>
        </row>
        <row r="2490">
          <cell r="A2490" t="str">
            <v>CE125LE</v>
          </cell>
          <cell r="B2490">
            <v>1987.78</v>
          </cell>
          <cell r="C2490">
            <v>304.75</v>
          </cell>
        </row>
        <row r="2491">
          <cell r="A2491" t="str">
            <v>CE125LEB</v>
          </cell>
          <cell r="B2491">
            <v>1946.49</v>
          </cell>
          <cell r="C2491">
            <v>334.79</v>
          </cell>
        </row>
        <row r="2492">
          <cell r="A2492" t="str">
            <v>CE125LED</v>
          </cell>
          <cell r="B2492">
            <v>1861.23</v>
          </cell>
          <cell r="C2492">
            <v>369.61</v>
          </cell>
        </row>
        <row r="2493">
          <cell r="A2493" t="str">
            <v>CE125LEDB</v>
          </cell>
          <cell r="B2493">
            <v>1829.98</v>
          </cell>
          <cell r="C2493">
            <v>430.92</v>
          </cell>
        </row>
        <row r="2494">
          <cell r="A2494" t="str">
            <v>CE125LEDG</v>
          </cell>
          <cell r="B2494">
            <v>1856.97</v>
          </cell>
          <cell r="C2494">
            <v>134.56</v>
          </cell>
        </row>
        <row r="2495">
          <cell r="A2495" t="str">
            <v>CE125LEG</v>
          </cell>
          <cell r="B2495">
            <v>1856.97</v>
          </cell>
          <cell r="C2495">
            <v>134.56</v>
          </cell>
        </row>
        <row r="2496">
          <cell r="A2496" t="str">
            <v>CE125LI</v>
          </cell>
          <cell r="B2496">
            <v>1987.78</v>
          </cell>
          <cell r="C2496">
            <v>324.11</v>
          </cell>
        </row>
        <row r="2497">
          <cell r="A2497" t="str">
            <v>CE125LIB</v>
          </cell>
          <cell r="B2497">
            <v>1946.49</v>
          </cell>
          <cell r="C2497">
            <v>311.52999999999997</v>
          </cell>
        </row>
        <row r="2498">
          <cell r="A2498" t="str">
            <v>CE125LIG</v>
          </cell>
          <cell r="B2498">
            <v>1875.69</v>
          </cell>
          <cell r="C2498">
            <v>134.56</v>
          </cell>
        </row>
        <row r="2499">
          <cell r="A2499" t="str">
            <v>CE125LX</v>
          </cell>
          <cell r="B2499">
            <v>1984.17</v>
          </cell>
          <cell r="C2499">
            <v>359.89</v>
          </cell>
        </row>
        <row r="2500">
          <cell r="A2500" t="str">
            <v>CE125LXB</v>
          </cell>
          <cell r="B2500">
            <v>1946.49</v>
          </cell>
          <cell r="C2500">
            <v>366.71</v>
          </cell>
        </row>
        <row r="2501">
          <cell r="A2501" t="str">
            <v>CE125LXG</v>
          </cell>
          <cell r="B2501">
            <v>1857.05</v>
          </cell>
          <cell r="C2501">
            <v>160.62</v>
          </cell>
        </row>
        <row r="2502">
          <cell r="A2502" t="str">
            <v>CE13-13-8</v>
          </cell>
          <cell r="B2502">
            <v>3434.54</v>
          </cell>
          <cell r="C2502">
            <v>315.82</v>
          </cell>
        </row>
        <row r="2503">
          <cell r="A2503" t="str">
            <v>CE13-13-8B</v>
          </cell>
          <cell r="B2503">
            <v>2813.7</v>
          </cell>
          <cell r="C2503">
            <v>426.22</v>
          </cell>
        </row>
        <row r="2504">
          <cell r="A2504" t="str">
            <v>CE13-13-8LX</v>
          </cell>
          <cell r="B2504">
            <v>2858.62</v>
          </cell>
          <cell r="C2504">
            <v>248.77</v>
          </cell>
        </row>
        <row r="2505">
          <cell r="A2505" t="str">
            <v>CE13-13-8TT</v>
          </cell>
          <cell r="B2505">
            <v>2712.7</v>
          </cell>
          <cell r="C2505">
            <v>293.27999999999997</v>
          </cell>
        </row>
        <row r="2506">
          <cell r="A2506" t="str">
            <v>CE15-15-10</v>
          </cell>
          <cell r="B2506">
            <v>3843.05</v>
          </cell>
          <cell r="C2506">
            <v>531.95000000000005</v>
          </cell>
        </row>
        <row r="2507">
          <cell r="A2507" t="str">
            <v>CE15-15-10-EX</v>
          </cell>
          <cell r="B2507">
            <v>4370.9399999999996</v>
          </cell>
          <cell r="C2507">
            <v>0</v>
          </cell>
        </row>
        <row r="2508">
          <cell r="A2508" t="str">
            <v>CE15-15-10B</v>
          </cell>
          <cell r="B2508">
            <v>3808.35</v>
          </cell>
          <cell r="C2508">
            <v>680.53</v>
          </cell>
        </row>
        <row r="2509">
          <cell r="A2509" t="str">
            <v>CE15-15-10TT</v>
          </cell>
          <cell r="B2509">
            <v>3728.98</v>
          </cell>
          <cell r="C2509">
            <v>509.41</v>
          </cell>
        </row>
        <row r="2510">
          <cell r="A2510" t="str">
            <v>CE15-15-10TTB</v>
          </cell>
          <cell r="B2510">
            <v>3697.02</v>
          </cell>
          <cell r="C2510">
            <v>383.21</v>
          </cell>
        </row>
        <row r="2511">
          <cell r="A2511" t="str">
            <v>CE20-15-10</v>
          </cell>
          <cell r="B2511">
            <v>4675.93</v>
          </cell>
          <cell r="C2511">
            <v>301.52999999999997</v>
          </cell>
        </row>
        <row r="2512">
          <cell r="A2512" t="str">
            <v>CE20-15-10B</v>
          </cell>
          <cell r="B2512">
            <v>4623.5200000000004</v>
          </cell>
          <cell r="C2512">
            <v>408.44</v>
          </cell>
        </row>
        <row r="2513">
          <cell r="A2513" t="str">
            <v>CE20-15-10TTB</v>
          </cell>
          <cell r="B2513">
            <v>4463.53</v>
          </cell>
          <cell r="C2513">
            <v>278.99</v>
          </cell>
        </row>
        <row r="2514">
          <cell r="A2514" t="str">
            <v>CE20-20-10</v>
          </cell>
          <cell r="B2514">
            <v>5623.96</v>
          </cell>
          <cell r="C2514">
            <v>541.32000000000005</v>
          </cell>
        </row>
        <row r="2515">
          <cell r="A2515" t="str">
            <v>CE20-20-10B</v>
          </cell>
          <cell r="B2515">
            <v>5549.93</v>
          </cell>
          <cell r="C2515">
            <v>701.09</v>
          </cell>
        </row>
        <row r="2516">
          <cell r="A2516" t="str">
            <v>CE20-20-10EX</v>
          </cell>
          <cell r="B2516">
            <v>9309.84</v>
          </cell>
          <cell r="C2516">
            <v>0</v>
          </cell>
        </row>
        <row r="2517">
          <cell r="A2517" t="str">
            <v>CE20-20-10TTB</v>
          </cell>
          <cell r="B2517">
            <v>6915.95</v>
          </cell>
          <cell r="C2517">
            <v>156.18</v>
          </cell>
        </row>
        <row r="2518">
          <cell r="A2518" t="str">
            <v>CE20-20-15</v>
          </cell>
          <cell r="B2518">
            <v>6892.17</v>
          </cell>
          <cell r="C2518">
            <v>376.75</v>
          </cell>
        </row>
        <row r="2519">
          <cell r="A2519" t="str">
            <v>CE20-20-15B</v>
          </cell>
          <cell r="B2519">
            <v>6787.81</v>
          </cell>
          <cell r="C2519">
            <v>539.74</v>
          </cell>
        </row>
        <row r="2520">
          <cell r="A2520" t="str">
            <v>CE20-20-15TT</v>
          </cell>
          <cell r="B2520">
            <v>6778.1</v>
          </cell>
          <cell r="C2520">
            <v>354.21</v>
          </cell>
        </row>
        <row r="2521">
          <cell r="A2521" t="str">
            <v>CE20-20-15TTB</v>
          </cell>
          <cell r="B2521">
            <v>6052.01</v>
          </cell>
          <cell r="C2521">
            <v>354.21</v>
          </cell>
        </row>
        <row r="2522">
          <cell r="A2522" t="str">
            <v>CE25-20-10</v>
          </cell>
          <cell r="B2522">
            <v>6510.39</v>
          </cell>
          <cell r="C2522">
            <v>245.31</v>
          </cell>
        </row>
        <row r="2523">
          <cell r="A2523" t="str">
            <v>CE25-20-10B</v>
          </cell>
          <cell r="B2523">
            <v>6420.01</v>
          </cell>
          <cell r="C2523">
            <v>404.9</v>
          </cell>
        </row>
        <row r="2524">
          <cell r="A2524" t="str">
            <v>CE25-25-10</v>
          </cell>
          <cell r="B2524">
            <v>7806.73</v>
          </cell>
          <cell r="C2524">
            <v>334.3</v>
          </cell>
        </row>
        <row r="2525">
          <cell r="A2525" t="str">
            <v>CE25-25-10B</v>
          </cell>
          <cell r="B2525">
            <v>7687.44</v>
          </cell>
          <cell r="C2525">
            <v>497.98</v>
          </cell>
        </row>
        <row r="2526">
          <cell r="A2526" t="str">
            <v>CE25-25-10EX</v>
          </cell>
          <cell r="B2526">
            <v>11631.71</v>
          </cell>
          <cell r="C2526">
            <v>0</v>
          </cell>
        </row>
        <row r="2527">
          <cell r="A2527" t="str">
            <v>CE25-25-10TTB</v>
          </cell>
          <cell r="B2527">
            <v>7527.45</v>
          </cell>
          <cell r="C2527">
            <v>311.76</v>
          </cell>
        </row>
        <row r="2528">
          <cell r="A2528" t="str">
            <v>CE25-25-15</v>
          </cell>
          <cell r="B2528">
            <v>9221.4500000000007</v>
          </cell>
          <cell r="C2528">
            <v>376.79</v>
          </cell>
        </row>
        <row r="2529">
          <cell r="A2529" t="str">
            <v>CE25-25-15B</v>
          </cell>
          <cell r="B2529">
            <v>9070.9699999999993</v>
          </cell>
          <cell r="C2529">
            <v>501.95</v>
          </cell>
        </row>
        <row r="2530">
          <cell r="A2530" t="str">
            <v>CE25-25-15TT</v>
          </cell>
          <cell r="B2530">
            <v>9107.3799999999992</v>
          </cell>
          <cell r="C2530">
            <v>354.25</v>
          </cell>
        </row>
        <row r="2531">
          <cell r="A2531" t="str">
            <v>CE30-30-10</v>
          </cell>
          <cell r="B2531">
            <v>10190.64</v>
          </cell>
          <cell r="C2531">
            <v>368.86</v>
          </cell>
        </row>
        <row r="2532">
          <cell r="A2532" t="str">
            <v>CE30-30-10B</v>
          </cell>
          <cell r="B2532">
            <v>10016.299999999999</v>
          </cell>
          <cell r="C2532">
            <v>527.86</v>
          </cell>
        </row>
        <row r="2533">
          <cell r="A2533" t="str">
            <v>CE30-30-10EX</v>
          </cell>
          <cell r="B2533">
            <v>16479.88</v>
          </cell>
          <cell r="C2533">
            <v>0</v>
          </cell>
        </row>
        <row r="2534">
          <cell r="A2534" t="str">
            <v>CE30-30-15</v>
          </cell>
          <cell r="B2534">
            <v>11206.29</v>
          </cell>
          <cell r="C2534">
            <v>436.46</v>
          </cell>
        </row>
        <row r="2535">
          <cell r="A2535" t="str">
            <v>CE30-30-15B</v>
          </cell>
          <cell r="B2535">
            <v>11678.42</v>
          </cell>
          <cell r="C2535">
            <v>664.85</v>
          </cell>
        </row>
        <row r="2536">
          <cell r="A2536" t="str">
            <v>CE30-30-15EX</v>
          </cell>
          <cell r="B2536">
            <v>21007.82</v>
          </cell>
          <cell r="C2536">
            <v>0</v>
          </cell>
        </row>
        <row r="2537">
          <cell r="A2537" t="str">
            <v>CE30-30-20</v>
          </cell>
          <cell r="B2537">
            <v>15040.9</v>
          </cell>
          <cell r="C2537">
            <v>390.44</v>
          </cell>
        </row>
        <row r="2538">
          <cell r="A2538" t="str">
            <v>CE30-30-20B</v>
          </cell>
          <cell r="B2538">
            <v>14783.94</v>
          </cell>
          <cell r="C2538">
            <v>656.71</v>
          </cell>
        </row>
        <row r="2539">
          <cell r="A2539" t="str">
            <v>CE30-30-20TTB</v>
          </cell>
          <cell r="B2539">
            <v>14623.95</v>
          </cell>
          <cell r="C2539">
            <v>367.9</v>
          </cell>
        </row>
        <row r="2540">
          <cell r="A2540" t="str">
            <v>CE40-40-15</v>
          </cell>
          <cell r="B2540">
            <v>18713.45</v>
          </cell>
          <cell r="C2540">
            <v>624.65</v>
          </cell>
        </row>
        <row r="2541">
          <cell r="A2541" t="str">
            <v>CE40-40-15B</v>
          </cell>
          <cell r="B2541">
            <v>18356.189999999999</v>
          </cell>
          <cell r="C2541">
            <v>904.07</v>
          </cell>
        </row>
        <row r="2542">
          <cell r="A2542" t="str">
            <v>CE40-40-15EX</v>
          </cell>
          <cell r="B2542">
            <v>20781.47</v>
          </cell>
          <cell r="C2542">
            <v>0</v>
          </cell>
        </row>
        <row r="2543">
          <cell r="A2543" t="str">
            <v>CE40-40-15TTB</v>
          </cell>
          <cell r="B2543">
            <v>18310.89</v>
          </cell>
          <cell r="C2543">
            <v>636.6</v>
          </cell>
        </row>
        <row r="2544">
          <cell r="A2544" t="str">
            <v>CE40-40-20</v>
          </cell>
          <cell r="B2544">
            <v>21315.62</v>
          </cell>
          <cell r="C2544">
            <v>607.23</v>
          </cell>
        </row>
        <row r="2545">
          <cell r="A2545" t="str">
            <v>CE40-40-20B</v>
          </cell>
          <cell r="B2545">
            <v>20905.259999999998</v>
          </cell>
          <cell r="C2545">
            <v>834.04</v>
          </cell>
        </row>
        <row r="2546">
          <cell r="A2546" t="str">
            <v>CE40-40-20TTB</v>
          </cell>
          <cell r="B2546">
            <v>20745.27</v>
          </cell>
          <cell r="C2546">
            <v>584.69000000000005</v>
          </cell>
        </row>
        <row r="2547">
          <cell r="A2547" t="str">
            <v>CE50-50-20</v>
          </cell>
          <cell r="B2547">
            <v>30890.59</v>
          </cell>
          <cell r="C2547">
            <v>774.28</v>
          </cell>
        </row>
        <row r="2548">
          <cell r="A2548" t="str">
            <v>CE50-50-20B</v>
          </cell>
          <cell r="B2548">
            <v>30303.23</v>
          </cell>
          <cell r="C2548">
            <v>1061.76</v>
          </cell>
        </row>
        <row r="2549">
          <cell r="A2549" t="str">
            <v>CE50-50-20TT</v>
          </cell>
          <cell r="B2549">
            <v>30776.52</v>
          </cell>
          <cell r="C2549">
            <v>751.74</v>
          </cell>
        </row>
        <row r="2550">
          <cell r="A2550" t="str">
            <v>CE60-60-20</v>
          </cell>
          <cell r="B2550">
            <v>36626.18</v>
          </cell>
          <cell r="C2550">
            <v>1016.97</v>
          </cell>
        </row>
        <row r="2551">
          <cell r="A2551" t="str">
            <v>CE60-60-20B</v>
          </cell>
          <cell r="B2551">
            <v>35832.339999999997</v>
          </cell>
          <cell r="C2551">
            <v>1256.9100000000001</v>
          </cell>
        </row>
        <row r="2552">
          <cell r="A2552" t="str">
            <v>CE60-60-30</v>
          </cell>
          <cell r="B2552">
            <v>43651.09</v>
          </cell>
          <cell r="C2552">
            <v>1173.45</v>
          </cell>
        </row>
        <row r="2553">
          <cell r="A2553" t="str">
            <v>CE60-60-30B</v>
          </cell>
          <cell r="B2553">
            <v>42663.97</v>
          </cell>
          <cell r="C2553">
            <v>2101.35</v>
          </cell>
        </row>
        <row r="2554">
          <cell r="A2554" t="str">
            <v>CE70-70-30</v>
          </cell>
          <cell r="B2554">
            <v>50515.07</v>
          </cell>
          <cell r="C2554">
            <v>45.76</v>
          </cell>
        </row>
        <row r="2555">
          <cell r="A2555" t="str">
            <v>CEP30-15-08</v>
          </cell>
          <cell r="B2555">
            <v>5462.07</v>
          </cell>
          <cell r="C2555">
            <v>430.78</v>
          </cell>
        </row>
        <row r="2556">
          <cell r="A2556" t="str">
            <v>CI-BU</v>
          </cell>
          <cell r="B2556">
            <v>8869.64</v>
          </cell>
          <cell r="C2556">
            <v>498.29</v>
          </cell>
        </row>
        <row r="2557">
          <cell r="A2557" t="str">
            <v>CIBU250</v>
          </cell>
          <cell r="B2557">
            <v>12107.49</v>
          </cell>
          <cell r="C2557">
            <v>0</v>
          </cell>
        </row>
        <row r="2558">
          <cell r="A2558" t="str">
            <v>CM2X4-G</v>
          </cell>
          <cell r="B2558">
            <v>0</v>
          </cell>
          <cell r="C2558">
            <v>0</v>
          </cell>
        </row>
        <row r="2559">
          <cell r="A2559" t="str">
            <v>CM4X4-G</v>
          </cell>
          <cell r="B2559">
            <v>0</v>
          </cell>
          <cell r="C2559">
            <v>0</v>
          </cell>
        </row>
        <row r="2560">
          <cell r="A2560" t="str">
            <v>CM4X4-GG</v>
          </cell>
          <cell r="B2560">
            <v>0</v>
          </cell>
          <cell r="C2560">
            <v>0</v>
          </cell>
        </row>
        <row r="2561">
          <cell r="A2561" t="str">
            <v>CMOCT-G</v>
          </cell>
          <cell r="B2561">
            <v>0</v>
          </cell>
          <cell r="C2561">
            <v>0</v>
          </cell>
        </row>
        <row r="2562">
          <cell r="A2562" t="str">
            <v>CP2X4</v>
          </cell>
          <cell r="B2562">
            <v>212.38</v>
          </cell>
          <cell r="C2562">
            <v>0</v>
          </cell>
        </row>
        <row r="2563">
          <cell r="A2563" t="str">
            <v>CP2X4-CC</v>
          </cell>
          <cell r="B2563">
            <v>162.25</v>
          </cell>
          <cell r="C2563">
            <v>7.55</v>
          </cell>
        </row>
        <row r="2564">
          <cell r="A2564" t="str">
            <v>CP2X4-LH</v>
          </cell>
          <cell r="B2564">
            <v>192.91</v>
          </cell>
          <cell r="C2564">
            <v>7.47</v>
          </cell>
        </row>
        <row r="2565">
          <cell r="A2565" t="str">
            <v>CP2X4NG-CC</v>
          </cell>
          <cell r="B2565">
            <v>168.04</v>
          </cell>
          <cell r="C2565">
            <v>0</v>
          </cell>
        </row>
        <row r="2566">
          <cell r="A2566" t="str">
            <v>CP4X4</v>
          </cell>
          <cell r="B2566">
            <v>277.89999999999998</v>
          </cell>
          <cell r="C2566">
            <v>0</v>
          </cell>
        </row>
        <row r="2567">
          <cell r="A2567" t="str">
            <v>CP4X4-6C</v>
          </cell>
          <cell r="B2567">
            <v>252</v>
          </cell>
          <cell r="C2567">
            <v>0</v>
          </cell>
        </row>
        <row r="2568">
          <cell r="A2568" t="str">
            <v>CP4X4-CC</v>
          </cell>
          <cell r="B2568">
            <v>252.52</v>
          </cell>
          <cell r="C2568">
            <v>10.32</v>
          </cell>
        </row>
        <row r="2569">
          <cell r="A2569" t="str">
            <v>CP4X4-CC2</v>
          </cell>
          <cell r="B2569">
            <v>246.87</v>
          </cell>
          <cell r="C2569">
            <v>0</v>
          </cell>
        </row>
        <row r="2570">
          <cell r="A2570" t="str">
            <v>CP4X4-LH</v>
          </cell>
          <cell r="B2570">
            <v>296.54000000000002</v>
          </cell>
          <cell r="C2570">
            <v>10.69</v>
          </cell>
        </row>
        <row r="2571">
          <cell r="A2571" t="str">
            <v>CP4X4-LH2</v>
          </cell>
          <cell r="B2571">
            <v>287.93</v>
          </cell>
          <cell r="C2571">
            <v>0</v>
          </cell>
        </row>
        <row r="2572">
          <cell r="A2572" t="str">
            <v>CPOCT</v>
          </cell>
          <cell r="B2572">
            <v>250.29</v>
          </cell>
          <cell r="C2572">
            <v>0</v>
          </cell>
        </row>
        <row r="2573">
          <cell r="A2573" t="str">
            <v>CPOCT NG-CC</v>
          </cell>
          <cell r="B2573">
            <v>216.39</v>
          </cell>
          <cell r="C2573">
            <v>0</v>
          </cell>
        </row>
        <row r="2574">
          <cell r="A2574" t="str">
            <v>CPOCT-CC2</v>
          </cell>
          <cell r="B2574">
            <v>254.89</v>
          </cell>
          <cell r="C2574">
            <v>0</v>
          </cell>
        </row>
        <row r="2575">
          <cell r="A2575" t="str">
            <v>CPOCT-CC6</v>
          </cell>
          <cell r="B2575">
            <v>213.89</v>
          </cell>
          <cell r="C2575">
            <v>0</v>
          </cell>
        </row>
        <row r="2576">
          <cell r="A2576" t="str">
            <v>CPOCT-LH</v>
          </cell>
          <cell r="B2576">
            <v>250.34</v>
          </cell>
          <cell r="C2576">
            <v>8.2799999999999994</v>
          </cell>
        </row>
        <row r="2577">
          <cell r="A2577" t="str">
            <v>CPOCT-LH6</v>
          </cell>
          <cell r="B2577">
            <v>255.35</v>
          </cell>
          <cell r="C2577">
            <v>0</v>
          </cell>
        </row>
        <row r="2578">
          <cell r="A2578" t="str">
            <v>CPOCTOGONAL-CC</v>
          </cell>
          <cell r="B2578">
            <v>204.73</v>
          </cell>
          <cell r="C2578">
            <v>8.8699999999999992</v>
          </cell>
        </row>
        <row r="2579">
          <cell r="A2579" t="str">
            <v>CT100-120-15</v>
          </cell>
          <cell r="B2579">
            <v>94845.54</v>
          </cell>
          <cell r="C2579">
            <v>11.95</v>
          </cell>
        </row>
        <row r="2580">
          <cell r="A2580" t="str">
            <v>CT15-15-10</v>
          </cell>
          <cell r="B2580">
            <v>4707.25</v>
          </cell>
          <cell r="C2580">
            <v>472.02</v>
          </cell>
        </row>
        <row r="2581">
          <cell r="A2581" t="str">
            <v>CT2-40-20-10</v>
          </cell>
          <cell r="B2581">
            <v>12159.78</v>
          </cell>
          <cell r="C2581">
            <v>23.9</v>
          </cell>
        </row>
        <row r="2582">
          <cell r="A2582" t="str">
            <v>CT2-40-20-15</v>
          </cell>
          <cell r="B2582">
            <v>14700.68</v>
          </cell>
          <cell r="C2582">
            <v>23.9</v>
          </cell>
        </row>
        <row r="2583">
          <cell r="A2583" t="str">
            <v>CT2-40-20-20</v>
          </cell>
          <cell r="B2583">
            <v>21714.59</v>
          </cell>
          <cell r="C2583">
            <v>23.9</v>
          </cell>
        </row>
        <row r="2584">
          <cell r="A2584" t="str">
            <v>CT20-20-10</v>
          </cell>
          <cell r="B2584">
            <v>5915.72</v>
          </cell>
          <cell r="C2584">
            <v>572.53</v>
          </cell>
        </row>
        <row r="2585">
          <cell r="A2585" t="str">
            <v>CT20-20-10-V</v>
          </cell>
          <cell r="B2585">
            <v>6653.48</v>
          </cell>
          <cell r="C2585">
            <v>11.95</v>
          </cell>
        </row>
        <row r="2586">
          <cell r="A2586" t="str">
            <v>CT20-20-10R</v>
          </cell>
          <cell r="B2586">
            <v>6653.48</v>
          </cell>
          <cell r="C2586">
            <v>11.95</v>
          </cell>
        </row>
        <row r="2587">
          <cell r="A2587" t="str">
            <v>CT20-20-10RS</v>
          </cell>
          <cell r="B2587">
            <v>6619.33</v>
          </cell>
          <cell r="C2587">
            <v>0</v>
          </cell>
        </row>
        <row r="2588">
          <cell r="A2588" t="str">
            <v>CT20-20-15</v>
          </cell>
          <cell r="B2588">
            <v>6976.34</v>
          </cell>
          <cell r="C2588">
            <v>490.63</v>
          </cell>
        </row>
        <row r="2589">
          <cell r="A2589" t="str">
            <v>CT20-20-15V</v>
          </cell>
          <cell r="B2589">
            <v>8562.02</v>
          </cell>
          <cell r="C2589">
            <v>11.95</v>
          </cell>
        </row>
        <row r="2590">
          <cell r="A2590" t="str">
            <v>CT3-60-20-10</v>
          </cell>
          <cell r="B2590">
            <v>17961.37</v>
          </cell>
          <cell r="C2590">
            <v>71.7</v>
          </cell>
        </row>
        <row r="2591">
          <cell r="A2591" t="str">
            <v>CT3-60-20-15</v>
          </cell>
          <cell r="B2591">
            <v>21239</v>
          </cell>
          <cell r="C2591">
            <v>71.7</v>
          </cell>
        </row>
        <row r="2592">
          <cell r="A2592" t="str">
            <v>CT3-60-20-20</v>
          </cell>
          <cell r="B2592">
            <v>23324.52</v>
          </cell>
          <cell r="C2592">
            <v>71.7</v>
          </cell>
        </row>
        <row r="2593">
          <cell r="A2593" t="str">
            <v>CT30-30-10</v>
          </cell>
          <cell r="B2593">
            <v>11364.94</v>
          </cell>
          <cell r="C2593">
            <v>524.96</v>
          </cell>
        </row>
        <row r="2594">
          <cell r="A2594" t="str">
            <v>CT30-30-10R</v>
          </cell>
          <cell r="B2594">
            <v>7388.07</v>
          </cell>
          <cell r="C2594">
            <v>293.13</v>
          </cell>
        </row>
        <row r="2595">
          <cell r="A2595" t="str">
            <v>CT30-30-10RS</v>
          </cell>
          <cell r="B2595">
            <v>7388.07</v>
          </cell>
          <cell r="C2595">
            <v>293.13</v>
          </cell>
        </row>
        <row r="2596">
          <cell r="A2596" t="str">
            <v>CT30-30-10V</v>
          </cell>
          <cell r="B2596">
            <v>11652.69</v>
          </cell>
          <cell r="C2596">
            <v>11.95</v>
          </cell>
        </row>
        <row r="2597">
          <cell r="A2597" t="str">
            <v>CT30-30-15</v>
          </cell>
          <cell r="B2597">
            <v>13220.83</v>
          </cell>
          <cell r="C2597">
            <v>484.41</v>
          </cell>
        </row>
        <row r="2598">
          <cell r="A2598" t="str">
            <v>CT30-30-15R</v>
          </cell>
          <cell r="B2598">
            <v>9240.07</v>
          </cell>
          <cell r="C2598">
            <v>279.44</v>
          </cell>
        </row>
        <row r="2599">
          <cell r="A2599" t="str">
            <v>CT30-30-15RS</v>
          </cell>
          <cell r="B2599">
            <v>9205.92</v>
          </cell>
          <cell r="C2599">
            <v>267.49</v>
          </cell>
        </row>
        <row r="2600">
          <cell r="A2600" t="str">
            <v>CT30-30-15V</v>
          </cell>
          <cell r="B2600">
            <v>13502.25</v>
          </cell>
          <cell r="C2600">
            <v>11.95</v>
          </cell>
        </row>
        <row r="2601">
          <cell r="A2601" t="str">
            <v>CT30-30-20</v>
          </cell>
          <cell r="B2601">
            <v>15394.81</v>
          </cell>
          <cell r="C2601">
            <v>126.02</v>
          </cell>
        </row>
        <row r="2602">
          <cell r="A2602" t="str">
            <v>CT30-30-20V</v>
          </cell>
          <cell r="B2602">
            <v>14987.19</v>
          </cell>
          <cell r="C2602">
            <v>11.95</v>
          </cell>
        </row>
        <row r="2603">
          <cell r="A2603" t="str">
            <v>CT40-40-15</v>
          </cell>
          <cell r="B2603">
            <v>20766.8</v>
          </cell>
          <cell r="C2603">
            <v>519.24</v>
          </cell>
        </row>
        <row r="2604">
          <cell r="A2604" t="str">
            <v>CT40-40-15V</v>
          </cell>
          <cell r="B2604">
            <v>19319.650000000001</v>
          </cell>
          <cell r="C2604">
            <v>11.95</v>
          </cell>
        </row>
        <row r="2605">
          <cell r="A2605" t="str">
            <v>CT40-40-20</v>
          </cell>
          <cell r="B2605">
            <v>22935.13</v>
          </cell>
          <cell r="C2605">
            <v>503.76</v>
          </cell>
        </row>
        <row r="2606">
          <cell r="A2606" t="str">
            <v>CT40-40-20V</v>
          </cell>
          <cell r="B2606">
            <v>21597.919999999998</v>
          </cell>
          <cell r="C2606">
            <v>11.95</v>
          </cell>
        </row>
        <row r="2607">
          <cell r="A2607" t="str">
            <v>CT40-60-15</v>
          </cell>
          <cell r="B2607">
            <v>27365.37</v>
          </cell>
          <cell r="C2607">
            <v>1111.33</v>
          </cell>
        </row>
        <row r="2608">
          <cell r="A2608" t="str">
            <v>CT40-60-15V</v>
          </cell>
          <cell r="B2608">
            <v>25711.01</v>
          </cell>
          <cell r="C2608">
            <v>23.9</v>
          </cell>
        </row>
        <row r="2609">
          <cell r="A2609" t="str">
            <v>CT60-80-15</v>
          </cell>
          <cell r="B2609">
            <v>50373.89</v>
          </cell>
          <cell r="C2609">
            <v>1363.87</v>
          </cell>
        </row>
        <row r="2610">
          <cell r="A2610" t="str">
            <v>CT60-80-15V</v>
          </cell>
          <cell r="B2610">
            <v>40950.26</v>
          </cell>
          <cell r="C2610">
            <v>23.9</v>
          </cell>
        </row>
        <row r="2611">
          <cell r="A2611" t="str">
            <v>CT80-100-15</v>
          </cell>
          <cell r="B2611">
            <v>68487.16</v>
          </cell>
          <cell r="C2611">
            <v>116.18</v>
          </cell>
        </row>
        <row r="2612">
          <cell r="A2612" t="str">
            <v>E-CE50-15-6B</v>
          </cell>
          <cell r="B2612">
            <v>149.38999999999999</v>
          </cell>
          <cell r="C2612">
            <v>34.49</v>
          </cell>
        </row>
        <row r="2613">
          <cell r="A2613" t="str">
            <v>E-GCOM-45x45x15-DF</v>
          </cell>
          <cell r="B2613">
            <v>27573.81</v>
          </cell>
          <cell r="C2613">
            <v>789.44</v>
          </cell>
        </row>
        <row r="2614">
          <cell r="A2614" t="str">
            <v>G-SETI-SETS180x50</v>
          </cell>
          <cell r="B2614">
            <v>1856.49</v>
          </cell>
          <cell r="C2614">
            <v>31.34</v>
          </cell>
        </row>
        <row r="2615">
          <cell r="A2615" t="str">
            <v>GCOMP45-45-15G</v>
          </cell>
          <cell r="B2615">
            <v>19493.64</v>
          </cell>
          <cell r="C2615">
            <v>783.97</v>
          </cell>
        </row>
        <row r="2616">
          <cell r="A2616" t="str">
            <v>GPISO100G</v>
          </cell>
          <cell r="B2616">
            <v>99648.75</v>
          </cell>
          <cell r="C2616">
            <v>4226.8599999999997</v>
          </cell>
        </row>
        <row r="2617">
          <cell r="A2617" t="str">
            <v>GPISO7030G</v>
          </cell>
          <cell r="B2617">
            <v>70790.58</v>
          </cell>
          <cell r="C2617">
            <v>4031.56</v>
          </cell>
        </row>
        <row r="2618">
          <cell r="A2618" t="str">
            <v>GPISO70G</v>
          </cell>
          <cell r="B2618">
            <v>71740.69</v>
          </cell>
          <cell r="C2618">
            <v>3924.98</v>
          </cell>
        </row>
        <row r="2619">
          <cell r="A2619" t="str">
            <v>GPISO70G-D</v>
          </cell>
          <cell r="B2619">
            <v>77436.429999999993</v>
          </cell>
          <cell r="C2619">
            <v>2711.86</v>
          </cell>
        </row>
        <row r="2620">
          <cell r="A2620" t="str">
            <v>GRAPAM12-D</v>
          </cell>
          <cell r="B2620">
            <v>55.77</v>
          </cell>
          <cell r="C2620">
            <v>29.35</v>
          </cell>
        </row>
        <row r="2621">
          <cell r="A2621" t="str">
            <v>GRAPAM12-S</v>
          </cell>
          <cell r="B2621">
            <v>40.380000000000003</v>
          </cell>
          <cell r="C2621">
            <v>44.51</v>
          </cell>
        </row>
        <row r="2622">
          <cell r="A2622" t="str">
            <v>ITM-R106</v>
          </cell>
          <cell r="B2622">
            <v>0</v>
          </cell>
          <cell r="C2622">
            <v>0</v>
          </cell>
        </row>
        <row r="2623">
          <cell r="A2623" t="str">
            <v>ITM-R110</v>
          </cell>
          <cell r="B2623">
            <v>0</v>
          </cell>
          <cell r="C2623">
            <v>0</v>
          </cell>
        </row>
        <row r="2624">
          <cell r="A2624" t="str">
            <v>ITM-R116</v>
          </cell>
          <cell r="B2624">
            <v>0</v>
          </cell>
          <cell r="C2624">
            <v>0</v>
          </cell>
        </row>
        <row r="2625">
          <cell r="A2625" t="str">
            <v>ITM-R120</v>
          </cell>
          <cell r="B2625">
            <v>0</v>
          </cell>
          <cell r="C2625">
            <v>0</v>
          </cell>
        </row>
        <row r="2626">
          <cell r="A2626" t="str">
            <v>ITM-R132</v>
          </cell>
          <cell r="B2626">
            <v>0</v>
          </cell>
          <cell r="C2626">
            <v>0</v>
          </cell>
        </row>
        <row r="2627">
          <cell r="A2627" t="str">
            <v>ITM-R140</v>
          </cell>
          <cell r="B2627">
            <v>0</v>
          </cell>
          <cell r="C2627">
            <v>0</v>
          </cell>
        </row>
        <row r="2628">
          <cell r="A2628" t="str">
            <v>ITM-R150</v>
          </cell>
          <cell r="B2628">
            <v>0</v>
          </cell>
          <cell r="C2628">
            <v>0</v>
          </cell>
        </row>
        <row r="2629">
          <cell r="A2629" t="str">
            <v>ITM-R163</v>
          </cell>
          <cell r="B2629">
            <v>0</v>
          </cell>
          <cell r="C2629">
            <v>0</v>
          </cell>
        </row>
        <row r="2630">
          <cell r="A2630" t="str">
            <v>ITM-R206</v>
          </cell>
          <cell r="B2630">
            <v>0</v>
          </cell>
          <cell r="C2630">
            <v>0</v>
          </cell>
        </row>
        <row r="2631">
          <cell r="A2631" t="str">
            <v>ITM-R210</v>
          </cell>
          <cell r="B2631">
            <v>0</v>
          </cell>
          <cell r="C2631">
            <v>0</v>
          </cell>
        </row>
        <row r="2632">
          <cell r="A2632" t="str">
            <v>ITM-R216</v>
          </cell>
          <cell r="B2632">
            <v>0</v>
          </cell>
          <cell r="C2632">
            <v>0</v>
          </cell>
        </row>
        <row r="2633">
          <cell r="A2633" t="str">
            <v>ITM-R220</v>
          </cell>
          <cell r="B2633">
            <v>0</v>
          </cell>
          <cell r="C2633">
            <v>0</v>
          </cell>
        </row>
        <row r="2634">
          <cell r="A2634" t="str">
            <v>ITM-R232</v>
          </cell>
          <cell r="B2634">
            <v>0</v>
          </cell>
          <cell r="C2634">
            <v>0</v>
          </cell>
        </row>
        <row r="2635">
          <cell r="A2635" t="str">
            <v>ITM-R240</v>
          </cell>
          <cell r="B2635">
            <v>0</v>
          </cell>
          <cell r="C2635">
            <v>0</v>
          </cell>
        </row>
        <row r="2636">
          <cell r="A2636" t="str">
            <v>ITM-R250</v>
          </cell>
          <cell r="B2636">
            <v>0</v>
          </cell>
          <cell r="C2636">
            <v>0</v>
          </cell>
        </row>
        <row r="2637">
          <cell r="A2637" t="str">
            <v>ITM-R263</v>
          </cell>
          <cell r="B2637">
            <v>0</v>
          </cell>
          <cell r="C2637">
            <v>0</v>
          </cell>
        </row>
        <row r="2638">
          <cell r="A2638" t="str">
            <v>ITM-R306</v>
          </cell>
          <cell r="B2638">
            <v>0</v>
          </cell>
          <cell r="C2638">
            <v>0</v>
          </cell>
        </row>
        <row r="2639">
          <cell r="A2639" t="str">
            <v>ITM-R310</v>
          </cell>
          <cell r="B2639">
            <v>0</v>
          </cell>
          <cell r="C2639">
            <v>0</v>
          </cell>
        </row>
        <row r="2640">
          <cell r="A2640" t="str">
            <v>ITM-R316</v>
          </cell>
          <cell r="B2640">
            <v>0</v>
          </cell>
          <cell r="C2640">
            <v>0</v>
          </cell>
        </row>
        <row r="2641">
          <cell r="A2641" t="str">
            <v>ITM-R320</v>
          </cell>
          <cell r="B2641">
            <v>0</v>
          </cell>
          <cell r="C2641">
            <v>0</v>
          </cell>
        </row>
        <row r="2642">
          <cell r="A2642" t="str">
            <v>ITM-R332</v>
          </cell>
          <cell r="B2642">
            <v>0</v>
          </cell>
          <cell r="C2642">
            <v>0</v>
          </cell>
        </row>
        <row r="2643">
          <cell r="A2643" t="str">
            <v>ITM-R340</v>
          </cell>
          <cell r="B2643">
            <v>0</v>
          </cell>
          <cell r="C2643">
            <v>0</v>
          </cell>
        </row>
        <row r="2644">
          <cell r="A2644" t="str">
            <v>ITM-R350</v>
          </cell>
          <cell r="B2644">
            <v>0</v>
          </cell>
          <cell r="C2644">
            <v>0</v>
          </cell>
        </row>
        <row r="2645">
          <cell r="A2645" t="str">
            <v>ITM-R363</v>
          </cell>
          <cell r="B2645">
            <v>0</v>
          </cell>
          <cell r="C2645">
            <v>0</v>
          </cell>
        </row>
        <row r="2646">
          <cell r="A2646" t="str">
            <v>ITM115</v>
          </cell>
          <cell r="B2646">
            <v>0</v>
          </cell>
          <cell r="C2646">
            <v>0</v>
          </cell>
        </row>
        <row r="2647">
          <cell r="A2647" t="str">
            <v>ITM120</v>
          </cell>
          <cell r="B2647">
            <v>0</v>
          </cell>
          <cell r="C2647">
            <v>0</v>
          </cell>
        </row>
        <row r="2648">
          <cell r="A2648" t="str">
            <v>ITM130</v>
          </cell>
          <cell r="B2648">
            <v>0</v>
          </cell>
          <cell r="C2648">
            <v>0</v>
          </cell>
        </row>
        <row r="2649">
          <cell r="A2649" t="str">
            <v>ITM140</v>
          </cell>
          <cell r="B2649">
            <v>0</v>
          </cell>
          <cell r="C2649">
            <v>0</v>
          </cell>
        </row>
        <row r="2650">
          <cell r="A2650" t="str">
            <v>ITM150</v>
          </cell>
          <cell r="B2650">
            <v>0</v>
          </cell>
          <cell r="C2650">
            <v>0</v>
          </cell>
        </row>
        <row r="2651">
          <cell r="A2651" t="str">
            <v>ITM160</v>
          </cell>
          <cell r="B2651">
            <v>0</v>
          </cell>
          <cell r="C2651">
            <v>0</v>
          </cell>
        </row>
        <row r="2652">
          <cell r="A2652" t="str">
            <v>ITM215</v>
          </cell>
          <cell r="B2652">
            <v>0</v>
          </cell>
          <cell r="C2652">
            <v>0</v>
          </cell>
        </row>
        <row r="2653">
          <cell r="A2653" t="str">
            <v>ITM220</v>
          </cell>
          <cell r="B2653">
            <v>0</v>
          </cell>
          <cell r="C2653">
            <v>0</v>
          </cell>
        </row>
        <row r="2654">
          <cell r="A2654" t="str">
            <v>ITM230</v>
          </cell>
          <cell r="B2654">
            <v>0</v>
          </cell>
          <cell r="C2654">
            <v>0</v>
          </cell>
        </row>
        <row r="2655">
          <cell r="A2655" t="str">
            <v>ITM240</v>
          </cell>
          <cell r="B2655">
            <v>0</v>
          </cell>
          <cell r="C2655">
            <v>0</v>
          </cell>
        </row>
        <row r="2656">
          <cell r="A2656" t="str">
            <v>ITM250</v>
          </cell>
          <cell r="B2656">
            <v>0</v>
          </cell>
          <cell r="C2656">
            <v>0</v>
          </cell>
        </row>
        <row r="2657">
          <cell r="A2657" t="str">
            <v>ITM260</v>
          </cell>
          <cell r="B2657">
            <v>0</v>
          </cell>
          <cell r="C2657">
            <v>0</v>
          </cell>
        </row>
        <row r="2658">
          <cell r="A2658" t="str">
            <v>ITM315</v>
          </cell>
          <cell r="B2658">
            <v>0</v>
          </cell>
          <cell r="C2658">
            <v>0</v>
          </cell>
        </row>
        <row r="2659">
          <cell r="A2659" t="str">
            <v>ITM320</v>
          </cell>
          <cell r="B2659">
            <v>0</v>
          </cell>
          <cell r="C2659">
            <v>0</v>
          </cell>
        </row>
        <row r="2660">
          <cell r="A2660" t="str">
            <v>ITM330</v>
          </cell>
          <cell r="B2660">
            <v>0</v>
          </cell>
          <cell r="C2660">
            <v>0</v>
          </cell>
        </row>
        <row r="2661">
          <cell r="A2661" t="str">
            <v>ITM340</v>
          </cell>
          <cell r="B2661">
            <v>0</v>
          </cell>
          <cell r="C2661">
            <v>0</v>
          </cell>
        </row>
        <row r="2662">
          <cell r="A2662" t="str">
            <v>ITM350</v>
          </cell>
          <cell r="B2662">
            <v>0</v>
          </cell>
          <cell r="C2662">
            <v>0</v>
          </cell>
        </row>
        <row r="2663">
          <cell r="A2663" t="str">
            <v>ITM360</v>
          </cell>
          <cell r="B2663">
            <v>0</v>
          </cell>
          <cell r="C2663">
            <v>0</v>
          </cell>
        </row>
        <row r="2664">
          <cell r="A2664" t="str">
            <v>PAU506G</v>
          </cell>
          <cell r="B2664">
            <v>17761.330000000002</v>
          </cell>
          <cell r="C2664">
            <v>865.24</v>
          </cell>
        </row>
        <row r="2665">
          <cell r="A2665" t="str">
            <v>PAU506G-E</v>
          </cell>
          <cell r="B2665">
            <v>13894.41</v>
          </cell>
          <cell r="C2665">
            <v>522.83000000000004</v>
          </cell>
        </row>
        <row r="2666">
          <cell r="A2666" t="str">
            <v>PAU506G-EH</v>
          </cell>
          <cell r="B2666">
            <v>12766.98</v>
          </cell>
          <cell r="C2666">
            <v>280.39</v>
          </cell>
        </row>
        <row r="2667">
          <cell r="A2667" t="str">
            <v>PAU506G-ESPECIAL</v>
          </cell>
          <cell r="B2667">
            <v>12582.88</v>
          </cell>
          <cell r="C2667">
            <v>177.11</v>
          </cell>
        </row>
        <row r="2668">
          <cell r="A2668" t="str">
            <v>PAU506G-H</v>
          </cell>
          <cell r="B2668">
            <v>14799.95</v>
          </cell>
          <cell r="C2668">
            <v>1154.7</v>
          </cell>
        </row>
        <row r="2669">
          <cell r="A2669" t="str">
            <v>T8MP</v>
          </cell>
          <cell r="B2669">
            <v>15701.7</v>
          </cell>
          <cell r="C2669">
            <v>438.43</v>
          </cell>
        </row>
        <row r="2670">
          <cell r="A2670" t="str">
            <v>T8MP-BIMETALICO</v>
          </cell>
          <cell r="B2670">
            <v>11801.9</v>
          </cell>
          <cell r="C2670">
            <v>409.24</v>
          </cell>
        </row>
        <row r="2671">
          <cell r="A2671" t="str">
            <v>T8MPG</v>
          </cell>
          <cell r="B2671">
            <v>15717.17</v>
          </cell>
          <cell r="C2671">
            <v>438.43</v>
          </cell>
        </row>
        <row r="2672">
          <cell r="A2672" t="str">
            <v>T8MPG-BIMETALICO</v>
          </cell>
          <cell r="B2672">
            <v>11817.36</v>
          </cell>
          <cell r="C2672">
            <v>409.24</v>
          </cell>
        </row>
        <row r="2673">
          <cell r="A2673" t="str">
            <v>T8P</v>
          </cell>
          <cell r="B2673">
            <v>18436.310000000001</v>
          </cell>
          <cell r="C2673">
            <v>469.7</v>
          </cell>
        </row>
        <row r="2674">
          <cell r="A2674" t="str">
            <v>T8P-BIMETALICO</v>
          </cell>
          <cell r="B2674">
            <v>12864.3</v>
          </cell>
          <cell r="C2674">
            <v>504.36</v>
          </cell>
        </row>
        <row r="2675">
          <cell r="A2675" t="str">
            <v>T8PG</v>
          </cell>
          <cell r="B2675">
            <v>18451.77</v>
          </cell>
          <cell r="C2675">
            <v>469.7</v>
          </cell>
        </row>
        <row r="2676">
          <cell r="A2676" t="str">
            <v>T8PG-BIMETALICO</v>
          </cell>
          <cell r="B2676">
            <v>12879.76</v>
          </cell>
          <cell r="C2676">
            <v>504.36</v>
          </cell>
        </row>
        <row r="2677">
          <cell r="A2677" t="str">
            <v>TB12</v>
          </cell>
          <cell r="B2677">
            <v>30183.16</v>
          </cell>
          <cell r="C2677">
            <v>278.27</v>
          </cell>
        </row>
        <row r="2678">
          <cell r="A2678" t="str">
            <v>TB12-BIMETALICO</v>
          </cell>
          <cell r="B2678">
            <v>21984.82</v>
          </cell>
          <cell r="C2678">
            <v>1017.37</v>
          </cell>
        </row>
        <row r="2679">
          <cell r="A2679" t="str">
            <v>TB12EX-BIMETALICO</v>
          </cell>
          <cell r="B2679">
            <v>35768.5</v>
          </cell>
          <cell r="C2679">
            <v>387.45</v>
          </cell>
        </row>
        <row r="2680">
          <cell r="A2680" t="str">
            <v>TB12G</v>
          </cell>
          <cell r="B2680">
            <v>30093.35</v>
          </cell>
          <cell r="C2680">
            <v>260.2</v>
          </cell>
        </row>
        <row r="2681">
          <cell r="A2681" t="str">
            <v>TB12G-BIMETALICO</v>
          </cell>
          <cell r="B2681">
            <v>20718.509999999998</v>
          </cell>
          <cell r="C2681">
            <v>549.45000000000005</v>
          </cell>
        </row>
        <row r="2682">
          <cell r="A2682" t="str">
            <v>TB12P</v>
          </cell>
          <cell r="B2682">
            <v>35359.94</v>
          </cell>
          <cell r="C2682">
            <v>1602.34</v>
          </cell>
        </row>
        <row r="2683">
          <cell r="A2683" t="str">
            <v>TB12P-BIMETALICO</v>
          </cell>
          <cell r="B2683">
            <v>25688.959999999999</v>
          </cell>
          <cell r="C2683">
            <v>1640.66</v>
          </cell>
        </row>
        <row r="2684">
          <cell r="A2684" t="str">
            <v>TB12PG</v>
          </cell>
          <cell r="B2684">
            <v>35272.07</v>
          </cell>
          <cell r="C2684">
            <v>1537.24</v>
          </cell>
        </row>
        <row r="2685">
          <cell r="A2685" t="str">
            <v>TB12PG-BIMETALICO</v>
          </cell>
          <cell r="B2685">
            <v>25601.09</v>
          </cell>
          <cell r="C2685">
            <v>1609.68</v>
          </cell>
        </row>
        <row r="2686">
          <cell r="A2686" t="str">
            <v>TB16P</v>
          </cell>
          <cell r="B2686">
            <v>45043.57</v>
          </cell>
          <cell r="C2686">
            <v>1050.9100000000001</v>
          </cell>
        </row>
        <row r="2687">
          <cell r="A2687" t="str">
            <v>TB16P-BIMETALICO</v>
          </cell>
          <cell r="B2687">
            <v>31594.78</v>
          </cell>
          <cell r="C2687">
            <v>1050.9100000000001</v>
          </cell>
        </row>
        <row r="2688">
          <cell r="A2688" t="str">
            <v>TB16PG</v>
          </cell>
          <cell r="B2688">
            <v>44985.93</v>
          </cell>
          <cell r="C2688">
            <v>967.65</v>
          </cell>
        </row>
        <row r="2689">
          <cell r="A2689" t="str">
            <v>TB16PG-BIMETALICO</v>
          </cell>
          <cell r="B2689">
            <v>31537.15</v>
          </cell>
          <cell r="C2689">
            <v>967.65</v>
          </cell>
        </row>
        <row r="2690">
          <cell r="A2690" t="str">
            <v>TB18EX-BIMETALICO</v>
          </cell>
          <cell r="B2690">
            <v>39802.339999999997</v>
          </cell>
          <cell r="C2690">
            <v>451.86</v>
          </cell>
        </row>
        <row r="2691">
          <cell r="A2691" t="str">
            <v>TB18P</v>
          </cell>
          <cell r="B2691">
            <v>46968.33</v>
          </cell>
          <cell r="C2691">
            <v>1816.87</v>
          </cell>
        </row>
        <row r="2692">
          <cell r="A2692" t="str">
            <v>TB18P-BIMETALICO</v>
          </cell>
          <cell r="B2692">
            <v>32009.93</v>
          </cell>
          <cell r="C2692">
            <v>1698.91</v>
          </cell>
        </row>
        <row r="2693">
          <cell r="A2693" t="str">
            <v>TB18PG</v>
          </cell>
          <cell r="B2693">
            <v>46910.7</v>
          </cell>
          <cell r="C2693">
            <v>1689.18</v>
          </cell>
        </row>
        <row r="2694">
          <cell r="A2694" t="str">
            <v>TB18PG-BIMETALICO</v>
          </cell>
          <cell r="B2694">
            <v>31952.29</v>
          </cell>
          <cell r="C2694">
            <v>1583.35</v>
          </cell>
        </row>
        <row r="2695">
          <cell r="A2695" t="str">
            <v>TB6PG-BIMETALICO</v>
          </cell>
          <cell r="B2695">
            <v>20127.689999999999</v>
          </cell>
          <cell r="C2695">
            <v>1132.23</v>
          </cell>
        </row>
        <row r="2696">
          <cell r="A2696" t="str">
            <v>TB8</v>
          </cell>
          <cell r="B2696">
            <v>25348.880000000001</v>
          </cell>
          <cell r="C2696">
            <v>834.49</v>
          </cell>
        </row>
        <row r="2697">
          <cell r="A2697" t="str">
            <v>TB8-BIMETALICO</v>
          </cell>
          <cell r="B2697">
            <v>18702.21</v>
          </cell>
          <cell r="C2697">
            <v>663.69</v>
          </cell>
        </row>
        <row r="2698">
          <cell r="A2698" t="str">
            <v>TB8G</v>
          </cell>
          <cell r="B2698">
            <v>24403.29</v>
          </cell>
          <cell r="C2698">
            <v>775.08</v>
          </cell>
        </row>
        <row r="2699">
          <cell r="A2699" t="str">
            <v>TB8G-BIMETALICO</v>
          </cell>
          <cell r="B2699">
            <v>18754.66</v>
          </cell>
          <cell r="C2699">
            <v>852.63</v>
          </cell>
        </row>
        <row r="2700">
          <cell r="A2700" t="str">
            <v>TB8P</v>
          </cell>
          <cell r="B2700">
            <v>28638.38</v>
          </cell>
          <cell r="C2700">
            <v>1449.17</v>
          </cell>
        </row>
        <row r="2701">
          <cell r="A2701" t="str">
            <v>TB8P-BIMETALICO</v>
          </cell>
          <cell r="B2701">
            <v>21991.71</v>
          </cell>
          <cell r="C2701">
            <v>1510.93</v>
          </cell>
        </row>
        <row r="2702">
          <cell r="A2702" t="str">
            <v>TB8PG</v>
          </cell>
          <cell r="B2702">
            <v>28643.040000000001</v>
          </cell>
          <cell r="C2702">
            <v>1417.78</v>
          </cell>
        </row>
        <row r="2703">
          <cell r="A2703" t="str">
            <v>TB8PG-BIMETALICO</v>
          </cell>
          <cell r="B2703">
            <v>21996.36</v>
          </cell>
          <cell r="C2703">
            <v>1450.08</v>
          </cell>
        </row>
        <row r="2704">
          <cell r="A2704" t="str">
            <v>TE12PG-BIMETALICO</v>
          </cell>
          <cell r="B2704">
            <v>17545.580000000002</v>
          </cell>
          <cell r="C2704">
            <v>1356.88</v>
          </cell>
        </row>
        <row r="2705">
          <cell r="A2705" t="str">
            <v>TE2</v>
          </cell>
          <cell r="B2705">
            <v>7156.82</v>
          </cell>
          <cell r="C2705">
            <v>440.07</v>
          </cell>
        </row>
        <row r="2706">
          <cell r="A2706" t="str">
            <v>TE2-BIMETALICO</v>
          </cell>
          <cell r="B2706">
            <v>5683.03</v>
          </cell>
          <cell r="C2706">
            <v>375.36</v>
          </cell>
        </row>
        <row r="2707">
          <cell r="A2707" t="str">
            <v>TE2G</v>
          </cell>
          <cell r="B2707">
            <v>7184.37</v>
          </cell>
          <cell r="C2707">
            <v>420.86</v>
          </cell>
        </row>
        <row r="2708">
          <cell r="A2708" t="str">
            <v>TE2G-BIMETALICO</v>
          </cell>
          <cell r="B2708">
            <v>6098.85</v>
          </cell>
          <cell r="C2708">
            <v>461.27</v>
          </cell>
        </row>
        <row r="2709">
          <cell r="A2709" t="str">
            <v>TE2M</v>
          </cell>
          <cell r="B2709">
            <v>6870.72</v>
          </cell>
          <cell r="C2709">
            <v>537.73</v>
          </cell>
        </row>
        <row r="2710">
          <cell r="A2710" t="str">
            <v>TE2M-BIMETALICO</v>
          </cell>
          <cell r="B2710">
            <v>5756.34</v>
          </cell>
          <cell r="C2710">
            <v>449.37</v>
          </cell>
        </row>
        <row r="2711">
          <cell r="A2711" t="str">
            <v>TE2MG</v>
          </cell>
          <cell r="B2711">
            <v>7209.97</v>
          </cell>
          <cell r="C2711">
            <v>493.13</v>
          </cell>
        </row>
        <row r="2712">
          <cell r="A2712" t="str">
            <v>TE2MG-BIMETALICO</v>
          </cell>
          <cell r="B2712">
            <v>5399.91</v>
          </cell>
          <cell r="C2712">
            <v>428.72</v>
          </cell>
        </row>
        <row r="2713">
          <cell r="A2713" t="str">
            <v>TE3</v>
          </cell>
          <cell r="B2713">
            <v>10195.9</v>
          </cell>
          <cell r="C2713">
            <v>709.86</v>
          </cell>
        </row>
        <row r="2714">
          <cell r="A2714" t="str">
            <v>TE3-BIMETALICO</v>
          </cell>
          <cell r="B2714">
            <v>6826.43</v>
          </cell>
          <cell r="C2714">
            <v>632.66999999999996</v>
          </cell>
        </row>
        <row r="2715">
          <cell r="A2715" t="str">
            <v>TE3G</v>
          </cell>
          <cell r="B2715">
            <v>8889.7199999999993</v>
          </cell>
          <cell r="C2715">
            <v>581.1</v>
          </cell>
        </row>
        <row r="2716">
          <cell r="A2716" t="str">
            <v>TE3G-BIMETALICO</v>
          </cell>
          <cell r="B2716">
            <v>7970.88</v>
          </cell>
          <cell r="C2716">
            <v>602.30999999999995</v>
          </cell>
        </row>
        <row r="2717">
          <cell r="A2717" t="str">
            <v>TE3M</v>
          </cell>
          <cell r="B2717">
            <v>9253.9599999999991</v>
          </cell>
          <cell r="C2717">
            <v>1009.13</v>
          </cell>
        </row>
        <row r="2718">
          <cell r="A2718" t="str">
            <v>TE3M-BIMETALICO</v>
          </cell>
          <cell r="B2718">
            <v>8246.8799999999992</v>
          </cell>
          <cell r="C2718">
            <v>884.52</v>
          </cell>
        </row>
        <row r="2719">
          <cell r="A2719" t="str">
            <v>TE3MG</v>
          </cell>
          <cell r="B2719">
            <v>9151.7999999999993</v>
          </cell>
          <cell r="C2719">
            <v>808.54</v>
          </cell>
        </row>
        <row r="2720">
          <cell r="A2720" t="str">
            <v>TE3MG-BIMETALICO</v>
          </cell>
          <cell r="B2720">
            <v>7325.64</v>
          </cell>
          <cell r="C2720">
            <v>724.35</v>
          </cell>
        </row>
        <row r="2721">
          <cell r="A2721" t="str">
            <v>TE4</v>
          </cell>
          <cell r="B2721">
            <v>10183.83</v>
          </cell>
          <cell r="C2721">
            <v>1004.85</v>
          </cell>
        </row>
        <row r="2722">
          <cell r="A2722" t="str">
            <v>TE4-BIMETALICO</v>
          </cell>
          <cell r="B2722">
            <v>7779.89</v>
          </cell>
          <cell r="C2722">
            <v>900.79</v>
          </cell>
        </row>
        <row r="2723">
          <cell r="A2723" t="str">
            <v>TE4-BIMETALICO-E</v>
          </cell>
          <cell r="B2723">
            <v>9295.81</v>
          </cell>
          <cell r="C2723">
            <v>738.77</v>
          </cell>
        </row>
        <row r="2724">
          <cell r="A2724" t="str">
            <v>TE4G</v>
          </cell>
          <cell r="B2724">
            <v>10081.67</v>
          </cell>
          <cell r="C2724">
            <v>944.2</v>
          </cell>
        </row>
        <row r="2725">
          <cell r="A2725" t="str">
            <v>TE4G-BIMETALICO</v>
          </cell>
          <cell r="B2725">
            <v>7768.74</v>
          </cell>
          <cell r="C2725">
            <v>806.59</v>
          </cell>
        </row>
        <row r="2726">
          <cell r="A2726" t="str">
            <v>TE4M</v>
          </cell>
          <cell r="B2726">
            <v>9810.1</v>
          </cell>
          <cell r="C2726">
            <v>1027.1600000000001</v>
          </cell>
        </row>
        <row r="2727">
          <cell r="A2727" t="str">
            <v>TE4M-BIMETALICO</v>
          </cell>
          <cell r="B2727">
            <v>7472.13</v>
          </cell>
          <cell r="C2727">
            <v>823.37</v>
          </cell>
        </row>
        <row r="2728">
          <cell r="A2728" t="str">
            <v>TE4MG</v>
          </cell>
          <cell r="B2728">
            <v>9776.19</v>
          </cell>
          <cell r="C2728">
            <v>906.96</v>
          </cell>
        </row>
        <row r="2729">
          <cell r="A2729" t="str">
            <v>TE4MG-BIMETALICO</v>
          </cell>
          <cell r="B2729">
            <v>7438.22</v>
          </cell>
          <cell r="C2729">
            <v>779.32</v>
          </cell>
        </row>
        <row r="2730">
          <cell r="A2730" t="str">
            <v>TE4MP</v>
          </cell>
          <cell r="B2730">
            <v>11283.2</v>
          </cell>
          <cell r="C2730">
            <v>790.03</v>
          </cell>
        </row>
        <row r="2731">
          <cell r="A2731" t="str">
            <v>TE4MP-BIMETALICO</v>
          </cell>
          <cell r="B2731">
            <v>8945.24</v>
          </cell>
          <cell r="C2731">
            <v>679.67</v>
          </cell>
        </row>
        <row r="2732">
          <cell r="A2732" t="str">
            <v>TE4MPG</v>
          </cell>
          <cell r="B2732">
            <v>10726.54</v>
          </cell>
          <cell r="C2732">
            <v>1041.76</v>
          </cell>
        </row>
        <row r="2733">
          <cell r="A2733" t="str">
            <v>TE4MPG-BIMETALICO</v>
          </cell>
          <cell r="B2733">
            <v>8388.35</v>
          </cell>
          <cell r="C2733">
            <v>881.25</v>
          </cell>
        </row>
        <row r="2734">
          <cell r="A2734" t="str">
            <v>TE4P</v>
          </cell>
          <cell r="B2734">
            <v>10980.11</v>
          </cell>
          <cell r="C2734">
            <v>1067.55</v>
          </cell>
        </row>
        <row r="2735">
          <cell r="A2735" t="str">
            <v>TE4P-BIMETALICO</v>
          </cell>
          <cell r="B2735">
            <v>8643.48</v>
          </cell>
          <cell r="C2735">
            <v>814.59</v>
          </cell>
        </row>
        <row r="2736">
          <cell r="A2736" t="str">
            <v>TE4PG</v>
          </cell>
          <cell r="B2736">
            <v>10984.02</v>
          </cell>
          <cell r="C2736">
            <v>1048.3900000000001</v>
          </cell>
        </row>
        <row r="2737">
          <cell r="A2737" t="str">
            <v>TE4PG-BIMETALICO</v>
          </cell>
          <cell r="B2737">
            <v>8718.8700000000008</v>
          </cell>
          <cell r="C2737">
            <v>986.4</v>
          </cell>
        </row>
        <row r="2738">
          <cell r="A2738" t="str">
            <v>TE6</v>
          </cell>
          <cell r="B2738">
            <v>12642.23</v>
          </cell>
          <cell r="C2738">
            <v>1259.55</v>
          </cell>
        </row>
        <row r="2739">
          <cell r="A2739" t="str">
            <v>TE6-BIMETALICO</v>
          </cell>
          <cell r="B2739">
            <v>9403.9500000000007</v>
          </cell>
          <cell r="C2739">
            <v>1069.07</v>
          </cell>
        </row>
        <row r="2740">
          <cell r="A2740" t="str">
            <v>TE6G</v>
          </cell>
          <cell r="B2740">
            <v>12641.9</v>
          </cell>
          <cell r="C2740">
            <v>1201.76</v>
          </cell>
        </row>
        <row r="2741">
          <cell r="A2741" t="str">
            <v>TE6G-BIMETALICO</v>
          </cell>
          <cell r="B2741">
            <v>9403.61</v>
          </cell>
          <cell r="C2741">
            <v>985.89</v>
          </cell>
        </row>
        <row r="2742">
          <cell r="A2742" t="str">
            <v>TE6M</v>
          </cell>
          <cell r="B2742">
            <v>12464.65</v>
          </cell>
          <cell r="C2742">
            <v>1199.3900000000001</v>
          </cell>
        </row>
        <row r="2743">
          <cell r="A2743" t="str">
            <v>TE6M-BIMETALICO</v>
          </cell>
          <cell r="B2743">
            <v>9084.16</v>
          </cell>
          <cell r="C2743">
            <v>974.85</v>
          </cell>
        </row>
        <row r="2744">
          <cell r="A2744" t="str">
            <v>TE6MG</v>
          </cell>
          <cell r="B2744">
            <v>12464.32</v>
          </cell>
          <cell r="C2744">
            <v>1121.73</v>
          </cell>
        </row>
        <row r="2745">
          <cell r="A2745" t="str">
            <v>TE6MG-BIMETALICO</v>
          </cell>
          <cell r="B2745">
            <v>9083.82</v>
          </cell>
          <cell r="C2745">
            <v>959.53</v>
          </cell>
        </row>
        <row r="2746">
          <cell r="A2746" t="str">
            <v>TE6MP</v>
          </cell>
          <cell r="B2746">
            <v>13616.87</v>
          </cell>
          <cell r="C2746">
            <v>1289.9000000000001</v>
          </cell>
        </row>
        <row r="2747">
          <cell r="A2747" t="str">
            <v>TE6MP-BIMETALICO</v>
          </cell>
          <cell r="B2747">
            <v>10236.370000000001</v>
          </cell>
          <cell r="C2747">
            <v>993.38</v>
          </cell>
        </row>
        <row r="2748">
          <cell r="A2748" t="str">
            <v>TE6MPG</v>
          </cell>
          <cell r="B2748">
            <v>13603.85</v>
          </cell>
          <cell r="C2748">
            <v>1291.69</v>
          </cell>
        </row>
        <row r="2749">
          <cell r="A2749" t="str">
            <v>TE6MPG-BIMETALICO</v>
          </cell>
          <cell r="B2749">
            <v>10223.36</v>
          </cell>
          <cell r="C2749">
            <v>1096.9000000000001</v>
          </cell>
        </row>
        <row r="2750">
          <cell r="A2750" t="str">
            <v>TE6P</v>
          </cell>
          <cell r="B2750">
            <v>13794.44</v>
          </cell>
          <cell r="C2750">
            <v>1354.08</v>
          </cell>
        </row>
        <row r="2751">
          <cell r="A2751" t="str">
            <v>TE6P-BIMETALICO</v>
          </cell>
          <cell r="B2751">
            <v>10556.16</v>
          </cell>
          <cell r="C2751">
            <v>1001.85</v>
          </cell>
        </row>
        <row r="2752">
          <cell r="A2752" t="str">
            <v>TE6PG</v>
          </cell>
          <cell r="B2752">
            <v>13781.43</v>
          </cell>
          <cell r="C2752">
            <v>1373.63</v>
          </cell>
        </row>
        <row r="2753">
          <cell r="A2753" t="str">
            <v>TE6PG-BIMETALICO</v>
          </cell>
          <cell r="B2753">
            <v>10543.15</v>
          </cell>
          <cell r="C2753">
            <v>1154.1300000000001</v>
          </cell>
        </row>
        <row r="2754">
          <cell r="A2754" t="str">
            <v>TE8</v>
          </cell>
          <cell r="B2754">
            <v>15672.92</v>
          </cell>
          <cell r="C2754">
            <v>1183.22</v>
          </cell>
        </row>
        <row r="2755">
          <cell r="A2755" t="str">
            <v>TE8-BIMETALICO</v>
          </cell>
          <cell r="B2755">
            <v>10682.88</v>
          </cell>
          <cell r="C2755">
            <v>768.79</v>
          </cell>
        </row>
        <row r="2756">
          <cell r="A2756" t="str">
            <v>TE8G</v>
          </cell>
          <cell r="B2756">
            <v>15656.21</v>
          </cell>
          <cell r="C2756">
            <v>1193.02</v>
          </cell>
        </row>
        <row r="2757">
          <cell r="A2757" t="str">
            <v>TE8G-BIMETALICO</v>
          </cell>
          <cell r="B2757">
            <v>11201.28</v>
          </cell>
          <cell r="C2757">
            <v>887.05</v>
          </cell>
        </row>
        <row r="2758">
          <cell r="A2758" t="str">
            <v>TE8M</v>
          </cell>
          <cell r="B2758">
            <v>15456.56</v>
          </cell>
          <cell r="C2758">
            <v>1159.3900000000001</v>
          </cell>
        </row>
        <row r="2759">
          <cell r="A2759" t="str">
            <v>TE8M-BIMETALICO</v>
          </cell>
          <cell r="B2759">
            <v>10872.1</v>
          </cell>
          <cell r="C2759">
            <v>816.07</v>
          </cell>
        </row>
        <row r="2760">
          <cell r="A2760" t="str">
            <v>TE8MG</v>
          </cell>
          <cell r="B2760">
            <v>15439.85</v>
          </cell>
          <cell r="C2760">
            <v>1034.33</v>
          </cell>
        </row>
        <row r="2761">
          <cell r="A2761" t="str">
            <v>TE8MG-BIMETALICO</v>
          </cell>
          <cell r="B2761">
            <v>10855.39</v>
          </cell>
          <cell r="C2761">
            <v>972.71</v>
          </cell>
        </row>
        <row r="2762">
          <cell r="A2762" t="str">
            <v>TE8MPG-BIMETALICO</v>
          </cell>
          <cell r="B2762">
            <v>12844.46</v>
          </cell>
          <cell r="C2762">
            <v>1557.61</v>
          </cell>
        </row>
        <row r="2763">
          <cell r="A2763" t="str">
            <v>TE8PG-BIMETALICO</v>
          </cell>
          <cell r="B2763">
            <v>13190.16</v>
          </cell>
          <cell r="C2763">
            <v>1626.88</v>
          </cell>
        </row>
        <row r="2764">
          <cell r="A2764" t="str">
            <v>TER12BG</v>
          </cell>
          <cell r="B2764">
            <v>24191.14</v>
          </cell>
          <cell r="C2764">
            <v>355.08</v>
          </cell>
        </row>
        <row r="2765">
          <cell r="A2765" t="str">
            <v>TER12BG-BIMETALICO</v>
          </cell>
          <cell r="B2765">
            <v>23408.63</v>
          </cell>
          <cell r="C2765">
            <v>355.08</v>
          </cell>
        </row>
        <row r="2766">
          <cell r="A2766" t="str">
            <v>TER12MG</v>
          </cell>
          <cell r="B2766">
            <v>18746.57</v>
          </cell>
          <cell r="C2766">
            <v>355.08</v>
          </cell>
        </row>
        <row r="2767">
          <cell r="A2767" t="str">
            <v>TER12MG-BIMETALICO</v>
          </cell>
          <cell r="B2767">
            <v>17947.310000000001</v>
          </cell>
          <cell r="C2767">
            <v>355.08</v>
          </cell>
        </row>
        <row r="2768">
          <cell r="A2768" t="str">
            <v>TER12TG</v>
          </cell>
          <cell r="B2768">
            <v>28117.91</v>
          </cell>
          <cell r="C2768">
            <v>355.08</v>
          </cell>
        </row>
        <row r="2769">
          <cell r="A2769" t="str">
            <v>TER12TG-BIMETALICO</v>
          </cell>
          <cell r="B2769">
            <v>27352.15</v>
          </cell>
          <cell r="C2769">
            <v>355.08</v>
          </cell>
        </row>
        <row r="2770">
          <cell r="A2770" t="str">
            <v>TER4BG</v>
          </cell>
          <cell r="B2770">
            <v>12516.33</v>
          </cell>
          <cell r="C2770">
            <v>121.14</v>
          </cell>
        </row>
        <row r="2771">
          <cell r="A2771" t="str">
            <v>TER4BG-BIMETALICO</v>
          </cell>
          <cell r="B2771">
            <v>12086.82</v>
          </cell>
          <cell r="C2771">
            <v>121.14</v>
          </cell>
        </row>
        <row r="2772">
          <cell r="A2772" t="str">
            <v>TER4MG</v>
          </cell>
          <cell r="B2772">
            <v>10440</v>
          </cell>
          <cell r="C2772">
            <v>121.14</v>
          </cell>
        </row>
        <row r="2773">
          <cell r="A2773" t="str">
            <v>TER4MG-BIMETALICO</v>
          </cell>
          <cell r="B2773">
            <v>9993.75</v>
          </cell>
          <cell r="C2773">
            <v>121.14</v>
          </cell>
        </row>
        <row r="2774">
          <cell r="A2774" t="str">
            <v>TER6BG</v>
          </cell>
          <cell r="B2774">
            <v>14470.34</v>
          </cell>
          <cell r="C2774">
            <v>121.14</v>
          </cell>
        </row>
        <row r="2775">
          <cell r="A2775" t="str">
            <v>TER6BG-BIMETALICO</v>
          </cell>
          <cell r="B2775">
            <v>13988.83</v>
          </cell>
          <cell r="C2775">
            <v>211.63</v>
          </cell>
        </row>
        <row r="2776">
          <cell r="A2776" t="str">
            <v>TER6MG</v>
          </cell>
          <cell r="B2776">
            <v>11539.05</v>
          </cell>
          <cell r="C2776">
            <v>121.14</v>
          </cell>
        </row>
        <row r="2777">
          <cell r="A2777" t="str">
            <v>TER6MG-BIMETALICO</v>
          </cell>
          <cell r="B2777">
            <v>11040.79</v>
          </cell>
          <cell r="C2777">
            <v>121.14</v>
          </cell>
        </row>
        <row r="2778">
          <cell r="A2778" t="str">
            <v>TER6TG</v>
          </cell>
          <cell r="B2778">
            <v>16635.36</v>
          </cell>
          <cell r="C2778">
            <v>121.14</v>
          </cell>
        </row>
        <row r="2779">
          <cell r="A2779" t="str">
            <v>TER6TG-BIMETALICO</v>
          </cell>
          <cell r="B2779">
            <v>16170.59</v>
          </cell>
          <cell r="C2779">
            <v>121.14</v>
          </cell>
        </row>
        <row r="2780">
          <cell r="A2780" t="str">
            <v>TER8BG</v>
          </cell>
          <cell r="B2780">
            <v>17927.98</v>
          </cell>
          <cell r="C2780">
            <v>74.239999999999995</v>
          </cell>
        </row>
        <row r="2781">
          <cell r="A2781" t="str">
            <v>TER8BG-BIMETALICO</v>
          </cell>
          <cell r="B2781">
            <v>17256.47</v>
          </cell>
          <cell r="C2781">
            <v>74.239999999999995</v>
          </cell>
        </row>
        <row r="2782">
          <cell r="A2782" t="str">
            <v>TER8MG</v>
          </cell>
          <cell r="B2782">
            <v>14166.4</v>
          </cell>
          <cell r="C2782">
            <v>74.239999999999995</v>
          </cell>
        </row>
        <row r="2783">
          <cell r="A2783" t="str">
            <v>TER8MG-BIMETALICO</v>
          </cell>
          <cell r="B2783">
            <v>13478.15</v>
          </cell>
          <cell r="C2783">
            <v>74.239999999999995</v>
          </cell>
        </row>
        <row r="2784">
          <cell r="A2784" t="str">
            <v>TP306-100 BIMETALICO</v>
          </cell>
          <cell r="B2784">
            <v>22436.84</v>
          </cell>
          <cell r="C2784">
            <v>1909.9</v>
          </cell>
        </row>
        <row r="2785">
          <cell r="A2785" t="str">
            <v>TP306-125</v>
          </cell>
          <cell r="B2785">
            <v>29799.21</v>
          </cell>
          <cell r="C2785">
            <v>1504.23</v>
          </cell>
        </row>
        <row r="2786">
          <cell r="A2786" t="str">
            <v>TP306-125G</v>
          </cell>
          <cell r="B2786">
            <v>29765.91</v>
          </cell>
          <cell r="C2786">
            <v>1465.03</v>
          </cell>
        </row>
        <row r="2787">
          <cell r="A2787" t="str">
            <v>TP306G-100 BIMETALICO</v>
          </cell>
          <cell r="B2787">
            <v>22441.5</v>
          </cell>
          <cell r="C2787">
            <v>1629.32</v>
          </cell>
        </row>
        <row r="2788">
          <cell r="A2788" t="str">
            <v>TP312-100 BIMETALICO</v>
          </cell>
          <cell r="B2788">
            <v>27361.759999999998</v>
          </cell>
          <cell r="C2788">
            <v>1717.81</v>
          </cell>
        </row>
        <row r="2789">
          <cell r="A2789" t="str">
            <v>TP312-125</v>
          </cell>
          <cell r="B2789">
            <v>40812.980000000003</v>
          </cell>
          <cell r="C2789">
            <v>1915.8</v>
          </cell>
        </row>
        <row r="2790">
          <cell r="A2790" t="str">
            <v>TP312-125G</v>
          </cell>
          <cell r="B2790">
            <v>40772.43</v>
          </cell>
          <cell r="C2790">
            <v>1719.23</v>
          </cell>
        </row>
        <row r="2791">
          <cell r="A2791" t="str">
            <v>TP312EX-BIMETALICO</v>
          </cell>
          <cell r="B2791">
            <v>37863.599999999999</v>
          </cell>
          <cell r="C2791">
            <v>584.63</v>
          </cell>
        </row>
        <row r="2792">
          <cell r="A2792" t="str">
            <v>TP312G-100 BIMETALICO</v>
          </cell>
          <cell r="B2792">
            <v>27273.89</v>
          </cell>
          <cell r="C2792">
            <v>1685.22</v>
          </cell>
        </row>
        <row r="2793">
          <cell r="A2793" t="str">
            <v>TP318-100 BIMETALICO</v>
          </cell>
          <cell r="B2793">
            <v>32179.919999999998</v>
          </cell>
          <cell r="C2793">
            <v>1759.67</v>
          </cell>
        </row>
        <row r="2794">
          <cell r="A2794" t="str">
            <v>TP318-125</v>
          </cell>
          <cell r="B2794">
            <v>58323.99</v>
          </cell>
          <cell r="C2794">
            <v>1850.98</v>
          </cell>
        </row>
        <row r="2795">
          <cell r="A2795" t="str">
            <v>TP318-125G</v>
          </cell>
          <cell r="B2795">
            <v>55138.91</v>
          </cell>
          <cell r="C2795">
            <v>2162.14</v>
          </cell>
        </row>
        <row r="2796">
          <cell r="A2796" t="str">
            <v>TP318EX-BIMETALICO</v>
          </cell>
          <cell r="B2796">
            <v>42328.79</v>
          </cell>
          <cell r="C2796">
            <v>729.91</v>
          </cell>
        </row>
        <row r="2797">
          <cell r="A2797" t="str">
            <v>TP318G-100 BIMETALICO</v>
          </cell>
          <cell r="B2797">
            <v>34056.449999999997</v>
          </cell>
          <cell r="C2797">
            <v>1967.09</v>
          </cell>
        </row>
        <row r="2798">
          <cell r="A2798" t="str">
            <v>TPF4X4</v>
          </cell>
          <cell r="B2798">
            <v>74.7</v>
          </cell>
          <cell r="C2798">
            <v>7.69</v>
          </cell>
        </row>
        <row r="2799">
          <cell r="A2799" t="str">
            <v>TPF4X4-LH</v>
          </cell>
          <cell r="B2799">
            <v>77.11</v>
          </cell>
          <cell r="C2799">
            <v>9.11</v>
          </cell>
        </row>
        <row r="2800">
          <cell r="A2800" t="str">
            <v>TPL2X4</v>
          </cell>
          <cell r="B2800">
            <v>65.040000000000006</v>
          </cell>
          <cell r="C2800">
            <v>19.579999999999998</v>
          </cell>
        </row>
        <row r="2801">
          <cell r="A2801" t="str">
            <v>TPL2X4-LH</v>
          </cell>
          <cell r="B2801">
            <v>62.15</v>
          </cell>
          <cell r="C2801">
            <v>19.79</v>
          </cell>
        </row>
        <row r="2802">
          <cell r="A2802" t="str">
            <v>TPL4X4</v>
          </cell>
          <cell r="B2802">
            <v>91.58</v>
          </cell>
          <cell r="C2802">
            <v>20.57</v>
          </cell>
        </row>
        <row r="2803">
          <cell r="A2803" t="str">
            <v>TPL4X4-LH</v>
          </cell>
          <cell r="B2803">
            <v>96.41</v>
          </cell>
          <cell r="C2803">
            <v>21.71</v>
          </cell>
        </row>
        <row r="2804">
          <cell r="A2804" t="str">
            <v>TRP212</v>
          </cell>
          <cell r="B2804">
            <v>56102.64</v>
          </cell>
          <cell r="C2804">
            <v>1700.9</v>
          </cell>
        </row>
        <row r="2805">
          <cell r="A2805" t="str">
            <v>TRP212.v2</v>
          </cell>
          <cell r="B2805">
            <v>61200.15</v>
          </cell>
          <cell r="C2805">
            <v>763.52</v>
          </cell>
        </row>
        <row r="2806">
          <cell r="A2806" t="str">
            <v>TRP212G</v>
          </cell>
          <cell r="B2806">
            <v>56939.61</v>
          </cell>
          <cell r="C2806">
            <v>6401.85</v>
          </cell>
        </row>
        <row r="2807">
          <cell r="A2807" t="str">
            <v>TRP212G.v2</v>
          </cell>
          <cell r="B2807">
            <v>61873.17</v>
          </cell>
          <cell r="C2807">
            <v>835.47</v>
          </cell>
        </row>
        <row r="2808">
          <cell r="A2808" t="str">
            <v>TRP212T</v>
          </cell>
          <cell r="B2808">
            <v>71237.61</v>
          </cell>
          <cell r="C2808">
            <v>2824.89</v>
          </cell>
        </row>
        <row r="2809">
          <cell r="A2809" t="str">
            <v>TRP212T.v2</v>
          </cell>
          <cell r="B2809">
            <v>73701.509999999995</v>
          </cell>
          <cell r="C2809">
            <v>2332.09</v>
          </cell>
        </row>
        <row r="2810">
          <cell r="A2810" t="str">
            <v>TRP212TG</v>
          </cell>
          <cell r="B2810">
            <v>72361.87</v>
          </cell>
          <cell r="C2810">
            <v>7005.76</v>
          </cell>
        </row>
        <row r="2811">
          <cell r="A2811" t="str">
            <v>TRP212TG.v2</v>
          </cell>
          <cell r="B2811">
            <v>74582.350000000006</v>
          </cell>
          <cell r="C2811">
            <v>1356.11</v>
          </cell>
        </row>
        <row r="2812">
          <cell r="A2812" t="str">
            <v>TRP218</v>
          </cell>
          <cell r="B2812">
            <v>74286.210000000006</v>
          </cell>
          <cell r="C2812">
            <v>2151.94</v>
          </cell>
        </row>
        <row r="2813">
          <cell r="A2813" t="str">
            <v>TRP218.v2</v>
          </cell>
          <cell r="B2813">
            <v>77358.58</v>
          </cell>
          <cell r="C2813">
            <v>1409.83</v>
          </cell>
        </row>
        <row r="2814">
          <cell r="A2814" t="str">
            <v>TRP218G</v>
          </cell>
          <cell r="B2814">
            <v>75188.23</v>
          </cell>
          <cell r="C2814">
            <v>6485.47</v>
          </cell>
        </row>
        <row r="2815">
          <cell r="A2815" t="str">
            <v>TRP218G.v2</v>
          </cell>
          <cell r="B2815">
            <v>78096.83</v>
          </cell>
          <cell r="C2815">
            <v>1888.3</v>
          </cell>
        </row>
        <row r="2816">
          <cell r="A2816" t="str">
            <v>TRP218T</v>
          </cell>
          <cell r="B2816">
            <v>88227.96</v>
          </cell>
          <cell r="C2816">
            <v>3428.16</v>
          </cell>
        </row>
        <row r="2817">
          <cell r="A2817" t="str">
            <v>TRP218T.v2</v>
          </cell>
          <cell r="B2817">
            <v>90353.23</v>
          </cell>
          <cell r="C2817">
            <v>1169.05</v>
          </cell>
        </row>
        <row r="2818">
          <cell r="A2818" t="str">
            <v>TRP218TG</v>
          </cell>
          <cell r="B2818">
            <v>89418.63</v>
          </cell>
          <cell r="C2818">
            <v>7164.73</v>
          </cell>
        </row>
        <row r="2819">
          <cell r="A2819" t="str">
            <v>TRP218TG.v2</v>
          </cell>
          <cell r="B2819">
            <v>91299.29</v>
          </cell>
          <cell r="C2819">
            <v>1185.54</v>
          </cell>
        </row>
        <row r="2820">
          <cell r="A2820" t="str">
            <v>TRP224</v>
          </cell>
          <cell r="B2820">
            <v>90103.98</v>
          </cell>
          <cell r="C2820">
            <v>2457.17</v>
          </cell>
        </row>
        <row r="2821">
          <cell r="A2821" t="str">
            <v>TRP224.v2</v>
          </cell>
          <cell r="B2821">
            <v>94483.74</v>
          </cell>
          <cell r="C2821">
            <v>1761.06</v>
          </cell>
        </row>
        <row r="2822">
          <cell r="A2822" t="str">
            <v>TRP224G</v>
          </cell>
          <cell r="B2822">
            <v>91072.39</v>
          </cell>
          <cell r="C2822">
            <v>6673.61</v>
          </cell>
        </row>
        <row r="2823">
          <cell r="A2823" t="str">
            <v>TRP224G.v2</v>
          </cell>
          <cell r="B2823">
            <v>95287.11</v>
          </cell>
          <cell r="C2823">
            <v>2048.19</v>
          </cell>
        </row>
        <row r="2824">
          <cell r="A2824" t="str">
            <v>TRP224T</v>
          </cell>
          <cell r="B2824">
            <v>95392.05</v>
          </cell>
          <cell r="C2824">
            <v>2988.43</v>
          </cell>
        </row>
        <row r="2825">
          <cell r="A2825" t="str">
            <v>TRP224T.v2</v>
          </cell>
          <cell r="B2825">
            <v>106952.8</v>
          </cell>
          <cell r="C2825">
            <v>2004.23</v>
          </cell>
        </row>
        <row r="2826">
          <cell r="A2826" t="str">
            <v>TRP224TG</v>
          </cell>
          <cell r="B2826">
            <v>96649.13</v>
          </cell>
          <cell r="C2826">
            <v>7390.11</v>
          </cell>
        </row>
        <row r="2827">
          <cell r="A2827" t="str">
            <v>TRP224TG.v2</v>
          </cell>
          <cell r="B2827">
            <v>107963.99</v>
          </cell>
          <cell r="C2827">
            <v>2424.15</v>
          </cell>
        </row>
        <row r="2828">
          <cell r="A2828" t="str">
            <v>TRP230</v>
          </cell>
          <cell r="B2828">
            <v>105968.11</v>
          </cell>
          <cell r="C2828">
            <v>2059.27</v>
          </cell>
        </row>
        <row r="2829">
          <cell r="A2829" t="str">
            <v>TRP230.v2</v>
          </cell>
          <cell r="B2829">
            <v>111406</v>
          </cell>
          <cell r="C2829">
            <v>1135.48</v>
          </cell>
        </row>
        <row r="2830">
          <cell r="A2830" t="str">
            <v>TRP230G</v>
          </cell>
          <cell r="B2830">
            <v>107023.24</v>
          </cell>
          <cell r="C2830">
            <v>6246.34</v>
          </cell>
        </row>
        <row r="2831">
          <cell r="A2831" t="str">
            <v>TRP230G.v2</v>
          </cell>
          <cell r="B2831">
            <v>112274.6</v>
          </cell>
          <cell r="C2831">
            <v>684.34</v>
          </cell>
        </row>
        <row r="2832">
          <cell r="A2832" t="str">
            <v>TRP230T</v>
          </cell>
          <cell r="B2832">
            <v>123613.93</v>
          </cell>
          <cell r="C2832">
            <v>2726.25</v>
          </cell>
        </row>
        <row r="2833">
          <cell r="A2833" t="str">
            <v>TRP230T.v2</v>
          </cell>
          <cell r="B2833">
            <v>126302.51</v>
          </cell>
          <cell r="C2833">
            <v>1453.75</v>
          </cell>
        </row>
        <row r="2834">
          <cell r="A2834" t="str">
            <v>TRP230TG</v>
          </cell>
          <cell r="B2834">
            <v>124936.02</v>
          </cell>
          <cell r="C2834">
            <v>6937.78</v>
          </cell>
        </row>
        <row r="2835">
          <cell r="A2835" t="str">
            <v>TRP230TG.v2</v>
          </cell>
          <cell r="B2835">
            <v>127378.93</v>
          </cell>
          <cell r="C2835">
            <v>1518.43</v>
          </cell>
        </row>
        <row r="2836">
          <cell r="A2836" t="str">
            <v>TRP236</v>
          </cell>
          <cell r="B2836">
            <v>124679.23</v>
          </cell>
          <cell r="C2836">
            <v>3578.98</v>
          </cell>
        </row>
        <row r="2837">
          <cell r="A2837" t="str">
            <v>TRP236.v2</v>
          </cell>
          <cell r="B2837">
            <v>128319.91</v>
          </cell>
          <cell r="C2837">
            <v>1390.76</v>
          </cell>
        </row>
        <row r="2838">
          <cell r="A2838" t="str">
            <v>TRP236G</v>
          </cell>
          <cell r="B2838">
            <v>125800.77</v>
          </cell>
          <cell r="C2838">
            <v>7605.78</v>
          </cell>
        </row>
        <row r="2839">
          <cell r="A2839" t="str">
            <v>TRP236G.v2</v>
          </cell>
          <cell r="B2839">
            <v>129251.46</v>
          </cell>
          <cell r="C2839">
            <v>1629.65</v>
          </cell>
        </row>
        <row r="2840">
          <cell r="A2840" t="str">
            <v>TRP236T</v>
          </cell>
          <cell r="B2840">
            <v>139324.10999999999</v>
          </cell>
          <cell r="C2840">
            <v>4163.6099999999997</v>
          </cell>
        </row>
        <row r="2841">
          <cell r="A2841" t="str">
            <v>TRP236T.v2</v>
          </cell>
          <cell r="B2841">
            <v>142721.12</v>
          </cell>
          <cell r="C2841">
            <v>2377.52</v>
          </cell>
        </row>
        <row r="2842">
          <cell r="A2842" t="str">
            <v>TRP236TG</v>
          </cell>
          <cell r="B2842">
            <v>140712.60999999999</v>
          </cell>
          <cell r="C2842">
            <v>8455.7000000000007</v>
          </cell>
        </row>
        <row r="2843">
          <cell r="A2843" t="str">
            <v>TRP236TG.v2</v>
          </cell>
          <cell r="B2843">
            <v>143862.76999999999</v>
          </cell>
          <cell r="C2843">
            <v>2503.73</v>
          </cell>
        </row>
        <row r="2844">
          <cell r="A2844" t="str">
            <v>TRP306</v>
          </cell>
          <cell r="B2844">
            <v>40485.870000000003</v>
          </cell>
          <cell r="C2844">
            <v>2069.3000000000002</v>
          </cell>
        </row>
        <row r="2845">
          <cell r="A2845" t="str">
            <v>TRP306.v2</v>
          </cell>
          <cell r="B2845">
            <v>47026.13</v>
          </cell>
          <cell r="C2845">
            <v>1075.3399999999999</v>
          </cell>
        </row>
        <row r="2846">
          <cell r="A2846" t="str">
            <v>TRP306G</v>
          </cell>
          <cell r="B2846">
            <v>41191.58</v>
          </cell>
          <cell r="C2846">
            <v>1977.41</v>
          </cell>
        </row>
        <row r="2847">
          <cell r="A2847" t="str">
            <v>TRP306G.v2</v>
          </cell>
          <cell r="B2847">
            <v>47633.94</v>
          </cell>
          <cell r="C2847">
            <v>1069.27</v>
          </cell>
        </row>
        <row r="2848">
          <cell r="A2848" t="str">
            <v>TRP312</v>
          </cell>
          <cell r="B2848">
            <v>61935.58</v>
          </cell>
          <cell r="C2848">
            <v>2093.4899999999998</v>
          </cell>
        </row>
        <row r="2849">
          <cell r="A2849" t="str">
            <v>TRP312.v2</v>
          </cell>
          <cell r="B2849">
            <v>65575.09</v>
          </cell>
          <cell r="C2849">
            <v>971.93</v>
          </cell>
        </row>
        <row r="2850">
          <cell r="A2850" t="str">
            <v>TRP312G</v>
          </cell>
          <cell r="B2850">
            <v>62772.55</v>
          </cell>
          <cell r="C2850">
            <v>6390.55</v>
          </cell>
        </row>
        <row r="2851">
          <cell r="A2851" t="str">
            <v>TRP312G-BM</v>
          </cell>
          <cell r="B2851">
            <v>40891.46</v>
          </cell>
          <cell r="C2851">
            <v>6319.71</v>
          </cell>
        </row>
        <row r="2852">
          <cell r="A2852" t="str">
            <v>TRP312G-BM.v2</v>
          </cell>
          <cell r="B2852">
            <v>44325.96</v>
          </cell>
          <cell r="C2852">
            <v>1587.42</v>
          </cell>
        </row>
        <row r="2853">
          <cell r="A2853" t="str">
            <v>TRP312G.v2</v>
          </cell>
          <cell r="B2853">
            <v>66248.11</v>
          </cell>
          <cell r="C2853">
            <v>1040.33</v>
          </cell>
        </row>
        <row r="2854">
          <cell r="A2854" t="str">
            <v>TRP312T</v>
          </cell>
          <cell r="B2854">
            <v>75607.27</v>
          </cell>
          <cell r="C2854">
            <v>2765.52</v>
          </cell>
        </row>
        <row r="2855">
          <cell r="A2855" t="str">
            <v>TRP312T-BM</v>
          </cell>
          <cell r="B2855">
            <v>52014.98</v>
          </cell>
          <cell r="C2855">
            <v>2416.2199999999998</v>
          </cell>
        </row>
        <row r="2856">
          <cell r="A2856" t="str">
            <v>TRP312T-BM.v2</v>
          </cell>
          <cell r="B2856">
            <v>56154.3</v>
          </cell>
          <cell r="C2856">
            <v>1993.55</v>
          </cell>
        </row>
        <row r="2857">
          <cell r="A2857" t="str">
            <v>TRP312T.v2</v>
          </cell>
          <cell r="B2857">
            <v>78076.45</v>
          </cell>
          <cell r="C2857">
            <v>2388.12</v>
          </cell>
        </row>
        <row r="2858">
          <cell r="A2858" t="str">
            <v>TRP312TG</v>
          </cell>
          <cell r="B2858">
            <v>76731.53</v>
          </cell>
          <cell r="C2858">
            <v>6731.65</v>
          </cell>
        </row>
        <row r="2859">
          <cell r="A2859" t="str">
            <v>TRP312TG-BM</v>
          </cell>
          <cell r="B2859">
            <v>54850.44</v>
          </cell>
          <cell r="C2859">
            <v>7019.5</v>
          </cell>
        </row>
        <row r="2860">
          <cell r="A2860" t="str">
            <v>TRP312TG-BM.v2</v>
          </cell>
          <cell r="B2860">
            <v>57035.14</v>
          </cell>
          <cell r="C2860">
            <v>1975.5</v>
          </cell>
        </row>
        <row r="2861">
          <cell r="A2861" t="str">
            <v>TRP312TG.v2</v>
          </cell>
          <cell r="B2861">
            <v>78957.279999999999</v>
          </cell>
          <cell r="C2861">
            <v>1278.8800000000001</v>
          </cell>
        </row>
        <row r="2862">
          <cell r="A2862" t="str">
            <v>TRP318</v>
          </cell>
          <cell r="B2862">
            <v>80539.5</v>
          </cell>
          <cell r="C2862">
            <v>2445.36</v>
          </cell>
        </row>
        <row r="2863">
          <cell r="A2863" t="str">
            <v>TRP318.v2</v>
          </cell>
          <cell r="B2863">
            <v>84265.53</v>
          </cell>
          <cell r="C2863">
            <v>1438.16</v>
          </cell>
        </row>
        <row r="2864">
          <cell r="A2864" t="str">
            <v>TRP318G</v>
          </cell>
          <cell r="B2864">
            <v>81441.52</v>
          </cell>
          <cell r="C2864">
            <v>6711.62</v>
          </cell>
        </row>
        <row r="2865">
          <cell r="A2865" t="str">
            <v>TRP318G-BM</v>
          </cell>
          <cell r="B2865">
            <v>49897.08</v>
          </cell>
          <cell r="C2865">
            <v>6824.13</v>
          </cell>
        </row>
        <row r="2866">
          <cell r="A2866" t="str">
            <v>TRP318G-BM.v2</v>
          </cell>
          <cell r="B2866">
            <v>53480.45</v>
          </cell>
          <cell r="C2866">
            <v>2083.79</v>
          </cell>
        </row>
        <row r="2867">
          <cell r="A2867" t="str">
            <v>TRP318G.v2</v>
          </cell>
          <cell r="B2867">
            <v>85003.78</v>
          </cell>
          <cell r="C2867">
            <v>1296.6400000000001</v>
          </cell>
        </row>
        <row r="2868">
          <cell r="A2868" t="str">
            <v>TRP318T</v>
          </cell>
          <cell r="B2868">
            <v>94507.21</v>
          </cell>
          <cell r="C2868">
            <v>3461.64</v>
          </cell>
        </row>
        <row r="2869">
          <cell r="A2869" t="str">
            <v>TRP318T-BM</v>
          </cell>
          <cell r="B2869">
            <v>62962.77</v>
          </cell>
          <cell r="C2869">
            <v>3297.06</v>
          </cell>
        </row>
        <row r="2870">
          <cell r="A2870" t="str">
            <v>TRP318T-BM.v2</v>
          </cell>
          <cell r="B2870">
            <v>65736.84</v>
          </cell>
          <cell r="C2870">
            <v>1987.02</v>
          </cell>
        </row>
        <row r="2871">
          <cell r="A2871" t="str">
            <v>TRP318T.v2</v>
          </cell>
          <cell r="B2871">
            <v>97260.18</v>
          </cell>
          <cell r="C2871">
            <v>1189.97</v>
          </cell>
        </row>
        <row r="2872">
          <cell r="A2872" t="str">
            <v>TRP318TG</v>
          </cell>
          <cell r="B2872">
            <v>95697.87</v>
          </cell>
          <cell r="C2872">
            <v>7317.32</v>
          </cell>
        </row>
        <row r="2873">
          <cell r="A2873" t="str">
            <v>TRP318TG-BM</v>
          </cell>
          <cell r="B2873">
            <v>64153.43</v>
          </cell>
          <cell r="C2873">
            <v>7523.99</v>
          </cell>
        </row>
        <row r="2874">
          <cell r="A2874" t="str">
            <v>TRP318TG-BM.v2</v>
          </cell>
          <cell r="B2874">
            <v>66682.91</v>
          </cell>
          <cell r="C2874">
            <v>2221.96</v>
          </cell>
        </row>
        <row r="2875">
          <cell r="A2875" t="str">
            <v>TRP318TG.v2</v>
          </cell>
          <cell r="B2875">
            <v>98206.24</v>
          </cell>
          <cell r="C2875">
            <v>1360.07</v>
          </cell>
        </row>
        <row r="2876">
          <cell r="A2876" t="str">
            <v>TRP324</v>
          </cell>
          <cell r="B2876">
            <v>99954.11</v>
          </cell>
          <cell r="C2876">
            <v>2850.14</v>
          </cell>
        </row>
        <row r="2877">
          <cell r="A2877" t="str">
            <v>TRP324.v2</v>
          </cell>
          <cell r="B2877">
            <v>104117.1</v>
          </cell>
          <cell r="C2877">
            <v>1941.09</v>
          </cell>
        </row>
        <row r="2878">
          <cell r="A2878" t="str">
            <v>TRP324G</v>
          </cell>
          <cell r="B2878">
            <v>100922.53</v>
          </cell>
          <cell r="C2878">
            <v>6892.31</v>
          </cell>
        </row>
        <row r="2879">
          <cell r="A2879" t="str">
            <v>TRP324G-BM</v>
          </cell>
          <cell r="B2879">
            <v>58255.02</v>
          </cell>
          <cell r="C2879">
            <v>6733.26</v>
          </cell>
        </row>
        <row r="2880">
          <cell r="A2880" t="str">
            <v>TRP324G-BM.v2</v>
          </cell>
          <cell r="B2880">
            <v>62252.1</v>
          </cell>
          <cell r="C2880">
            <v>2646.14</v>
          </cell>
        </row>
        <row r="2881">
          <cell r="A2881" t="str">
            <v>TRP324G.v2</v>
          </cell>
          <cell r="B2881">
            <v>104920.48</v>
          </cell>
          <cell r="C2881">
            <v>1869.45</v>
          </cell>
        </row>
        <row r="2882">
          <cell r="A2882" t="str">
            <v>TRP324T</v>
          </cell>
          <cell r="B2882">
            <v>105072.44</v>
          </cell>
          <cell r="C2882">
            <v>3539.41</v>
          </cell>
        </row>
        <row r="2883">
          <cell r="A2883" t="str">
            <v>TRP324T-BM</v>
          </cell>
          <cell r="B2883">
            <v>62404.93</v>
          </cell>
          <cell r="C2883">
            <v>2755.36</v>
          </cell>
        </row>
        <row r="2884">
          <cell r="A2884" t="str">
            <v>TRP324T-BM.v2</v>
          </cell>
          <cell r="B2884">
            <v>73917.78</v>
          </cell>
          <cell r="C2884">
            <v>2445.6799999999998</v>
          </cell>
        </row>
        <row r="2885">
          <cell r="A2885" t="str">
            <v>TRP324T.v2</v>
          </cell>
          <cell r="B2885">
            <v>116586.16</v>
          </cell>
          <cell r="C2885">
            <v>2402.33</v>
          </cell>
        </row>
        <row r="2886">
          <cell r="A2886" t="str">
            <v>TRP324TG</v>
          </cell>
          <cell r="B2886">
            <v>106329.52</v>
          </cell>
          <cell r="C2886">
            <v>7569.93</v>
          </cell>
        </row>
        <row r="2887">
          <cell r="A2887" t="str">
            <v>TRP324TG-BM</v>
          </cell>
          <cell r="B2887">
            <v>63662.01</v>
          </cell>
          <cell r="C2887">
            <v>7772.76</v>
          </cell>
        </row>
        <row r="2888">
          <cell r="A2888" t="str">
            <v>TRP324TG-BM.v2</v>
          </cell>
          <cell r="B2888">
            <v>74928.97</v>
          </cell>
          <cell r="C2888">
            <v>2470.2600000000002</v>
          </cell>
        </row>
        <row r="2889">
          <cell r="A2889" t="str">
            <v>TRP324TG.v2</v>
          </cell>
          <cell r="B2889">
            <v>117597.35</v>
          </cell>
          <cell r="C2889">
            <v>2232.4899999999998</v>
          </cell>
        </row>
        <row r="2890">
          <cell r="A2890" t="str">
            <v>TRP330</v>
          </cell>
          <cell r="B2890">
            <v>120185.12</v>
          </cell>
          <cell r="C2890">
            <v>2948.41</v>
          </cell>
        </row>
        <row r="2891">
          <cell r="A2891" t="str">
            <v>TRP330.v2</v>
          </cell>
          <cell r="B2891">
            <v>123602.22</v>
          </cell>
          <cell r="C2891">
            <v>1681.7</v>
          </cell>
        </row>
        <row r="2892">
          <cell r="A2892" t="str">
            <v>TRP330G</v>
          </cell>
          <cell r="B2892">
            <v>121240.25</v>
          </cell>
          <cell r="C2892">
            <v>7224.29</v>
          </cell>
        </row>
        <row r="2893">
          <cell r="A2893" t="str">
            <v>TRP330G-BM</v>
          </cell>
          <cell r="B2893">
            <v>59420.81</v>
          </cell>
          <cell r="C2893">
            <v>11113.38</v>
          </cell>
        </row>
        <row r="2894">
          <cell r="A2894" t="str">
            <v>TRP330G-BM.v2</v>
          </cell>
          <cell r="B2894">
            <v>62651.68</v>
          </cell>
          <cell r="C2894">
            <v>764.26</v>
          </cell>
        </row>
        <row r="2895">
          <cell r="A2895" t="str">
            <v>TRP330G.v2</v>
          </cell>
          <cell r="B2895">
            <v>124470.82</v>
          </cell>
          <cell r="C2895">
            <v>1739.67</v>
          </cell>
        </row>
        <row r="2896">
          <cell r="A2896" t="str">
            <v>TRP330T</v>
          </cell>
          <cell r="B2896">
            <v>135202.51999999999</v>
          </cell>
          <cell r="C2896">
            <v>3402.52</v>
          </cell>
        </row>
        <row r="2897">
          <cell r="A2897" t="str">
            <v>TRP330T.v2</v>
          </cell>
          <cell r="B2897">
            <v>138498.73000000001</v>
          </cell>
          <cell r="C2897">
            <v>2088.79</v>
          </cell>
        </row>
        <row r="2898">
          <cell r="A2898" t="str">
            <v>TRP330TG</v>
          </cell>
          <cell r="B2898">
            <v>136524.6</v>
          </cell>
          <cell r="C2898">
            <v>7621.55</v>
          </cell>
        </row>
        <row r="2899">
          <cell r="A2899" t="str">
            <v>TRP330TG-BM</v>
          </cell>
          <cell r="B2899">
            <v>74705.16</v>
          </cell>
          <cell r="C2899">
            <v>11694.84</v>
          </cell>
        </row>
        <row r="2900">
          <cell r="A2900" t="str">
            <v>TRP330TG-BM.v2</v>
          </cell>
          <cell r="B2900">
            <v>77756.009999999995</v>
          </cell>
          <cell r="C2900">
            <v>1527.19</v>
          </cell>
        </row>
        <row r="2901">
          <cell r="A2901" t="str">
            <v>TRP330TG.v2</v>
          </cell>
          <cell r="B2901">
            <v>139575.14000000001</v>
          </cell>
          <cell r="C2901">
            <v>1974.44</v>
          </cell>
        </row>
        <row r="2902">
          <cell r="A2902" t="str">
            <v>TRP336</v>
          </cell>
          <cell r="B2902">
            <v>139692.1</v>
          </cell>
          <cell r="C2902">
            <v>3665.93</v>
          </cell>
        </row>
        <row r="2903">
          <cell r="A2903" t="str">
            <v>TRP336.v2</v>
          </cell>
          <cell r="B2903">
            <v>143267.76</v>
          </cell>
          <cell r="C2903">
            <v>2210.6999999999998</v>
          </cell>
        </row>
        <row r="2904">
          <cell r="A2904" t="str">
            <v>TRP336G</v>
          </cell>
          <cell r="B2904">
            <v>140771.03</v>
          </cell>
          <cell r="C2904">
            <v>7561.91</v>
          </cell>
        </row>
        <row r="2905">
          <cell r="A2905" t="str">
            <v>TRP336G-BM</v>
          </cell>
          <cell r="B2905">
            <v>76519.41</v>
          </cell>
          <cell r="C2905">
            <v>7722.66</v>
          </cell>
        </row>
        <row r="2906">
          <cell r="A2906" t="str">
            <v>TRP336G-BM.v2</v>
          </cell>
          <cell r="B2906">
            <v>80048.990000000005</v>
          </cell>
          <cell r="C2906">
            <v>2884.89</v>
          </cell>
        </row>
        <row r="2907">
          <cell r="A2907" t="str">
            <v>TRP336G.v2</v>
          </cell>
          <cell r="B2907">
            <v>144199.31</v>
          </cell>
          <cell r="C2907">
            <v>1743.38</v>
          </cell>
        </row>
        <row r="2908">
          <cell r="A2908" t="str">
            <v>TRP336T</v>
          </cell>
          <cell r="B2908">
            <v>154336.97</v>
          </cell>
          <cell r="C2908">
            <v>4491.3900000000003</v>
          </cell>
        </row>
        <row r="2909">
          <cell r="A2909" t="str">
            <v>TRP336T-BM</v>
          </cell>
          <cell r="B2909">
            <v>90058.75</v>
          </cell>
          <cell r="C2909">
            <v>4074.74</v>
          </cell>
        </row>
        <row r="2910">
          <cell r="A2910" t="str">
            <v>TRP336T-BM.v2</v>
          </cell>
          <cell r="B2910">
            <v>93518.64</v>
          </cell>
          <cell r="C2910">
            <v>3499.14</v>
          </cell>
        </row>
        <row r="2911">
          <cell r="A2911" t="str">
            <v>TRP336T.v2</v>
          </cell>
          <cell r="B2911">
            <v>157668.96</v>
          </cell>
          <cell r="C2911">
            <v>3142.92</v>
          </cell>
        </row>
        <row r="2912">
          <cell r="A2912" t="str">
            <v>TRP336TG</v>
          </cell>
          <cell r="B2912">
            <v>155725.47</v>
          </cell>
          <cell r="C2912">
            <v>9184.11</v>
          </cell>
        </row>
        <row r="2913">
          <cell r="A2913" t="str">
            <v>TRP336TG-BM</v>
          </cell>
          <cell r="B2913">
            <v>91575.06</v>
          </cell>
          <cell r="C2913">
            <v>8673.58</v>
          </cell>
        </row>
        <row r="2914">
          <cell r="A2914" t="str">
            <v>TRP336TG-BM.v2</v>
          </cell>
          <cell r="B2914">
            <v>94660.29</v>
          </cell>
          <cell r="C2914">
            <v>3974.31</v>
          </cell>
        </row>
        <row r="2915">
          <cell r="A2915" t="str">
            <v>TRP336TG.v2</v>
          </cell>
          <cell r="B2915">
            <v>158810.60999999999</v>
          </cell>
          <cell r="C2915">
            <v>2930.06</v>
          </cell>
        </row>
        <row r="2916">
          <cell r="A2916" t="str">
            <v>TRP342</v>
          </cell>
          <cell r="B2916">
            <v>150708.57</v>
          </cell>
          <cell r="C2916">
            <v>3953.93</v>
          </cell>
        </row>
        <row r="2917">
          <cell r="A2917" t="str">
            <v>TRP342.v2</v>
          </cell>
          <cell r="B2917">
            <v>162634.98000000001</v>
          </cell>
          <cell r="C2917">
            <v>1763.76</v>
          </cell>
        </row>
        <row r="2918">
          <cell r="A2918" t="str">
            <v>TRP342G</v>
          </cell>
          <cell r="B2918">
            <v>151896.51999999999</v>
          </cell>
          <cell r="C2918">
            <v>8243.17</v>
          </cell>
        </row>
        <row r="2919">
          <cell r="A2919" t="str">
            <v>TRP342G-BM</v>
          </cell>
          <cell r="B2919">
            <v>65667.759999999995</v>
          </cell>
          <cell r="C2919">
            <v>6260.94</v>
          </cell>
        </row>
        <row r="2920">
          <cell r="A2920" t="str">
            <v>TRP342G-BM.v2</v>
          </cell>
          <cell r="B2920">
            <v>77527.77</v>
          </cell>
          <cell r="C2920">
            <v>1499.39</v>
          </cell>
        </row>
        <row r="2921">
          <cell r="A2921" t="str">
            <v>TRP342G.v2</v>
          </cell>
          <cell r="B2921">
            <v>163631.66</v>
          </cell>
          <cell r="C2921">
            <v>2003.77</v>
          </cell>
        </row>
        <row r="2922">
          <cell r="A2922" t="str">
            <v>TRP342T</v>
          </cell>
          <cell r="B2922">
            <v>173057.75</v>
          </cell>
          <cell r="C2922">
            <v>4724.13</v>
          </cell>
        </row>
        <row r="2923">
          <cell r="A2923" t="str">
            <v>TRP342T.v2</v>
          </cell>
          <cell r="B2923">
            <v>177062.07</v>
          </cell>
          <cell r="C2923">
            <v>1609.15</v>
          </cell>
        </row>
        <row r="2924">
          <cell r="A2924" t="str">
            <v>TRP342TG</v>
          </cell>
          <cell r="B2924">
            <v>174499.09</v>
          </cell>
          <cell r="C2924">
            <v>9084.8799999999992</v>
          </cell>
        </row>
        <row r="2925">
          <cell r="A2925" t="str">
            <v>TRP342TG-BM</v>
          </cell>
          <cell r="B2925">
            <v>88270.33</v>
          </cell>
          <cell r="C2925">
            <v>7852.52</v>
          </cell>
        </row>
        <row r="2926">
          <cell r="A2926" t="str">
            <v>TRP342TG-BM.v2</v>
          </cell>
          <cell r="B2926">
            <v>92162.78</v>
          </cell>
          <cell r="C2926">
            <v>1929.47</v>
          </cell>
        </row>
        <row r="2927">
          <cell r="A2927" t="str">
            <v>TRP342TG.v2</v>
          </cell>
          <cell r="B2927">
            <v>178266.66</v>
          </cell>
          <cell r="C2927">
            <v>2388.5500000000002</v>
          </cell>
        </row>
        <row r="2928">
          <cell r="A2928" t="str">
            <v>TRP342TGEX-BM</v>
          </cell>
          <cell r="B2928">
            <v>106128.94</v>
          </cell>
          <cell r="C2928">
            <v>1154.07</v>
          </cell>
        </row>
        <row r="2929">
          <cell r="A2929" t="str">
            <v>TTP12</v>
          </cell>
          <cell r="B2929">
            <v>23092.76</v>
          </cell>
          <cell r="C2929">
            <v>885.23</v>
          </cell>
        </row>
        <row r="2930">
          <cell r="A2930" t="str">
            <v>TTP12-B</v>
          </cell>
          <cell r="B2930">
            <v>23034.3</v>
          </cell>
          <cell r="C2930">
            <v>694.28</v>
          </cell>
        </row>
        <row r="2931">
          <cell r="A2931" t="str">
            <v>TTP12-BIMETALICO</v>
          </cell>
          <cell r="B2931">
            <v>14963.95</v>
          </cell>
          <cell r="C2931">
            <v>1011.14</v>
          </cell>
        </row>
        <row r="2932">
          <cell r="A2932" t="str">
            <v>TTP12G</v>
          </cell>
          <cell r="B2932">
            <v>23071.759999999998</v>
          </cell>
          <cell r="C2932">
            <v>765.65</v>
          </cell>
        </row>
        <row r="2933">
          <cell r="A2933" t="str">
            <v>TTP12G-B</v>
          </cell>
          <cell r="B2933">
            <v>23013.31</v>
          </cell>
          <cell r="C2933">
            <v>641.73</v>
          </cell>
        </row>
        <row r="2934">
          <cell r="A2934" t="str">
            <v>TTP12G-BIMETALICO</v>
          </cell>
          <cell r="B2934">
            <v>14942.96</v>
          </cell>
          <cell r="C2934">
            <v>873.49</v>
          </cell>
        </row>
        <row r="2935">
          <cell r="A2935" t="str">
            <v>TTP12M</v>
          </cell>
          <cell r="B2935">
            <v>18922.8</v>
          </cell>
          <cell r="C2935">
            <v>751.66</v>
          </cell>
        </row>
        <row r="2936">
          <cell r="A2936" t="str">
            <v>TTP12M-B</v>
          </cell>
          <cell r="B2936">
            <v>18815.71</v>
          </cell>
          <cell r="C2936">
            <v>481.1</v>
          </cell>
        </row>
        <row r="2937">
          <cell r="A2937" t="str">
            <v>TTP12M-BIMETALICO</v>
          </cell>
          <cell r="B2937">
            <v>13906.69</v>
          </cell>
          <cell r="C2937">
            <v>801.55</v>
          </cell>
        </row>
        <row r="2938">
          <cell r="A2938" t="str">
            <v>TTP12MG</v>
          </cell>
          <cell r="B2938">
            <v>18875.86</v>
          </cell>
          <cell r="C2938">
            <v>789.51</v>
          </cell>
        </row>
        <row r="2939">
          <cell r="A2939" t="str">
            <v>TTP12MG-B</v>
          </cell>
          <cell r="B2939">
            <v>18768.77</v>
          </cell>
          <cell r="C2939">
            <v>481.1</v>
          </cell>
        </row>
        <row r="2940">
          <cell r="A2940" t="str">
            <v>TTP12MG-BIMETALICO</v>
          </cell>
          <cell r="B2940">
            <v>13859.75</v>
          </cell>
          <cell r="C2940">
            <v>834.13</v>
          </cell>
        </row>
        <row r="2941">
          <cell r="A2941" t="str">
            <v>TTP4</v>
          </cell>
          <cell r="B2941">
            <v>9419.26</v>
          </cell>
          <cell r="C2941">
            <v>1028.3900000000001</v>
          </cell>
        </row>
        <row r="2942">
          <cell r="A2942" t="str">
            <v>TTP4-B</v>
          </cell>
          <cell r="B2942">
            <v>9517.84</v>
          </cell>
          <cell r="C2942">
            <v>833.33</v>
          </cell>
        </row>
        <row r="2943">
          <cell r="A2943" t="str">
            <v>TTP4-BIMETALICO</v>
          </cell>
          <cell r="B2943">
            <v>7264.12</v>
          </cell>
          <cell r="C2943">
            <v>796.79</v>
          </cell>
        </row>
        <row r="2944">
          <cell r="A2944" t="str">
            <v>TTP4G</v>
          </cell>
          <cell r="B2944">
            <v>10136.17</v>
          </cell>
          <cell r="C2944">
            <v>933.55</v>
          </cell>
        </row>
        <row r="2945">
          <cell r="A2945" t="str">
            <v>TTP4G-B</v>
          </cell>
          <cell r="B2945">
            <v>10219.280000000001</v>
          </cell>
          <cell r="C2945">
            <v>785.39</v>
          </cell>
        </row>
        <row r="2946">
          <cell r="A2946" t="str">
            <v>TTP4G-BIMETALICO</v>
          </cell>
          <cell r="B2946">
            <v>7871.02</v>
          </cell>
          <cell r="C2946">
            <v>859.56</v>
          </cell>
        </row>
        <row r="2947">
          <cell r="A2947" t="str">
            <v>TTP4M</v>
          </cell>
          <cell r="B2947">
            <v>9242.1299999999992</v>
          </cell>
          <cell r="C2947">
            <v>859.95</v>
          </cell>
        </row>
        <row r="2948">
          <cell r="A2948" t="str">
            <v>TTP4M-B</v>
          </cell>
          <cell r="B2948">
            <v>9230.7099999999991</v>
          </cell>
          <cell r="C2948">
            <v>791.55</v>
          </cell>
        </row>
        <row r="2949">
          <cell r="A2949" t="str">
            <v>TTP4M-BIMETALICO</v>
          </cell>
          <cell r="B2949">
            <v>6904.17</v>
          </cell>
          <cell r="C2949">
            <v>749.59</v>
          </cell>
        </row>
        <row r="2950">
          <cell r="A2950" t="str">
            <v>TTP4MB-BIMETALICO</v>
          </cell>
          <cell r="B2950">
            <v>6900.44</v>
          </cell>
          <cell r="C2950">
            <v>681.19</v>
          </cell>
        </row>
        <row r="2951">
          <cell r="A2951" t="str">
            <v>TTP4MG</v>
          </cell>
          <cell r="B2951">
            <v>9878.4599999999991</v>
          </cell>
          <cell r="C2951">
            <v>893.04</v>
          </cell>
        </row>
        <row r="2952">
          <cell r="A2952" t="str">
            <v>TTP4MG-B</v>
          </cell>
          <cell r="B2952">
            <v>9947.6200000000008</v>
          </cell>
          <cell r="C2952">
            <v>743.61</v>
          </cell>
        </row>
        <row r="2953">
          <cell r="A2953" t="str">
            <v>TTP4MG-BIMETALICO</v>
          </cell>
          <cell r="B2953">
            <v>7540.5</v>
          </cell>
          <cell r="C2953">
            <v>749.32</v>
          </cell>
        </row>
        <row r="2954">
          <cell r="A2954" t="str">
            <v>TTP6</v>
          </cell>
          <cell r="B2954">
            <v>12642.23</v>
          </cell>
          <cell r="C2954">
            <v>1210.44</v>
          </cell>
        </row>
        <row r="2955">
          <cell r="A2955" t="str">
            <v>TTP6-B</v>
          </cell>
          <cell r="B2955">
            <v>12450.63</v>
          </cell>
          <cell r="C2955">
            <v>1059.8599999999999</v>
          </cell>
        </row>
        <row r="2956">
          <cell r="A2956" t="str">
            <v>TTP6-BIMETALICO</v>
          </cell>
          <cell r="B2956">
            <v>9403.9500000000007</v>
          </cell>
          <cell r="C2956">
            <v>895.21</v>
          </cell>
        </row>
        <row r="2957">
          <cell r="A2957" t="str">
            <v>TTP6G</v>
          </cell>
          <cell r="B2957">
            <v>12616.59</v>
          </cell>
          <cell r="C2957">
            <v>1124.95</v>
          </cell>
        </row>
        <row r="2958">
          <cell r="A2958" t="str">
            <v>TTP6G-B</v>
          </cell>
          <cell r="B2958">
            <v>12610.03</v>
          </cell>
          <cell r="C2958">
            <v>999.29</v>
          </cell>
        </row>
        <row r="2959">
          <cell r="A2959" t="str">
            <v>TTP6G-BIMETALICO</v>
          </cell>
          <cell r="B2959">
            <v>9378.31</v>
          </cell>
          <cell r="C2959">
            <v>917.82</v>
          </cell>
        </row>
        <row r="2960">
          <cell r="A2960" t="str">
            <v>TTP6GB-BIMETALICO</v>
          </cell>
          <cell r="B2960">
            <v>9371.75</v>
          </cell>
          <cell r="C2960">
            <v>787.47</v>
          </cell>
        </row>
        <row r="2961">
          <cell r="A2961" t="str">
            <v>TTP6M</v>
          </cell>
          <cell r="B2961">
            <v>12305.56</v>
          </cell>
          <cell r="C2961">
            <v>1048.0899999999999</v>
          </cell>
        </row>
        <row r="2962">
          <cell r="A2962" t="str">
            <v>TTP6M-B</v>
          </cell>
          <cell r="B2962">
            <v>12273.05</v>
          </cell>
          <cell r="C2962">
            <v>1000.92</v>
          </cell>
        </row>
        <row r="2963">
          <cell r="A2963" t="str">
            <v>TTP6M-BIMETALICO</v>
          </cell>
          <cell r="B2963">
            <v>8925.07</v>
          </cell>
          <cell r="C2963">
            <v>886.74</v>
          </cell>
        </row>
        <row r="2964">
          <cell r="A2964" t="str">
            <v>TTP6MB-BIMETALICO</v>
          </cell>
          <cell r="B2964">
            <v>8892.56</v>
          </cell>
          <cell r="C2964">
            <v>839.57</v>
          </cell>
        </row>
        <row r="2965">
          <cell r="A2965" t="str">
            <v>TTP6MG</v>
          </cell>
          <cell r="B2965">
            <v>12443.23</v>
          </cell>
          <cell r="C2965">
            <v>1073.3599999999999</v>
          </cell>
        </row>
        <row r="2966">
          <cell r="A2966" t="str">
            <v>TTP6MG-B</v>
          </cell>
          <cell r="B2966">
            <v>12272.72</v>
          </cell>
          <cell r="C2966">
            <v>940.35</v>
          </cell>
        </row>
        <row r="2967">
          <cell r="A2967" t="str">
            <v>TTP6MG-BIMETALICO</v>
          </cell>
          <cell r="B2967">
            <v>9062.74</v>
          </cell>
          <cell r="C2967">
            <v>875.23</v>
          </cell>
        </row>
        <row r="2968">
          <cell r="A2968" t="str">
            <v>TTP6MGB-BIMETALICO</v>
          </cell>
          <cell r="B2968">
            <v>8892.23</v>
          </cell>
          <cell r="C2968">
            <v>779</v>
          </cell>
        </row>
        <row r="2969">
          <cell r="A2969" t="str">
            <v>TTP8</v>
          </cell>
          <cell r="B2969">
            <v>17391</v>
          </cell>
          <cell r="C2969">
            <v>842.36</v>
          </cell>
        </row>
        <row r="2970">
          <cell r="A2970" t="str">
            <v>TTP8-B</v>
          </cell>
          <cell r="B2970">
            <v>17430.27</v>
          </cell>
          <cell r="C2970">
            <v>677.43</v>
          </cell>
        </row>
        <row r="2971">
          <cell r="A2971" t="str">
            <v>TTP8-BIMETALICO</v>
          </cell>
          <cell r="B2971">
            <v>11914.94</v>
          </cell>
          <cell r="C2971">
            <v>791.81</v>
          </cell>
        </row>
        <row r="2972">
          <cell r="A2972" t="str">
            <v>TTP8G</v>
          </cell>
          <cell r="B2972">
            <v>17287.38</v>
          </cell>
          <cell r="C2972">
            <v>789.26</v>
          </cell>
        </row>
        <row r="2973">
          <cell r="A2973" t="str">
            <v>TTP8G-B</v>
          </cell>
          <cell r="B2973">
            <v>17432.32</v>
          </cell>
          <cell r="C2973">
            <v>635.48</v>
          </cell>
        </row>
        <row r="2974">
          <cell r="A2974" t="str">
            <v>TTP8G-BIMETALICO</v>
          </cell>
          <cell r="B2974">
            <v>11715.37</v>
          </cell>
          <cell r="C2974">
            <v>823.91</v>
          </cell>
        </row>
        <row r="2975">
          <cell r="A2975" t="str">
            <v>TTP8M</v>
          </cell>
          <cell r="B2975">
            <v>14682.34</v>
          </cell>
          <cell r="C2975">
            <v>719.51</v>
          </cell>
        </row>
        <row r="2976">
          <cell r="A2976" t="str">
            <v>TTP8M-B</v>
          </cell>
          <cell r="B2976">
            <v>14672.98</v>
          </cell>
          <cell r="C2976">
            <v>417.87</v>
          </cell>
        </row>
        <row r="2977">
          <cell r="A2977" t="str">
            <v>TTP8M-BIMETALICO</v>
          </cell>
          <cell r="B2977">
            <v>10782.53</v>
          </cell>
          <cell r="C2977">
            <v>690.32</v>
          </cell>
        </row>
        <row r="2978">
          <cell r="A2978" t="str">
            <v>TTP8MG</v>
          </cell>
          <cell r="B2978">
            <v>14552.77</v>
          </cell>
          <cell r="C2978">
            <v>748.48</v>
          </cell>
        </row>
        <row r="2979">
          <cell r="A2979" t="str">
            <v>TTP8MG-B</v>
          </cell>
          <cell r="B2979">
            <v>14675.03</v>
          </cell>
          <cell r="C2979">
            <v>417.87</v>
          </cell>
        </row>
        <row r="2980">
          <cell r="A2980" t="str">
            <v>TTP8MG-BIMETALICO</v>
          </cell>
          <cell r="B2980">
            <v>10652.97</v>
          </cell>
          <cell r="C2980">
            <v>698.92</v>
          </cell>
        </row>
        <row r="2981">
          <cell r="A2981" t="str">
            <v>TTP8MGB-BIMETALICO</v>
          </cell>
          <cell r="B2981">
            <v>11003.22</v>
          </cell>
          <cell r="C2981">
            <v>388.68</v>
          </cell>
        </row>
        <row r="2982">
          <cell r="A2982" t="str">
            <v>TTPR4BG</v>
          </cell>
          <cell r="B2982">
            <v>12800.11</v>
          </cell>
          <cell r="C2982">
            <v>178.46</v>
          </cell>
        </row>
        <row r="2983">
          <cell r="A2983" t="str">
            <v>TTPR4BG-BIM</v>
          </cell>
          <cell r="B2983">
            <v>12370.6</v>
          </cell>
          <cell r="C2983">
            <v>178.46</v>
          </cell>
        </row>
        <row r="2984">
          <cell r="A2984" t="str">
            <v>TTPR4MG</v>
          </cell>
          <cell r="B2984">
            <v>13689.04</v>
          </cell>
          <cell r="C2984">
            <v>275.77999999999997</v>
          </cell>
        </row>
        <row r="2985">
          <cell r="A2985" t="str">
            <v>TTPR4MG-BIM</v>
          </cell>
          <cell r="B2985">
            <v>10237.14</v>
          </cell>
          <cell r="C2985">
            <v>178.46</v>
          </cell>
        </row>
        <row r="2986">
          <cell r="A2986" t="str">
            <v>TTPR6BG</v>
          </cell>
          <cell r="B2986">
            <v>15136.36</v>
          </cell>
          <cell r="C2986">
            <v>178.46</v>
          </cell>
        </row>
        <row r="2987">
          <cell r="A2987" t="str">
            <v>TTPR6BG-BIM</v>
          </cell>
          <cell r="B2987">
            <v>14654.85</v>
          </cell>
          <cell r="C2987">
            <v>178.46</v>
          </cell>
        </row>
        <row r="2988">
          <cell r="A2988" t="str">
            <v>TTPR6MG</v>
          </cell>
          <cell r="B2988">
            <v>12205.06</v>
          </cell>
          <cell r="C2988">
            <v>178.46</v>
          </cell>
        </row>
        <row r="2989">
          <cell r="A2989" t="str">
            <v>TTPR6MG-BIM</v>
          </cell>
          <cell r="B2989">
            <v>12051.81</v>
          </cell>
          <cell r="C2989">
            <v>178.46</v>
          </cell>
        </row>
        <row r="2990">
          <cell r="A2990" t="str">
            <v>TTPR6TG</v>
          </cell>
          <cell r="B2990">
            <v>18948.37</v>
          </cell>
          <cell r="C2990">
            <v>178.46</v>
          </cell>
        </row>
        <row r="2991">
          <cell r="A2991" t="str">
            <v>TTPR6TG-BIM</v>
          </cell>
          <cell r="B2991">
            <v>16836.599999999999</v>
          </cell>
          <cell r="C2991">
            <v>178.46</v>
          </cell>
        </row>
        <row r="2992">
          <cell r="A2992" t="str">
            <v>VCU C-120</v>
          </cell>
          <cell r="B2992">
            <v>0</v>
          </cell>
          <cell r="C2992">
            <v>73.47</v>
          </cell>
        </row>
        <row r="2993">
          <cell r="A2993" t="str">
            <v>VCU C-150</v>
          </cell>
          <cell r="B2993">
            <v>0</v>
          </cell>
          <cell r="C2993">
            <v>91.91</v>
          </cell>
        </row>
        <row r="2994">
          <cell r="A2994" t="str">
            <v>VCU C-180</v>
          </cell>
          <cell r="B2994">
            <v>0</v>
          </cell>
          <cell r="C2994">
            <v>109.91</v>
          </cell>
        </row>
        <row r="2995">
          <cell r="A2995" t="str">
            <v>VCU C-240</v>
          </cell>
          <cell r="B2995">
            <v>0</v>
          </cell>
          <cell r="C2995">
            <v>83</v>
          </cell>
        </row>
        <row r="2996">
          <cell r="A2996" t="str">
            <v>VCU-E 120X1200</v>
          </cell>
          <cell r="B2996">
            <v>9215</v>
          </cell>
          <cell r="C2996">
            <v>79.239999999999995</v>
          </cell>
        </row>
        <row r="2997">
          <cell r="A2997" t="str">
            <v>VCU-E 120X1500</v>
          </cell>
          <cell r="B2997">
            <v>10379</v>
          </cell>
          <cell r="C2997">
            <v>51.83</v>
          </cell>
        </row>
        <row r="2998">
          <cell r="A2998" t="str">
            <v>VCU-E 120X1800</v>
          </cell>
          <cell r="B2998">
            <v>12125</v>
          </cell>
          <cell r="C2998">
            <v>64.17</v>
          </cell>
        </row>
        <row r="2999">
          <cell r="A2999" t="str">
            <v>VCU-E 120X2400</v>
          </cell>
          <cell r="B2999">
            <v>0</v>
          </cell>
          <cell r="C2999">
            <v>208.52</v>
          </cell>
        </row>
        <row r="3000">
          <cell r="A3000" t="str">
            <v>VCU-E 140X2400</v>
          </cell>
          <cell r="B3000">
            <v>33500</v>
          </cell>
          <cell r="C3000">
            <v>61.93</v>
          </cell>
        </row>
        <row r="3001">
          <cell r="A3001" t="str">
            <v>VCU-E 160X2400</v>
          </cell>
          <cell r="B3001">
            <v>0</v>
          </cell>
          <cell r="C3001">
            <v>0</v>
          </cell>
        </row>
        <row r="3002">
          <cell r="A3002" t="str">
            <v>VCU12-120</v>
          </cell>
          <cell r="B3002">
            <v>0</v>
          </cell>
          <cell r="C3002">
            <v>68.39</v>
          </cell>
        </row>
        <row r="3003">
          <cell r="A3003" t="str">
            <v>VCU12-150</v>
          </cell>
          <cell r="B3003">
            <v>0</v>
          </cell>
          <cell r="C3003">
            <v>80.319999999999993</v>
          </cell>
        </row>
        <row r="3004">
          <cell r="A3004" t="str">
            <v>VCU12-180</v>
          </cell>
          <cell r="B3004">
            <v>0</v>
          </cell>
          <cell r="C3004">
            <v>101.32</v>
          </cell>
        </row>
        <row r="3005">
          <cell r="A3005" t="str">
            <v>VCU12-240</v>
          </cell>
          <cell r="B3005">
            <v>0</v>
          </cell>
          <cell r="C3005">
            <v>82.9</v>
          </cell>
        </row>
        <row r="3006">
          <cell r="A3006" t="str">
            <v>VCU130 -180MT</v>
          </cell>
          <cell r="B3006">
            <v>0</v>
          </cell>
          <cell r="C3006">
            <v>0</v>
          </cell>
        </row>
        <row r="3007">
          <cell r="A3007" t="str">
            <v>VCU130-120MT</v>
          </cell>
          <cell r="B3007">
            <v>0</v>
          </cell>
          <cell r="C3007">
            <v>0</v>
          </cell>
        </row>
        <row r="3008">
          <cell r="A3008" t="str">
            <v>VCU130-150MT</v>
          </cell>
          <cell r="B3008">
            <v>0</v>
          </cell>
          <cell r="C3008">
            <v>0</v>
          </cell>
        </row>
        <row r="3009">
          <cell r="A3009" t="str">
            <v>VCU130-240MT</v>
          </cell>
          <cell r="B3009">
            <v>0</v>
          </cell>
          <cell r="C3009">
            <v>0</v>
          </cell>
        </row>
        <row r="3010">
          <cell r="A3010" t="str">
            <v>VCU142 - 120MT</v>
          </cell>
          <cell r="B3010">
            <v>0</v>
          </cell>
          <cell r="C3010">
            <v>0</v>
          </cell>
        </row>
        <row r="3011">
          <cell r="A3011" t="str">
            <v>VCU142 - 150MT</v>
          </cell>
          <cell r="B3011">
            <v>0</v>
          </cell>
          <cell r="C3011">
            <v>0</v>
          </cell>
        </row>
        <row r="3012">
          <cell r="A3012" t="str">
            <v>VCU142 - 180MT</v>
          </cell>
          <cell r="B3012">
            <v>0</v>
          </cell>
          <cell r="C3012">
            <v>0</v>
          </cell>
        </row>
        <row r="3013">
          <cell r="A3013" t="str">
            <v>VCU142 - 240MT</v>
          </cell>
          <cell r="B3013">
            <v>0</v>
          </cell>
          <cell r="C3013">
            <v>0</v>
          </cell>
        </row>
        <row r="3014">
          <cell r="A3014" t="str">
            <v>VCU150 - 120MT</v>
          </cell>
          <cell r="B3014">
            <v>0</v>
          </cell>
          <cell r="C3014">
            <v>0</v>
          </cell>
        </row>
        <row r="3015">
          <cell r="A3015" t="str">
            <v>VCU150 - 150MT</v>
          </cell>
          <cell r="B3015">
            <v>0</v>
          </cell>
          <cell r="C3015">
            <v>0</v>
          </cell>
        </row>
        <row r="3016">
          <cell r="A3016" t="str">
            <v>VCU150 - 180MT</v>
          </cell>
          <cell r="B3016">
            <v>0</v>
          </cell>
          <cell r="C3016">
            <v>0</v>
          </cell>
        </row>
        <row r="3017">
          <cell r="A3017" t="str">
            <v>VCU150 - 240MT</v>
          </cell>
          <cell r="B3017">
            <v>0</v>
          </cell>
          <cell r="C3017">
            <v>0</v>
          </cell>
        </row>
        <row r="3018">
          <cell r="A3018" t="str">
            <v>VCU159 - 120MT</v>
          </cell>
          <cell r="B3018">
            <v>0</v>
          </cell>
          <cell r="C3018">
            <v>0</v>
          </cell>
        </row>
        <row r="3019">
          <cell r="A3019" t="str">
            <v>VCU159 - 150MT</v>
          </cell>
          <cell r="B3019">
            <v>0</v>
          </cell>
          <cell r="C3019">
            <v>0</v>
          </cell>
        </row>
        <row r="3020">
          <cell r="A3020" t="str">
            <v>VCU159 - 180MT</v>
          </cell>
          <cell r="B3020">
            <v>0</v>
          </cell>
          <cell r="C3020">
            <v>0</v>
          </cell>
        </row>
        <row r="3021">
          <cell r="A3021" t="str">
            <v>VCU159 - 240MT</v>
          </cell>
          <cell r="B3021">
            <v>0</v>
          </cell>
          <cell r="C302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 2022"/>
      <sheetName val="Ene 2023"/>
      <sheetName val="Ago 2023"/>
      <sheetName val="Dic 2023"/>
      <sheetName val="Ene2024"/>
      <sheetName val="Mayo2024"/>
      <sheetName val="Ago 1 2024"/>
      <sheetName val="Ago 22 2024"/>
      <sheetName val="Ago 26 2024"/>
      <sheetName val="Sept 23 2024"/>
      <sheetName val="Oct 10 2024"/>
      <sheetName val="Nov 18 2024"/>
      <sheetName val="CUPROM OCT"/>
      <sheetName val="CTO SEPT"/>
      <sheetName val="CTO OCT"/>
      <sheetName val="CTO A NOV"/>
      <sheetName val="CTO A FEB2025"/>
      <sheetName val="LLEGADA NOV 21"/>
      <sheetName val="NOV2025"/>
      <sheetName val="DIC2025"/>
      <sheetName val="ENE2026"/>
      <sheetName val="FEB2026"/>
      <sheetName val="MAR2026"/>
      <sheetName val="PROMEDIO"/>
      <sheetName val="PROMEDIO AM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">
          <cell r="A2" t="str">
            <v>ITM120</v>
          </cell>
          <cell r="C2">
            <v>5145.9468164016371</v>
          </cell>
          <cell r="D2">
            <v>4931</v>
          </cell>
          <cell r="E2">
            <v>4944</v>
          </cell>
          <cell r="F2">
            <v>5006.9822721338787</v>
          </cell>
        </row>
        <row r="3">
          <cell r="A3" t="str">
            <v>ITM120NG</v>
          </cell>
          <cell r="C3">
            <v>5145.9468164016371</v>
          </cell>
          <cell r="D3">
            <v>4931</v>
          </cell>
          <cell r="E3">
            <v>4944</v>
          </cell>
          <cell r="F3">
            <v>5006.9822721338787</v>
          </cell>
        </row>
        <row r="4">
          <cell r="A4" t="str">
            <v>ITM130</v>
          </cell>
          <cell r="C4">
            <v>5145.9468164016371</v>
          </cell>
          <cell r="D4">
            <v>4931</v>
          </cell>
          <cell r="E4">
            <v>4944</v>
          </cell>
          <cell r="F4">
            <v>5006.9822721338787</v>
          </cell>
        </row>
        <row r="5">
          <cell r="A5" t="str">
            <v>ITM130NG</v>
          </cell>
          <cell r="C5">
            <v>0</v>
          </cell>
          <cell r="D5">
            <v>4931</v>
          </cell>
          <cell r="E5">
            <v>4944</v>
          </cell>
          <cell r="F5">
            <v>4937.5</v>
          </cell>
        </row>
        <row r="6">
          <cell r="A6" t="str">
            <v>ITM140</v>
          </cell>
          <cell r="C6">
            <v>5470.1009465686693</v>
          </cell>
          <cell r="D6">
            <v>5241</v>
          </cell>
          <cell r="E6">
            <v>5255</v>
          </cell>
          <cell r="F6">
            <v>5322.0336488562234</v>
          </cell>
        </row>
        <row r="7">
          <cell r="A7" t="str">
            <v>ITM140NG</v>
          </cell>
          <cell r="C7">
            <v>0</v>
          </cell>
          <cell r="D7">
            <v>0</v>
          </cell>
          <cell r="E7">
            <v>5255</v>
          </cell>
          <cell r="F7">
            <v>5255</v>
          </cell>
        </row>
        <row r="8">
          <cell r="A8" t="str">
            <v>ITM150NG</v>
          </cell>
          <cell r="C8">
            <v>0</v>
          </cell>
          <cell r="D8">
            <v>0</v>
          </cell>
          <cell r="E8">
            <v>5255</v>
          </cell>
          <cell r="F8">
            <v>5255</v>
          </cell>
        </row>
        <row r="9">
          <cell r="A9" t="str">
            <v>ITM220</v>
          </cell>
          <cell r="C9">
            <v>10291.893632803274</v>
          </cell>
          <cell r="D9">
            <v>9862</v>
          </cell>
          <cell r="E9">
            <v>9887</v>
          </cell>
          <cell r="F9">
            <v>10013.631210934424</v>
          </cell>
        </row>
        <row r="10">
          <cell r="A10" t="str">
            <v>ITM220NG</v>
          </cell>
          <cell r="C10">
            <v>0</v>
          </cell>
          <cell r="D10">
            <v>0</v>
          </cell>
          <cell r="E10">
            <v>9887</v>
          </cell>
          <cell r="F10">
            <v>9887</v>
          </cell>
        </row>
        <row r="11">
          <cell r="A11" t="str">
            <v>ITM230</v>
          </cell>
          <cell r="C11">
            <v>10291.893632803274</v>
          </cell>
          <cell r="D11">
            <v>9862</v>
          </cell>
          <cell r="E11">
            <v>9887</v>
          </cell>
          <cell r="F11">
            <v>10013.631210934424</v>
          </cell>
        </row>
        <row r="12">
          <cell r="A12" t="str">
            <v>ITM230NG</v>
          </cell>
          <cell r="C12">
            <v>0</v>
          </cell>
          <cell r="D12">
            <v>9862</v>
          </cell>
          <cell r="E12">
            <v>9887</v>
          </cell>
          <cell r="F12">
            <v>9874.5</v>
          </cell>
        </row>
        <row r="13">
          <cell r="A13" t="str">
            <v>ITM240</v>
          </cell>
          <cell r="C13">
            <v>10940.201893137339</v>
          </cell>
          <cell r="D13">
            <v>10483</v>
          </cell>
          <cell r="E13">
            <v>10510</v>
          </cell>
          <cell r="F13">
            <v>10644.400631045779</v>
          </cell>
        </row>
        <row r="14">
          <cell r="A14" t="str">
            <v>ITM250NG</v>
          </cell>
          <cell r="C14">
            <v>10940.201893137339</v>
          </cell>
          <cell r="D14">
            <v>0</v>
          </cell>
          <cell r="E14">
            <v>0</v>
          </cell>
          <cell r="F14">
            <v>10940.201893137339</v>
          </cell>
        </row>
        <row r="15">
          <cell r="A15" t="str">
            <v>ITM260NG</v>
          </cell>
          <cell r="C15">
            <v>10940.201893137339</v>
          </cell>
          <cell r="D15">
            <v>10483</v>
          </cell>
          <cell r="E15">
            <v>10510</v>
          </cell>
          <cell r="F15">
            <v>10644.400631045779</v>
          </cell>
        </row>
        <row r="16">
          <cell r="A16" t="str">
            <v>ITM320</v>
          </cell>
          <cell r="C16">
            <v>15437.840449204912</v>
          </cell>
          <cell r="D16">
            <v>0</v>
          </cell>
          <cell r="E16">
            <v>0</v>
          </cell>
          <cell r="F16">
            <v>15437.840449204912</v>
          </cell>
        </row>
        <row r="17">
          <cell r="A17" t="str">
            <v>ITM320NG</v>
          </cell>
          <cell r="C17">
            <v>0</v>
          </cell>
          <cell r="D17">
            <v>14792</v>
          </cell>
          <cell r="E17">
            <v>0</v>
          </cell>
          <cell r="F17">
            <v>14792</v>
          </cell>
        </row>
        <row r="18">
          <cell r="A18" t="str">
            <v>ITM330NG</v>
          </cell>
          <cell r="C18">
            <v>0</v>
          </cell>
          <cell r="D18">
            <v>0</v>
          </cell>
          <cell r="E18">
            <v>14831</v>
          </cell>
          <cell r="F18">
            <v>14831</v>
          </cell>
        </row>
        <row r="19">
          <cell r="A19" t="str">
            <v>ITM340</v>
          </cell>
          <cell r="C19">
            <v>16410.302839706008</v>
          </cell>
          <cell r="D19">
            <v>0</v>
          </cell>
          <cell r="E19">
            <v>15765</v>
          </cell>
          <cell r="F19">
            <v>15765</v>
          </cell>
        </row>
        <row r="20">
          <cell r="A20" t="str">
            <v>ITM340NG</v>
          </cell>
          <cell r="C20">
            <v>16410.302839706008</v>
          </cell>
          <cell r="D20">
            <v>0</v>
          </cell>
          <cell r="E20">
            <v>15765</v>
          </cell>
          <cell r="F20">
            <v>15765</v>
          </cell>
        </row>
        <row r="21">
          <cell r="A21" t="str">
            <v>ITM350</v>
          </cell>
          <cell r="C21">
            <v>16410.302839706012</v>
          </cell>
          <cell r="D21">
            <v>15724</v>
          </cell>
          <cell r="E21">
            <v>15765</v>
          </cell>
          <cell r="F21">
            <v>15966.434279902003</v>
          </cell>
        </row>
        <row r="22">
          <cell r="A22" t="str">
            <v>ITM360NG</v>
          </cell>
          <cell r="C22">
            <v>0</v>
          </cell>
          <cell r="D22">
            <v>0</v>
          </cell>
          <cell r="E22">
            <v>15765</v>
          </cell>
          <cell r="F22">
            <v>15765</v>
          </cell>
        </row>
        <row r="23">
          <cell r="A23" t="str">
            <v>ITM-R106</v>
          </cell>
          <cell r="C23">
            <v>0</v>
          </cell>
          <cell r="D23">
            <v>0</v>
          </cell>
          <cell r="E23">
            <v>4866</v>
          </cell>
          <cell r="F23">
            <v>4866</v>
          </cell>
        </row>
        <row r="24">
          <cell r="A24" t="str">
            <v>ITM-R116</v>
          </cell>
          <cell r="C24">
            <v>0</v>
          </cell>
          <cell r="D24">
            <v>0</v>
          </cell>
          <cell r="E24">
            <v>4866</v>
          </cell>
          <cell r="F24">
            <v>4866</v>
          </cell>
        </row>
        <row r="25">
          <cell r="A25" t="str">
            <v>ITM-R120</v>
          </cell>
          <cell r="C25">
            <v>0</v>
          </cell>
          <cell r="D25">
            <v>0</v>
          </cell>
          <cell r="E25">
            <v>4866</v>
          </cell>
          <cell r="F25">
            <v>4866</v>
          </cell>
        </row>
        <row r="26">
          <cell r="A26" t="str">
            <v>ITM-R132</v>
          </cell>
          <cell r="C26">
            <v>0</v>
          </cell>
          <cell r="D26">
            <v>0</v>
          </cell>
          <cell r="E26">
            <v>4866</v>
          </cell>
          <cell r="F26">
            <v>4866</v>
          </cell>
        </row>
        <row r="27">
          <cell r="A27" t="str">
            <v>ITM-R140</v>
          </cell>
          <cell r="C27">
            <v>0</v>
          </cell>
          <cell r="D27">
            <v>0</v>
          </cell>
          <cell r="E27">
            <v>5255</v>
          </cell>
          <cell r="F27">
            <v>5255</v>
          </cell>
        </row>
        <row r="28">
          <cell r="A28" t="str">
            <v>ITM-R150</v>
          </cell>
          <cell r="C28">
            <v>0</v>
          </cell>
          <cell r="D28">
            <v>0</v>
          </cell>
          <cell r="E28">
            <v>5255</v>
          </cell>
          <cell r="F28">
            <v>5255</v>
          </cell>
        </row>
        <row r="29">
          <cell r="A29" t="str">
            <v>ITM-R163</v>
          </cell>
          <cell r="C29">
            <v>0</v>
          </cell>
          <cell r="D29">
            <v>0</v>
          </cell>
          <cell r="E29">
            <v>5255</v>
          </cell>
          <cell r="F29">
            <v>5255</v>
          </cell>
        </row>
        <row r="30">
          <cell r="A30" t="str">
            <v>ITM-R206</v>
          </cell>
          <cell r="C30">
            <v>0</v>
          </cell>
          <cell r="D30">
            <v>0</v>
          </cell>
          <cell r="E30">
            <v>9732</v>
          </cell>
          <cell r="F30">
            <v>9732</v>
          </cell>
        </row>
        <row r="31">
          <cell r="A31" t="str">
            <v>ITM-R216</v>
          </cell>
          <cell r="C31">
            <v>0</v>
          </cell>
          <cell r="D31">
            <v>0</v>
          </cell>
          <cell r="E31">
            <v>9732</v>
          </cell>
          <cell r="F31">
            <v>9732</v>
          </cell>
        </row>
        <row r="32">
          <cell r="A32" t="str">
            <v>ITM-R220</v>
          </cell>
          <cell r="C32">
            <v>0</v>
          </cell>
          <cell r="D32">
            <v>0</v>
          </cell>
          <cell r="E32">
            <v>9732</v>
          </cell>
          <cell r="F32">
            <v>9732</v>
          </cell>
        </row>
        <row r="33">
          <cell r="A33" t="str">
            <v>ITM-R232</v>
          </cell>
          <cell r="C33">
            <v>0</v>
          </cell>
          <cell r="D33">
            <v>0</v>
          </cell>
          <cell r="E33">
            <v>9732</v>
          </cell>
          <cell r="F33">
            <v>9732</v>
          </cell>
        </row>
        <row r="34">
          <cell r="A34" t="str">
            <v>ITM-R240</v>
          </cell>
          <cell r="C34">
            <v>0</v>
          </cell>
          <cell r="D34">
            <v>0</v>
          </cell>
          <cell r="E34">
            <v>10510</v>
          </cell>
          <cell r="F34">
            <v>10510</v>
          </cell>
        </row>
        <row r="35">
          <cell r="A35" t="str">
            <v>ITM-R250</v>
          </cell>
          <cell r="C35">
            <v>0</v>
          </cell>
          <cell r="D35">
            <v>0</v>
          </cell>
          <cell r="E35">
            <v>10510</v>
          </cell>
          <cell r="F35">
            <v>10510</v>
          </cell>
        </row>
        <row r="36">
          <cell r="A36" t="str">
            <v>ITM-R263</v>
          </cell>
          <cell r="C36">
            <v>0</v>
          </cell>
          <cell r="D36">
            <v>0</v>
          </cell>
          <cell r="E36">
            <v>10510</v>
          </cell>
          <cell r="F36">
            <v>10510</v>
          </cell>
        </row>
        <row r="37">
          <cell r="A37" t="str">
            <v>ITM-R316</v>
          </cell>
          <cell r="C37">
            <v>0</v>
          </cell>
          <cell r="D37">
            <v>0</v>
          </cell>
          <cell r="E37">
            <v>14597</v>
          </cell>
          <cell r="F37">
            <v>14597</v>
          </cell>
        </row>
        <row r="38">
          <cell r="A38" t="str">
            <v>ITM-R320</v>
          </cell>
          <cell r="C38">
            <v>0</v>
          </cell>
          <cell r="D38">
            <v>0</v>
          </cell>
          <cell r="E38">
            <v>14597</v>
          </cell>
          <cell r="F38">
            <v>14597</v>
          </cell>
        </row>
        <row r="39">
          <cell r="A39" t="str">
            <v>ITM-R332</v>
          </cell>
          <cell r="C39">
            <v>0</v>
          </cell>
          <cell r="D39">
            <v>0</v>
          </cell>
          <cell r="E39">
            <v>14597</v>
          </cell>
          <cell r="F39">
            <v>14597</v>
          </cell>
        </row>
        <row r="40">
          <cell r="A40" t="str">
            <v>ITM-R340</v>
          </cell>
          <cell r="C40">
            <v>0</v>
          </cell>
          <cell r="D40">
            <v>0</v>
          </cell>
          <cell r="E40">
            <v>15765</v>
          </cell>
          <cell r="F40">
            <v>15765</v>
          </cell>
        </row>
        <row r="41">
          <cell r="A41" t="str">
            <v>ITM-R350</v>
          </cell>
          <cell r="C41">
            <v>0</v>
          </cell>
          <cell r="D41">
            <v>0</v>
          </cell>
          <cell r="E41">
            <v>15765</v>
          </cell>
          <cell r="F41">
            <v>15765</v>
          </cell>
        </row>
        <row r="42">
          <cell r="A42" t="str">
            <v>ITM-R363</v>
          </cell>
          <cell r="C42">
            <v>0</v>
          </cell>
          <cell r="D42">
            <v>0</v>
          </cell>
          <cell r="E42">
            <v>15765</v>
          </cell>
          <cell r="F42">
            <v>15765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2"/>
      <sheetName val="2023-2024"/>
      <sheetName val="IMPORTACION"/>
      <sheetName val="A DIC 2024"/>
      <sheetName val="A MAR 2025"/>
      <sheetName val="A DIC 2025"/>
      <sheetName val="A ENE 2026"/>
      <sheetName val="A FEB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VCU1/2-120</v>
          </cell>
          <cell r="B2">
            <v>67200</v>
          </cell>
          <cell r="C2">
            <v>78000</v>
          </cell>
          <cell r="D2">
            <v>77904.761904761908</v>
          </cell>
          <cell r="E2">
            <v>77200</v>
          </cell>
          <cell r="F2">
            <v>77200</v>
          </cell>
          <cell r="G2">
            <v>77200</v>
          </cell>
        </row>
        <row r="3">
          <cell r="A3" t="str">
            <v>VCU1/2-150</v>
          </cell>
          <cell r="B3">
            <v>84200</v>
          </cell>
          <cell r="C3">
            <v>97900</v>
          </cell>
          <cell r="D3">
            <v>97900</v>
          </cell>
          <cell r="E3">
            <v>96800</v>
          </cell>
          <cell r="F3">
            <v>96800</v>
          </cell>
          <cell r="G3">
            <v>96800</v>
          </cell>
        </row>
        <row r="4">
          <cell r="A4" t="str">
            <v>VCU C-120</v>
          </cell>
          <cell r="B4">
            <v>81700</v>
          </cell>
          <cell r="C4">
            <v>95000</v>
          </cell>
          <cell r="D4">
            <v>95000</v>
          </cell>
          <cell r="E4">
            <v>94000</v>
          </cell>
          <cell r="F4">
            <v>94000</v>
          </cell>
          <cell r="G4">
            <v>94000</v>
          </cell>
        </row>
        <row r="5">
          <cell r="A5" t="str">
            <v>VCU C-150</v>
          </cell>
          <cell r="B5">
            <v>102100</v>
          </cell>
          <cell r="C5">
            <v>118313.23529411765</v>
          </cell>
          <cell r="D5">
            <v>118600</v>
          </cell>
          <cell r="E5">
            <v>117300</v>
          </cell>
          <cell r="F5">
            <v>117300</v>
          </cell>
          <cell r="G5">
            <v>117300</v>
          </cell>
        </row>
        <row r="6">
          <cell r="A6" t="str">
            <v>VCU C-180</v>
          </cell>
          <cell r="B6">
            <v>122400</v>
          </cell>
          <cell r="C6">
            <v>140257</v>
          </cell>
          <cell r="D6">
            <v>141854.26666666666</v>
          </cell>
          <cell r="E6">
            <v>140600</v>
          </cell>
          <cell r="F6">
            <v>140600</v>
          </cell>
          <cell r="G6">
            <v>140600</v>
          </cell>
        </row>
        <row r="7">
          <cell r="A7" t="str">
            <v>VCU C-240</v>
          </cell>
          <cell r="B7">
            <v>163400</v>
          </cell>
          <cell r="C7">
            <v>186819</v>
          </cell>
          <cell r="D7">
            <v>189454.06578947368</v>
          </cell>
          <cell r="E7">
            <v>187000</v>
          </cell>
          <cell r="F7">
            <v>187000</v>
          </cell>
          <cell r="G7">
            <v>187000</v>
          </cell>
        </row>
        <row r="8">
          <cell r="A8" t="str">
            <v>VCU1/2-180</v>
          </cell>
          <cell r="B8">
            <v>100500</v>
          </cell>
          <cell r="C8">
            <v>114920</v>
          </cell>
          <cell r="D8">
            <v>116800</v>
          </cell>
          <cell r="E8">
            <v>115520</v>
          </cell>
          <cell r="F8">
            <v>115600</v>
          </cell>
          <cell r="G8">
            <v>115600</v>
          </cell>
        </row>
        <row r="9">
          <cell r="A9" t="str">
            <v>VCU1/2-240</v>
          </cell>
          <cell r="B9">
            <v>134200</v>
          </cell>
          <cell r="C9">
            <v>153885</v>
          </cell>
          <cell r="D9">
            <v>155900</v>
          </cell>
          <cell r="E9">
            <v>153983.80952380953</v>
          </cell>
          <cell r="F9">
            <v>154300</v>
          </cell>
          <cell r="G9">
            <v>154300</v>
          </cell>
        </row>
        <row r="10">
          <cell r="A10" t="str">
            <v>VCU-E 120X1200</v>
          </cell>
          <cell r="C10">
            <v>9215</v>
          </cell>
          <cell r="D10">
            <v>9215</v>
          </cell>
          <cell r="E10">
            <v>9215</v>
          </cell>
          <cell r="F10">
            <v>9215</v>
          </cell>
          <cell r="G10">
            <v>9215</v>
          </cell>
        </row>
        <row r="11">
          <cell r="A11" t="str">
            <v>VCU-E 120X2400</v>
          </cell>
          <cell r="C11"/>
          <cell r="D11">
            <v>18430</v>
          </cell>
          <cell r="E11">
            <v>18430</v>
          </cell>
          <cell r="F11">
            <v>18430</v>
          </cell>
          <cell r="G11">
            <v>18430</v>
          </cell>
        </row>
        <row r="12">
          <cell r="A12" t="str">
            <v>VCU-E 120X1500</v>
          </cell>
          <cell r="C12">
            <v>12125</v>
          </cell>
          <cell r="D12">
            <v>10379</v>
          </cell>
          <cell r="E12">
            <v>10379</v>
          </cell>
          <cell r="F12">
            <v>10379</v>
          </cell>
          <cell r="G12">
            <v>10379</v>
          </cell>
        </row>
        <row r="13">
          <cell r="A13" t="str">
            <v>VCU-E 120X1800</v>
          </cell>
          <cell r="C13">
            <v>10379</v>
          </cell>
          <cell r="D13">
            <v>12125</v>
          </cell>
          <cell r="E13">
            <v>12125</v>
          </cell>
          <cell r="F13">
            <v>12125</v>
          </cell>
          <cell r="G13">
            <v>12125</v>
          </cell>
        </row>
        <row r="14">
          <cell r="A14" t="str">
            <v>VCU-E 140X2400</v>
          </cell>
          <cell r="B14"/>
          <cell r="C14">
            <v>33500</v>
          </cell>
          <cell r="D14">
            <v>33500</v>
          </cell>
          <cell r="E14">
            <v>0</v>
          </cell>
          <cell r="F14">
            <v>33500</v>
          </cell>
          <cell r="G14">
            <v>33500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A2" t="str">
            <v>TER12BG</v>
          </cell>
          <cell r="B2">
            <v>25597</v>
          </cell>
          <cell r="C2">
            <v>3764.32</v>
          </cell>
        </row>
        <row r="3">
          <cell r="A3" t="str">
            <v>TER8BG-BIMETALICO</v>
          </cell>
          <cell r="B3">
            <v>18273</v>
          </cell>
          <cell r="C3">
            <v>1805.9888000000001</v>
          </cell>
        </row>
        <row r="4">
          <cell r="A4" t="str">
            <v>TER8MG-BIMETALICO</v>
          </cell>
          <cell r="B4">
            <v>13796</v>
          </cell>
          <cell r="C4">
            <v>1725.3488000000002</v>
          </cell>
        </row>
        <row r="5">
          <cell r="A5" t="str">
            <v>TE2G-BIMETALICO</v>
          </cell>
          <cell r="B5">
            <v>6438</v>
          </cell>
          <cell r="C5">
            <v>1142.2992000000002</v>
          </cell>
        </row>
        <row r="6">
          <cell r="A6" t="str">
            <v>TE2MG-BIMETALICO</v>
          </cell>
          <cell r="B6">
            <v>5641</v>
          </cell>
          <cell r="C6">
            <v>1089.5024000000001</v>
          </cell>
        </row>
        <row r="7">
          <cell r="A7" t="str">
            <v>TE3MG-BIMETALICO</v>
          </cell>
          <cell r="B7">
            <v>7744</v>
          </cell>
          <cell r="C7">
            <v>1723.4112000000002</v>
          </cell>
        </row>
        <row r="8">
          <cell r="A8" t="str">
            <v>TE4G-BIMETALICO</v>
          </cell>
          <cell r="B8">
            <v>8172</v>
          </cell>
          <cell r="C8">
            <v>1763.1376000000002</v>
          </cell>
        </row>
        <row r="9">
          <cell r="A9" t="str">
            <v>TE4MG-BIMETALICO</v>
          </cell>
          <cell r="B9">
            <v>7841</v>
          </cell>
          <cell r="C9">
            <v>1712.2560000000001</v>
          </cell>
        </row>
        <row r="10">
          <cell r="A10" t="str">
            <v>TE6G-BIMETALICO</v>
          </cell>
          <cell r="B10">
            <v>9902</v>
          </cell>
          <cell r="C10">
            <v>2133.5440000000003</v>
          </cell>
        </row>
        <row r="11">
          <cell r="A11" t="str">
            <v>TE6MG-BIMETALICO</v>
          </cell>
          <cell r="B11">
            <v>9582</v>
          </cell>
          <cell r="C11">
            <v>1928.6512000000002</v>
          </cell>
        </row>
        <row r="12">
          <cell r="A12" t="str">
            <v>TE8G-BIMETALICO</v>
          </cell>
          <cell r="B12">
            <v>11762</v>
          </cell>
          <cell r="C12">
            <v>2298.9456000000005</v>
          </cell>
        </row>
        <row r="13">
          <cell r="A13" t="str">
            <v>TE8MG-BIMETALICO</v>
          </cell>
          <cell r="B13">
            <v>11416</v>
          </cell>
          <cell r="C13">
            <v>2419.3232000000003</v>
          </cell>
        </row>
        <row r="14">
          <cell r="A14" t="str">
            <v>TTP4G-BIMETALICO</v>
          </cell>
          <cell r="B14">
            <v>8140</v>
          </cell>
          <cell r="C14">
            <v>1708.0224000000001</v>
          </cell>
        </row>
        <row r="15">
          <cell r="A15" t="str">
            <v>TTP4MG-BIMETALICO</v>
          </cell>
          <cell r="B15">
            <v>7809</v>
          </cell>
          <cell r="C15">
            <v>1680.8960000000002</v>
          </cell>
        </row>
        <row r="16">
          <cell r="A16" t="str">
            <v>TTP6G-BIMETALICO</v>
          </cell>
          <cell r="B16">
            <v>9662</v>
          </cell>
          <cell r="C16">
            <v>1992.0208</v>
          </cell>
        </row>
        <row r="17">
          <cell r="A17" t="str">
            <v>TTP6MG-BIMETALICO</v>
          </cell>
          <cell r="B17">
            <v>9346</v>
          </cell>
          <cell r="C17">
            <v>1797.4432000000002</v>
          </cell>
        </row>
        <row r="18">
          <cell r="A18" t="str">
            <v>TE2G</v>
          </cell>
          <cell r="B18">
            <v>7524</v>
          </cell>
          <cell r="C18">
            <v>1066.0048000000002</v>
          </cell>
        </row>
        <row r="19">
          <cell r="A19" t="str">
            <v>TE2MG</v>
          </cell>
          <cell r="B19">
            <v>7807</v>
          </cell>
          <cell r="C19">
            <v>1228.3152000000002</v>
          </cell>
        </row>
        <row r="20">
          <cell r="A20" t="str">
            <v>TE3MG</v>
          </cell>
          <cell r="B20">
            <v>10207</v>
          </cell>
          <cell r="C20">
            <v>1810.9280000000003</v>
          </cell>
        </row>
        <row r="21">
          <cell r="A21" t="str">
            <v>TE4G</v>
          </cell>
          <cell r="B21">
            <v>11015</v>
          </cell>
          <cell r="C21">
            <v>1918.7056000000002</v>
          </cell>
        </row>
        <row r="22">
          <cell r="A22" t="str">
            <v>TE4MG</v>
          </cell>
          <cell r="B22">
            <v>11594</v>
          </cell>
          <cell r="C22">
            <v>1973.5520000000001</v>
          </cell>
        </row>
        <row r="23">
          <cell r="A23" t="str">
            <v>TE6G</v>
          </cell>
          <cell r="B23">
            <v>14414</v>
          </cell>
          <cell r="C23">
            <v>2791.8352000000004</v>
          </cell>
        </row>
        <row r="24">
          <cell r="A24" t="str">
            <v>TE6MG</v>
          </cell>
          <cell r="B24">
            <v>15320</v>
          </cell>
          <cell r="C24">
            <v>2361.0496000000003</v>
          </cell>
        </row>
        <row r="25">
          <cell r="A25" t="str">
            <v>TE8G</v>
          </cell>
          <cell r="B25">
            <v>19047</v>
          </cell>
          <cell r="C25">
            <v>3025.6240000000003</v>
          </cell>
        </row>
        <row r="26">
          <cell r="A26" t="str">
            <v>TE8MG</v>
          </cell>
          <cell r="B26">
            <v>19302</v>
          </cell>
          <cell r="C26">
            <v>2837.4304000000002</v>
          </cell>
        </row>
        <row r="27">
          <cell r="A27" t="str">
            <v>TTP4G</v>
          </cell>
          <cell r="B27">
            <v>10920</v>
          </cell>
          <cell r="C27">
            <v>1844.7296000000001</v>
          </cell>
        </row>
        <row r="28">
          <cell r="A28" t="str">
            <v>TTP4MG</v>
          </cell>
          <cell r="B28">
            <v>11562</v>
          </cell>
          <cell r="C28">
            <v>1922.2448000000002</v>
          </cell>
        </row>
        <row r="29">
          <cell r="A29" t="str">
            <v>TTP6G</v>
          </cell>
          <cell r="B29">
            <v>14175</v>
          </cell>
          <cell r="C29">
            <v>2290.8032000000003</v>
          </cell>
        </row>
        <row r="30">
          <cell r="A30" t="str">
            <v>TTP6MG</v>
          </cell>
          <cell r="B30">
            <v>15085</v>
          </cell>
          <cell r="C30">
            <v>2254</v>
          </cell>
        </row>
        <row r="31">
          <cell r="A31" t="str">
            <v>TTP8MG-BIMETALICO</v>
          </cell>
          <cell r="B31">
            <v>10896</v>
          </cell>
          <cell r="C31">
            <v>1963.9536000000001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dor" refreshedDate="46157.611552083334" createdVersion="8" refreshedVersion="8" minRefreshableVersion="3" recordCount="242" xr:uid="{42F36113-4203-44CE-986C-773A4DACFB91}">
  <cacheSource type="worksheet">
    <worksheetSource name="Tabla2"/>
  </cacheSource>
  <cacheFields count="10">
    <cacheField name="MES" numFmtId="0">
      <sharedItems count="12">
        <s v="ENERO"/>
        <s v="FEBRERO"/>
        <s v="MARZO"/>
        <s v="ABRIL"/>
        <s v="MAYO" u="1"/>
        <s v="JUNIO" u="1"/>
        <s v="JULIO" u="1"/>
        <s v="AGOSTO" u="1"/>
        <s v="SEPTIEMBRE" u="1"/>
        <s v="OCTUBRE" u="1"/>
        <s v="NOVIEMBRE" u="1"/>
        <s v="DICIEMBRE" u="1"/>
      </sharedItems>
    </cacheField>
    <cacheField name="AÑO" numFmtId="0">
      <sharedItems containsSemiMixedTypes="0" containsString="0" containsNumber="1" containsInteger="1" minValue="2024" maxValue="2026" count="3">
        <n v="2025"/>
        <n v="2026"/>
        <n v="2024" u="1"/>
      </sharedItems>
    </cacheField>
    <cacheField name="GRUPO" numFmtId="3">
      <sharedItems count="37">
        <s v="ACCESORIOS"/>
        <s v="ADAPTADORES"/>
        <s v="CAJAS ARRANCADORAS"/>
        <s v="CAJAS EMPALME"/>
        <s v="CAJAS PLASTICAS CC"/>
        <s v="CAJAS PLASTICAS LH"/>
        <s v="CAJAS TELEFONICAS"/>
        <s v="CE 125"/>
        <s v="INTERIORES"/>
        <s v="REGLETAS"/>
        <s v="RITEL"/>
        <s v="TABLERO RIEL"/>
        <s v="TABLEROS 100 AMP BIMETALICO 2 FASES"/>
        <s v="TABLEROS 100 AMP BIMETALICO 3 FASES"/>
        <s v="TABLEROS 125 AMP COBRE 2 FASES"/>
        <s v="TABLEROS 125 AMP COBRE 3 FASES"/>
        <s v="TABLEROS 175 AMP BIMETALICO"/>
        <s v="TABLEROS 225 AMP COBRE"/>
        <s v="TABLEROS 75 AMP BIMETALICO CON PUERTA"/>
        <s v="TABLEROS 75 AMP BIMETALICO TAPA LISA"/>
        <s v="TABLEROS 75 AMP BIMETALICO TAPA PLASTICA"/>
        <s v="TABLEROS 75 AMP COBRE CON PUERTA"/>
        <s v="TABLEROS 75 AMP COBRE TAPA LISA"/>
        <s v="TABLEROS 75 AMP COBRE TAPA PLASTICA"/>
        <s v="TABLEROS 85 AMP BIMETALICO"/>
        <s v="TABLEROS 95 AMP COBRE"/>
        <s v="TAPAS PLASTICAS"/>
        <s v="EXCEDENTES INDUSTRIALES"/>
        <s v="SETI"/>
        <s v="BREAKERS"/>
        <s v="VARILLAS"/>
        <s v="EXPORTACIÓN" u="1"/>
        <s v="CAJAS PLASTICAS" u="1"/>
        <s v="TABLEROS 100 AMP BIMETALICO " u="1"/>
        <s v="TABLEROS 125 AMP COBRE " u="1"/>
        <s v="TABLEROS 75 AMP BIMETALICO " u="1"/>
        <s v="TABLEROS 75 AMP COBRE" u="1"/>
      </sharedItems>
    </cacheField>
    <cacheField name="CANT" numFmtId="3">
      <sharedItems containsSemiMixedTypes="0" containsString="0" containsNumber="1" minValue="3" maxValue="1373894"/>
    </cacheField>
    <cacheField name="CT" numFmtId="3">
      <sharedItems containsSemiMixedTypes="0" containsString="0" containsNumber="1" minValue="0" maxValue="841193223.60457897"/>
    </cacheField>
    <cacheField name="PRECIO TOT" numFmtId="3">
      <sharedItems containsSemiMixedTypes="0" containsString="0" containsNumber="1" minValue="-371733.40999999992" maxValue="911209340"/>
    </cacheField>
    <cacheField name="MARGEN" numFmtId="165">
      <sharedItems containsSemiMixedTypes="0" containsString="0" containsNumber="1" minValue="-16359897.103068233" maxValue="300358595.81748712"/>
    </cacheField>
    <cacheField name="Campo1" numFmtId="0" formula="CT/'PRECIO TOT'" databaseField="0"/>
    <cacheField name="Campo2" numFmtId="0" formula="MARGEN/'PRECIO TOT'" databaseField="0"/>
    <cacheField name="Campo3" numFmtId="0" formula="'PRECIO TOT'/'PRECIO TOT'" databaseField="0"/>
  </cacheFields>
  <extLst>
    <ext xmlns:x14="http://schemas.microsoft.com/office/spreadsheetml/2009/9/main" uri="{725AE2AE-9491-48be-B2B4-4EB974FC3084}">
      <x14:pivotCacheDefinition pivotCacheId="87272614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ador" refreshedDate="46157.612139004632" createdVersion="8" refreshedVersion="8" minRefreshableVersion="3" recordCount="186" xr:uid="{513BAFD4-F594-4F43-8AB5-0A9500F46EEE}">
  <cacheSource type="worksheet">
    <worksheetSource name="Tabla22"/>
  </cacheSource>
  <cacheFields count="11">
    <cacheField name="MES" numFmtId="0">
      <sharedItems count="12">
        <s v="ENERO"/>
        <s v="FEBRERO"/>
        <s v="MARZO"/>
        <s v="ABRIL"/>
        <s v="MAYO" u="1"/>
        <s v="JUNIO" u="1"/>
        <s v="JULIO" u="1"/>
        <s v="AGOSTO" u="1"/>
        <s v="SEPTIEMBRE" u="1"/>
        <s v="OCTUBRE" u="1"/>
        <s v="NOVIEMBRE" u="1"/>
        <s v="DICIEMBRE" u="1"/>
      </sharedItems>
    </cacheField>
    <cacheField name="AÑO" numFmtId="0">
      <sharedItems containsSemiMixedTypes="0" containsString="0" containsNumber="1" containsInteger="1" minValue="2024" maxValue="2026" count="3">
        <n v="2025"/>
        <n v="2026"/>
        <n v="2024" u="1"/>
      </sharedItems>
    </cacheField>
    <cacheField name="GRUPO" numFmtId="3">
      <sharedItems count="32">
        <s v="ACCESORIOS"/>
        <s v="ADAPTADORES"/>
        <s v="CAJAS ARRANCADORAS"/>
        <s v="CAJAS EMPALME"/>
        <s v="CAJAS PLASTICAS"/>
        <s v="CAJAS TELEFONICAS"/>
        <s v="CE 125"/>
        <s v="INTERIORES"/>
        <s v="REGLETAS"/>
        <s v="RITEL"/>
        <s v="TABLERO RIEL"/>
        <s v="TABLEROS 100 AMP BIMETALICO"/>
        <s v="TABLEROS 125 AMP COBRE"/>
        <s v="TABLEROS 175 AMP BIMETALICO"/>
        <s v="TABLEROS 225 AMP COBRE"/>
        <s v="TABLEROS 75 AMP BIMETALICO"/>
        <s v="TABLEROS 75 AMP COBRE"/>
        <s v="TABLEROS 85 AMP BIMETALICO"/>
        <s v="TABLEROS 95 AMP COBRE"/>
        <s v="TAPAS PLASTICAS"/>
        <s v="EXCEDENTES INDUSTRIALES"/>
        <s v="SETI"/>
        <s v="BREAKERS"/>
        <s v="VARILLAS"/>
        <s v="CAJAS PLASTICAS "/>
        <s v="TABLEROS 75 AMP COBRE "/>
        <s v="TABLEROS 125 AMP COBRE "/>
        <s v="TABLEROS 75 AMP BIMETALICO "/>
        <s v="TABLEROS 125 AMP COBRE 2 FASES" u="1"/>
        <s v="TABLEROS 100 AMP BIMETALICO " u="1"/>
        <s v="EXPORTACIÓN" u="1"/>
        <s v="TABLEROS 75 AMP COBRE CON PUERTA" u="1"/>
      </sharedItems>
    </cacheField>
    <cacheField name="CANT" numFmtId="3">
      <sharedItems containsSemiMixedTypes="0" containsString="0" containsNumber="1" minValue="3" maxValue="1373894"/>
    </cacheField>
    <cacheField name="CT" numFmtId="3">
      <sharedItems containsSemiMixedTypes="0" containsString="0" containsNumber="1" minValue="0" maxValue="841193223.60457897"/>
    </cacheField>
    <cacheField name="PRECIO TOT" numFmtId="3">
      <sharedItems containsSemiMixedTypes="0" containsString="0" containsNumber="1" minValue="-371733.40999999992" maxValue="911209340"/>
    </cacheField>
    <cacheField name="MARGEN" numFmtId="165">
      <sharedItems containsSemiMixedTypes="0" containsString="0" containsNumber="1" minValue="-16359897.103068233" maxValue="300358595.81748712"/>
    </cacheField>
    <cacheField name="Campo1" numFmtId="0" formula="CT/'PRECIO TOT'" databaseField="0"/>
    <cacheField name="Campo2" numFmtId="0" formula="MARGEN/'PRECIO TOT'" databaseField="0"/>
    <cacheField name="Campo3" numFmtId="0" formula="'PRECIO TOT'/CANT" databaseField="0"/>
    <cacheField name="Campo4" numFmtId="0" formula="CT/CANT" databaseField="0"/>
  </cacheFields>
  <extLst>
    <ext xmlns:x14="http://schemas.microsoft.com/office/spreadsheetml/2009/9/main" uri="{725AE2AE-9491-48be-B2B4-4EB974FC3084}">
      <x14:pivotCacheDefinition pivotCacheId="5246214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x v="0"/>
    <x v="0"/>
    <n v="39980"/>
    <n v="3582694.6335674142"/>
    <n v="9347898.5699999984"/>
    <n v="5765203.9364325842"/>
  </r>
  <r>
    <x v="0"/>
    <x v="0"/>
    <x v="1"/>
    <n v="967000"/>
    <n v="65875862.345875449"/>
    <n v="109611973.89"/>
    <n v="43736111.544124551"/>
  </r>
  <r>
    <x v="0"/>
    <x v="0"/>
    <x v="2"/>
    <n v="108"/>
    <n v="7610173.8775294218"/>
    <n v="14554425.430000002"/>
    <n v="6944251.5524705797"/>
  </r>
  <r>
    <x v="0"/>
    <x v="0"/>
    <x v="3"/>
    <n v="13580"/>
    <n v="184797331.76977587"/>
    <n v="383138350.85999995"/>
    <n v="198341019.09022409"/>
  </r>
  <r>
    <x v="0"/>
    <x v="0"/>
    <x v="4"/>
    <n v="899670"/>
    <n v="232412730.04459599"/>
    <n v="351093727.28000003"/>
    <n v="118680997.23540404"/>
  </r>
  <r>
    <x v="0"/>
    <x v="0"/>
    <x v="5"/>
    <n v="95130"/>
    <n v="26269523.336472094"/>
    <n v="41840551.07"/>
    <n v="15571027.733527906"/>
  </r>
  <r>
    <x v="0"/>
    <x v="0"/>
    <x v="6"/>
    <n v="1098"/>
    <n v="21098462.561557997"/>
    <n v="52720977.259999998"/>
    <n v="31622514.698442001"/>
  </r>
  <r>
    <x v="0"/>
    <x v="0"/>
    <x v="7"/>
    <n v="25344"/>
    <n v="115985610.96308841"/>
    <n v="128702660.54000001"/>
    <n v="12717049.576911598"/>
  </r>
  <r>
    <x v="0"/>
    <x v="0"/>
    <x v="8"/>
    <n v="30"/>
    <n v="2303610.8078762721"/>
    <n v="4586978.66"/>
    <n v="2283367.852123728"/>
  </r>
  <r>
    <x v="0"/>
    <x v="0"/>
    <x v="9"/>
    <n v="7"/>
    <n v="51562.599194635339"/>
    <n v="121345.2"/>
    <n v="69782.600805364666"/>
  </r>
  <r>
    <x v="0"/>
    <x v="0"/>
    <x v="10"/>
    <n v="7447"/>
    <n v="198917473.74059215"/>
    <n v="482818736.01999998"/>
    <n v="283901262.27940786"/>
  </r>
  <r>
    <x v="0"/>
    <x v="0"/>
    <x v="11"/>
    <n v="15"/>
    <n v="472153.68627524067"/>
    <n v="706275.01"/>
    <n v="234121.32372475934"/>
  </r>
  <r>
    <x v="0"/>
    <x v="0"/>
    <x v="12"/>
    <n v="1667"/>
    <n v="62287696.761666417"/>
    <n v="127891482.73"/>
    <n v="65603785.968333587"/>
  </r>
  <r>
    <x v="0"/>
    <x v="0"/>
    <x v="13"/>
    <n v="980"/>
    <n v="39557245.095712386"/>
    <n v="80940569.539999992"/>
    <n v="41383324.444287606"/>
  </r>
  <r>
    <x v="0"/>
    <x v="0"/>
    <x v="14"/>
    <n v="4191"/>
    <n v="227117318.22244623"/>
    <n v="377862580.54999995"/>
    <n v="150745262.32755372"/>
  </r>
  <r>
    <x v="0"/>
    <x v="0"/>
    <x v="15"/>
    <n v="393"/>
    <n v="26876145.420068644"/>
    <n v="45854778.640000001"/>
    <n v="18978633.219931357"/>
  </r>
  <r>
    <x v="0"/>
    <x v="0"/>
    <x v="16"/>
    <n v="605"/>
    <n v="54637714.266098812"/>
    <n v="125697720.33999999"/>
    <n v="71060006.073901176"/>
  </r>
  <r>
    <x v="0"/>
    <x v="0"/>
    <x v="17"/>
    <n v="2412"/>
    <n v="345756752.03727704"/>
    <n v="613026214.70999992"/>
    <n v="267269462.67272288"/>
  </r>
  <r>
    <x v="0"/>
    <x v="0"/>
    <x v="18"/>
    <n v="2338"/>
    <n v="45689923.318831384"/>
    <n v="78734155.829999983"/>
    <n v="33044232.511168599"/>
  </r>
  <r>
    <x v="0"/>
    <x v="0"/>
    <x v="19"/>
    <n v="8410"/>
    <n v="110231913.5753089"/>
    <n v="187440514.53"/>
    <n v="77208600.954691097"/>
  </r>
  <r>
    <x v="0"/>
    <x v="0"/>
    <x v="20"/>
    <n v="1657"/>
    <n v="24066114.220019586"/>
    <n v="40226795.480000004"/>
    <n v="16160681.259980418"/>
  </r>
  <r>
    <x v="0"/>
    <x v="0"/>
    <x v="21"/>
    <n v="5426"/>
    <n v="145525216.75759652"/>
    <n v="192952513.61000001"/>
    <n v="47427296.852403492"/>
  </r>
  <r>
    <x v="0"/>
    <x v="0"/>
    <x v="22"/>
    <n v="11330"/>
    <n v="197112200.53595632"/>
    <n v="258520859.63"/>
    <n v="61408659.094043672"/>
  </r>
  <r>
    <x v="0"/>
    <x v="0"/>
    <x v="23"/>
    <n v="3146"/>
    <n v="66167395.178204961"/>
    <n v="84527345.469999984"/>
    <n v="18359950.291795023"/>
  </r>
  <r>
    <x v="0"/>
    <x v="0"/>
    <x v="24"/>
    <n v="1434"/>
    <n v="27935612.763050392"/>
    <n v="57842900.739999995"/>
    <n v="29907287.976949602"/>
  </r>
  <r>
    <x v="0"/>
    <x v="0"/>
    <x v="25"/>
    <n v="3190"/>
    <n v="97525304.470523119"/>
    <n v="146997241.19000003"/>
    <n v="49471936.719476908"/>
  </r>
  <r>
    <x v="0"/>
    <x v="0"/>
    <x v="26"/>
    <n v="310378"/>
    <n v="35754567.112487748"/>
    <n v="75256586.349999994"/>
    <n v="39502019.237512246"/>
  </r>
  <r>
    <x v="0"/>
    <x v="0"/>
    <x v="27"/>
    <n v="1500"/>
    <n v="0"/>
    <n v="525000"/>
    <n v="525000"/>
  </r>
  <r>
    <x v="0"/>
    <x v="0"/>
    <x v="28"/>
    <n v="9"/>
    <n v="21825000"/>
    <n v="29160000"/>
    <n v="7335000"/>
  </r>
  <r>
    <x v="0"/>
    <x v="0"/>
    <x v="29"/>
    <n v="42937"/>
    <n v="275024738.8488853"/>
    <n v="350318589.98000002"/>
    <n v="75293851.131114721"/>
  </r>
  <r>
    <x v="0"/>
    <x v="0"/>
    <x v="30"/>
    <n v="431"/>
    <n v="46953030.143557362"/>
    <n v="54150960"/>
    <n v="7197929.8564426377"/>
  </r>
  <r>
    <x v="0"/>
    <x v="1"/>
    <x v="0"/>
    <n v="43103"/>
    <n v="13692455.695450317"/>
    <n v="10984624.32"/>
    <n v="-2707831.3754503168"/>
  </r>
  <r>
    <x v="0"/>
    <x v="1"/>
    <x v="1"/>
    <n v="759000"/>
    <n v="81144250.449661165"/>
    <n v="87558403.300000012"/>
    <n v="6414152.8503388464"/>
  </r>
  <r>
    <x v="0"/>
    <x v="1"/>
    <x v="2"/>
    <n v="17"/>
    <n v="2454655.3123360309"/>
    <n v="4914345.6100000003"/>
    <n v="2459690.2976639695"/>
  </r>
  <r>
    <x v="0"/>
    <x v="1"/>
    <x v="3"/>
    <n v="10268"/>
    <n v="187888037.39188853"/>
    <n v="336676128.90999997"/>
    <n v="148788091.51811144"/>
  </r>
  <r>
    <x v="0"/>
    <x v="1"/>
    <x v="4"/>
    <n v="648270"/>
    <n v="201541887.38489199"/>
    <n v="258572773.13"/>
    <n v="57030885.745108008"/>
  </r>
  <r>
    <x v="0"/>
    <x v="1"/>
    <x v="5"/>
    <n v="73170"/>
    <n v="24665163.492959265"/>
    <n v="32469012.880000003"/>
    <n v="7803849.387040738"/>
  </r>
  <r>
    <x v="0"/>
    <x v="1"/>
    <x v="6"/>
    <n v="266"/>
    <n v="6228852.7511992184"/>
    <n v="15426605.41"/>
    <n v="9197752.6588007808"/>
  </r>
  <r>
    <x v="0"/>
    <x v="1"/>
    <x v="7"/>
    <n v="31740"/>
    <n v="167132563.53837895"/>
    <n v="155730959.72"/>
    <n v="-11401603.818378955"/>
  </r>
  <r>
    <x v="0"/>
    <x v="1"/>
    <x v="27"/>
    <n v="3305.6499999999996"/>
    <n v="0"/>
    <n v="1143080"/>
    <n v="1143080"/>
  </r>
  <r>
    <x v="0"/>
    <x v="1"/>
    <x v="8"/>
    <n v="83"/>
    <n v="4144887.6247799238"/>
    <n v="9551188.5099999998"/>
    <n v="5406300.885220076"/>
  </r>
  <r>
    <x v="0"/>
    <x v="1"/>
    <x v="9"/>
    <n v="27"/>
    <n v="199230.51578090101"/>
    <n v="869949"/>
    <n v="670718.48421909893"/>
  </r>
  <r>
    <x v="0"/>
    <x v="1"/>
    <x v="10"/>
    <n v="5344"/>
    <n v="168705528.51343897"/>
    <n v="322401740"/>
    <n v="153696211.48656103"/>
  </r>
  <r>
    <x v="0"/>
    <x v="1"/>
    <x v="11"/>
    <n v="40"/>
    <n v="545441.32022705092"/>
    <n v="1038450.02"/>
    <n v="493008.6997729491"/>
  </r>
  <r>
    <x v="0"/>
    <x v="1"/>
    <x v="12"/>
    <n v="1688"/>
    <n v="73137131.355202824"/>
    <n v="135812192.41999999"/>
    <n v="62675061.064797163"/>
  </r>
  <r>
    <x v="0"/>
    <x v="1"/>
    <x v="13"/>
    <n v="935"/>
    <n v="44349741.562123664"/>
    <n v="81705756.340000004"/>
    <n v="37356014.77787634"/>
  </r>
  <r>
    <x v="0"/>
    <x v="1"/>
    <x v="14"/>
    <n v="3668"/>
    <n v="204597932.17475325"/>
    <n v="341318090.57999998"/>
    <n v="136720158.40524673"/>
  </r>
  <r>
    <x v="0"/>
    <x v="1"/>
    <x v="15"/>
    <n v="545"/>
    <n v="37302351.416142792"/>
    <n v="64078437.760000005"/>
    <n v="26776086.343857214"/>
  </r>
  <r>
    <x v="0"/>
    <x v="1"/>
    <x v="16"/>
    <n v="742"/>
    <n v="111770894.71008655"/>
    <n v="175968365.86000001"/>
    <n v="64197471.14991346"/>
  </r>
  <r>
    <x v="0"/>
    <x v="1"/>
    <x v="17"/>
    <n v="2473"/>
    <n v="385410066.60627818"/>
    <n v="636433283.55000007"/>
    <n v="251023216.94372189"/>
  </r>
  <r>
    <x v="0"/>
    <x v="1"/>
    <x v="18"/>
    <n v="738"/>
    <n v="16349190.110958295"/>
    <n v="27521668.829999998"/>
    <n v="11172478.719041703"/>
  </r>
  <r>
    <x v="0"/>
    <x v="1"/>
    <x v="19"/>
    <n v="4955"/>
    <n v="84635057.763023227"/>
    <n v="114796795.78"/>
    <n v="30161738.016976774"/>
  </r>
  <r>
    <x v="0"/>
    <x v="1"/>
    <x v="20"/>
    <n v="1404"/>
    <n v="24143007.402133543"/>
    <n v="34939256.020000003"/>
    <n v="10796248.61786646"/>
  </r>
  <r>
    <x v="0"/>
    <x v="1"/>
    <x v="21"/>
    <n v="490"/>
    <n v="13068963.895412657"/>
    <n v="18532817.700000003"/>
    <n v="5463853.8045873456"/>
  </r>
  <r>
    <x v="0"/>
    <x v="1"/>
    <x v="22"/>
    <n v="4616"/>
    <n v="101518717.98515826"/>
    <n v="119617602.34"/>
    <n v="18098884.354841739"/>
  </r>
  <r>
    <x v="0"/>
    <x v="1"/>
    <x v="23"/>
    <n v="2272"/>
    <n v="54373961.501544707"/>
    <n v="64462404.410000004"/>
    <n v="10088442.908455297"/>
  </r>
  <r>
    <x v="0"/>
    <x v="1"/>
    <x v="24"/>
    <n v="1792"/>
    <n v="40026573.151916504"/>
    <n v="74354862.739999995"/>
    <n v="34328289.588083491"/>
  </r>
  <r>
    <x v="0"/>
    <x v="1"/>
    <x v="25"/>
    <n v="2038"/>
    <n v="61072543.19369968"/>
    <n v="100108407.89"/>
    <n v="39035864.69630032"/>
  </r>
  <r>
    <x v="0"/>
    <x v="1"/>
    <x v="26"/>
    <n v="233144"/>
    <n v="39241382.033677243"/>
    <n v="55628925.220000006"/>
    <n v="16387543.186322764"/>
  </r>
  <r>
    <x v="0"/>
    <x v="1"/>
    <x v="29"/>
    <n v="36909"/>
    <n v="246908146.19288734"/>
    <n v="326174919.75999999"/>
    <n v="79266773.567112654"/>
  </r>
  <r>
    <x v="0"/>
    <x v="1"/>
    <x v="30"/>
    <n v="1491"/>
    <n v="149274760.11101389"/>
    <n v="167971066.03999999"/>
    <n v="18696305.928986102"/>
  </r>
  <r>
    <x v="1"/>
    <x v="0"/>
    <x v="0"/>
    <n v="36116"/>
    <n v="3721508.7023675209"/>
    <n v="10096580.470000001"/>
    <n v="6375071.7676324798"/>
  </r>
  <r>
    <x v="1"/>
    <x v="0"/>
    <x v="1"/>
    <n v="1230400"/>
    <n v="82581988.643879563"/>
    <n v="138478545.32999998"/>
    <n v="55896556.686120421"/>
  </r>
  <r>
    <x v="1"/>
    <x v="0"/>
    <x v="2"/>
    <n v="371"/>
    <n v="32208722.262654323"/>
    <n v="66007069.460000001"/>
    <n v="33798347.197345674"/>
  </r>
  <r>
    <x v="1"/>
    <x v="0"/>
    <x v="3"/>
    <n v="13582"/>
    <n v="184052686.2819933"/>
    <n v="371605229.91000015"/>
    <n v="187552543.62800685"/>
  </r>
  <r>
    <x v="1"/>
    <x v="0"/>
    <x v="4"/>
    <n v="914180"/>
    <n v="240385046.90544137"/>
    <n v="347694846.98000002"/>
    <n v="107309800.07455865"/>
  </r>
  <r>
    <x v="1"/>
    <x v="0"/>
    <x v="5"/>
    <n v="57150"/>
    <n v="15327233.048995091"/>
    <n v="24267870.640000001"/>
    <n v="8940637.5910049099"/>
  </r>
  <r>
    <x v="1"/>
    <x v="0"/>
    <x v="6"/>
    <n v="846"/>
    <n v="14896653.539254108"/>
    <n v="37654274.43"/>
    <n v="22757620.890745893"/>
  </r>
  <r>
    <x v="1"/>
    <x v="0"/>
    <x v="7"/>
    <n v="21777"/>
    <n v="98362230.716354251"/>
    <n v="109664455.86999999"/>
    <n v="11302225.153645739"/>
  </r>
  <r>
    <x v="1"/>
    <x v="0"/>
    <x v="8"/>
    <n v="22"/>
    <n v="1399968.3615519232"/>
    <n v="2998134.39"/>
    <n v="1598166.0284480769"/>
  </r>
  <r>
    <x v="1"/>
    <x v="0"/>
    <x v="9"/>
    <n v="109"/>
    <n v="1123172.3684673016"/>
    <n v="1806098.98"/>
    <n v="682926.61153269839"/>
  </r>
  <r>
    <x v="1"/>
    <x v="0"/>
    <x v="10"/>
    <n v="7869"/>
    <n v="213593876.18251291"/>
    <n v="513952472"/>
    <n v="300358595.81748712"/>
  </r>
  <r>
    <x v="1"/>
    <x v="0"/>
    <x v="12"/>
    <n v="2580"/>
    <n v="96092820.297972351"/>
    <n v="195190713.46000004"/>
    <n v="99097893.162027687"/>
  </r>
  <r>
    <x v="1"/>
    <x v="0"/>
    <x v="13"/>
    <n v="1348"/>
    <n v="53137940.896118514"/>
    <n v="106518654.56"/>
    <n v="53380713.663881488"/>
  </r>
  <r>
    <x v="1"/>
    <x v="0"/>
    <x v="14"/>
    <n v="3951"/>
    <n v="218364975.81995183"/>
    <n v="363160800.55999994"/>
    <n v="144795824.74004811"/>
  </r>
  <r>
    <x v="1"/>
    <x v="0"/>
    <x v="15"/>
    <n v="633"/>
    <n v="40804244.559907138"/>
    <n v="67511766.479999989"/>
    <n v="26707521.920092851"/>
  </r>
  <r>
    <x v="1"/>
    <x v="0"/>
    <x v="16"/>
    <n v="665"/>
    <n v="60649117.182832882"/>
    <n v="141884234.01000002"/>
    <n v="81235116.827167138"/>
  </r>
  <r>
    <x v="1"/>
    <x v="0"/>
    <x v="17"/>
    <n v="2396"/>
    <n v="344548058.42878336"/>
    <n v="598573133.25999999"/>
    <n v="254025074.83121663"/>
  </r>
  <r>
    <x v="1"/>
    <x v="0"/>
    <x v="18"/>
    <n v="1462"/>
    <n v="28972602.047799829"/>
    <n v="50858602.079999998"/>
    <n v="21886000.032200169"/>
  </r>
  <r>
    <x v="1"/>
    <x v="0"/>
    <x v="19"/>
    <n v="11980"/>
    <n v="159397416.41766015"/>
    <n v="240364293.85000002"/>
    <n v="80966877.432339877"/>
  </r>
  <r>
    <x v="1"/>
    <x v="0"/>
    <x v="20"/>
    <n v="1513"/>
    <n v="21683055.479127914"/>
    <n v="37042645.93"/>
    <n v="15359590.450872086"/>
  </r>
  <r>
    <x v="1"/>
    <x v="0"/>
    <x v="21"/>
    <n v="4659"/>
    <n v="122814307.93294922"/>
    <n v="161010508.95999998"/>
    <n v="38196201.027050763"/>
  </r>
  <r>
    <x v="1"/>
    <x v="0"/>
    <x v="22"/>
    <n v="8907"/>
    <n v="158216496.95670727"/>
    <n v="205570679.55999997"/>
    <n v="47354182.603292704"/>
  </r>
  <r>
    <x v="1"/>
    <x v="0"/>
    <x v="23"/>
    <n v="3337"/>
    <n v="69859616.523094043"/>
    <n v="88931640.519999996"/>
    <n v="19072023.996905953"/>
  </r>
  <r>
    <x v="1"/>
    <x v="0"/>
    <x v="24"/>
    <n v="1902"/>
    <n v="37092669.406881392"/>
    <n v="76627801.25"/>
    <n v="39535131.843118608"/>
  </r>
  <r>
    <x v="1"/>
    <x v="0"/>
    <x v="25"/>
    <n v="3131"/>
    <n v="97202440.112323135"/>
    <n v="144462260.40000001"/>
    <n v="47259820.287676871"/>
  </r>
  <r>
    <x v="1"/>
    <x v="0"/>
    <x v="26"/>
    <n v="309281"/>
    <n v="35450344.982784435"/>
    <n v="73909003.62000002"/>
    <n v="38458658.637215585"/>
  </r>
  <r>
    <x v="1"/>
    <x v="0"/>
    <x v="28"/>
    <n v="10"/>
    <n v="30000000"/>
    <n v="32400000"/>
    <n v="2400000"/>
  </r>
  <r>
    <x v="1"/>
    <x v="0"/>
    <x v="29"/>
    <n v="36619"/>
    <n v="269854967.86504239"/>
    <n v="342552650.00999999"/>
    <n v="72697682.144957602"/>
  </r>
  <r>
    <x v="1"/>
    <x v="0"/>
    <x v="30"/>
    <n v="295"/>
    <n v="34433525.176546723"/>
    <n v="39498600"/>
    <n v="5065074.8234532773"/>
  </r>
  <r>
    <x v="1"/>
    <x v="1"/>
    <x v="0"/>
    <n v="13349"/>
    <n v="5663945.8485291936"/>
    <n v="8687211.5899999999"/>
    <n v="3023265.7414708063"/>
  </r>
  <r>
    <x v="1"/>
    <x v="1"/>
    <x v="1"/>
    <n v="1373894"/>
    <n v="145743819.06770176"/>
    <n v="158055980.29000002"/>
    <n v="12312161.222298265"/>
  </r>
  <r>
    <x v="1"/>
    <x v="1"/>
    <x v="2"/>
    <n v="338"/>
    <n v="30467384.452867527"/>
    <n v="53844460.039999999"/>
    <n v="23377075.587132473"/>
  </r>
  <r>
    <x v="1"/>
    <x v="1"/>
    <x v="3"/>
    <n v="11564"/>
    <n v="178005327.25228763"/>
    <n v="336495015.67999995"/>
    <n v="158489688.42771232"/>
  </r>
  <r>
    <x v="1"/>
    <x v="1"/>
    <x v="4"/>
    <n v="1055160"/>
    <n v="349401691.80857939"/>
    <n v="416377408.72999996"/>
    <n v="66975716.921420574"/>
  </r>
  <r>
    <x v="1"/>
    <x v="1"/>
    <x v="5"/>
    <n v="110700"/>
    <n v="39661159.27663897"/>
    <n v="50256289.809999995"/>
    <n v="10595130.533361025"/>
  </r>
  <r>
    <x v="1"/>
    <x v="1"/>
    <x v="6"/>
    <n v="1206"/>
    <n v="19625770.933307782"/>
    <n v="51419334.270000011"/>
    <n v="31793563.336692229"/>
  </r>
  <r>
    <x v="1"/>
    <x v="1"/>
    <x v="7"/>
    <n v="24660"/>
    <n v="118821230.37348884"/>
    <n v="122807639.84"/>
    <n v="3986409.4665111601"/>
  </r>
  <r>
    <x v="1"/>
    <x v="1"/>
    <x v="27"/>
    <n v="777.3"/>
    <n v="0"/>
    <n v="13480770"/>
    <n v="13480770"/>
  </r>
  <r>
    <x v="1"/>
    <x v="1"/>
    <x v="8"/>
    <n v="66"/>
    <n v="2423772.7071527615"/>
    <n v="4432290.83"/>
    <n v="2008518.1228472386"/>
  </r>
  <r>
    <x v="1"/>
    <x v="1"/>
    <x v="9"/>
    <n v="128"/>
    <n v="1799024.0120178675"/>
    <n v="2767579.91"/>
    <n v="968555.89798213262"/>
  </r>
  <r>
    <x v="1"/>
    <x v="1"/>
    <x v="10"/>
    <n v="5402"/>
    <n v="190672762.16844845"/>
    <n v="383422800"/>
    <n v="192750037.83155155"/>
  </r>
  <r>
    <x v="1"/>
    <x v="1"/>
    <x v="11"/>
    <n v="259"/>
    <n v="8114502.0227617566"/>
    <n v="9595042.0600000005"/>
    <n v="1480540.037238244"/>
  </r>
  <r>
    <x v="1"/>
    <x v="1"/>
    <x v="12"/>
    <n v="3375"/>
    <n v="145657110.85967672"/>
    <n v="280440857.15000004"/>
    <n v="134783746.29032332"/>
  </r>
  <r>
    <x v="1"/>
    <x v="1"/>
    <x v="13"/>
    <n v="1184"/>
    <n v="54980147.867203571"/>
    <n v="110396803.59"/>
    <n v="55416655.722796433"/>
  </r>
  <r>
    <x v="1"/>
    <x v="1"/>
    <x v="14"/>
    <n v="4861"/>
    <n v="268495124.94350421"/>
    <n v="463491521.47999996"/>
    <n v="194996396.53649575"/>
  </r>
  <r>
    <x v="1"/>
    <x v="1"/>
    <x v="15"/>
    <n v="746"/>
    <n v="48714155.440570861"/>
    <n v="83027328.390000001"/>
    <n v="34313172.949429139"/>
  </r>
  <r>
    <x v="1"/>
    <x v="1"/>
    <x v="16"/>
    <n v="899"/>
    <n v="112844233.16903055"/>
    <n v="188864440.35999998"/>
    <n v="76020207.190969437"/>
  </r>
  <r>
    <x v="1"/>
    <x v="1"/>
    <x v="17"/>
    <n v="2809"/>
    <n v="439318687.48813313"/>
    <n v="712638505.77000022"/>
    <n v="273319818.28186709"/>
  </r>
  <r>
    <x v="1"/>
    <x v="1"/>
    <x v="18"/>
    <n v="769"/>
    <n v="17262008.936039403"/>
    <n v="30091481.299999997"/>
    <n v="12829472.363960594"/>
  </r>
  <r>
    <x v="1"/>
    <x v="1"/>
    <x v="19"/>
    <n v="5713"/>
    <n v="92476085.670610428"/>
    <n v="132933229.22999999"/>
    <n v="40457143.559389561"/>
  </r>
  <r>
    <x v="1"/>
    <x v="1"/>
    <x v="20"/>
    <n v="1374"/>
    <n v="23947166.934696138"/>
    <n v="33153085.82"/>
    <n v="9205918.8853038624"/>
  </r>
  <r>
    <x v="1"/>
    <x v="1"/>
    <x v="21"/>
    <n v="4256"/>
    <n v="102768571.32595272"/>
    <n v="155854772.87"/>
    <n v="53086201.544047281"/>
  </r>
  <r>
    <x v="1"/>
    <x v="1"/>
    <x v="22"/>
    <n v="8001"/>
    <n v="141074948.78075966"/>
    <n v="191768145.47"/>
    <n v="50693196.689240336"/>
  </r>
  <r>
    <x v="1"/>
    <x v="1"/>
    <x v="23"/>
    <n v="2801"/>
    <n v="59211685.13215255"/>
    <n v="77312430.350000024"/>
    <n v="18100745.217847474"/>
  </r>
  <r>
    <x v="1"/>
    <x v="1"/>
    <x v="24"/>
    <n v="1438"/>
    <n v="31291379.195868809"/>
    <n v="57244392.389999993"/>
    <n v="25953013.194131184"/>
  </r>
  <r>
    <x v="1"/>
    <x v="1"/>
    <x v="25"/>
    <n v="2365"/>
    <n v="71058573.209392652"/>
    <n v="117087758.01000001"/>
    <n v="46029184.800607353"/>
  </r>
  <r>
    <x v="1"/>
    <x v="1"/>
    <x v="26"/>
    <n v="346514"/>
    <n v="58851511.867365554"/>
    <n v="84156289.829999998"/>
    <n v="25304777.962634444"/>
  </r>
  <r>
    <x v="1"/>
    <x v="1"/>
    <x v="28"/>
    <n v="3"/>
    <n v="7520000"/>
    <n v="11170000"/>
    <n v="3650000"/>
  </r>
  <r>
    <x v="1"/>
    <x v="1"/>
    <x v="29"/>
    <n v="47066"/>
    <n v="303816449.41315734"/>
    <n v="408090759.99000001"/>
    <n v="104274310.57684267"/>
  </r>
  <r>
    <x v="1"/>
    <x v="1"/>
    <x v="30"/>
    <n v="3627"/>
    <n v="403594443.6956073"/>
    <n v="436541651.95999998"/>
    <n v="32947208.264392674"/>
  </r>
  <r>
    <x v="2"/>
    <x v="0"/>
    <x v="0"/>
    <n v="45450"/>
    <n v="5282808.4288434032"/>
    <n v="10537397.580000002"/>
    <n v="5254589.1511565987"/>
  </r>
  <r>
    <x v="2"/>
    <x v="0"/>
    <x v="1"/>
    <n v="1109000"/>
    <n v="79622553.337666303"/>
    <n v="123801634.53"/>
    <n v="44179081.192333698"/>
  </r>
  <r>
    <x v="2"/>
    <x v="0"/>
    <x v="2"/>
    <n v="200"/>
    <n v="18972847.889265634"/>
    <n v="36515971.039999999"/>
    <n v="17543123.150734365"/>
  </r>
  <r>
    <x v="2"/>
    <x v="0"/>
    <x v="3"/>
    <n v="12561"/>
    <n v="185332739.39051485"/>
    <n v="361003547.88000005"/>
    <n v="175670808.4894852"/>
  </r>
  <r>
    <x v="2"/>
    <x v="0"/>
    <x v="4"/>
    <n v="837160"/>
    <n v="230896663.5956693"/>
    <n v="323550346.83999997"/>
    <n v="92653683.244330674"/>
  </r>
  <r>
    <x v="2"/>
    <x v="0"/>
    <x v="5"/>
    <n v="97120"/>
    <n v="30713275.479111619"/>
    <n v="43772017.030000001"/>
    <n v="13058741.550888382"/>
  </r>
  <r>
    <x v="2"/>
    <x v="0"/>
    <x v="6"/>
    <n v="410"/>
    <n v="8254871.9269525046"/>
    <n v="19058079.140000001"/>
    <n v="10803207.213047497"/>
  </r>
  <r>
    <x v="2"/>
    <x v="0"/>
    <x v="7"/>
    <n v="37911"/>
    <n v="180955178.86145931"/>
    <n v="193313159.13"/>
    <n v="12357980.26854068"/>
  </r>
  <r>
    <x v="2"/>
    <x v="0"/>
    <x v="27"/>
    <n v="1169.5999999999999"/>
    <n v="0"/>
    <n v="28861520"/>
    <n v="28861520"/>
  </r>
  <r>
    <x v="2"/>
    <x v="0"/>
    <x v="8"/>
    <n v="71"/>
    <n v="3907171.2214040421"/>
    <n v="8388827.5199999996"/>
    <n v="4481656.2985959575"/>
  </r>
  <r>
    <x v="2"/>
    <x v="0"/>
    <x v="9"/>
    <n v="36"/>
    <n v="411542.4736020097"/>
    <n v="655376.15"/>
    <n v="243833.67639799032"/>
  </r>
  <r>
    <x v="2"/>
    <x v="0"/>
    <x v="10"/>
    <n v="4845"/>
    <n v="138593087.15636408"/>
    <n v="331523338.32999998"/>
    <n v="192930251.1736359"/>
  </r>
  <r>
    <x v="2"/>
    <x v="0"/>
    <x v="12"/>
    <n v="2607"/>
    <n v="102902590.99736851"/>
    <n v="198065370.85999998"/>
    <n v="95162779.86263147"/>
  </r>
  <r>
    <x v="2"/>
    <x v="0"/>
    <x v="13"/>
    <n v="1335"/>
    <n v="56549406.720209032"/>
    <n v="110352924.00000001"/>
    <n v="53803517.279790983"/>
  </r>
  <r>
    <x v="2"/>
    <x v="0"/>
    <x v="14"/>
    <n v="4546"/>
    <n v="259028788.71690455"/>
    <n v="409104823.01999998"/>
    <n v="150076034.30309543"/>
  </r>
  <r>
    <x v="2"/>
    <x v="0"/>
    <x v="15"/>
    <n v="456"/>
    <n v="30054658.23461847"/>
    <n v="47558599.569999993"/>
    <n v="17503941.335381523"/>
  </r>
  <r>
    <x v="2"/>
    <x v="0"/>
    <x v="16"/>
    <n v="899"/>
    <n v="84621788.905463353"/>
    <n v="185795294.54000002"/>
    <n v="101173505.63453667"/>
  </r>
  <r>
    <x v="2"/>
    <x v="0"/>
    <x v="17"/>
    <n v="2306"/>
    <n v="336226614.85875666"/>
    <n v="563448139.88000011"/>
    <n v="227221525.02124345"/>
  </r>
  <r>
    <x v="2"/>
    <x v="0"/>
    <x v="18"/>
    <n v="1602"/>
    <n v="34332605.332352884"/>
    <n v="52279746.440000005"/>
    <n v="17947141.107647121"/>
  </r>
  <r>
    <x v="2"/>
    <x v="0"/>
    <x v="19"/>
    <n v="7788"/>
    <n v="110614469.54093097"/>
    <n v="178842759.73000002"/>
    <n v="68228290.189069048"/>
  </r>
  <r>
    <x v="2"/>
    <x v="0"/>
    <x v="20"/>
    <n v="3995"/>
    <n v="60427516.622520953"/>
    <n v="97509540.710000008"/>
    <n v="37082024.087479055"/>
  </r>
  <r>
    <x v="2"/>
    <x v="0"/>
    <x v="21"/>
    <n v="4530"/>
    <n v="126472935.32395847"/>
    <n v="156840672.95999998"/>
    <n v="30367737.636041507"/>
  </r>
  <r>
    <x v="2"/>
    <x v="0"/>
    <x v="22"/>
    <n v="7525"/>
    <n v="145675001.00978014"/>
    <n v="175236755.94"/>
    <n v="29561754.930219859"/>
  </r>
  <r>
    <x v="2"/>
    <x v="0"/>
    <x v="23"/>
    <n v="3659"/>
    <n v="77641385.627475411"/>
    <n v="93437085.280000001"/>
    <n v="15795699.65252459"/>
  </r>
  <r>
    <x v="2"/>
    <x v="0"/>
    <x v="24"/>
    <n v="3009"/>
    <n v="60444525.996625766"/>
    <n v="117311555.92"/>
    <n v="56867029.923374236"/>
  </r>
  <r>
    <x v="2"/>
    <x v="0"/>
    <x v="25"/>
    <n v="2695"/>
    <n v="87352154.371281996"/>
    <n v="124678683.06"/>
    <n v="37326528.688718006"/>
  </r>
  <r>
    <x v="2"/>
    <x v="0"/>
    <x v="26"/>
    <n v="311743"/>
    <n v="40292691.353384636"/>
    <n v="75456356.099999994"/>
    <n v="35163664.746615358"/>
  </r>
  <r>
    <x v="2"/>
    <x v="0"/>
    <x v="28"/>
    <n v="29"/>
    <n v="70325000"/>
    <n v="93960000"/>
    <n v="23635000"/>
  </r>
  <r>
    <x v="2"/>
    <x v="0"/>
    <x v="29"/>
    <n v="34788"/>
    <n v="235270759.07728395"/>
    <n v="289596855.19999999"/>
    <n v="54326096.122716039"/>
  </r>
  <r>
    <x v="2"/>
    <x v="0"/>
    <x v="30"/>
    <n v="590"/>
    <n v="86712910.719275355"/>
    <n v="97980900"/>
    <n v="11267989.280724645"/>
  </r>
  <r>
    <x v="2"/>
    <x v="1"/>
    <x v="0"/>
    <n v="18136"/>
    <n v="9855312.6705088113"/>
    <n v="8490650.4700000007"/>
    <n v="-1364662.2005088106"/>
  </r>
  <r>
    <x v="2"/>
    <x v="1"/>
    <x v="1"/>
    <n v="1114700"/>
    <n v="104124184.18864258"/>
    <n v="125509622.66000001"/>
    <n v="21385438.471357435"/>
  </r>
  <r>
    <x v="2"/>
    <x v="1"/>
    <x v="2"/>
    <n v="45"/>
    <n v="4846631.7508423347"/>
    <n v="9120644.459999999"/>
    <n v="4274012.7091576643"/>
  </r>
  <r>
    <x v="2"/>
    <x v="1"/>
    <x v="3"/>
    <n v="11844"/>
    <n v="186413982.45529297"/>
    <n v="319585871.23000008"/>
    <n v="133171888.77470711"/>
  </r>
  <r>
    <x v="2"/>
    <x v="1"/>
    <x v="4"/>
    <n v="880794"/>
    <n v="286095224.00831521"/>
    <n v="346869302.46000004"/>
    <n v="60774078.451684833"/>
  </r>
  <r>
    <x v="2"/>
    <x v="1"/>
    <x v="5"/>
    <n v="67770"/>
    <n v="25496905.540839896"/>
    <n v="30577122.57"/>
    <n v="5080217.0291601047"/>
  </r>
  <r>
    <x v="2"/>
    <x v="1"/>
    <x v="6"/>
    <n v="521"/>
    <n v="7339880.5719349869"/>
    <n v="19566727.16"/>
    <n v="12226846.588065013"/>
  </r>
  <r>
    <x v="2"/>
    <x v="1"/>
    <x v="7"/>
    <n v="35170"/>
    <n v="179780288.72754976"/>
    <n v="171697139.63999999"/>
    <n v="-8083149.0875497758"/>
  </r>
  <r>
    <x v="2"/>
    <x v="1"/>
    <x v="27"/>
    <n v="5120.7"/>
    <n v="0"/>
    <n v="12544210"/>
    <n v="12544210"/>
  </r>
  <r>
    <x v="2"/>
    <x v="1"/>
    <x v="8"/>
    <n v="49"/>
    <n v="3057351.5619946201"/>
    <n v="6046265.4800000004"/>
    <n v="2988913.9180053803"/>
  </r>
  <r>
    <x v="2"/>
    <x v="1"/>
    <x v="9"/>
    <n v="38"/>
    <n v="420775.92397829716"/>
    <n v="686059.03"/>
    <n v="265283.10602170287"/>
  </r>
  <r>
    <x v="2"/>
    <x v="1"/>
    <x v="10"/>
    <n v="7924"/>
    <n v="238358900.60440522"/>
    <n v="448552700"/>
    <n v="210193799.39559478"/>
  </r>
  <r>
    <x v="2"/>
    <x v="1"/>
    <x v="11"/>
    <n v="80"/>
    <n v="1434588.1044234019"/>
    <n v="2857680.11"/>
    <n v="1423092.005576598"/>
  </r>
  <r>
    <x v="2"/>
    <x v="1"/>
    <x v="12"/>
    <n v="2277"/>
    <n v="98165256.681873471"/>
    <n v="176560213.47"/>
    <n v="78394956.788126528"/>
  </r>
  <r>
    <x v="2"/>
    <x v="1"/>
    <x v="13"/>
    <n v="776"/>
    <n v="38482757.86027205"/>
    <n v="72159723.230000004"/>
    <n v="33676965.369727954"/>
  </r>
  <r>
    <x v="2"/>
    <x v="1"/>
    <x v="14"/>
    <n v="4262"/>
    <n v="242490895.53042942"/>
    <n v="396663245.60000002"/>
    <n v="154172350.0695706"/>
  </r>
  <r>
    <x v="2"/>
    <x v="1"/>
    <x v="15"/>
    <n v="540"/>
    <n v="35912715.535703436"/>
    <n v="58604983.609999999"/>
    <n v="22692268.074296564"/>
  </r>
  <r>
    <x v="2"/>
    <x v="1"/>
    <x v="16"/>
    <n v="612"/>
    <n v="82451391.362272069"/>
    <n v="131896803.51000001"/>
    <n v="49445412.147727937"/>
  </r>
  <r>
    <x v="2"/>
    <x v="1"/>
    <x v="17"/>
    <n v="2558"/>
    <n v="415380268.89459604"/>
    <n v="628303278.56999993"/>
    <n v="212923009.67540389"/>
  </r>
  <r>
    <x v="2"/>
    <x v="1"/>
    <x v="18"/>
    <n v="1175"/>
    <n v="25500470.804217473"/>
    <n v="42756740.609999999"/>
    <n v="17256269.805782527"/>
  </r>
  <r>
    <x v="2"/>
    <x v="1"/>
    <x v="19"/>
    <n v="14000"/>
    <n v="240593236.45158282"/>
    <n v="298923954.38"/>
    <n v="58330717.928417176"/>
  </r>
  <r>
    <x v="2"/>
    <x v="1"/>
    <x v="20"/>
    <n v="1943"/>
    <n v="34580217.343862355"/>
    <n v="47247347.950000003"/>
    <n v="12667130.606137648"/>
  </r>
  <r>
    <x v="2"/>
    <x v="1"/>
    <x v="21"/>
    <n v="4403"/>
    <n v="112316972.70457175"/>
    <n v="161447480.47999999"/>
    <n v="49130507.775428236"/>
  </r>
  <r>
    <x v="2"/>
    <x v="1"/>
    <x v="22"/>
    <n v="6012"/>
    <n v="113647380.47753762"/>
    <n v="143123798.91999999"/>
    <n v="29476418.44246237"/>
  </r>
  <r>
    <x v="2"/>
    <x v="1"/>
    <x v="23"/>
    <n v="2305"/>
    <n v="52373483.874455057"/>
    <n v="64115873"/>
    <n v="11742389.125544943"/>
  </r>
  <r>
    <x v="2"/>
    <x v="1"/>
    <x v="24"/>
    <n v="1898"/>
    <n v="42284749.606039174"/>
    <n v="76536875.039999992"/>
    <n v="34252125.433960818"/>
  </r>
  <r>
    <x v="2"/>
    <x v="1"/>
    <x v="25"/>
    <n v="2707"/>
    <n v="83822396.930616647"/>
    <n v="132285242.80999999"/>
    <n v="48462845.87938334"/>
  </r>
  <r>
    <x v="2"/>
    <x v="1"/>
    <x v="26"/>
    <n v="259082"/>
    <n v="50127715.876307376"/>
    <n v="70260041.090000004"/>
    <n v="20132325.213692628"/>
  </r>
  <r>
    <x v="2"/>
    <x v="1"/>
    <x v="29"/>
    <n v="61084"/>
    <n v="367741292.24466044"/>
    <n v="505009199.82999998"/>
    <n v="137267907.58533955"/>
  </r>
  <r>
    <x v="2"/>
    <x v="1"/>
    <x v="30"/>
    <n v="7998"/>
    <n v="841193223.60457897"/>
    <n v="911209340"/>
    <n v="70016116.395421028"/>
  </r>
  <r>
    <x v="3"/>
    <x v="0"/>
    <x v="0"/>
    <n v="38543"/>
    <n v="5129583.2767721331"/>
    <n v="12224093.35"/>
    <n v="7094510.0732278666"/>
  </r>
  <r>
    <x v="3"/>
    <x v="0"/>
    <x v="1"/>
    <n v="775200"/>
    <n v="61156324.712365463"/>
    <n v="91124453.050000012"/>
    <n v="29968128.337634549"/>
  </r>
  <r>
    <x v="3"/>
    <x v="0"/>
    <x v="2"/>
    <n v="52"/>
    <n v="5663150.0613980833"/>
    <n v="10912464.729999999"/>
    <n v="5249314.6686019152"/>
  </r>
  <r>
    <x v="3"/>
    <x v="0"/>
    <x v="3"/>
    <n v="11962"/>
    <n v="178575406.16594547"/>
    <n v="339816402.02999997"/>
    <n v="161240995.8640545"/>
  </r>
  <r>
    <x v="3"/>
    <x v="0"/>
    <x v="4"/>
    <n v="506360"/>
    <n v="140615739.70234886"/>
    <n v="198633700.06"/>
    <n v="58017960.357651144"/>
  </r>
  <r>
    <x v="3"/>
    <x v="0"/>
    <x v="5"/>
    <n v="72650"/>
    <n v="22433063.118340701"/>
    <n v="33988881.140000001"/>
    <n v="11555818.0216593"/>
  </r>
  <r>
    <x v="3"/>
    <x v="0"/>
    <x v="6"/>
    <n v="620"/>
    <n v="13541916.512752553"/>
    <n v="32232108.810000002"/>
    <n v="18690192.297247447"/>
  </r>
  <r>
    <x v="3"/>
    <x v="0"/>
    <x v="7"/>
    <n v="13638"/>
    <n v="70853182.291923225"/>
    <n v="69446539.429999992"/>
    <n v="-1406642.8619232327"/>
  </r>
  <r>
    <x v="3"/>
    <x v="0"/>
    <x v="27"/>
    <n v="2565.3000000000002"/>
    <n v="0"/>
    <n v="48756580"/>
    <n v="48756580"/>
  </r>
  <r>
    <x v="3"/>
    <x v="0"/>
    <x v="8"/>
    <n v="134"/>
    <n v="5441492.0939253932"/>
    <n v="12562778.809999999"/>
    <n v="7121286.7160746055"/>
  </r>
  <r>
    <x v="3"/>
    <x v="0"/>
    <x v="9"/>
    <n v="16"/>
    <n v="135137.17740212515"/>
    <n v="259419.17"/>
    <n v="124281.99259787487"/>
  </r>
  <r>
    <x v="3"/>
    <x v="0"/>
    <x v="10"/>
    <n v="4383"/>
    <n v="133531436.14267035"/>
    <n v="296518444"/>
    <n v="162987007.85732967"/>
  </r>
  <r>
    <x v="3"/>
    <x v="0"/>
    <x v="11"/>
    <n v="193"/>
    <n v="4547975.5514884256"/>
    <n v="6043023.2400000002"/>
    <n v="1495047.6885115746"/>
  </r>
  <r>
    <x v="3"/>
    <x v="0"/>
    <x v="12"/>
    <n v="2391"/>
    <n v="97794073.418375969"/>
    <n v="191566393.63"/>
    <n v="93772320.211624026"/>
  </r>
  <r>
    <x v="3"/>
    <x v="0"/>
    <x v="13"/>
    <n v="689"/>
    <n v="32482508.495825313"/>
    <n v="68356809.539999992"/>
    <n v="35874301.044174679"/>
  </r>
  <r>
    <x v="3"/>
    <x v="0"/>
    <x v="14"/>
    <n v="3761"/>
    <n v="223023759.49118531"/>
    <n v="353150783.15999997"/>
    <n v="130127023.66881466"/>
  </r>
  <r>
    <x v="3"/>
    <x v="0"/>
    <x v="15"/>
    <n v="502"/>
    <n v="34095891.025926419"/>
    <n v="54376702.969999999"/>
    <n v="20280811.94407358"/>
  </r>
  <r>
    <x v="3"/>
    <x v="0"/>
    <x v="16"/>
    <n v="502"/>
    <n v="47517433.628901877"/>
    <n v="106404470.7"/>
    <n v="58887037.071098126"/>
  </r>
  <r>
    <x v="3"/>
    <x v="0"/>
    <x v="17"/>
    <n v="2069"/>
    <n v="298750127.88140857"/>
    <n v="531949267.08000004"/>
    <n v="233199139.19859147"/>
  </r>
  <r>
    <x v="3"/>
    <x v="0"/>
    <x v="18"/>
    <n v="1715"/>
    <n v="39338655.519371212"/>
    <n v="68445550.039999992"/>
    <n v="29106894.52062878"/>
  </r>
  <r>
    <x v="3"/>
    <x v="0"/>
    <x v="19"/>
    <n v="8999"/>
    <n v="139627128.62759855"/>
    <n v="208781004.26000002"/>
    <n v="69153875.632401466"/>
  </r>
  <r>
    <x v="3"/>
    <x v="0"/>
    <x v="20"/>
    <n v="1602"/>
    <n v="25553508.15393823"/>
    <n v="40679894.490000002"/>
    <n v="15126386.336061772"/>
  </r>
  <r>
    <x v="3"/>
    <x v="0"/>
    <x v="21"/>
    <n v="3600"/>
    <n v="108117555.00922893"/>
    <n v="131636893.08"/>
    <n v="23519338.070771068"/>
  </r>
  <r>
    <x v="3"/>
    <x v="0"/>
    <x v="22"/>
    <n v="8667"/>
    <n v="172900406.74676254"/>
    <n v="208302291.68000004"/>
    <n v="35401884.933237493"/>
  </r>
  <r>
    <x v="3"/>
    <x v="0"/>
    <x v="23"/>
    <n v="2202"/>
    <n v="51035424.616960593"/>
    <n v="63163632.399999999"/>
    <n v="12128207.783039406"/>
  </r>
  <r>
    <x v="3"/>
    <x v="0"/>
    <x v="24"/>
    <n v="2158"/>
    <n v="45251608.3868699"/>
    <n v="84501195.939999998"/>
    <n v="39249587.553130098"/>
  </r>
  <r>
    <x v="3"/>
    <x v="0"/>
    <x v="25"/>
    <n v="1935"/>
    <n v="65533468.171382651"/>
    <n v="94152892.929999992"/>
    <n v="28619424.758617342"/>
  </r>
  <r>
    <x v="3"/>
    <x v="0"/>
    <x v="26"/>
    <n v="166080"/>
    <n v="21602166.083036896"/>
    <n v="43084578.449999996"/>
    <n v="21482412.3669631"/>
  </r>
  <r>
    <x v="3"/>
    <x v="0"/>
    <x v="28"/>
    <n v="5"/>
    <n v="12125000"/>
    <n v="16200000"/>
    <n v="4075000"/>
  </r>
  <r>
    <x v="3"/>
    <x v="0"/>
    <x v="29"/>
    <n v="39516"/>
    <n v="275367692.73745728"/>
    <n v="342461420.12"/>
    <n v="67093727.382542729"/>
  </r>
  <r>
    <x v="3"/>
    <x v="0"/>
    <x v="30"/>
    <n v="572"/>
    <n v="70789873.381870165"/>
    <n v="79050850"/>
    <n v="8260976.6181298345"/>
  </r>
  <r>
    <x v="3"/>
    <x v="1"/>
    <x v="0"/>
    <n v="40317"/>
    <n v="13962215.757125268"/>
    <n v="-371733.40999999992"/>
    <n v="-14333949.167125268"/>
  </r>
  <r>
    <x v="3"/>
    <x v="1"/>
    <x v="1"/>
    <n v="1098800"/>
    <n v="133598795.98239079"/>
    <n v="127566164.34999999"/>
    <n v="-6032631.6323907971"/>
  </r>
  <r>
    <x v="3"/>
    <x v="1"/>
    <x v="2"/>
    <n v="202"/>
    <n v="21951409.412382256"/>
    <n v="38989420.100000001"/>
    <n v="17038010.687617745"/>
  </r>
  <r>
    <x v="3"/>
    <x v="1"/>
    <x v="3"/>
    <n v="10779"/>
    <n v="181509424.14011195"/>
    <n v="312923567.37999994"/>
    <n v="131414143.23988798"/>
  </r>
  <r>
    <x v="3"/>
    <x v="1"/>
    <x v="4"/>
    <n v="932472"/>
    <n v="305840948.27819264"/>
    <n v="361578395.45999998"/>
    <n v="55737447.181807339"/>
  </r>
  <r>
    <x v="3"/>
    <x v="1"/>
    <x v="5"/>
    <n v="113184"/>
    <n v="47554082.473455667"/>
    <n v="51687073.729999997"/>
    <n v="4132991.2565443292"/>
  </r>
  <r>
    <x v="3"/>
    <x v="1"/>
    <x v="6"/>
    <n v="629"/>
    <n v="12282459.293605259"/>
    <n v="29975310.530000001"/>
    <n v="17692851.236394741"/>
  </r>
  <r>
    <x v="3"/>
    <x v="1"/>
    <x v="7"/>
    <n v="40080"/>
    <n v="212831816.07306823"/>
    <n v="196471918.97"/>
    <n v="-16359897.103068233"/>
  </r>
  <r>
    <x v="3"/>
    <x v="1"/>
    <x v="27"/>
    <n v="4460.3500000000004"/>
    <n v="0"/>
    <n v="10945785"/>
    <n v="10945785"/>
  </r>
  <r>
    <x v="3"/>
    <x v="1"/>
    <x v="8"/>
    <n v="22"/>
    <n v="1206768.7177928223"/>
    <n v="2318435.9799999995"/>
    <n v="1111667.2622071772"/>
  </r>
  <r>
    <x v="3"/>
    <x v="1"/>
    <x v="9"/>
    <n v="30"/>
    <n v="217233.22776998259"/>
    <n v="576340"/>
    <n v="359106.77223001741"/>
  </r>
  <r>
    <x v="3"/>
    <x v="1"/>
    <x v="10"/>
    <n v="5272"/>
    <n v="177471042.6977368"/>
    <n v="333150804.01999998"/>
    <n v="155679761.32226318"/>
  </r>
  <r>
    <x v="3"/>
    <x v="1"/>
    <x v="11"/>
    <n v="180"/>
    <n v="3589301.8969736709"/>
    <n v="5635980.2199999997"/>
    <n v="2046678.3230263288"/>
  </r>
  <r>
    <x v="3"/>
    <x v="1"/>
    <x v="12"/>
    <n v="2848"/>
    <n v="120590817.71677342"/>
    <n v="207720985.98000002"/>
    <n v="87130168.263226599"/>
  </r>
  <r>
    <x v="3"/>
    <x v="1"/>
    <x v="13"/>
    <n v="1702"/>
    <n v="86729291.193674892"/>
    <n v="168941010.64000002"/>
    <n v="82211719.446325123"/>
  </r>
  <r>
    <x v="3"/>
    <x v="1"/>
    <x v="14"/>
    <n v="6346"/>
    <n v="349477533.64949709"/>
    <n v="560663067.76999998"/>
    <n v="211185534.12050289"/>
  </r>
  <r>
    <x v="3"/>
    <x v="1"/>
    <x v="15"/>
    <n v="570"/>
    <n v="39217211.685459152"/>
    <n v="62880874.720000006"/>
    <n v="23663663.034540854"/>
  </r>
  <r>
    <x v="3"/>
    <x v="1"/>
    <x v="16"/>
    <n v="366"/>
    <n v="57694600.935096808"/>
    <n v="103639966.71000001"/>
    <n v="45945365.774903201"/>
  </r>
  <r>
    <x v="3"/>
    <x v="1"/>
    <x v="17"/>
    <n v="2163"/>
    <n v="391520292.03179479"/>
    <n v="613393312.25000012"/>
    <n v="221873020.21820533"/>
  </r>
  <r>
    <x v="3"/>
    <x v="1"/>
    <x v="18"/>
    <n v="313"/>
    <n v="9280498.6601658072"/>
    <n v="17540754.43"/>
    <n v="8260255.7698341925"/>
  </r>
  <r>
    <x v="3"/>
    <x v="1"/>
    <x v="19"/>
    <n v="5854"/>
    <n v="99859949.114426047"/>
    <n v="137002782.72999999"/>
    <n v="37142833.615573943"/>
  </r>
  <r>
    <x v="3"/>
    <x v="1"/>
    <x v="20"/>
    <n v="1158"/>
    <n v="21491172.983119804"/>
    <n v="29417978"/>
    <n v="7926805.0168801956"/>
  </r>
  <r>
    <x v="3"/>
    <x v="1"/>
    <x v="21"/>
    <n v="1287"/>
    <n v="33392796.121672839"/>
    <n v="48345821.68"/>
    <n v="14953025.558327161"/>
  </r>
  <r>
    <x v="3"/>
    <x v="1"/>
    <x v="22"/>
    <n v="6579"/>
    <n v="126728824.65890692"/>
    <n v="160655968.37999997"/>
    <n v="33927143.721093044"/>
  </r>
  <r>
    <x v="3"/>
    <x v="1"/>
    <x v="23"/>
    <n v="3062"/>
    <n v="72529733.150353432"/>
    <n v="88216962.189999998"/>
    <n v="15687229.039646566"/>
  </r>
  <r>
    <x v="3"/>
    <x v="1"/>
    <x v="24"/>
    <n v="1538"/>
    <n v="35232257.320571475"/>
    <n v="60958972.589999996"/>
    <n v="25726715.269428521"/>
  </r>
  <r>
    <x v="3"/>
    <x v="1"/>
    <x v="25"/>
    <n v="2506"/>
    <n v="77739019.132348582"/>
    <n v="117965501.02"/>
    <n v="40226481.887651414"/>
  </r>
  <r>
    <x v="3"/>
    <x v="1"/>
    <x v="26"/>
    <n v="239769"/>
    <n v="43790674.251574822"/>
    <n v="57960418.870000005"/>
    <n v="14169744.618425183"/>
  </r>
  <r>
    <x v="3"/>
    <x v="1"/>
    <x v="29"/>
    <n v="57278"/>
    <n v="347208439.81005007"/>
    <n v="474092959.73000008"/>
    <n v="126884519.91995001"/>
  </r>
  <r>
    <x v="3"/>
    <x v="1"/>
    <x v="30"/>
    <n v="6684"/>
    <n v="653197267.69395888"/>
    <n v="735565422"/>
    <n v="82368154.3060411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x v="0"/>
    <x v="0"/>
    <x v="0"/>
    <n v="39980"/>
    <n v="3582694.6335674142"/>
    <n v="9347898.5699999984"/>
    <n v="5765203.9364325842"/>
  </r>
  <r>
    <x v="0"/>
    <x v="0"/>
    <x v="1"/>
    <n v="967000"/>
    <n v="65875862.345875449"/>
    <n v="109611973.89"/>
    <n v="43736111.544124551"/>
  </r>
  <r>
    <x v="0"/>
    <x v="0"/>
    <x v="2"/>
    <n v="108"/>
    <n v="7610173.8775294218"/>
    <n v="14554425.430000002"/>
    <n v="6944251.5524705797"/>
  </r>
  <r>
    <x v="0"/>
    <x v="0"/>
    <x v="3"/>
    <n v="13580"/>
    <n v="184797331.76977587"/>
    <n v="383138350.85999995"/>
    <n v="198341019.09022409"/>
  </r>
  <r>
    <x v="0"/>
    <x v="0"/>
    <x v="4"/>
    <n v="994800"/>
    <n v="258682253.38106808"/>
    <n v="392934278.35000002"/>
    <n v="134252024.96893194"/>
  </r>
  <r>
    <x v="0"/>
    <x v="0"/>
    <x v="5"/>
    <n v="1098"/>
    <n v="21098462.561557997"/>
    <n v="52720977.259999998"/>
    <n v="31622514.698442001"/>
  </r>
  <r>
    <x v="0"/>
    <x v="0"/>
    <x v="6"/>
    <n v="25344"/>
    <n v="115985610.96308841"/>
    <n v="128702660.54000001"/>
    <n v="12717049.576911598"/>
  </r>
  <r>
    <x v="0"/>
    <x v="0"/>
    <x v="7"/>
    <n v="30"/>
    <n v="2303610.8078762721"/>
    <n v="4586978.66"/>
    <n v="2283367.852123728"/>
  </r>
  <r>
    <x v="0"/>
    <x v="0"/>
    <x v="8"/>
    <n v="7"/>
    <n v="51562.599194635339"/>
    <n v="121345.2"/>
    <n v="69782.600805364666"/>
  </r>
  <r>
    <x v="0"/>
    <x v="0"/>
    <x v="9"/>
    <n v="7447"/>
    <n v="198917473.74059215"/>
    <n v="482818736.01999998"/>
    <n v="283901262.27940786"/>
  </r>
  <r>
    <x v="0"/>
    <x v="0"/>
    <x v="10"/>
    <n v="15"/>
    <n v="472153.68627524067"/>
    <n v="706275.01"/>
    <n v="234121.32372475934"/>
  </r>
  <r>
    <x v="0"/>
    <x v="0"/>
    <x v="11"/>
    <n v="2647"/>
    <n v="101844941.85737881"/>
    <n v="208832052.26999998"/>
    <n v="106987110.41262117"/>
  </r>
  <r>
    <x v="0"/>
    <x v="0"/>
    <x v="12"/>
    <n v="4584"/>
    <n v="253993463.64251488"/>
    <n v="423717359.18999994"/>
    <n v="169723895.54748505"/>
  </r>
  <r>
    <x v="0"/>
    <x v="0"/>
    <x v="13"/>
    <n v="605"/>
    <n v="54637714.266098812"/>
    <n v="125697720.33999999"/>
    <n v="71060006.073901176"/>
  </r>
  <r>
    <x v="0"/>
    <x v="0"/>
    <x v="14"/>
    <n v="2412"/>
    <n v="345756752.03727704"/>
    <n v="613026214.70999992"/>
    <n v="267269462.67272288"/>
  </r>
  <r>
    <x v="0"/>
    <x v="0"/>
    <x v="15"/>
    <n v="12405"/>
    <n v="179987951.11415988"/>
    <n v="306401465.83999997"/>
    <n v="126413514.72584009"/>
  </r>
  <r>
    <x v="0"/>
    <x v="0"/>
    <x v="16"/>
    <n v="19902"/>
    <n v="408804812.47175783"/>
    <n v="536000718.70999998"/>
    <n v="127195906.23824215"/>
  </r>
  <r>
    <x v="0"/>
    <x v="0"/>
    <x v="17"/>
    <n v="1434"/>
    <n v="27935612.763050392"/>
    <n v="57842900.739999995"/>
    <n v="29907287.976949602"/>
  </r>
  <r>
    <x v="0"/>
    <x v="0"/>
    <x v="18"/>
    <n v="3190"/>
    <n v="97525304.470523119"/>
    <n v="146997241.19000003"/>
    <n v="49471936.719476908"/>
  </r>
  <r>
    <x v="0"/>
    <x v="0"/>
    <x v="19"/>
    <n v="310378"/>
    <n v="35754567.112487748"/>
    <n v="75256586.349999994"/>
    <n v="39502019.237512246"/>
  </r>
  <r>
    <x v="0"/>
    <x v="0"/>
    <x v="20"/>
    <n v="1500"/>
    <n v="0"/>
    <n v="525000"/>
    <n v="525000"/>
  </r>
  <r>
    <x v="0"/>
    <x v="0"/>
    <x v="21"/>
    <n v="9"/>
    <n v="21825000"/>
    <n v="29160000"/>
    <n v="7335000"/>
  </r>
  <r>
    <x v="0"/>
    <x v="0"/>
    <x v="22"/>
    <n v="42937"/>
    <n v="275024738.8488853"/>
    <n v="350318589.98000002"/>
    <n v="75293851.131114721"/>
  </r>
  <r>
    <x v="0"/>
    <x v="0"/>
    <x v="23"/>
    <n v="431"/>
    <n v="46953030.143557362"/>
    <n v="54150960"/>
    <n v="7197929.8564426377"/>
  </r>
  <r>
    <x v="0"/>
    <x v="1"/>
    <x v="0"/>
    <n v="43103"/>
    <n v="13692455.695450317"/>
    <n v="10984624.32"/>
    <n v="-2707831.3754503168"/>
  </r>
  <r>
    <x v="0"/>
    <x v="1"/>
    <x v="1"/>
    <n v="759000"/>
    <n v="81144250.449661165"/>
    <n v="87558403.300000012"/>
    <n v="6414152.8503388464"/>
  </r>
  <r>
    <x v="0"/>
    <x v="1"/>
    <x v="2"/>
    <n v="17"/>
    <n v="2454655.3123360309"/>
    <n v="4914345.6100000003"/>
    <n v="2459690.2976639695"/>
  </r>
  <r>
    <x v="0"/>
    <x v="1"/>
    <x v="3"/>
    <n v="10268"/>
    <n v="187888037.39188853"/>
    <n v="336676128.90999997"/>
    <n v="148788091.51811144"/>
  </r>
  <r>
    <x v="0"/>
    <x v="1"/>
    <x v="4"/>
    <n v="721440"/>
    <n v="226207050.87785125"/>
    <n v="291041786.00999999"/>
    <n v="64834735.132148743"/>
  </r>
  <r>
    <x v="0"/>
    <x v="1"/>
    <x v="5"/>
    <n v="266"/>
    <n v="6228852.7511992184"/>
    <n v="15426605.41"/>
    <n v="9197752.6588007808"/>
  </r>
  <r>
    <x v="0"/>
    <x v="1"/>
    <x v="6"/>
    <n v="31740"/>
    <n v="167132563.53837895"/>
    <n v="155730959.72"/>
    <n v="-11401603.818378955"/>
  </r>
  <r>
    <x v="0"/>
    <x v="1"/>
    <x v="20"/>
    <n v="3305.6499999999996"/>
    <n v="0"/>
    <n v="1143080"/>
    <n v="1143080"/>
  </r>
  <r>
    <x v="0"/>
    <x v="1"/>
    <x v="7"/>
    <n v="83"/>
    <n v="4144887.6247799238"/>
    <n v="9551188.5099999998"/>
    <n v="5406300.885220076"/>
  </r>
  <r>
    <x v="0"/>
    <x v="1"/>
    <x v="8"/>
    <n v="27"/>
    <n v="199230.51578090101"/>
    <n v="869949"/>
    <n v="670718.48421909893"/>
  </r>
  <r>
    <x v="0"/>
    <x v="1"/>
    <x v="9"/>
    <n v="5344"/>
    <n v="168705528.51343897"/>
    <n v="322401740"/>
    <n v="153696211.48656103"/>
  </r>
  <r>
    <x v="0"/>
    <x v="1"/>
    <x v="10"/>
    <n v="40"/>
    <n v="545441.32022705092"/>
    <n v="1038450.02"/>
    <n v="493008.6997729491"/>
  </r>
  <r>
    <x v="0"/>
    <x v="1"/>
    <x v="11"/>
    <n v="2623"/>
    <n v="117486872.91732648"/>
    <n v="217517948.75999999"/>
    <n v="100031075.84267351"/>
  </r>
  <r>
    <x v="0"/>
    <x v="1"/>
    <x v="12"/>
    <n v="4213"/>
    <n v="241900283.59089604"/>
    <n v="405396528.33999997"/>
    <n v="163496244.74910393"/>
  </r>
  <r>
    <x v="0"/>
    <x v="1"/>
    <x v="13"/>
    <n v="742"/>
    <n v="111770894.71008655"/>
    <n v="175968365.86000001"/>
    <n v="64197471.14991346"/>
  </r>
  <r>
    <x v="0"/>
    <x v="1"/>
    <x v="14"/>
    <n v="2473"/>
    <n v="385410066.60627818"/>
    <n v="636433283.55000007"/>
    <n v="251023216.94372189"/>
  </r>
  <r>
    <x v="0"/>
    <x v="1"/>
    <x v="15"/>
    <n v="7097"/>
    <n v="125127255.27611506"/>
    <n v="177257720.63000003"/>
    <n v="52130465.353884965"/>
  </r>
  <r>
    <x v="0"/>
    <x v="1"/>
    <x v="16"/>
    <n v="7378"/>
    <n v="168961643.38211563"/>
    <n v="202612824.45000002"/>
    <n v="33651181.067884386"/>
  </r>
  <r>
    <x v="0"/>
    <x v="1"/>
    <x v="17"/>
    <n v="1792"/>
    <n v="40026573.151916504"/>
    <n v="74354862.739999995"/>
    <n v="34328289.588083491"/>
  </r>
  <r>
    <x v="0"/>
    <x v="1"/>
    <x v="18"/>
    <n v="2038"/>
    <n v="61072543.19369968"/>
    <n v="100108407.89"/>
    <n v="39035864.69630032"/>
  </r>
  <r>
    <x v="0"/>
    <x v="1"/>
    <x v="19"/>
    <n v="233144"/>
    <n v="39241382.033677243"/>
    <n v="55628925.220000006"/>
    <n v="16387543.186322764"/>
  </r>
  <r>
    <x v="0"/>
    <x v="1"/>
    <x v="22"/>
    <n v="36909"/>
    <n v="246908146.19288734"/>
    <n v="326174919.75999999"/>
    <n v="79266773.567112654"/>
  </r>
  <r>
    <x v="0"/>
    <x v="1"/>
    <x v="23"/>
    <n v="1491"/>
    <n v="149274760.11101389"/>
    <n v="167971066.03999999"/>
    <n v="18696305.928986102"/>
  </r>
  <r>
    <x v="1"/>
    <x v="0"/>
    <x v="0"/>
    <n v="36116"/>
    <n v="3721508.7023675209"/>
    <n v="10096580.470000001"/>
    <n v="6375071.7676324798"/>
  </r>
  <r>
    <x v="1"/>
    <x v="0"/>
    <x v="1"/>
    <n v="1230400"/>
    <n v="82581988.643879563"/>
    <n v="138478545.32999998"/>
    <n v="55896556.686120421"/>
  </r>
  <r>
    <x v="1"/>
    <x v="0"/>
    <x v="2"/>
    <n v="371"/>
    <n v="32208722.262654323"/>
    <n v="66007069.460000001"/>
    <n v="33798347.197345674"/>
  </r>
  <r>
    <x v="1"/>
    <x v="0"/>
    <x v="3"/>
    <n v="13582"/>
    <n v="184052686.2819933"/>
    <n v="371605229.91000015"/>
    <n v="187552543.62800685"/>
  </r>
  <r>
    <x v="1"/>
    <x v="0"/>
    <x v="4"/>
    <n v="971330"/>
    <n v="255712279.95443645"/>
    <n v="371962717.62"/>
    <n v="116250437.66556355"/>
  </r>
  <r>
    <x v="1"/>
    <x v="0"/>
    <x v="5"/>
    <n v="846"/>
    <n v="14896653.539254108"/>
    <n v="37654274.43"/>
    <n v="22757620.890745893"/>
  </r>
  <r>
    <x v="1"/>
    <x v="0"/>
    <x v="6"/>
    <n v="21777"/>
    <n v="98362230.716354251"/>
    <n v="109664455.86999999"/>
    <n v="11302225.153645739"/>
  </r>
  <r>
    <x v="1"/>
    <x v="0"/>
    <x v="7"/>
    <n v="22"/>
    <n v="1399968.3615519232"/>
    <n v="2998134.39"/>
    <n v="1598166.0284480769"/>
  </r>
  <r>
    <x v="1"/>
    <x v="0"/>
    <x v="8"/>
    <n v="109"/>
    <n v="1123172.3684673016"/>
    <n v="1806098.98"/>
    <n v="682926.61153269839"/>
  </r>
  <r>
    <x v="1"/>
    <x v="0"/>
    <x v="9"/>
    <n v="7869"/>
    <n v="213593876.18251291"/>
    <n v="513952472"/>
    <n v="300358595.81748712"/>
  </r>
  <r>
    <x v="1"/>
    <x v="0"/>
    <x v="11"/>
    <n v="3928"/>
    <n v="149230761.19409087"/>
    <n v="301709368.02000004"/>
    <n v="152478606.82590917"/>
  </r>
  <r>
    <x v="1"/>
    <x v="0"/>
    <x v="12"/>
    <n v="4584"/>
    <n v="259169220.37985897"/>
    <n v="430672567.03999996"/>
    <n v="171503346.66014099"/>
  </r>
  <r>
    <x v="1"/>
    <x v="0"/>
    <x v="13"/>
    <n v="665"/>
    <n v="60649117.182832882"/>
    <n v="141884234.01000002"/>
    <n v="81235116.827167138"/>
  </r>
  <r>
    <x v="1"/>
    <x v="0"/>
    <x v="14"/>
    <n v="2396"/>
    <n v="344548058.42878336"/>
    <n v="598573133.25999999"/>
    <n v="254025074.83121663"/>
  </r>
  <r>
    <x v="1"/>
    <x v="0"/>
    <x v="15"/>
    <n v="14955"/>
    <n v="210053073.94458789"/>
    <n v="328265541.86000001"/>
    <n v="118212467.91541213"/>
  </r>
  <r>
    <x v="1"/>
    <x v="0"/>
    <x v="16"/>
    <n v="16903"/>
    <n v="350890421.41275054"/>
    <n v="455512829.03999996"/>
    <n v="104622407.62724942"/>
  </r>
  <r>
    <x v="1"/>
    <x v="0"/>
    <x v="17"/>
    <n v="1902"/>
    <n v="37092669.406881392"/>
    <n v="76627801.25"/>
    <n v="39535131.843118608"/>
  </r>
  <r>
    <x v="1"/>
    <x v="0"/>
    <x v="18"/>
    <n v="3131"/>
    <n v="97202440.112323135"/>
    <n v="144462260.40000001"/>
    <n v="47259820.287676871"/>
  </r>
  <r>
    <x v="1"/>
    <x v="0"/>
    <x v="19"/>
    <n v="309281"/>
    <n v="35450344.982784435"/>
    <n v="73909003.62000002"/>
    <n v="38458658.637215585"/>
  </r>
  <r>
    <x v="1"/>
    <x v="0"/>
    <x v="21"/>
    <n v="10"/>
    <n v="30000000"/>
    <n v="32400000"/>
    <n v="2400000"/>
  </r>
  <r>
    <x v="1"/>
    <x v="0"/>
    <x v="22"/>
    <n v="36619"/>
    <n v="269854967.86504239"/>
    <n v="342552650.00999999"/>
    <n v="72697682.144957602"/>
  </r>
  <r>
    <x v="1"/>
    <x v="0"/>
    <x v="23"/>
    <n v="295"/>
    <n v="34433525.176546723"/>
    <n v="39498600"/>
    <n v="5065074.8234532773"/>
  </r>
  <r>
    <x v="1"/>
    <x v="1"/>
    <x v="0"/>
    <n v="13349"/>
    <n v="5663945.8485291936"/>
    <n v="8687211.5899999999"/>
    <n v="3023265.7414708063"/>
  </r>
  <r>
    <x v="1"/>
    <x v="1"/>
    <x v="1"/>
    <n v="1373894"/>
    <n v="145743819.06770176"/>
    <n v="158055980.29000002"/>
    <n v="12312161.222298265"/>
  </r>
  <r>
    <x v="1"/>
    <x v="1"/>
    <x v="2"/>
    <n v="338"/>
    <n v="30467384.452867527"/>
    <n v="53844460.039999999"/>
    <n v="23377075.587132473"/>
  </r>
  <r>
    <x v="1"/>
    <x v="1"/>
    <x v="3"/>
    <n v="11564"/>
    <n v="178005327.25228763"/>
    <n v="336495015.67999995"/>
    <n v="158489688.42771232"/>
  </r>
  <r>
    <x v="1"/>
    <x v="1"/>
    <x v="24"/>
    <n v="1165860"/>
    <n v="389062851.08521837"/>
    <n v="466633698.53999996"/>
    <n v="77570847.454781592"/>
  </r>
  <r>
    <x v="1"/>
    <x v="1"/>
    <x v="5"/>
    <n v="1206"/>
    <n v="19625770.933307782"/>
    <n v="51419334.270000011"/>
    <n v="31793563.336692229"/>
  </r>
  <r>
    <x v="1"/>
    <x v="1"/>
    <x v="6"/>
    <n v="24660"/>
    <n v="118821230.37348884"/>
    <n v="122807639.84"/>
    <n v="3986409.4665111601"/>
  </r>
  <r>
    <x v="1"/>
    <x v="1"/>
    <x v="20"/>
    <n v="777.3"/>
    <n v="0"/>
    <n v="13480770"/>
    <n v="13480770"/>
  </r>
  <r>
    <x v="1"/>
    <x v="1"/>
    <x v="7"/>
    <n v="66"/>
    <n v="2423772.7071527615"/>
    <n v="4432290.83"/>
    <n v="2008518.1228472386"/>
  </r>
  <r>
    <x v="1"/>
    <x v="1"/>
    <x v="8"/>
    <n v="128"/>
    <n v="1799024.0120178675"/>
    <n v="2767579.91"/>
    <n v="968555.89798213262"/>
  </r>
  <r>
    <x v="1"/>
    <x v="1"/>
    <x v="9"/>
    <n v="5402"/>
    <n v="190672762.16844845"/>
    <n v="383422800"/>
    <n v="192750037.83155155"/>
  </r>
  <r>
    <x v="1"/>
    <x v="1"/>
    <x v="10"/>
    <n v="259"/>
    <n v="8114502.0227617566"/>
    <n v="9595042.0600000005"/>
    <n v="1480540.037238244"/>
  </r>
  <r>
    <x v="1"/>
    <x v="1"/>
    <x v="11"/>
    <n v="4559"/>
    <n v="200637258.72688028"/>
    <n v="390837660.74000001"/>
    <n v="190200402.01311973"/>
  </r>
  <r>
    <x v="1"/>
    <x v="1"/>
    <x v="12"/>
    <n v="5607"/>
    <n v="317209280.38407505"/>
    <n v="546518849.87"/>
    <n v="229309569.48592496"/>
  </r>
  <r>
    <x v="1"/>
    <x v="1"/>
    <x v="13"/>
    <n v="899"/>
    <n v="112844233.16903055"/>
    <n v="188864440.35999998"/>
    <n v="76020207.190969437"/>
  </r>
  <r>
    <x v="1"/>
    <x v="1"/>
    <x v="14"/>
    <n v="2809"/>
    <n v="439318687.48813313"/>
    <n v="712638505.77000022"/>
    <n v="273319818.28186709"/>
  </r>
  <r>
    <x v="1"/>
    <x v="1"/>
    <x v="15"/>
    <n v="7856"/>
    <n v="133685261.54134597"/>
    <n v="196177796.34999996"/>
    <n v="62492534.808653995"/>
  </r>
  <r>
    <x v="1"/>
    <x v="1"/>
    <x v="25"/>
    <n v="15058"/>
    <n v="303055205.23886496"/>
    <n v="424935348.69000006"/>
    <n v="121880143.4511351"/>
  </r>
  <r>
    <x v="1"/>
    <x v="1"/>
    <x v="17"/>
    <n v="1438"/>
    <n v="31291379.195868809"/>
    <n v="57244392.389999993"/>
    <n v="25953013.194131184"/>
  </r>
  <r>
    <x v="1"/>
    <x v="1"/>
    <x v="18"/>
    <n v="2365"/>
    <n v="71058573.209392652"/>
    <n v="117087758.01000001"/>
    <n v="46029184.800607353"/>
  </r>
  <r>
    <x v="1"/>
    <x v="1"/>
    <x v="19"/>
    <n v="346514"/>
    <n v="58851511.867365554"/>
    <n v="84156289.829999998"/>
    <n v="25304777.962634444"/>
  </r>
  <r>
    <x v="1"/>
    <x v="1"/>
    <x v="21"/>
    <n v="3"/>
    <n v="7520000"/>
    <n v="11170000"/>
    <n v="3650000"/>
  </r>
  <r>
    <x v="1"/>
    <x v="1"/>
    <x v="22"/>
    <n v="47066"/>
    <n v="303816449.41315734"/>
    <n v="408090759.99000001"/>
    <n v="104274310.57684267"/>
  </r>
  <r>
    <x v="1"/>
    <x v="1"/>
    <x v="23"/>
    <n v="3627"/>
    <n v="403594443.6956073"/>
    <n v="436541651.95999998"/>
    <n v="32947208.264392674"/>
  </r>
  <r>
    <x v="2"/>
    <x v="0"/>
    <x v="0"/>
    <n v="45450"/>
    <n v="5282808.4288434032"/>
    <n v="10537397.580000002"/>
    <n v="5254589.1511565987"/>
  </r>
  <r>
    <x v="2"/>
    <x v="0"/>
    <x v="1"/>
    <n v="1109000"/>
    <n v="79622553.337666303"/>
    <n v="123801634.53"/>
    <n v="44179081.192333698"/>
  </r>
  <r>
    <x v="2"/>
    <x v="0"/>
    <x v="2"/>
    <n v="200"/>
    <n v="18972847.889265634"/>
    <n v="36515971.039999999"/>
    <n v="17543123.150734365"/>
  </r>
  <r>
    <x v="2"/>
    <x v="0"/>
    <x v="3"/>
    <n v="12561"/>
    <n v="185332739.39051485"/>
    <n v="361003547.88000005"/>
    <n v="175670808.4894852"/>
  </r>
  <r>
    <x v="2"/>
    <x v="0"/>
    <x v="4"/>
    <n v="934280"/>
    <n v="261609939.07478091"/>
    <n v="367322363.87"/>
    <n v="105712424.79521909"/>
  </r>
  <r>
    <x v="2"/>
    <x v="0"/>
    <x v="5"/>
    <n v="410"/>
    <n v="8254871.9269525046"/>
    <n v="19058079.140000001"/>
    <n v="10803207.213047497"/>
  </r>
  <r>
    <x v="2"/>
    <x v="0"/>
    <x v="6"/>
    <n v="37911"/>
    <n v="180955178.86145931"/>
    <n v="193313159.13"/>
    <n v="12357980.26854068"/>
  </r>
  <r>
    <x v="2"/>
    <x v="0"/>
    <x v="20"/>
    <n v="1169.5999999999999"/>
    <n v="0"/>
    <n v="28861520"/>
    <n v="28861520"/>
  </r>
  <r>
    <x v="2"/>
    <x v="0"/>
    <x v="7"/>
    <n v="71"/>
    <n v="3907171.2214040421"/>
    <n v="8388827.5199999996"/>
    <n v="4481656.2985959575"/>
  </r>
  <r>
    <x v="2"/>
    <x v="0"/>
    <x v="8"/>
    <n v="36"/>
    <n v="411542.4736020097"/>
    <n v="655376.15"/>
    <n v="243833.67639799032"/>
  </r>
  <r>
    <x v="2"/>
    <x v="0"/>
    <x v="9"/>
    <n v="4845"/>
    <n v="138593087.15636408"/>
    <n v="331523338.32999998"/>
    <n v="192930251.1736359"/>
  </r>
  <r>
    <x v="2"/>
    <x v="0"/>
    <x v="11"/>
    <n v="3942"/>
    <n v="159451997.71757755"/>
    <n v="308418294.86000001"/>
    <n v="148966297.14242247"/>
  </r>
  <r>
    <x v="2"/>
    <x v="0"/>
    <x v="12"/>
    <n v="5002"/>
    <n v="289083446.95152301"/>
    <n v="456663422.58999997"/>
    <n v="167579975.63847697"/>
  </r>
  <r>
    <x v="2"/>
    <x v="0"/>
    <x v="13"/>
    <n v="899"/>
    <n v="84621788.905463353"/>
    <n v="185795294.54000002"/>
    <n v="101173505.63453667"/>
  </r>
  <r>
    <x v="2"/>
    <x v="0"/>
    <x v="14"/>
    <n v="2306"/>
    <n v="336226614.85875666"/>
    <n v="563448139.88000011"/>
    <n v="227221525.02124345"/>
  </r>
  <r>
    <x v="2"/>
    <x v="0"/>
    <x v="15"/>
    <n v="13385"/>
    <n v="205374591.49580482"/>
    <n v="328632046.88"/>
    <n v="123257455.38419518"/>
  </r>
  <r>
    <x v="2"/>
    <x v="0"/>
    <x v="16"/>
    <n v="15714"/>
    <n v="349789321.96121407"/>
    <n v="425514514.17999995"/>
    <n v="75725192.218785882"/>
  </r>
  <r>
    <x v="2"/>
    <x v="0"/>
    <x v="17"/>
    <n v="3009"/>
    <n v="60444525.996625766"/>
    <n v="117311555.92"/>
    <n v="56867029.923374236"/>
  </r>
  <r>
    <x v="2"/>
    <x v="0"/>
    <x v="18"/>
    <n v="2695"/>
    <n v="87352154.371281996"/>
    <n v="124678683.06"/>
    <n v="37326528.688718006"/>
  </r>
  <r>
    <x v="2"/>
    <x v="0"/>
    <x v="19"/>
    <n v="311743"/>
    <n v="40292691.353384636"/>
    <n v="75456356.099999994"/>
    <n v="35163664.746615358"/>
  </r>
  <r>
    <x v="2"/>
    <x v="0"/>
    <x v="21"/>
    <n v="29"/>
    <n v="70325000"/>
    <n v="93960000"/>
    <n v="23635000"/>
  </r>
  <r>
    <x v="2"/>
    <x v="0"/>
    <x v="22"/>
    <n v="34788"/>
    <n v="235270759.07728395"/>
    <n v="289596855.19999999"/>
    <n v="54326096.122716039"/>
  </r>
  <r>
    <x v="2"/>
    <x v="0"/>
    <x v="23"/>
    <n v="590"/>
    <n v="86712910.719275355"/>
    <n v="97980900"/>
    <n v="11267989.280724645"/>
  </r>
  <r>
    <x v="2"/>
    <x v="1"/>
    <x v="0"/>
    <n v="18136"/>
    <n v="9855312.6705088113"/>
    <n v="8490650.4700000007"/>
    <n v="-1364662.2005088106"/>
  </r>
  <r>
    <x v="2"/>
    <x v="1"/>
    <x v="1"/>
    <n v="1114700"/>
    <n v="104124184.18864258"/>
    <n v="125509622.66000001"/>
    <n v="21385438.471357435"/>
  </r>
  <r>
    <x v="2"/>
    <x v="1"/>
    <x v="2"/>
    <n v="45"/>
    <n v="4846631.7508423347"/>
    <n v="9120644.459999999"/>
    <n v="4274012.7091576643"/>
  </r>
  <r>
    <x v="2"/>
    <x v="1"/>
    <x v="3"/>
    <n v="11844"/>
    <n v="186413982.45529297"/>
    <n v="319585871.23000008"/>
    <n v="133171888.77470711"/>
  </r>
  <r>
    <x v="2"/>
    <x v="1"/>
    <x v="4"/>
    <n v="948564"/>
    <n v="311592129.54915512"/>
    <n v="377446425.03000003"/>
    <n v="65854295.480844915"/>
  </r>
  <r>
    <x v="2"/>
    <x v="1"/>
    <x v="5"/>
    <n v="521"/>
    <n v="7339880.5719349869"/>
    <n v="19566727.16"/>
    <n v="12226846.588065013"/>
  </r>
  <r>
    <x v="2"/>
    <x v="1"/>
    <x v="6"/>
    <n v="35170"/>
    <n v="179780288.72754976"/>
    <n v="171697139.63999999"/>
    <n v="-8083149.0875497758"/>
  </r>
  <r>
    <x v="2"/>
    <x v="1"/>
    <x v="20"/>
    <n v="5120.7"/>
    <n v="0"/>
    <n v="12544210"/>
    <n v="12544210"/>
  </r>
  <r>
    <x v="2"/>
    <x v="1"/>
    <x v="7"/>
    <n v="49"/>
    <n v="3057351.5619946201"/>
    <n v="6046265.4800000004"/>
    <n v="2988913.9180053803"/>
  </r>
  <r>
    <x v="2"/>
    <x v="1"/>
    <x v="8"/>
    <n v="38"/>
    <n v="420775.92397829716"/>
    <n v="686059.03"/>
    <n v="265283.10602170287"/>
  </r>
  <r>
    <x v="2"/>
    <x v="1"/>
    <x v="9"/>
    <n v="7924"/>
    <n v="238358900.60440522"/>
    <n v="448552700"/>
    <n v="210193799.39559478"/>
  </r>
  <r>
    <x v="2"/>
    <x v="1"/>
    <x v="10"/>
    <n v="80"/>
    <n v="1434588.1044234019"/>
    <n v="2857680.11"/>
    <n v="1423092.005576598"/>
  </r>
  <r>
    <x v="2"/>
    <x v="1"/>
    <x v="11"/>
    <n v="3053"/>
    <n v="136648014.54214552"/>
    <n v="248719936.69999999"/>
    <n v="112071922.15785447"/>
  </r>
  <r>
    <x v="2"/>
    <x v="1"/>
    <x v="26"/>
    <n v="4802"/>
    <n v="278403611.06613284"/>
    <n v="455268229.21000004"/>
    <n v="176864618.14386719"/>
  </r>
  <r>
    <x v="2"/>
    <x v="1"/>
    <x v="13"/>
    <n v="612"/>
    <n v="82451391.362272069"/>
    <n v="131896803.51000001"/>
    <n v="49445412.147727937"/>
  </r>
  <r>
    <x v="2"/>
    <x v="1"/>
    <x v="14"/>
    <n v="2558"/>
    <n v="415380268.89459604"/>
    <n v="628303278.56999993"/>
    <n v="212923009.67540389"/>
  </r>
  <r>
    <x v="2"/>
    <x v="1"/>
    <x v="15"/>
    <n v="17118"/>
    <n v="300673924.59966266"/>
    <n v="388928042.94"/>
    <n v="88254118.340337336"/>
  </r>
  <r>
    <x v="2"/>
    <x v="1"/>
    <x v="25"/>
    <n v="12720"/>
    <n v="278337837.05656439"/>
    <n v="368687152.39999998"/>
    <n v="90349315.343435585"/>
  </r>
  <r>
    <x v="2"/>
    <x v="1"/>
    <x v="17"/>
    <n v="1898"/>
    <n v="42284749.606039174"/>
    <n v="76536875.039999992"/>
    <n v="34252125.433960818"/>
  </r>
  <r>
    <x v="2"/>
    <x v="1"/>
    <x v="18"/>
    <n v="2707"/>
    <n v="83822396.930616647"/>
    <n v="132285242.80999999"/>
    <n v="48462845.87938334"/>
  </r>
  <r>
    <x v="2"/>
    <x v="1"/>
    <x v="19"/>
    <n v="259082"/>
    <n v="50127715.876307376"/>
    <n v="70260041.090000004"/>
    <n v="20132325.213692628"/>
  </r>
  <r>
    <x v="2"/>
    <x v="1"/>
    <x v="22"/>
    <n v="61084"/>
    <n v="367741292.24466044"/>
    <n v="505009199.82999998"/>
    <n v="137267907.58533955"/>
  </r>
  <r>
    <x v="2"/>
    <x v="1"/>
    <x v="23"/>
    <n v="7998"/>
    <n v="841193223.60457897"/>
    <n v="911209340"/>
    <n v="70016116.395421028"/>
  </r>
  <r>
    <x v="3"/>
    <x v="0"/>
    <x v="0"/>
    <n v="38543"/>
    <n v="5129583.2767721331"/>
    <n v="12224093.35"/>
    <n v="7094510.0732278666"/>
  </r>
  <r>
    <x v="3"/>
    <x v="0"/>
    <x v="1"/>
    <n v="775200"/>
    <n v="61156324.712365463"/>
    <n v="91124453.050000012"/>
    <n v="29968128.337634549"/>
  </r>
  <r>
    <x v="3"/>
    <x v="0"/>
    <x v="2"/>
    <n v="52"/>
    <n v="5663150.0613980833"/>
    <n v="10912464.729999999"/>
    <n v="5249314.6686019152"/>
  </r>
  <r>
    <x v="3"/>
    <x v="0"/>
    <x v="3"/>
    <n v="11962"/>
    <n v="178575406.16594547"/>
    <n v="339816402.02999997"/>
    <n v="161240995.8640545"/>
  </r>
  <r>
    <x v="3"/>
    <x v="0"/>
    <x v="4"/>
    <n v="579010"/>
    <n v="163048802.82068956"/>
    <n v="232622581.19999999"/>
    <n v="69573778.379310429"/>
  </r>
  <r>
    <x v="3"/>
    <x v="0"/>
    <x v="5"/>
    <n v="620"/>
    <n v="13541916.512752553"/>
    <n v="32232108.810000002"/>
    <n v="18690192.297247447"/>
  </r>
  <r>
    <x v="3"/>
    <x v="0"/>
    <x v="6"/>
    <n v="13638"/>
    <n v="70853182.291923225"/>
    <n v="69446539.429999992"/>
    <n v="-1406642.8619232327"/>
  </r>
  <r>
    <x v="3"/>
    <x v="0"/>
    <x v="20"/>
    <n v="2565.3000000000002"/>
    <n v="0"/>
    <n v="48756580"/>
    <n v="48756580"/>
  </r>
  <r>
    <x v="3"/>
    <x v="0"/>
    <x v="7"/>
    <n v="134"/>
    <n v="5441492.0939253932"/>
    <n v="12562778.809999999"/>
    <n v="7121286.7160746055"/>
  </r>
  <r>
    <x v="3"/>
    <x v="0"/>
    <x v="8"/>
    <n v="16"/>
    <n v="135137.17740212515"/>
    <n v="259419.17"/>
    <n v="124281.99259787487"/>
  </r>
  <r>
    <x v="3"/>
    <x v="0"/>
    <x v="9"/>
    <n v="4383"/>
    <n v="133531436.14267035"/>
    <n v="296518444"/>
    <n v="162987007.85732967"/>
  </r>
  <r>
    <x v="3"/>
    <x v="0"/>
    <x v="10"/>
    <n v="193"/>
    <n v="4547975.5514884256"/>
    <n v="6043023.2400000002"/>
    <n v="1495047.6885115746"/>
  </r>
  <r>
    <x v="3"/>
    <x v="0"/>
    <x v="11"/>
    <n v="3080"/>
    <n v="130276581.91420129"/>
    <n v="259923203.16999999"/>
    <n v="129646621.2557987"/>
  </r>
  <r>
    <x v="3"/>
    <x v="0"/>
    <x v="26"/>
    <n v="4263"/>
    <n v="257119650.51711172"/>
    <n v="407527486.13"/>
    <n v="150407835.61288828"/>
  </r>
  <r>
    <x v="3"/>
    <x v="0"/>
    <x v="13"/>
    <n v="502"/>
    <n v="47517433.628901877"/>
    <n v="106404470.7"/>
    <n v="58887037.071098126"/>
  </r>
  <r>
    <x v="3"/>
    <x v="0"/>
    <x v="14"/>
    <n v="2069"/>
    <n v="298750127.88140857"/>
    <n v="531949267.08000004"/>
    <n v="233199139.19859147"/>
  </r>
  <r>
    <x v="3"/>
    <x v="0"/>
    <x v="15"/>
    <n v="12316"/>
    <n v="204519292.300908"/>
    <n v="317906448.79000002"/>
    <n v="113387156.48909202"/>
  </r>
  <r>
    <x v="3"/>
    <x v="0"/>
    <x v="16"/>
    <n v="14469"/>
    <n v="332053386.37295204"/>
    <n v="403102817.16000003"/>
    <n v="71049430.787047982"/>
  </r>
  <r>
    <x v="3"/>
    <x v="0"/>
    <x v="17"/>
    <n v="2158"/>
    <n v="45251608.3868699"/>
    <n v="84501195.939999998"/>
    <n v="39249587.553130098"/>
  </r>
  <r>
    <x v="3"/>
    <x v="0"/>
    <x v="18"/>
    <n v="1935"/>
    <n v="65533468.171382651"/>
    <n v="94152892.929999992"/>
    <n v="28619424.758617342"/>
  </r>
  <r>
    <x v="3"/>
    <x v="0"/>
    <x v="19"/>
    <n v="166080"/>
    <n v="21602166.083036896"/>
    <n v="43084578.449999996"/>
    <n v="21482412.3669631"/>
  </r>
  <r>
    <x v="3"/>
    <x v="0"/>
    <x v="21"/>
    <n v="5"/>
    <n v="12125000"/>
    <n v="16200000"/>
    <n v="4075000"/>
  </r>
  <r>
    <x v="3"/>
    <x v="0"/>
    <x v="22"/>
    <n v="39516"/>
    <n v="275367692.73745728"/>
    <n v="342461420.12"/>
    <n v="67093727.382542729"/>
  </r>
  <r>
    <x v="3"/>
    <x v="0"/>
    <x v="23"/>
    <n v="572"/>
    <n v="70789873.381870165"/>
    <n v="79050850"/>
    <n v="8260976.6181298345"/>
  </r>
  <r>
    <x v="3"/>
    <x v="1"/>
    <x v="0"/>
    <n v="40317"/>
    <n v="13962215.757125268"/>
    <n v="-371733.40999999992"/>
    <n v="-14333949.167125268"/>
  </r>
  <r>
    <x v="3"/>
    <x v="1"/>
    <x v="1"/>
    <n v="1098800"/>
    <n v="133598795.98239079"/>
    <n v="127566164.34999999"/>
    <n v="-6032631.6323907971"/>
  </r>
  <r>
    <x v="3"/>
    <x v="1"/>
    <x v="2"/>
    <n v="202"/>
    <n v="21951409.412382256"/>
    <n v="38989420.100000001"/>
    <n v="17038010.687617745"/>
  </r>
  <r>
    <x v="3"/>
    <x v="1"/>
    <x v="3"/>
    <n v="10779"/>
    <n v="181509424.14011195"/>
    <n v="312923567.37999994"/>
    <n v="131414143.23988798"/>
  </r>
  <r>
    <x v="3"/>
    <x v="1"/>
    <x v="4"/>
    <n v="1045656"/>
    <n v="353395030.75164831"/>
    <n v="413265469.19"/>
    <n v="59870438.438351691"/>
  </r>
  <r>
    <x v="3"/>
    <x v="1"/>
    <x v="5"/>
    <n v="629"/>
    <n v="12282459.293605259"/>
    <n v="29975310.530000001"/>
    <n v="17692851.236394741"/>
  </r>
  <r>
    <x v="3"/>
    <x v="1"/>
    <x v="6"/>
    <n v="40080"/>
    <n v="212831816.07306823"/>
    <n v="196471918.97"/>
    <n v="-16359897.103068233"/>
  </r>
  <r>
    <x v="3"/>
    <x v="1"/>
    <x v="20"/>
    <n v="4460.3500000000004"/>
    <n v="0"/>
    <n v="10945785"/>
    <n v="10945785"/>
  </r>
  <r>
    <x v="3"/>
    <x v="1"/>
    <x v="7"/>
    <n v="22"/>
    <n v="1206768.7177928223"/>
    <n v="2318435.9799999995"/>
    <n v="1111667.2622071772"/>
  </r>
  <r>
    <x v="3"/>
    <x v="1"/>
    <x v="8"/>
    <n v="30"/>
    <n v="217233.22776998259"/>
    <n v="576340"/>
    <n v="359106.77223001741"/>
  </r>
  <r>
    <x v="3"/>
    <x v="1"/>
    <x v="9"/>
    <n v="5272"/>
    <n v="177471042.6977368"/>
    <n v="333150804.01999998"/>
    <n v="155679761.32226318"/>
  </r>
  <r>
    <x v="3"/>
    <x v="1"/>
    <x v="10"/>
    <n v="180"/>
    <n v="3589301.8969736709"/>
    <n v="5635980.2199999997"/>
    <n v="2046678.3230263288"/>
  </r>
  <r>
    <x v="3"/>
    <x v="1"/>
    <x v="11"/>
    <n v="4550"/>
    <n v="207320108.91044831"/>
    <n v="376661996.62"/>
    <n v="169341887.70955169"/>
  </r>
  <r>
    <x v="3"/>
    <x v="1"/>
    <x v="26"/>
    <n v="6916"/>
    <n v="388694745.33495623"/>
    <n v="623543942.49000001"/>
    <n v="234849197.15504378"/>
  </r>
  <r>
    <x v="3"/>
    <x v="1"/>
    <x v="13"/>
    <n v="366"/>
    <n v="57694600.935096808"/>
    <n v="103639966.71000001"/>
    <n v="45945365.774903201"/>
  </r>
  <r>
    <x v="3"/>
    <x v="1"/>
    <x v="14"/>
    <n v="2163"/>
    <n v="391520292.03179479"/>
    <n v="613393312.25000012"/>
    <n v="221873020.21820533"/>
  </r>
  <r>
    <x v="3"/>
    <x v="1"/>
    <x v="27"/>
    <n v="7325"/>
    <n v="130631620.75771165"/>
    <n v="183961515.16"/>
    <n v="53329894.402288347"/>
  </r>
  <r>
    <x v="3"/>
    <x v="1"/>
    <x v="25"/>
    <n v="10928"/>
    <n v="232651353.93093318"/>
    <n v="297218752.25"/>
    <n v="64567398.319066823"/>
  </r>
  <r>
    <x v="3"/>
    <x v="1"/>
    <x v="17"/>
    <n v="1538"/>
    <n v="35232257.320571475"/>
    <n v="60958972.589999996"/>
    <n v="25726715.269428521"/>
  </r>
  <r>
    <x v="3"/>
    <x v="1"/>
    <x v="18"/>
    <n v="2506"/>
    <n v="77739019.132348582"/>
    <n v="117965501.02"/>
    <n v="40226481.887651414"/>
  </r>
  <r>
    <x v="3"/>
    <x v="1"/>
    <x v="19"/>
    <n v="239769"/>
    <n v="43790674.251574822"/>
    <n v="57960418.870000005"/>
    <n v="14169744.618425183"/>
  </r>
  <r>
    <x v="3"/>
    <x v="1"/>
    <x v="22"/>
    <n v="57278"/>
    <n v="347208439.81005007"/>
    <n v="474092959.73000008"/>
    <n v="126884519.91995001"/>
  </r>
  <r>
    <x v="3"/>
    <x v="1"/>
    <x v="23"/>
    <n v="6684"/>
    <n v="653197267.69395888"/>
    <n v="735565422"/>
    <n v="82368154.3060411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5C9F86-0FBE-4319-BC1E-84D6CB7CA5B1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 GRUPO">
  <location ref="C3:K27" firstHeaderRow="0" firstDataRow="1" firstDataCol="1"/>
  <pivotFields count="11">
    <pivotField showAll="0">
      <items count="13">
        <item h="1" x="0"/>
        <item h="1" x="1"/>
        <item h="1" x="2"/>
        <item x="3"/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t="default"/>
      </items>
    </pivotField>
    <pivotField showAll="0">
      <items count="4">
        <item h="1" m="1" x="2"/>
        <item h="1" x="0"/>
        <item x="1"/>
        <item t="default"/>
      </items>
    </pivotField>
    <pivotField axis="axisRow" showAll="0" sortType="descending">
      <items count="33">
        <item x="0"/>
        <item x="1"/>
        <item x="22"/>
        <item x="2"/>
        <item x="3"/>
        <item x="4"/>
        <item x="24"/>
        <item x="5"/>
        <item x="6"/>
        <item x="20"/>
        <item m="1" x="30"/>
        <item x="7"/>
        <item x="8"/>
        <item x="9"/>
        <item x="21"/>
        <item x="10"/>
        <item x="11"/>
        <item m="1" x="29"/>
        <item x="12"/>
        <item x="26"/>
        <item m="1" x="28"/>
        <item x="13"/>
        <item x="14"/>
        <item x="15"/>
        <item x="27"/>
        <item x="16"/>
        <item x="25"/>
        <item m="1" x="31"/>
        <item x="17"/>
        <item x="18"/>
        <item x="19"/>
        <item x="2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numFmtId="3" showAll="0"/>
    <pivotField dataField="1" numFmtId="3" showAll="0"/>
    <pivotField dataField="1" numFmtId="3" showAll="0"/>
    <pivotField dataField="1" numFmtId="165"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24">
    <i>
      <x v="31"/>
    </i>
    <i>
      <x v="19"/>
    </i>
    <i>
      <x v="22"/>
    </i>
    <i>
      <x v="2"/>
    </i>
    <i>
      <x v="5"/>
    </i>
    <i>
      <x v="16"/>
    </i>
    <i>
      <x v="13"/>
    </i>
    <i>
      <x v="4"/>
    </i>
    <i>
      <x v="26"/>
    </i>
    <i>
      <x v="8"/>
    </i>
    <i>
      <x v="24"/>
    </i>
    <i>
      <x v="1"/>
    </i>
    <i>
      <x v="29"/>
    </i>
    <i>
      <x v="21"/>
    </i>
    <i>
      <x v="28"/>
    </i>
    <i>
      <x v="30"/>
    </i>
    <i>
      <x v="3"/>
    </i>
    <i>
      <x v="7"/>
    </i>
    <i>
      <x v="9"/>
    </i>
    <i>
      <x v="15"/>
    </i>
    <i>
      <x v="11"/>
    </i>
    <i>
      <x v="12"/>
    </i>
    <i>
      <x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 CANT" fld="3" baseField="0" baseItem="0" numFmtId="3"/>
    <dataField name=" CTO TOTAL" fld="4" baseField="0" baseItem="0" numFmtId="3"/>
    <dataField name=" PRECIO TOTAL" fld="5" baseField="0" baseItem="0" numFmtId="3"/>
    <dataField name=" MARGEN" fld="6" baseField="0" baseItem="0" numFmtId="165"/>
    <dataField name=" % CTO" fld="7" baseField="0" baseItem="0" numFmtId="10"/>
    <dataField name=" % MARGEN" fld="8" baseField="0" baseItem="0" numFmtId="10"/>
    <dataField name=" % PART.VTAS" fld="5" showDataAs="percentOfTotal" baseField="0" baseItem="0" numFmtId="10"/>
    <dataField name=" % PART.MARG" fld="6" showDataAs="percentOfTotal" baseField="0" baseItem="0" numFmtId="10"/>
  </dataFields>
  <formats count="23">
    <format dxfId="9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97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96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95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94">
      <pivotArea outline="0" fieldPosition="0">
        <references count="1">
          <reference field="4294967294" count="1">
            <x v="6"/>
          </reference>
        </references>
      </pivotArea>
    </format>
    <format dxfId="93">
      <pivotArea outline="0" fieldPosition="0">
        <references count="1">
          <reference field="4294967294" count="1">
            <x v="7"/>
          </reference>
        </references>
      </pivotArea>
    </format>
    <format dxfId="92">
      <pivotArea field="2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90">
      <pivotArea field="2" type="button" dataOnly="0" labelOnly="1" outline="0" axis="axisRow" fieldPosition="0"/>
    </format>
    <format dxfId="8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5"/>
          </reference>
          <reference field="2" count="1">
            <x v="8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5"/>
          </reference>
          <reference field="2" count="1">
            <x v="8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5"/>
          </reference>
          <reference field="2" count="1">
            <x v="8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5"/>
          </reference>
          <reference field="2" count="1">
            <x v="31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5"/>
          </reference>
          <reference field="2" count="1">
            <x v="31"/>
          </reference>
        </references>
      </pivotArea>
    </format>
    <format dxfId="83">
      <pivotArea collapsedLevelsAreSubtotals="1" fieldPosition="0">
        <references count="2">
          <reference field="4294967294" count="2" selected="0">
            <x v="1"/>
            <x v="2"/>
          </reference>
          <reference field="2" count="0"/>
        </references>
      </pivotArea>
    </format>
    <format dxfId="82">
      <pivotArea collapsedLevelsAreSubtotals="1" fieldPosition="0">
        <references count="2">
          <reference field="4294967294" count="1" selected="0">
            <x v="4"/>
          </reference>
          <reference field="2" count="1">
            <x v="8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4"/>
          </reference>
          <reference field="2" count="1">
            <x v="1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5"/>
          </reference>
          <reference field="2" count="1">
            <x v="8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4"/>
          </reference>
          <reference field="2" count="1">
            <x v="31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5"/>
          </reference>
          <reference field="2" count="1">
            <x v="31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5"/>
          </reference>
          <reference field="2" count="1">
            <x v="1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5"/>
          </reference>
          <reference field="2" count="1">
            <x v="14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518B4-CC70-4CAF-A61F-5850F8A34E4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 GRUPO">
  <location ref="C3:K34" firstHeaderRow="0" firstDataRow="1" firstDataCol="1"/>
  <pivotFields count="10">
    <pivotField showAll="0">
      <items count="13">
        <item h="1" x="0"/>
        <item h="1" x="1"/>
        <item h="1" x="2"/>
        <item x="3"/>
        <item h="1" m="1" x="4"/>
        <item h="1" m="1" x="5"/>
        <item h="1" m="1" x="6"/>
        <item h="1" m="1" x="7"/>
        <item h="1" m="1" x="8"/>
        <item h="1" m="1" x="9"/>
        <item h="1" m="1" x="10"/>
        <item h="1" m="1" x="11"/>
        <item t="default"/>
      </items>
    </pivotField>
    <pivotField showAll="0">
      <items count="4">
        <item h="1" m="1" x="2"/>
        <item h="1" x="0"/>
        <item x="1"/>
        <item t="default"/>
      </items>
    </pivotField>
    <pivotField axis="axisRow" showAll="0" sortType="descending">
      <items count="38">
        <item x="0"/>
        <item x="1"/>
        <item x="29"/>
        <item x="2"/>
        <item x="3"/>
        <item m="1" x="32"/>
        <item x="4"/>
        <item x="5"/>
        <item x="6"/>
        <item x="7"/>
        <item x="27"/>
        <item m="1" x="31"/>
        <item x="8"/>
        <item x="9"/>
        <item x="10"/>
        <item x="28"/>
        <item x="11"/>
        <item m="1" x="33"/>
        <item x="12"/>
        <item x="13"/>
        <item m="1" x="34"/>
        <item x="14"/>
        <item x="15"/>
        <item x="16"/>
        <item x="17"/>
        <item m="1" x="35"/>
        <item x="18"/>
        <item x="19"/>
        <item x="20"/>
        <item m="1" x="36"/>
        <item x="21"/>
        <item x="22"/>
        <item x="23"/>
        <item x="24"/>
        <item x="25"/>
        <item x="26"/>
        <item x="3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numFmtId="3" showAll="0"/>
    <pivotField dataField="1" numFmtId="3" showAll="0"/>
    <pivotField dataField="1" numFmtId="3" showAll="0"/>
    <pivotField dataField="1" numFmtId="165"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2"/>
  </rowFields>
  <rowItems count="31">
    <i>
      <x v="36"/>
    </i>
    <i>
      <x v="24"/>
    </i>
    <i>
      <x v="21"/>
    </i>
    <i>
      <x v="2"/>
    </i>
    <i>
      <x v="6"/>
    </i>
    <i>
      <x v="14"/>
    </i>
    <i>
      <x v="4"/>
    </i>
    <i>
      <x v="18"/>
    </i>
    <i>
      <x v="9"/>
    </i>
    <i>
      <x v="19"/>
    </i>
    <i>
      <x v="31"/>
    </i>
    <i>
      <x v="27"/>
    </i>
    <i>
      <x v="1"/>
    </i>
    <i>
      <x v="34"/>
    </i>
    <i>
      <x v="23"/>
    </i>
    <i>
      <x v="32"/>
    </i>
    <i>
      <x v="22"/>
    </i>
    <i>
      <x v="33"/>
    </i>
    <i>
      <x v="35"/>
    </i>
    <i>
      <x v="7"/>
    </i>
    <i>
      <x v="30"/>
    </i>
    <i>
      <x v="3"/>
    </i>
    <i>
      <x v="8"/>
    </i>
    <i>
      <x v="28"/>
    </i>
    <i>
      <x v="26"/>
    </i>
    <i>
      <x v="10"/>
    </i>
    <i>
      <x v="16"/>
    </i>
    <i>
      <x v="12"/>
    </i>
    <i>
      <x v="13"/>
    </i>
    <i>
      <x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 CANT" fld="3" baseField="0" baseItem="0" numFmtId="3"/>
    <dataField name=" CTO TOTAL" fld="4" baseField="0" baseItem="0" numFmtId="3"/>
    <dataField name=" PRECIO TOTAL" fld="5" baseField="0" baseItem="0" numFmtId="3"/>
    <dataField name=" MARGEN" fld="6" baseField="0" baseItem="0" numFmtId="165"/>
    <dataField name=" % CTO" fld="7" baseField="0" baseItem="0" numFmtId="10"/>
    <dataField name=" % MARGEN" fld="8" baseField="0" baseItem="0" numFmtId="10"/>
    <dataField name=" % PART.VTAS" fld="5" showDataAs="percentOfTotal" baseField="0" baseItem="0" numFmtId="10"/>
    <dataField name=" % PART.MARG" fld="6" showDataAs="percentOfTotal" baseField="0" baseItem="0" numFmtId="10"/>
  </dataFields>
  <formats count="18">
    <format dxfId="75">
      <pivotArea collapsedLevelsAreSubtotals="1" fieldPosition="0">
        <references count="2">
          <reference field="4294967294" count="1" selected="0">
            <x v="4"/>
          </reference>
          <reference field="2" count="1">
            <x v="0"/>
          </reference>
        </references>
      </pivotArea>
    </format>
    <format dxfId="7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72">
      <pivotArea outline="0" fieldPosition="0">
        <references count="1">
          <reference field="4294967294" count="1">
            <x v="6"/>
          </reference>
        </references>
      </pivotArea>
    </format>
    <format dxfId="71">
      <pivotArea outline="0" fieldPosition="0">
        <references count="1">
          <reference field="4294967294" count="1">
            <x v="7"/>
          </reference>
        </references>
      </pivotArea>
    </format>
    <format dxfId="70">
      <pivotArea field="2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8">
      <pivotArea collapsedLevelsAreSubtotals="1" fieldPosition="0">
        <references count="2">
          <reference field="4294967294" count="1" selected="0">
            <x v="1"/>
          </reference>
          <reference field="2" count="1">
            <x v="35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1"/>
          </reference>
          <reference field="2" count="7">
            <x v="1"/>
            <x v="2"/>
            <x v="3"/>
            <x v="4"/>
            <x v="6"/>
            <x v="7"/>
            <x v="8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5"/>
          </reference>
          <reference field="2" count="29">
            <x v="0"/>
            <x v="1"/>
            <x v="2"/>
            <x v="3"/>
            <x v="4"/>
            <x v="6"/>
            <x v="7"/>
            <x v="8"/>
            <x v="9"/>
            <x v="10"/>
            <x v="12"/>
            <x v="13"/>
            <x v="14"/>
            <x v="15"/>
            <x v="16"/>
            <x v="18"/>
            <x v="19"/>
            <x v="22"/>
            <x v="23"/>
            <x v="26"/>
            <x v="27"/>
            <x v="28"/>
            <x v="30"/>
            <x v="31"/>
            <x v="32"/>
            <x v="33"/>
            <x v="34"/>
            <x v="35"/>
            <x v="36"/>
          </reference>
        </references>
      </pivotArea>
    </format>
    <format dxfId="65">
      <pivotArea collapsedLevelsAreSubtotals="1" fieldPosition="0">
        <references count="2">
          <reference field="4294967294" count="1" selected="0">
            <x v="4"/>
          </reference>
          <reference field="2" count="1">
            <x v="9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4"/>
          </reference>
          <reference field="2" count="1">
            <x v="9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4"/>
          </reference>
          <reference field="2" count="1">
            <x v="9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5"/>
          </reference>
          <reference field="2" count="1">
            <x v="9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4"/>
          </reference>
          <reference field="2" count="1">
            <x v="1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4"/>
          </reference>
          <reference field="2" count="1">
            <x v="36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5"/>
          </reference>
          <reference field="2" count="1">
            <x v="1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5"/>
          </reference>
          <reference field="2" count="1">
            <x v="36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5774D-C615-4CC6-9BC4-A5EAE7F23FE6}" name="TablaDinámica1" cacheId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rowHeaderCaption=" GRUPO">
  <location ref="A3:Q34" firstHeaderRow="1" firstDataRow="3" firstDataCol="1" rowPageCount="1" colPageCount="1"/>
  <pivotFields count="11">
    <pivotField axis="axisPage" multipleItemSelectionAllowed="1" showAll="0">
      <items count="13">
        <item x="0"/>
        <item x="1"/>
        <item x="2"/>
        <item x="3"/>
        <item m="1" x="4"/>
        <item m="1" x="5"/>
        <item m="1" x="6"/>
        <item m="1" x="7"/>
        <item m="1" x="8"/>
        <item m="1" x="9"/>
        <item m="1" x="10"/>
        <item m="1" x="11"/>
        <item t="default"/>
      </items>
    </pivotField>
    <pivotField axis="axisCol" showAll="0">
      <items count="4">
        <item m="1" x="2"/>
        <item x="0"/>
        <item x="1"/>
        <item t="default"/>
      </items>
    </pivotField>
    <pivotField axis="axisRow" showAll="0" sortType="descending">
      <items count="33">
        <item x="0"/>
        <item x="1"/>
        <item x="22"/>
        <item x="2"/>
        <item x="3"/>
        <item x="4"/>
        <item x="24"/>
        <item x="5"/>
        <item x="6"/>
        <item x="20"/>
        <item m="1" x="30"/>
        <item x="7"/>
        <item x="8"/>
        <item x="9"/>
        <item x="21"/>
        <item x="10"/>
        <item x="11"/>
        <item m="1" x="29"/>
        <item x="12"/>
        <item x="26"/>
        <item m="1" x="28"/>
        <item x="13"/>
        <item x="14"/>
        <item x="15"/>
        <item x="27"/>
        <item x="16"/>
        <item x="25"/>
        <item m="1" x="31"/>
        <item x="17"/>
        <item x="18"/>
        <item x="19"/>
        <item x="23"/>
        <item t="default"/>
      </items>
      <autoSortScope>
        <pivotArea dataOnly="0" outline="0" fieldPosition="0">
          <references count="2">
            <reference field="4294967294" count="1" selected="0">
              <x v="5"/>
            </reference>
            <reference field="1" count="1" selected="0">
              <x v="2"/>
            </reference>
          </references>
        </pivotArea>
      </autoSortScope>
    </pivotField>
    <pivotField dataField="1" numFmtId="3" showAll="0"/>
    <pivotField dataField="1" numFmtId="3" showAll="0"/>
    <pivotField dataField="1" numFmtId="3" showAll="0"/>
    <pivotField dataField="1" numFmtId="165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29">
    <i>
      <x v="22"/>
    </i>
    <i>
      <x v="13"/>
    </i>
    <i>
      <x v="4"/>
    </i>
    <i>
      <x v="16"/>
    </i>
    <i>
      <x v="2"/>
    </i>
    <i>
      <x v="19"/>
    </i>
    <i>
      <x v="18"/>
    </i>
    <i>
      <x v="26"/>
    </i>
    <i>
      <x v="21"/>
    </i>
    <i>
      <x v="31"/>
    </i>
    <i>
      <x v="23"/>
    </i>
    <i>
      <x v="5"/>
    </i>
    <i>
      <x v="29"/>
    </i>
    <i>
      <x v="28"/>
    </i>
    <i>
      <x v="6"/>
    </i>
    <i>
      <x v="30"/>
    </i>
    <i>
      <x v="7"/>
    </i>
    <i>
      <x v="24"/>
    </i>
    <i>
      <x v="3"/>
    </i>
    <i>
      <x v="9"/>
    </i>
    <i>
      <x v="1"/>
    </i>
    <i>
      <x v="25"/>
    </i>
    <i>
      <x v="11"/>
    </i>
    <i>
      <x v="15"/>
    </i>
    <i>
      <x v="14"/>
    </i>
    <i>
      <x v="12"/>
    </i>
    <i>
      <x/>
    </i>
    <i>
      <x v="8"/>
    </i>
    <i t="grand">
      <x/>
    </i>
  </rowItems>
  <colFields count="2">
    <field x="-2"/>
    <field x="1"/>
  </colFields>
  <colItems count="16">
    <i>
      <x/>
      <x v="1"/>
    </i>
    <i r="1">
      <x v="2"/>
    </i>
    <i i="1">
      <x v="1"/>
      <x v="1"/>
    </i>
    <i r="1" i="1">
      <x v="2"/>
    </i>
    <i i="2">
      <x v="2"/>
      <x v="1"/>
    </i>
    <i r="1" i="2">
      <x v="2"/>
    </i>
    <i i="3">
      <x v="3"/>
      <x v="1"/>
    </i>
    <i r="1" i="3">
      <x v="2"/>
    </i>
    <i i="4">
      <x v="4"/>
      <x v="1"/>
    </i>
    <i r="1" i="4">
      <x v="2"/>
    </i>
    <i i="5">
      <x v="5"/>
      <x v="1"/>
    </i>
    <i r="1" i="5">
      <x v="2"/>
    </i>
    <i i="6">
      <x v="6"/>
      <x v="1"/>
    </i>
    <i r="1" i="6">
      <x v="2"/>
    </i>
    <i i="7">
      <x v="7"/>
      <x v="1"/>
    </i>
    <i r="1" i="7">
      <x v="2"/>
    </i>
  </colItems>
  <pageFields count="1">
    <pageField fld="0" hier="-1"/>
  </pageFields>
  <dataFields count="8">
    <dataField name=" CANT" fld="3" baseField="0" baseItem="0" numFmtId="3"/>
    <dataField name=" PRECIO DE VENTA" fld="5" baseField="0" baseItem="0" numFmtId="3"/>
    <dataField name=" PUV" fld="9" baseField="0" baseItem="0" numFmtId="3"/>
    <dataField name=" COSTO" fld="4" baseField="0" baseItem="0" numFmtId="3"/>
    <dataField name=" CU" fld="10" baseField="0" baseItem="0" numFmtId="3"/>
    <dataField name=" MARGEN" fld="6" baseField="0" baseItem="0" numFmtId="165"/>
    <dataField name=" % COSTO" fld="7" baseField="0" baseItem="0" numFmtId="3"/>
    <dataField name=" % MARGEN" fld="8" baseField="0" baseItem="0"/>
  </dataFields>
  <formats count="29">
    <format dxfId="57">
      <pivotArea outline="0" collapsedLevelsAreSubtotals="1" fieldPosition="0">
        <references count="2">
          <reference field="4294967294" count="2" selected="0">
            <x v="6"/>
            <x v="7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56">
      <pivotArea outline="0" collapsedLevelsAreSubtotals="1" fieldPosition="0">
        <references count="2">
          <reference field="4294967294" count="1" selected="0">
            <x v="0"/>
          </reference>
          <reference field="1" count="0" selected="0"/>
        </references>
      </pivotArea>
    </format>
    <format dxfId="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">
      <pivotArea dataOnly="0" labelOnly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3">
      <pivotArea outline="0" collapsedLevelsAreSubtotals="1" fieldPosition="0">
        <references count="2">
          <reference field="4294967294" count="1" selected="0">
            <x v="1"/>
          </reference>
          <reference field="1" count="0" selected="0"/>
        </references>
      </pivotArea>
    </format>
    <format dxfId="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1">
      <pivotArea dataOnly="0" labelOnly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outline="0" collapsedLevelsAreSubtotals="1" fieldPosition="0">
        <references count="2">
          <reference field="4294967294" count="1" selected="0">
            <x v="2"/>
          </reference>
          <reference field="1" count="0" selected="0"/>
        </references>
      </pivotArea>
    </format>
    <format dxfId="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8">
      <pivotArea dataOnly="0" labelOnly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7">
      <pivotArea outline="0" collapsedLevelsAreSubtotals="1" fieldPosition="0">
        <references count="2">
          <reference field="4294967294" count="1" selected="0">
            <x v="3"/>
          </reference>
          <reference field="1" count="0" selected="0"/>
        </references>
      </pivotArea>
    </format>
    <format dxfId="4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5">
      <pivotArea dataOnly="0" labelOnly="1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4">
      <pivotArea outline="0" collapsedLevelsAreSubtotals="1" fieldPosition="0">
        <references count="2">
          <reference field="4294967294" count="1" selected="0">
            <x v="4"/>
          </reference>
          <reference field="1" count="0" selected="0"/>
        </references>
      </pivotArea>
    </format>
    <format dxfId="4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2">
      <pivotArea dataOnly="0" labelOnly="1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1">
      <pivotArea field="1" grandRow="1" outline="0" collapsedLevelsAreSubtotals="1" axis="axisCol" fieldPosition="1">
        <references count="2">
          <reference field="4294967294" count="1" selected="0">
            <x v="4"/>
          </reference>
          <reference field="1" count="0" selected="0"/>
        </references>
      </pivotArea>
    </format>
    <format dxfId="40">
      <pivotArea field="1" grandRow="1" outline="0" collapsedLevelsAreSubtotals="1" axis="axisCol" fieldPosition="1">
        <references count="2">
          <reference field="4294967294" count="1" selected="0">
            <x v="2"/>
          </reference>
          <reference field="1" count="0" selected="0"/>
        </references>
      </pivotArea>
    </format>
    <format dxfId="39">
      <pivotArea dataOnly="0" outline="0" fieldPosition="0">
        <references count="2">
          <reference field="4294967294" count="1">
            <x v="5"/>
          </reference>
          <reference field="1" count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8">
      <pivotArea outline="0" collapsedLevelsAreSubtotals="1" fieldPosition="0">
        <references count="2">
          <reference field="4294967294" count="1" selected="0">
            <x v="6"/>
          </reference>
          <reference field="1" count="0" selected="0"/>
        </references>
      </pivotArea>
    </format>
    <format dxfId="3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36">
      <pivotArea dataOnly="0" labelOnly="1" fieldPosition="0">
        <references count="2">
          <reference field="4294967294" count="1" selected="0">
            <x v="6"/>
          </reference>
          <reference field="1" count="0"/>
        </references>
      </pivotArea>
    </format>
    <format dxfId="35">
      <pivotArea outline="0" collapsedLevelsAreSubtotals="1" fieldPosition="0">
        <references count="2">
          <reference field="4294967294" count="1" selected="0">
            <x v="7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4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33">
      <pivotArea dataOnly="0" labelOnly="1" fieldPosition="0">
        <references count="2">
          <reference field="4294967294" count="1" selected="0">
            <x v="7"/>
          </reference>
          <reference field="1" count="0"/>
        </references>
      </pivotArea>
    </format>
    <format dxfId="32">
      <pivotArea type="origin" dataOnly="0" labelOnly="1" outline="0" offset="A2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2D1BBD36-F67E-4EB0-AABE-149BB9A5A7B3}" sourceName="MES">
  <pivotTables>
    <pivotTable tabId="8" name="TablaDinámica2"/>
  </pivotTables>
  <data>
    <tabular pivotCacheId="872726146">
      <items count="12">
        <i x="0"/>
        <i x="1"/>
        <i x="2"/>
        <i x="3" s="1"/>
        <i x="4" nd="1"/>
        <i x="5" nd="1"/>
        <i x="6" nd="1"/>
        <i x="7" nd="1"/>
        <i x="8" nd="1"/>
        <i x="9" nd="1"/>
        <i x="10" nd="1"/>
        <i x="1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5454AA87-8248-4CD7-A922-D1AE75183FE1}" sourceName="MES">
  <pivotTables>
    <pivotTable tabId="11" name="TablaDinámica1"/>
  </pivotTables>
  <data>
    <tabular pivotCacheId="524621446">
      <items count="12">
        <i x="0"/>
        <i x="1"/>
        <i x="2"/>
        <i x="3" s="1"/>
        <i x="4" nd="1"/>
        <i x="5" nd="1"/>
        <i x="6" nd="1"/>
        <i x="7" nd="1"/>
        <i x="8" nd="1"/>
        <i x="9" nd="1"/>
        <i x="10" nd="1"/>
        <i x="1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6C914940-9DED-405A-93DC-368F05661584}" sourceName="AÑO">
  <pivotTables>
    <pivotTable tabId="11" name="TablaDinámica1"/>
  </pivotTables>
  <data>
    <tabular pivotCacheId="524621446">
      <items count="3">
        <i x="0"/>
        <i x="1" s="1"/>
        <i x="2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D0B078F6-3E36-4C7A-8B85-B37CD6F0E6C3}" sourceName="AÑO">
  <pivotTables>
    <pivotTable tabId="8" name="TablaDinámica2"/>
  </pivotTables>
  <data>
    <tabular pivotCacheId="872726146">
      <items count="3">
        <i x="0"/>
        <i x="1" s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1" xr10:uid="{B0DA6815-0354-4B82-A2B1-B2DBBA06C7B2}" cache="SegmentaciónDeDatos_MES1" caption="MES" style="SlicerStyleDark1" rowHeight="257175"/>
  <slicer name="AÑO 1" xr10:uid="{B1EC8EDD-31D9-41E9-8549-D79FF3DC4820}" cache="SegmentaciónDeDatos_AÑO1" caption="AÑO" style="SlicerStyleDark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" xr10:uid="{5D3CB481-8FFA-4B07-8D4D-AC95BB4DA092}" cache="SegmentaciónDeDatos_MES" caption="MES" style="SlicerStyleDark1" rowHeight="257175"/>
  <slicer name="AÑO" xr10:uid="{65712AF2-4AEB-4AF0-881C-CBBF1EE61541}" cache="SegmentaciónDeDatos_AÑO" caption="AÑO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84B438-DC28-4465-BB62-723A5802BA10}" name="Tabla2" displayName="Tabla2" ref="A1:G243" totalsRowShown="0" headerRowDxfId="28" headerRowBorderDxfId="27" tableBorderDxfId="26" totalsRowBorderDxfId="25">
  <autoFilter ref="A1:G243" xr:uid="{C784B438-DC28-4465-BB62-723A5802BA10}"/>
  <tableColumns count="7">
    <tableColumn id="1" xr3:uid="{15BBBFD9-B9B0-4A04-991A-2D433C013AF3}" name="MES" dataDxfId="24"/>
    <tableColumn id="7" xr3:uid="{B9A48C47-1A06-4087-826F-36B63111E92B}" name="AÑO" dataDxfId="23"/>
    <tableColumn id="2" xr3:uid="{06664F47-C7D1-4884-A803-56712059CB59}" name="GRUPO" dataDxfId="22"/>
    <tableColumn id="3" xr3:uid="{53D13D43-6195-45D8-9637-E0FC5C681A73}" name="CANT" dataDxfId="21" dataCellStyle="Millares"/>
    <tableColumn id="4" xr3:uid="{3B69ABCB-5053-4BC5-9120-0D81F0F271A8}" name="CT" dataDxfId="20" dataCellStyle="Millares 2 2"/>
    <tableColumn id="5" xr3:uid="{7890C882-4D17-43E9-8B15-79751A7AF9FE}" name="PRECIO TOT" dataDxfId="19" dataCellStyle="Millares"/>
    <tableColumn id="6" xr3:uid="{6D2297B8-BF5C-4464-A16B-5D96A45358D7}" name="MARGEN" dataDxfId="18">
      <calculatedColumnFormula>Tabla2[[#This Row],[PRECIO TOT]]-Tabla2[[#This Row],[CT]]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38443E-D4C1-4232-A4AA-21FAB23CC912}" name="Tabla22" displayName="Tabla22" ref="A1:G187" totalsRowShown="0" headerRowDxfId="17" headerRowBorderDxfId="16" tableBorderDxfId="15" totalsRowBorderDxfId="14">
  <autoFilter ref="A1:G187" xr:uid="{5338443E-D4C1-4232-A4AA-21FAB23CC912}"/>
  <tableColumns count="7">
    <tableColumn id="1" xr3:uid="{89C47B38-8843-4252-A49B-C309A1B29CD8}" name="MES" dataDxfId="13" totalsRowDxfId="12"/>
    <tableColumn id="7" xr3:uid="{B5F9361C-82F4-460F-B4D4-6D77CFA12016}" name="AÑO" dataDxfId="11" totalsRowDxfId="10"/>
    <tableColumn id="2" xr3:uid="{66CD5E4C-1301-41A7-861C-78E66EC50D13}" name="GRUPO" dataDxfId="9" totalsRowDxfId="8"/>
    <tableColumn id="3" xr3:uid="{D6A77E71-9F69-47D7-B318-E2539048783A}" name="CANT" dataDxfId="7" totalsRowDxfId="6" dataCellStyle="Millares"/>
    <tableColumn id="4" xr3:uid="{1C0D0B0A-DB44-439E-A3B4-646877F5AC66}" name="CT" dataDxfId="5" totalsRowDxfId="4" dataCellStyle="Millares 2 2"/>
    <tableColumn id="5" xr3:uid="{81847A1D-9726-4FE4-9906-75D977A308EC}" name="PRECIO TOT" dataDxfId="3" totalsRowDxfId="2" dataCellStyle="Millares"/>
    <tableColumn id="6" xr3:uid="{E6832353-410A-4686-B22D-C2DB677FF563}" name="MARGEN" dataDxfId="1" totalsRowDxfId="0">
      <calculatedColumnFormula>Tabla22[[#This Row],[PRECIO TOT]]-Tabla22[[#This Row],[CT]]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9B2F-3037-4CB2-A5A4-89B2C340197F}">
  <sheetPr codeName="Hoja1"/>
  <dimension ref="A1:U369"/>
  <sheetViews>
    <sheetView showGridLines="0" zoomScale="80" zoomScaleNormal="80" workbookViewId="0">
      <pane xSplit="3" ySplit="4" topLeftCell="G350" activePane="bottomRight" state="frozen"/>
      <selection pane="topRight" activeCell="D1" sqref="D1"/>
      <selection pane="bottomLeft" activeCell="A5" sqref="A5"/>
      <selection pane="bottomRight" activeCell="O362" sqref="O362"/>
    </sheetView>
  </sheetViews>
  <sheetFormatPr baseColWidth="10" defaultColWidth="50.33203125" defaultRowHeight="14.4" outlineLevelRow="2" x14ac:dyDescent="0.3"/>
  <cols>
    <col min="1" max="1" width="50.109375" bestFit="1" customWidth="1"/>
    <col min="2" max="2" width="22.88671875" bestFit="1" customWidth="1"/>
    <col min="3" max="3" width="57.88671875" hidden="1" customWidth="1"/>
    <col min="4" max="4" width="12.109375" bestFit="1" customWidth="1"/>
    <col min="5" max="5" width="21.88671875" bestFit="1" customWidth="1"/>
    <col min="6" max="6" width="12.6640625" bestFit="1" customWidth="1"/>
    <col min="7" max="7" width="14.33203125" bestFit="1" customWidth="1"/>
    <col min="8" max="8" width="19" customWidth="1"/>
    <col min="9" max="9" width="12.6640625" bestFit="1" customWidth="1"/>
    <col min="10" max="10" width="15.6640625" bestFit="1" customWidth="1"/>
    <col min="11" max="11" width="13.33203125" bestFit="1" customWidth="1"/>
    <col min="12" max="12" width="10.109375" bestFit="1" customWidth="1"/>
    <col min="13" max="13" width="10.33203125" bestFit="1" customWidth="1"/>
    <col min="14" max="14" width="14.6640625" bestFit="1" customWidth="1"/>
    <col min="15" max="15" width="14.5546875" bestFit="1" customWidth="1"/>
    <col min="16" max="16" width="12.109375" bestFit="1" customWidth="1"/>
    <col min="17" max="17" width="18.109375" bestFit="1" customWidth="1"/>
    <col min="18" max="19" width="11.44140625" bestFit="1" customWidth="1"/>
  </cols>
  <sheetData>
    <row r="1" spans="1:21" x14ac:dyDescent="0.3">
      <c r="A1" s="1"/>
      <c r="B1" s="1"/>
      <c r="C1" s="1"/>
      <c r="D1" s="2"/>
      <c r="E1" s="3"/>
      <c r="F1" s="3"/>
      <c r="G1" s="3"/>
      <c r="H1" s="3"/>
      <c r="I1" s="4"/>
      <c r="J1" s="4"/>
      <c r="K1" s="5"/>
      <c r="L1" s="6"/>
      <c r="M1" s="5"/>
      <c r="N1" s="7"/>
      <c r="O1" s="7"/>
      <c r="P1" s="8"/>
      <c r="Q1" s="9"/>
      <c r="R1" s="10"/>
      <c r="S1" s="11"/>
    </row>
    <row r="2" spans="1:21" ht="15" thickBot="1" x14ac:dyDescent="0.35">
      <c r="A2" s="12" t="s">
        <v>1000</v>
      </c>
      <c r="B2" s="1"/>
      <c r="C2" s="13"/>
      <c r="D2" s="14"/>
      <c r="E2" s="15"/>
      <c r="F2" s="15"/>
      <c r="G2" s="15"/>
      <c r="H2" s="15"/>
      <c r="I2" s="16"/>
      <c r="J2" s="16"/>
      <c r="K2" s="13"/>
      <c r="L2" s="13"/>
      <c r="M2" s="13"/>
      <c r="N2" s="13"/>
      <c r="O2" s="13"/>
      <c r="P2" s="17"/>
      <c r="Q2" s="14"/>
      <c r="R2" s="13"/>
      <c r="S2" s="18"/>
    </row>
    <row r="3" spans="1:21" x14ac:dyDescent="0.3">
      <c r="A3" s="13"/>
      <c r="B3" s="13"/>
      <c r="C3" s="13"/>
      <c r="D3" s="14"/>
      <c r="E3" s="19" t="s">
        <v>0</v>
      </c>
      <c r="F3" s="20"/>
      <c r="G3" s="21"/>
      <c r="H3" s="19" t="s">
        <v>1</v>
      </c>
      <c r="I3" s="22"/>
      <c r="J3" s="23"/>
      <c r="K3" s="24"/>
      <c r="L3" s="24"/>
      <c r="M3" s="24"/>
      <c r="N3" s="25"/>
      <c r="O3" s="26"/>
      <c r="P3" s="27"/>
      <c r="Q3" s="28"/>
      <c r="R3" s="29"/>
      <c r="S3" s="30"/>
    </row>
    <row r="4" spans="1:21" ht="15" thickBot="1" x14ac:dyDescent="0.35">
      <c r="A4" s="31" t="s">
        <v>2</v>
      </c>
      <c r="B4" s="32" t="s">
        <v>3</v>
      </c>
      <c r="C4" s="31" t="s">
        <v>4</v>
      </c>
      <c r="D4" s="33" t="s">
        <v>5</v>
      </c>
      <c r="E4" s="34" t="s">
        <v>6</v>
      </c>
      <c r="F4" s="34" t="s">
        <v>7</v>
      </c>
      <c r="G4" s="34" t="s">
        <v>1010</v>
      </c>
      <c r="H4" s="34" t="s">
        <v>8</v>
      </c>
      <c r="I4" s="35" t="s">
        <v>9</v>
      </c>
      <c r="J4" s="35" t="s">
        <v>10</v>
      </c>
      <c r="K4" s="36" t="s">
        <v>11</v>
      </c>
      <c r="L4" s="36" t="s">
        <v>12</v>
      </c>
      <c r="M4" s="36" t="s">
        <v>13</v>
      </c>
      <c r="N4" s="36" t="s">
        <v>14</v>
      </c>
      <c r="O4" s="36" t="s">
        <v>15</v>
      </c>
      <c r="P4" s="37" t="s">
        <v>16</v>
      </c>
      <c r="Q4" s="33" t="s">
        <v>17</v>
      </c>
      <c r="R4" s="38" t="s">
        <v>18</v>
      </c>
      <c r="S4" s="39" t="s">
        <v>19</v>
      </c>
    </row>
    <row r="5" spans="1:21" outlineLevel="2" x14ac:dyDescent="0.3">
      <c r="A5" s="40" t="str">
        <f>VLOOKUP(B5,Grupos!$A$2:$B$619,2,FALSE)</f>
        <v>ACCESORIOS</v>
      </c>
      <c r="B5" s="41" t="s">
        <v>755</v>
      </c>
      <c r="C5" s="41" t="s">
        <v>756</v>
      </c>
      <c r="D5" s="42">
        <v>1</v>
      </c>
      <c r="E5" s="43">
        <v>1216.9000000000001</v>
      </c>
      <c r="F5" s="43">
        <v>76.52</v>
      </c>
      <c r="G5" s="126">
        <f t="shared" ref="G5:G74" si="0">E5+F5</f>
        <v>1293.42</v>
      </c>
      <c r="H5" s="127">
        <f t="shared" ref="H5:H74" si="1">E5*D5</f>
        <v>1216.9000000000001</v>
      </c>
      <c r="I5" s="128">
        <f t="shared" ref="I5:I74" si="2">F5*D5</f>
        <v>76.52</v>
      </c>
      <c r="J5" s="128">
        <f t="shared" ref="J5:J74" si="3">G5*D5</f>
        <v>1293.42</v>
      </c>
      <c r="K5" s="44">
        <f>J5/$J$293</f>
        <v>9.7176892708192968E-7</v>
      </c>
      <c r="L5" s="45">
        <f t="shared" ref="L5:L74" si="4">$K$364*K5/D5</f>
        <v>251.39557535599826</v>
      </c>
      <c r="M5" s="45">
        <f t="shared" ref="M5:M74" si="5">F5*$M$363</f>
        <v>410.93761608338906</v>
      </c>
      <c r="N5" s="45">
        <f t="shared" ref="N5:N74" si="6">G5+L5+M5</f>
        <v>1955.7531914393874</v>
      </c>
      <c r="O5" s="46">
        <f t="shared" ref="O5:O74" si="7">N5*D5</f>
        <v>1955.7531914393874</v>
      </c>
      <c r="P5" s="47">
        <f t="shared" ref="P5:P74" si="8">Q5/D5</f>
        <v>12075</v>
      </c>
      <c r="Q5" s="42">
        <v>12075</v>
      </c>
      <c r="R5" s="48">
        <f t="shared" ref="R5:R74" si="9">O5/Q5</f>
        <v>0.16196713800740267</v>
      </c>
      <c r="S5" s="49"/>
      <c r="U5" s="112"/>
    </row>
    <row r="6" spans="1:21" outlineLevel="2" x14ac:dyDescent="0.3">
      <c r="A6" s="40" t="str">
        <f>VLOOKUP(B6,Grupos!$A$2:$B$619,2,FALSE)</f>
        <v>ACCESORIOS</v>
      </c>
      <c r="B6" s="41" t="s">
        <v>601</v>
      </c>
      <c r="C6" s="41" t="s">
        <v>602</v>
      </c>
      <c r="D6" s="42">
        <v>4</v>
      </c>
      <c r="E6" s="43">
        <v>1547.34</v>
      </c>
      <c r="F6" s="43">
        <v>77.819999999999993</v>
      </c>
      <c r="G6" s="126">
        <f t="shared" si="0"/>
        <v>1625.1599999999999</v>
      </c>
      <c r="H6" s="127">
        <f t="shared" si="1"/>
        <v>6189.36</v>
      </c>
      <c r="I6" s="128">
        <f t="shared" si="2"/>
        <v>311.27999999999997</v>
      </c>
      <c r="J6" s="128">
        <f t="shared" si="3"/>
        <v>6500.6399999999994</v>
      </c>
      <c r="K6" s="44">
        <f t="shared" ref="K6:K74" si="10">J6/$J$293</f>
        <v>4.8840438203722484E-6</v>
      </c>
      <c r="L6" s="45">
        <f>$K$364*K6/D6</f>
        <v>315.87421970091236</v>
      </c>
      <c r="M6" s="45">
        <f t="shared" si="5"/>
        <v>417.9190444799965</v>
      </c>
      <c r="N6" s="45">
        <f t="shared" si="6"/>
        <v>2358.9532641809087</v>
      </c>
      <c r="O6" s="46">
        <f t="shared" si="7"/>
        <v>9435.8130567236349</v>
      </c>
      <c r="P6" s="47">
        <f t="shared" si="8"/>
        <v>9492</v>
      </c>
      <c r="Q6" s="42">
        <v>37968</v>
      </c>
      <c r="R6" s="48">
        <f t="shared" si="9"/>
        <v>0.24852015004012945</v>
      </c>
      <c r="S6" s="49"/>
      <c r="U6" s="112"/>
    </row>
    <row r="7" spans="1:21" outlineLevel="2" x14ac:dyDescent="0.3">
      <c r="A7" s="40" t="str">
        <f>VLOOKUP(B7,Grupos!$A$2:$B$619,2,FALSE)</f>
        <v>ACCESORIOS</v>
      </c>
      <c r="B7" s="41" t="s">
        <v>659</v>
      </c>
      <c r="C7" s="41" t="s">
        <v>660</v>
      </c>
      <c r="D7" s="42">
        <v>1</v>
      </c>
      <c r="E7" s="43">
        <v>2376.63</v>
      </c>
      <c r="F7" s="43">
        <v>89.86</v>
      </c>
      <c r="G7" s="126">
        <f t="shared" si="0"/>
        <v>2466.4900000000002</v>
      </c>
      <c r="H7" s="127">
        <f t="shared" si="1"/>
        <v>2376.63</v>
      </c>
      <c r="I7" s="128">
        <f t="shared" si="2"/>
        <v>89.86</v>
      </c>
      <c r="J7" s="128">
        <f t="shared" si="3"/>
        <v>2466.4900000000002</v>
      </c>
      <c r="K7" s="44">
        <f t="shared" si="10"/>
        <v>1.8531168073466535E-6</v>
      </c>
      <c r="L7" s="45">
        <f t="shared" si="4"/>
        <v>479.39932323592967</v>
      </c>
      <c r="M7" s="45">
        <f t="shared" si="5"/>
        <v>482.5778120916537</v>
      </c>
      <c r="N7" s="45">
        <f t="shared" si="6"/>
        <v>3428.4671353275839</v>
      </c>
      <c r="O7" s="46">
        <f t="shared" si="7"/>
        <v>3428.4671353275839</v>
      </c>
      <c r="P7" s="47">
        <f t="shared" si="8"/>
        <v>15664</v>
      </c>
      <c r="Q7" s="42">
        <v>15664</v>
      </c>
      <c r="R7" s="48">
        <f t="shared" si="9"/>
        <v>0.21887558320528497</v>
      </c>
      <c r="S7" s="49"/>
      <c r="U7" s="112"/>
    </row>
    <row r="8" spans="1:21" outlineLevel="2" x14ac:dyDescent="0.3">
      <c r="A8" s="40" t="str">
        <f>VLOOKUP(B8,Grupos!$A$2:$B$619,2,FALSE)</f>
        <v>ACCESORIOS</v>
      </c>
      <c r="B8" s="41" t="s">
        <v>663</v>
      </c>
      <c r="C8" s="41" t="s">
        <v>664</v>
      </c>
      <c r="D8" s="42">
        <v>3</v>
      </c>
      <c r="E8" s="43">
        <v>3200</v>
      </c>
      <c r="F8" s="43">
        <v>0</v>
      </c>
      <c r="G8" s="126">
        <f t="shared" si="0"/>
        <v>3200</v>
      </c>
      <c r="H8" s="127">
        <f t="shared" si="1"/>
        <v>9600</v>
      </c>
      <c r="I8" s="128">
        <f t="shared" si="2"/>
        <v>0</v>
      </c>
      <c r="J8" s="128">
        <f t="shared" si="3"/>
        <v>9600</v>
      </c>
      <c r="K8" s="44">
        <f t="shared" si="10"/>
        <v>7.2126468587052343E-6</v>
      </c>
      <c r="L8" s="45">
        <f t="shared" si="4"/>
        <v>621.96799271636007</v>
      </c>
      <c r="M8" s="45">
        <f t="shared" si="5"/>
        <v>0</v>
      </c>
      <c r="N8" s="45">
        <f t="shared" si="6"/>
        <v>3821.9679927163602</v>
      </c>
      <c r="O8" s="46">
        <f t="shared" si="7"/>
        <v>11465.903978149081</v>
      </c>
      <c r="P8" s="47">
        <f t="shared" si="8"/>
        <v>13987.5</v>
      </c>
      <c r="Q8" s="42">
        <v>41962.5</v>
      </c>
      <c r="R8" s="48">
        <f t="shared" si="9"/>
        <v>0.2732416795507675</v>
      </c>
      <c r="S8" s="49"/>
      <c r="U8" s="112"/>
    </row>
    <row r="9" spans="1:21" outlineLevel="2" x14ac:dyDescent="0.3">
      <c r="A9" s="40" t="str">
        <f>VLOOKUP(B9,Grupos!$A$2:$B$619,2,FALSE)</f>
        <v>ACCESORIOS</v>
      </c>
      <c r="B9" s="41" t="s">
        <v>606</v>
      </c>
      <c r="C9" s="41" t="s">
        <v>607</v>
      </c>
      <c r="D9" s="42">
        <v>3</v>
      </c>
      <c r="E9" s="43">
        <v>0</v>
      </c>
      <c r="F9" s="43">
        <v>0</v>
      </c>
      <c r="G9" s="126">
        <f t="shared" si="0"/>
        <v>0</v>
      </c>
      <c r="H9" s="127">
        <f t="shared" si="1"/>
        <v>0</v>
      </c>
      <c r="I9" s="128">
        <f t="shared" si="2"/>
        <v>0</v>
      </c>
      <c r="J9" s="128">
        <f t="shared" si="3"/>
        <v>0</v>
      </c>
      <c r="K9" s="44">
        <f t="shared" si="10"/>
        <v>0</v>
      </c>
      <c r="L9" s="45">
        <f t="shared" si="4"/>
        <v>0</v>
      </c>
      <c r="M9" s="45">
        <f t="shared" si="5"/>
        <v>0</v>
      </c>
      <c r="N9" s="45">
        <f t="shared" si="6"/>
        <v>0</v>
      </c>
      <c r="O9" s="46">
        <f t="shared" si="7"/>
        <v>0</v>
      </c>
      <c r="P9" s="47">
        <f t="shared" si="8"/>
        <v>147333.33333333334</v>
      </c>
      <c r="Q9" s="42">
        <v>442000</v>
      </c>
      <c r="R9" s="48">
        <f t="shared" si="9"/>
        <v>0</v>
      </c>
      <c r="S9" s="49"/>
      <c r="U9" s="112"/>
    </row>
    <row r="10" spans="1:21" outlineLevel="2" x14ac:dyDescent="0.3">
      <c r="A10" s="40" t="str">
        <f>VLOOKUP(B10,Grupos!$A$2:$B$619,2,FALSE)</f>
        <v>ACCESORIOS</v>
      </c>
      <c r="B10" s="41" t="s">
        <v>23</v>
      </c>
      <c r="C10" s="41" t="s">
        <v>24</v>
      </c>
      <c r="D10" s="42">
        <v>39600</v>
      </c>
      <c r="E10" s="43">
        <v>59.89</v>
      </c>
      <c r="F10" s="43">
        <v>34.71</v>
      </c>
      <c r="G10" s="126">
        <f t="shared" si="0"/>
        <v>94.6</v>
      </c>
      <c r="H10" s="127">
        <f t="shared" si="1"/>
        <v>2371644</v>
      </c>
      <c r="I10" s="128">
        <f t="shared" si="2"/>
        <v>1374516</v>
      </c>
      <c r="J10" s="128">
        <f t="shared" si="3"/>
        <v>3746160</v>
      </c>
      <c r="K10" s="44">
        <f t="shared" si="10"/>
        <v>2.8145551204382499E-3</v>
      </c>
      <c r="L10" s="45">
        <f t="shared" si="4"/>
        <v>18.386928784677394</v>
      </c>
      <c r="M10" s="45">
        <f t="shared" si="5"/>
        <v>186.40413818942022</v>
      </c>
      <c r="N10" s="45">
        <f t="shared" si="6"/>
        <v>299.39106697409761</v>
      </c>
      <c r="O10" s="46">
        <f t="shared" si="7"/>
        <v>11855886.252174266</v>
      </c>
      <c r="P10" s="47">
        <f t="shared" si="8"/>
        <v>126.09091363636362</v>
      </c>
      <c r="Q10" s="42">
        <v>4993200.18</v>
      </c>
      <c r="R10" s="48">
        <f t="shared" si="9"/>
        <v>2.374406357602564</v>
      </c>
      <c r="S10" s="49"/>
      <c r="U10" s="112"/>
    </row>
    <row r="11" spans="1:21" outlineLevel="2" x14ac:dyDescent="0.3">
      <c r="A11" s="40" t="str">
        <f>VLOOKUP(B11,Grupos!$A$2:$B$619,2,FALSE)</f>
        <v>ACCESORIOS</v>
      </c>
      <c r="B11" s="41" t="s">
        <v>25</v>
      </c>
      <c r="C11" s="41" t="s">
        <v>26</v>
      </c>
      <c r="D11" s="42">
        <v>2400</v>
      </c>
      <c r="E11" s="43">
        <v>43.39</v>
      </c>
      <c r="F11" s="43">
        <v>43.22</v>
      </c>
      <c r="G11" s="126">
        <f t="shared" si="0"/>
        <v>86.61</v>
      </c>
      <c r="H11" s="127">
        <f t="shared" si="1"/>
        <v>104136</v>
      </c>
      <c r="I11" s="128">
        <f t="shared" si="2"/>
        <v>103728</v>
      </c>
      <c r="J11" s="128">
        <f t="shared" si="3"/>
        <v>207864</v>
      </c>
      <c r="K11" s="44">
        <f t="shared" si="10"/>
        <v>1.5617183610811507E-4</v>
      </c>
      <c r="L11" s="45">
        <f t="shared" si="4"/>
        <v>16.833952452863731</v>
      </c>
      <c r="M11" s="45">
        <f t="shared" si="5"/>
        <v>232.10564253952006</v>
      </c>
      <c r="N11" s="45">
        <f t="shared" si="6"/>
        <v>335.54959499238379</v>
      </c>
      <c r="O11" s="46">
        <f t="shared" si="7"/>
        <v>805319.0279817211</v>
      </c>
      <c r="P11" s="47">
        <f t="shared" si="8"/>
        <v>102.50000833333333</v>
      </c>
      <c r="Q11" s="42">
        <v>246000.02</v>
      </c>
      <c r="R11" s="48">
        <f t="shared" si="9"/>
        <v>3.2736543191407916</v>
      </c>
      <c r="S11" s="49"/>
      <c r="U11" s="112"/>
    </row>
    <row r="12" spans="1:21" outlineLevel="2" x14ac:dyDescent="0.3">
      <c r="A12" s="40" t="str">
        <f>VLOOKUP(B12,Grupos!$A$2:$B$619,2,FALSE)</f>
        <v>ACCESORIOS</v>
      </c>
      <c r="B12" s="41" t="s">
        <v>609</v>
      </c>
      <c r="C12" s="41" t="s">
        <v>610</v>
      </c>
      <c r="D12" s="42">
        <v>15</v>
      </c>
      <c r="E12" s="43">
        <v>2166.94</v>
      </c>
      <c r="F12" s="43">
        <v>0</v>
      </c>
      <c r="G12" s="126">
        <f t="shared" si="0"/>
        <v>2166.94</v>
      </c>
      <c r="H12" s="127">
        <f t="shared" si="1"/>
        <v>32504.100000000002</v>
      </c>
      <c r="I12" s="128">
        <f t="shared" si="2"/>
        <v>0</v>
      </c>
      <c r="J12" s="128">
        <f t="shared" si="3"/>
        <v>32504.100000000002</v>
      </c>
      <c r="K12" s="44">
        <f t="shared" si="10"/>
        <v>2.4420895287504251E-5</v>
      </c>
      <c r="L12" s="45">
        <f t="shared" si="4"/>
        <v>421.17728816774667</v>
      </c>
      <c r="M12" s="45">
        <f t="shared" si="5"/>
        <v>0</v>
      </c>
      <c r="N12" s="45">
        <f t="shared" si="6"/>
        <v>2588.1172881677467</v>
      </c>
      <c r="O12" s="46">
        <f t="shared" si="7"/>
        <v>38821.759322516198</v>
      </c>
      <c r="P12" s="47">
        <f t="shared" si="8"/>
        <v>16952</v>
      </c>
      <c r="Q12" s="42">
        <v>254280</v>
      </c>
      <c r="R12" s="48">
        <f t="shared" si="9"/>
        <v>0.15267327089238714</v>
      </c>
      <c r="S12" s="49"/>
      <c r="U12" s="112"/>
    </row>
    <row r="13" spans="1:21" outlineLevel="2" x14ac:dyDescent="0.3">
      <c r="A13" s="40" t="str">
        <f>VLOOKUP(B13,Grupos!$A$2:$B$619,2,FALSE)</f>
        <v>ACCESORIOS</v>
      </c>
      <c r="B13" s="41" t="s">
        <v>708</v>
      </c>
      <c r="C13" s="41" t="s">
        <v>709</v>
      </c>
      <c r="D13" s="42">
        <v>5</v>
      </c>
      <c r="E13" s="43">
        <v>3042.06</v>
      </c>
      <c r="F13" s="43">
        <v>0</v>
      </c>
      <c r="G13" s="126">
        <f t="shared" si="0"/>
        <v>3042.06</v>
      </c>
      <c r="H13" s="127">
        <f t="shared" si="1"/>
        <v>15210.3</v>
      </c>
      <c r="I13" s="128">
        <f t="shared" si="2"/>
        <v>0</v>
      </c>
      <c r="J13" s="128">
        <f t="shared" si="3"/>
        <v>15210.3</v>
      </c>
      <c r="K13" s="44">
        <f t="shared" si="10"/>
        <v>1.1427762761975439E-5</v>
      </c>
      <c r="L13" s="45">
        <f t="shared" si="4"/>
        <v>591.26998497585305</v>
      </c>
      <c r="M13" s="45">
        <f t="shared" si="5"/>
        <v>0</v>
      </c>
      <c r="N13" s="45">
        <f t="shared" si="6"/>
        <v>3633.3299849758532</v>
      </c>
      <c r="O13" s="46">
        <f t="shared" si="7"/>
        <v>18166.649924879268</v>
      </c>
      <c r="P13" s="47">
        <f t="shared" si="8"/>
        <v>19250</v>
      </c>
      <c r="Q13" s="42">
        <v>96250</v>
      </c>
      <c r="R13" s="48">
        <f t="shared" si="9"/>
        <v>0.18874441480394044</v>
      </c>
      <c r="S13" s="49"/>
      <c r="U13" s="112"/>
    </row>
    <row r="14" spans="1:21" outlineLevel="2" x14ac:dyDescent="0.3">
      <c r="A14" s="40" t="str">
        <f>VLOOKUP(B14,Grupos!$A$2:$B$619,2,FALSE)</f>
        <v>ACCESORIOS</v>
      </c>
      <c r="B14" s="41" t="s">
        <v>29</v>
      </c>
      <c r="C14" s="41" t="s">
        <v>30</v>
      </c>
      <c r="D14" s="42">
        <v>13</v>
      </c>
      <c r="E14" s="43">
        <v>9036.65</v>
      </c>
      <c r="F14" s="43">
        <v>0</v>
      </c>
      <c r="G14" s="126">
        <f t="shared" si="0"/>
        <v>9036.65</v>
      </c>
      <c r="H14" s="127">
        <f t="shared" si="1"/>
        <v>117476.45</v>
      </c>
      <c r="I14" s="128">
        <f t="shared" si="2"/>
        <v>0</v>
      </c>
      <c r="J14" s="128">
        <f t="shared" si="3"/>
        <v>117476.45</v>
      </c>
      <c r="K14" s="44">
        <f t="shared" si="10"/>
        <v>8.8262098756702336E-5</v>
      </c>
      <c r="L14" s="45">
        <f t="shared" si="4"/>
        <v>1756.4084566813422</v>
      </c>
      <c r="M14" s="45">
        <f t="shared" si="5"/>
        <v>0</v>
      </c>
      <c r="N14" s="45">
        <f t="shared" si="6"/>
        <v>10793.058456681341</v>
      </c>
      <c r="O14" s="46">
        <f t="shared" si="7"/>
        <v>140309.75993685744</v>
      </c>
      <c r="P14" s="47">
        <f t="shared" si="8"/>
        <v>38300.576923076922</v>
      </c>
      <c r="Q14" s="42">
        <v>497907.5</v>
      </c>
      <c r="R14" s="48">
        <f t="shared" si="9"/>
        <v>0.28179884805281591</v>
      </c>
      <c r="S14" s="49"/>
      <c r="U14" s="112"/>
    </row>
    <row r="15" spans="1:21" outlineLevel="2" x14ac:dyDescent="0.3">
      <c r="A15" s="40" t="str">
        <f>VLOOKUP(B15,Grupos!$A$2:$B$619,2,FALSE)</f>
        <v>ACCESORIOS</v>
      </c>
      <c r="B15" s="41" t="s">
        <v>32</v>
      </c>
      <c r="C15" s="41" t="s">
        <v>33</v>
      </c>
      <c r="D15" s="42">
        <v>2</v>
      </c>
      <c r="E15" s="43">
        <v>14590.87</v>
      </c>
      <c r="F15" s="43">
        <v>0</v>
      </c>
      <c r="G15" s="126">
        <f t="shared" si="0"/>
        <v>14590.87</v>
      </c>
      <c r="H15" s="127">
        <f t="shared" si="1"/>
        <v>29181.74</v>
      </c>
      <c r="I15" s="128">
        <f t="shared" si="2"/>
        <v>0</v>
      </c>
      <c r="J15" s="128">
        <f t="shared" si="3"/>
        <v>29181.74</v>
      </c>
      <c r="K15" s="44">
        <f t="shared" si="10"/>
        <v>2.1924748473182591E-5</v>
      </c>
      <c r="L15" s="45">
        <f t="shared" si="4"/>
        <v>2835.9544143391736</v>
      </c>
      <c r="M15" s="45">
        <f t="shared" si="5"/>
        <v>0</v>
      </c>
      <c r="N15" s="45">
        <f t="shared" si="6"/>
        <v>17426.824414339175</v>
      </c>
      <c r="O15" s="46">
        <f t="shared" si="7"/>
        <v>34853.64882867835</v>
      </c>
      <c r="P15" s="47">
        <f t="shared" si="8"/>
        <v>85125</v>
      </c>
      <c r="Q15" s="42">
        <v>170250</v>
      </c>
      <c r="R15" s="48">
        <f t="shared" si="9"/>
        <v>0.20472040428004903</v>
      </c>
      <c r="S15" s="49"/>
      <c r="U15" s="112"/>
    </row>
    <row r="16" spans="1:21" outlineLevel="2" x14ac:dyDescent="0.3">
      <c r="A16" s="40" t="str">
        <f>VLOOKUP(B16,Grupos!$A$2:$B$619,2,FALSE)</f>
        <v>ACCESORIOS</v>
      </c>
      <c r="B16" s="41" t="s">
        <v>34</v>
      </c>
      <c r="C16" s="41" t="s">
        <v>35</v>
      </c>
      <c r="D16" s="42">
        <v>10</v>
      </c>
      <c r="E16" s="43">
        <v>1229.3900000000001</v>
      </c>
      <c r="F16" s="43">
        <v>0</v>
      </c>
      <c r="G16" s="126">
        <f t="shared" si="0"/>
        <v>1229.3900000000001</v>
      </c>
      <c r="H16" s="127">
        <f t="shared" si="1"/>
        <v>12293.900000000001</v>
      </c>
      <c r="I16" s="128">
        <f t="shared" si="2"/>
        <v>0</v>
      </c>
      <c r="J16" s="128">
        <f t="shared" si="3"/>
        <v>12293.900000000001</v>
      </c>
      <c r="K16" s="44">
        <f t="shared" si="10"/>
        <v>9.2366207516912799E-6</v>
      </c>
      <c r="L16" s="45">
        <f t="shared" si="4"/>
        <v>238.95038455173935</v>
      </c>
      <c r="M16" s="45">
        <f t="shared" si="5"/>
        <v>0</v>
      </c>
      <c r="N16" s="45">
        <f t="shared" si="6"/>
        <v>1468.3403845517394</v>
      </c>
      <c r="O16" s="46">
        <f t="shared" si="7"/>
        <v>14683.403845517394</v>
      </c>
      <c r="P16" s="47">
        <f t="shared" si="8"/>
        <v>6776</v>
      </c>
      <c r="Q16" s="42">
        <v>67760</v>
      </c>
      <c r="R16" s="48">
        <f t="shared" si="9"/>
        <v>0.21669722322192139</v>
      </c>
      <c r="S16" s="49"/>
      <c r="U16" s="112"/>
    </row>
    <row r="17" spans="1:21" outlineLevel="2" x14ac:dyDescent="0.3">
      <c r="A17" s="40" t="str">
        <f>VLOOKUP(B17,Grupos!$A$2:$B$619,2,FALSE)</f>
        <v>ACCESORIOS</v>
      </c>
      <c r="B17" s="41" t="s">
        <v>36</v>
      </c>
      <c r="C17" s="41" t="s">
        <v>37</v>
      </c>
      <c r="D17" s="42">
        <v>10</v>
      </c>
      <c r="E17" s="43">
        <v>1583.66</v>
      </c>
      <c r="F17" s="43">
        <v>0</v>
      </c>
      <c r="G17" s="126">
        <f t="shared" si="0"/>
        <v>1583.66</v>
      </c>
      <c r="H17" s="127">
        <f t="shared" si="1"/>
        <v>15836.6</v>
      </c>
      <c r="I17" s="128">
        <f t="shared" si="2"/>
        <v>0</v>
      </c>
      <c r="J17" s="128">
        <f t="shared" si="3"/>
        <v>15836.6</v>
      </c>
      <c r="K17" s="44">
        <f t="shared" si="10"/>
        <v>1.1898312837767845E-5</v>
      </c>
      <c r="L17" s="45">
        <f t="shared" si="4"/>
        <v>307.80807229537214</v>
      </c>
      <c r="M17" s="45">
        <f t="shared" si="5"/>
        <v>0</v>
      </c>
      <c r="N17" s="45">
        <f t="shared" si="6"/>
        <v>1891.4680722953722</v>
      </c>
      <c r="O17" s="46">
        <f t="shared" si="7"/>
        <v>18914.680722953723</v>
      </c>
      <c r="P17" s="47">
        <f t="shared" si="8"/>
        <v>9680</v>
      </c>
      <c r="Q17" s="42">
        <v>96800</v>
      </c>
      <c r="R17" s="48">
        <f t="shared" si="9"/>
        <v>0.19539959424538969</v>
      </c>
      <c r="S17" s="49"/>
      <c r="U17" s="112"/>
    </row>
    <row r="18" spans="1:21" outlineLevel="2" x14ac:dyDescent="0.3">
      <c r="A18" s="40" t="str">
        <f>VLOOKUP(B18,Grupos!$A$2:$B$619,2,FALSE)</f>
        <v>ACCESORIOS</v>
      </c>
      <c r="B18" s="41" t="s">
        <v>731</v>
      </c>
      <c r="C18" s="41" t="s">
        <v>732</v>
      </c>
      <c r="D18" s="42">
        <v>150</v>
      </c>
      <c r="E18" s="43">
        <v>1185</v>
      </c>
      <c r="F18" s="43">
        <v>0</v>
      </c>
      <c r="G18" s="126">
        <f t="shared" si="0"/>
        <v>1185</v>
      </c>
      <c r="H18" s="127">
        <f t="shared" si="1"/>
        <v>177750</v>
      </c>
      <c r="I18" s="128">
        <f t="shared" si="2"/>
        <v>0</v>
      </c>
      <c r="J18" s="128">
        <f t="shared" si="3"/>
        <v>177750</v>
      </c>
      <c r="K18" s="44">
        <f t="shared" si="10"/>
        <v>1.335466644932141E-4</v>
      </c>
      <c r="L18" s="45">
        <f t="shared" si="4"/>
        <v>230.32252230277706</v>
      </c>
      <c r="M18" s="45">
        <f t="shared" si="5"/>
        <v>0</v>
      </c>
      <c r="N18" s="45">
        <f t="shared" si="6"/>
        <v>1415.3225223027771</v>
      </c>
      <c r="O18" s="46">
        <f t="shared" si="7"/>
        <v>212298.37834541657</v>
      </c>
      <c r="P18" s="47">
        <f t="shared" si="8"/>
        <v>9240.0004000000008</v>
      </c>
      <c r="Q18" s="42">
        <v>1386000.06</v>
      </c>
      <c r="R18" s="48">
        <f t="shared" si="9"/>
        <v>0.15317342651876692</v>
      </c>
      <c r="S18" s="49"/>
      <c r="U18" s="112"/>
    </row>
    <row r="19" spans="1:21" outlineLevel="2" x14ac:dyDescent="0.3">
      <c r="A19" s="40" t="str">
        <f>VLOOKUP(B19,Grupos!$A$2:$B$619,2,FALSE)</f>
        <v>ACCESORIOS</v>
      </c>
      <c r="B19" s="41" t="s">
        <v>39</v>
      </c>
      <c r="C19" s="41" t="s">
        <v>40</v>
      </c>
      <c r="D19" s="42">
        <v>20</v>
      </c>
      <c r="E19" s="43">
        <v>1003</v>
      </c>
      <c r="F19" s="43">
        <v>0</v>
      </c>
      <c r="G19" s="126">
        <f t="shared" si="0"/>
        <v>1003</v>
      </c>
      <c r="H19" s="127">
        <f t="shared" si="1"/>
        <v>20060</v>
      </c>
      <c r="I19" s="128">
        <f t="shared" si="2"/>
        <v>0</v>
      </c>
      <c r="J19" s="128">
        <f t="shared" si="3"/>
        <v>20060</v>
      </c>
      <c r="K19" s="44">
        <f t="shared" si="10"/>
        <v>1.5071426665169478E-5</v>
      </c>
      <c r="L19" s="45">
        <f t="shared" si="4"/>
        <v>194.94809271703409</v>
      </c>
      <c r="M19" s="45">
        <f t="shared" si="5"/>
        <v>0</v>
      </c>
      <c r="N19" s="45">
        <f t="shared" si="6"/>
        <v>1197.9480927170341</v>
      </c>
      <c r="O19" s="46">
        <f t="shared" si="7"/>
        <v>23958.961854340683</v>
      </c>
      <c r="P19" s="47">
        <f t="shared" si="8"/>
        <v>3006</v>
      </c>
      <c r="Q19" s="42">
        <v>60120</v>
      </c>
      <c r="R19" s="48">
        <f t="shared" si="9"/>
        <v>0.39851899291983839</v>
      </c>
      <c r="S19" s="49"/>
      <c r="U19" s="112"/>
    </row>
    <row r="20" spans="1:21" outlineLevel="2" x14ac:dyDescent="0.3">
      <c r="A20" s="40" t="str">
        <f>VLOOKUP(B20,Grupos!$A$2:$B$619,2,FALSE)</f>
        <v>ACCESORIOS</v>
      </c>
      <c r="B20" s="41" t="s">
        <v>42</v>
      </c>
      <c r="C20" s="41" t="s">
        <v>43</v>
      </c>
      <c r="D20" s="42">
        <v>24</v>
      </c>
      <c r="E20" s="43">
        <v>60</v>
      </c>
      <c r="F20" s="43">
        <v>0</v>
      </c>
      <c r="G20" s="126">
        <f t="shared" si="0"/>
        <v>60</v>
      </c>
      <c r="H20" s="127">
        <f t="shared" si="1"/>
        <v>1440</v>
      </c>
      <c r="I20" s="128">
        <f t="shared" si="2"/>
        <v>0</v>
      </c>
      <c r="J20" s="128">
        <f t="shared" si="3"/>
        <v>1440</v>
      </c>
      <c r="K20" s="44">
        <f t="shared" si="10"/>
        <v>1.0818970288057852E-6</v>
      </c>
      <c r="L20" s="45">
        <f t="shared" si="4"/>
        <v>11.661899863431751</v>
      </c>
      <c r="M20" s="45">
        <f t="shared" si="5"/>
        <v>0</v>
      </c>
      <c r="N20" s="45">
        <f t="shared" si="6"/>
        <v>71.661899863431756</v>
      </c>
      <c r="O20" s="46">
        <f t="shared" si="7"/>
        <v>1719.8855967223622</v>
      </c>
      <c r="P20" s="47">
        <f t="shared" si="8"/>
        <v>220</v>
      </c>
      <c r="Q20" s="42">
        <v>5280</v>
      </c>
      <c r="R20" s="48">
        <f t="shared" si="9"/>
        <v>0.32573590847014433</v>
      </c>
      <c r="S20" s="49"/>
      <c r="U20" s="112"/>
    </row>
    <row r="21" spans="1:21" outlineLevel="2" x14ac:dyDescent="0.3">
      <c r="A21" s="40" t="str">
        <f>VLOOKUP(B21,Grupos!$A$2:$B$619,2,FALSE)</f>
        <v>ACCESORIOS</v>
      </c>
      <c r="B21" s="41" t="s">
        <v>614</v>
      </c>
      <c r="C21" s="41" t="s">
        <v>615</v>
      </c>
      <c r="D21" s="42">
        <v>584</v>
      </c>
      <c r="E21" s="43">
        <v>84.21</v>
      </c>
      <c r="F21" s="43">
        <v>0</v>
      </c>
      <c r="G21" s="126">
        <f t="shared" si="0"/>
        <v>84.21</v>
      </c>
      <c r="H21" s="127">
        <f t="shared" si="1"/>
        <v>49178.64</v>
      </c>
      <c r="I21" s="128">
        <f t="shared" si="2"/>
        <v>0</v>
      </c>
      <c r="J21" s="128">
        <f t="shared" si="3"/>
        <v>49178.64</v>
      </c>
      <c r="K21" s="44">
        <f t="shared" si="10"/>
        <v>3.6948767011603705E-5</v>
      </c>
      <c r="L21" s="45">
        <f t="shared" si="4"/>
        <v>16.367476458326461</v>
      </c>
      <c r="M21" s="45">
        <f t="shared" si="5"/>
        <v>0</v>
      </c>
      <c r="N21" s="45">
        <f t="shared" si="6"/>
        <v>100.57747645832646</v>
      </c>
      <c r="O21" s="46">
        <f t="shared" si="7"/>
        <v>58737.246251662655</v>
      </c>
      <c r="P21" s="47">
        <f t="shared" si="8"/>
        <v>300</v>
      </c>
      <c r="Q21" s="42">
        <v>175200</v>
      </c>
      <c r="R21" s="48">
        <f t="shared" si="9"/>
        <v>0.33525825486108823</v>
      </c>
      <c r="S21" s="49"/>
      <c r="U21" s="112"/>
    </row>
    <row r="22" spans="1:21" outlineLevel="2" x14ac:dyDescent="0.3">
      <c r="A22" s="40" t="str">
        <f>VLOOKUP(B22,Grupos!$A$2:$B$619,2,FALSE)</f>
        <v>ACCESORIOS</v>
      </c>
      <c r="B22" s="41" t="s">
        <v>44</v>
      </c>
      <c r="C22" s="41" t="s">
        <v>45</v>
      </c>
      <c r="D22" s="42">
        <v>2</v>
      </c>
      <c r="E22" s="43">
        <v>5104.8500000000004</v>
      </c>
      <c r="F22" s="43">
        <v>36.47</v>
      </c>
      <c r="G22" s="126">
        <f t="shared" si="0"/>
        <v>5141.3200000000006</v>
      </c>
      <c r="H22" s="127">
        <f t="shared" si="1"/>
        <v>10209.700000000001</v>
      </c>
      <c r="I22" s="128">
        <f t="shared" si="2"/>
        <v>72.94</v>
      </c>
      <c r="J22" s="128">
        <f t="shared" si="3"/>
        <v>10282.640000000001</v>
      </c>
      <c r="K22" s="44">
        <f t="shared" si="10"/>
        <v>7.7255261557496658E-6</v>
      </c>
      <c r="L22" s="45">
        <f t="shared" si="4"/>
        <v>999.29265009764879</v>
      </c>
      <c r="M22" s="45">
        <f t="shared" si="5"/>
        <v>195.85591817251958</v>
      </c>
      <c r="N22" s="45">
        <f t="shared" si="6"/>
        <v>6336.4685682701693</v>
      </c>
      <c r="O22" s="46">
        <f t="shared" si="7"/>
        <v>12672.937136540339</v>
      </c>
      <c r="P22" s="47">
        <f t="shared" si="8"/>
        <v>22050</v>
      </c>
      <c r="Q22" s="42">
        <v>44100</v>
      </c>
      <c r="R22" s="48">
        <f t="shared" si="9"/>
        <v>0.28736818903719591</v>
      </c>
      <c r="S22" s="49"/>
      <c r="U22" s="112"/>
    </row>
    <row r="23" spans="1:21" outlineLevel="2" x14ac:dyDescent="0.3">
      <c r="A23" s="40" t="str">
        <f>VLOOKUP(B23,Grupos!$A$2:$B$619,2,FALSE)</f>
        <v>ACCESORIOS</v>
      </c>
      <c r="B23" s="41" t="s">
        <v>667</v>
      </c>
      <c r="C23" s="41" t="s">
        <v>668</v>
      </c>
      <c r="D23" s="42">
        <v>3</v>
      </c>
      <c r="E23" s="43">
        <v>5982.61</v>
      </c>
      <c r="F23" s="43">
        <v>36.47</v>
      </c>
      <c r="G23" s="126">
        <f t="shared" si="0"/>
        <v>6019.08</v>
      </c>
      <c r="H23" s="127">
        <f t="shared" si="1"/>
        <v>17947.829999999998</v>
      </c>
      <c r="I23" s="128">
        <f t="shared" si="2"/>
        <v>109.41</v>
      </c>
      <c r="J23" s="128">
        <f t="shared" si="3"/>
        <v>18057.239999999998</v>
      </c>
      <c r="K23" s="44">
        <f t="shared" si="10"/>
        <v>1.3566718266967342E-5</v>
      </c>
      <c r="L23" s="45">
        <f t="shared" si="4"/>
        <v>1169.8984704997463</v>
      </c>
      <c r="M23" s="45">
        <f t="shared" si="5"/>
        <v>195.85591817251958</v>
      </c>
      <c r="N23" s="45">
        <f t="shared" si="6"/>
        <v>7384.834388672266</v>
      </c>
      <c r="O23" s="46">
        <f t="shared" si="7"/>
        <v>22154.503166016799</v>
      </c>
      <c r="P23" s="47">
        <f t="shared" si="8"/>
        <v>29880.666666666668</v>
      </c>
      <c r="Q23" s="42">
        <v>89642</v>
      </c>
      <c r="R23" s="48">
        <f t="shared" si="9"/>
        <v>0.24714423111952877</v>
      </c>
      <c r="S23" s="49"/>
      <c r="U23" s="112"/>
    </row>
    <row r="24" spans="1:21" outlineLevel="2" x14ac:dyDescent="0.3">
      <c r="A24" s="40" t="str">
        <f>VLOOKUP(B24,Grupos!$A$2:$B$619,2,FALSE)</f>
        <v>ACCESORIOS</v>
      </c>
      <c r="B24" s="41" t="s">
        <v>616</v>
      </c>
      <c r="C24" s="41" t="s">
        <v>617</v>
      </c>
      <c r="D24" s="42">
        <v>2</v>
      </c>
      <c r="E24" s="43">
        <v>4361.33</v>
      </c>
      <c r="F24" s="43">
        <v>36.47</v>
      </c>
      <c r="G24" s="126">
        <f t="shared" si="0"/>
        <v>4397.8</v>
      </c>
      <c r="H24" s="127">
        <f t="shared" si="1"/>
        <v>8722.66</v>
      </c>
      <c r="I24" s="128">
        <f t="shared" si="2"/>
        <v>72.94</v>
      </c>
      <c r="J24" s="128">
        <f t="shared" si="3"/>
        <v>8795.6</v>
      </c>
      <c r="K24" s="44">
        <f t="shared" si="10"/>
        <v>6.6082871573362253E-6</v>
      </c>
      <c r="L24" s="45">
        <f t="shared" si="4"/>
        <v>854.77838699000256</v>
      </c>
      <c r="M24" s="45">
        <f t="shared" si="5"/>
        <v>195.85591817251958</v>
      </c>
      <c r="N24" s="45">
        <f t="shared" si="6"/>
        <v>5448.4343051625219</v>
      </c>
      <c r="O24" s="46">
        <f t="shared" si="7"/>
        <v>10896.868610325044</v>
      </c>
      <c r="P24" s="47">
        <f t="shared" si="8"/>
        <v>31350</v>
      </c>
      <c r="Q24" s="42">
        <v>62700</v>
      </c>
      <c r="R24" s="48">
        <f t="shared" si="9"/>
        <v>0.17379375774043132</v>
      </c>
      <c r="S24" s="49"/>
      <c r="U24" s="112"/>
    </row>
    <row r="25" spans="1:21" outlineLevel="2" x14ac:dyDescent="0.3">
      <c r="A25" s="40" t="str">
        <f>VLOOKUP(B25,Grupos!$A$2:$B$619,2,FALSE)</f>
        <v>ACCESORIOS</v>
      </c>
      <c r="B25" s="41" t="s">
        <v>618</v>
      </c>
      <c r="C25" s="41" t="s">
        <v>619</v>
      </c>
      <c r="D25" s="42">
        <v>3</v>
      </c>
      <c r="E25" s="43">
        <v>7156.87</v>
      </c>
      <c r="F25" s="43">
        <v>179.7</v>
      </c>
      <c r="G25" s="126">
        <f t="shared" si="0"/>
        <v>7336.57</v>
      </c>
      <c r="H25" s="127">
        <f t="shared" si="1"/>
        <v>21470.61</v>
      </c>
      <c r="I25" s="128">
        <f t="shared" si="2"/>
        <v>539.09999999999991</v>
      </c>
      <c r="J25" s="128">
        <f t="shared" si="3"/>
        <v>22009.71</v>
      </c>
      <c r="K25" s="44">
        <f t="shared" si="10"/>
        <v>1.6536277676303455E-5</v>
      </c>
      <c r="L25" s="45">
        <f t="shared" si="4"/>
        <v>1425.9724113509581</v>
      </c>
      <c r="M25" s="45">
        <f t="shared" si="5"/>
        <v>965.04821759259028</v>
      </c>
      <c r="N25" s="45">
        <f t="shared" si="6"/>
        <v>9727.5906289435479</v>
      </c>
      <c r="O25" s="46">
        <f t="shared" si="7"/>
        <v>29182.771886830644</v>
      </c>
      <c r="P25" s="47">
        <f t="shared" si="8"/>
        <v>22000</v>
      </c>
      <c r="Q25" s="42">
        <v>66000</v>
      </c>
      <c r="R25" s="48">
        <f t="shared" si="9"/>
        <v>0.4421632104065249</v>
      </c>
      <c r="S25" s="49"/>
      <c r="U25" s="112"/>
    </row>
    <row r="26" spans="1:21" outlineLevel="2" x14ac:dyDescent="0.3">
      <c r="A26" s="40" t="str">
        <f>VLOOKUP(B26,Grupos!$A$2:$B$619,2,FALSE)</f>
        <v>ACCESORIOS</v>
      </c>
      <c r="B26" s="41" t="s">
        <v>47</v>
      </c>
      <c r="C26" s="41" t="s">
        <v>48</v>
      </c>
      <c r="D26" s="42">
        <v>37</v>
      </c>
      <c r="E26" s="43">
        <v>412.02</v>
      </c>
      <c r="F26" s="43">
        <v>3.75</v>
      </c>
      <c r="G26" s="126">
        <f t="shared" si="0"/>
        <v>415.77</v>
      </c>
      <c r="H26" s="127">
        <f t="shared" si="1"/>
        <v>15244.74</v>
      </c>
      <c r="I26" s="128">
        <f t="shared" si="2"/>
        <v>138.75</v>
      </c>
      <c r="J26" s="128">
        <f t="shared" si="3"/>
        <v>15383.49</v>
      </c>
      <c r="K26" s="44">
        <f t="shared" si="10"/>
        <v>1.1557883419210768E-5</v>
      </c>
      <c r="L26" s="45">
        <f t="shared" si="4"/>
        <v>80.811135103650315</v>
      </c>
      <c r="M26" s="45">
        <f t="shared" si="5"/>
        <v>20.138735759444707</v>
      </c>
      <c r="N26" s="45">
        <f t="shared" si="6"/>
        <v>516.71987086309503</v>
      </c>
      <c r="O26" s="46">
        <f t="shared" si="7"/>
        <v>19118.635221934517</v>
      </c>
      <c r="P26" s="47">
        <f t="shared" si="8"/>
        <v>2625</v>
      </c>
      <c r="Q26" s="42">
        <v>97125</v>
      </c>
      <c r="R26" s="48">
        <f t="shared" si="9"/>
        <v>0.19684566509070289</v>
      </c>
      <c r="S26" s="49"/>
      <c r="U26" s="112"/>
    </row>
    <row r="27" spans="1:21" outlineLevel="2" x14ac:dyDescent="0.3">
      <c r="A27" s="40" t="str">
        <f>VLOOKUP(B27,Grupos!$A$2:$B$619,2,FALSE)</f>
        <v>ACCESORIOS</v>
      </c>
      <c r="B27" s="41" t="s">
        <v>50</v>
      </c>
      <c r="C27" s="41" t="s">
        <v>51</v>
      </c>
      <c r="D27" s="42">
        <v>24</v>
      </c>
      <c r="E27" s="43">
        <v>575.44000000000005</v>
      </c>
      <c r="F27" s="43">
        <v>3.75</v>
      </c>
      <c r="G27" s="126">
        <f t="shared" si="0"/>
        <v>579.19000000000005</v>
      </c>
      <c r="H27" s="127">
        <f t="shared" si="1"/>
        <v>13810.560000000001</v>
      </c>
      <c r="I27" s="128">
        <f t="shared" si="2"/>
        <v>90</v>
      </c>
      <c r="J27" s="128">
        <f t="shared" si="3"/>
        <v>13900.560000000001</v>
      </c>
      <c r="K27" s="44">
        <f t="shared" si="10"/>
        <v>1.0443732335233711E-5</v>
      </c>
      <c r="L27" s="45">
        <f t="shared" si="4"/>
        <v>112.57426303168393</v>
      </c>
      <c r="M27" s="45">
        <f t="shared" si="5"/>
        <v>20.138735759444707</v>
      </c>
      <c r="N27" s="45">
        <f t="shared" si="6"/>
        <v>711.90299879112865</v>
      </c>
      <c r="O27" s="46">
        <f t="shared" si="7"/>
        <v>17085.671970987089</v>
      </c>
      <c r="P27" s="47">
        <f t="shared" si="8"/>
        <v>3000</v>
      </c>
      <c r="Q27" s="42">
        <v>72000</v>
      </c>
      <c r="R27" s="48">
        <f t="shared" si="9"/>
        <v>0.2373009995970429</v>
      </c>
      <c r="S27" s="49"/>
      <c r="U27" s="112"/>
    </row>
    <row r="28" spans="1:21" outlineLevel="2" x14ac:dyDescent="0.3">
      <c r="A28" s="40" t="str">
        <f>VLOOKUP(B28,Grupos!$A$2:$B$619,2,FALSE)</f>
        <v>ACCESORIOS</v>
      </c>
      <c r="B28" s="41" t="s">
        <v>620</v>
      </c>
      <c r="C28" s="41" t="s">
        <v>621</v>
      </c>
      <c r="D28" s="42">
        <v>10</v>
      </c>
      <c r="E28" s="43">
        <v>2250.44</v>
      </c>
      <c r="F28" s="43">
        <v>0</v>
      </c>
      <c r="G28" s="126">
        <f t="shared" si="0"/>
        <v>2250.44</v>
      </c>
      <c r="H28" s="127">
        <f t="shared" si="1"/>
        <v>22504.400000000001</v>
      </c>
      <c r="I28" s="128">
        <f t="shared" si="2"/>
        <v>0</v>
      </c>
      <c r="J28" s="128">
        <f t="shared" si="3"/>
        <v>22504.400000000001</v>
      </c>
      <c r="K28" s="44">
        <f t="shared" si="10"/>
        <v>1.6907946871567301E-5</v>
      </c>
      <c r="L28" s="45">
        <f t="shared" si="4"/>
        <v>437.40676547768919</v>
      </c>
      <c r="M28" s="45">
        <f t="shared" si="5"/>
        <v>0</v>
      </c>
      <c r="N28" s="45">
        <f t="shared" si="6"/>
        <v>2687.8467654776891</v>
      </c>
      <c r="O28" s="46">
        <f t="shared" si="7"/>
        <v>26878.46765477689</v>
      </c>
      <c r="P28" s="47">
        <f t="shared" si="8"/>
        <v>13728</v>
      </c>
      <c r="Q28" s="42">
        <v>137280</v>
      </c>
      <c r="R28" s="48">
        <f t="shared" si="9"/>
        <v>0.19579303361579903</v>
      </c>
      <c r="S28" s="49"/>
      <c r="U28" s="112"/>
    </row>
    <row r="29" spans="1:21" outlineLevel="2" x14ac:dyDescent="0.3">
      <c r="A29" s="40" t="str">
        <f>VLOOKUP(B29,Grupos!$A$2:$B$619,2,FALSE)</f>
        <v>ACCESORIOS</v>
      </c>
      <c r="B29" s="41" t="s">
        <v>714</v>
      </c>
      <c r="C29" s="41" t="s">
        <v>715</v>
      </c>
      <c r="D29" s="42">
        <v>5</v>
      </c>
      <c r="E29" s="43">
        <v>3125.57</v>
      </c>
      <c r="F29" s="43">
        <v>0</v>
      </c>
      <c r="G29" s="126">
        <f t="shared" si="0"/>
        <v>3125.57</v>
      </c>
      <c r="H29" s="127">
        <f t="shared" si="1"/>
        <v>15627.85</v>
      </c>
      <c r="I29" s="128">
        <f t="shared" si="2"/>
        <v>0</v>
      </c>
      <c r="J29" s="128">
        <f t="shared" si="3"/>
        <v>15627.85</v>
      </c>
      <c r="K29" s="44">
        <f t="shared" si="10"/>
        <v>1.1741475334460062E-5</v>
      </c>
      <c r="L29" s="45">
        <f t="shared" si="4"/>
        <v>607.50140593577294</v>
      </c>
      <c r="M29" s="45">
        <f t="shared" si="5"/>
        <v>0</v>
      </c>
      <c r="N29" s="45">
        <f t="shared" si="6"/>
        <v>3733.0714059357733</v>
      </c>
      <c r="O29" s="46">
        <f t="shared" si="7"/>
        <v>18665.357029678868</v>
      </c>
      <c r="P29" s="47">
        <f t="shared" si="8"/>
        <v>19250</v>
      </c>
      <c r="Q29" s="42">
        <v>96250</v>
      </c>
      <c r="R29" s="48">
        <f t="shared" si="9"/>
        <v>0.19392578732133889</v>
      </c>
      <c r="S29" s="49"/>
      <c r="U29" s="112"/>
    </row>
    <row r="30" spans="1:21" outlineLevel="2" x14ac:dyDescent="0.3">
      <c r="A30" s="40" t="str">
        <f>VLOOKUP(B30,Grupos!$A$2:$B$619,2,FALSE)</f>
        <v>ACCESORIOS</v>
      </c>
      <c r="B30" s="41" t="s">
        <v>54</v>
      </c>
      <c r="C30" s="41" t="s">
        <v>55</v>
      </c>
      <c r="D30" s="42">
        <v>2</v>
      </c>
      <c r="E30" s="43">
        <v>14899.51</v>
      </c>
      <c r="F30" s="43">
        <v>0</v>
      </c>
      <c r="G30" s="126">
        <f t="shared" si="0"/>
        <v>14899.51</v>
      </c>
      <c r="H30" s="127">
        <f t="shared" si="1"/>
        <v>29799.02</v>
      </c>
      <c r="I30" s="128">
        <f t="shared" si="2"/>
        <v>0</v>
      </c>
      <c r="J30" s="128">
        <f t="shared" si="3"/>
        <v>29799.02</v>
      </c>
      <c r="K30" s="44">
        <f t="shared" si="10"/>
        <v>2.2388521666197337E-5</v>
      </c>
      <c r="L30" s="45">
        <f t="shared" si="4"/>
        <v>2895.9432272366666</v>
      </c>
      <c r="M30" s="45">
        <f t="shared" si="5"/>
        <v>0</v>
      </c>
      <c r="N30" s="45">
        <f t="shared" si="6"/>
        <v>17795.453227236667</v>
      </c>
      <c r="O30" s="46">
        <f t="shared" si="7"/>
        <v>35590.906454473334</v>
      </c>
      <c r="P30" s="47">
        <f t="shared" si="8"/>
        <v>85125</v>
      </c>
      <c r="Q30" s="42">
        <v>170250</v>
      </c>
      <c r="R30" s="48">
        <f t="shared" si="9"/>
        <v>0.20905084554756731</v>
      </c>
      <c r="S30" s="49"/>
      <c r="U30" s="112"/>
    </row>
    <row r="31" spans="1:21" outlineLevel="2" x14ac:dyDescent="0.3">
      <c r="A31" s="40" t="str">
        <f>VLOOKUP(B31,Grupos!$A$2:$B$619,2,FALSE)</f>
        <v>ACCESORIOS</v>
      </c>
      <c r="B31" s="41" t="s">
        <v>675</v>
      </c>
      <c r="C31" s="41" t="s">
        <v>676</v>
      </c>
      <c r="D31" s="42">
        <v>10</v>
      </c>
      <c r="E31" s="43">
        <v>1271.1500000000001</v>
      </c>
      <c r="F31" s="43">
        <v>0</v>
      </c>
      <c r="G31" s="126">
        <f t="shared" si="0"/>
        <v>1271.1500000000001</v>
      </c>
      <c r="H31" s="127">
        <f t="shared" si="1"/>
        <v>12711.5</v>
      </c>
      <c r="I31" s="128">
        <f t="shared" si="2"/>
        <v>0</v>
      </c>
      <c r="J31" s="128">
        <f t="shared" si="3"/>
        <v>12711.5</v>
      </c>
      <c r="K31" s="44">
        <f t="shared" si="10"/>
        <v>9.5503708900449573E-6</v>
      </c>
      <c r="L31" s="45">
        <f t="shared" si="4"/>
        <v>247.06706685668783</v>
      </c>
      <c r="M31" s="45">
        <f t="shared" si="5"/>
        <v>0</v>
      </c>
      <c r="N31" s="45">
        <f t="shared" si="6"/>
        <v>1518.217066856688</v>
      </c>
      <c r="O31" s="46">
        <f t="shared" si="7"/>
        <v>15182.17066856688</v>
      </c>
      <c r="P31" s="47">
        <f t="shared" si="8"/>
        <v>6776</v>
      </c>
      <c r="Q31" s="42">
        <v>67760</v>
      </c>
      <c r="R31" s="48">
        <f t="shared" si="9"/>
        <v>0.22405800868605194</v>
      </c>
      <c r="S31" s="49"/>
      <c r="U31" s="112"/>
    </row>
    <row r="32" spans="1:21" outlineLevel="2" x14ac:dyDescent="0.3">
      <c r="A32" s="40" t="str">
        <f>VLOOKUP(B32,Grupos!$A$2:$B$619,2,FALSE)</f>
        <v>ACCESORIOS</v>
      </c>
      <c r="B32" s="41" t="s">
        <v>56</v>
      </c>
      <c r="C32" s="41" t="s">
        <v>57</v>
      </c>
      <c r="D32" s="42">
        <v>10</v>
      </c>
      <c r="E32" s="43">
        <v>1666.74</v>
      </c>
      <c r="F32" s="43">
        <v>0</v>
      </c>
      <c r="G32" s="126">
        <f t="shared" si="0"/>
        <v>1666.74</v>
      </c>
      <c r="H32" s="127">
        <f t="shared" si="1"/>
        <v>16667.400000000001</v>
      </c>
      <c r="I32" s="128">
        <f t="shared" si="2"/>
        <v>0</v>
      </c>
      <c r="J32" s="128">
        <f t="shared" si="3"/>
        <v>16667.400000000001</v>
      </c>
      <c r="K32" s="44">
        <f t="shared" si="10"/>
        <v>1.2522507317998295E-5</v>
      </c>
      <c r="L32" s="45">
        <f t="shared" si="4"/>
        <v>323.95591630627064</v>
      </c>
      <c r="M32" s="45">
        <f t="shared" si="5"/>
        <v>0</v>
      </c>
      <c r="N32" s="45">
        <f t="shared" si="6"/>
        <v>1990.6959163062706</v>
      </c>
      <c r="O32" s="46">
        <f t="shared" si="7"/>
        <v>19906.959163062707</v>
      </c>
      <c r="P32" s="47">
        <f t="shared" si="8"/>
        <v>9680</v>
      </c>
      <c r="Q32" s="42">
        <v>96800</v>
      </c>
      <c r="R32" s="48">
        <f t="shared" si="9"/>
        <v>0.20565040457709408</v>
      </c>
      <c r="S32" s="49"/>
      <c r="U32" s="112"/>
    </row>
    <row r="33" spans="1:21" outlineLevel="2" x14ac:dyDescent="0.3">
      <c r="A33" s="40" t="str">
        <f>VLOOKUP(B33,Grupos!$A$2:$B$619,2,FALSE)</f>
        <v>ACCESORIOS</v>
      </c>
      <c r="B33" s="41" t="s">
        <v>733</v>
      </c>
      <c r="C33" s="41" t="s">
        <v>734</v>
      </c>
      <c r="D33" s="42">
        <v>150</v>
      </c>
      <c r="E33" s="43">
        <v>1201</v>
      </c>
      <c r="F33" s="43">
        <v>0</v>
      </c>
      <c r="G33" s="126">
        <f t="shared" si="0"/>
        <v>1201</v>
      </c>
      <c r="H33" s="127">
        <f t="shared" si="1"/>
        <v>180150</v>
      </c>
      <c r="I33" s="128">
        <f t="shared" si="2"/>
        <v>0</v>
      </c>
      <c r="J33" s="128">
        <f t="shared" si="3"/>
        <v>180150</v>
      </c>
      <c r="K33" s="44">
        <f t="shared" si="10"/>
        <v>1.353498262078904E-4</v>
      </c>
      <c r="L33" s="45">
        <f t="shared" si="4"/>
        <v>233.43236226635889</v>
      </c>
      <c r="M33" s="45">
        <f t="shared" si="5"/>
        <v>0</v>
      </c>
      <c r="N33" s="45">
        <f t="shared" si="6"/>
        <v>1434.432362266359</v>
      </c>
      <c r="O33" s="46">
        <f t="shared" si="7"/>
        <v>215164.85433995383</v>
      </c>
      <c r="P33" s="47">
        <f t="shared" si="8"/>
        <v>9240.0004000000008</v>
      </c>
      <c r="Q33" s="42">
        <v>1386000.06</v>
      </c>
      <c r="R33" s="48">
        <f t="shared" si="9"/>
        <v>0.15524159092745915</v>
      </c>
      <c r="S33" s="49"/>
      <c r="U33" s="112"/>
    </row>
    <row r="34" spans="1:21" s="93" customFormat="1" outlineLevel="1" x14ac:dyDescent="0.3">
      <c r="A34" s="50" t="s">
        <v>1017</v>
      </c>
      <c r="B34" s="129"/>
      <c r="C34" s="129"/>
      <c r="D34" s="51">
        <f>SUBTOTAL(9,D5:D33)</f>
        <v>43103</v>
      </c>
      <c r="E34" s="52"/>
      <c r="F34" s="52"/>
      <c r="G34" s="130"/>
      <c r="H34" s="131">
        <f>SUBTOTAL(9,H5:H33)</f>
        <v>3330960.8900000011</v>
      </c>
      <c r="I34" s="146">
        <f>SUBTOTAL(9,I5:I33)</f>
        <v>1479744.7999999998</v>
      </c>
      <c r="J34" s="146">
        <f>SUBTOTAL(9,J5:J33)</f>
        <v>4810705.6899999985</v>
      </c>
      <c r="K34" s="53"/>
      <c r="L34" s="54"/>
      <c r="M34" s="54"/>
      <c r="N34" s="54"/>
      <c r="O34" s="55">
        <f>SUBTOTAL(9,O5:O33)</f>
        <v>13692455.695450317</v>
      </c>
      <c r="P34" s="56"/>
      <c r="Q34" s="51">
        <f>SUBTOTAL(9,Q5:Q33)</f>
        <v>10984624.32</v>
      </c>
      <c r="R34" s="57">
        <f>O34/Q34</f>
        <v>1.2465110591465651</v>
      </c>
      <c r="S34" s="58">
        <f>Q34/$Q$293</f>
        <v>3.3463018186826589E-3</v>
      </c>
      <c r="U34" s="147"/>
    </row>
    <row r="35" spans="1:21" outlineLevel="2" x14ac:dyDescent="0.3">
      <c r="A35" s="40" t="str">
        <f>VLOOKUP(B35,Grupos!$A$2:$B$619,2,FALSE)</f>
        <v>ADAPTADORES</v>
      </c>
      <c r="B35" s="41" t="s">
        <v>58</v>
      </c>
      <c r="C35" s="41" t="s">
        <v>59</v>
      </c>
      <c r="D35" s="42">
        <v>11200</v>
      </c>
      <c r="E35" s="43">
        <v>14.92</v>
      </c>
      <c r="F35" s="43">
        <v>4.79</v>
      </c>
      <c r="G35" s="126">
        <f t="shared" si="0"/>
        <v>19.71</v>
      </c>
      <c r="H35" s="127">
        <f t="shared" si="1"/>
        <v>167104</v>
      </c>
      <c r="I35" s="128">
        <f t="shared" si="2"/>
        <v>53648</v>
      </c>
      <c r="J35" s="128">
        <f t="shared" si="3"/>
        <v>220752</v>
      </c>
      <c r="K35" s="44">
        <f t="shared" si="10"/>
        <v>1.6585481451592685E-4</v>
      </c>
      <c r="L35" s="45">
        <f t="shared" si="4"/>
        <v>3.8309341051373296</v>
      </c>
      <c r="M35" s="45">
        <f t="shared" si="5"/>
        <v>25.723878476730707</v>
      </c>
      <c r="N35" s="45">
        <f t="shared" si="6"/>
        <v>49.264812581868043</v>
      </c>
      <c r="O35" s="46">
        <f t="shared" si="7"/>
        <v>551765.90091692202</v>
      </c>
      <c r="P35" s="47">
        <f t="shared" si="8"/>
        <v>87.857146428571426</v>
      </c>
      <c r="Q35" s="42">
        <v>984000.04</v>
      </c>
      <c r="R35" s="48">
        <f t="shared" si="9"/>
        <v>0.56073768138964908</v>
      </c>
      <c r="S35" s="49"/>
      <c r="U35" s="112"/>
    </row>
    <row r="36" spans="1:21" outlineLevel="2" x14ac:dyDescent="0.3">
      <c r="A36" s="40" t="str">
        <f>VLOOKUP(B36,Grupos!$A$2:$B$619,2,FALSE)</f>
        <v>ADAPTADORES</v>
      </c>
      <c r="B36" s="41" t="s">
        <v>624</v>
      </c>
      <c r="C36" s="41" t="s">
        <v>625</v>
      </c>
      <c r="D36" s="42">
        <v>3000</v>
      </c>
      <c r="E36" s="43">
        <v>19.989999999999998</v>
      </c>
      <c r="F36" s="43">
        <v>5.28</v>
      </c>
      <c r="G36" s="126">
        <f t="shared" si="0"/>
        <v>25.27</v>
      </c>
      <c r="H36" s="127">
        <f t="shared" si="1"/>
        <v>59969.999999999993</v>
      </c>
      <c r="I36" s="128">
        <f t="shared" si="2"/>
        <v>15840</v>
      </c>
      <c r="J36" s="128">
        <f t="shared" si="3"/>
        <v>75810</v>
      </c>
      <c r="K36" s="44">
        <f t="shared" si="10"/>
        <v>5.6957370662337897E-5</v>
      </c>
      <c r="L36" s="45">
        <f t="shared" si="4"/>
        <v>4.9116034924820058</v>
      </c>
      <c r="M36" s="45">
        <f t="shared" si="5"/>
        <v>28.355339949298148</v>
      </c>
      <c r="N36" s="45">
        <f t="shared" si="6"/>
        <v>58.536943441780153</v>
      </c>
      <c r="O36" s="46">
        <f t="shared" si="7"/>
        <v>175610.83032534044</v>
      </c>
      <c r="P36" s="47">
        <f t="shared" si="8"/>
        <v>113.99999666666666</v>
      </c>
      <c r="Q36" s="42">
        <v>341999.99</v>
      </c>
      <c r="R36" s="48">
        <f t="shared" si="9"/>
        <v>0.51348197502970816</v>
      </c>
      <c r="S36" s="49"/>
      <c r="U36" s="112"/>
    </row>
    <row r="37" spans="1:21" outlineLevel="2" x14ac:dyDescent="0.3">
      <c r="A37" s="40" t="str">
        <f>VLOOKUP(B37,Grupos!$A$2:$B$619,2,FALSE)</f>
        <v>ADAPTADORES</v>
      </c>
      <c r="B37" s="41" t="s">
        <v>60</v>
      </c>
      <c r="C37" s="41" t="s">
        <v>61</v>
      </c>
      <c r="D37" s="42">
        <v>552000</v>
      </c>
      <c r="E37" s="43">
        <v>25.93</v>
      </c>
      <c r="F37" s="43">
        <v>11.01</v>
      </c>
      <c r="G37" s="126">
        <f t="shared" si="0"/>
        <v>36.94</v>
      </c>
      <c r="H37" s="127">
        <f t="shared" si="1"/>
        <v>14313360</v>
      </c>
      <c r="I37" s="128">
        <f t="shared" si="2"/>
        <v>6077520</v>
      </c>
      <c r="J37" s="128">
        <f t="shared" si="3"/>
        <v>20390880</v>
      </c>
      <c r="K37" s="44">
        <f t="shared" si="10"/>
        <v>1.5320022560232852E-2</v>
      </c>
      <c r="L37" s="45">
        <f t="shared" si="4"/>
        <v>7.1798430159194808</v>
      </c>
      <c r="M37" s="45">
        <f t="shared" si="5"/>
        <v>59.12732818972966</v>
      </c>
      <c r="N37" s="45">
        <f t="shared" si="6"/>
        <v>103.24717120564914</v>
      </c>
      <c r="O37" s="46">
        <f t="shared" si="7"/>
        <v>56992438.505518325</v>
      </c>
      <c r="P37" s="47">
        <f t="shared" si="8"/>
        <v>106.51956875</v>
      </c>
      <c r="Q37" s="42">
        <v>58798801.950000003</v>
      </c>
      <c r="R37" s="48">
        <f t="shared" si="9"/>
        <v>0.96927890731485089</v>
      </c>
      <c r="S37" s="49"/>
      <c r="U37" s="112"/>
    </row>
    <row r="38" spans="1:21" outlineLevel="2" x14ac:dyDescent="0.3">
      <c r="A38" s="40" t="str">
        <f>VLOOKUP(B38,Grupos!$A$2:$B$619,2,FALSE)</f>
        <v>ADAPTADORES</v>
      </c>
      <c r="B38" s="41" t="s">
        <v>62</v>
      </c>
      <c r="C38" s="41" t="s">
        <v>63</v>
      </c>
      <c r="D38" s="42">
        <v>192800</v>
      </c>
      <c r="E38" s="43">
        <v>39.89</v>
      </c>
      <c r="F38" s="43">
        <v>11.25</v>
      </c>
      <c r="G38" s="126">
        <f t="shared" si="0"/>
        <v>51.14</v>
      </c>
      <c r="H38" s="127">
        <f t="shared" si="1"/>
        <v>7690792</v>
      </c>
      <c r="I38" s="128">
        <f t="shared" si="2"/>
        <v>2169000</v>
      </c>
      <c r="J38" s="128">
        <f t="shared" si="3"/>
        <v>9859792</v>
      </c>
      <c r="K38" s="44">
        <f t="shared" si="10"/>
        <v>7.4078331037798952E-3</v>
      </c>
      <c r="L38" s="45">
        <f t="shared" si="4"/>
        <v>9.9398259835983271</v>
      </c>
      <c r="M38" s="45">
        <f t="shared" si="5"/>
        <v>60.41620727833412</v>
      </c>
      <c r="N38" s="45">
        <f t="shared" si="6"/>
        <v>121.49603326193244</v>
      </c>
      <c r="O38" s="46">
        <f t="shared" si="7"/>
        <v>23424435.212900575</v>
      </c>
      <c r="P38" s="47">
        <f t="shared" si="8"/>
        <v>142.2904632780083</v>
      </c>
      <c r="Q38" s="42">
        <v>27433601.32</v>
      </c>
      <c r="R38" s="48">
        <f t="shared" si="9"/>
        <v>0.85385928517607312</v>
      </c>
      <c r="S38" s="49"/>
      <c r="U38" s="112"/>
    </row>
    <row r="39" spans="1:21" s="93" customFormat="1" outlineLevel="1" x14ac:dyDescent="0.3">
      <c r="A39" s="50" t="s">
        <v>1018</v>
      </c>
      <c r="B39" s="129"/>
      <c r="C39" s="129"/>
      <c r="D39" s="51">
        <f>SUBTOTAL(9,D35:D38)</f>
        <v>759000</v>
      </c>
      <c r="E39" s="52"/>
      <c r="F39" s="52"/>
      <c r="G39" s="130"/>
      <c r="H39" s="131">
        <f>SUBTOTAL(9,H35:H38)</f>
        <v>22231226</v>
      </c>
      <c r="I39" s="146">
        <f>SUBTOTAL(9,I35:I38)</f>
        <v>8316008</v>
      </c>
      <c r="J39" s="146">
        <f>SUBTOTAL(9,J35:J38)</f>
        <v>30547234</v>
      </c>
      <c r="K39" s="53"/>
      <c r="L39" s="54"/>
      <c r="M39" s="54"/>
      <c r="N39" s="54"/>
      <c r="O39" s="55">
        <f>SUBTOTAL(9,O35:O38)</f>
        <v>81144250.449661165</v>
      </c>
      <c r="P39" s="56"/>
      <c r="Q39" s="51">
        <f>SUBTOTAL(9,Q35:Q38)</f>
        <v>87558403.300000012</v>
      </c>
      <c r="R39" s="57">
        <f>O39/Q39</f>
        <v>0.92674429171164607</v>
      </c>
      <c r="S39" s="58">
        <f>Q39/$Q$293</f>
        <v>2.6673360478088683E-2</v>
      </c>
      <c r="U39" s="147"/>
    </row>
    <row r="40" spans="1:21" outlineLevel="2" x14ac:dyDescent="0.3">
      <c r="A40" s="40" t="str">
        <f>VLOOKUP(B40,Grupos!$A$2:$B$619,2,FALSE)</f>
        <v>CAJAS ARRANCADORAS</v>
      </c>
      <c r="B40" s="41" t="s">
        <v>64</v>
      </c>
      <c r="C40" s="41" t="s">
        <v>65</v>
      </c>
      <c r="D40" s="42">
        <v>3</v>
      </c>
      <c r="E40" s="43">
        <v>30739.86</v>
      </c>
      <c r="F40" s="43">
        <v>5164.8100000000004</v>
      </c>
      <c r="G40" s="126">
        <f t="shared" si="0"/>
        <v>35904.67</v>
      </c>
      <c r="H40" s="127">
        <f t="shared" si="1"/>
        <v>92219.58</v>
      </c>
      <c r="I40" s="128">
        <f t="shared" si="2"/>
        <v>15494.43</v>
      </c>
      <c r="J40" s="128">
        <f t="shared" si="3"/>
        <v>107714.01</v>
      </c>
      <c r="K40" s="44">
        <f t="shared" si="10"/>
        <v>8.0927407902608764E-5</v>
      </c>
      <c r="L40" s="45">
        <f t="shared" si="4"/>
        <v>6978.6111028260339</v>
      </c>
      <c r="M40" s="45">
        <f t="shared" si="5"/>
        <v>27736.731690063367</v>
      </c>
      <c r="N40" s="45">
        <f t="shared" si="6"/>
        <v>70620.012792889407</v>
      </c>
      <c r="O40" s="46">
        <f t="shared" si="7"/>
        <v>211860.03837866822</v>
      </c>
      <c r="P40" s="47">
        <f t="shared" si="8"/>
        <v>102543</v>
      </c>
      <c r="Q40" s="42">
        <v>307629</v>
      </c>
      <c r="R40" s="48">
        <f t="shared" si="9"/>
        <v>0.68868682204430731</v>
      </c>
      <c r="S40" s="49"/>
      <c r="U40" s="112"/>
    </row>
    <row r="41" spans="1:21" outlineLevel="2" x14ac:dyDescent="0.3">
      <c r="A41" s="40" t="str">
        <f>VLOOKUP(B41,Grupos!$A$2:$B$619,2,FALSE)</f>
        <v>CAJAS ARRANCADORAS</v>
      </c>
      <c r="B41" s="41" t="s">
        <v>627</v>
      </c>
      <c r="C41" s="41" t="s">
        <v>628</v>
      </c>
      <c r="D41" s="42">
        <v>7</v>
      </c>
      <c r="E41" s="43">
        <v>80513.679999999993</v>
      </c>
      <c r="F41" s="43">
        <v>8176.17</v>
      </c>
      <c r="G41" s="126">
        <f t="shared" si="0"/>
        <v>88689.849999999991</v>
      </c>
      <c r="H41" s="127">
        <f t="shared" si="1"/>
        <v>563595.76</v>
      </c>
      <c r="I41" s="128">
        <f t="shared" si="2"/>
        <v>57233.19</v>
      </c>
      <c r="J41" s="128">
        <f t="shared" si="3"/>
        <v>620828.94999999995</v>
      </c>
      <c r="K41" s="44">
        <f t="shared" si="10"/>
        <v>4.6643958083445505E-4</v>
      </c>
      <c r="L41" s="45">
        <f t="shared" si="4"/>
        <v>17238.202493379704</v>
      </c>
      <c r="M41" s="45">
        <f t="shared" si="5"/>
        <v>43908.727241146407</v>
      </c>
      <c r="N41" s="45">
        <f t="shared" si="6"/>
        <v>149836.77973452612</v>
      </c>
      <c r="O41" s="46">
        <f t="shared" si="7"/>
        <v>1048857.4581416829</v>
      </c>
      <c r="P41" s="47">
        <f t="shared" si="8"/>
        <v>325214.87142857147</v>
      </c>
      <c r="Q41" s="42">
        <v>2276504.1</v>
      </c>
      <c r="R41" s="48">
        <f t="shared" si="9"/>
        <v>0.46073163590686389</v>
      </c>
      <c r="S41" s="49"/>
      <c r="U41" s="112"/>
    </row>
    <row r="42" spans="1:21" outlineLevel="2" x14ac:dyDescent="0.3">
      <c r="A42" s="40" t="str">
        <f>VLOOKUP(B42,Grupos!$A$2:$B$619,2,FALSE)</f>
        <v>CAJAS ARRANCADORAS</v>
      </c>
      <c r="B42" s="41" t="s">
        <v>629</v>
      </c>
      <c r="C42" s="41" t="s">
        <v>630</v>
      </c>
      <c r="D42" s="42">
        <v>5</v>
      </c>
      <c r="E42" s="43">
        <v>86707.31</v>
      </c>
      <c r="F42" s="43">
        <v>10954.65</v>
      </c>
      <c r="G42" s="126">
        <f t="shared" si="0"/>
        <v>97661.959999999992</v>
      </c>
      <c r="H42" s="127">
        <f t="shared" si="1"/>
        <v>433536.55</v>
      </c>
      <c r="I42" s="128">
        <f t="shared" si="2"/>
        <v>54773.25</v>
      </c>
      <c r="J42" s="128">
        <f t="shared" si="3"/>
        <v>488309.79999999993</v>
      </c>
      <c r="K42" s="44">
        <f t="shared" si="10"/>
        <v>3.6687564010885217E-4</v>
      </c>
      <c r="L42" s="45">
        <f t="shared" si="4"/>
        <v>18982.066633107948</v>
      </c>
      <c r="M42" s="45">
        <f t="shared" si="5"/>
        <v>58830.080449920257</v>
      </c>
      <c r="N42" s="45">
        <f t="shared" si="6"/>
        <v>175474.10708302821</v>
      </c>
      <c r="O42" s="46">
        <f t="shared" si="7"/>
        <v>877370.53541514103</v>
      </c>
      <c r="P42" s="47">
        <f t="shared" si="8"/>
        <v>322410.99599999998</v>
      </c>
      <c r="Q42" s="42">
        <v>1612054.98</v>
      </c>
      <c r="R42" s="48">
        <f t="shared" si="9"/>
        <v>0.54425596291705947</v>
      </c>
      <c r="S42" s="49"/>
      <c r="U42" s="112"/>
    </row>
    <row r="43" spans="1:21" outlineLevel="2" x14ac:dyDescent="0.3">
      <c r="A43" s="40" t="str">
        <f>VLOOKUP(B43,Grupos!$A$2:$B$619,2,FALSE)</f>
        <v>CAJAS ARRANCADORAS</v>
      </c>
      <c r="B43" s="41" t="s">
        <v>68</v>
      </c>
      <c r="C43" s="41" t="s">
        <v>69</v>
      </c>
      <c r="D43" s="42">
        <v>2</v>
      </c>
      <c r="E43" s="43">
        <v>97632.57</v>
      </c>
      <c r="F43" s="43">
        <v>6348.31</v>
      </c>
      <c r="G43" s="126">
        <f t="shared" si="0"/>
        <v>103980.88</v>
      </c>
      <c r="H43" s="127">
        <f t="shared" si="1"/>
        <v>195265.14</v>
      </c>
      <c r="I43" s="128">
        <f t="shared" si="2"/>
        <v>12696.62</v>
      </c>
      <c r="J43" s="128">
        <f t="shared" si="3"/>
        <v>207961.76</v>
      </c>
      <c r="K43" s="44">
        <f t="shared" si="10"/>
        <v>1.5624528489529291E-4</v>
      </c>
      <c r="L43" s="45">
        <f t="shared" si="4"/>
        <v>20210.243504525224</v>
      </c>
      <c r="M43" s="45">
        <f t="shared" si="5"/>
        <v>34092.516695744118</v>
      </c>
      <c r="N43" s="45">
        <f t="shared" si="6"/>
        <v>158283.64020026935</v>
      </c>
      <c r="O43" s="46">
        <f t="shared" si="7"/>
        <v>316567.2804005387</v>
      </c>
      <c r="P43" s="47">
        <f t="shared" si="8"/>
        <v>359078.76500000001</v>
      </c>
      <c r="Q43" s="42">
        <v>718157.53</v>
      </c>
      <c r="R43" s="48">
        <f t="shared" si="9"/>
        <v>0.44080479167368569</v>
      </c>
      <c r="S43" s="49"/>
      <c r="U43" s="112"/>
    </row>
    <row r="44" spans="1:21" s="93" customFormat="1" outlineLevel="1" x14ac:dyDescent="0.3">
      <c r="A44" s="50" t="s">
        <v>1019</v>
      </c>
      <c r="B44" s="129"/>
      <c r="C44" s="129"/>
      <c r="D44" s="51">
        <f>SUBTOTAL(9,D40:D43)</f>
        <v>17</v>
      </c>
      <c r="E44" s="52"/>
      <c r="F44" s="52"/>
      <c r="G44" s="130"/>
      <c r="H44" s="131">
        <f>SUBTOTAL(9,H40:H43)</f>
        <v>1284617.0299999998</v>
      </c>
      <c r="I44" s="146">
        <f>SUBTOTAL(9,I40:I43)</f>
        <v>140197.49</v>
      </c>
      <c r="J44" s="146">
        <f>SUBTOTAL(9,J40:J43)</f>
        <v>1424814.5199999998</v>
      </c>
      <c r="K44" s="53"/>
      <c r="L44" s="54"/>
      <c r="M44" s="54"/>
      <c r="N44" s="54"/>
      <c r="O44" s="55">
        <f>SUBTOTAL(9,O40:O43)</f>
        <v>2454655.3123360309</v>
      </c>
      <c r="P44" s="56"/>
      <c r="Q44" s="51">
        <f>SUBTOTAL(9,Q40:Q43)</f>
        <v>4914345.6100000003</v>
      </c>
      <c r="R44" s="57">
        <f>O44/Q44</f>
        <v>0.49948772575969291</v>
      </c>
      <c r="S44" s="58">
        <f>Q44/$Q$293</f>
        <v>1.4970820278702205E-3</v>
      </c>
      <c r="U44" s="147"/>
    </row>
    <row r="45" spans="1:21" outlineLevel="2" x14ac:dyDescent="0.3">
      <c r="A45" s="40" t="str">
        <f>VLOOKUP(B45,Grupos!$A$2:$B$619,2,FALSE)</f>
        <v>CAJAS EMPALME</v>
      </c>
      <c r="B45" s="41" t="s">
        <v>70</v>
      </c>
      <c r="C45" s="41" t="s">
        <v>71</v>
      </c>
      <c r="D45" s="42">
        <v>72</v>
      </c>
      <c r="E45" s="43">
        <v>3093.28</v>
      </c>
      <c r="F45" s="43">
        <v>1065.47</v>
      </c>
      <c r="G45" s="126">
        <f t="shared" si="0"/>
        <v>4158.75</v>
      </c>
      <c r="H45" s="127">
        <f t="shared" si="1"/>
        <v>222716.16</v>
      </c>
      <c r="I45" s="128">
        <f t="shared" si="2"/>
        <v>76713.84</v>
      </c>
      <c r="J45" s="128">
        <f t="shared" si="3"/>
        <v>299430</v>
      </c>
      <c r="K45" s="44">
        <f t="shared" si="10"/>
        <v>2.2496696342730294E-4</v>
      </c>
      <c r="L45" s="45">
        <f t="shared" si="4"/>
        <v>808.31543428411317</v>
      </c>
      <c r="M45" s="45">
        <f t="shared" si="5"/>
        <v>5721.9250105641477</v>
      </c>
      <c r="N45" s="45">
        <f t="shared" si="6"/>
        <v>10688.990444848261</v>
      </c>
      <c r="O45" s="46">
        <f t="shared" si="7"/>
        <v>769607.31202907476</v>
      </c>
      <c r="P45" s="47">
        <f t="shared" si="8"/>
        <v>12158.250138888889</v>
      </c>
      <c r="Q45" s="42">
        <v>875394.01</v>
      </c>
      <c r="R45" s="48">
        <f t="shared" si="9"/>
        <v>0.87915533261311074</v>
      </c>
      <c r="S45" s="49"/>
      <c r="U45" s="112"/>
    </row>
    <row r="46" spans="1:21" outlineLevel="2" x14ac:dyDescent="0.3">
      <c r="A46" s="40" t="str">
        <f>VLOOKUP(B46,Grupos!$A$2:$B$619,2,FALSE)</f>
        <v>CAJAS EMPALME</v>
      </c>
      <c r="B46" s="41" t="s">
        <v>72</v>
      </c>
      <c r="C46" s="41" t="s">
        <v>73</v>
      </c>
      <c r="D46" s="42">
        <v>1260</v>
      </c>
      <c r="E46" s="43">
        <v>4183.0200000000004</v>
      </c>
      <c r="F46" s="43">
        <v>784.88</v>
      </c>
      <c r="G46" s="126">
        <f t="shared" si="0"/>
        <v>4967.9000000000005</v>
      </c>
      <c r="H46" s="127">
        <f t="shared" si="1"/>
        <v>5270605.2</v>
      </c>
      <c r="I46" s="128">
        <f t="shared" si="2"/>
        <v>988948.8</v>
      </c>
      <c r="J46" s="128">
        <f t="shared" si="3"/>
        <v>6259554.0000000009</v>
      </c>
      <c r="K46" s="44">
        <f t="shared" si="10"/>
        <v>4.702911718228728E-3</v>
      </c>
      <c r="L46" s="45">
        <f t="shared" si="4"/>
        <v>965.58587219237666</v>
      </c>
      <c r="M46" s="45">
        <f t="shared" si="5"/>
        <v>4215.0642460994568</v>
      </c>
      <c r="N46" s="45">
        <f t="shared" si="6"/>
        <v>10148.550118291834</v>
      </c>
      <c r="O46" s="46">
        <f t="shared" si="7"/>
        <v>12787173.149047712</v>
      </c>
      <c r="P46" s="47">
        <f t="shared" si="8"/>
        <v>13611.714214285714</v>
      </c>
      <c r="Q46" s="42">
        <v>17150759.91</v>
      </c>
      <c r="R46" s="48">
        <f t="shared" si="9"/>
        <v>0.74557472765926625</v>
      </c>
      <c r="S46" s="49"/>
      <c r="U46" s="112"/>
    </row>
    <row r="47" spans="1:21" outlineLevel="2" x14ac:dyDescent="0.3">
      <c r="A47" s="40" t="str">
        <f>VLOOKUP(B47,Grupos!$A$2:$B$619,2,FALSE)</f>
        <v>CAJAS EMPALME</v>
      </c>
      <c r="B47" s="41" t="s">
        <v>74</v>
      </c>
      <c r="C47" s="41" t="s">
        <v>75</v>
      </c>
      <c r="D47" s="42">
        <v>44</v>
      </c>
      <c r="E47" s="43">
        <v>5073.7</v>
      </c>
      <c r="F47" s="43">
        <v>592.66</v>
      </c>
      <c r="G47" s="126">
        <f t="shared" si="0"/>
        <v>5666.36</v>
      </c>
      <c r="H47" s="127">
        <f t="shared" si="1"/>
        <v>223242.8</v>
      </c>
      <c r="I47" s="128">
        <f t="shared" si="2"/>
        <v>26077.039999999997</v>
      </c>
      <c r="J47" s="128">
        <f t="shared" si="3"/>
        <v>249319.84</v>
      </c>
      <c r="K47" s="44">
        <f t="shared" si="10"/>
        <v>1.8731832924884285E-4</v>
      </c>
      <c r="L47" s="45">
        <f t="shared" si="4"/>
        <v>1101.3420485025854</v>
      </c>
      <c r="M47" s="45">
        <f t="shared" si="5"/>
        <v>3182.779502718</v>
      </c>
      <c r="N47" s="45">
        <f t="shared" si="6"/>
        <v>9950.481551220586</v>
      </c>
      <c r="O47" s="46">
        <f t="shared" si="7"/>
        <v>437821.1882537058</v>
      </c>
      <c r="P47" s="47">
        <f t="shared" si="8"/>
        <v>16372.750454545456</v>
      </c>
      <c r="Q47" s="42">
        <v>720401.02</v>
      </c>
      <c r="R47" s="48">
        <f t="shared" si="9"/>
        <v>0.6077464857749727</v>
      </c>
      <c r="S47" s="49"/>
      <c r="U47" s="112"/>
    </row>
    <row r="48" spans="1:21" outlineLevel="2" x14ac:dyDescent="0.3">
      <c r="A48" s="40" t="str">
        <f>VLOOKUP(B48,Grupos!$A$2:$B$619,2,FALSE)</f>
        <v>CAJAS EMPALME</v>
      </c>
      <c r="B48" s="41" t="s">
        <v>76</v>
      </c>
      <c r="C48" s="41" t="s">
        <v>77</v>
      </c>
      <c r="D48" s="42">
        <v>1740</v>
      </c>
      <c r="E48" s="43">
        <v>6127.68</v>
      </c>
      <c r="F48" s="43">
        <v>823.65</v>
      </c>
      <c r="G48" s="126">
        <f t="shared" si="0"/>
        <v>6951.33</v>
      </c>
      <c r="H48" s="127">
        <f t="shared" si="1"/>
        <v>10662163.200000001</v>
      </c>
      <c r="I48" s="128">
        <f t="shared" si="2"/>
        <v>1433151</v>
      </c>
      <c r="J48" s="128">
        <f t="shared" si="3"/>
        <v>12095314.199999999</v>
      </c>
      <c r="K48" s="44">
        <f t="shared" si="10"/>
        <v>9.0874197885086258E-3</v>
      </c>
      <c r="L48" s="45">
        <f t="shared" si="4"/>
        <v>1351.0952396278171</v>
      </c>
      <c r="M48" s="45">
        <f t="shared" si="5"/>
        <v>4423.2719222044352</v>
      </c>
      <c r="N48" s="45">
        <f t="shared" si="6"/>
        <v>12725.697161832253</v>
      </c>
      <c r="O48" s="46">
        <f t="shared" si="7"/>
        <v>22142713.06158812</v>
      </c>
      <c r="P48" s="47">
        <f t="shared" si="8"/>
        <v>18357.333160919541</v>
      </c>
      <c r="Q48" s="42">
        <v>31941759.699999999</v>
      </c>
      <c r="R48" s="48">
        <f t="shared" si="9"/>
        <v>0.69322145271752578</v>
      </c>
      <c r="S48" s="49"/>
      <c r="U48" s="112"/>
    </row>
    <row r="49" spans="1:21" outlineLevel="2" x14ac:dyDescent="0.3">
      <c r="A49" s="40" t="str">
        <f>VLOOKUP(B49,Grupos!$A$2:$B$619,2,FALSE)</f>
        <v>CAJAS EMPALME</v>
      </c>
      <c r="B49" s="41" t="s">
        <v>78</v>
      </c>
      <c r="C49" s="41" t="s">
        <v>79</v>
      </c>
      <c r="D49" s="42">
        <v>1221</v>
      </c>
      <c r="E49" s="43">
        <v>7494.34</v>
      </c>
      <c r="F49" s="43">
        <v>780.46</v>
      </c>
      <c r="G49" s="126">
        <f t="shared" si="0"/>
        <v>8274.7999999999993</v>
      </c>
      <c r="H49" s="127">
        <f t="shared" si="1"/>
        <v>9150589.1400000006</v>
      </c>
      <c r="I49" s="128">
        <f t="shared" si="2"/>
        <v>952941.66</v>
      </c>
      <c r="J49" s="128">
        <f t="shared" si="3"/>
        <v>10103530.799999999</v>
      </c>
      <c r="K49" s="44">
        <f t="shared" si="10"/>
        <v>7.5909583006720386E-3</v>
      </c>
      <c r="L49" s="45">
        <f t="shared" si="4"/>
        <v>1608.3314831654172</v>
      </c>
      <c r="M49" s="45">
        <f t="shared" si="5"/>
        <v>4191.327389550991</v>
      </c>
      <c r="N49" s="45">
        <f t="shared" si="6"/>
        <v>14074.458872716408</v>
      </c>
      <c r="O49" s="46">
        <f t="shared" si="7"/>
        <v>17184914.283586733</v>
      </c>
      <c r="P49" s="47">
        <f t="shared" si="8"/>
        <v>23593.192334152332</v>
      </c>
      <c r="Q49" s="42">
        <v>28807287.84</v>
      </c>
      <c r="R49" s="48">
        <f t="shared" si="9"/>
        <v>0.59654745629072503</v>
      </c>
      <c r="S49" s="49"/>
      <c r="U49" s="112"/>
    </row>
    <row r="50" spans="1:21" outlineLevel="2" x14ac:dyDescent="0.3">
      <c r="A50" s="40" t="str">
        <f>VLOOKUP(B50,Grupos!$A$2:$B$619,2,FALSE)</f>
        <v>CAJAS EMPALME</v>
      </c>
      <c r="B50" s="41" t="s">
        <v>80</v>
      </c>
      <c r="C50" s="41" t="s">
        <v>81</v>
      </c>
      <c r="D50" s="42">
        <v>18</v>
      </c>
      <c r="E50" s="43">
        <v>7089.89</v>
      </c>
      <c r="F50" s="43">
        <v>482.92</v>
      </c>
      <c r="G50" s="126">
        <f t="shared" si="0"/>
        <v>7572.81</v>
      </c>
      <c r="H50" s="127">
        <f t="shared" si="1"/>
        <v>127618.02</v>
      </c>
      <c r="I50" s="128">
        <f t="shared" si="2"/>
        <v>8692.56</v>
      </c>
      <c r="J50" s="128">
        <f t="shared" si="3"/>
        <v>136310.58000000002</v>
      </c>
      <c r="K50" s="44">
        <f t="shared" si="10"/>
        <v>1.0241250798388423E-4</v>
      </c>
      <c r="L50" s="45">
        <f t="shared" si="4"/>
        <v>1471.8891984132433</v>
      </c>
      <c r="M50" s="45">
        <f t="shared" si="5"/>
        <v>2593.43953945361</v>
      </c>
      <c r="N50" s="45">
        <f t="shared" si="6"/>
        <v>11638.138737866853</v>
      </c>
      <c r="O50" s="46">
        <f t="shared" si="7"/>
        <v>209486.49728160337</v>
      </c>
      <c r="P50" s="47">
        <f t="shared" si="8"/>
        <v>25256.001666666667</v>
      </c>
      <c r="Q50" s="42">
        <v>454608.03</v>
      </c>
      <c r="R50" s="48">
        <f t="shared" si="9"/>
        <v>0.46080685658280907</v>
      </c>
      <c r="S50" s="49"/>
      <c r="U50" s="112"/>
    </row>
    <row r="51" spans="1:21" outlineLevel="2" x14ac:dyDescent="0.3">
      <c r="A51" s="40" t="str">
        <f>VLOOKUP(B51,Grupos!$A$2:$B$619,2,FALSE)</f>
        <v>CAJAS EMPALME</v>
      </c>
      <c r="B51" s="41" t="s">
        <v>82</v>
      </c>
      <c r="C51" s="41" t="s">
        <v>83</v>
      </c>
      <c r="D51" s="42">
        <v>795</v>
      </c>
      <c r="E51" s="43">
        <v>8428.08</v>
      </c>
      <c r="F51" s="43">
        <v>647.97</v>
      </c>
      <c r="G51" s="126">
        <f t="shared" si="0"/>
        <v>9076.0499999999993</v>
      </c>
      <c r="H51" s="127">
        <f t="shared" si="1"/>
        <v>6700323.5999999996</v>
      </c>
      <c r="I51" s="128">
        <f t="shared" si="2"/>
        <v>515136.15</v>
      </c>
      <c r="J51" s="128">
        <f t="shared" si="3"/>
        <v>7215459.7499999991</v>
      </c>
      <c r="K51" s="44">
        <f t="shared" si="10"/>
        <v>5.4211003229116192E-3</v>
      </c>
      <c r="L51" s="45">
        <f t="shared" si="4"/>
        <v>1764.0664375916622</v>
      </c>
      <c r="M51" s="45">
        <f t="shared" si="5"/>
        <v>3479.81242934597</v>
      </c>
      <c r="N51" s="45">
        <f t="shared" si="6"/>
        <v>14319.928866937631</v>
      </c>
      <c r="O51" s="46">
        <f t="shared" si="7"/>
        <v>11384343.449215416</v>
      </c>
      <c r="P51" s="47">
        <f t="shared" si="8"/>
        <v>27317.186805031448</v>
      </c>
      <c r="Q51" s="42">
        <v>21717163.510000002</v>
      </c>
      <c r="R51" s="48">
        <f t="shared" si="9"/>
        <v>0.52420950111525011</v>
      </c>
      <c r="S51" s="49"/>
      <c r="U51" s="112"/>
    </row>
    <row r="52" spans="1:21" outlineLevel="2" x14ac:dyDescent="0.3">
      <c r="A52" s="40" t="str">
        <f>VLOOKUP(B52,Grupos!$A$2:$B$619,2,FALSE)</f>
        <v>CAJAS EMPALME</v>
      </c>
      <c r="B52" s="41" t="s">
        <v>84</v>
      </c>
      <c r="C52" s="41" t="s">
        <v>85</v>
      </c>
      <c r="D52" s="42">
        <v>528</v>
      </c>
      <c r="E52" s="43">
        <v>10016.57</v>
      </c>
      <c r="F52" s="43">
        <v>648.25</v>
      </c>
      <c r="G52" s="126">
        <f t="shared" si="0"/>
        <v>10664.82</v>
      </c>
      <c r="H52" s="127">
        <f t="shared" si="1"/>
        <v>5288748.96</v>
      </c>
      <c r="I52" s="128">
        <f t="shared" si="2"/>
        <v>342276</v>
      </c>
      <c r="J52" s="128">
        <f t="shared" si="3"/>
        <v>5631024.96</v>
      </c>
      <c r="K52" s="44">
        <f t="shared" si="10"/>
        <v>4.2306869259411215E-3</v>
      </c>
      <c r="L52" s="45">
        <f t="shared" si="4"/>
        <v>2072.8677150254034</v>
      </c>
      <c r="M52" s="45">
        <f t="shared" si="5"/>
        <v>3481.3161216160083</v>
      </c>
      <c r="N52" s="45">
        <f t="shared" si="6"/>
        <v>16219.003836641412</v>
      </c>
      <c r="O52" s="46">
        <f t="shared" si="7"/>
        <v>8563634.0257466659</v>
      </c>
      <c r="P52" s="47">
        <f t="shared" si="8"/>
        <v>31732.852386363636</v>
      </c>
      <c r="Q52" s="42">
        <v>16754946.060000001</v>
      </c>
      <c r="R52" s="48">
        <f t="shared" si="9"/>
        <v>0.51111080841919854</v>
      </c>
      <c r="S52" s="49"/>
      <c r="U52" s="112"/>
    </row>
    <row r="53" spans="1:21" outlineLevel="2" x14ac:dyDescent="0.3">
      <c r="A53" s="40" t="str">
        <f>VLOOKUP(B53,Grupos!$A$2:$B$619,2,FALSE)</f>
        <v>CAJAS EMPALME</v>
      </c>
      <c r="B53" s="41" t="s">
        <v>86</v>
      </c>
      <c r="C53" s="41" t="s">
        <v>87</v>
      </c>
      <c r="D53" s="42">
        <v>1230</v>
      </c>
      <c r="E53" s="43">
        <v>11060.96</v>
      </c>
      <c r="F53" s="43">
        <v>596.55999999999995</v>
      </c>
      <c r="G53" s="126">
        <f t="shared" si="0"/>
        <v>11657.519999999999</v>
      </c>
      <c r="H53" s="127">
        <f t="shared" si="1"/>
        <v>13604980.799999999</v>
      </c>
      <c r="I53" s="128">
        <f t="shared" si="2"/>
        <v>733768.79999999993</v>
      </c>
      <c r="J53" s="128">
        <f t="shared" si="3"/>
        <v>14338749.599999998</v>
      </c>
      <c r="K53" s="44">
        <f t="shared" si="10"/>
        <v>1.0772951797937596E-2</v>
      </c>
      <c r="L53" s="45">
        <f t="shared" si="4"/>
        <v>2265.8138482658815</v>
      </c>
      <c r="M53" s="45">
        <f t="shared" si="5"/>
        <v>3203.723787907822</v>
      </c>
      <c r="N53" s="45">
        <f t="shared" si="6"/>
        <v>17127.057636173704</v>
      </c>
      <c r="O53" s="46">
        <f t="shared" si="7"/>
        <v>21066280.892493654</v>
      </c>
      <c r="P53" s="47">
        <f t="shared" si="8"/>
        <v>33475.572975609757</v>
      </c>
      <c r="Q53" s="42">
        <v>41174954.759999998</v>
      </c>
      <c r="R53" s="48">
        <f t="shared" si="9"/>
        <v>0.51162851338354831</v>
      </c>
      <c r="S53" s="49"/>
      <c r="U53" s="112"/>
    </row>
    <row r="54" spans="1:21" outlineLevel="2" x14ac:dyDescent="0.3">
      <c r="A54" s="40" t="str">
        <f>VLOOKUP(B54,Grupos!$A$2:$B$619,2,FALSE)</f>
        <v>CAJAS EMPALME</v>
      </c>
      <c r="B54" s="41" t="s">
        <v>88</v>
      </c>
      <c r="C54" s="41" t="s">
        <v>89</v>
      </c>
      <c r="D54" s="42">
        <v>1764</v>
      </c>
      <c r="E54" s="43">
        <v>12773.82</v>
      </c>
      <c r="F54" s="43">
        <v>721.56</v>
      </c>
      <c r="G54" s="126">
        <f t="shared" si="0"/>
        <v>13495.38</v>
      </c>
      <c r="H54" s="127">
        <f t="shared" si="1"/>
        <v>22533018.48</v>
      </c>
      <c r="I54" s="128">
        <f t="shared" si="2"/>
        <v>1272831.8399999999</v>
      </c>
      <c r="J54" s="128">
        <f t="shared" si="3"/>
        <v>23805850.32</v>
      </c>
      <c r="K54" s="44">
        <f t="shared" si="10"/>
        <v>1.7885749117641146E-2</v>
      </c>
      <c r="L54" s="45">
        <f t="shared" si="4"/>
        <v>2623.0295029826598</v>
      </c>
      <c r="M54" s="45">
        <f t="shared" si="5"/>
        <v>3875.0149798893126</v>
      </c>
      <c r="N54" s="45">
        <f t="shared" si="6"/>
        <v>19993.424482871971</v>
      </c>
      <c r="O54" s="46">
        <f t="shared" si="7"/>
        <v>35268400.787786156</v>
      </c>
      <c r="P54" s="47">
        <f t="shared" si="8"/>
        <v>39262.813696145124</v>
      </c>
      <c r="Q54" s="42">
        <v>69259603.359999999</v>
      </c>
      <c r="R54" s="48">
        <f t="shared" si="9"/>
        <v>0.50922036911569968</v>
      </c>
      <c r="S54" s="49"/>
      <c r="U54" s="112"/>
    </row>
    <row r="55" spans="1:21" outlineLevel="2" x14ac:dyDescent="0.3">
      <c r="A55" s="40" t="str">
        <f>VLOOKUP(B55,Grupos!$A$2:$B$619,2,FALSE)</f>
        <v>CAJAS EMPALME</v>
      </c>
      <c r="B55" s="41" t="s">
        <v>90</v>
      </c>
      <c r="C55" s="41" t="s">
        <v>91</v>
      </c>
      <c r="D55" s="42">
        <v>90</v>
      </c>
      <c r="E55" s="43">
        <v>16238.13</v>
      </c>
      <c r="F55" s="43">
        <v>1508.32</v>
      </c>
      <c r="G55" s="126">
        <f t="shared" si="0"/>
        <v>17746.45</v>
      </c>
      <c r="H55" s="127">
        <f t="shared" si="1"/>
        <v>1461431.7</v>
      </c>
      <c r="I55" s="128">
        <f t="shared" si="2"/>
        <v>135748.79999999999</v>
      </c>
      <c r="J55" s="128">
        <f t="shared" si="3"/>
        <v>1597180.5</v>
      </c>
      <c r="K55" s="44">
        <f t="shared" si="10"/>
        <v>1.1999894704281516E-3</v>
      </c>
      <c r="L55" s="45">
        <f t="shared" si="4"/>
        <v>3449.2887138566398</v>
      </c>
      <c r="M55" s="45">
        <f t="shared" si="5"/>
        <v>8100.1754455161708</v>
      </c>
      <c r="N55" s="45">
        <f t="shared" si="6"/>
        <v>29295.914159372813</v>
      </c>
      <c r="O55" s="46">
        <f t="shared" si="7"/>
        <v>2636632.274343553</v>
      </c>
      <c r="P55" s="47">
        <f t="shared" si="8"/>
        <v>47879.999222222221</v>
      </c>
      <c r="Q55" s="42">
        <v>4309199.93</v>
      </c>
      <c r="R55" s="48">
        <f t="shared" si="9"/>
        <v>0.61186120792115417</v>
      </c>
      <c r="S55" s="49"/>
      <c r="U55" s="112"/>
    </row>
    <row r="56" spans="1:21" outlineLevel="2" x14ac:dyDescent="0.3">
      <c r="A56" s="40" t="str">
        <f>VLOOKUP(B56,Grupos!$A$2:$B$619,2,FALSE)</f>
        <v>CAJAS EMPALME</v>
      </c>
      <c r="B56" s="41" t="s">
        <v>92</v>
      </c>
      <c r="C56" s="41" t="s">
        <v>93</v>
      </c>
      <c r="D56" s="42">
        <v>761</v>
      </c>
      <c r="E56" s="43">
        <v>20258.689999999999</v>
      </c>
      <c r="F56" s="43">
        <v>1240.45</v>
      </c>
      <c r="G56" s="126">
        <f t="shared" si="0"/>
        <v>21499.14</v>
      </c>
      <c r="H56" s="127">
        <f t="shared" si="1"/>
        <v>15416863.09</v>
      </c>
      <c r="I56" s="128">
        <f t="shared" si="2"/>
        <v>943982.45000000007</v>
      </c>
      <c r="J56" s="128">
        <f t="shared" si="3"/>
        <v>16360845.539999999</v>
      </c>
      <c r="K56" s="44">
        <f t="shared" si="10"/>
        <v>1.2292187623941931E-2</v>
      </c>
      <c r="L56" s="45">
        <f t="shared" si="4"/>
        <v>4178.6802971650013</v>
      </c>
      <c r="M56" s="45">
        <f t="shared" si="5"/>
        <v>6661.6252727475166</v>
      </c>
      <c r="N56" s="45">
        <f t="shared" si="6"/>
        <v>32339.445569912517</v>
      </c>
      <c r="O56" s="46">
        <f t="shared" si="7"/>
        <v>24610318.078703426</v>
      </c>
      <c r="P56" s="47">
        <f t="shared" si="8"/>
        <v>59300.715335085413</v>
      </c>
      <c r="Q56" s="42">
        <v>45127844.369999997</v>
      </c>
      <c r="R56" s="48">
        <f t="shared" si="9"/>
        <v>0.54534663514891546</v>
      </c>
      <c r="S56" s="49"/>
      <c r="U56" s="112"/>
    </row>
    <row r="57" spans="1:21" outlineLevel="2" x14ac:dyDescent="0.3">
      <c r="A57" s="40" t="str">
        <f>VLOOKUP(B57,Grupos!$A$2:$B$619,2,FALSE)</f>
        <v>CAJAS EMPALME</v>
      </c>
      <c r="B57" s="41" t="s">
        <v>94</v>
      </c>
      <c r="C57" s="41" t="s">
        <v>95</v>
      </c>
      <c r="D57" s="42">
        <v>380</v>
      </c>
      <c r="E57" s="43">
        <v>23057.119999999999</v>
      </c>
      <c r="F57" s="43">
        <v>1263.42</v>
      </c>
      <c r="G57" s="126">
        <f t="shared" si="0"/>
        <v>24320.54</v>
      </c>
      <c r="H57" s="127">
        <f t="shared" si="1"/>
        <v>8761705.5999999996</v>
      </c>
      <c r="I57" s="128">
        <f t="shared" si="2"/>
        <v>480099.60000000003</v>
      </c>
      <c r="J57" s="128">
        <f t="shared" si="3"/>
        <v>9241805.2000000011</v>
      </c>
      <c r="K57" s="44">
        <f t="shared" si="10"/>
        <v>6.9435288796401776E-3</v>
      </c>
      <c r="L57" s="45">
        <f t="shared" si="4"/>
        <v>4727.0617017431077</v>
      </c>
      <c r="M57" s="45">
        <f t="shared" si="5"/>
        <v>6784.9817421860353</v>
      </c>
      <c r="N57" s="45">
        <f t="shared" si="6"/>
        <v>35832.583443929143</v>
      </c>
      <c r="O57" s="46">
        <f t="shared" si="7"/>
        <v>13616381.708693074</v>
      </c>
      <c r="P57" s="47">
        <f t="shared" si="8"/>
        <v>71378.694131578945</v>
      </c>
      <c r="Q57" s="42">
        <v>27123903.77</v>
      </c>
      <c r="R57" s="48">
        <f t="shared" si="9"/>
        <v>0.50200671054412438</v>
      </c>
      <c r="S57" s="49"/>
      <c r="U57" s="112"/>
    </row>
    <row r="58" spans="1:21" outlineLevel="2" x14ac:dyDescent="0.3">
      <c r="A58" s="40" t="str">
        <f>VLOOKUP(B58,Grupos!$A$2:$B$619,2,FALSE)</f>
        <v>CAJAS EMPALME</v>
      </c>
      <c r="B58" s="41" t="s">
        <v>96</v>
      </c>
      <c r="C58" s="41" t="s">
        <v>97</v>
      </c>
      <c r="D58" s="42">
        <v>169</v>
      </c>
      <c r="E58" s="43">
        <v>32997.18</v>
      </c>
      <c r="F58" s="43">
        <v>1803.14</v>
      </c>
      <c r="G58" s="126">
        <f t="shared" si="0"/>
        <v>34800.32</v>
      </c>
      <c r="H58" s="127">
        <f t="shared" si="1"/>
        <v>5576523.4199999999</v>
      </c>
      <c r="I58" s="128">
        <f t="shared" si="2"/>
        <v>304730.66000000003</v>
      </c>
      <c r="J58" s="128">
        <f t="shared" si="3"/>
        <v>5881254.0800000001</v>
      </c>
      <c r="K58" s="44">
        <f t="shared" si="10"/>
        <v>4.4186884130582652E-3</v>
      </c>
      <c r="L58" s="45">
        <f t="shared" si="4"/>
        <v>6763.9641175896877</v>
      </c>
      <c r="M58" s="45">
        <f t="shared" si="5"/>
        <v>9683.4559992760351</v>
      </c>
      <c r="N58" s="45">
        <f t="shared" si="6"/>
        <v>51247.740116865723</v>
      </c>
      <c r="O58" s="46">
        <f t="shared" si="7"/>
        <v>8660868.0797503069</v>
      </c>
      <c r="P58" s="47">
        <f t="shared" si="8"/>
        <v>90898.661597633138</v>
      </c>
      <c r="Q58" s="42">
        <v>15361873.810000001</v>
      </c>
      <c r="R58" s="48">
        <f t="shared" si="9"/>
        <v>0.56378982062151872</v>
      </c>
      <c r="S58" s="49"/>
      <c r="U58" s="112"/>
    </row>
    <row r="59" spans="1:21" outlineLevel="2" x14ac:dyDescent="0.3">
      <c r="A59" s="40" t="str">
        <f>VLOOKUP(B59,Grupos!$A$2:$B$619,2,FALSE)</f>
        <v>CAJAS EMPALME</v>
      </c>
      <c r="B59" s="41" t="s">
        <v>98</v>
      </c>
      <c r="C59" s="41" t="s">
        <v>99</v>
      </c>
      <c r="D59" s="42">
        <v>101</v>
      </c>
      <c r="E59" s="43">
        <v>39777.360000000001</v>
      </c>
      <c r="F59" s="43">
        <v>2361.4299999999998</v>
      </c>
      <c r="G59" s="126">
        <f t="shared" si="0"/>
        <v>42138.79</v>
      </c>
      <c r="H59" s="127">
        <f t="shared" si="1"/>
        <v>4017513.36</v>
      </c>
      <c r="I59" s="128">
        <f t="shared" si="2"/>
        <v>238504.43</v>
      </c>
      <c r="J59" s="128">
        <f t="shared" si="3"/>
        <v>4256017.79</v>
      </c>
      <c r="K59" s="44">
        <f t="shared" si="10"/>
        <v>3.1976201399621972E-3</v>
      </c>
      <c r="L59" s="45">
        <f t="shared" si="4"/>
        <v>8190.3058224363213</v>
      </c>
      <c r="M59" s="45">
        <f t="shared" si="5"/>
        <v>12681.657275846803</v>
      </c>
      <c r="N59" s="45">
        <f t="shared" si="6"/>
        <v>63010.753098283123</v>
      </c>
      <c r="O59" s="46">
        <f t="shared" si="7"/>
        <v>6364086.0629265951</v>
      </c>
      <c r="P59" s="47">
        <f t="shared" si="8"/>
        <v>111182.06277227723</v>
      </c>
      <c r="Q59" s="42">
        <v>11229388.34</v>
      </c>
      <c r="R59" s="48">
        <f t="shared" si="9"/>
        <v>0.56673488085341206</v>
      </c>
      <c r="S59" s="49"/>
      <c r="U59" s="112"/>
    </row>
    <row r="60" spans="1:21" outlineLevel="2" x14ac:dyDescent="0.3">
      <c r="A60" s="40" t="str">
        <f>VLOOKUP(B60,Grupos!$A$2:$B$619,2,FALSE)</f>
        <v>CAJAS EMPALME</v>
      </c>
      <c r="B60" s="41" t="s">
        <v>100</v>
      </c>
      <c r="C60" s="41" t="s">
        <v>101</v>
      </c>
      <c r="D60" s="42">
        <v>13</v>
      </c>
      <c r="E60" s="43">
        <v>47362.91</v>
      </c>
      <c r="F60" s="43">
        <v>3015.33</v>
      </c>
      <c r="G60" s="126">
        <f t="shared" si="0"/>
        <v>50378.240000000005</v>
      </c>
      <c r="H60" s="127">
        <f t="shared" si="1"/>
        <v>615717.83000000007</v>
      </c>
      <c r="I60" s="128">
        <f t="shared" si="2"/>
        <v>39199.29</v>
      </c>
      <c r="J60" s="128">
        <f t="shared" si="3"/>
        <v>654917.12000000011</v>
      </c>
      <c r="K60" s="44">
        <f t="shared" si="10"/>
        <v>4.9205061544586241E-4</v>
      </c>
      <c r="L60" s="45">
        <f t="shared" si="4"/>
        <v>9791.7665029321997</v>
      </c>
      <c r="M60" s="45">
        <f t="shared" si="5"/>
        <v>16193.315759340376</v>
      </c>
      <c r="N60" s="45">
        <f t="shared" si="6"/>
        <v>76363.322262272588</v>
      </c>
      <c r="O60" s="46">
        <f t="shared" si="7"/>
        <v>992723.18940954364</v>
      </c>
      <c r="P60" s="47">
        <f t="shared" si="8"/>
        <v>133796.81307692308</v>
      </c>
      <c r="Q60" s="42">
        <v>1739358.57</v>
      </c>
      <c r="R60" s="48">
        <f t="shared" si="9"/>
        <v>0.57074096539481423</v>
      </c>
      <c r="S60" s="49"/>
      <c r="U60" s="112"/>
    </row>
    <row r="61" spans="1:21" outlineLevel="2" x14ac:dyDescent="0.3">
      <c r="A61" s="40" t="str">
        <f>VLOOKUP(B61,Grupos!$A$2:$B$619,2,FALSE)</f>
        <v>CAJAS EMPALME</v>
      </c>
      <c r="B61" s="41" t="s">
        <v>102</v>
      </c>
      <c r="C61" s="41" t="s">
        <v>103</v>
      </c>
      <c r="D61" s="42">
        <v>12</v>
      </c>
      <c r="E61" s="43">
        <v>5552.2</v>
      </c>
      <c r="F61" s="43">
        <v>803.85</v>
      </c>
      <c r="G61" s="126">
        <f t="shared" si="0"/>
        <v>6356.05</v>
      </c>
      <c r="H61" s="127">
        <f t="shared" si="1"/>
        <v>66626.399999999994</v>
      </c>
      <c r="I61" s="128">
        <f t="shared" si="2"/>
        <v>9646.2000000000007</v>
      </c>
      <c r="J61" s="128">
        <f t="shared" si="3"/>
        <v>76272.600000000006</v>
      </c>
      <c r="K61" s="44">
        <f t="shared" si="10"/>
        <v>5.7304930082841756E-5</v>
      </c>
      <c r="L61" s="45">
        <f t="shared" si="4"/>
        <v>1235.3936437827563</v>
      </c>
      <c r="M61" s="45">
        <f t="shared" si="5"/>
        <v>4316.9393973945671</v>
      </c>
      <c r="N61" s="45">
        <f t="shared" si="6"/>
        <v>11908.383041177323</v>
      </c>
      <c r="O61" s="46">
        <f t="shared" si="7"/>
        <v>142900.59649412788</v>
      </c>
      <c r="P61" s="47">
        <f t="shared" si="8"/>
        <v>28573.500833333335</v>
      </c>
      <c r="Q61" s="42">
        <v>342882.01</v>
      </c>
      <c r="R61" s="48">
        <f t="shared" si="9"/>
        <v>0.41676317895513931</v>
      </c>
      <c r="S61" s="49"/>
      <c r="U61" s="112"/>
    </row>
    <row r="62" spans="1:21" outlineLevel="2" x14ac:dyDescent="0.3">
      <c r="A62" s="40" t="str">
        <f>VLOOKUP(B62,Grupos!$A$2:$B$619,2,FALSE)</f>
        <v>CAJAS EMPALME</v>
      </c>
      <c r="B62" s="41" t="s">
        <v>104</v>
      </c>
      <c r="C62" s="41" t="s">
        <v>105</v>
      </c>
      <c r="D62" s="42">
        <v>70</v>
      </c>
      <c r="E62" s="43">
        <v>9059.16</v>
      </c>
      <c r="F62" s="43">
        <v>636.21</v>
      </c>
      <c r="G62" s="126">
        <f t="shared" si="0"/>
        <v>9695.369999999999</v>
      </c>
      <c r="H62" s="127">
        <f t="shared" si="1"/>
        <v>634141.19999999995</v>
      </c>
      <c r="I62" s="128">
        <f t="shared" si="2"/>
        <v>44534.700000000004</v>
      </c>
      <c r="J62" s="128">
        <f t="shared" si="3"/>
        <v>678675.89999999991</v>
      </c>
      <c r="K62" s="44">
        <f t="shared" si="10"/>
        <v>5.0990099981395275E-4</v>
      </c>
      <c r="L62" s="45">
        <f t="shared" si="4"/>
        <v>1884.4405679820043</v>
      </c>
      <c r="M62" s="45">
        <f t="shared" si="5"/>
        <v>3416.6573540043514</v>
      </c>
      <c r="N62" s="45">
        <f t="shared" si="6"/>
        <v>14996.467921986356</v>
      </c>
      <c r="O62" s="46">
        <f t="shared" si="7"/>
        <v>1049752.7545390448</v>
      </c>
      <c r="P62" s="47">
        <f t="shared" si="8"/>
        <v>36925.713000000003</v>
      </c>
      <c r="Q62" s="42">
        <v>2584799.91</v>
      </c>
      <c r="R62" s="48">
        <f t="shared" si="9"/>
        <v>0.40612534474246587</v>
      </c>
      <c r="S62" s="49"/>
      <c r="U62" s="112"/>
    </row>
    <row r="63" spans="1:21" s="93" customFormat="1" outlineLevel="1" x14ac:dyDescent="0.3">
      <c r="A63" s="50" t="s">
        <v>1020</v>
      </c>
      <c r="B63" s="129"/>
      <c r="C63" s="129"/>
      <c r="D63" s="51">
        <f>SUBTOTAL(9,D45:D62)</f>
        <v>10268</v>
      </c>
      <c r="E63" s="52"/>
      <c r="F63" s="52"/>
      <c r="G63" s="130"/>
      <c r="H63" s="131">
        <f>SUBTOTAL(9,H45:H62)</f>
        <v>110334528.96000001</v>
      </c>
      <c r="I63" s="146">
        <f>SUBTOTAL(9,I45:I62)</f>
        <v>8546983.8199999984</v>
      </c>
      <c r="J63" s="146">
        <f>SUBTOTAL(9,J45:J62)</f>
        <v>118881512.77999999</v>
      </c>
      <c r="K63" s="53"/>
      <c r="L63" s="54"/>
      <c r="M63" s="54"/>
      <c r="N63" s="54"/>
      <c r="O63" s="55">
        <f>SUBTOTAL(9,O45:O62)</f>
        <v>187888037.39188853</v>
      </c>
      <c r="P63" s="56"/>
      <c r="Q63" s="51">
        <f>SUBTOTAL(9,Q45:Q62)</f>
        <v>336676128.90999997</v>
      </c>
      <c r="R63" s="57">
        <f>O63/Q63</f>
        <v>0.55806759451637467</v>
      </c>
      <c r="S63" s="58">
        <f>Q63/$Q$293</f>
        <v>0.10256335671191805</v>
      </c>
      <c r="U63" s="147"/>
    </row>
    <row r="64" spans="1:21" outlineLevel="2" x14ac:dyDescent="0.3">
      <c r="A64" s="40" t="str">
        <f>VLOOKUP(B64,Grupos!$A$2:$B$619,2,FALSE)</f>
        <v>CAJAS PLASTICAS CC</v>
      </c>
      <c r="B64" s="41" t="s">
        <v>106</v>
      </c>
      <c r="C64" s="41" t="s">
        <v>107</v>
      </c>
      <c r="D64" s="42">
        <v>295920</v>
      </c>
      <c r="E64" s="43">
        <v>168.87</v>
      </c>
      <c r="F64" s="43">
        <v>7.9</v>
      </c>
      <c r="G64" s="126">
        <f t="shared" si="0"/>
        <v>176.77</v>
      </c>
      <c r="H64" s="127">
        <f t="shared" si="1"/>
        <v>49972010.399999999</v>
      </c>
      <c r="I64" s="128">
        <f t="shared" si="2"/>
        <v>2337768</v>
      </c>
      <c r="J64" s="128">
        <f t="shared" si="3"/>
        <v>52309778.400000006</v>
      </c>
      <c r="K64" s="44">
        <f t="shared" si="10"/>
        <v>3.9301245714200725E-2</v>
      </c>
      <c r="L64" s="45">
        <f t="shared" si="4"/>
        <v>34.357900647647178</v>
      </c>
      <c r="M64" s="45">
        <f t="shared" si="5"/>
        <v>42.425603333230185</v>
      </c>
      <c r="N64" s="45">
        <f t="shared" si="6"/>
        <v>253.55350398087737</v>
      </c>
      <c r="O64" s="46">
        <f t="shared" si="7"/>
        <v>75031552.898021236</v>
      </c>
      <c r="P64" s="47">
        <f t="shared" si="8"/>
        <v>313.72847637875105</v>
      </c>
      <c r="Q64" s="42">
        <v>92838530.730000004</v>
      </c>
      <c r="R64" s="48">
        <f t="shared" si="9"/>
        <v>0.80819410117802959</v>
      </c>
      <c r="S64" s="49"/>
      <c r="U64" s="112"/>
    </row>
    <row r="65" spans="1:21" outlineLevel="2" x14ac:dyDescent="0.3">
      <c r="A65" s="40" t="str">
        <f>VLOOKUP(B65,Grupos!$A$2:$B$619,2,FALSE)</f>
        <v>CAJAS PLASTICAS CC</v>
      </c>
      <c r="B65" s="41" t="s">
        <v>108</v>
      </c>
      <c r="C65" s="41" t="s">
        <v>109</v>
      </c>
      <c r="D65" s="42">
        <v>225450</v>
      </c>
      <c r="E65" s="43">
        <v>262.69</v>
      </c>
      <c r="F65" s="43">
        <v>10.81</v>
      </c>
      <c r="G65" s="126">
        <f t="shared" si="0"/>
        <v>273.5</v>
      </c>
      <c r="H65" s="127">
        <f t="shared" si="1"/>
        <v>59223460.5</v>
      </c>
      <c r="I65" s="128">
        <f t="shared" si="2"/>
        <v>2437114.5</v>
      </c>
      <c r="J65" s="128">
        <f t="shared" si="3"/>
        <v>61660575</v>
      </c>
      <c r="K65" s="44">
        <f t="shared" si="10"/>
        <v>4.6326661727052965E-2</v>
      </c>
      <c r="L65" s="45">
        <f t="shared" si="4"/>
        <v>53.158826877476393</v>
      </c>
      <c r="M65" s="45">
        <f t="shared" si="5"/>
        <v>58.053262282559281</v>
      </c>
      <c r="N65" s="45">
        <f t="shared" si="6"/>
        <v>384.71208916003565</v>
      </c>
      <c r="O65" s="46">
        <f t="shared" si="7"/>
        <v>86733340.50113003</v>
      </c>
      <c r="P65" s="47">
        <f t="shared" si="8"/>
        <v>472.53415657573737</v>
      </c>
      <c r="Q65" s="42">
        <v>106532825.59999999</v>
      </c>
      <c r="R65" s="48">
        <f t="shared" si="9"/>
        <v>0.81414662581830588</v>
      </c>
      <c r="S65" s="49"/>
      <c r="U65" s="112"/>
    </row>
    <row r="66" spans="1:21" outlineLevel="2" x14ac:dyDescent="0.3">
      <c r="A66" s="40" t="str">
        <f>VLOOKUP(B66,Grupos!$A$2:$B$619,2,FALSE)</f>
        <v>CAJAS PLASTICAS CC</v>
      </c>
      <c r="B66" s="41" t="s">
        <v>110</v>
      </c>
      <c r="C66" s="41" t="s">
        <v>111</v>
      </c>
      <c r="D66" s="42">
        <v>126900</v>
      </c>
      <c r="E66" s="43">
        <v>212.15</v>
      </c>
      <c r="F66" s="43">
        <v>9.15</v>
      </c>
      <c r="G66" s="126">
        <f t="shared" si="0"/>
        <v>221.3</v>
      </c>
      <c r="H66" s="127">
        <f t="shared" si="1"/>
        <v>26921835</v>
      </c>
      <c r="I66" s="128">
        <f t="shared" si="2"/>
        <v>1161135</v>
      </c>
      <c r="J66" s="128">
        <f t="shared" si="3"/>
        <v>28082970</v>
      </c>
      <c r="K66" s="44">
        <f t="shared" si="10"/>
        <v>2.1099223474334721E-2</v>
      </c>
      <c r="L66" s="45">
        <f t="shared" si="4"/>
        <v>43.012973996290768</v>
      </c>
      <c r="M66" s="45">
        <f t="shared" si="5"/>
        <v>49.138515253045085</v>
      </c>
      <c r="N66" s="45">
        <f t="shared" si="6"/>
        <v>313.45148924933585</v>
      </c>
      <c r="O66" s="46">
        <f t="shared" si="7"/>
        <v>39776993.985740721</v>
      </c>
      <c r="P66" s="47">
        <f t="shared" si="8"/>
        <v>466.52022695035458</v>
      </c>
      <c r="Q66" s="42">
        <v>59201416.799999997</v>
      </c>
      <c r="R66" s="48">
        <f t="shared" si="9"/>
        <v>0.6718926021672631</v>
      </c>
      <c r="S66" s="49"/>
      <c r="U66" s="112"/>
    </row>
    <row r="67" spans="1:21" s="93" customFormat="1" outlineLevel="1" x14ac:dyDescent="0.3">
      <c r="A67" s="50" t="s">
        <v>1021</v>
      </c>
      <c r="B67" s="129"/>
      <c r="C67" s="129"/>
      <c r="D67" s="51">
        <f>SUBTOTAL(9,D64:D66)</f>
        <v>648270</v>
      </c>
      <c r="E67" s="52"/>
      <c r="F67" s="52"/>
      <c r="G67" s="130"/>
      <c r="H67" s="131">
        <f>SUBTOTAL(9,H64:H66)</f>
        <v>136117305.90000001</v>
      </c>
      <c r="I67" s="146">
        <f>SUBTOTAL(9,I64:I66)</f>
        <v>5936017.5</v>
      </c>
      <c r="J67" s="146">
        <f>SUBTOTAL(9,J64:J66)</f>
        <v>142053323.40000001</v>
      </c>
      <c r="K67" s="53"/>
      <c r="L67" s="54"/>
      <c r="M67" s="54"/>
      <c r="N67" s="54"/>
      <c r="O67" s="55">
        <f>SUBTOTAL(9,O64:O66)</f>
        <v>201541887.38489199</v>
      </c>
      <c r="P67" s="56"/>
      <c r="Q67" s="51">
        <f>SUBTOTAL(9,Q64:Q66)</f>
        <v>258572773.13</v>
      </c>
      <c r="R67" s="57">
        <f>O67/Q67</f>
        <v>0.77943971031924864</v>
      </c>
      <c r="S67" s="58">
        <f>Q67/$Q$293</f>
        <v>7.8770335314183731E-2</v>
      </c>
      <c r="U67" s="147"/>
    </row>
    <row r="68" spans="1:21" outlineLevel="2" x14ac:dyDescent="0.3">
      <c r="A68" s="40" t="str">
        <f>VLOOKUP(B68,Grupos!$A$2:$B$619,2,FALSE)</f>
        <v>CAJAS PLASTICAS LH</v>
      </c>
      <c r="B68" s="41" t="s">
        <v>112</v>
      </c>
      <c r="C68" s="41" t="s">
        <v>113</v>
      </c>
      <c r="D68" s="42">
        <v>21600</v>
      </c>
      <c r="E68" s="43">
        <v>182</v>
      </c>
      <c r="F68" s="43">
        <v>8.6</v>
      </c>
      <c r="G68" s="126">
        <f t="shared" si="0"/>
        <v>190.6</v>
      </c>
      <c r="H68" s="127">
        <f t="shared" si="1"/>
        <v>3931200</v>
      </c>
      <c r="I68" s="128">
        <f t="shared" si="2"/>
        <v>185760</v>
      </c>
      <c r="J68" s="128">
        <f t="shared" si="3"/>
        <v>4116960</v>
      </c>
      <c r="K68" s="44">
        <f t="shared" si="10"/>
        <v>3.0931436053557395E-3</v>
      </c>
      <c r="L68" s="45">
        <f t="shared" si="4"/>
        <v>37.045968566168192</v>
      </c>
      <c r="M68" s="45">
        <f t="shared" si="5"/>
        <v>46.184834008326526</v>
      </c>
      <c r="N68" s="45">
        <f t="shared" si="6"/>
        <v>273.83080257449473</v>
      </c>
      <c r="O68" s="46">
        <f t="shared" si="7"/>
        <v>5914745.3356090859</v>
      </c>
      <c r="P68" s="47">
        <f t="shared" si="8"/>
        <v>336.57000925925928</v>
      </c>
      <c r="Q68" s="42">
        <v>7269912.2000000002</v>
      </c>
      <c r="R68" s="48">
        <f t="shared" si="9"/>
        <v>0.81359240289161761</v>
      </c>
      <c r="S68" s="49"/>
      <c r="U68" s="112"/>
    </row>
    <row r="69" spans="1:21" outlineLevel="2" x14ac:dyDescent="0.3">
      <c r="A69" s="40" t="str">
        <f>VLOOKUP(B69,Grupos!$A$2:$B$619,2,FALSE)</f>
        <v>CAJAS PLASTICAS LH</v>
      </c>
      <c r="B69" s="41" t="s">
        <v>114</v>
      </c>
      <c r="C69" s="41" t="s">
        <v>115</v>
      </c>
      <c r="D69" s="42">
        <v>34560</v>
      </c>
      <c r="E69" s="43">
        <v>260</v>
      </c>
      <c r="F69" s="43">
        <v>11.62</v>
      </c>
      <c r="G69" s="126">
        <f t="shared" si="0"/>
        <v>271.62</v>
      </c>
      <c r="H69" s="127">
        <f t="shared" si="1"/>
        <v>8985600</v>
      </c>
      <c r="I69" s="128">
        <f t="shared" si="2"/>
        <v>401587.19999999995</v>
      </c>
      <c r="J69" s="128">
        <f t="shared" si="3"/>
        <v>9387187.1999999993</v>
      </c>
      <c r="K69" s="44">
        <f t="shared" si="10"/>
        <v>7.052756903141456E-3</v>
      </c>
      <c r="L69" s="45">
        <f t="shared" si="4"/>
        <v>52.793420681755535</v>
      </c>
      <c r="M69" s="45">
        <f t="shared" si="5"/>
        <v>62.403229206599327</v>
      </c>
      <c r="N69" s="45">
        <f t="shared" si="6"/>
        <v>386.8166498883549</v>
      </c>
      <c r="O69" s="46">
        <f t="shared" si="7"/>
        <v>13368383.420141546</v>
      </c>
      <c r="P69" s="47">
        <f t="shared" si="8"/>
        <v>485.45313831018524</v>
      </c>
      <c r="Q69" s="42">
        <v>16777260.460000001</v>
      </c>
      <c r="R69" s="48">
        <f t="shared" si="9"/>
        <v>0.79681563339939621</v>
      </c>
      <c r="S69" s="49"/>
      <c r="U69" s="112"/>
    </row>
    <row r="70" spans="1:21" outlineLevel="2" x14ac:dyDescent="0.3">
      <c r="A70" s="40" t="str">
        <f>VLOOKUP(B70,Grupos!$A$2:$B$619,2,FALSE)</f>
        <v>CAJAS PLASTICAS LH</v>
      </c>
      <c r="B70" s="41" t="s">
        <v>116</v>
      </c>
      <c r="C70" s="41" t="s">
        <v>117</v>
      </c>
      <c r="D70" s="42">
        <v>17010</v>
      </c>
      <c r="E70" s="43">
        <v>217.92</v>
      </c>
      <c r="F70" s="43">
        <v>8.5500000000000007</v>
      </c>
      <c r="G70" s="126">
        <f t="shared" si="0"/>
        <v>226.47</v>
      </c>
      <c r="H70" s="127">
        <f t="shared" si="1"/>
        <v>3706819.1999999997</v>
      </c>
      <c r="I70" s="128">
        <f t="shared" si="2"/>
        <v>145435.5</v>
      </c>
      <c r="J70" s="128">
        <f t="shared" si="3"/>
        <v>3852254.7</v>
      </c>
      <c r="K70" s="44">
        <f t="shared" si="10"/>
        <v>2.8942659125924452E-3</v>
      </c>
      <c r="L70" s="45">
        <f t="shared" si="4"/>
        <v>44.017841034523144</v>
      </c>
      <c r="M70" s="45">
        <f t="shared" si="5"/>
        <v>45.916317531533934</v>
      </c>
      <c r="N70" s="45">
        <f t="shared" si="6"/>
        <v>316.40415856605711</v>
      </c>
      <c r="O70" s="46">
        <f t="shared" si="7"/>
        <v>5382034.7372086318</v>
      </c>
      <c r="P70" s="47">
        <f t="shared" si="8"/>
        <v>495.11112404467963</v>
      </c>
      <c r="Q70" s="42">
        <v>8421840.2200000007</v>
      </c>
      <c r="R70" s="48">
        <f t="shared" si="9"/>
        <v>0.63905685653207889</v>
      </c>
      <c r="S70" s="49"/>
      <c r="U70" s="112"/>
    </row>
    <row r="71" spans="1:21" s="93" customFormat="1" outlineLevel="1" x14ac:dyDescent="0.3">
      <c r="A71" s="50" t="s">
        <v>1022</v>
      </c>
      <c r="B71" s="129"/>
      <c r="C71" s="129"/>
      <c r="D71" s="51">
        <f>SUBTOTAL(9,D68:D70)</f>
        <v>73170</v>
      </c>
      <c r="E71" s="52"/>
      <c r="F71" s="52"/>
      <c r="G71" s="130"/>
      <c r="H71" s="131">
        <f>SUBTOTAL(9,H68:H70)</f>
        <v>16623619.199999999</v>
      </c>
      <c r="I71" s="146">
        <f>SUBTOTAL(9,I68:I70)</f>
        <v>732782.7</v>
      </c>
      <c r="J71" s="146">
        <f>SUBTOTAL(9,J68:J70)</f>
        <v>17356401.899999999</v>
      </c>
      <c r="K71" s="53"/>
      <c r="L71" s="54"/>
      <c r="M71" s="54"/>
      <c r="N71" s="54"/>
      <c r="O71" s="55">
        <f>SUBTOTAL(9,O68:O70)</f>
        <v>24665163.492959265</v>
      </c>
      <c r="P71" s="56"/>
      <c r="Q71" s="51">
        <f>SUBTOTAL(9,Q68:Q70)</f>
        <v>32469012.880000003</v>
      </c>
      <c r="R71" s="57">
        <f>O71/Q71</f>
        <v>0.75965239793761363</v>
      </c>
      <c r="S71" s="58">
        <f>Q71/$Q$293</f>
        <v>9.8912000707525958E-3</v>
      </c>
      <c r="U71" s="147"/>
    </row>
    <row r="72" spans="1:21" outlineLevel="2" x14ac:dyDescent="0.3">
      <c r="A72" s="40" t="str">
        <f>VLOOKUP(B72,Grupos!$A$2:$B$619,2,FALSE)</f>
        <v>CAJAS TELEFONICAS</v>
      </c>
      <c r="B72" s="41" t="s">
        <v>118</v>
      </c>
      <c r="C72" s="41" t="s">
        <v>119</v>
      </c>
      <c r="D72" s="42">
        <v>20</v>
      </c>
      <c r="E72" s="43">
        <v>6348.57</v>
      </c>
      <c r="F72" s="43">
        <v>657.94</v>
      </c>
      <c r="G72" s="126">
        <f t="shared" si="0"/>
        <v>7006.51</v>
      </c>
      <c r="H72" s="127">
        <f t="shared" si="1"/>
        <v>126971.4</v>
      </c>
      <c r="I72" s="128">
        <f t="shared" si="2"/>
        <v>13158.800000000001</v>
      </c>
      <c r="J72" s="128">
        <f t="shared" si="3"/>
        <v>140130.20000000001</v>
      </c>
      <c r="K72" s="44">
        <f t="shared" si="10"/>
        <v>1.052822548791392E-4</v>
      </c>
      <c r="L72" s="45">
        <f t="shared" si="4"/>
        <v>1361.8203002022201</v>
      </c>
      <c r="M72" s="45">
        <f t="shared" si="5"/>
        <v>3533.3546148184137</v>
      </c>
      <c r="N72" s="45">
        <f t="shared" si="6"/>
        <v>11901.684915020634</v>
      </c>
      <c r="O72" s="46">
        <f t="shared" si="7"/>
        <v>238033.69830041268</v>
      </c>
      <c r="P72" s="47">
        <f t="shared" si="8"/>
        <v>31520.999499999998</v>
      </c>
      <c r="Q72" s="42">
        <v>630419.99</v>
      </c>
      <c r="R72" s="48">
        <f t="shared" si="9"/>
        <v>0.37757955343454874</v>
      </c>
      <c r="S72" s="49"/>
      <c r="U72" s="112"/>
    </row>
    <row r="73" spans="1:21" outlineLevel="2" x14ac:dyDescent="0.3">
      <c r="A73" s="40" t="str">
        <f>VLOOKUP(B73,Grupos!$A$2:$B$619,2,FALSE)</f>
        <v>CAJAS TELEFONICAS</v>
      </c>
      <c r="B73" s="41" t="s">
        <v>120</v>
      </c>
      <c r="C73" s="41" t="s">
        <v>121</v>
      </c>
      <c r="D73" s="42">
        <v>48</v>
      </c>
      <c r="E73" s="43">
        <v>7530.77</v>
      </c>
      <c r="F73" s="43">
        <v>688.78</v>
      </c>
      <c r="G73" s="126">
        <f t="shared" si="0"/>
        <v>8219.5500000000011</v>
      </c>
      <c r="H73" s="127">
        <f t="shared" si="1"/>
        <v>361476.96</v>
      </c>
      <c r="I73" s="128">
        <f t="shared" si="2"/>
        <v>33061.440000000002</v>
      </c>
      <c r="J73" s="128">
        <f t="shared" si="3"/>
        <v>394538.4</v>
      </c>
      <c r="K73" s="44">
        <f t="shared" si="10"/>
        <v>2.9642355743735304E-4</v>
      </c>
      <c r="L73" s="45">
        <f t="shared" si="4"/>
        <v>1597.5928170411742</v>
      </c>
      <c r="M73" s="45">
        <f t="shared" si="5"/>
        <v>3698.9755777040864</v>
      </c>
      <c r="N73" s="45">
        <f t="shared" si="6"/>
        <v>13516.118394745261</v>
      </c>
      <c r="O73" s="46">
        <f t="shared" si="7"/>
        <v>648773.68294777256</v>
      </c>
      <c r="P73" s="47">
        <f t="shared" si="8"/>
        <v>37652.333333333336</v>
      </c>
      <c r="Q73" s="42">
        <v>1807312</v>
      </c>
      <c r="R73" s="48">
        <f t="shared" si="9"/>
        <v>0.35897160144334378</v>
      </c>
      <c r="S73" s="49"/>
      <c r="U73" s="112"/>
    </row>
    <row r="74" spans="1:21" outlineLevel="2" x14ac:dyDescent="0.3">
      <c r="A74" s="40" t="str">
        <f>VLOOKUP(B74,Grupos!$A$2:$B$619,2,FALSE)</f>
        <v>CAJAS TELEFONICAS</v>
      </c>
      <c r="B74" s="41" t="s">
        <v>122</v>
      </c>
      <c r="C74" s="41" t="s">
        <v>123</v>
      </c>
      <c r="D74" s="42">
        <v>80</v>
      </c>
      <c r="E74" s="43">
        <v>12123.53</v>
      </c>
      <c r="F74" s="43">
        <v>640.79</v>
      </c>
      <c r="G74" s="126">
        <f t="shared" si="0"/>
        <v>12764.32</v>
      </c>
      <c r="H74" s="127">
        <f t="shared" si="1"/>
        <v>969882.4</v>
      </c>
      <c r="I74" s="128">
        <f t="shared" si="2"/>
        <v>51263.199999999997</v>
      </c>
      <c r="J74" s="128">
        <f t="shared" si="3"/>
        <v>1021145.6</v>
      </c>
      <c r="K74" s="44">
        <f t="shared" si="10"/>
        <v>7.6720443792923656E-4</v>
      </c>
      <c r="L74" s="45">
        <f t="shared" si="4"/>
        <v>2480.9370277466523</v>
      </c>
      <c r="M74" s="45">
        <f t="shared" si="5"/>
        <v>3441.2534632785528</v>
      </c>
      <c r="N74" s="45">
        <f t="shared" si="6"/>
        <v>18686.510491025205</v>
      </c>
      <c r="O74" s="46">
        <f t="shared" si="7"/>
        <v>1494920.8392820163</v>
      </c>
      <c r="P74" s="47">
        <f t="shared" si="8"/>
        <v>44529.501624999997</v>
      </c>
      <c r="Q74" s="42">
        <v>3562360.13</v>
      </c>
      <c r="R74" s="48">
        <f t="shared" si="9"/>
        <v>0.41964337818984526</v>
      </c>
      <c r="S74" s="49"/>
      <c r="U74" s="112"/>
    </row>
    <row r="75" spans="1:21" outlineLevel="2" x14ac:dyDescent="0.3">
      <c r="A75" s="40" t="str">
        <f>VLOOKUP(B75,Grupos!$A$2:$B$619,2,FALSE)</f>
        <v>CAJAS TELEFONICAS</v>
      </c>
      <c r="B75" s="41" t="s">
        <v>125</v>
      </c>
      <c r="C75" s="41" t="s">
        <v>126</v>
      </c>
      <c r="D75" s="42">
        <v>62</v>
      </c>
      <c r="E75" s="43">
        <v>22164.95</v>
      </c>
      <c r="F75" s="43">
        <v>668.16</v>
      </c>
      <c r="G75" s="126">
        <f t="shared" ref="G75:G147" si="11">E75+F75</f>
        <v>22833.11</v>
      </c>
      <c r="H75" s="127">
        <f t="shared" ref="H75:H147" si="12">E75*D75</f>
        <v>1374226.9000000001</v>
      </c>
      <c r="I75" s="128">
        <f t="shared" ref="I75:I147" si="13">F75*D75</f>
        <v>41425.919999999998</v>
      </c>
      <c r="J75" s="128">
        <f t="shared" ref="J75:J147" si="14">G75*D75</f>
        <v>1415652.82</v>
      </c>
      <c r="K75" s="44">
        <f t="shared" ref="K75:K147" si="15">J75/$J$293</f>
        <v>1.0636045692906464E-3</v>
      </c>
      <c r="L75" s="45">
        <f t="shared" ref="L75:L147" si="16">$K$364*K75/D75</f>
        <v>4437.9573731787023</v>
      </c>
      <c r="M75" s="45">
        <f t="shared" ref="M75:M147" si="17">F75*$M$363</f>
        <v>3588.2393826748198</v>
      </c>
      <c r="N75" s="45">
        <f t="shared" ref="N75:N147" si="18">G75+L75+M75</f>
        <v>30859.306755853522</v>
      </c>
      <c r="O75" s="46">
        <f t="shared" ref="O75:O147" si="19">N75*D75</f>
        <v>1913277.0188629185</v>
      </c>
      <c r="P75" s="47">
        <f t="shared" ref="P75:P147" si="20">Q75/D75</f>
        <v>71693.437096774185</v>
      </c>
      <c r="Q75" s="42">
        <v>4444993.0999999996</v>
      </c>
      <c r="R75" s="48">
        <f t="shared" ref="R75:R147" si="21">O75/Q75</f>
        <v>0.43043419321908927</v>
      </c>
      <c r="S75" s="49"/>
      <c r="U75" s="112"/>
    </row>
    <row r="76" spans="1:21" outlineLevel="2" x14ac:dyDescent="0.3">
      <c r="A76" s="40" t="str">
        <f>VLOOKUP(B76,Grupos!$A$2:$B$619,2,FALSE)</f>
        <v>CAJAS TELEFONICAS</v>
      </c>
      <c r="B76" s="41" t="s">
        <v>127</v>
      </c>
      <c r="C76" s="41" t="s">
        <v>128</v>
      </c>
      <c r="D76" s="42">
        <v>56</v>
      </c>
      <c r="E76" s="43">
        <v>24574.799999999999</v>
      </c>
      <c r="F76" s="43">
        <v>789.33</v>
      </c>
      <c r="G76" s="126">
        <f t="shared" si="11"/>
        <v>25364.13</v>
      </c>
      <c r="H76" s="127">
        <f t="shared" si="12"/>
        <v>1376188.8</v>
      </c>
      <c r="I76" s="128">
        <f t="shared" si="13"/>
        <v>44202.48</v>
      </c>
      <c r="J76" s="128">
        <f t="shared" si="14"/>
        <v>1420391.28</v>
      </c>
      <c r="K76" s="44">
        <f t="shared" si="15"/>
        <v>1.0671646566483652E-3</v>
      </c>
      <c r="L76" s="45">
        <f t="shared" si="16"/>
        <v>4929.8990697177524</v>
      </c>
      <c r="M76" s="45">
        <f t="shared" si="17"/>
        <v>4238.9622125339974</v>
      </c>
      <c r="N76" s="45">
        <f t="shared" si="18"/>
        <v>34532.991282251751</v>
      </c>
      <c r="O76" s="46">
        <f t="shared" si="19"/>
        <v>1933847.511806098</v>
      </c>
      <c r="P76" s="47">
        <f t="shared" si="20"/>
        <v>88955.71767857144</v>
      </c>
      <c r="Q76" s="42">
        <v>4981520.1900000004</v>
      </c>
      <c r="R76" s="48">
        <f t="shared" si="21"/>
        <v>0.38820429066776457</v>
      </c>
      <c r="S76" s="49"/>
      <c r="U76" s="112"/>
    </row>
    <row r="77" spans="1:21" s="93" customFormat="1" outlineLevel="1" x14ac:dyDescent="0.3">
      <c r="A77" s="50" t="s">
        <v>1023</v>
      </c>
      <c r="B77" s="129"/>
      <c r="C77" s="129"/>
      <c r="D77" s="51">
        <f>SUBTOTAL(9,D72:D76)</f>
        <v>266</v>
      </c>
      <c r="E77" s="52"/>
      <c r="F77" s="52"/>
      <c r="G77" s="130"/>
      <c r="H77" s="131">
        <f>SUBTOTAL(9,H72:H76)</f>
        <v>4208746.46</v>
      </c>
      <c r="I77" s="146">
        <f>SUBTOTAL(9,I72:I76)</f>
        <v>183111.84</v>
      </c>
      <c r="J77" s="146">
        <f>SUBTOTAL(9,J72:J76)</f>
        <v>4391858.3000000007</v>
      </c>
      <c r="K77" s="53"/>
      <c r="L77" s="54"/>
      <c r="M77" s="54"/>
      <c r="N77" s="54"/>
      <c r="O77" s="55">
        <f>SUBTOTAL(9,O72:O76)</f>
        <v>6228852.7511992184</v>
      </c>
      <c r="P77" s="56"/>
      <c r="Q77" s="51">
        <f>SUBTOTAL(9,Q72:Q76)</f>
        <v>15426605.41</v>
      </c>
      <c r="R77" s="57">
        <f>O77/Q77</f>
        <v>0.40377338926174156</v>
      </c>
      <c r="S77" s="58">
        <f>Q77/$Q$293</f>
        <v>4.6994850470755785E-3</v>
      </c>
      <c r="U77" s="147"/>
    </row>
    <row r="78" spans="1:21" outlineLevel="2" x14ac:dyDescent="0.3">
      <c r="A78" s="40" t="str">
        <f>VLOOKUP(B78,Grupos!$A$2:$B$619,2,FALSE)</f>
        <v>CE 125</v>
      </c>
      <c r="B78" s="41" t="s">
        <v>131</v>
      </c>
      <c r="C78" s="41" t="s">
        <v>132</v>
      </c>
      <c r="D78" s="42">
        <v>9360</v>
      </c>
      <c r="E78" s="43">
        <v>2031.35</v>
      </c>
      <c r="F78" s="43">
        <v>435.36</v>
      </c>
      <c r="G78" s="126">
        <f t="shared" si="11"/>
        <v>2466.71</v>
      </c>
      <c r="H78" s="127">
        <f t="shared" si="12"/>
        <v>19013436</v>
      </c>
      <c r="I78" s="128">
        <f t="shared" si="13"/>
        <v>4074969.6</v>
      </c>
      <c r="J78" s="128">
        <f t="shared" si="14"/>
        <v>23088405.600000001</v>
      </c>
      <c r="K78" s="44">
        <f t="shared" si="15"/>
        <v>1.734672042951587E-2</v>
      </c>
      <c r="L78" s="45">
        <f t="shared" si="16"/>
        <v>479.44208353542899</v>
      </c>
      <c r="M78" s="45">
        <f t="shared" si="17"/>
        <v>2338.0266667284927</v>
      </c>
      <c r="N78" s="45">
        <f t="shared" si="18"/>
        <v>5284.1787502639218</v>
      </c>
      <c r="O78" s="46">
        <f t="shared" si="19"/>
        <v>49459913.102470309</v>
      </c>
      <c r="P78" s="47">
        <f t="shared" si="20"/>
        <v>4814.8846164529914</v>
      </c>
      <c r="Q78" s="42">
        <v>45067320.009999998</v>
      </c>
      <c r="R78" s="48">
        <f t="shared" si="21"/>
        <v>1.0974673686275473</v>
      </c>
      <c r="S78" s="49"/>
      <c r="U78" s="112"/>
    </row>
    <row r="79" spans="1:21" outlineLevel="2" x14ac:dyDescent="0.3">
      <c r="A79" s="40" t="str">
        <f>VLOOKUP(B79,Grupos!$A$2:$B$619,2,FALSE)</f>
        <v>CE 125</v>
      </c>
      <c r="B79" s="41" t="s">
        <v>133</v>
      </c>
      <c r="C79" s="41" t="s">
        <v>134</v>
      </c>
      <c r="D79" s="42">
        <v>1200</v>
      </c>
      <c r="E79" s="43">
        <v>2141.44</v>
      </c>
      <c r="F79" s="43">
        <v>402.72</v>
      </c>
      <c r="G79" s="126">
        <f t="shared" si="11"/>
        <v>2544.16</v>
      </c>
      <c r="H79" s="127">
        <f t="shared" si="12"/>
        <v>2569728</v>
      </c>
      <c r="I79" s="128">
        <f t="shared" si="13"/>
        <v>483264.00000000006</v>
      </c>
      <c r="J79" s="128">
        <f t="shared" si="14"/>
        <v>3052992</v>
      </c>
      <c r="K79" s="44">
        <f t="shared" si="15"/>
        <v>2.2937659540054386E-3</v>
      </c>
      <c r="L79" s="45">
        <f t="shared" si="16"/>
        <v>494.49565260914204</v>
      </c>
      <c r="M79" s="45">
        <f t="shared" si="17"/>
        <v>2162.7391106782861</v>
      </c>
      <c r="N79" s="45">
        <f t="shared" si="18"/>
        <v>5201.3947632874278</v>
      </c>
      <c r="O79" s="46">
        <f t="shared" si="19"/>
        <v>6241673.7159449132</v>
      </c>
      <c r="P79" s="47">
        <f t="shared" si="20"/>
        <v>5083.5000499999996</v>
      </c>
      <c r="Q79" s="42">
        <v>6100200.0599999996</v>
      </c>
      <c r="R79" s="48">
        <f t="shared" si="21"/>
        <v>1.0231916420041007</v>
      </c>
      <c r="S79" s="49"/>
      <c r="U79" s="112"/>
    </row>
    <row r="80" spans="1:21" outlineLevel="2" x14ac:dyDescent="0.3">
      <c r="A80" s="40" t="str">
        <f>VLOOKUP(B80,Grupos!$A$2:$B$619,2,FALSE)</f>
        <v>CE 125</v>
      </c>
      <c r="B80" s="41" t="s">
        <v>136</v>
      </c>
      <c r="C80" s="41" t="s">
        <v>137</v>
      </c>
      <c r="D80" s="42">
        <v>540</v>
      </c>
      <c r="E80" s="43">
        <v>1988.04</v>
      </c>
      <c r="F80" s="43">
        <v>537.63</v>
      </c>
      <c r="G80" s="126">
        <f t="shared" si="11"/>
        <v>2525.67</v>
      </c>
      <c r="H80" s="127">
        <f t="shared" si="12"/>
        <v>1073541.6000000001</v>
      </c>
      <c r="I80" s="128">
        <f t="shared" si="13"/>
        <v>290320.2</v>
      </c>
      <c r="J80" s="128">
        <f t="shared" si="14"/>
        <v>1363861.8</v>
      </c>
      <c r="K80" s="44">
        <f t="shared" si="15"/>
        <v>1.0246930757789653E-3</v>
      </c>
      <c r="L80" s="45">
        <f t="shared" si="16"/>
        <v>490.90184380122787</v>
      </c>
      <c r="M80" s="45">
        <f t="shared" si="17"/>
        <v>2887.2502683600687</v>
      </c>
      <c r="N80" s="45">
        <f t="shared" si="18"/>
        <v>5903.8221121612969</v>
      </c>
      <c r="O80" s="46">
        <f t="shared" si="19"/>
        <v>3188063.9405671004</v>
      </c>
      <c r="P80" s="47">
        <f t="shared" si="20"/>
        <v>5356</v>
      </c>
      <c r="Q80" s="42">
        <v>2892240</v>
      </c>
      <c r="R80" s="48">
        <f t="shared" si="21"/>
        <v>1.102281947752296</v>
      </c>
      <c r="S80" s="49"/>
      <c r="U80" s="112"/>
    </row>
    <row r="81" spans="1:21" outlineLevel="2" x14ac:dyDescent="0.3">
      <c r="A81" s="40" t="str">
        <f>VLOOKUP(B81,Grupos!$A$2:$B$619,2,FALSE)</f>
        <v>CE 125</v>
      </c>
      <c r="B81" s="41" t="s">
        <v>138</v>
      </c>
      <c r="C81" s="41" t="s">
        <v>139</v>
      </c>
      <c r="D81" s="42">
        <v>9060</v>
      </c>
      <c r="E81" s="43">
        <v>2031.35</v>
      </c>
      <c r="F81" s="43">
        <v>432.81</v>
      </c>
      <c r="G81" s="126">
        <f t="shared" si="11"/>
        <v>2464.16</v>
      </c>
      <c r="H81" s="127">
        <f t="shared" si="12"/>
        <v>18404031</v>
      </c>
      <c r="I81" s="128">
        <f t="shared" si="13"/>
        <v>3921258.6</v>
      </c>
      <c r="J81" s="128">
        <f t="shared" si="14"/>
        <v>22325289.599999998</v>
      </c>
      <c r="K81" s="44">
        <f t="shared" si="15"/>
        <v>1.6773378114908814E-2</v>
      </c>
      <c r="L81" s="45">
        <f t="shared" si="16"/>
        <v>478.94645279123301</v>
      </c>
      <c r="M81" s="45">
        <f t="shared" si="17"/>
        <v>2324.3323264120704</v>
      </c>
      <c r="N81" s="45">
        <f t="shared" si="18"/>
        <v>5267.4387792033031</v>
      </c>
      <c r="O81" s="46">
        <f t="shared" si="19"/>
        <v>47722995.339581929</v>
      </c>
      <c r="P81" s="47">
        <f t="shared" si="20"/>
        <v>4850.6092748344372</v>
      </c>
      <c r="Q81" s="42">
        <v>43946520.030000001</v>
      </c>
      <c r="R81" s="48">
        <f t="shared" si="21"/>
        <v>1.085933432431144</v>
      </c>
      <c r="S81" s="49"/>
      <c r="U81" s="112"/>
    </row>
    <row r="82" spans="1:21" outlineLevel="2" x14ac:dyDescent="0.3">
      <c r="A82" s="40" t="str">
        <f>VLOOKUP(B82,Grupos!$A$2:$B$619,2,FALSE)</f>
        <v>CE 125</v>
      </c>
      <c r="B82" s="41" t="s">
        <v>140</v>
      </c>
      <c r="C82" s="41" t="s">
        <v>141</v>
      </c>
      <c r="D82" s="42">
        <v>3720</v>
      </c>
      <c r="E82" s="43">
        <v>2141.44</v>
      </c>
      <c r="F82" s="43">
        <v>424.82</v>
      </c>
      <c r="G82" s="126">
        <f t="shared" si="11"/>
        <v>2566.2600000000002</v>
      </c>
      <c r="H82" s="127">
        <f t="shared" si="12"/>
        <v>7966156.7999999998</v>
      </c>
      <c r="I82" s="128">
        <f t="shared" si="13"/>
        <v>1580330.4</v>
      </c>
      <c r="J82" s="128">
        <f t="shared" si="14"/>
        <v>9546487.2000000011</v>
      </c>
      <c r="K82" s="44">
        <f t="shared" si="15"/>
        <v>7.1724417619530969E-3</v>
      </c>
      <c r="L82" s="45">
        <f t="shared" si="16"/>
        <v>498.7911190588394</v>
      </c>
      <c r="M82" s="45">
        <f t="shared" si="17"/>
        <v>2281.4233934206136</v>
      </c>
      <c r="N82" s="45">
        <f t="shared" si="18"/>
        <v>5346.4745124794536</v>
      </c>
      <c r="O82" s="46">
        <f t="shared" si="19"/>
        <v>19888885.186423566</v>
      </c>
      <c r="P82" s="47">
        <f t="shared" si="20"/>
        <v>5114.032244623656</v>
      </c>
      <c r="Q82" s="42">
        <v>19024199.949999999</v>
      </c>
      <c r="R82" s="48">
        <f t="shared" si="21"/>
        <v>1.0454518580910714</v>
      </c>
      <c r="S82" s="49"/>
      <c r="U82" s="112"/>
    </row>
    <row r="83" spans="1:21" outlineLevel="2" x14ac:dyDescent="0.3">
      <c r="A83" s="40" t="str">
        <f>VLOOKUP(B83,Grupos!$A$2:$B$619,2,FALSE)</f>
        <v>CE 125</v>
      </c>
      <c r="B83" s="41" t="s">
        <v>142</v>
      </c>
      <c r="C83" s="41" t="s">
        <v>143</v>
      </c>
      <c r="D83" s="42">
        <v>7080</v>
      </c>
      <c r="E83" s="43">
        <v>2028.07</v>
      </c>
      <c r="F83" s="43">
        <v>415.36</v>
      </c>
      <c r="G83" s="126">
        <f t="shared" si="11"/>
        <v>2443.4299999999998</v>
      </c>
      <c r="H83" s="127">
        <f t="shared" si="12"/>
        <v>14358735.6</v>
      </c>
      <c r="I83" s="128">
        <f t="shared" si="13"/>
        <v>2940748.8000000003</v>
      </c>
      <c r="J83" s="128">
        <f t="shared" si="14"/>
        <v>17299484.399999999</v>
      </c>
      <c r="K83" s="44">
        <f t="shared" si="15"/>
        <v>1.299740331405002E-2</v>
      </c>
      <c r="L83" s="45">
        <f t="shared" si="16"/>
        <v>474.91726638841732</v>
      </c>
      <c r="M83" s="45">
        <f t="shared" si="17"/>
        <v>2230.6200760114543</v>
      </c>
      <c r="N83" s="45">
        <f t="shared" si="18"/>
        <v>5148.967342399872</v>
      </c>
      <c r="O83" s="46">
        <f t="shared" si="19"/>
        <v>36454688.784191094</v>
      </c>
      <c r="P83" s="47">
        <f t="shared" si="20"/>
        <v>4890.4236779661014</v>
      </c>
      <c r="Q83" s="42">
        <v>34624199.640000001</v>
      </c>
      <c r="R83" s="48">
        <f t="shared" si="21"/>
        <v>1.0528673345008213</v>
      </c>
      <c r="S83" s="49"/>
      <c r="U83" s="112"/>
    </row>
    <row r="84" spans="1:21" outlineLevel="2" x14ac:dyDescent="0.3">
      <c r="A84" s="40" t="str">
        <f>VLOOKUP(B84,Grupos!$A$2:$B$619,2,FALSE)</f>
        <v>CE 125</v>
      </c>
      <c r="B84" s="41" t="s">
        <v>144</v>
      </c>
      <c r="C84" s="41" t="s">
        <v>145</v>
      </c>
      <c r="D84" s="42">
        <v>780</v>
      </c>
      <c r="E84" s="43">
        <v>2141.44</v>
      </c>
      <c r="F84" s="43">
        <v>426.01</v>
      </c>
      <c r="G84" s="126">
        <f t="shared" si="11"/>
        <v>2567.4499999999998</v>
      </c>
      <c r="H84" s="127">
        <f t="shared" si="12"/>
        <v>1670323.2</v>
      </c>
      <c r="I84" s="128">
        <f t="shared" si="13"/>
        <v>332287.8</v>
      </c>
      <c r="J84" s="128">
        <f t="shared" si="14"/>
        <v>2002610.9999999998</v>
      </c>
      <c r="K84" s="44">
        <f t="shared" si="15"/>
        <v>1.5045964519123484E-3</v>
      </c>
      <c r="L84" s="45">
        <f t="shared" si="16"/>
        <v>499.02241340613074</v>
      </c>
      <c r="M84" s="45">
        <f t="shared" si="17"/>
        <v>2287.8140855682773</v>
      </c>
      <c r="N84" s="45">
        <f t="shared" si="18"/>
        <v>5354.2864989744085</v>
      </c>
      <c r="O84" s="46">
        <f t="shared" si="19"/>
        <v>4176343.4692000388</v>
      </c>
      <c r="P84" s="47">
        <f t="shared" si="20"/>
        <v>5226.0000384615378</v>
      </c>
      <c r="Q84" s="42">
        <v>4076280.03</v>
      </c>
      <c r="R84" s="48">
        <f t="shared" si="21"/>
        <v>1.0245477343223741</v>
      </c>
      <c r="S84" s="49"/>
      <c r="U84" s="112"/>
    </row>
    <row r="85" spans="1:21" s="93" customFormat="1" outlineLevel="1" x14ac:dyDescent="0.3">
      <c r="A85" s="50" t="s">
        <v>1024</v>
      </c>
      <c r="B85" s="129"/>
      <c r="C85" s="129"/>
      <c r="D85" s="51">
        <f>SUBTOTAL(9,D78:D84)</f>
        <v>31740</v>
      </c>
      <c r="E85" s="52"/>
      <c r="F85" s="52"/>
      <c r="G85" s="130"/>
      <c r="H85" s="131">
        <f>SUBTOTAL(9,H78:H84)</f>
        <v>65055952.200000003</v>
      </c>
      <c r="I85" s="146">
        <f>SUBTOTAL(9,I78:I84)</f>
        <v>13623179.400000002</v>
      </c>
      <c r="J85" s="146">
        <f>SUBTOTAL(9,J78:J84)</f>
        <v>78679131.599999994</v>
      </c>
      <c r="K85" s="53"/>
      <c r="L85" s="54"/>
      <c r="M85" s="54"/>
      <c r="N85" s="54"/>
      <c r="O85" s="55">
        <f>SUBTOTAL(9,O78:O84)</f>
        <v>167132563.53837895</v>
      </c>
      <c r="P85" s="56"/>
      <c r="Q85" s="51">
        <f>SUBTOTAL(9,Q78:Q84)</f>
        <v>155730959.72</v>
      </c>
      <c r="R85" s="57">
        <f>O85/Q85</f>
        <v>1.0732134691706692</v>
      </c>
      <c r="S85" s="58">
        <f>Q85/$Q$293</f>
        <v>4.7441112099519837E-2</v>
      </c>
      <c r="U85" s="147"/>
    </row>
    <row r="86" spans="1:21" outlineLevel="2" x14ac:dyDescent="0.3">
      <c r="A86" s="40" t="str">
        <f>VLOOKUP(B86,Grupos!$A$2:$B$619,2,FALSE)</f>
        <v>EXCEDENTES INDUSTRIALES</v>
      </c>
      <c r="B86" s="41" t="s">
        <v>748</v>
      </c>
      <c r="C86" s="41" t="s">
        <v>749</v>
      </c>
      <c r="D86" s="42">
        <v>85</v>
      </c>
      <c r="E86" s="43">
        <v>0</v>
      </c>
      <c r="F86" s="43">
        <v>0</v>
      </c>
      <c r="G86" s="126">
        <f t="shared" si="11"/>
        <v>0</v>
      </c>
      <c r="H86" s="127">
        <f t="shared" si="12"/>
        <v>0</v>
      </c>
      <c r="I86" s="128">
        <f t="shared" si="13"/>
        <v>0</v>
      </c>
      <c r="J86" s="128">
        <f t="shared" si="14"/>
        <v>0</v>
      </c>
      <c r="K86" s="44">
        <f t="shared" si="15"/>
        <v>0</v>
      </c>
      <c r="L86" s="45">
        <f t="shared" si="16"/>
        <v>0</v>
      </c>
      <c r="M86" s="45">
        <f t="shared" si="17"/>
        <v>0</v>
      </c>
      <c r="N86" s="45">
        <f t="shared" si="18"/>
        <v>0</v>
      </c>
      <c r="O86" s="46">
        <f t="shared" si="19"/>
        <v>0</v>
      </c>
      <c r="P86" s="47">
        <f t="shared" si="20"/>
        <v>739.41176470588232</v>
      </c>
      <c r="Q86" s="42">
        <v>62850</v>
      </c>
      <c r="R86" s="48">
        <f t="shared" si="21"/>
        <v>0</v>
      </c>
      <c r="S86" s="49"/>
      <c r="U86" s="112"/>
    </row>
    <row r="87" spans="1:21" outlineLevel="2" x14ac:dyDescent="0.3">
      <c r="A87" s="40" t="str">
        <f>VLOOKUP(B87,Grupos!$A$2:$B$619,2,FALSE)</f>
        <v>EXCEDENTES INDUSTRIALES</v>
      </c>
      <c r="B87" s="41" t="s">
        <v>716</v>
      </c>
      <c r="C87" s="41" t="s">
        <v>717</v>
      </c>
      <c r="D87" s="42">
        <v>18.649999999999999</v>
      </c>
      <c r="E87" s="43">
        <v>0</v>
      </c>
      <c r="F87" s="43">
        <v>0</v>
      </c>
      <c r="G87" s="126">
        <f t="shared" si="11"/>
        <v>0</v>
      </c>
      <c r="H87" s="127">
        <f t="shared" si="12"/>
        <v>0</v>
      </c>
      <c r="I87" s="128">
        <f t="shared" si="13"/>
        <v>0</v>
      </c>
      <c r="J87" s="128">
        <f t="shared" si="14"/>
        <v>0</v>
      </c>
      <c r="K87" s="44">
        <f t="shared" si="15"/>
        <v>0</v>
      </c>
      <c r="L87" s="45">
        <f t="shared" si="16"/>
        <v>0</v>
      </c>
      <c r="M87" s="45">
        <f t="shared" si="17"/>
        <v>0</v>
      </c>
      <c r="N87" s="45">
        <f t="shared" si="18"/>
        <v>0</v>
      </c>
      <c r="O87" s="46">
        <f t="shared" si="19"/>
        <v>0</v>
      </c>
      <c r="P87" s="47">
        <f t="shared" si="20"/>
        <v>500.00000000000006</v>
      </c>
      <c r="Q87" s="42">
        <v>9325</v>
      </c>
      <c r="R87" s="48">
        <f t="shared" si="21"/>
        <v>0</v>
      </c>
      <c r="S87" s="49"/>
      <c r="U87" s="112"/>
    </row>
    <row r="88" spans="1:21" outlineLevel="2" x14ac:dyDescent="0.3">
      <c r="A88" s="40" t="str">
        <f>VLOOKUP(B88,Grupos!$A$2:$B$619,2,FALSE)</f>
        <v>EXCEDENTES INDUSTRIALES</v>
      </c>
      <c r="B88" s="41" t="s">
        <v>739</v>
      </c>
      <c r="C88" s="41" t="s">
        <v>740</v>
      </c>
      <c r="D88" s="42">
        <v>864</v>
      </c>
      <c r="E88" s="43">
        <v>0</v>
      </c>
      <c r="F88" s="43">
        <v>0</v>
      </c>
      <c r="G88" s="126">
        <f t="shared" si="11"/>
        <v>0</v>
      </c>
      <c r="H88" s="127">
        <f t="shared" si="12"/>
        <v>0</v>
      </c>
      <c r="I88" s="128">
        <f t="shared" si="13"/>
        <v>0</v>
      </c>
      <c r="J88" s="128">
        <f t="shared" si="14"/>
        <v>0</v>
      </c>
      <c r="K88" s="44">
        <f t="shared" si="15"/>
        <v>0</v>
      </c>
      <c r="L88" s="45">
        <f t="shared" si="16"/>
        <v>0</v>
      </c>
      <c r="M88" s="45">
        <f t="shared" si="17"/>
        <v>0</v>
      </c>
      <c r="N88" s="45">
        <f t="shared" si="18"/>
        <v>0</v>
      </c>
      <c r="O88" s="46">
        <f t="shared" si="19"/>
        <v>0</v>
      </c>
      <c r="P88" s="47">
        <f t="shared" si="20"/>
        <v>300</v>
      </c>
      <c r="Q88" s="42">
        <v>259200</v>
      </c>
      <c r="R88" s="48">
        <f t="shared" si="21"/>
        <v>0</v>
      </c>
      <c r="S88" s="49"/>
      <c r="U88" s="112"/>
    </row>
    <row r="89" spans="1:21" outlineLevel="2" x14ac:dyDescent="0.3">
      <c r="A89" s="40" t="str">
        <f>VLOOKUP(B89,Grupos!$A$2:$B$619,2,FALSE)</f>
        <v>EXCEDENTES INDUSTRIALES</v>
      </c>
      <c r="B89" s="41" t="s">
        <v>718</v>
      </c>
      <c r="C89" s="41" t="s">
        <v>719</v>
      </c>
      <c r="D89" s="42">
        <v>548.04999999999995</v>
      </c>
      <c r="E89" s="43">
        <v>0</v>
      </c>
      <c r="F89" s="43">
        <v>0</v>
      </c>
      <c r="G89" s="126">
        <f t="shared" si="11"/>
        <v>0</v>
      </c>
      <c r="H89" s="127">
        <f t="shared" si="12"/>
        <v>0</v>
      </c>
      <c r="I89" s="128">
        <f t="shared" si="13"/>
        <v>0</v>
      </c>
      <c r="J89" s="128">
        <f t="shared" si="14"/>
        <v>0</v>
      </c>
      <c r="K89" s="44">
        <f t="shared" si="15"/>
        <v>0</v>
      </c>
      <c r="L89" s="45">
        <f t="shared" si="16"/>
        <v>0</v>
      </c>
      <c r="M89" s="45">
        <f t="shared" si="17"/>
        <v>0</v>
      </c>
      <c r="N89" s="45">
        <f t="shared" si="18"/>
        <v>0</v>
      </c>
      <c r="O89" s="46">
        <f t="shared" si="19"/>
        <v>0</v>
      </c>
      <c r="P89" s="47">
        <f t="shared" si="20"/>
        <v>500.00000000000006</v>
      </c>
      <c r="Q89" s="42">
        <v>274025</v>
      </c>
      <c r="R89" s="48">
        <f t="shared" si="21"/>
        <v>0</v>
      </c>
      <c r="S89" s="49"/>
      <c r="U89" s="112"/>
    </row>
    <row r="90" spans="1:21" outlineLevel="2" x14ac:dyDescent="0.3">
      <c r="A90" s="40" t="str">
        <f>VLOOKUP(B90,Grupos!$A$2:$B$619,2,FALSE)</f>
        <v>EXCEDENTES INDUSTRIALES</v>
      </c>
      <c r="B90" s="41" t="s">
        <v>678</v>
      </c>
      <c r="C90" s="41" t="s">
        <v>679</v>
      </c>
      <c r="D90" s="42">
        <v>112</v>
      </c>
      <c r="E90" s="43">
        <v>0</v>
      </c>
      <c r="F90" s="43">
        <v>0</v>
      </c>
      <c r="G90" s="126">
        <f t="shared" si="11"/>
        <v>0</v>
      </c>
      <c r="H90" s="127">
        <f t="shared" si="12"/>
        <v>0</v>
      </c>
      <c r="I90" s="128">
        <f t="shared" si="13"/>
        <v>0</v>
      </c>
      <c r="J90" s="128">
        <f t="shared" si="14"/>
        <v>0</v>
      </c>
      <c r="K90" s="44">
        <f t="shared" si="15"/>
        <v>0</v>
      </c>
      <c r="L90" s="45">
        <f t="shared" si="16"/>
        <v>0</v>
      </c>
      <c r="M90" s="45">
        <f t="shared" si="17"/>
        <v>0</v>
      </c>
      <c r="N90" s="45">
        <f t="shared" si="18"/>
        <v>0</v>
      </c>
      <c r="O90" s="46">
        <f t="shared" si="19"/>
        <v>0</v>
      </c>
      <c r="P90" s="47">
        <f t="shared" si="20"/>
        <v>500</v>
      </c>
      <c r="Q90" s="42">
        <v>56000</v>
      </c>
      <c r="R90" s="48">
        <f t="shared" si="21"/>
        <v>0</v>
      </c>
      <c r="S90" s="49"/>
      <c r="U90" s="112"/>
    </row>
    <row r="91" spans="1:21" outlineLevel="2" x14ac:dyDescent="0.3">
      <c r="A91" s="40" t="str">
        <f>VLOOKUP(B91,Grupos!$A$2:$B$619,2,FALSE)</f>
        <v>EXCEDENTES INDUSTRIALES</v>
      </c>
      <c r="B91" s="41" t="s">
        <v>680</v>
      </c>
      <c r="C91" s="41" t="s">
        <v>681</v>
      </c>
      <c r="D91" s="42">
        <v>67</v>
      </c>
      <c r="E91" s="43">
        <v>0</v>
      </c>
      <c r="F91" s="43">
        <v>0</v>
      </c>
      <c r="G91" s="126">
        <f t="shared" si="11"/>
        <v>0</v>
      </c>
      <c r="H91" s="127">
        <f t="shared" si="12"/>
        <v>0</v>
      </c>
      <c r="I91" s="128">
        <f t="shared" si="13"/>
        <v>0</v>
      </c>
      <c r="J91" s="128">
        <f t="shared" si="14"/>
        <v>0</v>
      </c>
      <c r="K91" s="44">
        <f t="shared" si="15"/>
        <v>0</v>
      </c>
      <c r="L91" s="45">
        <f t="shared" si="16"/>
        <v>0</v>
      </c>
      <c r="M91" s="45">
        <f t="shared" si="17"/>
        <v>0</v>
      </c>
      <c r="N91" s="45">
        <f t="shared" si="18"/>
        <v>0</v>
      </c>
      <c r="O91" s="46">
        <f t="shared" si="19"/>
        <v>0</v>
      </c>
      <c r="P91" s="47">
        <f t="shared" si="20"/>
        <v>1000</v>
      </c>
      <c r="Q91" s="42">
        <v>67000</v>
      </c>
      <c r="R91" s="48">
        <f t="shared" si="21"/>
        <v>0</v>
      </c>
      <c r="S91" s="49"/>
      <c r="U91" s="112"/>
    </row>
    <row r="92" spans="1:21" outlineLevel="2" x14ac:dyDescent="0.3">
      <c r="A92" s="40" t="str">
        <f>VLOOKUP(B92,Grupos!$A$2:$B$619,2,FALSE)</f>
        <v>EXCEDENTES INDUSTRIALES</v>
      </c>
      <c r="B92" s="41" t="s">
        <v>722</v>
      </c>
      <c r="C92" s="41" t="s">
        <v>723</v>
      </c>
      <c r="D92" s="42">
        <v>292.5</v>
      </c>
      <c r="E92" s="43">
        <v>0</v>
      </c>
      <c r="F92" s="43">
        <v>0</v>
      </c>
      <c r="G92" s="126">
        <f t="shared" si="11"/>
        <v>0</v>
      </c>
      <c r="H92" s="127">
        <f t="shared" si="12"/>
        <v>0</v>
      </c>
      <c r="I92" s="128">
        <f t="shared" si="13"/>
        <v>0</v>
      </c>
      <c r="J92" s="128">
        <f t="shared" si="14"/>
        <v>0</v>
      </c>
      <c r="K92" s="44">
        <f t="shared" si="15"/>
        <v>0</v>
      </c>
      <c r="L92" s="45">
        <f t="shared" si="16"/>
        <v>0</v>
      </c>
      <c r="M92" s="45">
        <f t="shared" si="17"/>
        <v>0</v>
      </c>
      <c r="N92" s="45">
        <f t="shared" si="18"/>
        <v>0</v>
      </c>
      <c r="O92" s="46">
        <f t="shared" si="19"/>
        <v>0</v>
      </c>
      <c r="P92" s="47">
        <f t="shared" si="20"/>
        <v>250</v>
      </c>
      <c r="Q92" s="42">
        <v>73125</v>
      </c>
      <c r="R92" s="48">
        <f t="shared" si="21"/>
        <v>0</v>
      </c>
      <c r="S92" s="49"/>
      <c r="U92" s="112"/>
    </row>
    <row r="93" spans="1:21" outlineLevel="2" x14ac:dyDescent="0.3">
      <c r="A93" s="40" t="str">
        <f>VLOOKUP(B93,Grupos!$A$2:$B$619,2,FALSE)</f>
        <v>EXCEDENTES INDUSTRIALES</v>
      </c>
      <c r="B93" s="41" t="s">
        <v>724</v>
      </c>
      <c r="C93" s="41" t="s">
        <v>725</v>
      </c>
      <c r="D93" s="42">
        <v>252.6</v>
      </c>
      <c r="E93" s="43">
        <v>0</v>
      </c>
      <c r="F93" s="43">
        <v>0</v>
      </c>
      <c r="G93" s="126">
        <f t="shared" si="11"/>
        <v>0</v>
      </c>
      <c r="H93" s="127">
        <f t="shared" si="12"/>
        <v>0</v>
      </c>
      <c r="I93" s="128">
        <f t="shared" si="13"/>
        <v>0</v>
      </c>
      <c r="J93" s="128">
        <f t="shared" si="14"/>
        <v>0</v>
      </c>
      <c r="K93" s="44">
        <f t="shared" si="15"/>
        <v>0</v>
      </c>
      <c r="L93" s="45">
        <f t="shared" si="16"/>
        <v>0</v>
      </c>
      <c r="M93" s="45">
        <f t="shared" si="17"/>
        <v>0</v>
      </c>
      <c r="N93" s="45">
        <f t="shared" si="18"/>
        <v>0</v>
      </c>
      <c r="O93" s="46">
        <f t="shared" si="19"/>
        <v>0</v>
      </c>
      <c r="P93" s="47">
        <f t="shared" si="20"/>
        <v>250</v>
      </c>
      <c r="Q93" s="42">
        <v>63150</v>
      </c>
      <c r="R93" s="48">
        <f t="shared" si="21"/>
        <v>0</v>
      </c>
      <c r="S93" s="49"/>
      <c r="U93" s="112"/>
    </row>
    <row r="94" spans="1:21" outlineLevel="2" x14ac:dyDescent="0.3">
      <c r="A94" s="40" t="str">
        <f>VLOOKUP(B94,Grupos!$A$2:$B$619,2,FALSE)</f>
        <v>EXCEDENTES INDUSTRIALES</v>
      </c>
      <c r="B94" s="41" t="s">
        <v>741</v>
      </c>
      <c r="C94" s="41" t="s">
        <v>742</v>
      </c>
      <c r="D94" s="42">
        <v>156.85</v>
      </c>
      <c r="E94" s="43">
        <v>0</v>
      </c>
      <c r="F94" s="43">
        <v>0</v>
      </c>
      <c r="G94" s="126">
        <f t="shared" si="11"/>
        <v>0</v>
      </c>
      <c r="H94" s="127">
        <f t="shared" si="12"/>
        <v>0</v>
      </c>
      <c r="I94" s="128">
        <f t="shared" si="13"/>
        <v>0</v>
      </c>
      <c r="J94" s="128">
        <f t="shared" si="14"/>
        <v>0</v>
      </c>
      <c r="K94" s="44">
        <f t="shared" si="15"/>
        <v>0</v>
      </c>
      <c r="L94" s="45">
        <f t="shared" si="16"/>
        <v>0</v>
      </c>
      <c r="M94" s="45">
        <f t="shared" si="17"/>
        <v>0</v>
      </c>
      <c r="N94" s="45">
        <f t="shared" si="18"/>
        <v>0</v>
      </c>
      <c r="O94" s="46">
        <f t="shared" si="19"/>
        <v>0</v>
      </c>
      <c r="P94" s="47">
        <f t="shared" si="20"/>
        <v>500</v>
      </c>
      <c r="Q94" s="42">
        <v>78425</v>
      </c>
      <c r="R94" s="48">
        <f t="shared" si="21"/>
        <v>0</v>
      </c>
      <c r="S94" s="49"/>
      <c r="U94" s="112"/>
    </row>
    <row r="95" spans="1:21" outlineLevel="2" x14ac:dyDescent="0.3">
      <c r="A95" s="40" t="str">
        <f>VLOOKUP(B95,Grupos!$A$2:$B$619,2,FALSE)</f>
        <v>EXCEDENTES INDUSTRIALES</v>
      </c>
      <c r="B95" s="41" t="s">
        <v>478</v>
      </c>
      <c r="C95" s="41" t="s">
        <v>479</v>
      </c>
      <c r="D95" s="42">
        <v>909</v>
      </c>
      <c r="E95" s="43">
        <v>0</v>
      </c>
      <c r="F95" s="43">
        <v>0</v>
      </c>
      <c r="G95" s="126">
        <f t="shared" si="11"/>
        <v>0</v>
      </c>
      <c r="H95" s="127">
        <f t="shared" si="12"/>
        <v>0</v>
      </c>
      <c r="I95" s="128">
        <f t="shared" si="13"/>
        <v>0</v>
      </c>
      <c r="J95" s="128">
        <f t="shared" si="14"/>
        <v>0</v>
      </c>
      <c r="K95" s="44">
        <f t="shared" si="15"/>
        <v>0</v>
      </c>
      <c r="L95" s="45">
        <f t="shared" si="16"/>
        <v>0</v>
      </c>
      <c r="M95" s="45">
        <f t="shared" si="17"/>
        <v>0</v>
      </c>
      <c r="N95" s="45">
        <f t="shared" si="18"/>
        <v>0</v>
      </c>
      <c r="O95" s="46">
        <f t="shared" si="19"/>
        <v>0</v>
      </c>
      <c r="P95" s="47">
        <f t="shared" si="20"/>
        <v>220</v>
      </c>
      <c r="Q95" s="42">
        <v>199980</v>
      </c>
      <c r="R95" s="48">
        <f t="shared" si="21"/>
        <v>0</v>
      </c>
      <c r="S95" s="49"/>
      <c r="U95" s="112"/>
    </row>
    <row r="96" spans="1:21" s="93" customFormat="1" outlineLevel="1" x14ac:dyDescent="0.3">
      <c r="A96" s="50" t="s">
        <v>1025</v>
      </c>
      <c r="B96" s="129"/>
      <c r="C96" s="129"/>
      <c r="D96" s="51">
        <f>SUBTOTAL(9,D86:D95)</f>
        <v>3305.6499999999996</v>
      </c>
      <c r="E96" s="52"/>
      <c r="F96" s="52"/>
      <c r="G96" s="130"/>
      <c r="H96" s="131">
        <f>SUBTOTAL(9,H86:H95)</f>
        <v>0</v>
      </c>
      <c r="I96" s="146">
        <f>SUBTOTAL(9,I86:I95)</f>
        <v>0</v>
      </c>
      <c r="J96" s="146">
        <f>SUBTOTAL(9,J86:J95)</f>
        <v>0</v>
      </c>
      <c r="K96" s="53"/>
      <c r="L96" s="54"/>
      <c r="M96" s="54"/>
      <c r="N96" s="54"/>
      <c r="O96" s="55">
        <f>SUBTOTAL(9,O86:O95)</f>
        <v>0</v>
      </c>
      <c r="P96" s="56"/>
      <c r="Q96" s="51">
        <f>SUBTOTAL(9,Q86:Q95)</f>
        <v>1143080</v>
      </c>
      <c r="R96" s="57">
        <f>O96/Q96</f>
        <v>0</v>
      </c>
      <c r="S96" s="58">
        <f>Q96/$Q$293</f>
        <v>3.4822225790055727E-4</v>
      </c>
      <c r="U96" s="147"/>
    </row>
    <row r="97" spans="1:21" outlineLevel="2" x14ac:dyDescent="0.3">
      <c r="A97" s="40" t="str">
        <f>VLOOKUP(B97,Grupos!$A$2:$B$619,2,FALSE)</f>
        <v>INTERIORES</v>
      </c>
      <c r="B97" s="41" t="s">
        <v>633</v>
      </c>
      <c r="C97" s="41" t="s">
        <v>634</v>
      </c>
      <c r="D97" s="42">
        <v>2</v>
      </c>
      <c r="E97" s="43">
        <v>15453.34</v>
      </c>
      <c r="F97" s="43">
        <v>935.42</v>
      </c>
      <c r="G97" s="126">
        <f t="shared" si="11"/>
        <v>16388.759999999998</v>
      </c>
      <c r="H97" s="127">
        <f t="shared" si="12"/>
        <v>30906.68</v>
      </c>
      <c r="I97" s="128">
        <f t="shared" si="13"/>
        <v>1870.84</v>
      </c>
      <c r="J97" s="128">
        <f t="shared" si="14"/>
        <v>32777.519999999997</v>
      </c>
      <c r="K97" s="44">
        <f t="shared" si="15"/>
        <v>2.4626320485848747E-5</v>
      </c>
      <c r="L97" s="45">
        <f t="shared" si="16"/>
        <v>3185.4013000969289</v>
      </c>
      <c r="M97" s="45">
        <f t="shared" si="17"/>
        <v>5023.5136544266043</v>
      </c>
      <c r="N97" s="45">
        <f t="shared" si="18"/>
        <v>24597.674954523529</v>
      </c>
      <c r="O97" s="46">
        <f t="shared" si="19"/>
        <v>49195.349909047058</v>
      </c>
      <c r="P97" s="47">
        <f t="shared" si="20"/>
        <v>64828</v>
      </c>
      <c r="Q97" s="42">
        <v>129656</v>
      </c>
      <c r="R97" s="48">
        <f t="shared" si="21"/>
        <v>0.37942979815085348</v>
      </c>
      <c r="S97" s="49"/>
      <c r="U97" s="112"/>
    </row>
    <row r="98" spans="1:21" outlineLevel="2" x14ac:dyDescent="0.3">
      <c r="A98" s="40" t="str">
        <f>VLOOKUP(B98,Grupos!$A$2:$B$619,2,FALSE)</f>
        <v>INTERIORES</v>
      </c>
      <c r="B98" s="41" t="s">
        <v>684</v>
      </c>
      <c r="C98" s="41" t="s">
        <v>685</v>
      </c>
      <c r="D98" s="42">
        <v>8</v>
      </c>
      <c r="E98" s="43">
        <v>21969.01</v>
      </c>
      <c r="F98" s="43">
        <v>1049.78</v>
      </c>
      <c r="G98" s="126">
        <f t="shared" si="11"/>
        <v>23018.789999999997</v>
      </c>
      <c r="H98" s="127">
        <f t="shared" si="12"/>
        <v>175752.08</v>
      </c>
      <c r="I98" s="128">
        <f t="shared" si="13"/>
        <v>8398.24</v>
      </c>
      <c r="J98" s="128">
        <f t="shared" si="14"/>
        <v>184150.31999999998</v>
      </c>
      <c r="K98" s="44">
        <f t="shared" si="15"/>
        <v>1.3835533615391286E-4</v>
      </c>
      <c r="L98" s="45">
        <f t="shared" si="16"/>
        <v>4474.0470659560688</v>
      </c>
      <c r="M98" s="45">
        <f t="shared" si="17"/>
        <v>5637.6645401466303</v>
      </c>
      <c r="N98" s="45">
        <f t="shared" si="18"/>
        <v>33130.501606102698</v>
      </c>
      <c r="O98" s="46">
        <f t="shared" si="19"/>
        <v>265044.01284882159</v>
      </c>
      <c r="P98" s="47">
        <f t="shared" si="20"/>
        <v>83220</v>
      </c>
      <c r="Q98" s="42">
        <v>665760</v>
      </c>
      <c r="R98" s="48">
        <f t="shared" si="21"/>
        <v>0.39810744539897497</v>
      </c>
      <c r="S98" s="49"/>
      <c r="U98" s="112"/>
    </row>
    <row r="99" spans="1:21" outlineLevel="2" x14ac:dyDescent="0.3">
      <c r="A99" s="40" t="str">
        <f>VLOOKUP(B99,Grupos!$A$2:$B$619,2,FALSE)</f>
        <v>INTERIORES</v>
      </c>
      <c r="B99" s="41" t="s">
        <v>635</v>
      </c>
      <c r="C99" s="41" t="s">
        <v>636</v>
      </c>
      <c r="D99" s="42">
        <v>2</v>
      </c>
      <c r="E99" s="43">
        <v>39787.730000000003</v>
      </c>
      <c r="F99" s="43">
        <v>2660.46</v>
      </c>
      <c r="G99" s="126">
        <f t="shared" si="11"/>
        <v>42448.19</v>
      </c>
      <c r="H99" s="127">
        <f t="shared" si="12"/>
        <v>79575.460000000006</v>
      </c>
      <c r="I99" s="128">
        <f t="shared" si="13"/>
        <v>5320.92</v>
      </c>
      <c r="J99" s="128">
        <f t="shared" si="14"/>
        <v>84896.38</v>
      </c>
      <c r="K99" s="44">
        <f t="shared" si="15"/>
        <v>6.3784125887754781E-5</v>
      </c>
      <c r="L99" s="45">
        <f t="shared" si="16"/>
        <v>8250.4423527320832</v>
      </c>
      <c r="M99" s="45">
        <f t="shared" si="17"/>
        <v>14287.546916952604</v>
      </c>
      <c r="N99" s="45">
        <f t="shared" si="18"/>
        <v>64986.17926968469</v>
      </c>
      <c r="O99" s="46">
        <f t="shared" si="19"/>
        <v>129972.35853936938</v>
      </c>
      <c r="P99" s="47">
        <f t="shared" si="20"/>
        <v>143963</v>
      </c>
      <c r="Q99" s="42">
        <v>287926</v>
      </c>
      <c r="R99" s="48">
        <f t="shared" si="21"/>
        <v>0.45140889860370159</v>
      </c>
      <c r="S99" s="49"/>
      <c r="U99" s="112"/>
    </row>
    <row r="100" spans="1:21" outlineLevel="2" x14ac:dyDescent="0.3">
      <c r="A100" s="40" t="str">
        <f>VLOOKUP(B100,Grupos!$A$2:$B$619,2,FALSE)</f>
        <v>INTERIORES</v>
      </c>
      <c r="B100" s="41" t="s">
        <v>637</v>
      </c>
      <c r="C100" s="41" t="s">
        <v>638</v>
      </c>
      <c r="D100" s="42">
        <v>3</v>
      </c>
      <c r="E100" s="43">
        <v>49797.97</v>
      </c>
      <c r="F100" s="43">
        <v>2108.1999999999998</v>
      </c>
      <c r="G100" s="126">
        <f t="shared" si="11"/>
        <v>51906.17</v>
      </c>
      <c r="H100" s="127">
        <f t="shared" si="12"/>
        <v>149393.91</v>
      </c>
      <c r="I100" s="128">
        <f t="shared" si="13"/>
        <v>6324.5999999999995</v>
      </c>
      <c r="J100" s="128">
        <f t="shared" si="14"/>
        <v>155718.51</v>
      </c>
      <c r="K100" s="44">
        <f t="shared" si="15"/>
        <v>1.1699402312434997E-4</v>
      </c>
      <c r="L100" s="45">
        <f t="shared" si="16"/>
        <v>10088.742613904422</v>
      </c>
      <c r="M100" s="45">
        <f t="shared" si="17"/>
        <v>11321.728727483021</v>
      </c>
      <c r="N100" s="45">
        <f t="shared" si="18"/>
        <v>73316.64134138744</v>
      </c>
      <c r="O100" s="46">
        <f t="shared" si="19"/>
        <v>219949.92402416232</v>
      </c>
      <c r="P100" s="47">
        <f t="shared" si="20"/>
        <v>183999.99666666667</v>
      </c>
      <c r="Q100" s="42">
        <v>551999.99</v>
      </c>
      <c r="R100" s="48">
        <f t="shared" si="21"/>
        <v>0.39846001450862767</v>
      </c>
      <c r="S100" s="49"/>
      <c r="U100" s="112"/>
    </row>
    <row r="101" spans="1:21" outlineLevel="2" x14ac:dyDescent="0.3">
      <c r="A101" s="40" t="str">
        <f>VLOOKUP(B101,Grupos!$A$2:$B$619,2,FALSE)</f>
        <v>INTERIORES</v>
      </c>
      <c r="B101" s="41" t="s">
        <v>639</v>
      </c>
      <c r="C101" s="41" t="s">
        <v>640</v>
      </c>
      <c r="D101" s="42">
        <v>34</v>
      </c>
      <c r="E101" s="43">
        <v>25206.92</v>
      </c>
      <c r="F101" s="43">
        <v>1511.1</v>
      </c>
      <c r="G101" s="126">
        <f t="shared" si="11"/>
        <v>26718.019999999997</v>
      </c>
      <c r="H101" s="127">
        <f t="shared" si="12"/>
        <v>857035.27999999991</v>
      </c>
      <c r="I101" s="128">
        <f t="shared" si="13"/>
        <v>51377.399999999994</v>
      </c>
      <c r="J101" s="128">
        <f t="shared" si="14"/>
        <v>908412.67999999993</v>
      </c>
      <c r="K101" s="44">
        <f t="shared" si="15"/>
        <v>6.8250623570937524E-4</v>
      </c>
      <c r="L101" s="45">
        <f t="shared" si="16"/>
        <v>5193.0478964861122</v>
      </c>
      <c r="M101" s="45">
        <f t="shared" si="17"/>
        <v>8115.1049616258388</v>
      </c>
      <c r="N101" s="45">
        <f t="shared" si="18"/>
        <v>40026.172858111946</v>
      </c>
      <c r="O101" s="46">
        <f t="shared" si="19"/>
        <v>1360889.8771758061</v>
      </c>
      <c r="P101" s="47">
        <f t="shared" si="20"/>
        <v>98693.088235294112</v>
      </c>
      <c r="Q101" s="42">
        <v>3355565</v>
      </c>
      <c r="R101" s="48">
        <f t="shared" si="21"/>
        <v>0.40556206694723723</v>
      </c>
      <c r="S101" s="49"/>
      <c r="U101" s="112"/>
    </row>
    <row r="102" spans="1:21" outlineLevel="2" x14ac:dyDescent="0.3">
      <c r="A102" s="40" t="str">
        <f>VLOOKUP(B102,Grupos!$A$2:$B$619,2,FALSE)</f>
        <v>INTERIORES</v>
      </c>
      <c r="B102" s="41" t="s">
        <v>147</v>
      </c>
      <c r="C102" s="41" t="s">
        <v>148</v>
      </c>
      <c r="D102" s="42">
        <v>13</v>
      </c>
      <c r="E102" s="43">
        <v>37165.5</v>
      </c>
      <c r="F102" s="43">
        <v>2067.14</v>
      </c>
      <c r="G102" s="126">
        <f t="shared" si="11"/>
        <v>39232.639999999999</v>
      </c>
      <c r="H102" s="127">
        <f t="shared" si="12"/>
        <v>483151.5</v>
      </c>
      <c r="I102" s="128">
        <f t="shared" si="13"/>
        <v>26872.82</v>
      </c>
      <c r="J102" s="128">
        <f t="shared" si="14"/>
        <v>510024.32</v>
      </c>
      <c r="K102" s="44">
        <f t="shared" si="15"/>
        <v>3.8319013640742431E-4</v>
      </c>
      <c r="L102" s="45">
        <f t="shared" si="16"/>
        <v>7625.4519843011176</v>
      </c>
      <c r="M102" s="45">
        <f t="shared" si="17"/>
        <v>11101.22299674094</v>
      </c>
      <c r="N102" s="45">
        <f t="shared" si="18"/>
        <v>57959.314981042058</v>
      </c>
      <c r="O102" s="46">
        <f t="shared" si="19"/>
        <v>753471.09475354676</v>
      </c>
      <c r="P102" s="47">
        <f t="shared" si="20"/>
        <v>119072.99846153846</v>
      </c>
      <c r="Q102" s="42">
        <v>1547948.98</v>
      </c>
      <c r="R102" s="48">
        <f t="shared" si="21"/>
        <v>0.48675447607681926</v>
      </c>
      <c r="S102" s="49"/>
      <c r="U102" s="112"/>
    </row>
    <row r="103" spans="1:21" outlineLevel="2" x14ac:dyDescent="0.3">
      <c r="A103" s="40" t="str">
        <f>VLOOKUP(B103,Grupos!$A$2:$B$619,2,FALSE)</f>
        <v>INTERIORES</v>
      </c>
      <c r="B103" s="41" t="s">
        <v>743</v>
      </c>
      <c r="C103" s="41" t="s">
        <v>744</v>
      </c>
      <c r="D103" s="42">
        <v>2</v>
      </c>
      <c r="E103" s="43">
        <v>30107.38</v>
      </c>
      <c r="F103" s="43">
        <v>1595.87</v>
      </c>
      <c r="G103" s="126">
        <f t="shared" si="11"/>
        <v>31703.25</v>
      </c>
      <c r="H103" s="127">
        <f t="shared" si="12"/>
        <v>60214.76</v>
      </c>
      <c r="I103" s="128">
        <f t="shared" si="13"/>
        <v>3191.74</v>
      </c>
      <c r="J103" s="128">
        <f t="shared" si="14"/>
        <v>63406.5</v>
      </c>
      <c r="K103" s="44">
        <f t="shared" si="15"/>
        <v>4.7638405525676401E-5</v>
      </c>
      <c r="L103" s="45">
        <f t="shared" si="16"/>
        <v>6162.002114089044</v>
      </c>
      <c r="M103" s="45">
        <f t="shared" si="17"/>
        <v>8570.3477963800051</v>
      </c>
      <c r="N103" s="45">
        <f t="shared" si="18"/>
        <v>46435.599910469049</v>
      </c>
      <c r="O103" s="46">
        <f t="shared" si="19"/>
        <v>92871.199820938098</v>
      </c>
      <c r="P103" s="47">
        <f t="shared" si="20"/>
        <v>109472</v>
      </c>
      <c r="Q103" s="42">
        <v>218944</v>
      </c>
      <c r="R103" s="48">
        <f t="shared" si="21"/>
        <v>0.42417787114941763</v>
      </c>
      <c r="S103" s="49"/>
      <c r="U103" s="112"/>
    </row>
    <row r="104" spans="1:21" outlineLevel="2" x14ac:dyDescent="0.3">
      <c r="A104" s="40" t="str">
        <f>VLOOKUP(B104,Grupos!$A$2:$B$619,2,FALSE)</f>
        <v>INTERIORES</v>
      </c>
      <c r="B104" s="41" t="s">
        <v>1001</v>
      </c>
      <c r="C104" s="41" t="s">
        <v>1002</v>
      </c>
      <c r="D104" s="42">
        <v>7</v>
      </c>
      <c r="E104" s="43">
        <v>12022</v>
      </c>
      <c r="F104" s="43">
        <v>2049.66</v>
      </c>
      <c r="G104" s="126">
        <f t="shared" si="11"/>
        <v>14071.66</v>
      </c>
      <c r="H104" s="127">
        <f t="shared" si="12"/>
        <v>84154</v>
      </c>
      <c r="I104" s="128">
        <f t="shared" si="13"/>
        <v>14347.619999999999</v>
      </c>
      <c r="J104" s="128">
        <f t="shared" si="14"/>
        <v>98501.62</v>
      </c>
      <c r="K104" s="44">
        <f t="shared" si="15"/>
        <v>7.4005979173997561E-5</v>
      </c>
      <c r="L104" s="45">
        <f t="shared" si="16"/>
        <v>2735.0381638709669</v>
      </c>
      <c r="M104" s="45">
        <f t="shared" si="17"/>
        <v>11007.34963645425</v>
      </c>
      <c r="N104" s="45">
        <f t="shared" si="18"/>
        <v>27814.047800325214</v>
      </c>
      <c r="O104" s="46">
        <f t="shared" si="19"/>
        <v>194698.3346022765</v>
      </c>
      <c r="P104" s="47">
        <f t="shared" si="20"/>
        <v>102008.00714285715</v>
      </c>
      <c r="Q104" s="42">
        <v>714056.05</v>
      </c>
      <c r="R104" s="48">
        <f t="shared" si="21"/>
        <v>0.27266533852948449</v>
      </c>
      <c r="S104" s="49"/>
      <c r="U104" s="112"/>
    </row>
    <row r="105" spans="1:21" outlineLevel="2" x14ac:dyDescent="0.3">
      <c r="A105" s="40" t="str">
        <f>VLOOKUP(B105,Grupos!$A$2:$B$619,2,FALSE)</f>
        <v>INTERIORES</v>
      </c>
      <c r="B105" s="41" t="s">
        <v>149</v>
      </c>
      <c r="C105" s="41" t="s">
        <v>150</v>
      </c>
      <c r="D105" s="42">
        <v>1</v>
      </c>
      <c r="E105" s="43">
        <v>49135.39</v>
      </c>
      <c r="F105" s="43">
        <v>2558.08</v>
      </c>
      <c r="G105" s="126">
        <f t="shared" si="11"/>
        <v>51693.47</v>
      </c>
      <c r="H105" s="127">
        <f t="shared" si="12"/>
        <v>49135.39</v>
      </c>
      <c r="I105" s="128">
        <f t="shared" si="13"/>
        <v>2558.08</v>
      </c>
      <c r="J105" s="128">
        <f t="shared" si="14"/>
        <v>51693.47</v>
      </c>
      <c r="K105" s="44">
        <f t="shared" si="15"/>
        <v>3.8838202501153463E-5</v>
      </c>
      <c r="L105" s="45">
        <f t="shared" si="16"/>
        <v>10047.401178888555</v>
      </c>
      <c r="M105" s="45">
        <f t="shared" si="17"/>
        <v>13737.732579072084</v>
      </c>
      <c r="N105" s="45">
        <f t="shared" si="18"/>
        <v>75478.603757960635</v>
      </c>
      <c r="O105" s="46">
        <f t="shared" si="19"/>
        <v>75478.603757960635</v>
      </c>
      <c r="P105" s="47">
        <f t="shared" si="20"/>
        <v>178059.51</v>
      </c>
      <c r="Q105" s="42">
        <v>178059.51</v>
      </c>
      <c r="R105" s="48">
        <f t="shared" si="21"/>
        <v>0.42389538058349496</v>
      </c>
      <c r="S105" s="49"/>
      <c r="U105" s="112"/>
    </row>
    <row r="106" spans="1:21" outlineLevel="2" x14ac:dyDescent="0.3">
      <c r="A106" s="40" t="str">
        <f>VLOOKUP(B106,Grupos!$A$2:$B$619,2,FALSE)</f>
        <v>INTERIORES</v>
      </c>
      <c r="B106" s="41" t="s">
        <v>688</v>
      </c>
      <c r="C106" s="41" t="s">
        <v>689</v>
      </c>
      <c r="D106" s="42">
        <v>2</v>
      </c>
      <c r="E106" s="43">
        <v>61058.559999999998</v>
      </c>
      <c r="F106" s="43">
        <v>2754.57</v>
      </c>
      <c r="G106" s="126">
        <f t="shared" si="11"/>
        <v>63813.13</v>
      </c>
      <c r="H106" s="127">
        <f t="shared" si="12"/>
        <v>122117.12</v>
      </c>
      <c r="I106" s="128">
        <f t="shared" si="13"/>
        <v>5509.14</v>
      </c>
      <c r="J106" s="128">
        <f t="shared" si="14"/>
        <v>127626.26</v>
      </c>
      <c r="K106" s="44">
        <f t="shared" si="15"/>
        <v>9.5887827424718475E-5</v>
      </c>
      <c r="L106" s="45">
        <f t="shared" si="16"/>
        <v>12403.03886720254</v>
      </c>
      <c r="M106" s="45">
        <f t="shared" si="17"/>
        <v>14792.948629571629</v>
      </c>
      <c r="N106" s="45">
        <f t="shared" si="18"/>
        <v>91009.117496774168</v>
      </c>
      <c r="O106" s="46">
        <f t="shared" si="19"/>
        <v>182018.23499354834</v>
      </c>
      <c r="P106" s="47">
        <f t="shared" si="20"/>
        <v>182400</v>
      </c>
      <c r="Q106" s="42">
        <v>364800</v>
      </c>
      <c r="R106" s="48">
        <f t="shared" si="21"/>
        <v>0.49895349504810399</v>
      </c>
      <c r="S106" s="49"/>
      <c r="U106" s="112"/>
    </row>
    <row r="107" spans="1:21" outlineLevel="2" x14ac:dyDescent="0.3">
      <c r="A107" s="40" t="str">
        <f>VLOOKUP(B107,Grupos!$A$2:$B$619,2,FALSE)</f>
        <v>INTERIORES</v>
      </c>
      <c r="B107" s="41" t="s">
        <v>151</v>
      </c>
      <c r="C107" s="41" t="s">
        <v>152</v>
      </c>
      <c r="D107" s="42">
        <v>6</v>
      </c>
      <c r="E107" s="43">
        <v>73332.86</v>
      </c>
      <c r="F107" s="43">
        <v>3209.09</v>
      </c>
      <c r="G107" s="126">
        <f t="shared" si="11"/>
        <v>76541.95</v>
      </c>
      <c r="H107" s="127">
        <f t="shared" si="12"/>
        <v>439997.16000000003</v>
      </c>
      <c r="I107" s="128">
        <f t="shared" si="13"/>
        <v>19254.54</v>
      </c>
      <c r="J107" s="128">
        <f t="shared" si="14"/>
        <v>459251.69999999995</v>
      </c>
      <c r="K107" s="44">
        <f t="shared" si="15"/>
        <v>3.4504378451667066E-4</v>
      </c>
      <c r="L107" s="45">
        <f t="shared" si="16"/>
        <v>14877.075937529997</v>
      </c>
      <c r="M107" s="45">
        <f t="shared" si="17"/>
        <v>17233.870810207045</v>
      </c>
      <c r="N107" s="45">
        <f t="shared" si="18"/>
        <v>108652.89674773705</v>
      </c>
      <c r="O107" s="46">
        <f t="shared" si="19"/>
        <v>651917.38048642222</v>
      </c>
      <c r="P107" s="47">
        <f t="shared" si="20"/>
        <v>200601.99666666667</v>
      </c>
      <c r="Q107" s="42">
        <v>1203611.98</v>
      </c>
      <c r="R107" s="48">
        <f t="shared" si="21"/>
        <v>0.54163417390247492</v>
      </c>
      <c r="S107" s="49"/>
      <c r="U107" s="112"/>
    </row>
    <row r="108" spans="1:21" outlineLevel="2" x14ac:dyDescent="0.3">
      <c r="A108" s="40" t="str">
        <f>VLOOKUP(B108,Grupos!$A$2:$B$619,2,FALSE)</f>
        <v>INTERIORES</v>
      </c>
      <c r="B108" s="41" t="s">
        <v>153</v>
      </c>
      <c r="C108" s="41" t="s">
        <v>154</v>
      </c>
      <c r="D108" s="42">
        <v>1</v>
      </c>
      <c r="E108" s="43">
        <v>85554.43</v>
      </c>
      <c r="F108" s="43">
        <v>4227.38</v>
      </c>
      <c r="G108" s="126">
        <f t="shared" si="11"/>
        <v>89781.81</v>
      </c>
      <c r="H108" s="127">
        <f t="shared" si="12"/>
        <v>85554.43</v>
      </c>
      <c r="I108" s="128">
        <f t="shared" si="13"/>
        <v>4227.38</v>
      </c>
      <c r="J108" s="128">
        <f t="shared" si="14"/>
        <v>89781.81</v>
      </c>
      <c r="K108" s="44">
        <f t="shared" si="15"/>
        <v>6.7454634360976056E-5</v>
      </c>
      <c r="L108" s="45">
        <f t="shared" si="16"/>
        <v>17450.441296294255</v>
      </c>
      <c r="M108" s="45">
        <f t="shared" si="17"/>
        <v>22702.423673269699</v>
      </c>
      <c r="N108" s="45">
        <f t="shared" si="18"/>
        <v>129934.67496956396</v>
      </c>
      <c r="O108" s="46">
        <f t="shared" si="19"/>
        <v>129934.67496956396</v>
      </c>
      <c r="P108" s="47">
        <f t="shared" si="20"/>
        <v>229577</v>
      </c>
      <c r="Q108" s="42">
        <v>229577</v>
      </c>
      <c r="R108" s="48">
        <f t="shared" si="21"/>
        <v>0.56597426993803368</v>
      </c>
      <c r="S108" s="49"/>
      <c r="U108" s="112"/>
    </row>
    <row r="109" spans="1:21" outlineLevel="2" x14ac:dyDescent="0.3">
      <c r="A109" s="40" t="str">
        <f>VLOOKUP(B109,Grupos!$A$2:$B$619,2,FALSE)</f>
        <v>INTERIORES</v>
      </c>
      <c r="B109" s="41" t="s">
        <v>690</v>
      </c>
      <c r="C109" s="41" t="s">
        <v>691</v>
      </c>
      <c r="D109" s="42">
        <v>2</v>
      </c>
      <c r="E109" s="43">
        <v>11612.16</v>
      </c>
      <c r="F109" s="43">
        <v>891.76</v>
      </c>
      <c r="G109" s="126">
        <f t="shared" si="11"/>
        <v>12503.92</v>
      </c>
      <c r="H109" s="127">
        <f t="shared" si="12"/>
        <v>23224.32</v>
      </c>
      <c r="I109" s="128">
        <f t="shared" si="13"/>
        <v>1783.52</v>
      </c>
      <c r="J109" s="128">
        <f t="shared" si="14"/>
        <v>25007.84</v>
      </c>
      <c r="K109" s="44">
        <f t="shared" si="15"/>
        <v>1.8788824856146155E-5</v>
      </c>
      <c r="L109" s="45">
        <f t="shared" si="16"/>
        <v>2430.3243823393586</v>
      </c>
      <c r="M109" s="45">
        <f t="shared" si="17"/>
        <v>4789.0450668913099</v>
      </c>
      <c r="N109" s="45">
        <f t="shared" si="18"/>
        <v>19723.28944923067</v>
      </c>
      <c r="O109" s="46">
        <f t="shared" si="19"/>
        <v>39446.578898461339</v>
      </c>
      <c r="P109" s="47">
        <f t="shared" si="20"/>
        <v>51642</v>
      </c>
      <c r="Q109" s="42">
        <v>103284</v>
      </c>
      <c r="R109" s="48">
        <f t="shared" si="21"/>
        <v>0.38192342374870591</v>
      </c>
      <c r="S109" s="49"/>
      <c r="U109" s="112"/>
    </row>
    <row r="110" spans="1:21" s="93" customFormat="1" outlineLevel="1" x14ac:dyDescent="0.3">
      <c r="A110" s="50" t="s">
        <v>1026</v>
      </c>
      <c r="B110" s="129"/>
      <c r="C110" s="129"/>
      <c r="D110" s="51">
        <f>SUBTOTAL(9,D97:D109)</f>
        <v>83</v>
      </c>
      <c r="E110" s="52"/>
      <c r="F110" s="52"/>
      <c r="G110" s="130"/>
      <c r="H110" s="131">
        <f>SUBTOTAL(9,H97:H109)</f>
        <v>2640212.09</v>
      </c>
      <c r="I110" s="146">
        <f>SUBTOTAL(9,I97:I109)</f>
        <v>151036.84</v>
      </c>
      <c r="J110" s="146">
        <f>SUBTOTAL(9,J97:J109)</f>
        <v>2791248.93</v>
      </c>
      <c r="K110" s="53"/>
      <c r="L110" s="54"/>
      <c r="M110" s="54"/>
      <c r="N110" s="54"/>
      <c r="O110" s="55">
        <f>SUBTOTAL(9,O97:O109)</f>
        <v>4144887.6247799238</v>
      </c>
      <c r="P110" s="56"/>
      <c r="Q110" s="51">
        <f>SUBTOTAL(9,Q97:Q109)</f>
        <v>9551188.5099999998</v>
      </c>
      <c r="R110" s="57">
        <f>O110/Q110</f>
        <v>0.43396563898202484</v>
      </c>
      <c r="S110" s="58">
        <f>Q110/$Q$293</f>
        <v>2.909626997748241E-3</v>
      </c>
      <c r="U110" s="147"/>
    </row>
    <row r="111" spans="1:21" outlineLevel="2" x14ac:dyDescent="0.3">
      <c r="A111" s="40" t="str">
        <f>VLOOKUP(B111,Grupos!$A$2:$B$619,2,FALSE)</f>
        <v>REGLETAS</v>
      </c>
      <c r="B111" s="41" t="s">
        <v>692</v>
      </c>
      <c r="C111" s="41" t="s">
        <v>693</v>
      </c>
      <c r="D111" s="42">
        <v>12</v>
      </c>
      <c r="E111" s="43">
        <v>4496.18</v>
      </c>
      <c r="F111" s="43">
        <v>453.42</v>
      </c>
      <c r="G111" s="126">
        <f t="shared" si="11"/>
        <v>4949.6000000000004</v>
      </c>
      <c r="H111" s="127">
        <f t="shared" si="12"/>
        <v>53954.16</v>
      </c>
      <c r="I111" s="128">
        <f t="shared" si="13"/>
        <v>5441.04</v>
      </c>
      <c r="J111" s="128">
        <f t="shared" si="14"/>
        <v>59395.200000000004</v>
      </c>
      <c r="K111" s="44">
        <f t="shared" si="15"/>
        <v>4.4624646114809284E-5</v>
      </c>
      <c r="L111" s="45">
        <f t="shared" si="16"/>
        <v>962.02899273402988</v>
      </c>
      <c r="M111" s="45">
        <f t="shared" si="17"/>
        <v>2435.0148181459786</v>
      </c>
      <c r="N111" s="45">
        <f t="shared" si="18"/>
        <v>8346.6438108800085</v>
      </c>
      <c r="O111" s="46">
        <f t="shared" si="19"/>
        <v>100159.72573056011</v>
      </c>
      <c r="P111" s="47">
        <f t="shared" si="20"/>
        <v>30075</v>
      </c>
      <c r="Q111" s="42">
        <v>360900</v>
      </c>
      <c r="R111" s="48">
        <f t="shared" si="21"/>
        <v>0.27752764125951818</v>
      </c>
      <c r="S111" s="49"/>
      <c r="U111" s="112"/>
    </row>
    <row r="112" spans="1:21" outlineLevel="2" x14ac:dyDescent="0.3">
      <c r="A112" s="40" t="str">
        <f>VLOOKUP(B112,Grupos!$A$2:$B$619,2,FALSE)</f>
        <v>REGLETAS</v>
      </c>
      <c r="B112" s="41" t="s">
        <v>641</v>
      </c>
      <c r="C112" s="41" t="s">
        <v>642</v>
      </c>
      <c r="D112" s="42">
        <v>3</v>
      </c>
      <c r="E112" s="43">
        <v>6859.6</v>
      </c>
      <c r="F112" s="43">
        <v>718.26</v>
      </c>
      <c r="G112" s="126">
        <f t="shared" si="11"/>
        <v>7577.8600000000006</v>
      </c>
      <c r="H112" s="127">
        <f t="shared" si="12"/>
        <v>20578.800000000003</v>
      </c>
      <c r="I112" s="128">
        <f t="shared" si="13"/>
        <v>2154.7799999999997</v>
      </c>
      <c r="J112" s="128">
        <f t="shared" si="14"/>
        <v>22733.58</v>
      </c>
      <c r="K112" s="44">
        <f t="shared" si="15"/>
        <v>1.7080133788971264E-5</v>
      </c>
      <c r="L112" s="45">
        <f t="shared" si="16"/>
        <v>1472.8707416517489</v>
      </c>
      <c r="M112" s="45">
        <f t="shared" si="17"/>
        <v>3857.2928924210014</v>
      </c>
      <c r="N112" s="45">
        <f t="shared" si="18"/>
        <v>12908.02363407275</v>
      </c>
      <c r="O112" s="46">
        <f t="shared" si="19"/>
        <v>38724.070902218249</v>
      </c>
      <c r="P112" s="47">
        <f t="shared" si="20"/>
        <v>22983</v>
      </c>
      <c r="Q112" s="42">
        <v>68949</v>
      </c>
      <c r="R112" s="48">
        <f t="shared" si="21"/>
        <v>0.56163353931483051</v>
      </c>
      <c r="S112" s="49"/>
      <c r="U112" s="112"/>
    </row>
    <row r="113" spans="1:21" outlineLevel="2" x14ac:dyDescent="0.3">
      <c r="A113" s="40" t="str">
        <f>VLOOKUP(B113,Grupos!$A$2:$B$619,2,FALSE)</f>
        <v>REGLETAS</v>
      </c>
      <c r="B113" s="41" t="s">
        <v>695</v>
      </c>
      <c r="C113" s="41" t="s">
        <v>643</v>
      </c>
      <c r="D113" s="42">
        <v>12</v>
      </c>
      <c r="E113" s="43">
        <v>1640.13</v>
      </c>
      <c r="F113" s="43">
        <v>467.65</v>
      </c>
      <c r="G113" s="126">
        <f t="shared" si="11"/>
        <v>2107.7800000000002</v>
      </c>
      <c r="H113" s="127">
        <f t="shared" si="12"/>
        <v>19681.560000000001</v>
      </c>
      <c r="I113" s="128">
        <f t="shared" si="13"/>
        <v>5611.7999999999993</v>
      </c>
      <c r="J113" s="128">
        <f t="shared" si="14"/>
        <v>25293.360000000001</v>
      </c>
      <c r="K113" s="44">
        <f t="shared" si="15"/>
        <v>1.9003340994802149E-5</v>
      </c>
      <c r="L113" s="45">
        <f t="shared" si="16"/>
        <v>409.67865490240297</v>
      </c>
      <c r="M113" s="45">
        <f t="shared" si="17"/>
        <v>2511.434607441151</v>
      </c>
      <c r="N113" s="45">
        <f t="shared" si="18"/>
        <v>5028.8932623435539</v>
      </c>
      <c r="O113" s="46">
        <f t="shared" si="19"/>
        <v>60346.719148122647</v>
      </c>
      <c r="P113" s="47">
        <f t="shared" si="20"/>
        <v>36675</v>
      </c>
      <c r="Q113" s="42">
        <v>440100</v>
      </c>
      <c r="R113" s="48">
        <f t="shared" si="21"/>
        <v>0.13712047068421415</v>
      </c>
      <c r="S113" s="49"/>
      <c r="U113" s="112"/>
    </row>
    <row r="114" spans="1:21" s="93" customFormat="1" outlineLevel="1" x14ac:dyDescent="0.3">
      <c r="A114" s="50" t="s">
        <v>1027</v>
      </c>
      <c r="B114" s="129"/>
      <c r="C114" s="129"/>
      <c r="D114" s="51">
        <f>SUBTOTAL(9,D111:D113)</f>
        <v>27</v>
      </c>
      <c r="E114" s="52"/>
      <c r="F114" s="52"/>
      <c r="G114" s="130"/>
      <c r="H114" s="131">
        <f>SUBTOTAL(9,H111:H113)</f>
        <v>94214.52</v>
      </c>
      <c r="I114" s="146">
        <f>SUBTOTAL(9,I111:I113)</f>
        <v>13207.619999999999</v>
      </c>
      <c r="J114" s="146">
        <f>SUBTOTAL(9,J111:J113)</f>
        <v>107422.14</v>
      </c>
      <c r="K114" s="53"/>
      <c r="L114" s="54"/>
      <c r="M114" s="54"/>
      <c r="N114" s="54"/>
      <c r="O114" s="55">
        <f>SUBTOTAL(9,O111:O113)</f>
        <v>199230.51578090101</v>
      </c>
      <c r="P114" s="56"/>
      <c r="Q114" s="51">
        <f>SUBTOTAL(9,Q111:Q113)</f>
        <v>869949</v>
      </c>
      <c r="R114" s="57">
        <f>O114/Q114</f>
        <v>0.22901401781127514</v>
      </c>
      <c r="S114" s="58">
        <f>Q114/$Q$293</f>
        <v>2.6501697609820126E-4</v>
      </c>
      <c r="U114" s="147"/>
    </row>
    <row r="115" spans="1:21" outlineLevel="2" x14ac:dyDescent="0.3">
      <c r="A115" s="40" t="str">
        <f>VLOOKUP(B115,Grupos!$A$2:$B$619,2,FALSE)</f>
        <v>RITEL</v>
      </c>
      <c r="B115" s="41" t="s">
        <v>157</v>
      </c>
      <c r="C115" s="41" t="s">
        <v>158</v>
      </c>
      <c r="D115" s="42">
        <v>1</v>
      </c>
      <c r="E115" s="43">
        <v>21236.87</v>
      </c>
      <c r="F115" s="43">
        <v>1292.3499999999999</v>
      </c>
      <c r="G115" s="126">
        <f t="shared" si="11"/>
        <v>22529.219999999998</v>
      </c>
      <c r="H115" s="127">
        <f t="shared" si="12"/>
        <v>21236.87</v>
      </c>
      <c r="I115" s="128">
        <f t="shared" si="13"/>
        <v>1292.3499999999999</v>
      </c>
      <c r="J115" s="128">
        <f t="shared" si="14"/>
        <v>22529.219999999998</v>
      </c>
      <c r="K115" s="44">
        <f t="shared" si="15"/>
        <v>1.6926594568966574E-5</v>
      </c>
      <c r="L115" s="45">
        <f t="shared" si="16"/>
        <v>4378.8917940203974</v>
      </c>
      <c r="M115" s="45">
        <f t="shared" si="17"/>
        <v>6940.3453756582303</v>
      </c>
      <c r="N115" s="45">
        <f t="shared" si="18"/>
        <v>33848.457169678622</v>
      </c>
      <c r="O115" s="46">
        <f t="shared" si="19"/>
        <v>33848.457169678622</v>
      </c>
      <c r="P115" s="47">
        <f t="shared" si="20"/>
        <v>80000</v>
      </c>
      <c r="Q115" s="42">
        <v>80000</v>
      </c>
      <c r="R115" s="48">
        <f t="shared" si="21"/>
        <v>0.42310571462098279</v>
      </c>
      <c r="S115" s="49"/>
      <c r="U115" s="112"/>
    </row>
    <row r="116" spans="1:21" outlineLevel="2" x14ac:dyDescent="0.3">
      <c r="A116" s="40" t="str">
        <f>VLOOKUP(B116,Grupos!$A$2:$B$619,2,FALSE)</f>
        <v>RITEL</v>
      </c>
      <c r="B116" s="41" t="s">
        <v>645</v>
      </c>
      <c r="C116" s="41" t="s">
        <v>646</v>
      </c>
      <c r="D116" s="42">
        <v>1</v>
      </c>
      <c r="E116" s="43">
        <v>75399.64</v>
      </c>
      <c r="F116" s="43">
        <v>4733.26</v>
      </c>
      <c r="G116" s="126">
        <f t="shared" si="11"/>
        <v>80132.899999999994</v>
      </c>
      <c r="H116" s="127">
        <f t="shared" si="12"/>
        <v>75399.64</v>
      </c>
      <c r="I116" s="128">
        <f t="shared" si="13"/>
        <v>4733.26</v>
      </c>
      <c r="J116" s="128">
        <f t="shared" si="14"/>
        <v>80132.899999999994</v>
      </c>
      <c r="K116" s="44">
        <f t="shared" si="15"/>
        <v>6.0205240569160482E-5</v>
      </c>
      <c r="L116" s="45">
        <f t="shared" si="16"/>
        <v>15575.030926106501</v>
      </c>
      <c r="M116" s="45">
        <f t="shared" si="17"/>
        <v>25419.165978866469</v>
      </c>
      <c r="N116" s="45">
        <f t="shared" si="18"/>
        <v>121127.09690497296</v>
      </c>
      <c r="O116" s="46">
        <f t="shared" si="19"/>
        <v>121127.09690497296</v>
      </c>
      <c r="P116" s="47">
        <f t="shared" si="20"/>
        <v>390000</v>
      </c>
      <c r="Q116" s="42">
        <v>390000</v>
      </c>
      <c r="R116" s="48">
        <f t="shared" si="21"/>
        <v>0.31058229975634094</v>
      </c>
      <c r="S116" s="49"/>
      <c r="U116" s="112"/>
    </row>
    <row r="117" spans="1:21" outlineLevel="2" x14ac:dyDescent="0.3">
      <c r="A117" s="40" t="str">
        <f>VLOOKUP(B117,Grupos!$A$2:$B$619,2,FALSE)</f>
        <v>RITEL</v>
      </c>
      <c r="B117" s="41" t="s">
        <v>159</v>
      </c>
      <c r="C117" s="41" t="s">
        <v>160</v>
      </c>
      <c r="D117" s="42">
        <v>153</v>
      </c>
      <c r="E117" s="43">
        <v>105004.52</v>
      </c>
      <c r="F117" s="43">
        <v>5522.6</v>
      </c>
      <c r="G117" s="126">
        <f t="shared" si="11"/>
        <v>110527.12000000001</v>
      </c>
      <c r="H117" s="127">
        <f t="shared" si="12"/>
        <v>16065691.560000001</v>
      </c>
      <c r="I117" s="128">
        <f t="shared" si="13"/>
        <v>844957.8</v>
      </c>
      <c r="J117" s="128">
        <f t="shared" si="14"/>
        <v>16910649.360000003</v>
      </c>
      <c r="K117" s="44">
        <f t="shared" si="15"/>
        <v>1.2705264790111427E-2</v>
      </c>
      <c r="L117" s="45">
        <f t="shared" si="16"/>
        <v>21482.60342722508</v>
      </c>
      <c r="M117" s="45">
        <f t="shared" si="17"/>
        <v>29658.181894695826</v>
      </c>
      <c r="N117" s="45">
        <f t="shared" si="18"/>
        <v>161667.9053219209</v>
      </c>
      <c r="O117" s="46">
        <f t="shared" si="19"/>
        <v>24735189.514253899</v>
      </c>
      <c r="P117" s="47">
        <f t="shared" si="20"/>
        <v>353722.22222222225</v>
      </c>
      <c r="Q117" s="42">
        <v>54119500</v>
      </c>
      <c r="R117" s="48">
        <f t="shared" si="21"/>
        <v>0.45704763558890787</v>
      </c>
      <c r="S117" s="49"/>
      <c r="U117" s="112"/>
    </row>
    <row r="118" spans="1:21" outlineLevel="2" x14ac:dyDescent="0.3">
      <c r="A118" s="40" t="str">
        <f>VLOOKUP(B118,Grupos!$A$2:$B$619,2,FALSE)</f>
        <v>RITEL</v>
      </c>
      <c r="B118" s="41" t="s">
        <v>161</v>
      </c>
      <c r="C118" s="41" t="s">
        <v>162</v>
      </c>
      <c r="D118" s="42">
        <v>33</v>
      </c>
      <c r="E118" s="43">
        <v>75457.34</v>
      </c>
      <c r="F118" s="43">
        <v>5072.71</v>
      </c>
      <c r="G118" s="126">
        <f t="shared" si="11"/>
        <v>80530.05</v>
      </c>
      <c r="H118" s="127">
        <f t="shared" si="12"/>
        <v>2490092.2199999997</v>
      </c>
      <c r="I118" s="128">
        <f t="shared" si="13"/>
        <v>167399.43</v>
      </c>
      <c r="J118" s="128">
        <f t="shared" si="14"/>
        <v>2657491.65</v>
      </c>
      <c r="K118" s="44">
        <f t="shared" si="15"/>
        <v>1.9966196668133218E-3</v>
      </c>
      <c r="L118" s="45">
        <f t="shared" si="16"/>
        <v>15652.222984952534</v>
      </c>
      <c r="M118" s="45">
        <f t="shared" si="17"/>
        <v>27242.124339811402</v>
      </c>
      <c r="N118" s="45">
        <f t="shared" si="18"/>
        <v>123424.39732476394</v>
      </c>
      <c r="O118" s="46">
        <f t="shared" si="19"/>
        <v>4073005.1117172102</v>
      </c>
      <c r="P118" s="47">
        <f t="shared" si="20"/>
        <v>271712.12121212122</v>
      </c>
      <c r="Q118" s="42">
        <v>8966500</v>
      </c>
      <c r="R118" s="48">
        <f t="shared" si="21"/>
        <v>0.45424693154711537</v>
      </c>
      <c r="S118" s="49"/>
      <c r="U118" s="112"/>
    </row>
    <row r="119" spans="1:21" outlineLevel="2" x14ac:dyDescent="0.3">
      <c r="A119" s="40" t="str">
        <f>VLOOKUP(B119,Grupos!$A$2:$B$619,2,FALSE)</f>
        <v>RITEL</v>
      </c>
      <c r="B119" s="41" t="s">
        <v>163</v>
      </c>
      <c r="C119" s="41" t="s">
        <v>164</v>
      </c>
      <c r="D119" s="42">
        <v>237</v>
      </c>
      <c r="E119" s="43">
        <v>75399.64</v>
      </c>
      <c r="F119" s="43">
        <v>4733.26</v>
      </c>
      <c r="G119" s="126">
        <f t="shared" si="11"/>
        <v>80132.899999999994</v>
      </c>
      <c r="H119" s="127">
        <f t="shared" si="12"/>
        <v>17869714.68</v>
      </c>
      <c r="I119" s="128">
        <f t="shared" si="13"/>
        <v>1121782.6200000001</v>
      </c>
      <c r="J119" s="128">
        <f t="shared" si="14"/>
        <v>18991497.299999997</v>
      </c>
      <c r="K119" s="44">
        <f t="shared" si="15"/>
        <v>1.4268642014891033E-2</v>
      </c>
      <c r="L119" s="45">
        <f t="shared" si="16"/>
        <v>15575.030926106499</v>
      </c>
      <c r="M119" s="45">
        <f t="shared" si="17"/>
        <v>25419.165978866469</v>
      </c>
      <c r="N119" s="45">
        <f t="shared" si="18"/>
        <v>121127.09690497296</v>
      </c>
      <c r="O119" s="46">
        <f t="shared" si="19"/>
        <v>28707121.96647859</v>
      </c>
      <c r="P119" s="47">
        <f t="shared" si="20"/>
        <v>234278.48101265822</v>
      </c>
      <c r="Q119" s="42">
        <v>55524000</v>
      </c>
      <c r="R119" s="48">
        <f t="shared" si="21"/>
        <v>0.51702186381526172</v>
      </c>
      <c r="S119" s="49"/>
      <c r="U119" s="112"/>
    </row>
    <row r="120" spans="1:21" outlineLevel="2" x14ac:dyDescent="0.3">
      <c r="A120" s="40" t="str">
        <f>VLOOKUP(B120,Grupos!$A$2:$B$619,2,FALSE)</f>
        <v>RITEL</v>
      </c>
      <c r="B120" s="41" t="s">
        <v>166</v>
      </c>
      <c r="C120" s="41" t="s">
        <v>167</v>
      </c>
      <c r="D120" s="42">
        <v>521</v>
      </c>
      <c r="E120" s="43">
        <v>19073.87</v>
      </c>
      <c r="F120" s="43">
        <v>688.5</v>
      </c>
      <c r="G120" s="126">
        <f t="shared" si="11"/>
        <v>19762.37</v>
      </c>
      <c r="H120" s="127">
        <f t="shared" si="12"/>
        <v>9937486.2699999996</v>
      </c>
      <c r="I120" s="128">
        <f t="shared" si="13"/>
        <v>358708.5</v>
      </c>
      <c r="J120" s="128">
        <f t="shared" si="14"/>
        <v>10296194.77</v>
      </c>
      <c r="K120" s="44">
        <f t="shared" si="15"/>
        <v>7.7357100900476827E-3</v>
      </c>
      <c r="L120" s="45">
        <f t="shared" si="16"/>
        <v>3841.1130000681283</v>
      </c>
      <c r="M120" s="45">
        <f t="shared" si="17"/>
        <v>3697.4718854340481</v>
      </c>
      <c r="N120" s="45">
        <f t="shared" si="18"/>
        <v>27300.954885502179</v>
      </c>
      <c r="O120" s="46">
        <f t="shared" si="19"/>
        <v>14223797.495346636</v>
      </c>
      <c r="P120" s="47">
        <f t="shared" si="20"/>
        <v>65758.157389635322</v>
      </c>
      <c r="Q120" s="42">
        <v>34260000</v>
      </c>
      <c r="R120" s="48">
        <f t="shared" si="21"/>
        <v>0.41517213938548264</v>
      </c>
      <c r="S120" s="49"/>
      <c r="U120" s="112"/>
    </row>
    <row r="121" spans="1:21" outlineLevel="2" x14ac:dyDescent="0.3">
      <c r="A121" s="40" t="str">
        <f>VLOOKUP(B121,Grupos!$A$2:$B$619,2,FALSE)</f>
        <v>RITEL</v>
      </c>
      <c r="B121" s="41" t="s">
        <v>168</v>
      </c>
      <c r="C121" s="41" t="s">
        <v>169</v>
      </c>
      <c r="D121" s="42">
        <v>3991</v>
      </c>
      <c r="E121" s="43">
        <v>15292.76</v>
      </c>
      <c r="F121" s="43">
        <v>594.59</v>
      </c>
      <c r="G121" s="126">
        <f t="shared" si="11"/>
        <v>15887.35</v>
      </c>
      <c r="H121" s="127">
        <f t="shared" si="12"/>
        <v>61033405.160000004</v>
      </c>
      <c r="I121" s="128">
        <f t="shared" si="13"/>
        <v>2373008.69</v>
      </c>
      <c r="J121" s="128">
        <f t="shared" si="14"/>
        <v>63406413.850000001</v>
      </c>
      <c r="K121" s="44">
        <f t="shared" si="15"/>
        <v>4.7638340799684015E-2</v>
      </c>
      <c r="L121" s="45">
        <f t="shared" si="16"/>
        <v>3087.9447465882067</v>
      </c>
      <c r="M121" s="45">
        <f t="shared" si="17"/>
        <v>3193.1442387221946</v>
      </c>
      <c r="N121" s="45">
        <f t="shared" si="18"/>
        <v>22168.4389853104</v>
      </c>
      <c r="O121" s="46">
        <f t="shared" si="19"/>
        <v>88474239.990373805</v>
      </c>
      <c r="P121" s="47">
        <f t="shared" si="20"/>
        <v>37887.181157604609</v>
      </c>
      <c r="Q121" s="42">
        <v>151207740</v>
      </c>
      <c r="R121" s="48">
        <f t="shared" si="21"/>
        <v>0.58511713745853089</v>
      </c>
      <c r="S121" s="49"/>
      <c r="U121" s="112"/>
    </row>
    <row r="122" spans="1:21" outlineLevel="2" x14ac:dyDescent="0.3">
      <c r="A122" s="40" t="str">
        <f>VLOOKUP(B122,Grupos!$A$2:$B$619,2,FALSE)</f>
        <v>RITEL</v>
      </c>
      <c r="B122" s="41" t="s">
        <v>773</v>
      </c>
      <c r="C122" s="41" t="s">
        <v>774</v>
      </c>
      <c r="D122" s="42">
        <v>318</v>
      </c>
      <c r="E122" s="43">
        <v>13775.09</v>
      </c>
      <c r="F122" s="43">
        <v>428.88</v>
      </c>
      <c r="G122" s="126">
        <f t="shared" si="11"/>
        <v>14203.97</v>
      </c>
      <c r="H122" s="127">
        <f t="shared" si="12"/>
        <v>4380478.62</v>
      </c>
      <c r="I122" s="128">
        <f t="shared" si="13"/>
        <v>136383.84</v>
      </c>
      <c r="J122" s="128">
        <f t="shared" si="14"/>
        <v>4516862.46</v>
      </c>
      <c r="K122" s="44">
        <f t="shared" si="15"/>
        <v>3.3935972743044372E-3</v>
      </c>
      <c r="L122" s="45">
        <f t="shared" si="16"/>
        <v>2760.7545967198116</v>
      </c>
      <c r="M122" s="45">
        <f t="shared" si="17"/>
        <v>2303.2269313361721</v>
      </c>
      <c r="N122" s="45">
        <f t="shared" si="18"/>
        <v>19267.951528055983</v>
      </c>
      <c r="O122" s="46">
        <f t="shared" si="19"/>
        <v>6127208.5859218026</v>
      </c>
      <c r="P122" s="47">
        <f t="shared" si="20"/>
        <v>39298.742138364782</v>
      </c>
      <c r="Q122" s="42">
        <v>12497000</v>
      </c>
      <c r="R122" s="48">
        <f t="shared" si="21"/>
        <v>0.49029435751954892</v>
      </c>
      <c r="S122" s="49"/>
      <c r="U122" s="112"/>
    </row>
    <row r="123" spans="1:21" outlineLevel="2" x14ac:dyDescent="0.3">
      <c r="A123" s="40" t="str">
        <f>VLOOKUP(B123,Grupos!$A$2:$B$619,2,FALSE)</f>
        <v>RITEL</v>
      </c>
      <c r="B123" s="41" t="s">
        <v>170</v>
      </c>
      <c r="C123" s="41" t="s">
        <v>171</v>
      </c>
      <c r="D123" s="42">
        <v>89</v>
      </c>
      <c r="E123" s="43">
        <v>15883.85</v>
      </c>
      <c r="F123" s="43">
        <v>892.69</v>
      </c>
      <c r="G123" s="126">
        <f t="shared" si="11"/>
        <v>16776.54</v>
      </c>
      <c r="H123" s="127">
        <f t="shared" si="12"/>
        <v>1413662.6500000001</v>
      </c>
      <c r="I123" s="128">
        <f t="shared" si="13"/>
        <v>79449.41</v>
      </c>
      <c r="J123" s="128">
        <f t="shared" si="14"/>
        <v>1493112.06</v>
      </c>
      <c r="K123" s="44">
        <f t="shared" si="15"/>
        <v>1.1218010426306147E-3</v>
      </c>
      <c r="L123" s="45">
        <f t="shared" si="16"/>
        <v>3260.772158914288</v>
      </c>
      <c r="M123" s="45">
        <f t="shared" si="17"/>
        <v>4794.0394733596522</v>
      </c>
      <c r="N123" s="45">
        <f t="shared" si="18"/>
        <v>24831.351632273942</v>
      </c>
      <c r="O123" s="46">
        <f t="shared" si="19"/>
        <v>2209990.2952723806</v>
      </c>
      <c r="P123" s="47">
        <f t="shared" si="20"/>
        <v>60191.011235955055</v>
      </c>
      <c r="Q123" s="42">
        <v>5357000</v>
      </c>
      <c r="R123" s="48">
        <f t="shared" si="21"/>
        <v>0.41254252291812221</v>
      </c>
      <c r="S123" s="49"/>
      <c r="U123" s="112"/>
    </row>
    <row r="124" spans="1:21" s="93" customFormat="1" outlineLevel="1" x14ac:dyDescent="0.3">
      <c r="A124" s="50" t="s">
        <v>1028</v>
      </c>
      <c r="B124" s="129"/>
      <c r="C124" s="129"/>
      <c r="D124" s="51">
        <f>SUBTOTAL(9,D115:D123)</f>
        <v>5344</v>
      </c>
      <c r="E124" s="52"/>
      <c r="F124" s="52"/>
      <c r="G124" s="130"/>
      <c r="H124" s="131">
        <f>SUBTOTAL(9,H115:H123)</f>
        <v>113287167.67000002</v>
      </c>
      <c r="I124" s="146">
        <f>SUBTOTAL(9,I115:I123)</f>
        <v>5087715.9000000004</v>
      </c>
      <c r="J124" s="146">
        <f>SUBTOTAL(9,J115:J123)</f>
        <v>118374883.57000001</v>
      </c>
      <c r="K124" s="53"/>
      <c r="L124" s="54"/>
      <c r="M124" s="54"/>
      <c r="N124" s="54"/>
      <c r="O124" s="55">
        <f>SUBTOTAL(9,O115:O123)</f>
        <v>168705528.51343897</v>
      </c>
      <c r="P124" s="56"/>
      <c r="Q124" s="51">
        <f>SUBTOTAL(9,Q115:Q123)</f>
        <v>322401740</v>
      </c>
      <c r="R124" s="57">
        <f>O124/Q124</f>
        <v>0.52327735115027285</v>
      </c>
      <c r="S124" s="58">
        <f>Q124/$Q$293</f>
        <v>9.821487722107676E-2</v>
      </c>
      <c r="U124" s="147"/>
    </row>
    <row r="125" spans="1:21" outlineLevel="2" x14ac:dyDescent="0.3">
      <c r="A125" s="40" t="str">
        <f>VLOOKUP(B125,Grupos!$A$2:$B$619,2,FALSE)</f>
        <v>TABLERO RIEL</v>
      </c>
      <c r="B125" s="41" t="s">
        <v>969</v>
      </c>
      <c r="C125" s="41" t="s">
        <v>1003</v>
      </c>
      <c r="D125" s="42">
        <v>40</v>
      </c>
      <c r="E125" s="43">
        <v>9960.43</v>
      </c>
      <c r="F125" s="43">
        <v>265</v>
      </c>
      <c r="G125" s="126">
        <f t="shared" si="11"/>
        <v>10225.43</v>
      </c>
      <c r="H125" s="127">
        <f t="shared" si="12"/>
        <v>398417.2</v>
      </c>
      <c r="I125" s="128">
        <f t="shared" si="13"/>
        <v>10600</v>
      </c>
      <c r="J125" s="128">
        <f t="shared" si="14"/>
        <v>409017.2</v>
      </c>
      <c r="K125" s="44">
        <f t="shared" si="15"/>
        <v>3.0730173153504278E-4</v>
      </c>
      <c r="L125" s="45">
        <f t="shared" si="16"/>
        <v>1987.4656786755156</v>
      </c>
      <c r="M125" s="45">
        <f t="shared" si="17"/>
        <v>1423.1373270007593</v>
      </c>
      <c r="N125" s="45">
        <f t="shared" si="18"/>
        <v>13636.033005676274</v>
      </c>
      <c r="O125" s="46">
        <f t="shared" si="19"/>
        <v>545441.32022705092</v>
      </c>
      <c r="P125" s="47">
        <f t="shared" si="20"/>
        <v>25961.250500000002</v>
      </c>
      <c r="Q125" s="42">
        <v>1038450.02</v>
      </c>
      <c r="R125" s="48">
        <f t="shared" si="21"/>
        <v>0.52524561579482743</v>
      </c>
      <c r="S125" s="49"/>
      <c r="U125" s="112"/>
    </row>
    <row r="126" spans="1:21" s="93" customFormat="1" outlineLevel="1" x14ac:dyDescent="0.3">
      <c r="A126" s="50" t="s">
        <v>1029</v>
      </c>
      <c r="B126" s="129"/>
      <c r="C126" s="129"/>
      <c r="D126" s="51">
        <f>SUBTOTAL(9,D125:D125)</f>
        <v>40</v>
      </c>
      <c r="E126" s="52"/>
      <c r="F126" s="52"/>
      <c r="G126" s="130"/>
      <c r="H126" s="131">
        <f>SUBTOTAL(9,H125:H125)</f>
        <v>398417.2</v>
      </c>
      <c r="I126" s="146">
        <f>SUBTOTAL(9,I125:I125)</f>
        <v>10600</v>
      </c>
      <c r="J126" s="146">
        <f>SUBTOTAL(9,J125:J125)</f>
        <v>409017.2</v>
      </c>
      <c r="K126" s="53"/>
      <c r="L126" s="54"/>
      <c r="M126" s="54"/>
      <c r="N126" s="54"/>
      <c r="O126" s="55">
        <f>SUBTOTAL(9,O125:O125)</f>
        <v>545441.32022705092</v>
      </c>
      <c r="P126" s="56"/>
      <c r="Q126" s="51">
        <f>SUBTOTAL(9,Q125:Q125)</f>
        <v>1038450.02</v>
      </c>
      <c r="R126" s="57">
        <f>O126/Q126</f>
        <v>0.52524561579482743</v>
      </c>
      <c r="S126" s="58">
        <f>Q126/$Q$293</f>
        <v>3.1634829642831547E-4</v>
      </c>
      <c r="U126" s="147"/>
    </row>
    <row r="127" spans="1:21" outlineLevel="2" x14ac:dyDescent="0.3">
      <c r="A127" s="40" t="str">
        <f>VLOOKUP(B127,Grupos!$A$2:$B$619,2,FALSE)</f>
        <v>TABLEROS 100 AMP BIMETALICO 2 FASES</v>
      </c>
      <c r="B127" s="41" t="s">
        <v>174</v>
      </c>
      <c r="C127" s="41" t="s">
        <v>175</v>
      </c>
      <c r="D127" s="42">
        <v>72</v>
      </c>
      <c r="E127" s="43">
        <v>27252.1</v>
      </c>
      <c r="F127" s="43">
        <v>2078.88</v>
      </c>
      <c r="G127" s="126">
        <f t="shared" si="11"/>
        <v>29330.98</v>
      </c>
      <c r="H127" s="127">
        <f t="shared" si="12"/>
        <v>1962151.2</v>
      </c>
      <c r="I127" s="128">
        <f t="shared" si="13"/>
        <v>149679.36000000002</v>
      </c>
      <c r="J127" s="128">
        <f t="shared" si="14"/>
        <v>2111830.56</v>
      </c>
      <c r="K127" s="44">
        <f t="shared" si="15"/>
        <v>1.5866550056980954E-3</v>
      </c>
      <c r="L127" s="45">
        <f t="shared" si="16"/>
        <v>5700.9158609386568</v>
      </c>
      <c r="M127" s="45">
        <f t="shared" si="17"/>
        <v>11164.270665491844</v>
      </c>
      <c r="N127" s="45">
        <f t="shared" si="18"/>
        <v>46196.166526430497</v>
      </c>
      <c r="O127" s="46">
        <f t="shared" si="19"/>
        <v>3326123.989902996</v>
      </c>
      <c r="P127" s="47">
        <f t="shared" si="20"/>
        <v>84511.998749999999</v>
      </c>
      <c r="Q127" s="42">
        <v>6084863.9100000001</v>
      </c>
      <c r="R127" s="48">
        <f t="shared" si="21"/>
        <v>0.54662257679038151</v>
      </c>
      <c r="S127" s="49"/>
      <c r="U127" s="112"/>
    </row>
    <row r="128" spans="1:21" outlineLevel="2" x14ac:dyDescent="0.3">
      <c r="A128" s="40" t="str">
        <f>VLOOKUP(B128,Grupos!$A$2:$B$619,2,FALSE)</f>
        <v>TABLEROS 100 AMP BIMETALICO 2 FASES</v>
      </c>
      <c r="B128" s="41" t="s">
        <v>176</v>
      </c>
      <c r="C128" s="41" t="s">
        <v>177</v>
      </c>
      <c r="D128" s="42">
        <v>396</v>
      </c>
      <c r="E128" s="43">
        <v>26980.69</v>
      </c>
      <c r="F128" s="43">
        <v>1961.55</v>
      </c>
      <c r="G128" s="126">
        <f t="shared" si="11"/>
        <v>28942.239999999998</v>
      </c>
      <c r="H128" s="127">
        <f t="shared" si="12"/>
        <v>10684353.24</v>
      </c>
      <c r="I128" s="128">
        <f t="shared" si="13"/>
        <v>776773.79999999993</v>
      </c>
      <c r="J128" s="128">
        <f t="shared" si="14"/>
        <v>11461127.039999999</v>
      </c>
      <c r="K128" s="44">
        <f t="shared" si="15"/>
        <v>8.6109439523205846E-3</v>
      </c>
      <c r="L128" s="45">
        <f t="shared" si="16"/>
        <v>5625.3584117234823</v>
      </c>
      <c r="M128" s="45">
        <f t="shared" si="17"/>
        <v>10534.169901050336</v>
      </c>
      <c r="N128" s="45">
        <f t="shared" si="18"/>
        <v>45101.768312773813</v>
      </c>
      <c r="O128" s="46">
        <f t="shared" si="19"/>
        <v>17860300.251858428</v>
      </c>
      <c r="P128" s="47">
        <f t="shared" si="20"/>
        <v>88464.001969696968</v>
      </c>
      <c r="Q128" s="42">
        <v>35031744.780000001</v>
      </c>
      <c r="R128" s="48">
        <f t="shared" si="21"/>
        <v>0.5098318786010072</v>
      </c>
      <c r="S128" s="49"/>
      <c r="U128" s="112"/>
    </row>
    <row r="129" spans="1:21" outlineLevel="2" x14ac:dyDescent="0.3">
      <c r="A129" s="40" t="str">
        <f>VLOOKUP(B129,Grupos!$A$2:$B$619,2,FALSE)</f>
        <v>TABLEROS 100 AMP BIMETALICO 2 FASES</v>
      </c>
      <c r="B129" s="41" t="s">
        <v>178</v>
      </c>
      <c r="C129" s="41" t="s">
        <v>179</v>
      </c>
      <c r="D129" s="42">
        <v>20</v>
      </c>
      <c r="E129" s="43">
        <v>33940.29</v>
      </c>
      <c r="F129" s="43">
        <v>2395.4899999999998</v>
      </c>
      <c r="G129" s="126">
        <f t="shared" si="11"/>
        <v>36335.78</v>
      </c>
      <c r="H129" s="127">
        <f t="shared" si="12"/>
        <v>678805.8</v>
      </c>
      <c r="I129" s="128">
        <f t="shared" si="13"/>
        <v>47909.799999999996</v>
      </c>
      <c r="J129" s="128">
        <f t="shared" si="14"/>
        <v>726715.6</v>
      </c>
      <c r="K129" s="44">
        <f t="shared" si="15"/>
        <v>5.4599406140750934E-4</v>
      </c>
      <c r="L129" s="45">
        <f t="shared" si="16"/>
        <v>7062.4037969947694</v>
      </c>
      <c r="M129" s="45">
        <f t="shared" si="17"/>
        <v>12864.570699837919</v>
      </c>
      <c r="N129" s="45">
        <f t="shared" si="18"/>
        <v>56262.754496832684</v>
      </c>
      <c r="O129" s="46">
        <f t="shared" si="19"/>
        <v>1125255.0899366536</v>
      </c>
      <c r="P129" s="47">
        <f t="shared" si="20"/>
        <v>111286.5</v>
      </c>
      <c r="Q129" s="42">
        <v>2225730</v>
      </c>
      <c r="R129" s="48">
        <f t="shared" si="21"/>
        <v>0.50556675335132906</v>
      </c>
      <c r="S129" s="49"/>
      <c r="U129" s="112"/>
    </row>
    <row r="130" spans="1:21" outlineLevel="2" x14ac:dyDescent="0.3">
      <c r="A130" s="40" t="str">
        <f>VLOOKUP(B130,Grupos!$A$2:$B$619,2,FALSE)</f>
        <v>TABLEROS 100 AMP BIMETALICO 2 FASES</v>
      </c>
      <c r="B130" s="41" t="s">
        <v>180</v>
      </c>
      <c r="C130" s="41" t="s">
        <v>181</v>
      </c>
      <c r="D130" s="42">
        <v>330</v>
      </c>
      <c r="E130" s="43">
        <v>33666.300000000003</v>
      </c>
      <c r="F130" s="43">
        <v>2187.17</v>
      </c>
      <c r="G130" s="126">
        <f t="shared" si="11"/>
        <v>35853.47</v>
      </c>
      <c r="H130" s="127">
        <f t="shared" si="12"/>
        <v>11109879.000000002</v>
      </c>
      <c r="I130" s="128">
        <f t="shared" si="13"/>
        <v>721766.1</v>
      </c>
      <c r="J130" s="128">
        <f t="shared" si="14"/>
        <v>11831645.1</v>
      </c>
      <c r="K130" s="44">
        <f t="shared" si="15"/>
        <v>8.889320610815642E-3</v>
      </c>
      <c r="L130" s="45">
        <f t="shared" si="16"/>
        <v>6968.6596149425714</v>
      </c>
      <c r="M130" s="45">
        <f t="shared" si="17"/>
        <v>11745.823650929249</v>
      </c>
      <c r="N130" s="45">
        <f t="shared" si="18"/>
        <v>54567.953265871824</v>
      </c>
      <c r="O130" s="46">
        <f t="shared" si="19"/>
        <v>18007424.5777377</v>
      </c>
      <c r="P130" s="47">
        <f t="shared" si="20"/>
        <v>110674.66887878787</v>
      </c>
      <c r="Q130" s="42">
        <v>36522640.729999997</v>
      </c>
      <c r="R130" s="48">
        <f t="shared" si="21"/>
        <v>0.49304826315437411</v>
      </c>
      <c r="S130" s="49"/>
      <c r="U130" s="112"/>
    </row>
    <row r="131" spans="1:21" outlineLevel="2" x14ac:dyDescent="0.3">
      <c r="A131" s="40" t="str">
        <f>VLOOKUP(B131,Grupos!$A$2:$B$619,2,FALSE)</f>
        <v>TABLEROS 100 AMP BIMETALICO 2 FASES</v>
      </c>
      <c r="B131" s="41" t="s">
        <v>182</v>
      </c>
      <c r="C131" s="41" t="s">
        <v>183</v>
      </c>
      <c r="D131" s="42">
        <v>78</v>
      </c>
      <c r="E131" s="43">
        <v>21237.54</v>
      </c>
      <c r="F131" s="43">
        <v>1742.36</v>
      </c>
      <c r="G131" s="126">
        <f t="shared" si="11"/>
        <v>22979.9</v>
      </c>
      <c r="H131" s="127">
        <f t="shared" si="12"/>
        <v>1656528.12</v>
      </c>
      <c r="I131" s="128">
        <f t="shared" si="13"/>
        <v>135904.07999999999</v>
      </c>
      <c r="J131" s="128">
        <f t="shared" si="14"/>
        <v>1792432.2000000002</v>
      </c>
      <c r="K131" s="44">
        <f t="shared" si="15"/>
        <v>1.3466854663304285E-3</v>
      </c>
      <c r="L131" s="45">
        <f t="shared" si="16"/>
        <v>4466.4882111945881</v>
      </c>
      <c r="M131" s="45">
        <f t="shared" si="17"/>
        <v>9357.0473700869534</v>
      </c>
      <c r="N131" s="45">
        <f t="shared" si="18"/>
        <v>36803.435581281541</v>
      </c>
      <c r="O131" s="46">
        <f t="shared" si="19"/>
        <v>2870667.9753399603</v>
      </c>
      <c r="P131" s="47">
        <f t="shared" si="20"/>
        <v>57281.176794871797</v>
      </c>
      <c r="Q131" s="42">
        <v>4467931.79</v>
      </c>
      <c r="R131" s="48">
        <f t="shared" si="21"/>
        <v>0.64250487927434552</v>
      </c>
      <c r="S131" s="49"/>
      <c r="U131" s="112"/>
    </row>
    <row r="132" spans="1:21" outlineLevel="2" x14ac:dyDescent="0.3">
      <c r="A132" s="40" t="str">
        <f>VLOOKUP(B132,Grupos!$A$2:$B$619,2,FALSE)</f>
        <v>TABLEROS 100 AMP BIMETALICO 2 FASES</v>
      </c>
      <c r="B132" s="41" t="s">
        <v>185</v>
      </c>
      <c r="C132" s="41" t="s">
        <v>186</v>
      </c>
      <c r="D132" s="42">
        <v>120</v>
      </c>
      <c r="E132" s="43">
        <v>19761.93</v>
      </c>
      <c r="F132" s="43">
        <v>1254.28</v>
      </c>
      <c r="G132" s="126">
        <f t="shared" si="11"/>
        <v>21016.21</v>
      </c>
      <c r="H132" s="127">
        <f t="shared" si="12"/>
        <v>2371431.6</v>
      </c>
      <c r="I132" s="128">
        <f t="shared" si="13"/>
        <v>150513.60000000001</v>
      </c>
      <c r="J132" s="128">
        <f t="shared" si="14"/>
        <v>2521945.1999999997</v>
      </c>
      <c r="K132" s="44">
        <f t="shared" si="15"/>
        <v>1.8947812629798689E-3</v>
      </c>
      <c r="L132" s="45">
        <f t="shared" si="16"/>
        <v>4084.8156088142159</v>
      </c>
      <c r="M132" s="45">
        <f t="shared" si="17"/>
        <v>6735.8969302283485</v>
      </c>
      <c r="N132" s="45">
        <f t="shared" si="18"/>
        <v>31836.922539042564</v>
      </c>
      <c r="O132" s="46">
        <f t="shared" si="19"/>
        <v>3820430.7046851078</v>
      </c>
      <c r="P132" s="47">
        <f t="shared" si="20"/>
        <v>55287.335250000004</v>
      </c>
      <c r="Q132" s="42">
        <v>6634480.2300000004</v>
      </c>
      <c r="R132" s="48">
        <f t="shared" si="21"/>
        <v>0.57584476435844434</v>
      </c>
      <c r="S132" s="49"/>
      <c r="U132" s="112"/>
    </row>
    <row r="133" spans="1:21" outlineLevel="2" x14ac:dyDescent="0.3">
      <c r="A133" s="40" t="str">
        <f>VLOOKUP(B133,Grupos!$A$2:$B$619,2,FALSE)</f>
        <v>TABLEROS 100 AMP BIMETALICO 2 FASES</v>
      </c>
      <c r="B133" s="41" t="s">
        <v>187</v>
      </c>
      <c r="C133" s="41" t="s">
        <v>188</v>
      </c>
      <c r="D133" s="42">
        <v>66</v>
      </c>
      <c r="E133" s="43">
        <v>23353.54</v>
      </c>
      <c r="F133" s="43">
        <v>1718.9</v>
      </c>
      <c r="G133" s="126">
        <f t="shared" si="11"/>
        <v>25072.440000000002</v>
      </c>
      <c r="H133" s="127">
        <f t="shared" si="12"/>
        <v>1541333.6400000001</v>
      </c>
      <c r="I133" s="128">
        <f t="shared" si="13"/>
        <v>113447.40000000001</v>
      </c>
      <c r="J133" s="128">
        <f t="shared" si="14"/>
        <v>1654781.04</v>
      </c>
      <c r="K133" s="44">
        <f t="shared" si="15"/>
        <v>1.2432657572917687E-3</v>
      </c>
      <c r="L133" s="45">
        <f t="shared" si="16"/>
        <v>4873.204743531679</v>
      </c>
      <c r="M133" s="45">
        <f t="shared" si="17"/>
        <v>9231.0594391758696</v>
      </c>
      <c r="N133" s="45">
        <f t="shared" si="18"/>
        <v>39176.704182707552</v>
      </c>
      <c r="O133" s="46">
        <f t="shared" si="19"/>
        <v>2585662.4760586983</v>
      </c>
      <c r="P133" s="47">
        <f t="shared" si="20"/>
        <v>68921.679545454535</v>
      </c>
      <c r="Q133" s="42">
        <v>4548830.8499999996</v>
      </c>
      <c r="R133" s="48">
        <f t="shared" si="21"/>
        <v>0.56842352712646993</v>
      </c>
      <c r="S133" s="49"/>
      <c r="U133" s="112"/>
    </row>
    <row r="134" spans="1:21" outlineLevel="2" x14ac:dyDescent="0.3">
      <c r="A134" s="40" t="str">
        <f>VLOOKUP(B134,Grupos!$A$2:$B$619,2,FALSE)</f>
        <v>TABLEROS 100 AMP BIMETALICO 2 FASES</v>
      </c>
      <c r="B134" s="41" t="s">
        <v>189</v>
      </c>
      <c r="C134" s="41" t="s">
        <v>190</v>
      </c>
      <c r="D134" s="42">
        <v>606</v>
      </c>
      <c r="E134" s="43">
        <v>23204.6</v>
      </c>
      <c r="F134" s="43">
        <v>1695.77</v>
      </c>
      <c r="G134" s="126">
        <f t="shared" si="11"/>
        <v>24900.37</v>
      </c>
      <c r="H134" s="127">
        <f t="shared" si="12"/>
        <v>14061987.6</v>
      </c>
      <c r="I134" s="128">
        <f t="shared" si="13"/>
        <v>1027636.62</v>
      </c>
      <c r="J134" s="128">
        <f t="shared" si="14"/>
        <v>15089624.219999999</v>
      </c>
      <c r="K134" s="44">
        <f t="shared" si="15"/>
        <v>1.1337096950981814E-2</v>
      </c>
      <c r="L134" s="45">
        <f t="shared" si="16"/>
        <v>4839.7603583733344</v>
      </c>
      <c r="M134" s="45">
        <f t="shared" si="17"/>
        <v>9106.843717011614</v>
      </c>
      <c r="N134" s="45">
        <f t="shared" si="18"/>
        <v>38846.974075384947</v>
      </c>
      <c r="O134" s="46">
        <f t="shared" si="19"/>
        <v>23541266.289683279</v>
      </c>
      <c r="P134" s="47">
        <f t="shared" si="20"/>
        <v>66495.000214521453</v>
      </c>
      <c r="Q134" s="42">
        <v>40295970.130000003</v>
      </c>
      <c r="R134" s="48">
        <f t="shared" si="21"/>
        <v>0.58420894729016604</v>
      </c>
      <c r="S134" s="49"/>
      <c r="U134" s="112"/>
    </row>
    <row r="135" spans="1:21" s="93" customFormat="1" outlineLevel="1" x14ac:dyDescent="0.3">
      <c r="A135" s="50" t="s">
        <v>1030</v>
      </c>
      <c r="B135" s="129"/>
      <c r="C135" s="129"/>
      <c r="D135" s="51">
        <f>SUBTOTAL(9,D127:D134)</f>
        <v>1688</v>
      </c>
      <c r="E135" s="52"/>
      <c r="F135" s="52"/>
      <c r="G135" s="130"/>
      <c r="H135" s="131">
        <f>SUBTOTAL(9,H127:H134)</f>
        <v>44066470.200000003</v>
      </c>
      <c r="I135" s="146">
        <f>SUBTOTAL(9,I127:I134)</f>
        <v>3123630.7600000002</v>
      </c>
      <c r="J135" s="146">
        <f>SUBTOTAL(9,J127:J134)</f>
        <v>47190100.959999993</v>
      </c>
      <c r="K135" s="53"/>
      <c r="L135" s="54"/>
      <c r="M135" s="54"/>
      <c r="N135" s="54"/>
      <c r="O135" s="55">
        <f>SUBTOTAL(9,O127:O134)</f>
        <v>73137131.355202824</v>
      </c>
      <c r="P135" s="56"/>
      <c r="Q135" s="51">
        <f>SUBTOTAL(9,Q127:Q134)</f>
        <v>135812192.41999999</v>
      </c>
      <c r="R135" s="57">
        <f>O135/Q135</f>
        <v>0.53851668286913312</v>
      </c>
      <c r="S135" s="58">
        <f>Q135/$Q$293</f>
        <v>4.1373156992439153E-2</v>
      </c>
      <c r="U135" s="147"/>
    </row>
    <row r="136" spans="1:21" outlineLevel="2" x14ac:dyDescent="0.3">
      <c r="A136" s="40" t="str">
        <f>VLOOKUP(B136,Grupos!$A$2:$B$619,2,FALSE)</f>
        <v>TABLEROS 100 AMP BIMETALICO 3 FASES</v>
      </c>
      <c r="B136" s="41" t="s">
        <v>191</v>
      </c>
      <c r="C136" s="41" t="s">
        <v>192</v>
      </c>
      <c r="D136" s="42">
        <v>30</v>
      </c>
      <c r="E136" s="43">
        <v>23709.66</v>
      </c>
      <c r="F136" s="43">
        <v>2548.63</v>
      </c>
      <c r="G136" s="126">
        <f t="shared" si="11"/>
        <v>26258.29</v>
      </c>
      <c r="H136" s="127">
        <f t="shared" si="12"/>
        <v>711289.8</v>
      </c>
      <c r="I136" s="128">
        <f t="shared" si="13"/>
        <v>76458.900000000009</v>
      </c>
      <c r="J136" s="128">
        <f t="shared" si="14"/>
        <v>787748.70000000007</v>
      </c>
      <c r="K136" s="44">
        <f t="shared" si="15"/>
        <v>5.9184929026084713E-4</v>
      </c>
      <c r="L136" s="45">
        <f t="shared" si="16"/>
        <v>5103.6924760825223</v>
      </c>
      <c r="M136" s="45">
        <f t="shared" si="17"/>
        <v>13686.982964958284</v>
      </c>
      <c r="N136" s="45">
        <f t="shared" si="18"/>
        <v>45048.965441040804</v>
      </c>
      <c r="O136" s="46">
        <f t="shared" si="19"/>
        <v>1351468.9632312241</v>
      </c>
      <c r="P136" s="47">
        <f t="shared" si="20"/>
        <v>71548.399000000005</v>
      </c>
      <c r="Q136" s="42">
        <v>2146451.9700000002</v>
      </c>
      <c r="R136" s="48">
        <f t="shared" si="21"/>
        <v>0.62962925894457544</v>
      </c>
      <c r="S136" s="49"/>
      <c r="U136" s="112"/>
    </row>
    <row r="137" spans="1:21" outlineLevel="2" x14ac:dyDescent="0.3">
      <c r="A137" s="40" t="str">
        <f>VLOOKUP(B137,Grupos!$A$2:$B$619,2,FALSE)</f>
        <v>TABLEROS 100 AMP BIMETALICO 3 FASES</v>
      </c>
      <c r="B137" s="41" t="s">
        <v>193</v>
      </c>
      <c r="C137" s="41" t="s">
        <v>194</v>
      </c>
      <c r="D137" s="42">
        <v>444</v>
      </c>
      <c r="E137" s="43">
        <v>23560.73</v>
      </c>
      <c r="F137" s="43">
        <v>2252.54</v>
      </c>
      <c r="G137" s="126">
        <f t="shared" si="11"/>
        <v>25813.27</v>
      </c>
      <c r="H137" s="127">
        <f t="shared" si="12"/>
        <v>10460964.119999999</v>
      </c>
      <c r="I137" s="128">
        <f t="shared" si="13"/>
        <v>1000127.76</v>
      </c>
      <c r="J137" s="128">
        <f t="shared" si="14"/>
        <v>11461091.880000001</v>
      </c>
      <c r="K137" s="44">
        <f t="shared" si="15"/>
        <v>8.6109175360014664E-3</v>
      </c>
      <c r="L137" s="45">
        <f t="shared" si="16"/>
        <v>5017.1961647954495</v>
      </c>
      <c r="M137" s="45">
        <f t="shared" si="17"/>
        <v>12096.882092687887</v>
      </c>
      <c r="N137" s="45">
        <f t="shared" si="18"/>
        <v>42927.348257483332</v>
      </c>
      <c r="O137" s="46">
        <f t="shared" si="19"/>
        <v>19059742.626322601</v>
      </c>
      <c r="P137" s="47">
        <f t="shared" si="20"/>
        <v>66402.485292792786</v>
      </c>
      <c r="Q137" s="42">
        <v>29482703.469999999</v>
      </c>
      <c r="R137" s="48">
        <f t="shared" si="21"/>
        <v>0.64647201182607839</v>
      </c>
      <c r="S137" s="49"/>
      <c r="U137" s="112"/>
    </row>
    <row r="138" spans="1:21" outlineLevel="2" x14ac:dyDescent="0.3">
      <c r="A138" s="40" t="str">
        <f>VLOOKUP(B138,Grupos!$A$2:$B$619,2,FALSE)</f>
        <v>TABLEROS 100 AMP BIMETALICO 3 FASES</v>
      </c>
      <c r="B138" s="41" t="s">
        <v>195</v>
      </c>
      <c r="C138" s="41" t="s">
        <v>196</v>
      </c>
      <c r="D138" s="42">
        <v>24</v>
      </c>
      <c r="E138" s="43">
        <v>28876.71</v>
      </c>
      <c r="F138" s="43">
        <v>2192.9699999999998</v>
      </c>
      <c r="G138" s="126">
        <f t="shared" si="11"/>
        <v>31069.68</v>
      </c>
      <c r="H138" s="127">
        <f t="shared" si="12"/>
        <v>693041.04</v>
      </c>
      <c r="I138" s="128">
        <f t="shared" si="13"/>
        <v>52631.28</v>
      </c>
      <c r="J138" s="128">
        <f t="shared" si="14"/>
        <v>745672.32000000007</v>
      </c>
      <c r="K138" s="44">
        <f t="shared" si="15"/>
        <v>5.6023657463244209E-4</v>
      </c>
      <c r="L138" s="45">
        <f t="shared" si="16"/>
        <v>6038.8582824811356</v>
      </c>
      <c r="M138" s="45">
        <f t="shared" si="17"/>
        <v>11776.971562237188</v>
      </c>
      <c r="N138" s="45">
        <f t="shared" si="18"/>
        <v>48885.509844718326</v>
      </c>
      <c r="O138" s="46">
        <f t="shared" si="19"/>
        <v>1173252.2362732398</v>
      </c>
      <c r="P138" s="47">
        <f t="shared" si="20"/>
        <v>104776.87541666666</v>
      </c>
      <c r="Q138" s="42">
        <v>2514645.0099999998</v>
      </c>
      <c r="R138" s="48">
        <f t="shared" si="21"/>
        <v>0.46656773882896496</v>
      </c>
      <c r="S138" s="49"/>
      <c r="U138" s="112"/>
    </row>
    <row r="139" spans="1:21" outlineLevel="2" x14ac:dyDescent="0.3">
      <c r="A139" s="40" t="str">
        <f>VLOOKUP(B139,Grupos!$A$2:$B$619,2,FALSE)</f>
        <v>TABLEROS 100 AMP BIMETALICO 3 FASES</v>
      </c>
      <c r="B139" s="41" t="s">
        <v>197</v>
      </c>
      <c r="C139" s="41" t="s">
        <v>198</v>
      </c>
      <c r="D139" s="42">
        <v>312</v>
      </c>
      <c r="E139" s="43">
        <v>28605.29</v>
      </c>
      <c r="F139" s="43">
        <v>2125.4499999999998</v>
      </c>
      <c r="G139" s="126">
        <f t="shared" si="11"/>
        <v>30730.74</v>
      </c>
      <c r="H139" s="127">
        <f t="shared" si="12"/>
        <v>8924850.4800000004</v>
      </c>
      <c r="I139" s="128">
        <f t="shared" si="13"/>
        <v>663140.39999999991</v>
      </c>
      <c r="J139" s="128">
        <f t="shared" si="14"/>
        <v>9587990.8800000008</v>
      </c>
      <c r="K139" s="44">
        <f t="shared" si="15"/>
        <v>7.2036241981173373E-3</v>
      </c>
      <c r="L139" s="45">
        <f t="shared" si="16"/>
        <v>5972.9802101526102</v>
      </c>
      <c r="M139" s="45">
        <f t="shared" si="17"/>
        <v>11414.366911976467</v>
      </c>
      <c r="N139" s="45">
        <f t="shared" si="18"/>
        <v>48118.08712212908</v>
      </c>
      <c r="O139" s="46">
        <f t="shared" si="19"/>
        <v>15012843.182104273</v>
      </c>
      <c r="P139" s="47">
        <f t="shared" si="20"/>
        <v>96425.914935897439</v>
      </c>
      <c r="Q139" s="42">
        <v>30084885.460000001</v>
      </c>
      <c r="R139" s="48">
        <f t="shared" si="21"/>
        <v>0.49901613227229724</v>
      </c>
      <c r="S139" s="49"/>
      <c r="U139" s="112"/>
    </row>
    <row r="140" spans="1:21" outlineLevel="2" x14ac:dyDescent="0.3">
      <c r="A140" s="40" t="str">
        <f>VLOOKUP(B140,Grupos!$A$2:$B$619,2,FALSE)</f>
        <v>TABLEROS 100 AMP BIMETALICO 3 FASES</v>
      </c>
      <c r="B140" s="41" t="s">
        <v>199</v>
      </c>
      <c r="C140" s="41" t="s">
        <v>200</v>
      </c>
      <c r="D140" s="42">
        <v>125</v>
      </c>
      <c r="E140" s="43">
        <v>35680.620000000003</v>
      </c>
      <c r="F140" s="43">
        <v>2955.78</v>
      </c>
      <c r="G140" s="126">
        <f t="shared" si="11"/>
        <v>38636.400000000001</v>
      </c>
      <c r="H140" s="127">
        <f t="shared" si="12"/>
        <v>4460077.5</v>
      </c>
      <c r="I140" s="128">
        <f t="shared" si="13"/>
        <v>369472.5</v>
      </c>
      <c r="J140" s="128">
        <f t="shared" si="14"/>
        <v>4829550</v>
      </c>
      <c r="K140" s="44">
        <f t="shared" si="15"/>
        <v>3.6285248579645689E-3</v>
      </c>
      <c r="L140" s="45">
        <f t="shared" si="16"/>
        <v>7509.5637980582405</v>
      </c>
      <c r="M140" s="45">
        <f t="shared" si="17"/>
        <v>15873.512635480394</v>
      </c>
      <c r="N140" s="45">
        <f t="shared" si="18"/>
        <v>62019.476433538635</v>
      </c>
      <c r="O140" s="46">
        <f t="shared" si="19"/>
        <v>7752434.5541923298</v>
      </c>
      <c r="P140" s="47">
        <f t="shared" si="20"/>
        <v>139816.56344</v>
      </c>
      <c r="Q140" s="42">
        <v>17477070.43</v>
      </c>
      <c r="R140" s="48">
        <f t="shared" si="21"/>
        <v>0.44357746255259156</v>
      </c>
      <c r="S140" s="49"/>
      <c r="U140" s="112"/>
    </row>
    <row r="141" spans="1:21" s="93" customFormat="1" outlineLevel="1" x14ac:dyDescent="0.3">
      <c r="A141" s="50" t="s">
        <v>1031</v>
      </c>
      <c r="B141" s="129"/>
      <c r="C141" s="129"/>
      <c r="D141" s="51">
        <f>SUBTOTAL(9,D136:D140)</f>
        <v>935</v>
      </c>
      <c r="E141" s="52"/>
      <c r="F141" s="52"/>
      <c r="G141" s="130"/>
      <c r="H141" s="131">
        <f>SUBTOTAL(9,H136:H140)</f>
        <v>25250222.940000001</v>
      </c>
      <c r="I141" s="146">
        <f>SUBTOTAL(9,I136:I140)</f>
        <v>2161830.84</v>
      </c>
      <c r="J141" s="146">
        <f>SUBTOTAL(9,J136:J140)</f>
        <v>27412053.780000001</v>
      </c>
      <c r="K141" s="53"/>
      <c r="L141" s="54"/>
      <c r="M141" s="54"/>
      <c r="N141" s="54"/>
      <c r="O141" s="55">
        <f>SUBTOTAL(9,O136:O140)</f>
        <v>44349741.562123664</v>
      </c>
      <c r="P141" s="56"/>
      <c r="Q141" s="51">
        <f>SUBTOTAL(9,Q136:Q140)</f>
        <v>81705756.340000004</v>
      </c>
      <c r="R141" s="57">
        <f>O141/Q141</f>
        <v>0.54279825007154037</v>
      </c>
      <c r="S141" s="58">
        <f>Q141/$Q$293</f>
        <v>2.4890438951068669E-2</v>
      </c>
      <c r="U141" s="147"/>
    </row>
    <row r="142" spans="1:21" outlineLevel="2" x14ac:dyDescent="0.3">
      <c r="A142" s="40" t="str">
        <f>VLOOKUP(B142,Grupos!$A$2:$B$619,2,FALSE)</f>
        <v>TABLEROS 125 AMP COBRE 2 FASES</v>
      </c>
      <c r="B142" s="41" t="s">
        <v>201</v>
      </c>
      <c r="C142" s="41" t="s">
        <v>202</v>
      </c>
      <c r="D142" s="42">
        <v>498</v>
      </c>
      <c r="E142" s="43">
        <v>36923.08</v>
      </c>
      <c r="F142" s="43">
        <v>2088.16</v>
      </c>
      <c r="G142" s="126">
        <f t="shared" si="11"/>
        <v>39011.240000000005</v>
      </c>
      <c r="H142" s="127">
        <f t="shared" si="12"/>
        <v>18387693.84</v>
      </c>
      <c r="I142" s="128">
        <f t="shared" si="13"/>
        <v>1039903.6799999999</v>
      </c>
      <c r="J142" s="128">
        <f t="shared" si="14"/>
        <v>19427597.520000003</v>
      </c>
      <c r="K142" s="44">
        <f t="shared" si="15"/>
        <v>1.4596291690085169E-2</v>
      </c>
      <c r="L142" s="45">
        <f t="shared" si="16"/>
        <v>7582.4195738050557</v>
      </c>
      <c r="M142" s="45">
        <f t="shared" si="17"/>
        <v>11214.107323584549</v>
      </c>
      <c r="N142" s="45">
        <f t="shared" si="18"/>
        <v>57807.766897389607</v>
      </c>
      <c r="O142" s="46">
        <f t="shared" si="19"/>
        <v>28788267.914900023</v>
      </c>
      <c r="P142" s="47">
        <f t="shared" si="20"/>
        <v>98786.223755020081</v>
      </c>
      <c r="Q142" s="42">
        <v>49195539.43</v>
      </c>
      <c r="R142" s="48">
        <f t="shared" si="21"/>
        <v>0.58518045026953425</v>
      </c>
      <c r="S142" s="49"/>
      <c r="U142" s="112"/>
    </row>
    <row r="143" spans="1:21" outlineLevel="2" x14ac:dyDescent="0.3">
      <c r="A143" s="40" t="str">
        <f>VLOOKUP(B143,Grupos!$A$2:$B$619,2,FALSE)</f>
        <v>TABLEROS 125 AMP COBRE 2 FASES</v>
      </c>
      <c r="B143" s="41" t="s">
        <v>203</v>
      </c>
      <c r="C143" s="41" t="s">
        <v>204</v>
      </c>
      <c r="D143" s="42">
        <v>1252</v>
      </c>
      <c r="E143" s="43">
        <v>36651.67</v>
      </c>
      <c r="F143" s="43">
        <v>2015.61</v>
      </c>
      <c r="G143" s="126">
        <f t="shared" si="11"/>
        <v>38667.279999999999</v>
      </c>
      <c r="H143" s="127">
        <f t="shared" si="12"/>
        <v>45887890.839999996</v>
      </c>
      <c r="I143" s="128">
        <f t="shared" si="13"/>
        <v>2523543.7199999997</v>
      </c>
      <c r="J143" s="128">
        <f t="shared" si="14"/>
        <v>48411434.559999995</v>
      </c>
      <c r="K143" s="44">
        <f t="shared" si="15"/>
        <v>3.6372352229645619E-2</v>
      </c>
      <c r="L143" s="45">
        <f t="shared" si="16"/>
        <v>7515.5657891879537</v>
      </c>
      <c r="M143" s="45">
        <f t="shared" si="17"/>
        <v>10824.489915758491</v>
      </c>
      <c r="N143" s="45">
        <f t="shared" si="18"/>
        <v>57007.335704946439</v>
      </c>
      <c r="O143" s="46">
        <f t="shared" si="19"/>
        <v>71373184.302592948</v>
      </c>
      <c r="P143" s="47">
        <f t="shared" si="20"/>
        <v>94570.553562300323</v>
      </c>
      <c r="Q143" s="42">
        <v>118402333.06</v>
      </c>
      <c r="R143" s="48">
        <f t="shared" si="21"/>
        <v>0.60280217845390616</v>
      </c>
      <c r="S143" s="49"/>
      <c r="U143" s="112"/>
    </row>
    <row r="144" spans="1:21" outlineLevel="2" x14ac:dyDescent="0.3">
      <c r="A144" s="40" t="str">
        <f>VLOOKUP(B144,Grupos!$A$2:$B$619,2,FALSE)</f>
        <v>TABLEROS 125 AMP COBRE 2 FASES</v>
      </c>
      <c r="B144" s="41" t="s">
        <v>205</v>
      </c>
      <c r="C144" s="41" t="s">
        <v>206</v>
      </c>
      <c r="D144" s="42">
        <v>110</v>
      </c>
      <c r="E144" s="43">
        <v>48898.69</v>
      </c>
      <c r="F144" s="43">
        <v>2490.52</v>
      </c>
      <c r="G144" s="126">
        <f t="shared" si="11"/>
        <v>51389.21</v>
      </c>
      <c r="H144" s="127">
        <f t="shared" si="12"/>
        <v>5378855.9000000004</v>
      </c>
      <c r="I144" s="128">
        <f t="shared" si="13"/>
        <v>273957.2</v>
      </c>
      <c r="J144" s="128">
        <f t="shared" si="14"/>
        <v>5652813.0999999996</v>
      </c>
      <c r="K144" s="44">
        <f t="shared" si="15"/>
        <v>4.2470567342252907E-3</v>
      </c>
      <c r="L144" s="45">
        <f t="shared" si="16"/>
        <v>9988.263684681091</v>
      </c>
      <c r="M144" s="45">
        <f t="shared" si="17"/>
        <v>13374.913115629928</v>
      </c>
      <c r="N144" s="45">
        <f t="shared" si="18"/>
        <v>74752.386800311026</v>
      </c>
      <c r="O144" s="46">
        <f t="shared" si="19"/>
        <v>8222762.5480342126</v>
      </c>
      <c r="P144" s="47">
        <f t="shared" si="20"/>
        <v>132811.36454545453</v>
      </c>
      <c r="Q144" s="42">
        <v>14609250.1</v>
      </c>
      <c r="R144" s="48">
        <f t="shared" si="21"/>
        <v>0.56284631255879536</v>
      </c>
      <c r="S144" s="49"/>
      <c r="U144" s="112"/>
    </row>
    <row r="145" spans="1:21" outlineLevel="2" x14ac:dyDescent="0.3">
      <c r="A145" s="40" t="str">
        <f>VLOOKUP(B145,Grupos!$A$2:$B$619,2,FALSE)</f>
        <v>TABLEROS 125 AMP COBRE 2 FASES</v>
      </c>
      <c r="B145" s="41" t="s">
        <v>207</v>
      </c>
      <c r="C145" s="41" t="s">
        <v>208</v>
      </c>
      <c r="D145" s="42">
        <v>375</v>
      </c>
      <c r="E145" s="43">
        <v>48624.71</v>
      </c>
      <c r="F145" s="43">
        <v>2229.42</v>
      </c>
      <c r="G145" s="126">
        <f t="shared" si="11"/>
        <v>50854.13</v>
      </c>
      <c r="H145" s="127">
        <f t="shared" si="12"/>
        <v>18234266.25</v>
      </c>
      <c r="I145" s="128">
        <f t="shared" si="13"/>
        <v>836032.5</v>
      </c>
      <c r="J145" s="128">
        <f t="shared" si="14"/>
        <v>19070298.75</v>
      </c>
      <c r="K145" s="44">
        <f t="shared" si="15"/>
        <v>1.432784691393311E-2</v>
      </c>
      <c r="L145" s="45">
        <f t="shared" si="16"/>
        <v>9884.2628616990096</v>
      </c>
      <c r="M145" s="45">
        <f t="shared" si="17"/>
        <v>11972.720073818991</v>
      </c>
      <c r="N145" s="45">
        <f t="shared" si="18"/>
        <v>72711.112935518002</v>
      </c>
      <c r="O145" s="46">
        <f t="shared" si="19"/>
        <v>27266667.350819252</v>
      </c>
      <c r="P145" s="47">
        <f t="shared" si="20"/>
        <v>126499.99709333332</v>
      </c>
      <c r="Q145" s="42">
        <v>47437498.909999996</v>
      </c>
      <c r="R145" s="48">
        <f t="shared" si="21"/>
        <v>0.57479141981221404</v>
      </c>
      <c r="S145" s="49"/>
      <c r="U145" s="112"/>
    </row>
    <row r="146" spans="1:21" outlineLevel="2" x14ac:dyDescent="0.3">
      <c r="A146" s="40" t="str">
        <f>VLOOKUP(B146,Grupos!$A$2:$B$619,2,FALSE)</f>
        <v>TABLEROS 125 AMP COBRE 2 FASES</v>
      </c>
      <c r="B146" s="41" t="s">
        <v>209</v>
      </c>
      <c r="C146" s="41" t="s">
        <v>210</v>
      </c>
      <c r="D146" s="42">
        <v>17</v>
      </c>
      <c r="E146" s="43">
        <v>26502.799999999999</v>
      </c>
      <c r="F146" s="43">
        <v>1198.0999999999999</v>
      </c>
      <c r="G146" s="126">
        <f t="shared" si="11"/>
        <v>27700.899999999998</v>
      </c>
      <c r="H146" s="127">
        <f t="shared" si="12"/>
        <v>450547.6</v>
      </c>
      <c r="I146" s="128">
        <f t="shared" si="13"/>
        <v>20367.699999999997</v>
      </c>
      <c r="J146" s="128">
        <f t="shared" si="14"/>
        <v>470915.3</v>
      </c>
      <c r="K146" s="44">
        <f t="shared" si="15"/>
        <v>3.538068499230451E-4</v>
      </c>
      <c r="L146" s="45">
        <f t="shared" si="16"/>
        <v>5384.0853654489429</v>
      </c>
      <c r="M146" s="45">
        <f t="shared" si="17"/>
        <v>6434.1918169041874</v>
      </c>
      <c r="N146" s="45">
        <f t="shared" si="18"/>
        <v>39519.177182353131</v>
      </c>
      <c r="O146" s="46">
        <f t="shared" si="19"/>
        <v>671826.01210000319</v>
      </c>
      <c r="P146" s="47">
        <f t="shared" si="20"/>
        <v>56676.998823529408</v>
      </c>
      <c r="Q146" s="42">
        <v>963508.98</v>
      </c>
      <c r="R146" s="48">
        <f t="shared" si="21"/>
        <v>0.69727010961538027</v>
      </c>
      <c r="S146" s="49"/>
      <c r="U146" s="112"/>
    </row>
    <row r="147" spans="1:21" outlineLevel="2" x14ac:dyDescent="0.3">
      <c r="A147" s="40" t="str">
        <f>VLOOKUP(B147,Grupos!$A$2:$B$619,2,FALSE)</f>
        <v>TABLEROS 125 AMP COBRE 2 FASES</v>
      </c>
      <c r="B147" s="41" t="s">
        <v>211</v>
      </c>
      <c r="C147" s="41" t="s">
        <v>212</v>
      </c>
      <c r="D147" s="42">
        <v>504</v>
      </c>
      <c r="E147" s="43">
        <v>30000.21</v>
      </c>
      <c r="F147" s="43">
        <v>1905.98</v>
      </c>
      <c r="G147" s="126">
        <f t="shared" si="11"/>
        <v>31906.19</v>
      </c>
      <c r="H147" s="127">
        <f t="shared" si="12"/>
        <v>15120105.84</v>
      </c>
      <c r="I147" s="128">
        <f t="shared" si="13"/>
        <v>960613.92</v>
      </c>
      <c r="J147" s="128">
        <f t="shared" si="14"/>
        <v>16080719.76</v>
      </c>
      <c r="K147" s="44">
        <f t="shared" si="15"/>
        <v>1.2081724256529498E-2</v>
      </c>
      <c r="L147" s="45">
        <f t="shared" si="16"/>
        <v>6201.4465467271248</v>
      </c>
      <c r="M147" s="45">
        <f t="shared" si="17"/>
        <v>10235.740688743046</v>
      </c>
      <c r="N147" s="45">
        <f t="shared" si="18"/>
        <v>48343.377235470172</v>
      </c>
      <c r="O147" s="46">
        <f t="shared" si="19"/>
        <v>24365062.126676966</v>
      </c>
      <c r="P147" s="47">
        <f t="shared" si="20"/>
        <v>80148.322361111103</v>
      </c>
      <c r="Q147" s="42">
        <v>40394754.469999999</v>
      </c>
      <c r="R147" s="48">
        <f t="shared" si="21"/>
        <v>0.60317391320628488</v>
      </c>
      <c r="S147" s="49"/>
      <c r="U147" s="112"/>
    </row>
    <row r="148" spans="1:21" outlineLevel="2" x14ac:dyDescent="0.3">
      <c r="A148" s="40" t="str">
        <f>VLOOKUP(B148,Grupos!$A$2:$B$619,2,FALSE)</f>
        <v>TABLEROS 125 AMP COBRE 2 FASES</v>
      </c>
      <c r="B148" s="41" t="s">
        <v>213</v>
      </c>
      <c r="C148" s="41" t="s">
        <v>214</v>
      </c>
      <c r="D148" s="42">
        <v>912</v>
      </c>
      <c r="E148" s="43">
        <v>29851.27</v>
      </c>
      <c r="F148" s="43">
        <v>1903.18</v>
      </c>
      <c r="G148" s="126">
        <f t="shared" ref="G148:G215" si="22">E148+F148</f>
        <v>31754.45</v>
      </c>
      <c r="H148" s="127">
        <f t="shared" ref="H148:H215" si="23">E148*D148</f>
        <v>27224358.240000002</v>
      </c>
      <c r="I148" s="128">
        <f t="shared" ref="I148:I215" si="24">F148*D148</f>
        <v>1735700.1600000001</v>
      </c>
      <c r="J148" s="128">
        <f t="shared" ref="J148:J215" si="25">G148*D148</f>
        <v>28960058.400000002</v>
      </c>
      <c r="K148" s="44">
        <f t="shared" ref="K148:K215" si="26">J148/$J$293</f>
        <v>2.1758195234029182E-2</v>
      </c>
      <c r="L148" s="45">
        <f t="shared" ref="L148:L215" si="27">$K$364*K148/D148</f>
        <v>6171.9536019725065</v>
      </c>
      <c r="M148" s="45">
        <f t="shared" ref="M148:M215" si="28">F148*$M$363</f>
        <v>10220.703766042661</v>
      </c>
      <c r="N148" s="45">
        <f t="shared" ref="N148:N215" si="29">G148+L148+M148</f>
        <v>48147.107368015175</v>
      </c>
      <c r="O148" s="46">
        <f t="shared" ref="O148:O215" si="30">N148*D148</f>
        <v>43910161.919629842</v>
      </c>
      <c r="P148" s="47">
        <f t="shared" ref="P148:P215" si="31">Q148/D148</f>
        <v>77100.006173245609</v>
      </c>
      <c r="Q148" s="42">
        <v>70315205.629999995</v>
      </c>
      <c r="R148" s="48">
        <f t="shared" ref="R148:R215" si="32">O148/Q148</f>
        <v>0.6244760507518955</v>
      </c>
      <c r="S148" s="49"/>
      <c r="U148" s="112"/>
    </row>
    <row r="149" spans="1:21" s="93" customFormat="1" outlineLevel="1" x14ac:dyDescent="0.3">
      <c r="A149" s="50" t="s">
        <v>1032</v>
      </c>
      <c r="B149" s="129"/>
      <c r="C149" s="129"/>
      <c r="D149" s="51">
        <f>SUBTOTAL(9,D142:D148)</f>
        <v>3668</v>
      </c>
      <c r="E149" s="52"/>
      <c r="F149" s="52"/>
      <c r="G149" s="130"/>
      <c r="H149" s="131">
        <f>SUBTOTAL(9,H142:H148)</f>
        <v>130683718.50999999</v>
      </c>
      <c r="I149" s="146">
        <f>SUBTOTAL(9,I142:I148)</f>
        <v>7390118.8799999999</v>
      </c>
      <c r="J149" s="146">
        <f>SUBTOTAL(9,J142:J148)</f>
        <v>138073837.38999999</v>
      </c>
      <c r="K149" s="53"/>
      <c r="L149" s="54"/>
      <c r="M149" s="54"/>
      <c r="N149" s="54"/>
      <c r="O149" s="55">
        <f>SUBTOTAL(9,O142:O148)</f>
        <v>204597932.17475325</v>
      </c>
      <c r="P149" s="56"/>
      <c r="Q149" s="51">
        <f>SUBTOTAL(9,Q142:Q148)</f>
        <v>341318090.57999998</v>
      </c>
      <c r="R149" s="57">
        <f>O149/Q149</f>
        <v>0.59943477307950799</v>
      </c>
      <c r="S149" s="58">
        <f>Q149/$Q$293</f>
        <v>0.10397746103866268</v>
      </c>
      <c r="U149" s="147"/>
    </row>
    <row r="150" spans="1:21" outlineLevel="2" x14ac:dyDescent="0.3">
      <c r="A150" s="40" t="str">
        <f>VLOOKUP(B150,Grupos!$A$2:$B$619,2,FALSE)</f>
        <v>TABLEROS 125 AMP COBRE 3 FASES</v>
      </c>
      <c r="B150" s="41" t="s">
        <v>215</v>
      </c>
      <c r="C150" s="41" t="s">
        <v>216</v>
      </c>
      <c r="D150" s="42">
        <v>13</v>
      </c>
      <c r="E150" s="43">
        <v>31072.03</v>
      </c>
      <c r="F150" s="43">
        <v>2183.33</v>
      </c>
      <c r="G150" s="126">
        <f t="shared" si="22"/>
        <v>33255.360000000001</v>
      </c>
      <c r="H150" s="127">
        <f t="shared" si="23"/>
        <v>403936.39</v>
      </c>
      <c r="I150" s="128">
        <f t="shared" si="24"/>
        <v>28383.29</v>
      </c>
      <c r="J150" s="128">
        <f t="shared" si="25"/>
        <v>432319.68</v>
      </c>
      <c r="K150" s="44">
        <f t="shared" si="26"/>
        <v>3.2480928978213043E-4</v>
      </c>
      <c r="L150" s="45">
        <f t="shared" si="27"/>
        <v>6463.6779707062287</v>
      </c>
      <c r="M150" s="45">
        <f t="shared" si="28"/>
        <v>11725.201585511577</v>
      </c>
      <c r="N150" s="45">
        <f t="shared" si="29"/>
        <v>51444.239556217806</v>
      </c>
      <c r="O150" s="46">
        <f t="shared" si="30"/>
        <v>668775.1142308315</v>
      </c>
      <c r="P150" s="47">
        <f t="shared" si="31"/>
        <v>81698.767692307694</v>
      </c>
      <c r="Q150" s="42">
        <v>1062083.98</v>
      </c>
      <c r="R150" s="48">
        <f t="shared" si="32"/>
        <v>0.62968195248631043</v>
      </c>
      <c r="S150" s="49"/>
      <c r="U150" s="112"/>
    </row>
    <row r="151" spans="1:21" outlineLevel="2" x14ac:dyDescent="0.3">
      <c r="A151" s="40" t="str">
        <f>VLOOKUP(B151,Grupos!$A$2:$B$619,2,FALSE)</f>
        <v>TABLEROS 125 AMP COBRE 3 FASES</v>
      </c>
      <c r="B151" s="41" t="s">
        <v>217</v>
      </c>
      <c r="C151" s="41" t="s">
        <v>218</v>
      </c>
      <c r="D151" s="42">
        <v>60</v>
      </c>
      <c r="E151" s="43">
        <v>30888.58</v>
      </c>
      <c r="F151" s="43">
        <v>2005.26</v>
      </c>
      <c r="G151" s="126">
        <f t="shared" si="22"/>
        <v>32893.840000000004</v>
      </c>
      <c r="H151" s="127">
        <f t="shared" si="23"/>
        <v>1853314.8</v>
      </c>
      <c r="I151" s="128">
        <f t="shared" si="24"/>
        <v>120315.6</v>
      </c>
      <c r="J151" s="128">
        <f t="shared" si="25"/>
        <v>1973630.4000000001</v>
      </c>
      <c r="K151" s="44">
        <f t="shared" si="26"/>
        <v>1.4828228234172037E-3</v>
      </c>
      <c r="L151" s="45">
        <f t="shared" si="27"/>
        <v>6393.4111367290989</v>
      </c>
      <c r="M151" s="45">
        <f t="shared" si="28"/>
        <v>10768.907005062425</v>
      </c>
      <c r="N151" s="45">
        <f t="shared" si="29"/>
        <v>50056.158141791529</v>
      </c>
      <c r="O151" s="46">
        <f t="shared" si="30"/>
        <v>3003369.4885074915</v>
      </c>
      <c r="P151" s="47">
        <f t="shared" si="31"/>
        <v>77941.000500000009</v>
      </c>
      <c r="Q151" s="42">
        <v>4676460.03</v>
      </c>
      <c r="R151" s="48">
        <f t="shared" si="32"/>
        <v>0.64223140350618824</v>
      </c>
      <c r="S151" s="49"/>
      <c r="U151" s="112"/>
    </row>
    <row r="152" spans="1:21" outlineLevel="2" x14ac:dyDescent="0.3">
      <c r="A152" s="40" t="str">
        <f>VLOOKUP(B152,Grupos!$A$2:$B$619,2,FALSE)</f>
        <v>TABLEROS 125 AMP COBRE 3 FASES</v>
      </c>
      <c r="B152" s="41" t="s">
        <v>219</v>
      </c>
      <c r="C152" s="41" t="s">
        <v>220</v>
      </c>
      <c r="D152" s="42">
        <v>66</v>
      </c>
      <c r="E152" s="43">
        <v>42322.64</v>
      </c>
      <c r="F152" s="43">
        <v>2485.1999999999998</v>
      </c>
      <c r="G152" s="126">
        <f t="shared" si="22"/>
        <v>44807.839999999997</v>
      </c>
      <c r="H152" s="127">
        <f t="shared" si="23"/>
        <v>2793294.2399999998</v>
      </c>
      <c r="I152" s="128">
        <f t="shared" si="24"/>
        <v>164023.19999999998</v>
      </c>
      <c r="J152" s="128">
        <f t="shared" si="25"/>
        <v>2957317.44</v>
      </c>
      <c r="K152" s="44">
        <f t="shared" si="26"/>
        <v>2.2218839941468963E-3</v>
      </c>
      <c r="L152" s="45">
        <f t="shared" si="27"/>
        <v>8709.0757196111954</v>
      </c>
      <c r="M152" s="45">
        <f t="shared" si="28"/>
        <v>13346.342962499195</v>
      </c>
      <c r="N152" s="45">
        <f t="shared" si="29"/>
        <v>66863.258682110391</v>
      </c>
      <c r="O152" s="46">
        <f t="shared" si="30"/>
        <v>4412975.0730192857</v>
      </c>
      <c r="P152" s="47">
        <f t="shared" si="31"/>
        <v>116256.00318181817</v>
      </c>
      <c r="Q152" s="42">
        <v>7672896.21</v>
      </c>
      <c r="R152" s="48">
        <f t="shared" si="32"/>
        <v>0.57513811633055911</v>
      </c>
      <c r="S152" s="49"/>
      <c r="U152" s="112"/>
    </row>
    <row r="153" spans="1:21" outlineLevel="2" x14ac:dyDescent="0.3">
      <c r="A153" s="40" t="str">
        <f>VLOOKUP(B153,Grupos!$A$2:$B$619,2,FALSE)</f>
        <v>TABLEROS 125 AMP COBRE 3 FASES</v>
      </c>
      <c r="B153" s="41" t="s">
        <v>221</v>
      </c>
      <c r="C153" s="41" t="s">
        <v>222</v>
      </c>
      <c r="D153" s="42">
        <v>276</v>
      </c>
      <c r="E153" s="43">
        <v>42103.83</v>
      </c>
      <c r="F153" s="43">
        <v>2243.64</v>
      </c>
      <c r="G153" s="126">
        <f t="shared" si="22"/>
        <v>44347.47</v>
      </c>
      <c r="H153" s="127">
        <f t="shared" si="23"/>
        <v>11620657.08</v>
      </c>
      <c r="I153" s="128">
        <f t="shared" si="24"/>
        <v>619244.64</v>
      </c>
      <c r="J153" s="128">
        <f t="shared" si="25"/>
        <v>12239901.720000001</v>
      </c>
      <c r="K153" s="44">
        <f t="shared" si="26"/>
        <v>9.1960509053769582E-3</v>
      </c>
      <c r="L153" s="45">
        <f t="shared" si="27"/>
        <v>8619.5959056090614</v>
      </c>
      <c r="M153" s="45">
        <f t="shared" si="28"/>
        <v>12049.086159818806</v>
      </c>
      <c r="N153" s="45">
        <f t="shared" si="29"/>
        <v>65016.152065427872</v>
      </c>
      <c r="O153" s="46">
        <f t="shared" si="30"/>
        <v>17944457.970058091</v>
      </c>
      <c r="P153" s="47">
        <f t="shared" si="31"/>
        <v>110030.86721014493</v>
      </c>
      <c r="Q153" s="42">
        <v>30368519.350000001</v>
      </c>
      <c r="R153" s="48">
        <f t="shared" si="32"/>
        <v>0.59089011759995769</v>
      </c>
      <c r="S153" s="49"/>
      <c r="U153" s="112"/>
    </row>
    <row r="154" spans="1:21" outlineLevel="2" x14ac:dyDescent="0.3">
      <c r="A154" s="40" t="str">
        <f>VLOOKUP(B154,Grupos!$A$2:$B$619,2,FALSE)</f>
        <v>TABLEROS 125 AMP COBRE 3 FASES</v>
      </c>
      <c r="B154" s="41" t="s">
        <v>223</v>
      </c>
      <c r="C154" s="41" t="s">
        <v>224</v>
      </c>
      <c r="D154" s="42">
        <v>130</v>
      </c>
      <c r="E154" s="43">
        <v>56763.08</v>
      </c>
      <c r="F154" s="43">
        <v>2881.75</v>
      </c>
      <c r="G154" s="126">
        <f t="shared" si="22"/>
        <v>59644.83</v>
      </c>
      <c r="H154" s="127">
        <f t="shared" si="23"/>
        <v>7379200.4000000004</v>
      </c>
      <c r="I154" s="128">
        <f t="shared" si="24"/>
        <v>374627.5</v>
      </c>
      <c r="J154" s="128">
        <f t="shared" si="25"/>
        <v>7753827.9000000004</v>
      </c>
      <c r="K154" s="44">
        <f t="shared" si="26"/>
        <v>5.8255856714454169E-3</v>
      </c>
      <c r="L154" s="45">
        <f t="shared" si="27"/>
        <v>11592.867247190166</v>
      </c>
      <c r="M154" s="45">
        <f t="shared" si="28"/>
        <v>15475.947139941276</v>
      </c>
      <c r="N154" s="45">
        <f t="shared" si="29"/>
        <v>86713.64438713144</v>
      </c>
      <c r="O154" s="46">
        <f t="shared" si="30"/>
        <v>11272773.770327087</v>
      </c>
      <c r="P154" s="47">
        <f t="shared" si="31"/>
        <v>156142.13992307693</v>
      </c>
      <c r="Q154" s="42">
        <v>20298478.190000001</v>
      </c>
      <c r="R154" s="48">
        <f t="shared" si="32"/>
        <v>0.55535068515040664</v>
      </c>
      <c r="S154" s="49"/>
      <c r="U154" s="112"/>
    </row>
    <row r="155" spans="1:21" s="93" customFormat="1" outlineLevel="1" x14ac:dyDescent="0.3">
      <c r="A155" s="50" t="s">
        <v>1033</v>
      </c>
      <c r="B155" s="129"/>
      <c r="C155" s="129"/>
      <c r="D155" s="51">
        <f>SUBTOTAL(9,D150:D154)</f>
        <v>545</v>
      </c>
      <c r="E155" s="52"/>
      <c r="F155" s="52"/>
      <c r="G155" s="130"/>
      <c r="H155" s="131">
        <f>SUBTOTAL(9,H150:H154)</f>
        <v>24050402.91</v>
      </c>
      <c r="I155" s="146">
        <f>SUBTOTAL(9,I150:I154)</f>
        <v>1306594.23</v>
      </c>
      <c r="J155" s="146">
        <f>SUBTOTAL(9,J150:J154)</f>
        <v>25356997.140000001</v>
      </c>
      <c r="K155" s="53"/>
      <c r="L155" s="54"/>
      <c r="M155" s="54"/>
      <c r="N155" s="54"/>
      <c r="O155" s="55">
        <f>SUBTOTAL(9,O150:O154)</f>
        <v>37302351.416142792</v>
      </c>
      <c r="P155" s="56"/>
      <c r="Q155" s="51">
        <f>SUBTOTAL(9,Q150:Q154)</f>
        <v>64078437.760000005</v>
      </c>
      <c r="R155" s="57">
        <f>O155/Q155</f>
        <v>0.58213578108529074</v>
      </c>
      <c r="S155" s="58">
        <f>Q155/$Q$293</f>
        <v>1.952053948938616E-2</v>
      </c>
      <c r="U155" s="147"/>
    </row>
    <row r="156" spans="1:21" outlineLevel="2" x14ac:dyDescent="0.3">
      <c r="A156" s="40" t="str">
        <f>VLOOKUP(B156,Grupos!$A$2:$B$619,2,FALSE)</f>
        <v>TABLEROS 175 AMP BIMETALICO</v>
      </c>
      <c r="B156" s="41" t="s">
        <v>225</v>
      </c>
      <c r="C156" s="41" t="s">
        <v>226</v>
      </c>
      <c r="D156" s="42">
        <v>71</v>
      </c>
      <c r="E156" s="43">
        <v>42846.36</v>
      </c>
      <c r="F156" s="43">
        <v>9376.59</v>
      </c>
      <c r="G156" s="126">
        <f t="shared" si="22"/>
        <v>52222.95</v>
      </c>
      <c r="H156" s="127">
        <f t="shared" si="23"/>
        <v>3042091.56</v>
      </c>
      <c r="I156" s="128">
        <f t="shared" si="24"/>
        <v>665737.89</v>
      </c>
      <c r="J156" s="128">
        <f t="shared" si="25"/>
        <v>3707829.4499999997</v>
      </c>
      <c r="K156" s="44">
        <f t="shared" si="26"/>
        <v>2.7857567119955471E-3</v>
      </c>
      <c r="L156" s="45">
        <f t="shared" si="27"/>
        <v>10150.313557883384</v>
      </c>
      <c r="M156" s="45">
        <f t="shared" si="28"/>
        <v>50355.378222573774</v>
      </c>
      <c r="N156" s="45">
        <f t="shared" si="29"/>
        <v>112728.64178045715</v>
      </c>
      <c r="O156" s="46">
        <f t="shared" si="30"/>
        <v>8003733.5664124582</v>
      </c>
      <c r="P156" s="47">
        <f t="shared" si="31"/>
        <v>124395.36126760564</v>
      </c>
      <c r="Q156" s="42">
        <v>8832070.6500000004</v>
      </c>
      <c r="R156" s="48">
        <f t="shared" si="32"/>
        <v>0.90621258406854543</v>
      </c>
      <c r="S156" s="49"/>
      <c r="U156" s="112"/>
    </row>
    <row r="157" spans="1:21" outlineLevel="2" x14ac:dyDescent="0.3">
      <c r="A157" s="40" t="str">
        <f>VLOOKUP(B157,Grupos!$A$2:$B$619,2,FALSE)</f>
        <v>TABLEROS 175 AMP BIMETALICO</v>
      </c>
      <c r="B157" s="41" t="s">
        <v>227</v>
      </c>
      <c r="C157" s="41" t="s">
        <v>228</v>
      </c>
      <c r="D157" s="42">
        <v>113</v>
      </c>
      <c r="E157" s="43">
        <v>57855.02</v>
      </c>
      <c r="F157" s="43">
        <v>10104.66</v>
      </c>
      <c r="G157" s="126">
        <f t="shared" si="22"/>
        <v>67959.679999999993</v>
      </c>
      <c r="H157" s="127">
        <f t="shared" si="23"/>
        <v>6537617.2599999998</v>
      </c>
      <c r="I157" s="128">
        <f t="shared" si="24"/>
        <v>1141826.58</v>
      </c>
      <c r="J157" s="128">
        <f t="shared" si="25"/>
        <v>7679443.8399999989</v>
      </c>
      <c r="K157" s="44">
        <f t="shared" si="26"/>
        <v>5.7696996342895051E-3</v>
      </c>
      <c r="L157" s="45">
        <f t="shared" si="27"/>
        <v>13208.983048514421</v>
      </c>
      <c r="M157" s="45">
        <f t="shared" si="28"/>
        <v>54265.354047741479</v>
      </c>
      <c r="N157" s="45">
        <f t="shared" si="29"/>
        <v>135434.01709625591</v>
      </c>
      <c r="O157" s="46">
        <f t="shared" si="30"/>
        <v>15304043.931876916</v>
      </c>
      <c r="P157" s="47">
        <f t="shared" si="31"/>
        <v>199180.77743362833</v>
      </c>
      <c r="Q157" s="42">
        <v>22507427.850000001</v>
      </c>
      <c r="R157" s="48">
        <f t="shared" si="32"/>
        <v>0.67995525894252351</v>
      </c>
      <c r="S157" s="49"/>
      <c r="U157" s="112"/>
    </row>
    <row r="158" spans="1:21" outlineLevel="2" x14ac:dyDescent="0.3">
      <c r="A158" s="40" t="str">
        <f>VLOOKUP(B158,Grupos!$A$2:$B$619,2,FALSE)</f>
        <v>TABLEROS 175 AMP BIMETALICO</v>
      </c>
      <c r="B158" s="41" t="s">
        <v>229</v>
      </c>
      <c r="C158" s="41" t="s">
        <v>230</v>
      </c>
      <c r="D158" s="42">
        <v>46</v>
      </c>
      <c r="E158" s="43">
        <v>52225.7</v>
      </c>
      <c r="F158" s="43">
        <v>9630.83</v>
      </c>
      <c r="G158" s="126">
        <f t="shared" si="22"/>
        <v>61856.53</v>
      </c>
      <c r="H158" s="127">
        <f t="shared" si="23"/>
        <v>2402382.1999999997</v>
      </c>
      <c r="I158" s="128">
        <f t="shared" si="24"/>
        <v>443018.18</v>
      </c>
      <c r="J158" s="128">
        <f t="shared" si="25"/>
        <v>2845400.38</v>
      </c>
      <c r="K158" s="44">
        <f t="shared" si="26"/>
        <v>2.1377987617255917E-3</v>
      </c>
      <c r="L158" s="45">
        <f t="shared" si="27"/>
        <v>12022.744312656034</v>
      </c>
      <c r="M158" s="45">
        <f t="shared" si="28"/>
        <v>51720.730803768762</v>
      </c>
      <c r="N158" s="45">
        <f t="shared" si="29"/>
        <v>125600.0051164248</v>
      </c>
      <c r="O158" s="46">
        <f t="shared" si="30"/>
        <v>5777600.2353555411</v>
      </c>
      <c r="P158" s="47">
        <f t="shared" si="31"/>
        <v>151384.7386956522</v>
      </c>
      <c r="Q158" s="42">
        <v>6963697.9800000004</v>
      </c>
      <c r="R158" s="48">
        <f t="shared" si="32"/>
        <v>0.82967415473057904</v>
      </c>
      <c r="S158" s="49"/>
      <c r="U158" s="112"/>
    </row>
    <row r="159" spans="1:21" outlineLevel="2" x14ac:dyDescent="0.3">
      <c r="A159" s="40" t="str">
        <f>VLOOKUP(B159,Grupos!$A$2:$B$619,2,FALSE)</f>
        <v>TABLEROS 175 AMP BIMETALICO</v>
      </c>
      <c r="B159" s="41" t="s">
        <v>231</v>
      </c>
      <c r="C159" s="41" t="s">
        <v>232</v>
      </c>
      <c r="D159" s="42">
        <v>154</v>
      </c>
      <c r="E159" s="43">
        <v>67333.539999999994</v>
      </c>
      <c r="F159" s="43">
        <v>10612.82</v>
      </c>
      <c r="G159" s="126">
        <f t="shared" si="22"/>
        <v>77946.359999999986</v>
      </c>
      <c r="H159" s="127">
        <f t="shared" si="23"/>
        <v>10369365.159999998</v>
      </c>
      <c r="I159" s="128">
        <f t="shared" si="24"/>
        <v>1634374.28</v>
      </c>
      <c r="J159" s="128">
        <f t="shared" si="25"/>
        <v>12003739.439999998</v>
      </c>
      <c r="K159" s="44">
        <f t="shared" si="26"/>
        <v>9.0186180796491787E-3</v>
      </c>
      <c r="L159" s="45">
        <f t="shared" si="27"/>
        <v>15150.044083983365</v>
      </c>
      <c r="M159" s="45">
        <f t="shared" si="28"/>
        <v>56994.340704679991</v>
      </c>
      <c r="N159" s="45">
        <f t="shared" si="29"/>
        <v>150090.74478866335</v>
      </c>
      <c r="O159" s="46">
        <f t="shared" si="30"/>
        <v>23113974.697454154</v>
      </c>
      <c r="P159" s="47">
        <f t="shared" si="31"/>
        <v>242472.08603896105</v>
      </c>
      <c r="Q159" s="42">
        <v>37340701.25</v>
      </c>
      <c r="R159" s="48">
        <f t="shared" si="32"/>
        <v>0.61900215913738776</v>
      </c>
      <c r="S159" s="49"/>
      <c r="U159" s="112"/>
    </row>
    <row r="160" spans="1:21" outlineLevel="2" x14ac:dyDescent="0.3">
      <c r="A160" s="40" t="str">
        <f>VLOOKUP(B160,Grupos!$A$2:$B$619,2,FALSE)</f>
        <v>TABLEROS 175 AMP BIMETALICO</v>
      </c>
      <c r="B160" s="41" t="s">
        <v>233</v>
      </c>
      <c r="C160" s="41" t="s">
        <v>234</v>
      </c>
      <c r="D160" s="42">
        <v>73</v>
      </c>
      <c r="E160" s="43">
        <v>60914.22</v>
      </c>
      <c r="F160" s="43">
        <v>11576.75</v>
      </c>
      <c r="G160" s="126">
        <f t="shared" si="22"/>
        <v>72490.97</v>
      </c>
      <c r="H160" s="127">
        <f t="shared" si="23"/>
        <v>4446738.0600000005</v>
      </c>
      <c r="I160" s="128">
        <f t="shared" si="24"/>
        <v>845102.75</v>
      </c>
      <c r="J160" s="128">
        <f t="shared" si="25"/>
        <v>5291840.8100000005</v>
      </c>
      <c r="K160" s="44">
        <f t="shared" si="26"/>
        <v>3.9758519786473609E-3</v>
      </c>
      <c r="L160" s="45">
        <f t="shared" si="27"/>
        <v>14089.707219050586</v>
      </c>
      <c r="M160" s="45">
        <f t="shared" si="28"/>
        <v>62170.962454173736</v>
      </c>
      <c r="N160" s="45">
        <f t="shared" si="29"/>
        <v>148751.63967322433</v>
      </c>
      <c r="O160" s="46">
        <f t="shared" si="30"/>
        <v>10858869.696145376</v>
      </c>
      <c r="P160" s="47">
        <f t="shared" si="31"/>
        <v>186452.9908219178</v>
      </c>
      <c r="Q160" s="42">
        <v>13611068.33</v>
      </c>
      <c r="R160" s="48">
        <f t="shared" si="32"/>
        <v>0.79779701584566043</v>
      </c>
      <c r="S160" s="49"/>
      <c r="U160" s="112"/>
    </row>
    <row r="161" spans="1:21" outlineLevel="2" x14ac:dyDescent="0.3">
      <c r="A161" s="40" t="str">
        <f>VLOOKUP(B161,Grupos!$A$2:$B$619,2,FALSE)</f>
        <v>TABLEROS 175 AMP BIMETALICO</v>
      </c>
      <c r="B161" s="41" t="s">
        <v>235</v>
      </c>
      <c r="C161" s="41" t="s">
        <v>236</v>
      </c>
      <c r="D161" s="42">
        <v>117</v>
      </c>
      <c r="E161" s="43">
        <v>67069.440000000002</v>
      </c>
      <c r="F161" s="43">
        <v>11484.79</v>
      </c>
      <c r="G161" s="126">
        <f t="shared" si="22"/>
        <v>78554.23000000001</v>
      </c>
      <c r="H161" s="127">
        <f t="shared" si="23"/>
        <v>7847124.4800000004</v>
      </c>
      <c r="I161" s="128">
        <f t="shared" si="24"/>
        <v>1343720.4300000002</v>
      </c>
      <c r="J161" s="128">
        <f t="shared" si="25"/>
        <v>9190844.910000002</v>
      </c>
      <c r="K161" s="44">
        <f t="shared" si="26"/>
        <v>6.9052415280165111E-3</v>
      </c>
      <c r="L161" s="45">
        <f t="shared" si="27"/>
        <v>15268.192735149776</v>
      </c>
      <c r="M161" s="45">
        <f t="shared" si="28"/>
        <v>61677.106950056797</v>
      </c>
      <c r="N161" s="45">
        <f t="shared" si="29"/>
        <v>155499.52968520659</v>
      </c>
      <c r="O161" s="46">
        <f t="shared" si="30"/>
        <v>18193444.97316917</v>
      </c>
      <c r="P161" s="47">
        <f t="shared" si="31"/>
        <v>279486.2216239316</v>
      </c>
      <c r="Q161" s="42">
        <v>32699887.93</v>
      </c>
      <c r="R161" s="48">
        <f t="shared" si="32"/>
        <v>0.55637637083391589</v>
      </c>
      <c r="S161" s="49"/>
      <c r="U161" s="112"/>
    </row>
    <row r="162" spans="1:21" outlineLevel="2" x14ac:dyDescent="0.3">
      <c r="A162" s="40" t="str">
        <f>VLOOKUP(B162,Grupos!$A$2:$B$619,2,FALSE)</f>
        <v>TABLEROS 175 AMP BIMETALICO</v>
      </c>
      <c r="B162" s="41" t="s">
        <v>237</v>
      </c>
      <c r="C162" s="41" t="s">
        <v>238</v>
      </c>
      <c r="D162" s="42">
        <v>11</v>
      </c>
      <c r="E162" s="43">
        <v>62637.48</v>
      </c>
      <c r="F162" s="43">
        <v>14454.83</v>
      </c>
      <c r="G162" s="126">
        <f t="shared" si="22"/>
        <v>77092.31</v>
      </c>
      <c r="H162" s="127">
        <f t="shared" si="23"/>
        <v>689012.28</v>
      </c>
      <c r="I162" s="128">
        <f t="shared" si="24"/>
        <v>159003.13</v>
      </c>
      <c r="J162" s="128">
        <f t="shared" si="25"/>
        <v>848015.40999999992</v>
      </c>
      <c r="K162" s="44">
        <f t="shared" si="26"/>
        <v>6.3712871698647197E-4</v>
      </c>
      <c r="L162" s="45">
        <f t="shared" si="27"/>
        <v>14984.046657677303</v>
      </c>
      <c r="M162" s="45">
        <f t="shared" si="28"/>
        <v>77627.200484718429</v>
      </c>
      <c r="N162" s="45">
        <f t="shared" si="29"/>
        <v>169703.55714239573</v>
      </c>
      <c r="O162" s="46">
        <f t="shared" si="30"/>
        <v>1866739.1285663531</v>
      </c>
      <c r="P162" s="47">
        <f t="shared" si="31"/>
        <v>175693.99454545454</v>
      </c>
      <c r="Q162" s="42">
        <v>1932633.94</v>
      </c>
      <c r="R162" s="48">
        <f t="shared" si="32"/>
        <v>0.96590414249185397</v>
      </c>
      <c r="S162" s="49"/>
      <c r="U162" s="112"/>
    </row>
    <row r="163" spans="1:21" outlineLevel="2" x14ac:dyDescent="0.3">
      <c r="A163" s="40" t="str">
        <f>VLOOKUP(B163,Grupos!$A$2:$B$619,2,FALSE)</f>
        <v>TABLEROS 175 AMP BIMETALICO</v>
      </c>
      <c r="B163" s="41" t="s">
        <v>239</v>
      </c>
      <c r="C163" s="41" t="s">
        <v>240</v>
      </c>
      <c r="D163" s="42">
        <v>16</v>
      </c>
      <c r="E163" s="43">
        <v>78769.16</v>
      </c>
      <c r="F163" s="43">
        <v>15558.05</v>
      </c>
      <c r="G163" s="126">
        <f t="shared" si="22"/>
        <v>94327.21</v>
      </c>
      <c r="H163" s="127">
        <f t="shared" si="23"/>
        <v>1260306.56</v>
      </c>
      <c r="I163" s="128">
        <f t="shared" si="24"/>
        <v>248928.8</v>
      </c>
      <c r="J163" s="128">
        <f t="shared" si="25"/>
        <v>1509235.36</v>
      </c>
      <c r="K163" s="44">
        <f t="shared" si="26"/>
        <v>1.1339147581615483E-3</v>
      </c>
      <c r="L163" s="45">
        <f t="shared" si="27"/>
        <v>18333.9079569483</v>
      </c>
      <c r="M163" s="45">
        <f t="shared" si="28"/>
        <v>83551.855435260994</v>
      </c>
      <c r="N163" s="45">
        <f t="shared" si="29"/>
        <v>196212.9733922093</v>
      </c>
      <c r="O163" s="46">
        <f t="shared" si="30"/>
        <v>3139407.5742753488</v>
      </c>
      <c r="P163" s="47">
        <f t="shared" si="31"/>
        <v>354951.106875</v>
      </c>
      <c r="Q163" s="42">
        <v>5679217.71</v>
      </c>
      <c r="R163" s="48">
        <f t="shared" si="32"/>
        <v>0.55278873510122029</v>
      </c>
      <c r="S163" s="49"/>
      <c r="U163" s="112"/>
    </row>
    <row r="164" spans="1:21" outlineLevel="2" x14ac:dyDescent="0.3">
      <c r="A164" s="40" t="str">
        <f>VLOOKUP(B164,Grupos!$A$2:$B$619,2,FALSE)</f>
        <v>TABLEROS 175 AMP BIMETALICO</v>
      </c>
      <c r="B164" s="41" t="s">
        <v>241</v>
      </c>
      <c r="C164" s="41" t="s">
        <v>242</v>
      </c>
      <c r="D164" s="42">
        <v>49</v>
      </c>
      <c r="E164" s="43">
        <v>79784.13</v>
      </c>
      <c r="F164" s="43">
        <v>11572.57</v>
      </c>
      <c r="G164" s="126">
        <f t="shared" si="22"/>
        <v>91356.700000000012</v>
      </c>
      <c r="H164" s="127">
        <f t="shared" si="23"/>
        <v>3909422.37</v>
      </c>
      <c r="I164" s="128">
        <f t="shared" si="24"/>
        <v>567055.92999999993</v>
      </c>
      <c r="J164" s="128">
        <f t="shared" si="25"/>
        <v>4476478.3000000007</v>
      </c>
      <c r="K164" s="44">
        <f t="shared" si="26"/>
        <v>3.3632559529747034E-3</v>
      </c>
      <c r="L164" s="45">
        <f t="shared" si="27"/>
        <v>17756.544787559593</v>
      </c>
      <c r="M164" s="45">
        <f t="shared" si="28"/>
        <v>62148.514476713877</v>
      </c>
      <c r="N164" s="45">
        <f t="shared" si="29"/>
        <v>171261.75926427348</v>
      </c>
      <c r="O164" s="46">
        <f t="shared" si="30"/>
        <v>8391826.2039494012</v>
      </c>
      <c r="P164" s="47">
        <f t="shared" si="31"/>
        <v>247132.50918367345</v>
      </c>
      <c r="Q164" s="42">
        <v>12109492.949999999</v>
      </c>
      <c r="R164" s="48">
        <f t="shared" si="32"/>
        <v>0.69299567195746226</v>
      </c>
      <c r="S164" s="49"/>
      <c r="U164" s="112"/>
    </row>
    <row r="165" spans="1:21" outlineLevel="2" x14ac:dyDescent="0.3">
      <c r="A165" s="40" t="str">
        <f>VLOOKUP(B165,Grupos!$A$2:$B$619,2,FALSE)</f>
        <v>TABLEROS 175 AMP BIMETALICO</v>
      </c>
      <c r="B165" s="41" t="s">
        <v>243</v>
      </c>
      <c r="C165" s="41" t="s">
        <v>244</v>
      </c>
      <c r="D165" s="42">
        <v>65</v>
      </c>
      <c r="E165" s="43">
        <v>95882.26</v>
      </c>
      <c r="F165" s="43">
        <v>12407.09</v>
      </c>
      <c r="G165" s="126">
        <f t="shared" si="22"/>
        <v>108289.34999999999</v>
      </c>
      <c r="H165" s="127">
        <f t="shared" si="23"/>
        <v>6232346.8999999994</v>
      </c>
      <c r="I165" s="128">
        <f t="shared" si="24"/>
        <v>806460.85</v>
      </c>
      <c r="J165" s="128">
        <f t="shared" si="25"/>
        <v>7038807.7499999991</v>
      </c>
      <c r="K165" s="44">
        <f t="shared" si="26"/>
        <v>5.2883786049028698E-3</v>
      </c>
      <c r="L165" s="45">
        <f t="shared" si="27"/>
        <v>21047.659266268547</v>
      </c>
      <c r="M165" s="45">
        <f t="shared" si="28"/>
        <v>66630.161880973028</v>
      </c>
      <c r="N165" s="45">
        <f t="shared" si="29"/>
        <v>195967.17114724155</v>
      </c>
      <c r="O165" s="46">
        <f t="shared" si="30"/>
        <v>12737866.124570701</v>
      </c>
      <c r="P165" s="47">
        <f t="shared" si="31"/>
        <v>377734.2489230769</v>
      </c>
      <c r="Q165" s="42">
        <v>24552726.18</v>
      </c>
      <c r="R165" s="48">
        <f t="shared" si="32"/>
        <v>0.51879640701351648</v>
      </c>
      <c r="S165" s="49"/>
      <c r="U165" s="112"/>
    </row>
    <row r="166" spans="1:21" outlineLevel="2" x14ac:dyDescent="0.3">
      <c r="A166" s="40" t="str">
        <f>VLOOKUP(B166,Grupos!$A$2:$B$619,2,FALSE)</f>
        <v>TABLEROS 175 AMP BIMETALICO</v>
      </c>
      <c r="B166" s="41" t="s">
        <v>647</v>
      </c>
      <c r="C166" s="41" t="s">
        <v>648</v>
      </c>
      <c r="D166" s="42">
        <v>17</v>
      </c>
      <c r="E166" s="43">
        <v>69317.88</v>
      </c>
      <c r="F166" s="43">
        <v>9511.84</v>
      </c>
      <c r="G166" s="126">
        <f t="shared" si="22"/>
        <v>78829.72</v>
      </c>
      <c r="H166" s="127">
        <f t="shared" si="23"/>
        <v>1178403.96</v>
      </c>
      <c r="I166" s="128">
        <f t="shared" si="24"/>
        <v>161701.28</v>
      </c>
      <c r="J166" s="128">
        <f t="shared" si="25"/>
        <v>1340105.24</v>
      </c>
      <c r="K166" s="44">
        <f t="shared" si="26"/>
        <v>1.0068443593354607E-3</v>
      </c>
      <c r="L166" s="45">
        <f t="shared" si="27"/>
        <v>15321.738348372717</v>
      </c>
      <c r="M166" s="45">
        <f t="shared" si="28"/>
        <v>51081.715292297748</v>
      </c>
      <c r="N166" s="45">
        <f t="shared" si="29"/>
        <v>145233.17364067046</v>
      </c>
      <c r="O166" s="46">
        <f t="shared" si="30"/>
        <v>2468963.9518913976</v>
      </c>
      <c r="P166" s="47">
        <f t="shared" si="31"/>
        <v>322990.41294117644</v>
      </c>
      <c r="Q166" s="42">
        <v>5490837.0199999996</v>
      </c>
      <c r="R166" s="48">
        <f t="shared" si="32"/>
        <v>0.44965165472920882</v>
      </c>
      <c r="S166" s="49"/>
      <c r="U166" s="112"/>
    </row>
    <row r="167" spans="1:21" outlineLevel="2" x14ac:dyDescent="0.3">
      <c r="A167" s="40" t="str">
        <f>VLOOKUP(B167,Grupos!$A$2:$B$619,2,FALSE)</f>
        <v>TABLEROS 175 AMP BIMETALICO</v>
      </c>
      <c r="B167" s="41" t="s">
        <v>245</v>
      </c>
      <c r="C167" s="41" t="s">
        <v>246</v>
      </c>
      <c r="D167" s="42">
        <v>10</v>
      </c>
      <c r="E167" s="43">
        <v>93045.14</v>
      </c>
      <c r="F167" s="43">
        <v>12234.02</v>
      </c>
      <c r="G167" s="126">
        <f t="shared" si="22"/>
        <v>105279.16</v>
      </c>
      <c r="H167" s="127">
        <f t="shared" si="23"/>
        <v>930451.4</v>
      </c>
      <c r="I167" s="128">
        <f t="shared" si="24"/>
        <v>122340.20000000001</v>
      </c>
      <c r="J167" s="128">
        <f t="shared" si="25"/>
        <v>1052791.6000000001</v>
      </c>
      <c r="K167" s="44">
        <f t="shared" si="26"/>
        <v>7.9098062777200608E-4</v>
      </c>
      <c r="L167" s="45">
        <f t="shared" si="27"/>
        <v>20462.583693770161</v>
      </c>
      <c r="M167" s="45">
        <f t="shared" si="28"/>
        <v>65700.718948203124</v>
      </c>
      <c r="N167" s="45">
        <f t="shared" si="29"/>
        <v>191442.46264197328</v>
      </c>
      <c r="O167" s="46">
        <f t="shared" si="30"/>
        <v>1914424.6264197328</v>
      </c>
      <c r="P167" s="47">
        <f t="shared" si="31"/>
        <v>424860.40700000001</v>
      </c>
      <c r="Q167" s="42">
        <v>4248604.07</v>
      </c>
      <c r="R167" s="48">
        <f t="shared" si="32"/>
        <v>0.45060085498146518</v>
      </c>
      <c r="S167" s="49"/>
      <c r="U167" s="112"/>
    </row>
    <row r="168" spans="1:21" s="93" customFormat="1" outlineLevel="1" x14ac:dyDescent="0.3">
      <c r="A168" s="50" t="s">
        <v>1034</v>
      </c>
      <c r="B168" s="129"/>
      <c r="C168" s="129"/>
      <c r="D168" s="51">
        <f>SUBTOTAL(9,D156:D167)</f>
        <v>742</v>
      </c>
      <c r="E168" s="52"/>
      <c r="F168" s="52"/>
      <c r="G168" s="130"/>
      <c r="H168" s="131">
        <f>SUBTOTAL(9,H156:H167)</f>
        <v>48845262.189999998</v>
      </c>
      <c r="I168" s="146">
        <f>SUBTOTAL(9,I156:I167)</f>
        <v>8139270.3000000007</v>
      </c>
      <c r="J168" s="146">
        <f>SUBTOTAL(9,J156:J167)</f>
        <v>56984532.489999995</v>
      </c>
      <c r="K168" s="53"/>
      <c r="L168" s="54"/>
      <c r="M168" s="54"/>
      <c r="N168" s="54"/>
      <c r="O168" s="55">
        <f>SUBTOTAL(9,O156:O167)</f>
        <v>111770894.71008655</v>
      </c>
      <c r="P168" s="56"/>
      <c r="Q168" s="51">
        <f>SUBTOTAL(9,Q156:Q167)</f>
        <v>175968365.86000001</v>
      </c>
      <c r="R168" s="57">
        <f>O168/Q168</f>
        <v>0.63517606794741277</v>
      </c>
      <c r="S168" s="58">
        <f>Q168/$Q$293</f>
        <v>5.360613577250984E-2</v>
      </c>
      <c r="U168" s="147"/>
    </row>
    <row r="169" spans="1:21" outlineLevel="2" x14ac:dyDescent="0.3">
      <c r="A169" s="40" t="str">
        <f>VLOOKUP(B169,Grupos!$A$2:$B$619,2,FALSE)</f>
        <v>TABLEROS 225 AMP COBRE</v>
      </c>
      <c r="B169" s="41" t="s">
        <v>247</v>
      </c>
      <c r="C169" s="41" t="s">
        <v>248</v>
      </c>
      <c r="D169" s="42">
        <v>63</v>
      </c>
      <c r="E169" s="43">
        <v>73640.759999999995</v>
      </c>
      <c r="F169" s="43">
        <v>3798.81</v>
      </c>
      <c r="G169" s="126">
        <f t="shared" si="22"/>
        <v>77439.569999999992</v>
      </c>
      <c r="H169" s="127">
        <f t="shared" si="23"/>
        <v>4639367.88</v>
      </c>
      <c r="I169" s="128">
        <f t="shared" si="24"/>
        <v>239325.03</v>
      </c>
      <c r="J169" s="128">
        <f t="shared" si="25"/>
        <v>4878692.9099999992</v>
      </c>
      <c r="K169" s="44">
        <f t="shared" si="26"/>
        <v>3.6654467804061448E-3</v>
      </c>
      <c r="L169" s="45">
        <f t="shared" si="27"/>
        <v>15051.541846786888</v>
      </c>
      <c r="M169" s="45">
        <f t="shared" si="28"/>
        <v>20400.861544089639</v>
      </c>
      <c r="N169" s="45">
        <f t="shared" si="29"/>
        <v>112891.97339087652</v>
      </c>
      <c r="O169" s="46">
        <f t="shared" si="30"/>
        <v>7112194.3236252209</v>
      </c>
      <c r="P169" s="47">
        <f t="shared" si="31"/>
        <v>233614.77555555553</v>
      </c>
      <c r="Q169" s="42">
        <v>14717730.859999999</v>
      </c>
      <c r="R169" s="48">
        <f t="shared" si="32"/>
        <v>0.48323986837908661</v>
      </c>
      <c r="S169" s="49"/>
      <c r="U169" s="112"/>
    </row>
    <row r="170" spans="1:21" outlineLevel="2" x14ac:dyDescent="0.3">
      <c r="A170" s="40" t="str">
        <f>VLOOKUP(B170,Grupos!$A$2:$B$619,2,FALSE)</f>
        <v>TABLEROS 225 AMP COBRE</v>
      </c>
      <c r="B170" s="41" t="s">
        <v>249</v>
      </c>
      <c r="C170" s="41" t="s">
        <v>250</v>
      </c>
      <c r="D170" s="42">
        <v>75</v>
      </c>
      <c r="E170" s="43">
        <v>74653.7</v>
      </c>
      <c r="F170" s="43">
        <v>10076.77</v>
      </c>
      <c r="G170" s="126">
        <f t="shared" si="22"/>
        <v>84730.47</v>
      </c>
      <c r="H170" s="127">
        <f t="shared" si="23"/>
        <v>5599027.5</v>
      </c>
      <c r="I170" s="128">
        <f t="shared" si="24"/>
        <v>755757.75</v>
      </c>
      <c r="J170" s="128">
        <f t="shared" si="25"/>
        <v>6354785.25</v>
      </c>
      <c r="K170" s="44">
        <f t="shared" si="26"/>
        <v>4.7744606115790473E-3</v>
      </c>
      <c r="L170" s="45">
        <f t="shared" si="27"/>
        <v>16468.637608691799</v>
      </c>
      <c r="M170" s="45">
        <f t="shared" si="28"/>
        <v>54115.575556986572</v>
      </c>
      <c r="N170" s="45">
        <f t="shared" si="29"/>
        <v>155314.68316567838</v>
      </c>
      <c r="O170" s="46">
        <f t="shared" si="30"/>
        <v>11648601.237425879</v>
      </c>
      <c r="P170" s="47">
        <f t="shared" si="31"/>
        <v>233110.79853333335</v>
      </c>
      <c r="Q170" s="42">
        <v>17483309.890000001</v>
      </c>
      <c r="R170" s="48">
        <f t="shared" si="32"/>
        <v>0.66626979163073552</v>
      </c>
      <c r="S170" s="49"/>
      <c r="U170" s="112"/>
    </row>
    <row r="171" spans="1:21" outlineLevel="2" x14ac:dyDescent="0.3">
      <c r="A171" s="40" t="str">
        <f>VLOOKUP(B171,Grupos!$A$2:$B$619,2,FALSE)</f>
        <v>TABLEROS 225 AMP COBRE</v>
      </c>
      <c r="B171" s="41" t="s">
        <v>251</v>
      </c>
      <c r="C171" s="41" t="s">
        <v>252</v>
      </c>
      <c r="D171" s="42">
        <v>40</v>
      </c>
      <c r="E171" s="43">
        <v>75977.87</v>
      </c>
      <c r="F171" s="43">
        <v>3208.55</v>
      </c>
      <c r="G171" s="126">
        <f t="shared" si="22"/>
        <v>79186.42</v>
      </c>
      <c r="H171" s="127">
        <f t="shared" si="23"/>
        <v>3039114.8</v>
      </c>
      <c r="I171" s="128">
        <f t="shared" si="24"/>
        <v>128342</v>
      </c>
      <c r="J171" s="128">
        <f t="shared" si="25"/>
        <v>3167456.8</v>
      </c>
      <c r="K171" s="44">
        <f t="shared" si="26"/>
        <v>2.3797653477713055E-3</v>
      </c>
      <c r="L171" s="45">
        <f t="shared" si="27"/>
        <v>15391.068343060822</v>
      </c>
      <c r="M171" s="45">
        <f t="shared" si="28"/>
        <v>17230.970832257684</v>
      </c>
      <c r="N171" s="45">
        <f t="shared" si="29"/>
        <v>111808.45917531851</v>
      </c>
      <c r="O171" s="46">
        <f t="shared" si="30"/>
        <v>4472338.3670127401</v>
      </c>
      <c r="P171" s="47">
        <f t="shared" si="31"/>
        <v>173921.89799999999</v>
      </c>
      <c r="Q171" s="42">
        <v>6956875.9199999999</v>
      </c>
      <c r="R171" s="48">
        <f t="shared" si="32"/>
        <v>0.64286590970458768</v>
      </c>
      <c r="S171" s="49"/>
      <c r="U171" s="112"/>
    </row>
    <row r="172" spans="1:21" outlineLevel="2" x14ac:dyDescent="0.3">
      <c r="A172" s="40" t="str">
        <f>VLOOKUP(B172,Grupos!$A$2:$B$619,2,FALSE)</f>
        <v>TABLEROS 225 AMP COBRE</v>
      </c>
      <c r="B172" s="41" t="s">
        <v>253</v>
      </c>
      <c r="C172" s="41" t="s">
        <v>254</v>
      </c>
      <c r="D172" s="42">
        <v>18</v>
      </c>
      <c r="E172" s="43">
        <v>76799.360000000001</v>
      </c>
      <c r="F172" s="43">
        <v>3209</v>
      </c>
      <c r="G172" s="126">
        <f t="shared" si="22"/>
        <v>80008.36</v>
      </c>
      <c r="H172" s="127">
        <f t="shared" si="23"/>
        <v>1382388.48</v>
      </c>
      <c r="I172" s="128">
        <f t="shared" si="24"/>
        <v>57762</v>
      </c>
      <c r="J172" s="128">
        <f t="shared" si="25"/>
        <v>1440150.48</v>
      </c>
      <c r="K172" s="44">
        <f t="shared" si="26"/>
        <v>1.0820100870452952E-3</v>
      </c>
      <c r="L172" s="45">
        <f t="shared" si="27"/>
        <v>15550.824709289973</v>
      </c>
      <c r="M172" s="45">
        <f t="shared" si="28"/>
        <v>17233.387480548816</v>
      </c>
      <c r="N172" s="45">
        <f t="shared" si="29"/>
        <v>112792.57218983879</v>
      </c>
      <c r="O172" s="46">
        <f t="shared" si="30"/>
        <v>2030266.2994170981</v>
      </c>
      <c r="P172" s="47">
        <f t="shared" si="31"/>
        <v>166695.10999999999</v>
      </c>
      <c r="Q172" s="42">
        <v>3000511.98</v>
      </c>
      <c r="R172" s="48">
        <f t="shared" si="32"/>
        <v>0.67663995776384067</v>
      </c>
      <c r="S172" s="49"/>
      <c r="U172" s="112"/>
    </row>
    <row r="173" spans="1:21" outlineLevel="2" x14ac:dyDescent="0.3">
      <c r="A173" s="40" t="str">
        <f>VLOOKUP(B173,Grupos!$A$2:$B$619,2,FALSE)</f>
        <v>TABLEROS 225 AMP COBRE</v>
      </c>
      <c r="B173" s="41" t="s">
        <v>255</v>
      </c>
      <c r="C173" s="41" t="s">
        <v>256</v>
      </c>
      <c r="D173" s="42">
        <v>50</v>
      </c>
      <c r="E173" s="43">
        <v>90820.7</v>
      </c>
      <c r="F173" s="43">
        <v>5342.52</v>
      </c>
      <c r="G173" s="126">
        <f t="shared" si="22"/>
        <v>96163.22</v>
      </c>
      <c r="H173" s="127">
        <f t="shared" si="23"/>
        <v>4541035</v>
      </c>
      <c r="I173" s="128">
        <f t="shared" si="24"/>
        <v>267126</v>
      </c>
      <c r="J173" s="128">
        <f t="shared" si="25"/>
        <v>4808161</v>
      </c>
      <c r="K173" s="44">
        <f t="shared" si="26"/>
        <v>3.6124549304998974E-3</v>
      </c>
      <c r="L173" s="45">
        <f t="shared" si="27"/>
        <v>18690.764036419288</v>
      </c>
      <c r="M173" s="45">
        <f t="shared" si="28"/>
        <v>28691.092951879611</v>
      </c>
      <c r="N173" s="45">
        <f t="shared" si="29"/>
        <v>143545.07698829891</v>
      </c>
      <c r="O173" s="46">
        <f t="shared" si="30"/>
        <v>7177253.8494149456</v>
      </c>
      <c r="P173" s="47">
        <f t="shared" si="31"/>
        <v>280383.011</v>
      </c>
      <c r="Q173" s="42">
        <v>14019150.550000001</v>
      </c>
      <c r="R173" s="48">
        <f t="shared" si="32"/>
        <v>0.51196068005810413</v>
      </c>
      <c r="S173" s="49"/>
      <c r="U173" s="112"/>
    </row>
    <row r="174" spans="1:21" outlineLevel="2" x14ac:dyDescent="0.3">
      <c r="A174" s="40" t="str">
        <f>VLOOKUP(B174,Grupos!$A$2:$B$619,2,FALSE)</f>
        <v>TABLEROS 225 AMP COBRE</v>
      </c>
      <c r="B174" s="41" t="s">
        <v>257</v>
      </c>
      <c r="C174" s="41" t="s">
        <v>258</v>
      </c>
      <c r="D174" s="42">
        <v>81</v>
      </c>
      <c r="E174" s="43">
        <v>91881.25</v>
      </c>
      <c r="F174" s="43">
        <v>10682.07</v>
      </c>
      <c r="G174" s="126">
        <f t="shared" si="22"/>
        <v>102563.32</v>
      </c>
      <c r="H174" s="127">
        <f t="shared" si="23"/>
        <v>7442381.25</v>
      </c>
      <c r="I174" s="128">
        <f t="shared" si="24"/>
        <v>865247.66999999993</v>
      </c>
      <c r="J174" s="128">
        <f t="shared" si="25"/>
        <v>8307628.9200000009</v>
      </c>
      <c r="K174" s="44">
        <f t="shared" si="26"/>
        <v>6.241666003450704E-3</v>
      </c>
      <c r="L174" s="45">
        <f t="shared" si="27"/>
        <v>19934.719458351781</v>
      </c>
      <c r="M174" s="45">
        <f t="shared" si="28"/>
        <v>57366.236025037739</v>
      </c>
      <c r="N174" s="45">
        <f t="shared" si="29"/>
        <v>179864.27548338953</v>
      </c>
      <c r="O174" s="46">
        <f t="shared" si="30"/>
        <v>14569006.314154552</v>
      </c>
      <c r="P174" s="47">
        <f t="shared" si="31"/>
        <v>279524.33123456786</v>
      </c>
      <c r="Q174" s="42">
        <v>22641470.829999998</v>
      </c>
      <c r="R174" s="48">
        <f t="shared" si="32"/>
        <v>0.64346554265593858</v>
      </c>
      <c r="S174" s="49"/>
      <c r="U174" s="112"/>
    </row>
    <row r="175" spans="1:21" outlineLevel="2" x14ac:dyDescent="0.3">
      <c r="A175" s="40" t="str">
        <f>VLOOKUP(B175,Grupos!$A$2:$B$619,2,FALSE)</f>
        <v>TABLEROS 225 AMP COBRE</v>
      </c>
      <c r="B175" s="41" t="s">
        <v>259</v>
      </c>
      <c r="C175" s="41" t="s">
        <v>260</v>
      </c>
      <c r="D175" s="42">
        <v>117</v>
      </c>
      <c r="E175" s="43">
        <v>92284.1</v>
      </c>
      <c r="F175" s="43">
        <v>4314.29</v>
      </c>
      <c r="G175" s="126">
        <f t="shared" si="22"/>
        <v>96598.39</v>
      </c>
      <c r="H175" s="127">
        <f t="shared" si="23"/>
        <v>10797239.700000001</v>
      </c>
      <c r="I175" s="128">
        <f t="shared" si="24"/>
        <v>504771.93</v>
      </c>
      <c r="J175" s="128">
        <f t="shared" si="25"/>
        <v>11302011.630000001</v>
      </c>
      <c r="K175" s="44">
        <f t="shared" si="26"/>
        <v>8.4913977791843259E-3</v>
      </c>
      <c r="L175" s="45">
        <f t="shared" si="27"/>
        <v>18775.345852478786</v>
      </c>
      <c r="M175" s="45">
        <f t="shared" si="28"/>
        <v>23169.159013230586</v>
      </c>
      <c r="N175" s="45">
        <f t="shared" si="29"/>
        <v>138542.89486570936</v>
      </c>
      <c r="O175" s="46">
        <f t="shared" si="30"/>
        <v>16209518.699287996</v>
      </c>
      <c r="P175" s="47">
        <f t="shared" si="31"/>
        <v>217989.76068376069</v>
      </c>
      <c r="Q175" s="42">
        <v>25504802</v>
      </c>
      <c r="R175" s="48">
        <f t="shared" si="32"/>
        <v>0.6355477176136477</v>
      </c>
      <c r="S175" s="49"/>
      <c r="U175" s="112"/>
    </row>
    <row r="176" spans="1:21" outlineLevel="2" x14ac:dyDescent="0.3">
      <c r="A176" s="40" t="str">
        <f>VLOOKUP(B176,Grupos!$A$2:$B$619,2,FALSE)</f>
        <v>TABLEROS 225 AMP COBRE</v>
      </c>
      <c r="B176" s="41" t="s">
        <v>261</v>
      </c>
      <c r="C176" s="41" t="s">
        <v>262</v>
      </c>
      <c r="D176" s="42">
        <v>140</v>
      </c>
      <c r="E176" s="43">
        <v>93153.17</v>
      </c>
      <c r="F176" s="43">
        <v>4314</v>
      </c>
      <c r="G176" s="126">
        <f t="shared" si="22"/>
        <v>97467.17</v>
      </c>
      <c r="H176" s="127">
        <f t="shared" si="23"/>
        <v>13041443.799999999</v>
      </c>
      <c r="I176" s="128">
        <f t="shared" si="24"/>
        <v>603960</v>
      </c>
      <c r="J176" s="128">
        <f t="shared" si="25"/>
        <v>13645403.799999999</v>
      </c>
      <c r="K176" s="44">
        <f t="shared" si="26"/>
        <v>1.0252029047274423E-2</v>
      </c>
      <c r="L176" s="45">
        <f t="shared" si="27"/>
        <v>18944.206275201319</v>
      </c>
      <c r="M176" s="45">
        <f t="shared" si="28"/>
        <v>23167.60161766519</v>
      </c>
      <c r="N176" s="45">
        <f t="shared" si="29"/>
        <v>139578.9778928665</v>
      </c>
      <c r="O176" s="46">
        <f t="shared" si="30"/>
        <v>19541056.905001309</v>
      </c>
      <c r="P176" s="47">
        <f t="shared" si="31"/>
        <v>207590.0722142857</v>
      </c>
      <c r="Q176" s="42">
        <v>29062610.109999999</v>
      </c>
      <c r="R176" s="48">
        <f t="shared" si="32"/>
        <v>0.67237790518607032</v>
      </c>
      <c r="S176" s="49"/>
      <c r="U176" s="112"/>
    </row>
    <row r="177" spans="1:21" outlineLevel="2" x14ac:dyDescent="0.3">
      <c r="A177" s="40" t="str">
        <f>VLOOKUP(B177,Grupos!$A$2:$B$619,2,FALSE)</f>
        <v>TABLEROS 225 AMP COBRE</v>
      </c>
      <c r="B177" s="41" t="s">
        <v>263</v>
      </c>
      <c r="C177" s="41" t="s">
        <v>264</v>
      </c>
      <c r="D177" s="42">
        <v>37</v>
      </c>
      <c r="E177" s="43">
        <v>98226.21</v>
      </c>
      <c r="F177" s="43">
        <v>4922.96</v>
      </c>
      <c r="G177" s="126">
        <f t="shared" si="22"/>
        <v>103149.17000000001</v>
      </c>
      <c r="H177" s="127">
        <f t="shared" si="23"/>
        <v>3634369.77</v>
      </c>
      <c r="I177" s="128">
        <f t="shared" si="24"/>
        <v>182149.52</v>
      </c>
      <c r="J177" s="128">
        <f t="shared" si="25"/>
        <v>3816519.2900000005</v>
      </c>
      <c r="K177" s="44">
        <f t="shared" si="26"/>
        <v>2.86741727793817E-3</v>
      </c>
      <c r="L177" s="45">
        <f t="shared" si="27"/>
        <v>20048.588192268311</v>
      </c>
      <c r="M177" s="45">
        <f t="shared" si="28"/>
        <v>26437.917491817578</v>
      </c>
      <c r="N177" s="45">
        <f t="shared" si="29"/>
        <v>149635.6756840859</v>
      </c>
      <c r="O177" s="46">
        <f t="shared" si="30"/>
        <v>5536520.0003111782</v>
      </c>
      <c r="P177" s="47">
        <f t="shared" si="31"/>
        <v>319307.26027027029</v>
      </c>
      <c r="Q177" s="42">
        <v>11814368.630000001</v>
      </c>
      <c r="R177" s="48">
        <f t="shared" si="32"/>
        <v>0.46862597348218832</v>
      </c>
      <c r="S177" s="49"/>
      <c r="U177" s="112"/>
    </row>
    <row r="178" spans="1:21" outlineLevel="2" x14ac:dyDescent="0.3">
      <c r="A178" s="40" t="str">
        <f>VLOOKUP(B178,Grupos!$A$2:$B$619,2,FALSE)</f>
        <v>TABLEROS 225 AMP COBRE</v>
      </c>
      <c r="B178" s="41" t="s">
        <v>265</v>
      </c>
      <c r="C178" s="41" t="s">
        <v>266</v>
      </c>
      <c r="D178" s="42">
        <v>75</v>
      </c>
      <c r="E178" s="43">
        <v>99334.34</v>
      </c>
      <c r="F178" s="43">
        <v>11341.21</v>
      </c>
      <c r="G178" s="126">
        <f t="shared" si="22"/>
        <v>110675.54999999999</v>
      </c>
      <c r="H178" s="127">
        <f t="shared" si="23"/>
        <v>7450075.5</v>
      </c>
      <c r="I178" s="128">
        <f t="shared" si="24"/>
        <v>850590.74999999988</v>
      </c>
      <c r="J178" s="128">
        <f t="shared" si="25"/>
        <v>8300666.2499999991</v>
      </c>
      <c r="K178" s="44">
        <f t="shared" si="26"/>
        <v>6.2364348284607339E-3</v>
      </c>
      <c r="L178" s="45">
        <f t="shared" si="27"/>
        <v>21511.453023837228</v>
      </c>
      <c r="M178" s="45">
        <f t="shared" si="28"/>
        <v>60906.035035299166</v>
      </c>
      <c r="N178" s="45">
        <f t="shared" si="29"/>
        <v>193093.03805913639</v>
      </c>
      <c r="O178" s="46">
        <f t="shared" si="30"/>
        <v>14481977.85443523</v>
      </c>
      <c r="P178" s="47">
        <f t="shared" si="31"/>
        <v>326029.45880000002</v>
      </c>
      <c r="Q178" s="42">
        <v>24452209.41</v>
      </c>
      <c r="R178" s="48">
        <f t="shared" si="32"/>
        <v>0.59225641379108529</v>
      </c>
      <c r="S178" s="49"/>
      <c r="U178" s="112"/>
    </row>
    <row r="179" spans="1:21" outlineLevel="2" x14ac:dyDescent="0.3">
      <c r="A179" s="40" t="str">
        <f>VLOOKUP(B179,Grupos!$A$2:$B$619,2,FALSE)</f>
        <v>TABLEROS 225 AMP COBRE</v>
      </c>
      <c r="B179" s="41" t="s">
        <v>267</v>
      </c>
      <c r="C179" s="41" t="s">
        <v>268</v>
      </c>
      <c r="D179" s="42">
        <v>7</v>
      </c>
      <c r="E179" s="43">
        <v>126828.63</v>
      </c>
      <c r="F179" s="43">
        <v>4575.1899999999996</v>
      </c>
      <c r="G179" s="126">
        <f t="shared" si="22"/>
        <v>131403.82</v>
      </c>
      <c r="H179" s="127">
        <f t="shared" si="23"/>
        <v>887800.41</v>
      </c>
      <c r="I179" s="128">
        <f t="shared" si="24"/>
        <v>32026.329999999998</v>
      </c>
      <c r="J179" s="128">
        <f t="shared" si="25"/>
        <v>919826.74</v>
      </c>
      <c r="K179" s="44">
        <f t="shared" si="26"/>
        <v>6.9108181737646628E-4</v>
      </c>
      <c r="L179" s="45">
        <f t="shared" si="27"/>
        <v>25540.303175206842</v>
      </c>
      <c r="M179" s="45">
        <f t="shared" si="28"/>
        <v>24570.277989134353</v>
      </c>
      <c r="N179" s="45">
        <f t="shared" si="29"/>
        <v>181514.40116434119</v>
      </c>
      <c r="O179" s="46">
        <f t="shared" si="30"/>
        <v>1270600.8081503883</v>
      </c>
      <c r="P179" s="47">
        <f t="shared" si="31"/>
        <v>377100.86428571428</v>
      </c>
      <c r="Q179" s="42">
        <v>2639706.0499999998</v>
      </c>
      <c r="R179" s="48">
        <f t="shared" si="32"/>
        <v>0.48134177976005638</v>
      </c>
      <c r="S179" s="49"/>
      <c r="U179" s="112"/>
    </row>
    <row r="180" spans="1:21" outlineLevel="2" x14ac:dyDescent="0.3">
      <c r="A180" s="40" t="str">
        <f>VLOOKUP(B180,Grupos!$A$2:$B$619,2,FALSE)</f>
        <v>TABLEROS 225 AMP COBRE</v>
      </c>
      <c r="B180" s="41" t="s">
        <v>269</v>
      </c>
      <c r="C180" s="41" t="s">
        <v>270</v>
      </c>
      <c r="D180" s="42">
        <v>9</v>
      </c>
      <c r="E180" s="43">
        <v>127982.03</v>
      </c>
      <c r="F180" s="43">
        <v>10663.99</v>
      </c>
      <c r="G180" s="126">
        <f t="shared" si="22"/>
        <v>138646.01999999999</v>
      </c>
      <c r="H180" s="127">
        <f t="shared" si="23"/>
        <v>1151838.27</v>
      </c>
      <c r="I180" s="128">
        <f t="shared" si="24"/>
        <v>95975.91</v>
      </c>
      <c r="J180" s="128">
        <f t="shared" si="25"/>
        <v>1247814.18</v>
      </c>
      <c r="K180" s="44">
        <f t="shared" si="26"/>
        <v>9.3750448183592156E-4</v>
      </c>
      <c r="L180" s="45">
        <f t="shared" si="27"/>
        <v>26947.933361722593</v>
      </c>
      <c r="M180" s="45">
        <f t="shared" si="28"/>
        <v>57269.140467029538</v>
      </c>
      <c r="N180" s="45">
        <f t="shared" si="29"/>
        <v>222863.09382875211</v>
      </c>
      <c r="O180" s="46">
        <f t="shared" si="30"/>
        <v>2005767.8444587691</v>
      </c>
      <c r="P180" s="47">
        <f t="shared" si="31"/>
        <v>403412.2288888889</v>
      </c>
      <c r="Q180" s="42">
        <v>3630710.06</v>
      </c>
      <c r="R180" s="48">
        <f t="shared" si="32"/>
        <v>0.55244506207107291</v>
      </c>
      <c r="S180" s="49"/>
      <c r="U180" s="112"/>
    </row>
    <row r="181" spans="1:21" outlineLevel="2" x14ac:dyDescent="0.3">
      <c r="A181" s="40" t="str">
        <f>VLOOKUP(B181,Grupos!$A$2:$B$619,2,FALSE)</f>
        <v>TABLEROS 225 AMP COBRE</v>
      </c>
      <c r="B181" s="41" t="s">
        <v>271</v>
      </c>
      <c r="C181" s="41" t="s">
        <v>272</v>
      </c>
      <c r="D181" s="42">
        <v>15</v>
      </c>
      <c r="E181" s="43">
        <v>127187.47</v>
      </c>
      <c r="F181" s="43">
        <v>5755.8</v>
      </c>
      <c r="G181" s="126">
        <f t="shared" si="22"/>
        <v>132943.26999999999</v>
      </c>
      <c r="H181" s="127">
        <f t="shared" si="23"/>
        <v>1907812.05</v>
      </c>
      <c r="I181" s="128">
        <f t="shared" si="24"/>
        <v>86337</v>
      </c>
      <c r="J181" s="128">
        <f t="shared" si="25"/>
        <v>1994149.0499999998</v>
      </c>
      <c r="K181" s="44">
        <f t="shared" si="26"/>
        <v>1.4982388417992213E-3</v>
      </c>
      <c r="L181" s="45">
        <f t="shared" si="27"/>
        <v>25839.518370952832</v>
      </c>
      <c r="M181" s="45">
        <f t="shared" si="28"/>
        <v>30910.542742456491</v>
      </c>
      <c r="N181" s="45">
        <f t="shared" si="29"/>
        <v>189693.33111340931</v>
      </c>
      <c r="O181" s="46">
        <f t="shared" si="30"/>
        <v>2845399.9667011397</v>
      </c>
      <c r="P181" s="47">
        <f t="shared" si="31"/>
        <v>289122.9966666667</v>
      </c>
      <c r="Q181" s="42">
        <v>4336844.95</v>
      </c>
      <c r="R181" s="48">
        <f t="shared" si="32"/>
        <v>0.65609907651901167</v>
      </c>
      <c r="S181" s="49"/>
      <c r="U181" s="112"/>
    </row>
    <row r="182" spans="1:21" outlineLevel="2" x14ac:dyDescent="0.3">
      <c r="A182" s="40" t="str">
        <f>VLOOKUP(B182,Grupos!$A$2:$B$619,2,FALSE)</f>
        <v>TABLEROS 225 AMP COBRE</v>
      </c>
      <c r="B182" s="41" t="s">
        <v>273</v>
      </c>
      <c r="C182" s="41" t="s">
        <v>274</v>
      </c>
      <c r="D182" s="42">
        <v>26</v>
      </c>
      <c r="E182" s="43">
        <v>128165.39</v>
      </c>
      <c r="F182" s="43">
        <v>5756</v>
      </c>
      <c r="G182" s="126">
        <f t="shared" si="22"/>
        <v>133921.39000000001</v>
      </c>
      <c r="H182" s="127">
        <f t="shared" si="23"/>
        <v>3332300.14</v>
      </c>
      <c r="I182" s="128">
        <f t="shared" si="24"/>
        <v>149656</v>
      </c>
      <c r="J182" s="128">
        <f t="shared" si="25"/>
        <v>3481956.1400000006</v>
      </c>
      <c r="K182" s="44">
        <f t="shared" si="26"/>
        <v>2.6160541682625424E-3</v>
      </c>
      <c r="L182" s="45">
        <f t="shared" si="27"/>
        <v>26029.63066252651</v>
      </c>
      <c r="M182" s="45">
        <f t="shared" si="28"/>
        <v>30911.616808363662</v>
      </c>
      <c r="N182" s="45">
        <f t="shared" si="29"/>
        <v>190862.63747089019</v>
      </c>
      <c r="O182" s="46">
        <f t="shared" si="30"/>
        <v>4962428.5742431451</v>
      </c>
      <c r="P182" s="47">
        <f t="shared" si="31"/>
        <v>292591.84615384613</v>
      </c>
      <c r="Q182" s="42">
        <v>7607388</v>
      </c>
      <c r="R182" s="48">
        <f t="shared" si="32"/>
        <v>0.65231700739375265</v>
      </c>
      <c r="S182" s="49"/>
      <c r="U182" s="112"/>
    </row>
    <row r="183" spans="1:21" outlineLevel="2" x14ac:dyDescent="0.3">
      <c r="A183" s="40" t="str">
        <f>VLOOKUP(B183,Grupos!$A$2:$B$619,2,FALSE)</f>
        <v>TABLEROS 225 AMP COBRE</v>
      </c>
      <c r="B183" s="41" t="s">
        <v>275</v>
      </c>
      <c r="C183" s="41" t="s">
        <v>276</v>
      </c>
      <c r="D183" s="42">
        <v>33</v>
      </c>
      <c r="E183" s="43">
        <v>143087.16</v>
      </c>
      <c r="F183" s="43">
        <v>6566.42</v>
      </c>
      <c r="G183" s="126">
        <f t="shared" si="22"/>
        <v>149653.58000000002</v>
      </c>
      <c r="H183" s="127">
        <f t="shared" si="23"/>
        <v>4721876.28</v>
      </c>
      <c r="I183" s="128">
        <f t="shared" si="24"/>
        <v>216691.86000000002</v>
      </c>
      <c r="J183" s="128">
        <f t="shared" si="25"/>
        <v>4938568.1400000006</v>
      </c>
      <c r="K183" s="44">
        <f t="shared" si="26"/>
        <v>3.7104320814034118E-3</v>
      </c>
      <c r="L183" s="45">
        <f t="shared" si="27"/>
        <v>29087.417736067877</v>
      </c>
      <c r="M183" s="45">
        <f t="shared" si="28"/>
        <v>35263.839270808778</v>
      </c>
      <c r="N183" s="45">
        <f t="shared" si="29"/>
        <v>214004.83700687665</v>
      </c>
      <c r="O183" s="46">
        <f t="shared" si="30"/>
        <v>7062159.6212269291</v>
      </c>
      <c r="P183" s="47">
        <f t="shared" si="31"/>
        <v>430890.2403030303</v>
      </c>
      <c r="Q183" s="42">
        <v>14219377.93</v>
      </c>
      <c r="R183" s="48">
        <f t="shared" si="32"/>
        <v>0.4966574245366393</v>
      </c>
      <c r="S183" s="49"/>
      <c r="U183" s="112"/>
    </row>
    <row r="184" spans="1:21" outlineLevel="2" x14ac:dyDescent="0.3">
      <c r="A184" s="40" t="str">
        <f>VLOOKUP(B184,Grupos!$A$2:$B$619,2,FALSE)</f>
        <v>TABLEROS 225 AMP COBRE</v>
      </c>
      <c r="B184" s="41" t="s">
        <v>277</v>
      </c>
      <c r="C184" s="41" t="s">
        <v>278</v>
      </c>
      <c r="D184" s="42">
        <v>18</v>
      </c>
      <c r="E184" s="43">
        <v>144288.14000000001</v>
      </c>
      <c r="F184" s="43">
        <v>12351.2</v>
      </c>
      <c r="G184" s="126">
        <f t="shared" si="22"/>
        <v>156639.34000000003</v>
      </c>
      <c r="H184" s="127">
        <f t="shared" si="23"/>
        <v>2597186.5200000005</v>
      </c>
      <c r="I184" s="128">
        <f t="shared" si="24"/>
        <v>222321.6</v>
      </c>
      <c r="J184" s="128">
        <f t="shared" si="25"/>
        <v>2819508.1200000006</v>
      </c>
      <c r="K184" s="44">
        <f t="shared" si="26"/>
        <v>2.1183454567512399E-3</v>
      </c>
      <c r="L184" s="45">
        <f t="shared" si="27"/>
        <v>30445.204962567328</v>
      </c>
      <c r="M184" s="45">
        <f t="shared" si="28"/>
        <v>66330.014163214262</v>
      </c>
      <c r="N184" s="45">
        <f t="shared" si="29"/>
        <v>253414.55912578164</v>
      </c>
      <c r="O184" s="46">
        <f t="shared" si="30"/>
        <v>4561462.0642640693</v>
      </c>
      <c r="P184" s="47">
        <f t="shared" si="31"/>
        <v>430943.33166666667</v>
      </c>
      <c r="Q184" s="42">
        <v>7756979.9699999997</v>
      </c>
      <c r="R184" s="48">
        <f t="shared" si="32"/>
        <v>0.58804613160088759</v>
      </c>
      <c r="S184" s="49"/>
      <c r="U184" s="112"/>
    </row>
    <row r="185" spans="1:21" outlineLevel="2" x14ac:dyDescent="0.3">
      <c r="A185" s="40" t="str">
        <f>VLOOKUP(B185,Grupos!$A$2:$B$619,2,FALSE)</f>
        <v>TABLEROS 225 AMP COBRE</v>
      </c>
      <c r="B185" s="41" t="s">
        <v>279</v>
      </c>
      <c r="C185" s="41" t="s">
        <v>280</v>
      </c>
      <c r="D185" s="42">
        <v>33</v>
      </c>
      <c r="E185" s="43">
        <v>40637.360000000001</v>
      </c>
      <c r="F185" s="43">
        <v>3025.62</v>
      </c>
      <c r="G185" s="126">
        <f t="shared" si="22"/>
        <v>43662.98</v>
      </c>
      <c r="H185" s="127">
        <f t="shared" si="23"/>
        <v>1341032.8800000001</v>
      </c>
      <c r="I185" s="128">
        <f t="shared" si="24"/>
        <v>99845.459999999992</v>
      </c>
      <c r="J185" s="128">
        <f t="shared" si="25"/>
        <v>1440878.34</v>
      </c>
      <c r="K185" s="44">
        <f t="shared" si="26"/>
        <v>1.0825569409143138E-3</v>
      </c>
      <c r="L185" s="45">
        <f t="shared" si="27"/>
        <v>8486.5550083170547</v>
      </c>
      <c r="M185" s="45">
        <f t="shared" si="28"/>
        <v>16248.576450264291</v>
      </c>
      <c r="N185" s="45">
        <f t="shared" si="29"/>
        <v>68398.111458581348</v>
      </c>
      <c r="O185" s="46">
        <f t="shared" si="30"/>
        <v>2257137.6781331846</v>
      </c>
      <c r="P185" s="47">
        <f t="shared" si="31"/>
        <v>105462.00272727272</v>
      </c>
      <c r="Q185" s="42">
        <v>3480246.09</v>
      </c>
      <c r="R185" s="48">
        <f t="shared" si="32"/>
        <v>0.64855691803483495</v>
      </c>
      <c r="S185" s="49"/>
      <c r="U185" s="112"/>
    </row>
    <row r="186" spans="1:21" outlineLevel="2" x14ac:dyDescent="0.3">
      <c r="A186" s="40" t="str">
        <f>VLOOKUP(B186,Grupos!$A$2:$B$619,2,FALSE)</f>
        <v>TABLEROS 225 AMP COBRE</v>
      </c>
      <c r="B186" s="41" t="s">
        <v>281</v>
      </c>
      <c r="C186" s="41" t="s">
        <v>282</v>
      </c>
      <c r="D186" s="42">
        <v>21</v>
      </c>
      <c r="E186" s="43">
        <v>41308.120000000003</v>
      </c>
      <c r="F186" s="43">
        <v>2858.03</v>
      </c>
      <c r="G186" s="126">
        <f t="shared" si="22"/>
        <v>44166.15</v>
      </c>
      <c r="H186" s="127">
        <f t="shared" si="23"/>
        <v>867470.52</v>
      </c>
      <c r="I186" s="128">
        <f t="shared" si="24"/>
        <v>60018.630000000005</v>
      </c>
      <c r="J186" s="128">
        <f t="shared" si="25"/>
        <v>927489.15</v>
      </c>
      <c r="K186" s="44">
        <f t="shared" si="26"/>
        <v>6.9683871919069666E-4</v>
      </c>
      <c r="L186" s="45">
        <f t="shared" si="27"/>
        <v>8584.3536442217701</v>
      </c>
      <c r="M186" s="45">
        <f t="shared" si="28"/>
        <v>15348.56292335087</v>
      </c>
      <c r="N186" s="45">
        <f t="shared" si="29"/>
        <v>68099.066567572634</v>
      </c>
      <c r="O186" s="46">
        <f t="shared" si="30"/>
        <v>1430080.3979190253</v>
      </c>
      <c r="P186" s="47">
        <f t="shared" si="31"/>
        <v>93473.142857142855</v>
      </c>
      <c r="Q186" s="42">
        <v>1962936</v>
      </c>
      <c r="R186" s="48">
        <f t="shared" si="32"/>
        <v>0.72854153060467852</v>
      </c>
      <c r="S186" s="49"/>
      <c r="U186" s="112"/>
    </row>
    <row r="187" spans="1:21" outlineLevel="2" x14ac:dyDescent="0.3">
      <c r="A187" s="40" t="str">
        <f>VLOOKUP(B187,Grupos!$A$2:$B$619,2,FALSE)</f>
        <v>TABLEROS 225 AMP COBRE</v>
      </c>
      <c r="B187" s="41" t="s">
        <v>283</v>
      </c>
      <c r="C187" s="41" t="s">
        <v>284</v>
      </c>
      <c r="D187" s="42">
        <v>118</v>
      </c>
      <c r="E187" s="43">
        <v>62896.31</v>
      </c>
      <c r="F187" s="43">
        <v>2880.46</v>
      </c>
      <c r="G187" s="126">
        <f t="shared" si="22"/>
        <v>65776.77</v>
      </c>
      <c r="H187" s="127">
        <f t="shared" si="23"/>
        <v>7421764.5800000001</v>
      </c>
      <c r="I187" s="128">
        <f t="shared" si="24"/>
        <v>339894.28</v>
      </c>
      <c r="J187" s="128">
        <f t="shared" si="25"/>
        <v>7761658.8600000003</v>
      </c>
      <c r="K187" s="44">
        <f t="shared" si="26"/>
        <v>5.8314692078042345E-3</v>
      </c>
      <c r="L187" s="45">
        <f t="shared" si="27"/>
        <v>12784.701751333028</v>
      </c>
      <c r="M187" s="45">
        <f t="shared" si="28"/>
        <v>15469.019414840028</v>
      </c>
      <c r="N187" s="45">
        <f t="shared" si="29"/>
        <v>94030.491166173073</v>
      </c>
      <c r="O187" s="46">
        <f t="shared" si="30"/>
        <v>11095597.957608422</v>
      </c>
      <c r="P187" s="47">
        <f t="shared" si="31"/>
        <v>147062.52627118645</v>
      </c>
      <c r="Q187" s="42">
        <v>17353378.100000001</v>
      </c>
      <c r="R187" s="48">
        <f t="shared" si="32"/>
        <v>0.63939124092550148</v>
      </c>
      <c r="S187" s="49"/>
      <c r="U187" s="112"/>
    </row>
    <row r="188" spans="1:21" outlineLevel="2" x14ac:dyDescent="0.3">
      <c r="A188" s="40" t="str">
        <f>VLOOKUP(B188,Grupos!$A$2:$B$619,2,FALSE)</f>
        <v>TABLEROS 225 AMP COBRE</v>
      </c>
      <c r="B188" s="41" t="s">
        <v>285</v>
      </c>
      <c r="C188" s="41" t="s">
        <v>286</v>
      </c>
      <c r="D188" s="42">
        <v>113</v>
      </c>
      <c r="E188" s="43">
        <v>63672.52</v>
      </c>
      <c r="F188" s="43">
        <v>2880</v>
      </c>
      <c r="G188" s="126">
        <f t="shared" si="22"/>
        <v>66552.51999999999</v>
      </c>
      <c r="H188" s="127">
        <f t="shared" si="23"/>
        <v>7194994.7599999998</v>
      </c>
      <c r="I188" s="128">
        <f t="shared" si="24"/>
        <v>325440</v>
      </c>
      <c r="J188" s="128">
        <f t="shared" si="25"/>
        <v>7520434.7599999988</v>
      </c>
      <c r="K188" s="44">
        <f t="shared" si="26"/>
        <v>5.6502333487303798E-3</v>
      </c>
      <c r="L188" s="45">
        <f t="shared" si="27"/>
        <v>12935.480398317313</v>
      </c>
      <c r="M188" s="45">
        <f t="shared" si="28"/>
        <v>15466.549063253535</v>
      </c>
      <c r="N188" s="45">
        <f t="shared" si="29"/>
        <v>94954.549461570845</v>
      </c>
      <c r="O188" s="46">
        <f t="shared" si="30"/>
        <v>10729864.089157505</v>
      </c>
      <c r="P188" s="47">
        <f t="shared" si="31"/>
        <v>139985.12371681415</v>
      </c>
      <c r="Q188" s="42">
        <v>15818318.98</v>
      </c>
      <c r="R188" s="48">
        <f t="shared" si="32"/>
        <v>0.67831885946438952</v>
      </c>
      <c r="S188" s="49"/>
      <c r="U188" s="112"/>
    </row>
    <row r="189" spans="1:21" outlineLevel="2" x14ac:dyDescent="0.3">
      <c r="A189" s="40" t="str">
        <f>VLOOKUP(B189,Grupos!$A$2:$B$619,2,FALSE)</f>
        <v>TABLEROS 225 AMP COBRE</v>
      </c>
      <c r="B189" s="41" t="s">
        <v>287</v>
      </c>
      <c r="C189" s="41" t="s">
        <v>288</v>
      </c>
      <c r="D189" s="42">
        <v>93</v>
      </c>
      <c r="E189" s="43">
        <v>77668.23</v>
      </c>
      <c r="F189" s="43">
        <v>3853.71</v>
      </c>
      <c r="G189" s="126">
        <f t="shared" si="22"/>
        <v>81521.94</v>
      </c>
      <c r="H189" s="127">
        <f t="shared" si="23"/>
        <v>7223145.3899999997</v>
      </c>
      <c r="I189" s="128">
        <f t="shared" si="24"/>
        <v>358395.03</v>
      </c>
      <c r="J189" s="128">
        <f t="shared" si="25"/>
        <v>7581540.4199999999</v>
      </c>
      <c r="K189" s="44">
        <f t="shared" si="26"/>
        <v>5.696143093172892E-3</v>
      </c>
      <c r="L189" s="45">
        <f t="shared" si="27"/>
        <v>15845.011682544857</v>
      </c>
      <c r="M189" s="45">
        <f t="shared" si="28"/>
        <v>20695.692635607909</v>
      </c>
      <c r="N189" s="45">
        <f t="shared" si="29"/>
        <v>118062.64431815277</v>
      </c>
      <c r="O189" s="46">
        <f t="shared" si="30"/>
        <v>10979825.921588209</v>
      </c>
      <c r="P189" s="47">
        <f t="shared" si="31"/>
        <v>245037.5882795699</v>
      </c>
      <c r="Q189" s="42">
        <v>22788495.710000001</v>
      </c>
      <c r="R189" s="48">
        <f t="shared" si="32"/>
        <v>0.48181442344042325</v>
      </c>
      <c r="S189" s="49"/>
      <c r="U189" s="112"/>
    </row>
    <row r="190" spans="1:21" outlineLevel="2" x14ac:dyDescent="0.3">
      <c r="A190" s="40" t="str">
        <f>VLOOKUP(B190,Grupos!$A$2:$B$619,2,FALSE)</f>
        <v>TABLEROS 225 AMP COBRE</v>
      </c>
      <c r="B190" s="41" t="s">
        <v>289</v>
      </c>
      <c r="C190" s="41" t="s">
        <v>290</v>
      </c>
      <c r="D190" s="42">
        <v>108</v>
      </c>
      <c r="E190" s="43">
        <v>78681.179999999993</v>
      </c>
      <c r="F190" s="43">
        <v>9712.75</v>
      </c>
      <c r="G190" s="126">
        <f t="shared" si="22"/>
        <v>88393.93</v>
      </c>
      <c r="H190" s="127">
        <f t="shared" si="23"/>
        <v>8497567.4399999995</v>
      </c>
      <c r="I190" s="128">
        <f t="shared" si="24"/>
        <v>1048977</v>
      </c>
      <c r="J190" s="128">
        <f t="shared" si="25"/>
        <v>9546544.4399999995</v>
      </c>
      <c r="K190" s="44">
        <f t="shared" si="26"/>
        <v>7.1724847673599913E-3</v>
      </c>
      <c r="L190" s="45">
        <f t="shared" si="27"/>
        <v>17180.68600325326</v>
      </c>
      <c r="M190" s="45">
        <f t="shared" si="28"/>
        <v>52160.668199345753</v>
      </c>
      <c r="N190" s="45">
        <f t="shared" si="29"/>
        <v>157735.284202599</v>
      </c>
      <c r="O190" s="46">
        <f t="shared" si="30"/>
        <v>17035410.693880692</v>
      </c>
      <c r="P190" s="47">
        <f t="shared" si="31"/>
        <v>227799.35712962964</v>
      </c>
      <c r="Q190" s="42">
        <v>24602330.57</v>
      </c>
      <c r="R190" s="48">
        <f t="shared" si="32"/>
        <v>0.69243076973584017</v>
      </c>
      <c r="S190" s="49"/>
      <c r="U190" s="112"/>
    </row>
    <row r="191" spans="1:21" outlineLevel="2" x14ac:dyDescent="0.3">
      <c r="A191" s="40" t="str">
        <f>VLOOKUP(B191,Grupos!$A$2:$B$619,2,FALSE)</f>
        <v>TABLEROS 225 AMP COBRE</v>
      </c>
      <c r="B191" s="41" t="s">
        <v>291</v>
      </c>
      <c r="C191" s="41" t="s">
        <v>292</v>
      </c>
      <c r="D191" s="42">
        <v>81</v>
      </c>
      <c r="E191" s="43">
        <v>81893.710000000006</v>
      </c>
      <c r="F191" s="43">
        <v>3492.65</v>
      </c>
      <c r="G191" s="126">
        <f t="shared" si="22"/>
        <v>85386.36</v>
      </c>
      <c r="H191" s="127">
        <f t="shared" si="23"/>
        <v>6633390.5100000007</v>
      </c>
      <c r="I191" s="128">
        <f t="shared" si="24"/>
        <v>282904.65000000002</v>
      </c>
      <c r="J191" s="128">
        <f t="shared" si="25"/>
        <v>6916295.1600000001</v>
      </c>
      <c r="K191" s="44">
        <f t="shared" si="26"/>
        <v>5.1963327666304394E-3</v>
      </c>
      <c r="L191" s="45">
        <f t="shared" si="27"/>
        <v>16596.119667048904</v>
      </c>
      <c r="M191" s="45">
        <f t="shared" si="28"/>
        <v>18756.681453393216</v>
      </c>
      <c r="N191" s="45">
        <f t="shared" si="29"/>
        <v>120739.16112044212</v>
      </c>
      <c r="O191" s="46">
        <f t="shared" si="30"/>
        <v>9779872.0507558119</v>
      </c>
      <c r="P191" s="47">
        <f t="shared" si="31"/>
        <v>187557.33802469136</v>
      </c>
      <c r="Q191" s="42">
        <v>15192144.380000001</v>
      </c>
      <c r="R191" s="48">
        <f t="shared" si="32"/>
        <v>0.64374533351794094</v>
      </c>
      <c r="S191" s="49"/>
      <c r="U191" s="112"/>
    </row>
    <row r="192" spans="1:21" outlineLevel="2" x14ac:dyDescent="0.3">
      <c r="A192" s="40" t="str">
        <f>VLOOKUP(B192,Grupos!$A$2:$B$619,2,FALSE)</f>
        <v>TABLEROS 225 AMP COBRE</v>
      </c>
      <c r="B192" s="41" t="s">
        <v>293</v>
      </c>
      <c r="C192" s="41" t="s">
        <v>294</v>
      </c>
      <c r="D192" s="42">
        <v>150</v>
      </c>
      <c r="E192" s="43">
        <v>82715.199999999997</v>
      </c>
      <c r="F192" s="43">
        <v>3493</v>
      </c>
      <c r="G192" s="126">
        <f t="shared" si="22"/>
        <v>86208.2</v>
      </c>
      <c r="H192" s="127">
        <f t="shared" si="23"/>
        <v>12407280</v>
      </c>
      <c r="I192" s="128">
        <f t="shared" si="24"/>
        <v>523950</v>
      </c>
      <c r="J192" s="128">
        <f t="shared" si="25"/>
        <v>12931230</v>
      </c>
      <c r="K192" s="44">
        <f t="shared" si="26"/>
        <v>9.7154578581973832E-3</v>
      </c>
      <c r="L192" s="45">
        <f t="shared" si="27"/>
        <v>16755.856596778285</v>
      </c>
      <c r="M192" s="45">
        <f t="shared" si="28"/>
        <v>18758.561068730764</v>
      </c>
      <c r="N192" s="45">
        <f t="shared" si="29"/>
        <v>121722.61766550904</v>
      </c>
      <c r="O192" s="46">
        <f t="shared" si="30"/>
        <v>18258392.649826355</v>
      </c>
      <c r="P192" s="47">
        <f t="shared" si="31"/>
        <v>170636.0508</v>
      </c>
      <c r="Q192" s="42">
        <v>25595407.620000001</v>
      </c>
      <c r="R192" s="48">
        <f t="shared" si="32"/>
        <v>0.71334642998845721</v>
      </c>
      <c r="S192" s="49"/>
      <c r="U192" s="112"/>
    </row>
    <row r="193" spans="1:21" outlineLevel="2" x14ac:dyDescent="0.3">
      <c r="A193" s="40" t="str">
        <f>VLOOKUP(B193,Grupos!$A$2:$B$619,2,FALSE)</f>
        <v>TABLEROS 225 AMP COBRE</v>
      </c>
      <c r="B193" s="41" t="s">
        <v>295</v>
      </c>
      <c r="C193" s="41" t="s">
        <v>296</v>
      </c>
      <c r="D193" s="42">
        <v>101</v>
      </c>
      <c r="E193" s="43">
        <v>96762.49</v>
      </c>
      <c r="F193" s="43">
        <v>4708.9399999999996</v>
      </c>
      <c r="G193" s="126">
        <f t="shared" si="22"/>
        <v>101471.43000000001</v>
      </c>
      <c r="H193" s="127">
        <f t="shared" si="23"/>
        <v>9773011.4900000002</v>
      </c>
      <c r="I193" s="128">
        <f t="shared" si="24"/>
        <v>475602.93999999994</v>
      </c>
      <c r="J193" s="128">
        <f t="shared" si="25"/>
        <v>10248614.430000002</v>
      </c>
      <c r="K193" s="44">
        <f t="shared" si="26"/>
        <v>7.6999621536063172E-3</v>
      </c>
      <c r="L193" s="45">
        <f t="shared" si="27"/>
        <v>19722.494260987078</v>
      </c>
      <c r="M193" s="45">
        <f t="shared" si="28"/>
        <v>25288.559564554547</v>
      </c>
      <c r="N193" s="45">
        <f t="shared" si="29"/>
        <v>146482.48382554163</v>
      </c>
      <c r="O193" s="46">
        <f t="shared" si="30"/>
        <v>14794730.866379704</v>
      </c>
      <c r="P193" s="47">
        <f t="shared" si="31"/>
        <v>291859.43435643567</v>
      </c>
      <c r="Q193" s="42">
        <v>29477802.870000001</v>
      </c>
      <c r="R193" s="48">
        <f t="shared" si="32"/>
        <v>0.50189394818962307</v>
      </c>
      <c r="S193" s="49"/>
      <c r="U193" s="112"/>
    </row>
    <row r="194" spans="1:21" outlineLevel="2" x14ac:dyDescent="0.3">
      <c r="A194" s="40" t="str">
        <f>VLOOKUP(B194,Grupos!$A$2:$B$619,2,FALSE)</f>
        <v>TABLEROS 225 AMP COBRE</v>
      </c>
      <c r="B194" s="41" t="s">
        <v>297</v>
      </c>
      <c r="C194" s="41" t="s">
        <v>298</v>
      </c>
      <c r="D194" s="42">
        <v>109</v>
      </c>
      <c r="E194" s="43">
        <v>97823.039999999994</v>
      </c>
      <c r="F194" s="43">
        <v>10604.4</v>
      </c>
      <c r="G194" s="126">
        <f t="shared" si="22"/>
        <v>108427.43999999999</v>
      </c>
      <c r="H194" s="127">
        <f t="shared" si="23"/>
        <v>10662711.359999999</v>
      </c>
      <c r="I194" s="128">
        <f t="shared" si="24"/>
        <v>1155879.5999999999</v>
      </c>
      <c r="J194" s="128">
        <f t="shared" si="25"/>
        <v>11818590.959999999</v>
      </c>
      <c r="K194" s="44">
        <f t="shared" si="26"/>
        <v>8.8795128085381314E-3</v>
      </c>
      <c r="L194" s="45">
        <f t="shared" si="27"/>
        <v>21074.499128804233</v>
      </c>
      <c r="M194" s="45">
        <f t="shared" si="28"/>
        <v>56949.122529988119</v>
      </c>
      <c r="N194" s="45">
        <f t="shared" si="29"/>
        <v>186451.06165879234</v>
      </c>
      <c r="O194" s="46">
        <f t="shared" si="30"/>
        <v>20323165.720808364</v>
      </c>
      <c r="P194" s="47">
        <f t="shared" si="31"/>
        <v>282506.74082568806</v>
      </c>
      <c r="Q194" s="42">
        <v>30793234.75</v>
      </c>
      <c r="R194" s="48">
        <f t="shared" si="32"/>
        <v>0.65998800989260686</v>
      </c>
      <c r="S194" s="49"/>
      <c r="U194" s="112"/>
    </row>
    <row r="195" spans="1:21" outlineLevel="2" x14ac:dyDescent="0.3">
      <c r="A195" s="40" t="str">
        <f>VLOOKUP(B195,Grupos!$A$2:$B$619,2,FALSE)</f>
        <v>TABLEROS 225 AMP COBRE</v>
      </c>
      <c r="B195" s="41" t="s">
        <v>299</v>
      </c>
      <c r="C195" s="41" t="s">
        <v>300</v>
      </c>
      <c r="D195" s="42">
        <v>71</v>
      </c>
      <c r="E195" s="43">
        <v>101657.71</v>
      </c>
      <c r="F195" s="43">
        <v>4171.8500000000004</v>
      </c>
      <c r="G195" s="126">
        <f t="shared" si="22"/>
        <v>105829.56000000001</v>
      </c>
      <c r="H195" s="127">
        <f t="shared" si="23"/>
        <v>7217697.4100000001</v>
      </c>
      <c r="I195" s="128">
        <f t="shared" si="24"/>
        <v>296201.35000000003</v>
      </c>
      <c r="J195" s="128">
        <f t="shared" si="25"/>
        <v>7513898.7600000007</v>
      </c>
      <c r="K195" s="44">
        <f t="shared" si="26"/>
        <v>5.6453227383274126E-3</v>
      </c>
      <c r="L195" s="45">
        <f t="shared" si="27"/>
        <v>20569.562188517375</v>
      </c>
      <c r="M195" s="45">
        <f t="shared" si="28"/>
        <v>22404.209274143843</v>
      </c>
      <c r="N195" s="45">
        <f t="shared" si="29"/>
        <v>148803.33146266124</v>
      </c>
      <c r="O195" s="46">
        <f t="shared" si="30"/>
        <v>10565036.533848949</v>
      </c>
      <c r="P195" s="47">
        <f t="shared" si="31"/>
        <v>222642.78408450703</v>
      </c>
      <c r="Q195" s="42">
        <v>15807637.67</v>
      </c>
      <c r="R195" s="48">
        <f t="shared" si="32"/>
        <v>0.66835012001188843</v>
      </c>
      <c r="S195" s="49"/>
      <c r="U195" s="112"/>
    </row>
    <row r="196" spans="1:21" outlineLevel="2" x14ac:dyDescent="0.3">
      <c r="A196" s="40" t="str">
        <f>VLOOKUP(B196,Grupos!$A$2:$B$619,2,FALSE)</f>
        <v>TABLEROS 225 AMP COBRE</v>
      </c>
      <c r="B196" s="41" t="s">
        <v>301</v>
      </c>
      <c r="C196" s="41" t="s">
        <v>302</v>
      </c>
      <c r="D196" s="42">
        <v>126</v>
      </c>
      <c r="E196" s="43">
        <v>102526.78</v>
      </c>
      <c r="F196" s="43">
        <v>4172</v>
      </c>
      <c r="G196" s="126">
        <f t="shared" si="22"/>
        <v>106698.78</v>
      </c>
      <c r="H196" s="127">
        <f t="shared" si="23"/>
        <v>12918374.279999999</v>
      </c>
      <c r="I196" s="128">
        <f t="shared" si="24"/>
        <v>525672</v>
      </c>
      <c r="J196" s="128">
        <f t="shared" si="25"/>
        <v>13444046.279999999</v>
      </c>
      <c r="K196" s="44">
        <f t="shared" si="26"/>
        <v>1.0100745642680186E-2</v>
      </c>
      <c r="L196" s="45">
        <f t="shared" si="27"/>
        <v>20738.508131838906</v>
      </c>
      <c r="M196" s="45">
        <f t="shared" si="28"/>
        <v>22405.014823574216</v>
      </c>
      <c r="N196" s="45">
        <f t="shared" si="29"/>
        <v>149842.30295541312</v>
      </c>
      <c r="O196" s="46">
        <f t="shared" si="30"/>
        <v>18880130.172382053</v>
      </c>
      <c r="P196" s="47">
        <f t="shared" si="31"/>
        <v>214197.12484126983</v>
      </c>
      <c r="Q196" s="42">
        <v>26988837.73</v>
      </c>
      <c r="R196" s="48">
        <f t="shared" si="32"/>
        <v>0.69955328796524852</v>
      </c>
      <c r="S196" s="49"/>
      <c r="U196" s="112"/>
    </row>
    <row r="197" spans="1:21" outlineLevel="2" x14ac:dyDescent="0.3">
      <c r="A197" s="40" t="str">
        <f>VLOOKUP(B197,Grupos!$A$2:$B$619,2,FALSE)</f>
        <v>TABLEROS 225 AMP COBRE</v>
      </c>
      <c r="B197" s="41" t="s">
        <v>303</v>
      </c>
      <c r="C197" s="41" t="s">
        <v>304</v>
      </c>
      <c r="D197" s="42">
        <v>84</v>
      </c>
      <c r="E197" s="43">
        <v>107573.87</v>
      </c>
      <c r="F197" s="43">
        <v>4914.8500000000004</v>
      </c>
      <c r="G197" s="126">
        <f t="shared" si="22"/>
        <v>112488.72</v>
      </c>
      <c r="H197" s="127">
        <f t="shared" si="23"/>
        <v>9036205.0800000001</v>
      </c>
      <c r="I197" s="128">
        <f t="shared" si="24"/>
        <v>412847.4</v>
      </c>
      <c r="J197" s="128">
        <f t="shared" si="25"/>
        <v>9449052.4800000004</v>
      </c>
      <c r="K197" s="44">
        <f t="shared" si="26"/>
        <v>7.0992373632930107E-3</v>
      </c>
      <c r="L197" s="45">
        <f t="shared" si="27"/>
        <v>21863.869806760205</v>
      </c>
      <c r="M197" s="45">
        <f t="shared" si="28"/>
        <v>26394.364119281821</v>
      </c>
      <c r="N197" s="45">
        <f t="shared" si="29"/>
        <v>160746.95392604201</v>
      </c>
      <c r="O197" s="46">
        <f t="shared" si="30"/>
        <v>13502744.129787529</v>
      </c>
      <c r="P197" s="47">
        <f t="shared" si="31"/>
        <v>330368.38678571425</v>
      </c>
      <c r="Q197" s="42">
        <v>27750944.489999998</v>
      </c>
      <c r="R197" s="48">
        <f t="shared" si="32"/>
        <v>0.48656881334807245</v>
      </c>
      <c r="S197" s="49"/>
      <c r="U197" s="112"/>
    </row>
    <row r="198" spans="1:21" outlineLevel="2" x14ac:dyDescent="0.3">
      <c r="A198" s="40" t="str">
        <f>VLOOKUP(B198,Grupos!$A$2:$B$619,2,FALSE)</f>
        <v>TABLEROS 225 AMP COBRE</v>
      </c>
      <c r="B198" s="41" t="s">
        <v>305</v>
      </c>
      <c r="C198" s="41" t="s">
        <v>306</v>
      </c>
      <c r="D198" s="42">
        <v>107</v>
      </c>
      <c r="E198" s="43">
        <v>108682</v>
      </c>
      <c r="F198" s="43">
        <v>10803.47</v>
      </c>
      <c r="G198" s="126">
        <f t="shared" si="22"/>
        <v>119485.47</v>
      </c>
      <c r="H198" s="127">
        <f t="shared" si="23"/>
        <v>11628974</v>
      </c>
      <c r="I198" s="128">
        <f t="shared" si="24"/>
        <v>1155971.29</v>
      </c>
      <c r="J198" s="128">
        <f t="shared" si="25"/>
        <v>12784945.290000001</v>
      </c>
      <c r="K198" s="44">
        <f t="shared" si="26"/>
        <v>9.6055516129829981E-3</v>
      </c>
      <c r="L198" s="45">
        <f t="shared" si="27"/>
        <v>23223.793104584642</v>
      </c>
      <c r="M198" s="45">
        <f t="shared" si="28"/>
        <v>58018.19403069016</v>
      </c>
      <c r="N198" s="45">
        <f t="shared" si="29"/>
        <v>200727.4571352748</v>
      </c>
      <c r="O198" s="46">
        <f t="shared" si="30"/>
        <v>21477837.913474403</v>
      </c>
      <c r="P198" s="47">
        <f t="shared" si="31"/>
        <v>324968.72093457944</v>
      </c>
      <c r="Q198" s="42">
        <v>34771653.140000001</v>
      </c>
      <c r="R198" s="48">
        <f t="shared" si="32"/>
        <v>0.61768239280999582</v>
      </c>
      <c r="S198" s="49"/>
      <c r="U198" s="112"/>
    </row>
    <row r="199" spans="1:21" outlineLevel="2" x14ac:dyDescent="0.3">
      <c r="A199" s="40" t="str">
        <f>VLOOKUP(B199,Grupos!$A$2:$B$619,2,FALSE)</f>
        <v>TABLEROS 225 AMP COBRE</v>
      </c>
      <c r="B199" s="41" t="s">
        <v>307</v>
      </c>
      <c r="C199" s="41" t="s">
        <v>308</v>
      </c>
      <c r="D199" s="42">
        <v>29</v>
      </c>
      <c r="E199" s="43">
        <v>122349.04</v>
      </c>
      <c r="F199" s="43">
        <v>4431.99</v>
      </c>
      <c r="G199" s="126">
        <f t="shared" si="22"/>
        <v>126781.03</v>
      </c>
      <c r="H199" s="127">
        <f t="shared" si="23"/>
        <v>3548122.1599999997</v>
      </c>
      <c r="I199" s="128">
        <f t="shared" si="24"/>
        <v>128527.70999999999</v>
      </c>
      <c r="J199" s="128">
        <f t="shared" si="25"/>
        <v>3676649.87</v>
      </c>
      <c r="K199" s="44">
        <f t="shared" si="26"/>
        <v>2.7623309516056778E-3</v>
      </c>
      <c r="L199" s="45">
        <f t="shared" si="27"/>
        <v>24641.794607378943</v>
      </c>
      <c r="M199" s="45">
        <f t="shared" si="28"/>
        <v>23801.246799600358</v>
      </c>
      <c r="N199" s="45">
        <f t="shared" si="29"/>
        <v>175224.07140697932</v>
      </c>
      <c r="O199" s="46">
        <f t="shared" si="30"/>
        <v>5081498.0708023999</v>
      </c>
      <c r="P199" s="47">
        <f t="shared" si="31"/>
        <v>262898.99413793103</v>
      </c>
      <c r="Q199" s="42">
        <v>7624070.8300000001</v>
      </c>
      <c r="R199" s="48">
        <f t="shared" si="32"/>
        <v>0.66650719597294195</v>
      </c>
      <c r="S199" s="49"/>
      <c r="U199" s="112"/>
    </row>
    <row r="200" spans="1:21" outlineLevel="2" x14ac:dyDescent="0.3">
      <c r="A200" s="40" t="str">
        <f>VLOOKUP(B200,Grupos!$A$2:$B$619,2,FALSE)</f>
        <v>TABLEROS 225 AMP COBRE</v>
      </c>
      <c r="B200" s="41" t="s">
        <v>309</v>
      </c>
      <c r="C200" s="41" t="s">
        <v>310</v>
      </c>
      <c r="D200" s="42">
        <v>9</v>
      </c>
      <c r="E200" s="43">
        <v>123279.36</v>
      </c>
      <c r="F200" s="43">
        <v>4432</v>
      </c>
      <c r="G200" s="126">
        <f t="shared" si="22"/>
        <v>127711.36</v>
      </c>
      <c r="H200" s="127">
        <f t="shared" si="23"/>
        <v>1109514.24</v>
      </c>
      <c r="I200" s="128">
        <f t="shared" si="24"/>
        <v>39888</v>
      </c>
      <c r="J200" s="128">
        <f t="shared" si="25"/>
        <v>1149402.24</v>
      </c>
      <c r="K200" s="44">
        <f t="shared" si="26"/>
        <v>8.6356588080466245E-4</v>
      </c>
      <c r="L200" s="45">
        <f t="shared" si="27"/>
        <v>24822.618195711388</v>
      </c>
      <c r="M200" s="45">
        <f t="shared" si="28"/>
        <v>23801.300502895716</v>
      </c>
      <c r="N200" s="45">
        <f t="shared" si="29"/>
        <v>176335.27869860712</v>
      </c>
      <c r="O200" s="46">
        <f t="shared" si="30"/>
        <v>1587017.508287464</v>
      </c>
      <c r="P200" s="47">
        <f t="shared" si="31"/>
        <v>274908.89777777781</v>
      </c>
      <c r="Q200" s="42">
        <v>2474180.08</v>
      </c>
      <c r="R200" s="48">
        <f t="shared" si="32"/>
        <v>0.64143168927601424</v>
      </c>
      <c r="S200" s="49"/>
      <c r="U200" s="112"/>
    </row>
    <row r="201" spans="1:21" outlineLevel="2" x14ac:dyDescent="0.3">
      <c r="A201" s="40" t="str">
        <f>VLOOKUP(B201,Grupos!$A$2:$B$619,2,FALSE)</f>
        <v>TABLEROS 225 AMP COBRE</v>
      </c>
      <c r="B201" s="41" t="s">
        <v>311</v>
      </c>
      <c r="C201" s="41" t="s">
        <v>312</v>
      </c>
      <c r="D201" s="42">
        <v>25</v>
      </c>
      <c r="E201" s="43">
        <v>138257.64000000001</v>
      </c>
      <c r="F201" s="43">
        <v>5278.48</v>
      </c>
      <c r="G201" s="126">
        <f t="shared" si="22"/>
        <v>143536.12000000002</v>
      </c>
      <c r="H201" s="127">
        <f t="shared" si="23"/>
        <v>3456441.0000000005</v>
      </c>
      <c r="I201" s="128">
        <f t="shared" si="24"/>
        <v>131962</v>
      </c>
      <c r="J201" s="128">
        <f t="shared" si="25"/>
        <v>3588403.0000000005</v>
      </c>
      <c r="K201" s="44">
        <f t="shared" si="26"/>
        <v>2.6960295443456709E-3</v>
      </c>
      <c r="L201" s="45">
        <f t="shared" si="27"/>
        <v>27898.397637092057</v>
      </c>
      <c r="M201" s="45">
        <f t="shared" si="28"/>
        <v>28347.17704840365</v>
      </c>
      <c r="N201" s="45">
        <f t="shared" si="29"/>
        <v>199781.69468549575</v>
      </c>
      <c r="O201" s="46">
        <f t="shared" si="30"/>
        <v>4994542.3671373939</v>
      </c>
      <c r="P201" s="47">
        <f t="shared" si="31"/>
        <v>393781.20880000002</v>
      </c>
      <c r="Q201" s="42">
        <v>9844530.2200000007</v>
      </c>
      <c r="R201" s="48">
        <f t="shared" si="32"/>
        <v>0.50734186959887184</v>
      </c>
      <c r="S201" s="49"/>
      <c r="U201" s="112"/>
    </row>
    <row r="202" spans="1:21" outlineLevel="2" x14ac:dyDescent="0.3">
      <c r="A202" s="40" t="str">
        <f>VLOOKUP(B202,Grupos!$A$2:$B$619,2,FALSE)</f>
        <v>TABLEROS 225 AMP COBRE</v>
      </c>
      <c r="B202" s="41" t="s">
        <v>313</v>
      </c>
      <c r="C202" s="41" t="s">
        <v>314</v>
      </c>
      <c r="D202" s="42">
        <v>26</v>
      </c>
      <c r="E202" s="43">
        <v>139411.04</v>
      </c>
      <c r="F202" s="43">
        <v>5278</v>
      </c>
      <c r="G202" s="126">
        <f t="shared" si="22"/>
        <v>144689.04</v>
      </c>
      <c r="H202" s="127">
        <f t="shared" si="23"/>
        <v>3624687.04</v>
      </c>
      <c r="I202" s="128">
        <f t="shared" si="24"/>
        <v>137228</v>
      </c>
      <c r="J202" s="128">
        <f t="shared" si="25"/>
        <v>3761915.04</v>
      </c>
      <c r="K202" s="44">
        <f t="shared" si="26"/>
        <v>2.8263921558304142E-3</v>
      </c>
      <c r="L202" s="45">
        <f t="shared" si="27"/>
        <v>28122.484930267852</v>
      </c>
      <c r="M202" s="45">
        <f t="shared" si="28"/>
        <v>28344.599290226444</v>
      </c>
      <c r="N202" s="45">
        <f t="shared" si="29"/>
        <v>201156.1242204943</v>
      </c>
      <c r="O202" s="46">
        <f t="shared" si="30"/>
        <v>5230059.2297328515</v>
      </c>
      <c r="P202" s="47">
        <f t="shared" si="31"/>
        <v>382557.34807692311</v>
      </c>
      <c r="Q202" s="42">
        <v>9946491.0500000007</v>
      </c>
      <c r="R202" s="48">
        <f t="shared" si="32"/>
        <v>0.52581952805686694</v>
      </c>
      <c r="S202" s="49"/>
      <c r="U202" s="112"/>
    </row>
    <row r="203" spans="1:21" outlineLevel="2" x14ac:dyDescent="0.3">
      <c r="A203" s="40" t="str">
        <f>VLOOKUP(B203,Grupos!$A$2:$B$619,2,FALSE)</f>
        <v>TABLEROS 225 AMP COBRE</v>
      </c>
      <c r="B203" s="41" t="s">
        <v>315</v>
      </c>
      <c r="C203" s="41" t="s">
        <v>316</v>
      </c>
      <c r="D203" s="42">
        <v>26</v>
      </c>
      <c r="E203" s="43">
        <v>142045.49</v>
      </c>
      <c r="F203" s="43">
        <v>5387.7</v>
      </c>
      <c r="G203" s="126">
        <f t="shared" si="22"/>
        <v>147433.19</v>
      </c>
      <c r="H203" s="127">
        <f t="shared" si="23"/>
        <v>3693182.7399999998</v>
      </c>
      <c r="I203" s="128">
        <f t="shared" si="24"/>
        <v>140080.19999999998</v>
      </c>
      <c r="J203" s="128">
        <f t="shared" si="25"/>
        <v>3833262.94</v>
      </c>
      <c r="K203" s="44">
        <f t="shared" si="26"/>
        <v>2.8799970732064782E-3</v>
      </c>
      <c r="L203" s="45">
        <f t="shared" si="27"/>
        <v>28655.85163877179</v>
      </c>
      <c r="M203" s="45">
        <f t="shared" si="28"/>
        <v>28933.724440309397</v>
      </c>
      <c r="N203" s="45">
        <f t="shared" si="29"/>
        <v>205022.76607908119</v>
      </c>
      <c r="O203" s="46">
        <f t="shared" si="30"/>
        <v>5330591.9180561109</v>
      </c>
      <c r="P203" s="47">
        <f t="shared" si="31"/>
        <v>302826.61653846153</v>
      </c>
      <c r="Q203" s="42">
        <v>7873492.0300000003</v>
      </c>
      <c r="R203" s="48">
        <f t="shared" si="32"/>
        <v>0.67703020435471384</v>
      </c>
      <c r="S203" s="49"/>
      <c r="U203" s="112"/>
    </row>
    <row r="204" spans="1:21" outlineLevel="2" x14ac:dyDescent="0.3">
      <c r="A204" s="40" t="str">
        <f>VLOOKUP(B204,Grupos!$A$2:$B$619,2,FALSE)</f>
        <v>TABLEROS 225 AMP COBRE</v>
      </c>
      <c r="B204" s="41" t="s">
        <v>317</v>
      </c>
      <c r="C204" s="41" t="s">
        <v>318</v>
      </c>
      <c r="D204" s="42">
        <v>21</v>
      </c>
      <c r="E204" s="43">
        <v>142975.63</v>
      </c>
      <c r="F204" s="43">
        <v>5388</v>
      </c>
      <c r="G204" s="126">
        <f t="shared" si="22"/>
        <v>148363.63</v>
      </c>
      <c r="H204" s="127">
        <f t="shared" si="23"/>
        <v>3002488.23</v>
      </c>
      <c r="I204" s="128">
        <f t="shared" si="24"/>
        <v>113148</v>
      </c>
      <c r="J204" s="128">
        <f t="shared" si="25"/>
        <v>3115636.23</v>
      </c>
      <c r="K204" s="44">
        <f t="shared" si="26"/>
        <v>2.3408316528310122E-3</v>
      </c>
      <c r="L204" s="45">
        <f t="shared" si="27"/>
        <v>28836.69660725398</v>
      </c>
      <c r="M204" s="45">
        <f t="shared" si="28"/>
        <v>28935.335539170155</v>
      </c>
      <c r="N204" s="45">
        <f t="shared" si="29"/>
        <v>206135.66214642415</v>
      </c>
      <c r="O204" s="46">
        <f t="shared" si="30"/>
        <v>4328848.9050749075</v>
      </c>
      <c r="P204" s="47">
        <f t="shared" si="31"/>
        <v>298721.26619047619</v>
      </c>
      <c r="Q204" s="42">
        <v>6273146.5899999999</v>
      </c>
      <c r="R204" s="48">
        <f t="shared" si="32"/>
        <v>0.69006021826040376</v>
      </c>
      <c r="S204" s="49"/>
      <c r="U204" s="112"/>
    </row>
    <row r="205" spans="1:21" outlineLevel="2" x14ac:dyDescent="0.3">
      <c r="A205" s="40" t="str">
        <f>VLOOKUP(B205,Grupos!$A$2:$B$619,2,FALSE)</f>
        <v>TABLEROS 225 AMP COBRE</v>
      </c>
      <c r="B205" s="41" t="s">
        <v>319</v>
      </c>
      <c r="C205" s="41" t="s">
        <v>320</v>
      </c>
      <c r="D205" s="42">
        <v>54</v>
      </c>
      <c r="E205" s="43">
        <v>157776.75</v>
      </c>
      <c r="F205" s="43">
        <v>6420.38</v>
      </c>
      <c r="G205" s="126">
        <f t="shared" si="22"/>
        <v>164197.13</v>
      </c>
      <c r="H205" s="127">
        <f t="shared" si="23"/>
        <v>8519944.5</v>
      </c>
      <c r="I205" s="128">
        <f t="shared" si="24"/>
        <v>346700.52</v>
      </c>
      <c r="J205" s="128">
        <f t="shared" si="25"/>
        <v>8866645.0199999996</v>
      </c>
      <c r="K205" s="44">
        <f t="shared" si="26"/>
        <v>6.6616645157038966E-3</v>
      </c>
      <c r="L205" s="45">
        <f t="shared" si="27"/>
        <v>31914.174798714757</v>
      </c>
      <c r="M205" s="45">
        <f t="shared" si="28"/>
        <v>34479.556345392964</v>
      </c>
      <c r="N205" s="45">
        <f t="shared" si="29"/>
        <v>230590.86114410771</v>
      </c>
      <c r="O205" s="46">
        <f t="shared" si="30"/>
        <v>12451906.501781816</v>
      </c>
      <c r="P205" s="47">
        <f t="shared" si="31"/>
        <v>431452.09055555559</v>
      </c>
      <c r="Q205" s="42">
        <v>23298412.890000001</v>
      </c>
      <c r="R205" s="48">
        <f t="shared" si="32"/>
        <v>0.53445299302453109</v>
      </c>
      <c r="S205" s="49"/>
      <c r="U205" s="112"/>
    </row>
    <row r="206" spans="1:21" outlineLevel="2" x14ac:dyDescent="0.3">
      <c r="A206" s="40" t="str">
        <f>VLOOKUP(B206,Grupos!$A$2:$B$619,2,FALSE)</f>
        <v>TABLEROS 225 AMP COBRE</v>
      </c>
      <c r="B206" s="41" t="s">
        <v>321</v>
      </c>
      <c r="C206" s="41" t="s">
        <v>322</v>
      </c>
      <c r="D206" s="42">
        <v>60</v>
      </c>
      <c r="E206" s="43">
        <v>158977.73000000001</v>
      </c>
      <c r="F206" s="43">
        <v>6420</v>
      </c>
      <c r="G206" s="126">
        <f t="shared" si="22"/>
        <v>165397.73000000001</v>
      </c>
      <c r="H206" s="127">
        <f t="shared" si="23"/>
        <v>9538663.8000000007</v>
      </c>
      <c r="I206" s="128">
        <f t="shared" si="24"/>
        <v>385200</v>
      </c>
      <c r="J206" s="128">
        <f t="shared" si="25"/>
        <v>9923863.8000000007</v>
      </c>
      <c r="K206" s="44">
        <f t="shared" si="26"/>
        <v>7.4559713607592285E-3</v>
      </c>
      <c r="L206" s="45">
        <f t="shared" si="27"/>
        <v>32147.529414982026</v>
      </c>
      <c r="M206" s="45">
        <f t="shared" si="28"/>
        <v>34477.515620169339</v>
      </c>
      <c r="N206" s="45">
        <f t="shared" si="29"/>
        <v>232022.7750351514</v>
      </c>
      <c r="O206" s="46">
        <f t="shared" si="30"/>
        <v>13921366.502109084</v>
      </c>
      <c r="P206" s="47">
        <f t="shared" si="31"/>
        <v>413058.3421666667</v>
      </c>
      <c r="Q206" s="42">
        <v>24783500.530000001</v>
      </c>
      <c r="R206" s="48">
        <f t="shared" si="32"/>
        <v>0.56171913589274891</v>
      </c>
      <c r="S206" s="49"/>
      <c r="U206" s="112"/>
    </row>
    <row r="207" spans="1:21" outlineLevel="2" x14ac:dyDescent="0.3">
      <c r="A207" s="40" t="str">
        <f>VLOOKUP(B207,Grupos!$A$2:$B$619,2,FALSE)</f>
        <v>TABLEROS 225 AMP COBRE</v>
      </c>
      <c r="B207" s="41" t="s">
        <v>323</v>
      </c>
      <c r="C207" s="41" t="s">
        <v>324</v>
      </c>
      <c r="D207" s="42">
        <v>26</v>
      </c>
      <c r="E207" s="43">
        <v>153317.93</v>
      </c>
      <c r="F207" s="43">
        <v>6756.29</v>
      </c>
      <c r="G207" s="126">
        <f t="shared" si="22"/>
        <v>160074.22</v>
      </c>
      <c r="H207" s="127">
        <f t="shared" si="23"/>
        <v>3986266.1799999997</v>
      </c>
      <c r="I207" s="128">
        <f t="shared" si="24"/>
        <v>175663.54</v>
      </c>
      <c r="J207" s="128">
        <f t="shared" si="25"/>
        <v>4161929.72</v>
      </c>
      <c r="K207" s="44">
        <f t="shared" si="26"/>
        <v>3.1269301376156203E-3</v>
      </c>
      <c r="L207" s="45">
        <f t="shared" si="27"/>
        <v>31112.825405949068</v>
      </c>
      <c r="M207" s="45">
        <f t="shared" si="28"/>
        <v>36283.503739780979</v>
      </c>
      <c r="N207" s="45">
        <f t="shared" si="29"/>
        <v>227470.54914573004</v>
      </c>
      <c r="O207" s="46">
        <f t="shared" si="30"/>
        <v>5914234.2777889809</v>
      </c>
      <c r="P207" s="47">
        <f t="shared" si="31"/>
        <v>349144.6111538462</v>
      </c>
      <c r="Q207" s="42">
        <v>9077759.8900000006</v>
      </c>
      <c r="R207" s="48">
        <f t="shared" si="32"/>
        <v>0.65150811978449241</v>
      </c>
      <c r="S207" s="49"/>
      <c r="U207" s="112"/>
    </row>
    <row r="208" spans="1:21" outlineLevel="2" x14ac:dyDescent="0.3">
      <c r="A208" s="40" t="str">
        <f>VLOOKUP(B208,Grupos!$A$2:$B$619,2,FALSE)</f>
        <v>TABLEROS 225 AMP COBRE</v>
      </c>
      <c r="B208" s="41" t="s">
        <v>325</v>
      </c>
      <c r="C208" s="41" t="s">
        <v>326</v>
      </c>
      <c r="D208" s="42">
        <v>19</v>
      </c>
      <c r="E208" s="43">
        <v>154343.44</v>
      </c>
      <c r="F208" s="43">
        <v>6756</v>
      </c>
      <c r="G208" s="126">
        <f t="shared" si="22"/>
        <v>161099.44</v>
      </c>
      <c r="H208" s="127">
        <f t="shared" si="23"/>
        <v>2932525.36</v>
      </c>
      <c r="I208" s="128">
        <f t="shared" si="24"/>
        <v>128364</v>
      </c>
      <c r="J208" s="128">
        <f t="shared" si="25"/>
        <v>3060889.36</v>
      </c>
      <c r="K208" s="44">
        <f t="shared" si="26"/>
        <v>2.2996993778383618E-3</v>
      </c>
      <c r="L208" s="45">
        <f t="shared" si="27"/>
        <v>31312.092288915523</v>
      </c>
      <c r="M208" s="45">
        <f t="shared" si="28"/>
        <v>36281.946344215583</v>
      </c>
      <c r="N208" s="45">
        <f t="shared" si="29"/>
        <v>228693.47863313113</v>
      </c>
      <c r="O208" s="46">
        <f t="shared" si="30"/>
        <v>4345176.0940294918</v>
      </c>
      <c r="P208" s="47">
        <f t="shared" si="31"/>
        <v>332743.40999999997</v>
      </c>
      <c r="Q208" s="42">
        <v>6322124.79</v>
      </c>
      <c r="R208" s="48">
        <f t="shared" si="32"/>
        <v>0.6872967931449977</v>
      </c>
      <c r="S208" s="49"/>
      <c r="U208" s="112"/>
    </row>
    <row r="209" spans="1:21" outlineLevel="2" x14ac:dyDescent="0.3">
      <c r="A209" s="40" t="str">
        <f>VLOOKUP(B209,Grupos!$A$2:$B$619,2,FALSE)</f>
        <v>TABLEROS 225 AMP COBRE</v>
      </c>
      <c r="B209" s="41" t="s">
        <v>327</v>
      </c>
      <c r="C209" s="41" t="s">
        <v>328</v>
      </c>
      <c r="D209" s="42">
        <v>26</v>
      </c>
      <c r="E209" s="43">
        <v>176832.1</v>
      </c>
      <c r="F209" s="43">
        <v>8052.17</v>
      </c>
      <c r="G209" s="126">
        <f t="shared" si="22"/>
        <v>184884.27000000002</v>
      </c>
      <c r="H209" s="127">
        <f t="shared" si="23"/>
        <v>4597634.6000000006</v>
      </c>
      <c r="I209" s="128">
        <f t="shared" si="24"/>
        <v>209356.42</v>
      </c>
      <c r="J209" s="128">
        <f t="shared" si="25"/>
        <v>4806991.0200000005</v>
      </c>
      <c r="K209" s="44">
        <f t="shared" si="26"/>
        <v>3.6115759041903408E-3</v>
      </c>
      <c r="L209" s="45">
        <f t="shared" si="27"/>
        <v>35935.030717727983</v>
      </c>
      <c r="M209" s="45">
        <f t="shared" si="28"/>
        <v>43242.80637870077</v>
      </c>
      <c r="N209" s="45">
        <f t="shared" si="29"/>
        <v>264062.10709642875</v>
      </c>
      <c r="O209" s="46">
        <f t="shared" si="30"/>
        <v>6865614.784507148</v>
      </c>
      <c r="P209" s="47">
        <f t="shared" si="31"/>
        <v>462231.00846153847</v>
      </c>
      <c r="Q209" s="42">
        <v>12018006.220000001</v>
      </c>
      <c r="R209" s="48">
        <f t="shared" si="32"/>
        <v>0.57127735323365036</v>
      </c>
      <c r="S209" s="49"/>
      <c r="U209" s="112"/>
    </row>
    <row r="210" spans="1:21" outlineLevel="2" x14ac:dyDescent="0.3">
      <c r="A210" s="40" t="str">
        <f>VLOOKUP(B210,Grupos!$A$2:$B$619,2,FALSE)</f>
        <v>TABLEROS 225 AMP COBRE</v>
      </c>
      <c r="B210" s="41" t="s">
        <v>329</v>
      </c>
      <c r="C210" s="41" t="s">
        <v>330</v>
      </c>
      <c r="D210" s="42">
        <v>33</v>
      </c>
      <c r="E210" s="43">
        <v>178070.7</v>
      </c>
      <c r="F210" s="43">
        <v>8052</v>
      </c>
      <c r="G210" s="126">
        <f t="shared" si="22"/>
        <v>186122.7</v>
      </c>
      <c r="H210" s="127">
        <f t="shared" si="23"/>
        <v>5876333.1000000006</v>
      </c>
      <c r="I210" s="128">
        <f t="shared" si="24"/>
        <v>265716</v>
      </c>
      <c r="J210" s="128">
        <f t="shared" si="25"/>
        <v>6142049.1000000006</v>
      </c>
      <c r="K210" s="44">
        <f t="shared" si="26"/>
        <v>4.6146282444925329E-3</v>
      </c>
      <c r="L210" s="45">
        <f t="shared" si="27"/>
        <v>36175.738161859153</v>
      </c>
      <c r="M210" s="45">
        <f t="shared" si="28"/>
        <v>43241.893422679677</v>
      </c>
      <c r="N210" s="45">
        <f t="shared" si="29"/>
        <v>265540.33158453886</v>
      </c>
      <c r="O210" s="46">
        <f t="shared" si="30"/>
        <v>8762830.9422897827</v>
      </c>
      <c r="P210" s="47">
        <f t="shared" si="31"/>
        <v>444550.09666666668</v>
      </c>
      <c r="Q210" s="42">
        <v>14670153.189999999</v>
      </c>
      <c r="R210" s="48">
        <f t="shared" si="32"/>
        <v>0.59732375175625441</v>
      </c>
      <c r="S210" s="49"/>
      <c r="U210" s="112"/>
    </row>
    <row r="211" spans="1:21" s="93" customFormat="1" outlineLevel="1" x14ac:dyDescent="0.3">
      <c r="A211" s="50" t="s">
        <v>1035</v>
      </c>
      <c r="B211" s="129"/>
      <c r="C211" s="129"/>
      <c r="D211" s="51">
        <f>SUBTOTAL(9,D169:D210)</f>
        <v>2473</v>
      </c>
      <c r="E211" s="52"/>
      <c r="F211" s="52"/>
      <c r="G211" s="130"/>
      <c r="H211" s="131">
        <f>SUBTOTAL(9,H169:H210)</f>
        <v>242874680</v>
      </c>
      <c r="I211" s="146">
        <f>SUBTOTAL(9,I169:I210)</f>
        <v>14521475.369999999</v>
      </c>
      <c r="J211" s="146">
        <f>SUBTOTAL(9,J169:J210)</f>
        <v>257396155.37000003</v>
      </c>
      <c r="K211" s="53"/>
      <c r="L211" s="54"/>
      <c r="M211" s="54"/>
      <c r="N211" s="54"/>
      <c r="O211" s="55">
        <f>SUBTOTAL(9,O169:O210)</f>
        <v>385410066.60627818</v>
      </c>
      <c r="P211" s="56"/>
      <c r="Q211" s="51">
        <f>SUBTOTAL(9,Q169:Q210)</f>
        <v>636433283.55000007</v>
      </c>
      <c r="R211" s="57">
        <f>O211/Q211</f>
        <v>0.60557811253439775</v>
      </c>
      <c r="S211" s="58">
        <f>Q211/$Q$293</f>
        <v>0.19387989904542693</v>
      </c>
      <c r="U211" s="147"/>
    </row>
    <row r="212" spans="1:21" outlineLevel="2" x14ac:dyDescent="0.3">
      <c r="A212" s="40" t="str">
        <f>VLOOKUP(B212,Grupos!$A$2:$B$619,2,FALSE)</f>
        <v>TABLEROS 75 AMP BIMETALICO CON PUERTA</v>
      </c>
      <c r="B212" s="41" t="s">
        <v>649</v>
      </c>
      <c r="C212" s="41" t="s">
        <v>650</v>
      </c>
      <c r="D212" s="42">
        <v>36</v>
      </c>
      <c r="E212" s="43">
        <v>18426.939999999999</v>
      </c>
      <c r="F212" s="43">
        <v>1583.13</v>
      </c>
      <c r="G212" s="126">
        <f t="shared" si="22"/>
        <v>20010.07</v>
      </c>
      <c r="H212" s="127">
        <f t="shared" si="23"/>
        <v>663369.84</v>
      </c>
      <c r="I212" s="128">
        <f t="shared" si="24"/>
        <v>56992.680000000008</v>
      </c>
      <c r="J212" s="128">
        <f t="shared" si="25"/>
        <v>720362.52</v>
      </c>
      <c r="K212" s="44">
        <f t="shared" si="26"/>
        <v>5.4122088197989442E-4</v>
      </c>
      <c r="L212" s="45">
        <f t="shared" si="27"/>
        <v>3889.2572100043294</v>
      </c>
      <c r="M212" s="45">
        <f t="shared" si="28"/>
        <v>8501.9297980932533</v>
      </c>
      <c r="N212" s="45">
        <f t="shared" si="29"/>
        <v>32401.257008097582</v>
      </c>
      <c r="O212" s="46">
        <f t="shared" si="30"/>
        <v>1166445.2522915129</v>
      </c>
      <c r="P212" s="47">
        <f t="shared" si="31"/>
        <v>65358.335277777776</v>
      </c>
      <c r="Q212" s="42">
        <v>2352900.0699999998</v>
      </c>
      <c r="R212" s="48">
        <f t="shared" si="32"/>
        <v>0.49574789306352179</v>
      </c>
      <c r="S212" s="49"/>
      <c r="U212" s="112"/>
    </row>
    <row r="213" spans="1:21" outlineLevel="2" x14ac:dyDescent="0.3">
      <c r="A213" s="40" t="str">
        <f>VLOOKUP(B213,Grupos!$A$2:$B$619,2,FALSE)</f>
        <v>TABLEROS 75 AMP BIMETALICO CON PUERTA</v>
      </c>
      <c r="B213" s="41" t="s">
        <v>331</v>
      </c>
      <c r="C213" s="41" t="s">
        <v>332</v>
      </c>
      <c r="D213" s="42">
        <v>126</v>
      </c>
      <c r="E213" s="43">
        <v>8875.91</v>
      </c>
      <c r="F213" s="43">
        <v>1160.0999999999999</v>
      </c>
      <c r="G213" s="126">
        <f t="shared" si="22"/>
        <v>10036.01</v>
      </c>
      <c r="H213" s="127">
        <f t="shared" si="23"/>
        <v>1118364.6599999999</v>
      </c>
      <c r="I213" s="128">
        <f t="shared" si="24"/>
        <v>146172.59999999998</v>
      </c>
      <c r="J213" s="128">
        <f t="shared" si="25"/>
        <v>1264537.26</v>
      </c>
      <c r="K213" s="44">
        <f t="shared" si="26"/>
        <v>9.5006882250570036E-4</v>
      </c>
      <c r="L213" s="45">
        <f t="shared" si="27"/>
        <v>1950.6490608066613</v>
      </c>
      <c r="M213" s="45">
        <f t="shared" si="28"/>
        <v>6230.1192945418143</v>
      </c>
      <c r="N213" s="45">
        <f t="shared" si="29"/>
        <v>18216.778355348477</v>
      </c>
      <c r="O213" s="46">
        <f t="shared" si="30"/>
        <v>2295314.0727739083</v>
      </c>
      <c r="P213" s="47">
        <f t="shared" si="31"/>
        <v>29573.500396825395</v>
      </c>
      <c r="Q213" s="42">
        <v>3726261.05</v>
      </c>
      <c r="R213" s="48">
        <f t="shared" si="32"/>
        <v>0.61598316435020262</v>
      </c>
      <c r="S213" s="49"/>
      <c r="U213" s="112"/>
    </row>
    <row r="214" spans="1:21" outlineLevel="2" x14ac:dyDescent="0.3">
      <c r="A214" s="40" t="str">
        <f>VLOOKUP(B214,Grupos!$A$2:$B$619,2,FALSE)</f>
        <v>TABLEROS 75 AMP BIMETALICO CON PUERTA</v>
      </c>
      <c r="B214" s="41" t="s">
        <v>333</v>
      </c>
      <c r="C214" s="41" t="s">
        <v>334</v>
      </c>
      <c r="D214" s="42">
        <v>108</v>
      </c>
      <c r="E214" s="43">
        <v>9205.7900000000009</v>
      </c>
      <c r="F214" s="43">
        <v>1305.21</v>
      </c>
      <c r="G214" s="126">
        <f t="shared" si="22"/>
        <v>10511</v>
      </c>
      <c r="H214" s="127">
        <f t="shared" si="23"/>
        <v>994225.32000000007</v>
      </c>
      <c r="I214" s="128">
        <f t="shared" si="24"/>
        <v>140962.68</v>
      </c>
      <c r="J214" s="128">
        <f t="shared" si="25"/>
        <v>1135188</v>
      </c>
      <c r="K214" s="44">
        <f t="shared" si="26"/>
        <v>8.5288647523332054E-4</v>
      </c>
      <c r="L214" s="45">
        <f t="shared" si="27"/>
        <v>2042.9704910755188</v>
      </c>
      <c r="M214" s="45">
        <f t="shared" si="28"/>
        <v>7009.407813489287</v>
      </c>
      <c r="N214" s="45">
        <f t="shared" si="29"/>
        <v>19563.378304564805</v>
      </c>
      <c r="O214" s="46">
        <f t="shared" si="30"/>
        <v>2112844.8568929988</v>
      </c>
      <c r="P214" s="47">
        <f t="shared" si="31"/>
        <v>30357.251574074075</v>
      </c>
      <c r="Q214" s="42">
        <v>3278583.17</v>
      </c>
      <c r="R214" s="48">
        <f t="shared" si="32"/>
        <v>0.64443838918779017</v>
      </c>
      <c r="S214" s="49"/>
      <c r="U214" s="112"/>
    </row>
    <row r="215" spans="1:21" outlineLevel="2" x14ac:dyDescent="0.3">
      <c r="A215" s="40" t="str">
        <f>VLOOKUP(B215,Grupos!$A$2:$B$619,2,FALSE)</f>
        <v>TABLEROS 75 AMP BIMETALICO CON PUERTA</v>
      </c>
      <c r="B215" s="41" t="s">
        <v>335</v>
      </c>
      <c r="C215" s="41" t="s">
        <v>336</v>
      </c>
      <c r="D215" s="42">
        <v>96</v>
      </c>
      <c r="E215" s="43">
        <v>10818.41</v>
      </c>
      <c r="F215" s="43">
        <v>1289.01</v>
      </c>
      <c r="G215" s="126">
        <f t="shared" si="22"/>
        <v>12107.42</v>
      </c>
      <c r="H215" s="127">
        <f t="shared" si="23"/>
        <v>1038567.36</v>
      </c>
      <c r="I215" s="128">
        <f t="shared" si="24"/>
        <v>123744.95999999999</v>
      </c>
      <c r="J215" s="128">
        <f t="shared" si="25"/>
        <v>1162312.32</v>
      </c>
      <c r="K215" s="44">
        <f t="shared" si="26"/>
        <v>8.7326544830024927E-4</v>
      </c>
      <c r="L215" s="45">
        <f t="shared" si="27"/>
        <v>2353.2586607418475</v>
      </c>
      <c r="M215" s="45">
        <f t="shared" si="28"/>
        <v>6922.4084750084858</v>
      </c>
      <c r="N215" s="45">
        <f t="shared" si="29"/>
        <v>21383.087135750335</v>
      </c>
      <c r="O215" s="46">
        <f t="shared" si="30"/>
        <v>2052776.3650320321</v>
      </c>
      <c r="P215" s="47">
        <f t="shared" si="31"/>
        <v>37149.001458333332</v>
      </c>
      <c r="Q215" s="42">
        <v>3566304.14</v>
      </c>
      <c r="R215" s="48">
        <f t="shared" si="32"/>
        <v>0.57560328128156568</v>
      </c>
      <c r="S215" s="49"/>
      <c r="U215" s="112"/>
    </row>
    <row r="216" spans="1:21" outlineLevel="2" x14ac:dyDescent="0.3">
      <c r="A216" s="40" t="str">
        <f>VLOOKUP(B216,Grupos!$A$2:$B$619,2,FALSE)</f>
        <v>TABLEROS 75 AMP BIMETALICO CON PUERTA</v>
      </c>
      <c r="B216" s="41" t="s">
        <v>337</v>
      </c>
      <c r="C216" s="41" t="s">
        <v>338</v>
      </c>
      <c r="D216" s="42">
        <v>312</v>
      </c>
      <c r="E216" s="43">
        <v>11137.42</v>
      </c>
      <c r="F216" s="43">
        <v>1425.14</v>
      </c>
      <c r="G216" s="126">
        <f t="shared" ref="G216:G287" si="33">E216+F216</f>
        <v>12562.56</v>
      </c>
      <c r="H216" s="127">
        <f t="shared" ref="H216:H290" si="34">E216*D216</f>
        <v>3474875.04</v>
      </c>
      <c r="I216" s="128">
        <f t="shared" ref="I216:I290" si="35">F216*D216</f>
        <v>444643.68000000005</v>
      </c>
      <c r="J216" s="128">
        <f t="shared" ref="J216:J290" si="36">G216*D216</f>
        <v>3919518.7199999997</v>
      </c>
      <c r="K216" s="44">
        <f t="shared" ref="K216:K287" si="37">J216/$J$293</f>
        <v>2.9448025399421208E-3</v>
      </c>
      <c r="L216" s="45">
        <f t="shared" ref="L216:L287" si="38">$K$364*K216/D216</f>
        <v>2441.7219458058862</v>
      </c>
      <c r="M216" s="45">
        <f t="shared" ref="M216:M287" si="39">F216*$M$363</f>
        <v>7653.4714347240088</v>
      </c>
      <c r="N216" s="45">
        <f t="shared" ref="N216:N287" si="40">G216+L216+M216</f>
        <v>22657.753380529895</v>
      </c>
      <c r="O216" s="46">
        <f t="shared" ref="O216:O287" si="41">N216*D216</f>
        <v>7069219.0547253275</v>
      </c>
      <c r="P216" s="47">
        <f t="shared" ref="P216:P287" si="42">Q216/D216</f>
        <v>35597.821955128202</v>
      </c>
      <c r="Q216" s="42">
        <v>11106520.449999999</v>
      </c>
      <c r="R216" s="48">
        <f t="shared" ref="R216:R287" si="43">O216/Q216</f>
        <v>0.63649268792597669</v>
      </c>
      <c r="S216" s="49"/>
      <c r="U216" s="112"/>
    </row>
    <row r="217" spans="1:21" outlineLevel="2" x14ac:dyDescent="0.3">
      <c r="A217" s="40" t="str">
        <f>VLOOKUP(B217,Grupos!$A$2:$B$619,2,FALSE)</f>
        <v>TABLEROS 75 AMP BIMETALICO CON PUERTA</v>
      </c>
      <c r="B217" s="41" t="s">
        <v>339</v>
      </c>
      <c r="C217" s="41" t="s">
        <v>340</v>
      </c>
      <c r="D217" s="42">
        <v>36</v>
      </c>
      <c r="E217" s="43">
        <v>13567.02</v>
      </c>
      <c r="F217" s="43">
        <v>1696.73</v>
      </c>
      <c r="G217" s="126">
        <f t="shared" si="33"/>
        <v>15263.75</v>
      </c>
      <c r="H217" s="127">
        <f t="shared" si="34"/>
        <v>488412.72000000003</v>
      </c>
      <c r="I217" s="128">
        <f t="shared" si="35"/>
        <v>61082.28</v>
      </c>
      <c r="J217" s="128">
        <f t="shared" si="36"/>
        <v>549495</v>
      </c>
      <c r="K217" s="44">
        <f t="shared" si="37"/>
        <v>4.1284514433585757E-4</v>
      </c>
      <c r="L217" s="45">
        <f t="shared" si="38"/>
        <v>2966.7387340076066</v>
      </c>
      <c r="M217" s="45">
        <f t="shared" si="39"/>
        <v>9111.9992333660321</v>
      </c>
      <c r="N217" s="45">
        <f t="shared" si="40"/>
        <v>27342.487967373636</v>
      </c>
      <c r="O217" s="46">
        <f t="shared" si="41"/>
        <v>984329.56682545086</v>
      </c>
      <c r="P217" s="47">
        <f t="shared" si="42"/>
        <v>55889.999444444446</v>
      </c>
      <c r="Q217" s="42">
        <v>2012039.98</v>
      </c>
      <c r="R217" s="48">
        <f t="shared" si="43"/>
        <v>0.48921968579642777</v>
      </c>
      <c r="S217" s="49"/>
      <c r="U217" s="112"/>
    </row>
    <row r="218" spans="1:21" outlineLevel="2" x14ac:dyDescent="0.3">
      <c r="A218" s="40" t="str">
        <f>VLOOKUP(B218,Grupos!$A$2:$B$619,2,FALSE)</f>
        <v>TABLEROS 75 AMP BIMETALICO CON PUERTA</v>
      </c>
      <c r="B218" s="41" t="s">
        <v>341</v>
      </c>
      <c r="C218" s="41" t="s">
        <v>342</v>
      </c>
      <c r="D218" s="42">
        <v>24</v>
      </c>
      <c r="E218" s="43">
        <v>13912.34</v>
      </c>
      <c r="F218" s="43">
        <v>1710.33</v>
      </c>
      <c r="G218" s="126">
        <f t="shared" si="33"/>
        <v>15622.67</v>
      </c>
      <c r="H218" s="127">
        <f t="shared" si="34"/>
        <v>333896.16000000003</v>
      </c>
      <c r="I218" s="128">
        <f t="shared" si="35"/>
        <v>41047.919999999998</v>
      </c>
      <c r="J218" s="128">
        <f t="shared" si="36"/>
        <v>374944.08</v>
      </c>
      <c r="K218" s="44">
        <f t="shared" si="37"/>
        <v>2.8170200425022126E-4</v>
      </c>
      <c r="L218" s="45">
        <f t="shared" si="38"/>
        <v>3036.5002189906554</v>
      </c>
      <c r="M218" s="45">
        <f t="shared" si="39"/>
        <v>9185.0357150536165</v>
      </c>
      <c r="N218" s="45">
        <f t="shared" si="40"/>
        <v>27844.205934044272</v>
      </c>
      <c r="O218" s="46">
        <f t="shared" si="41"/>
        <v>668260.94241706259</v>
      </c>
      <c r="P218" s="47">
        <f t="shared" si="42"/>
        <v>61627.498749999999</v>
      </c>
      <c r="Q218" s="42">
        <v>1479059.97</v>
      </c>
      <c r="R218" s="48">
        <f t="shared" si="43"/>
        <v>0.4518146363038022</v>
      </c>
      <c r="S218" s="49"/>
      <c r="U218" s="112"/>
    </row>
    <row r="219" spans="1:21" s="93" customFormat="1" outlineLevel="1" x14ac:dyDescent="0.3">
      <c r="A219" s="50" t="s">
        <v>1036</v>
      </c>
      <c r="B219" s="129"/>
      <c r="C219" s="129"/>
      <c r="D219" s="51">
        <f>SUBTOTAL(9,D212:D218)</f>
        <v>738</v>
      </c>
      <c r="E219" s="52"/>
      <c r="F219" s="52"/>
      <c r="G219" s="130"/>
      <c r="H219" s="131">
        <f>SUBTOTAL(9,H212:H218)</f>
        <v>8111711.1000000006</v>
      </c>
      <c r="I219" s="146">
        <f>SUBTOTAL(9,I212:I218)</f>
        <v>1014646.8</v>
      </c>
      <c r="J219" s="146">
        <f>SUBTOTAL(9,J212:J218)</f>
        <v>9126357.9000000004</v>
      </c>
      <c r="K219" s="53"/>
      <c r="L219" s="54"/>
      <c r="M219" s="54"/>
      <c r="N219" s="54"/>
      <c r="O219" s="55">
        <f>SUBTOTAL(9,O212:O218)</f>
        <v>16349190.110958295</v>
      </c>
      <c r="P219" s="56"/>
      <c r="Q219" s="51">
        <f>SUBTOTAL(9,Q212:Q218)</f>
        <v>27521668.829999998</v>
      </c>
      <c r="R219" s="57">
        <f>O219/Q219</f>
        <v>0.59404791954828184</v>
      </c>
      <c r="S219" s="58">
        <f>Q219/$Q$293</f>
        <v>8.3840655607428944E-3</v>
      </c>
      <c r="U219" s="147"/>
    </row>
    <row r="220" spans="1:21" outlineLevel="2" x14ac:dyDescent="0.3">
      <c r="A220" s="40" t="str">
        <f>VLOOKUP(B220,Grupos!$A$2:$B$619,2,FALSE)</f>
        <v>TABLEROS 75 AMP BIMETALICO TAPA LISA</v>
      </c>
      <c r="B220" s="41" t="s">
        <v>344</v>
      </c>
      <c r="C220" s="41" t="s">
        <v>345</v>
      </c>
      <c r="D220" s="42">
        <v>72</v>
      </c>
      <c r="E220" s="43">
        <v>6139.71</v>
      </c>
      <c r="F220" s="43">
        <v>669.78</v>
      </c>
      <c r="G220" s="126">
        <f t="shared" si="33"/>
        <v>6809.49</v>
      </c>
      <c r="H220" s="127">
        <f t="shared" si="34"/>
        <v>442059.12</v>
      </c>
      <c r="I220" s="128">
        <f t="shared" si="35"/>
        <v>48224.159999999996</v>
      </c>
      <c r="J220" s="128">
        <f t="shared" si="36"/>
        <v>490283.27999999997</v>
      </c>
      <c r="K220" s="44">
        <f t="shared" si="37"/>
        <v>3.6835834993413527E-4</v>
      </c>
      <c r="L220" s="45">
        <f t="shared" si="38"/>
        <v>1323.5265083506645</v>
      </c>
      <c r="M220" s="45">
        <f t="shared" si="39"/>
        <v>3596.9393165229003</v>
      </c>
      <c r="N220" s="45">
        <f t="shared" si="40"/>
        <v>11729.955824873565</v>
      </c>
      <c r="O220" s="46">
        <f t="shared" si="41"/>
        <v>844556.81939089671</v>
      </c>
      <c r="P220" s="47">
        <f t="shared" si="42"/>
        <v>16919.334444444445</v>
      </c>
      <c r="Q220" s="42">
        <v>1218192.08</v>
      </c>
      <c r="R220" s="48">
        <f t="shared" si="43"/>
        <v>0.69328707127278044</v>
      </c>
      <c r="S220" s="49"/>
      <c r="U220" s="112"/>
    </row>
    <row r="221" spans="1:21" outlineLevel="2" x14ac:dyDescent="0.3">
      <c r="A221" s="40" t="str">
        <f>VLOOKUP(B221,Grupos!$A$2:$B$619,2,FALSE)</f>
        <v>TABLEROS 75 AMP BIMETALICO TAPA LISA</v>
      </c>
      <c r="B221" s="41" t="s">
        <v>346</v>
      </c>
      <c r="C221" s="41" t="s">
        <v>347</v>
      </c>
      <c r="D221" s="42">
        <v>216</v>
      </c>
      <c r="E221" s="43">
        <v>5633.29</v>
      </c>
      <c r="F221" s="43">
        <v>670</v>
      </c>
      <c r="G221" s="126">
        <f t="shared" si="33"/>
        <v>6303.29</v>
      </c>
      <c r="H221" s="127">
        <f t="shared" si="34"/>
        <v>1216790.6399999999</v>
      </c>
      <c r="I221" s="128">
        <f t="shared" si="35"/>
        <v>144720</v>
      </c>
      <c r="J221" s="128">
        <f t="shared" si="36"/>
        <v>1361510.64</v>
      </c>
      <c r="K221" s="44">
        <f t="shared" si="37"/>
        <v>1.0229266084051825E-3</v>
      </c>
      <c r="L221" s="45">
        <f t="shared" si="38"/>
        <v>1225.1389465028451</v>
      </c>
      <c r="M221" s="45">
        <f t="shared" si="39"/>
        <v>3598.1207890207875</v>
      </c>
      <c r="N221" s="45">
        <f t="shared" si="40"/>
        <v>11126.549735523633</v>
      </c>
      <c r="O221" s="46">
        <f t="shared" si="41"/>
        <v>2403334.7428731048</v>
      </c>
      <c r="P221" s="47">
        <f t="shared" si="42"/>
        <v>16509.50097222222</v>
      </c>
      <c r="Q221" s="42">
        <v>3566052.21</v>
      </c>
      <c r="R221" s="48">
        <f t="shared" si="43"/>
        <v>0.67394827707054372</v>
      </c>
      <c r="S221" s="49"/>
      <c r="U221" s="112"/>
    </row>
    <row r="222" spans="1:21" outlineLevel="2" x14ac:dyDescent="0.3">
      <c r="A222" s="40" t="str">
        <f>VLOOKUP(B222,Grupos!$A$2:$B$619,2,FALSE)</f>
        <v>TABLEROS 75 AMP BIMETALICO TAPA LISA</v>
      </c>
      <c r="B222" s="41" t="s">
        <v>348</v>
      </c>
      <c r="C222" s="41" t="s">
        <v>349</v>
      </c>
      <c r="D222" s="42">
        <v>20</v>
      </c>
      <c r="E222" s="43">
        <v>9022.25</v>
      </c>
      <c r="F222" s="43">
        <v>1021.04</v>
      </c>
      <c r="G222" s="126">
        <f t="shared" si="33"/>
        <v>10043.290000000001</v>
      </c>
      <c r="H222" s="127">
        <f t="shared" si="34"/>
        <v>180445</v>
      </c>
      <c r="I222" s="128">
        <f t="shared" si="35"/>
        <v>20420.8</v>
      </c>
      <c r="J222" s="128">
        <f t="shared" si="36"/>
        <v>200865.80000000002</v>
      </c>
      <c r="K222" s="44">
        <f t="shared" si="37"/>
        <v>1.5091396681159519E-4</v>
      </c>
      <c r="L222" s="45">
        <f t="shared" si="38"/>
        <v>1952.064037990091</v>
      </c>
      <c r="M222" s="45">
        <f t="shared" si="39"/>
        <v>5483.3212692862462</v>
      </c>
      <c r="N222" s="45">
        <f t="shared" si="40"/>
        <v>17478.675307276339</v>
      </c>
      <c r="O222" s="46">
        <f t="shared" si="41"/>
        <v>349573.50614552677</v>
      </c>
      <c r="P222" s="47">
        <f t="shared" si="42"/>
        <v>21777.001</v>
      </c>
      <c r="Q222" s="42">
        <v>435540.02</v>
      </c>
      <c r="R222" s="48">
        <f t="shared" si="43"/>
        <v>0.8026208616731173</v>
      </c>
      <c r="S222" s="49"/>
      <c r="U222" s="112"/>
    </row>
    <row r="223" spans="1:21" outlineLevel="2" x14ac:dyDescent="0.3">
      <c r="A223" s="40" t="str">
        <f>VLOOKUP(B223,Grupos!$A$2:$B$619,2,FALSE)</f>
        <v>TABLEROS 75 AMP BIMETALICO TAPA LISA</v>
      </c>
      <c r="B223" s="41" t="s">
        <v>350</v>
      </c>
      <c r="C223" s="41" t="s">
        <v>351</v>
      </c>
      <c r="D223" s="42">
        <v>560</v>
      </c>
      <c r="E223" s="43">
        <v>7740.23</v>
      </c>
      <c r="F223" s="43">
        <v>1021</v>
      </c>
      <c r="G223" s="126">
        <f t="shared" si="33"/>
        <v>8761.23</v>
      </c>
      <c r="H223" s="127">
        <f t="shared" si="34"/>
        <v>4334528.8</v>
      </c>
      <c r="I223" s="128">
        <f t="shared" si="35"/>
        <v>571760</v>
      </c>
      <c r="J223" s="128">
        <f t="shared" si="36"/>
        <v>4906288.8</v>
      </c>
      <c r="K223" s="44">
        <f t="shared" si="37"/>
        <v>3.6861800522104866E-3</v>
      </c>
      <c r="L223" s="45">
        <f t="shared" si="38"/>
        <v>1702.8764490082358</v>
      </c>
      <c r="M223" s="45">
        <f t="shared" si="39"/>
        <v>5483.1064561048124</v>
      </c>
      <c r="N223" s="45">
        <f t="shared" si="40"/>
        <v>15947.212905113047</v>
      </c>
      <c r="O223" s="46">
        <f t="shared" si="41"/>
        <v>8930439.226863306</v>
      </c>
      <c r="P223" s="47">
        <f t="shared" si="42"/>
        <v>18512.821910714283</v>
      </c>
      <c r="Q223" s="42">
        <v>10367180.27</v>
      </c>
      <c r="R223" s="48">
        <f t="shared" si="43"/>
        <v>0.86141448246113173</v>
      </c>
      <c r="S223" s="49"/>
      <c r="U223" s="112"/>
    </row>
    <row r="224" spans="1:21" outlineLevel="2" x14ac:dyDescent="0.3">
      <c r="A224" s="40" t="str">
        <f>VLOOKUP(B224,Grupos!$A$2:$B$619,2,FALSE)</f>
        <v>TABLEROS 75 AMP BIMETALICO TAPA LISA</v>
      </c>
      <c r="B224" s="41" t="s">
        <v>352</v>
      </c>
      <c r="C224" s="41" t="s">
        <v>353</v>
      </c>
      <c r="D224" s="42">
        <v>20</v>
      </c>
      <c r="E224" s="43">
        <v>8252.09</v>
      </c>
      <c r="F224" s="43">
        <v>1069.8699999999999</v>
      </c>
      <c r="G224" s="126">
        <f t="shared" si="33"/>
        <v>9321.9599999999991</v>
      </c>
      <c r="H224" s="127">
        <f t="shared" si="34"/>
        <v>165041.79999999999</v>
      </c>
      <c r="I224" s="128">
        <f t="shared" si="35"/>
        <v>21397.399999999998</v>
      </c>
      <c r="J224" s="128">
        <f t="shared" si="36"/>
        <v>186439.19999999998</v>
      </c>
      <c r="K224" s="44">
        <f t="shared" si="37"/>
        <v>1.4007501148119965E-4</v>
      </c>
      <c r="L224" s="45">
        <f t="shared" si="38"/>
        <v>1811.862734181937</v>
      </c>
      <c r="M224" s="45">
        <f t="shared" si="39"/>
        <v>5745.5544605218947</v>
      </c>
      <c r="N224" s="45">
        <f t="shared" si="40"/>
        <v>16879.377194703833</v>
      </c>
      <c r="O224" s="46">
        <f t="shared" si="41"/>
        <v>337587.54389407666</v>
      </c>
      <c r="P224" s="47">
        <f t="shared" si="42"/>
        <v>22666.999499999998</v>
      </c>
      <c r="Q224" s="42">
        <v>453339.99</v>
      </c>
      <c r="R224" s="48">
        <f t="shared" si="43"/>
        <v>0.74466747108296505</v>
      </c>
      <c r="S224" s="49"/>
      <c r="U224" s="112"/>
    </row>
    <row r="225" spans="1:21" outlineLevel="2" x14ac:dyDescent="0.3">
      <c r="A225" s="40" t="str">
        <f>VLOOKUP(B225,Grupos!$A$2:$B$619,2,FALSE)</f>
        <v>TABLEROS 75 AMP BIMETALICO TAPA LISA</v>
      </c>
      <c r="B225" s="41" t="s">
        <v>354</v>
      </c>
      <c r="C225" s="41" t="s">
        <v>355</v>
      </c>
      <c r="D225" s="42">
        <v>1080</v>
      </c>
      <c r="E225" s="43">
        <v>8168.5</v>
      </c>
      <c r="F225" s="43">
        <v>1070</v>
      </c>
      <c r="G225" s="126">
        <f t="shared" si="33"/>
        <v>9238.5</v>
      </c>
      <c r="H225" s="127">
        <f t="shared" si="34"/>
        <v>8821980</v>
      </c>
      <c r="I225" s="128">
        <f t="shared" si="35"/>
        <v>1155600</v>
      </c>
      <c r="J225" s="128">
        <f t="shared" si="36"/>
        <v>9977580</v>
      </c>
      <c r="K225" s="44">
        <f t="shared" si="37"/>
        <v>7.4963292754666845E-3</v>
      </c>
      <c r="L225" s="45">
        <f t="shared" si="38"/>
        <v>1795.6410314719037</v>
      </c>
      <c r="M225" s="45">
        <f t="shared" si="39"/>
        <v>5746.2526033615568</v>
      </c>
      <c r="N225" s="45">
        <f t="shared" si="40"/>
        <v>16780.393634833461</v>
      </c>
      <c r="O225" s="46">
        <f t="shared" si="41"/>
        <v>18122825.125620138</v>
      </c>
      <c r="P225" s="47">
        <f t="shared" si="42"/>
        <v>22006.010296296296</v>
      </c>
      <c r="Q225" s="42">
        <v>23766491.120000001</v>
      </c>
      <c r="R225" s="48">
        <f t="shared" si="43"/>
        <v>0.76253684374844044</v>
      </c>
      <c r="S225" s="49"/>
      <c r="U225" s="112"/>
    </row>
    <row r="226" spans="1:21" outlineLevel="2" x14ac:dyDescent="0.3">
      <c r="A226" s="40" t="str">
        <f>VLOOKUP(B226,Grupos!$A$2:$B$619,2,FALSE)</f>
        <v>TABLEROS 75 AMP BIMETALICO TAPA LISA</v>
      </c>
      <c r="B226" s="41" t="s">
        <v>356</v>
      </c>
      <c r="C226" s="41" t="s">
        <v>357</v>
      </c>
      <c r="D226" s="42">
        <v>140</v>
      </c>
      <c r="E226" s="43">
        <v>7952.18</v>
      </c>
      <c r="F226" s="43">
        <v>976.87</v>
      </c>
      <c r="G226" s="126">
        <f t="shared" si="33"/>
        <v>8929.0500000000011</v>
      </c>
      <c r="H226" s="127">
        <f t="shared" si="34"/>
        <v>1113305.2</v>
      </c>
      <c r="I226" s="128">
        <f t="shared" si="35"/>
        <v>136761.79999999999</v>
      </c>
      <c r="J226" s="128">
        <f t="shared" si="36"/>
        <v>1250067.0000000002</v>
      </c>
      <c r="K226" s="44">
        <f t="shared" si="37"/>
        <v>9.391970646584456E-4</v>
      </c>
      <c r="L226" s="45">
        <f t="shared" si="38"/>
        <v>1735.4947829262549</v>
      </c>
      <c r="M226" s="45">
        <f t="shared" si="39"/>
        <v>5246.1138136876671</v>
      </c>
      <c r="N226" s="45">
        <f t="shared" si="40"/>
        <v>15910.658596613923</v>
      </c>
      <c r="O226" s="46">
        <f t="shared" si="41"/>
        <v>2227492.2035259493</v>
      </c>
      <c r="P226" s="47">
        <f t="shared" si="42"/>
        <v>23146.572214285712</v>
      </c>
      <c r="Q226" s="42">
        <v>3240520.11</v>
      </c>
      <c r="R226" s="48">
        <f t="shared" si="43"/>
        <v>0.6873872489333045</v>
      </c>
      <c r="S226" s="49"/>
      <c r="U226" s="112"/>
    </row>
    <row r="227" spans="1:21" outlineLevel="2" x14ac:dyDescent="0.3">
      <c r="A227" s="40" t="str">
        <f>VLOOKUP(B227,Grupos!$A$2:$B$619,2,FALSE)</f>
        <v>TABLEROS 75 AMP BIMETALICO TAPA LISA</v>
      </c>
      <c r="B227" s="41" t="s">
        <v>358</v>
      </c>
      <c r="C227" s="41" t="s">
        <v>359</v>
      </c>
      <c r="D227" s="42">
        <v>1292</v>
      </c>
      <c r="E227" s="43">
        <v>7838.62</v>
      </c>
      <c r="F227" s="43">
        <v>977</v>
      </c>
      <c r="G227" s="126">
        <f t="shared" si="33"/>
        <v>8815.619999999999</v>
      </c>
      <c r="H227" s="127">
        <f t="shared" si="34"/>
        <v>10127497.039999999</v>
      </c>
      <c r="I227" s="128">
        <f t="shared" si="35"/>
        <v>1262284</v>
      </c>
      <c r="J227" s="128">
        <f t="shared" si="36"/>
        <v>11389781.039999999</v>
      </c>
      <c r="K227" s="44">
        <f t="shared" si="37"/>
        <v>8.5573404624475439E-3</v>
      </c>
      <c r="L227" s="45">
        <f t="shared" si="38"/>
        <v>1713.4479612344364</v>
      </c>
      <c r="M227" s="45">
        <f t="shared" si="39"/>
        <v>5246.8119565273273</v>
      </c>
      <c r="N227" s="45">
        <f t="shared" si="40"/>
        <v>15775.879917761762</v>
      </c>
      <c r="O227" s="46">
        <f t="shared" si="41"/>
        <v>20382436.853748195</v>
      </c>
      <c r="P227" s="47">
        <f t="shared" si="42"/>
        <v>21696.178018575851</v>
      </c>
      <c r="Q227" s="42">
        <v>28031462</v>
      </c>
      <c r="R227" s="48">
        <f t="shared" si="43"/>
        <v>0.72712714212866225</v>
      </c>
      <c r="S227" s="49"/>
      <c r="U227" s="112"/>
    </row>
    <row r="228" spans="1:21" outlineLevel="2" x14ac:dyDescent="0.3">
      <c r="A228" s="40" t="str">
        <f>VLOOKUP(B228,Grupos!$A$2:$B$619,2,FALSE)</f>
        <v>TABLEROS 75 AMP BIMETALICO TAPA LISA</v>
      </c>
      <c r="B228" s="41" t="s">
        <v>360</v>
      </c>
      <c r="C228" s="41" t="s">
        <v>361</v>
      </c>
      <c r="D228" s="42">
        <v>40</v>
      </c>
      <c r="E228" s="43">
        <v>9979.81</v>
      </c>
      <c r="F228" s="43">
        <v>1281.17</v>
      </c>
      <c r="G228" s="126">
        <f t="shared" si="33"/>
        <v>11260.98</v>
      </c>
      <c r="H228" s="127">
        <f t="shared" si="34"/>
        <v>399192.39999999997</v>
      </c>
      <c r="I228" s="128">
        <f t="shared" si="35"/>
        <v>51246.8</v>
      </c>
      <c r="J228" s="128">
        <f t="shared" si="36"/>
        <v>450439.19999999995</v>
      </c>
      <c r="K228" s="44">
        <f t="shared" si="37"/>
        <v>3.3842280009559357E-4</v>
      </c>
      <c r="L228" s="45">
        <f t="shared" si="38"/>
        <v>2188.7403520684611</v>
      </c>
      <c r="M228" s="45">
        <f t="shared" si="39"/>
        <v>6880.305091447407</v>
      </c>
      <c r="N228" s="45">
        <f t="shared" si="40"/>
        <v>20330.025443515868</v>
      </c>
      <c r="O228" s="46">
        <f t="shared" si="41"/>
        <v>813201.01774063474</v>
      </c>
      <c r="P228" s="47">
        <f t="shared" si="42"/>
        <v>27239.998499999998</v>
      </c>
      <c r="Q228" s="42">
        <v>1089599.94</v>
      </c>
      <c r="R228" s="48">
        <f t="shared" si="43"/>
        <v>0.74632990319422632</v>
      </c>
      <c r="S228" s="49"/>
      <c r="U228" s="112"/>
    </row>
    <row r="229" spans="1:21" outlineLevel="2" x14ac:dyDescent="0.3">
      <c r="A229" s="40" t="str">
        <f>VLOOKUP(B229,Grupos!$A$2:$B$619,2,FALSE)</f>
        <v>TABLEROS 75 AMP BIMETALICO TAPA LISA</v>
      </c>
      <c r="B229" s="41" t="s">
        <v>362</v>
      </c>
      <c r="C229" s="41" t="s">
        <v>363</v>
      </c>
      <c r="D229" s="42">
        <v>240</v>
      </c>
      <c r="E229" s="43">
        <v>9899.36</v>
      </c>
      <c r="F229" s="43">
        <v>1281</v>
      </c>
      <c r="G229" s="126">
        <f t="shared" si="33"/>
        <v>11180.36</v>
      </c>
      <c r="H229" s="127">
        <f t="shared" si="34"/>
        <v>2375846.4000000004</v>
      </c>
      <c r="I229" s="128">
        <f t="shared" si="35"/>
        <v>307440</v>
      </c>
      <c r="J229" s="128">
        <f t="shared" si="36"/>
        <v>2683286.4000000004</v>
      </c>
      <c r="K229" s="44">
        <f t="shared" si="37"/>
        <v>2.0159997108298417E-3</v>
      </c>
      <c r="L229" s="45">
        <f t="shared" si="38"/>
        <v>2173.0706459519638</v>
      </c>
      <c r="M229" s="45">
        <f t="shared" si="39"/>
        <v>6879.3921354263121</v>
      </c>
      <c r="N229" s="45">
        <f t="shared" si="40"/>
        <v>20232.822781378276</v>
      </c>
      <c r="O229" s="46">
        <f t="shared" si="41"/>
        <v>4855877.4675307861</v>
      </c>
      <c r="P229" s="47">
        <f t="shared" si="42"/>
        <v>25803.999666666667</v>
      </c>
      <c r="Q229" s="42">
        <v>6192959.9199999999</v>
      </c>
      <c r="R229" s="48">
        <f t="shared" si="43"/>
        <v>0.78409638206261567</v>
      </c>
      <c r="S229" s="49"/>
      <c r="U229" s="112"/>
    </row>
    <row r="230" spans="1:21" outlineLevel="2" x14ac:dyDescent="0.3">
      <c r="A230" s="40" t="str">
        <f>VLOOKUP(B230,Grupos!$A$2:$B$619,2,FALSE)</f>
        <v>TABLEROS 75 AMP BIMETALICO TAPA LISA</v>
      </c>
      <c r="B230" s="41" t="s">
        <v>365</v>
      </c>
      <c r="C230" s="41" t="s">
        <v>366</v>
      </c>
      <c r="D230" s="42">
        <v>1140</v>
      </c>
      <c r="E230" s="43">
        <v>9580.34</v>
      </c>
      <c r="F230" s="43">
        <v>1281</v>
      </c>
      <c r="G230" s="126">
        <f t="shared" si="33"/>
        <v>10861.34</v>
      </c>
      <c r="H230" s="127">
        <f t="shared" si="34"/>
        <v>10921587.6</v>
      </c>
      <c r="I230" s="128">
        <f t="shared" si="35"/>
        <v>1460340</v>
      </c>
      <c r="J230" s="128">
        <f t="shared" si="36"/>
        <v>12381927.6</v>
      </c>
      <c r="K230" s="44">
        <f t="shared" si="37"/>
        <v>9.3027574175891282E-3</v>
      </c>
      <c r="L230" s="45">
        <f t="shared" si="38"/>
        <v>2111.0643243780969</v>
      </c>
      <c r="M230" s="45">
        <f t="shared" si="39"/>
        <v>6879.3921354263121</v>
      </c>
      <c r="N230" s="45">
        <f t="shared" si="40"/>
        <v>19851.796459804409</v>
      </c>
      <c r="O230" s="46">
        <f t="shared" si="41"/>
        <v>22631047.964177027</v>
      </c>
      <c r="P230" s="47">
        <f t="shared" si="42"/>
        <v>28219.684710526315</v>
      </c>
      <c r="Q230" s="42">
        <v>32170440.57</v>
      </c>
      <c r="R230" s="48">
        <f t="shared" si="43"/>
        <v>0.70347336135897465</v>
      </c>
      <c r="S230" s="49"/>
      <c r="U230" s="112"/>
    </row>
    <row r="231" spans="1:21" outlineLevel="2" x14ac:dyDescent="0.3">
      <c r="A231" s="40" t="str">
        <f>VLOOKUP(B231,Grupos!$A$2:$B$619,2,FALSE)</f>
        <v>TABLEROS 75 AMP BIMETALICO TAPA LISA</v>
      </c>
      <c r="B231" s="41" t="s">
        <v>651</v>
      </c>
      <c r="C231" s="41" t="s">
        <v>652</v>
      </c>
      <c r="D231" s="42">
        <v>105</v>
      </c>
      <c r="E231" s="43">
        <v>11762.18</v>
      </c>
      <c r="F231" s="43">
        <v>961.98</v>
      </c>
      <c r="G231" s="126">
        <f t="shared" si="33"/>
        <v>12724.16</v>
      </c>
      <c r="H231" s="127">
        <f t="shared" si="34"/>
        <v>1235028.9000000001</v>
      </c>
      <c r="I231" s="128">
        <f t="shared" si="35"/>
        <v>101007.90000000001</v>
      </c>
      <c r="J231" s="128">
        <f t="shared" si="36"/>
        <v>1336036.8</v>
      </c>
      <c r="K231" s="44">
        <f t="shared" si="37"/>
        <v>1.0037876696494367E-3</v>
      </c>
      <c r="L231" s="45">
        <f t="shared" si="38"/>
        <v>2473.1313294380625</v>
      </c>
      <c r="M231" s="45">
        <f t="shared" si="39"/>
        <v>5166.1496068988317</v>
      </c>
      <c r="N231" s="45">
        <f t="shared" si="40"/>
        <v>20363.440936336894</v>
      </c>
      <c r="O231" s="46">
        <f t="shared" si="41"/>
        <v>2138161.2983153737</v>
      </c>
      <c r="P231" s="47">
        <f t="shared" si="42"/>
        <v>29945.21438095238</v>
      </c>
      <c r="Q231" s="42">
        <v>3144247.51</v>
      </c>
      <c r="R231" s="48">
        <f t="shared" si="43"/>
        <v>0.68002321430330837</v>
      </c>
      <c r="S231" s="49"/>
      <c r="U231" s="112"/>
    </row>
    <row r="232" spans="1:21" outlineLevel="2" x14ac:dyDescent="0.3">
      <c r="A232" s="40" t="str">
        <f>VLOOKUP(B232,Grupos!$A$2:$B$619,2,FALSE)</f>
        <v>TABLEROS 75 AMP BIMETALICO TAPA LISA</v>
      </c>
      <c r="B232" s="41" t="s">
        <v>367</v>
      </c>
      <c r="C232" s="41" t="s">
        <v>368</v>
      </c>
      <c r="D232" s="42">
        <v>30</v>
      </c>
      <c r="E232" s="43">
        <v>11416.69</v>
      </c>
      <c r="F232" s="43">
        <v>961.98</v>
      </c>
      <c r="G232" s="126">
        <f t="shared" si="33"/>
        <v>12378.67</v>
      </c>
      <c r="H232" s="127">
        <f t="shared" si="34"/>
        <v>342500.7</v>
      </c>
      <c r="I232" s="128">
        <f t="shared" si="35"/>
        <v>28859.4</v>
      </c>
      <c r="J232" s="128">
        <f t="shared" si="36"/>
        <v>371360.1</v>
      </c>
      <c r="K232" s="44">
        <f t="shared" si="37"/>
        <v>2.7900929778265225E-4</v>
      </c>
      <c r="L232" s="45">
        <f t="shared" si="38"/>
        <v>2405.9801663744452</v>
      </c>
      <c r="M232" s="45">
        <f t="shared" si="39"/>
        <v>5166.1496068988317</v>
      </c>
      <c r="N232" s="45">
        <f t="shared" si="40"/>
        <v>19950.799773273277</v>
      </c>
      <c r="O232" s="46">
        <f t="shared" si="41"/>
        <v>598523.99319819827</v>
      </c>
      <c r="P232" s="47">
        <f t="shared" si="42"/>
        <v>37359.001333333334</v>
      </c>
      <c r="Q232" s="42">
        <v>1120770.04</v>
      </c>
      <c r="R232" s="48">
        <f t="shared" si="43"/>
        <v>0.53402925831082904</v>
      </c>
      <c r="S232" s="49"/>
      <c r="U232" s="112"/>
    </row>
    <row r="233" spans="1:21" s="93" customFormat="1" outlineLevel="1" x14ac:dyDescent="0.3">
      <c r="A233" s="50" t="s">
        <v>1037</v>
      </c>
      <c r="B233" s="129"/>
      <c r="C233" s="129"/>
      <c r="D233" s="51">
        <f>SUBTOTAL(9,D220:D232)</f>
        <v>4955</v>
      </c>
      <c r="E233" s="52"/>
      <c r="F233" s="52"/>
      <c r="G233" s="130"/>
      <c r="H233" s="131">
        <f>SUBTOTAL(9,H220:H232)</f>
        <v>41675803.600000001</v>
      </c>
      <c r="I233" s="146">
        <f>SUBTOTAL(9,I220:I232)</f>
        <v>5310062.26</v>
      </c>
      <c r="J233" s="146">
        <f>SUBTOTAL(9,J220:J232)</f>
        <v>46985865.859999999</v>
      </c>
      <c r="K233" s="53"/>
      <c r="L233" s="54"/>
      <c r="M233" s="54"/>
      <c r="N233" s="54"/>
      <c r="O233" s="55">
        <f>SUBTOTAL(9,O220:O232)</f>
        <v>84635057.763023227</v>
      </c>
      <c r="P233" s="56"/>
      <c r="Q233" s="51">
        <f>SUBTOTAL(9,Q220:Q232)</f>
        <v>114796795.78</v>
      </c>
      <c r="R233" s="57">
        <f>O233/Q233</f>
        <v>0.73725975701639246</v>
      </c>
      <c r="S233" s="58">
        <f>Q233/$Q$293</f>
        <v>3.4971130127603285E-2</v>
      </c>
      <c r="U233" s="147"/>
    </row>
    <row r="234" spans="1:21" outlineLevel="2" x14ac:dyDescent="0.3">
      <c r="A234" s="40" t="str">
        <f>VLOOKUP(B234,Grupos!$A$2:$B$619,2,FALSE)</f>
        <v>TABLEROS 75 AMP BIMETALICO TAPA PLASTICA</v>
      </c>
      <c r="B234" s="41" t="s">
        <v>369</v>
      </c>
      <c r="C234" s="41" t="s">
        <v>370</v>
      </c>
      <c r="D234" s="42">
        <v>255</v>
      </c>
      <c r="E234" s="43">
        <v>8254.09</v>
      </c>
      <c r="F234" s="43">
        <v>911.76</v>
      </c>
      <c r="G234" s="126">
        <f t="shared" si="33"/>
        <v>9165.85</v>
      </c>
      <c r="H234" s="127">
        <f t="shared" si="34"/>
        <v>2104792.9500000002</v>
      </c>
      <c r="I234" s="128">
        <f t="shared" si="35"/>
        <v>232498.8</v>
      </c>
      <c r="J234" s="128">
        <f t="shared" si="36"/>
        <v>2337291.75</v>
      </c>
      <c r="K234" s="44">
        <f t="shared" si="37"/>
        <v>1.7560479165119958E-3</v>
      </c>
      <c r="L234" s="45">
        <f t="shared" si="38"/>
        <v>1781.5204143872652</v>
      </c>
      <c r="M234" s="45">
        <f t="shared" si="39"/>
        <v>4896.4516576083479</v>
      </c>
      <c r="N234" s="45">
        <f t="shared" si="40"/>
        <v>15843.822071995613</v>
      </c>
      <c r="O234" s="46">
        <f t="shared" si="41"/>
        <v>4040174.6283588815</v>
      </c>
      <c r="P234" s="47">
        <f t="shared" si="42"/>
        <v>21508.499764705884</v>
      </c>
      <c r="Q234" s="42">
        <v>5484667.4400000004</v>
      </c>
      <c r="R234" s="48">
        <f t="shared" si="43"/>
        <v>0.73663073879259322</v>
      </c>
      <c r="S234" s="49"/>
      <c r="U234" s="112"/>
    </row>
    <row r="235" spans="1:21" outlineLevel="2" x14ac:dyDescent="0.3">
      <c r="A235" s="40" t="str">
        <f>VLOOKUP(B235,Grupos!$A$2:$B$619,2,FALSE)</f>
        <v>TABLEROS 75 AMP BIMETALICO TAPA PLASTICA</v>
      </c>
      <c r="B235" s="41" t="s">
        <v>371</v>
      </c>
      <c r="C235" s="41" t="s">
        <v>372</v>
      </c>
      <c r="D235" s="42">
        <v>315</v>
      </c>
      <c r="E235" s="43">
        <v>7924.21</v>
      </c>
      <c r="F235" s="43">
        <v>911.76</v>
      </c>
      <c r="G235" s="126">
        <f t="shared" si="33"/>
        <v>8835.9699999999993</v>
      </c>
      <c r="H235" s="127">
        <f t="shared" si="34"/>
        <v>2496126.15</v>
      </c>
      <c r="I235" s="128">
        <f t="shared" si="35"/>
        <v>287204.40000000002</v>
      </c>
      <c r="J235" s="128">
        <f t="shared" si="36"/>
        <v>2783330.55</v>
      </c>
      <c r="K235" s="44">
        <f t="shared" si="37"/>
        <v>2.0911646196037303E-3</v>
      </c>
      <c r="L235" s="45">
        <f t="shared" si="38"/>
        <v>1717.4032889381174</v>
      </c>
      <c r="M235" s="45">
        <f t="shared" si="39"/>
        <v>4896.4516576083479</v>
      </c>
      <c r="N235" s="45">
        <f t="shared" si="40"/>
        <v>15449.824946546465</v>
      </c>
      <c r="O235" s="46">
        <f t="shared" si="41"/>
        <v>4866694.8581621367</v>
      </c>
      <c r="P235" s="47">
        <f t="shared" si="42"/>
        <v>22492.381936507936</v>
      </c>
      <c r="Q235" s="42">
        <v>7085100.3099999996</v>
      </c>
      <c r="R235" s="48">
        <f t="shared" si="43"/>
        <v>0.68689145463377876</v>
      </c>
      <c r="S235" s="49"/>
      <c r="U235" s="112"/>
    </row>
    <row r="236" spans="1:21" outlineLevel="2" x14ac:dyDescent="0.3">
      <c r="A236" s="40" t="str">
        <f>VLOOKUP(B236,Grupos!$A$2:$B$619,2,FALSE)</f>
        <v>TABLEROS 75 AMP BIMETALICO TAPA PLASTICA</v>
      </c>
      <c r="B236" s="41" t="s">
        <v>373</v>
      </c>
      <c r="C236" s="41" t="s">
        <v>374</v>
      </c>
      <c r="D236" s="42">
        <v>300</v>
      </c>
      <c r="E236" s="43">
        <v>9799.1</v>
      </c>
      <c r="F236" s="43">
        <v>1036.77</v>
      </c>
      <c r="G236" s="126">
        <f t="shared" si="33"/>
        <v>10835.87</v>
      </c>
      <c r="H236" s="127">
        <f t="shared" si="34"/>
        <v>2939730</v>
      </c>
      <c r="I236" s="128">
        <f t="shared" si="35"/>
        <v>311031</v>
      </c>
      <c r="J236" s="128">
        <f t="shared" si="36"/>
        <v>3250761.0000000005</v>
      </c>
      <c r="K236" s="44">
        <f t="shared" si="37"/>
        <v>2.4423532411511966E-3</v>
      </c>
      <c r="L236" s="45">
        <f t="shared" si="38"/>
        <v>2106.1138478860703</v>
      </c>
      <c r="M236" s="45">
        <f t="shared" si="39"/>
        <v>5567.7965528851973</v>
      </c>
      <c r="N236" s="45">
        <f t="shared" si="40"/>
        <v>18509.780400771269</v>
      </c>
      <c r="O236" s="46">
        <f t="shared" si="41"/>
        <v>5552934.1202313807</v>
      </c>
      <c r="P236" s="47">
        <f t="shared" si="42"/>
        <v>27274.050466666664</v>
      </c>
      <c r="Q236" s="42">
        <v>8182215.1399999997</v>
      </c>
      <c r="R236" s="48">
        <f t="shared" si="43"/>
        <v>0.67865902145312951</v>
      </c>
      <c r="S236" s="49"/>
      <c r="U236" s="112"/>
    </row>
    <row r="237" spans="1:21" outlineLevel="2" x14ac:dyDescent="0.3">
      <c r="A237" s="40" t="str">
        <f>VLOOKUP(B237,Grupos!$A$2:$B$619,2,FALSE)</f>
        <v>TABLEROS 75 AMP BIMETALICO TAPA PLASTICA</v>
      </c>
      <c r="B237" s="41" t="s">
        <v>375</v>
      </c>
      <c r="C237" s="41" t="s">
        <v>376</v>
      </c>
      <c r="D237" s="42">
        <v>534</v>
      </c>
      <c r="E237" s="43">
        <v>9483.92</v>
      </c>
      <c r="F237" s="43">
        <v>1036.77</v>
      </c>
      <c r="G237" s="126">
        <f t="shared" si="33"/>
        <v>10520.69</v>
      </c>
      <c r="H237" s="127">
        <f t="shared" si="34"/>
        <v>5064413.28</v>
      </c>
      <c r="I237" s="128">
        <f t="shared" si="35"/>
        <v>553635.17999999993</v>
      </c>
      <c r="J237" s="128">
        <f t="shared" si="36"/>
        <v>5618048.46</v>
      </c>
      <c r="K237" s="44">
        <f t="shared" si="37"/>
        <v>4.2209374559450813E-3</v>
      </c>
      <c r="L237" s="45">
        <f t="shared" si="38"/>
        <v>2044.8538879034631</v>
      </c>
      <c r="M237" s="45">
        <f t="shared" si="39"/>
        <v>5567.7965528851973</v>
      </c>
      <c r="N237" s="45">
        <f t="shared" si="40"/>
        <v>18133.340440788659</v>
      </c>
      <c r="O237" s="46">
        <f t="shared" si="41"/>
        <v>9683203.7953811437</v>
      </c>
      <c r="P237" s="47">
        <f t="shared" si="42"/>
        <v>26567.927209737831</v>
      </c>
      <c r="Q237" s="42">
        <v>14187273.130000001</v>
      </c>
      <c r="R237" s="48">
        <f t="shared" si="43"/>
        <v>0.68252748126102669</v>
      </c>
      <c r="S237" s="49"/>
      <c r="U237" s="112"/>
    </row>
    <row r="238" spans="1:21" s="93" customFormat="1" outlineLevel="1" x14ac:dyDescent="0.3">
      <c r="A238" s="50" t="s">
        <v>1038</v>
      </c>
      <c r="B238" s="129"/>
      <c r="C238" s="129"/>
      <c r="D238" s="51">
        <f>SUBTOTAL(9,D234:D237)</f>
        <v>1404</v>
      </c>
      <c r="E238" s="52"/>
      <c r="F238" s="52"/>
      <c r="G238" s="130"/>
      <c r="H238" s="131">
        <f>SUBTOTAL(9,H234:H237)</f>
        <v>12605062.379999999</v>
      </c>
      <c r="I238" s="146">
        <f>SUBTOTAL(9,I234:I237)</f>
        <v>1384369.38</v>
      </c>
      <c r="J238" s="146">
        <f>SUBTOTAL(9,J234:J237)</f>
        <v>13989431.760000002</v>
      </c>
      <c r="K238" s="53"/>
      <c r="L238" s="54"/>
      <c r="M238" s="54"/>
      <c r="N238" s="54"/>
      <c r="O238" s="55">
        <f>SUBTOTAL(9,O234:O237)</f>
        <v>24143007.402133543</v>
      </c>
      <c r="P238" s="56"/>
      <c r="Q238" s="51">
        <f>SUBTOTAL(9,Q234:Q237)</f>
        <v>34939256.020000003</v>
      </c>
      <c r="R238" s="57">
        <f>O238/Q238</f>
        <v>0.6909994702896235</v>
      </c>
      <c r="S238" s="58">
        <f>Q238/$Q$293</f>
        <v>1.0643722767129195E-2</v>
      </c>
      <c r="U238" s="147"/>
    </row>
    <row r="239" spans="1:21" outlineLevel="2" x14ac:dyDescent="0.3">
      <c r="A239" s="40" t="str">
        <f>VLOOKUP(B239,Grupos!$A$2:$B$619,2,FALSE)</f>
        <v>TABLEROS 75 AMP COBRE CON PUERTA</v>
      </c>
      <c r="B239" s="41" t="s">
        <v>378</v>
      </c>
      <c r="C239" s="41" t="s">
        <v>379</v>
      </c>
      <c r="D239" s="42">
        <v>180</v>
      </c>
      <c r="E239" s="43">
        <v>12051.54</v>
      </c>
      <c r="F239" s="43">
        <v>1312.26</v>
      </c>
      <c r="G239" s="126">
        <f t="shared" si="33"/>
        <v>13363.800000000001</v>
      </c>
      <c r="H239" s="127">
        <f t="shared" si="34"/>
        <v>2169277.2000000002</v>
      </c>
      <c r="I239" s="128">
        <f t="shared" si="35"/>
        <v>236206.8</v>
      </c>
      <c r="J239" s="128">
        <f t="shared" si="36"/>
        <v>2405484</v>
      </c>
      <c r="K239" s="44">
        <f t="shared" si="37"/>
        <v>1.8072819391943438E-3</v>
      </c>
      <c r="L239" s="45">
        <f t="shared" si="38"/>
        <v>2597.4549565821535</v>
      </c>
      <c r="M239" s="45">
        <f t="shared" si="39"/>
        <v>7047.2686367170427</v>
      </c>
      <c r="N239" s="45">
        <f t="shared" si="40"/>
        <v>23008.523593299196</v>
      </c>
      <c r="O239" s="46">
        <f t="shared" si="41"/>
        <v>4141534.2467938554</v>
      </c>
      <c r="P239" s="47">
        <f t="shared" si="42"/>
        <v>33261.299500000001</v>
      </c>
      <c r="Q239" s="42">
        <v>5987033.9100000001</v>
      </c>
      <c r="R239" s="48">
        <f t="shared" si="43"/>
        <v>0.69175059120282412</v>
      </c>
      <c r="S239" s="49"/>
      <c r="U239" s="112"/>
    </row>
    <row r="240" spans="1:21" outlineLevel="2" x14ac:dyDescent="0.3">
      <c r="A240" s="40" t="str">
        <f>VLOOKUP(B240,Grupos!$A$2:$B$619,2,FALSE)</f>
        <v>TABLEROS 75 AMP COBRE CON PUERTA</v>
      </c>
      <c r="B240" s="41" t="s">
        <v>380</v>
      </c>
      <c r="C240" s="41" t="s">
        <v>381</v>
      </c>
      <c r="D240" s="42">
        <v>54</v>
      </c>
      <c r="E240" s="43">
        <v>11984.22</v>
      </c>
      <c r="F240" s="43">
        <v>1322.56</v>
      </c>
      <c r="G240" s="126">
        <f t="shared" si="33"/>
        <v>13306.779999999999</v>
      </c>
      <c r="H240" s="127">
        <f t="shared" si="34"/>
        <v>647147.88</v>
      </c>
      <c r="I240" s="128">
        <f t="shared" si="35"/>
        <v>71418.239999999991</v>
      </c>
      <c r="J240" s="128">
        <f t="shared" si="36"/>
        <v>718566.11999999988</v>
      </c>
      <c r="K240" s="44">
        <f t="shared" si="37"/>
        <v>5.3987121543645907E-4</v>
      </c>
      <c r="L240" s="45">
        <f t="shared" si="38"/>
        <v>2586.3722644119384</v>
      </c>
      <c r="M240" s="45">
        <f t="shared" si="39"/>
        <v>7102.5830309363173</v>
      </c>
      <c r="N240" s="45">
        <f t="shared" si="40"/>
        <v>22995.735295348255</v>
      </c>
      <c r="O240" s="46">
        <f t="shared" si="41"/>
        <v>1241769.7059488057</v>
      </c>
      <c r="P240" s="47">
        <f t="shared" si="42"/>
        <v>31599.998148148148</v>
      </c>
      <c r="Q240" s="42">
        <v>1706399.9</v>
      </c>
      <c r="R240" s="48">
        <f t="shared" si="43"/>
        <v>0.72771318490396408</v>
      </c>
      <c r="S240" s="49"/>
      <c r="U240" s="112"/>
    </row>
    <row r="241" spans="1:21" outlineLevel="2" x14ac:dyDescent="0.3">
      <c r="A241" s="40" t="str">
        <f>VLOOKUP(B241,Grupos!$A$2:$B$619,2,FALSE)</f>
        <v>TABLEROS 75 AMP COBRE CON PUERTA</v>
      </c>
      <c r="B241" s="41" t="s">
        <v>382</v>
      </c>
      <c r="C241" s="41" t="s">
        <v>383</v>
      </c>
      <c r="D241" s="42">
        <v>80</v>
      </c>
      <c r="E241" s="43">
        <v>16654.29</v>
      </c>
      <c r="F241" s="43">
        <v>1599.13</v>
      </c>
      <c r="G241" s="126">
        <f t="shared" si="33"/>
        <v>18253.420000000002</v>
      </c>
      <c r="H241" s="127">
        <f t="shared" si="34"/>
        <v>1332343.2000000002</v>
      </c>
      <c r="I241" s="128">
        <f t="shared" si="35"/>
        <v>127930.40000000001</v>
      </c>
      <c r="J241" s="128">
        <f t="shared" si="36"/>
        <v>1460273.6</v>
      </c>
      <c r="K241" s="44">
        <f t="shared" si="37"/>
        <v>1.0971289368635609E-3</v>
      </c>
      <c r="L241" s="45">
        <f t="shared" si="38"/>
        <v>3547.8259367527071</v>
      </c>
      <c r="M241" s="45">
        <f t="shared" si="39"/>
        <v>8587.8550706668848</v>
      </c>
      <c r="N241" s="45">
        <f t="shared" si="40"/>
        <v>30389.101007419595</v>
      </c>
      <c r="O241" s="46">
        <f t="shared" si="41"/>
        <v>2431128.0805935673</v>
      </c>
      <c r="P241" s="47">
        <f t="shared" si="42"/>
        <v>42061.498500000002</v>
      </c>
      <c r="Q241" s="42">
        <v>3364919.88</v>
      </c>
      <c r="R241" s="48">
        <f t="shared" si="43"/>
        <v>0.72249211490692833</v>
      </c>
      <c r="S241" s="49"/>
      <c r="U241" s="112"/>
    </row>
    <row r="242" spans="1:21" outlineLevel="2" x14ac:dyDescent="0.3">
      <c r="A242" s="40" t="str">
        <f>VLOOKUP(B242,Grupos!$A$2:$B$619,2,FALSE)</f>
        <v>TABLEROS 75 AMP COBRE CON PUERTA</v>
      </c>
      <c r="B242" s="41" t="s">
        <v>384</v>
      </c>
      <c r="C242" s="41" t="s">
        <v>385</v>
      </c>
      <c r="D242" s="42">
        <v>48</v>
      </c>
      <c r="E242" s="43">
        <v>16552.88</v>
      </c>
      <c r="F242" s="43">
        <v>1610.67</v>
      </c>
      <c r="G242" s="126">
        <f t="shared" si="33"/>
        <v>18163.550000000003</v>
      </c>
      <c r="H242" s="127">
        <f t="shared" si="34"/>
        <v>794538.24</v>
      </c>
      <c r="I242" s="128">
        <f t="shared" si="35"/>
        <v>77312.160000000003</v>
      </c>
      <c r="J242" s="128">
        <f t="shared" si="36"/>
        <v>871850.40000000014</v>
      </c>
      <c r="K242" s="44">
        <f t="shared" si="37"/>
        <v>6.5503635925217739E-4</v>
      </c>
      <c r="L242" s="45">
        <f t="shared" si="38"/>
        <v>3530.3583544072631</v>
      </c>
      <c r="M242" s="45">
        <f t="shared" si="39"/>
        <v>8649.8286735106158</v>
      </c>
      <c r="N242" s="45">
        <f t="shared" si="40"/>
        <v>30343.737027917883</v>
      </c>
      <c r="O242" s="46">
        <f t="shared" si="41"/>
        <v>1456499.3773400583</v>
      </c>
      <c r="P242" s="47">
        <f t="shared" si="42"/>
        <v>39239.997708333329</v>
      </c>
      <c r="Q242" s="42">
        <v>1883519.89</v>
      </c>
      <c r="R242" s="48">
        <f t="shared" si="43"/>
        <v>0.77328590214147319</v>
      </c>
      <c r="S242" s="49"/>
      <c r="U242" s="112"/>
    </row>
    <row r="243" spans="1:21" outlineLevel="2" x14ac:dyDescent="0.3">
      <c r="A243" s="40" t="str">
        <f>VLOOKUP(B243,Grupos!$A$2:$B$619,2,FALSE)</f>
        <v>TABLEROS 75 AMP COBRE CON PUERTA</v>
      </c>
      <c r="B243" s="41" t="s">
        <v>386</v>
      </c>
      <c r="C243" s="41" t="s">
        <v>387</v>
      </c>
      <c r="D243" s="42">
        <v>128</v>
      </c>
      <c r="E243" s="43">
        <v>15748.45</v>
      </c>
      <c r="F243" s="43">
        <v>1654.72</v>
      </c>
      <c r="G243" s="126">
        <f t="shared" si="33"/>
        <v>17403.170000000002</v>
      </c>
      <c r="H243" s="127">
        <f t="shared" si="34"/>
        <v>2015801.6</v>
      </c>
      <c r="I243" s="128">
        <f t="shared" si="35"/>
        <v>211804.16</v>
      </c>
      <c r="J243" s="128">
        <f t="shared" si="36"/>
        <v>2227605.7600000002</v>
      </c>
      <c r="K243" s="44">
        <f t="shared" si="37"/>
        <v>1.6736389257601758E-3</v>
      </c>
      <c r="L243" s="45">
        <f t="shared" si="38"/>
        <v>3382.5670974379927</v>
      </c>
      <c r="M243" s="45">
        <f t="shared" si="39"/>
        <v>8886.3916895648927</v>
      </c>
      <c r="N243" s="45">
        <f t="shared" si="40"/>
        <v>29672.12878700289</v>
      </c>
      <c r="O243" s="46">
        <f t="shared" si="41"/>
        <v>3798032.4847363699</v>
      </c>
      <c r="P243" s="47">
        <f t="shared" si="42"/>
        <v>43679.250937500001</v>
      </c>
      <c r="Q243" s="42">
        <v>5590944.1200000001</v>
      </c>
      <c r="R243" s="48">
        <f t="shared" si="43"/>
        <v>0.67931862726905057</v>
      </c>
      <c r="S243" s="49"/>
      <c r="U243" s="112"/>
    </row>
    <row r="244" spans="1:21" s="93" customFormat="1" outlineLevel="1" x14ac:dyDescent="0.3">
      <c r="A244" s="50" t="s">
        <v>1039</v>
      </c>
      <c r="B244" s="129"/>
      <c r="C244" s="129"/>
      <c r="D244" s="51">
        <f>SUBTOTAL(9,D239:D243)</f>
        <v>490</v>
      </c>
      <c r="E244" s="52"/>
      <c r="F244" s="52"/>
      <c r="G244" s="130"/>
      <c r="H244" s="131">
        <f>SUBTOTAL(9,H239:H243)</f>
        <v>6959108.120000001</v>
      </c>
      <c r="I244" s="146">
        <f>SUBTOTAL(9,I239:I243)</f>
        <v>724671.76</v>
      </c>
      <c r="J244" s="146">
        <f>SUBTOTAL(9,J239:J243)</f>
        <v>7683779.8800000008</v>
      </c>
      <c r="K244" s="53"/>
      <c r="L244" s="54"/>
      <c r="M244" s="54"/>
      <c r="N244" s="54"/>
      <c r="O244" s="55">
        <f>SUBTOTAL(9,O239:O243)</f>
        <v>13068963.895412657</v>
      </c>
      <c r="P244" s="56"/>
      <c r="Q244" s="51">
        <f>SUBTOTAL(9,Q239:Q243)</f>
        <v>18532817.700000003</v>
      </c>
      <c r="R244" s="57">
        <f>O244/Q244</f>
        <v>0.70517954187898024</v>
      </c>
      <c r="S244" s="58">
        <f>Q244/$Q$293</f>
        <v>5.6457462511402649E-3</v>
      </c>
      <c r="U244" s="147"/>
    </row>
    <row r="245" spans="1:21" outlineLevel="2" x14ac:dyDescent="0.3">
      <c r="A245" s="40" t="str">
        <f>VLOOKUP(B245,Grupos!$A$2:$B$619,2,FALSE)</f>
        <v>TABLEROS 75 AMP COBRE TAPA LISA</v>
      </c>
      <c r="B245" s="41" t="s">
        <v>389</v>
      </c>
      <c r="C245" s="41" t="s">
        <v>390</v>
      </c>
      <c r="D245" s="42">
        <v>24</v>
      </c>
      <c r="E245" s="43">
        <v>7539.24</v>
      </c>
      <c r="F245" s="43">
        <v>654.04999999999995</v>
      </c>
      <c r="G245" s="126">
        <f t="shared" si="33"/>
        <v>8193.2899999999991</v>
      </c>
      <c r="H245" s="127">
        <f t="shared" si="34"/>
        <v>180941.76</v>
      </c>
      <c r="I245" s="128">
        <f t="shared" si="35"/>
        <v>15697.199999999999</v>
      </c>
      <c r="J245" s="128">
        <f t="shared" si="36"/>
        <v>196638.95999999996</v>
      </c>
      <c r="K245" s="44">
        <f t="shared" si="37"/>
        <v>1.4773826845240249E-4</v>
      </c>
      <c r="L245" s="45">
        <f t="shared" si="38"/>
        <v>1592.488792200945</v>
      </c>
      <c r="M245" s="45">
        <f t="shared" si="39"/>
        <v>3512.4640329239492</v>
      </c>
      <c r="N245" s="45">
        <f t="shared" si="40"/>
        <v>13298.242825124893</v>
      </c>
      <c r="O245" s="46">
        <f t="shared" si="41"/>
        <v>319157.82780299743</v>
      </c>
      <c r="P245" s="47">
        <f t="shared" si="42"/>
        <v>17802.999583333334</v>
      </c>
      <c r="Q245" s="42">
        <v>427271.99</v>
      </c>
      <c r="R245" s="48">
        <f t="shared" si="43"/>
        <v>0.7469664178150256</v>
      </c>
      <c r="S245" s="49"/>
      <c r="U245" s="112"/>
    </row>
    <row r="246" spans="1:21" outlineLevel="2" x14ac:dyDescent="0.3">
      <c r="A246" s="40" t="str">
        <f>VLOOKUP(B246,Grupos!$A$2:$B$619,2,FALSE)</f>
        <v>TABLEROS 75 AMP COBRE TAPA LISA</v>
      </c>
      <c r="B246" s="41" t="s">
        <v>391</v>
      </c>
      <c r="C246" s="41" t="s">
        <v>392</v>
      </c>
      <c r="D246" s="42">
        <v>624</v>
      </c>
      <c r="E246" s="43">
        <v>7515.56</v>
      </c>
      <c r="F246" s="43">
        <v>654</v>
      </c>
      <c r="G246" s="126">
        <f t="shared" si="33"/>
        <v>8169.56</v>
      </c>
      <c r="H246" s="127">
        <f t="shared" si="34"/>
        <v>4689709.4400000004</v>
      </c>
      <c r="I246" s="128">
        <f t="shared" si="35"/>
        <v>408096</v>
      </c>
      <c r="J246" s="128">
        <f t="shared" si="36"/>
        <v>5097805.4400000004</v>
      </c>
      <c r="K246" s="44">
        <f t="shared" si="37"/>
        <v>3.830069832615256E-3</v>
      </c>
      <c r="L246" s="45">
        <f t="shared" si="38"/>
        <v>1587.8765108049583</v>
      </c>
      <c r="M246" s="45">
        <f t="shared" si="39"/>
        <v>3512.1955164471569</v>
      </c>
      <c r="N246" s="45">
        <f t="shared" si="40"/>
        <v>13269.632027252115</v>
      </c>
      <c r="O246" s="46">
        <f t="shared" si="41"/>
        <v>8280250.3850053195</v>
      </c>
      <c r="P246" s="47">
        <f t="shared" si="42"/>
        <v>17939.942580128205</v>
      </c>
      <c r="Q246" s="42">
        <v>11194524.17</v>
      </c>
      <c r="R246" s="48">
        <f t="shared" si="43"/>
        <v>0.73966970451458858</v>
      </c>
      <c r="S246" s="49"/>
      <c r="U246" s="112"/>
    </row>
    <row r="247" spans="1:21" outlineLevel="2" x14ac:dyDescent="0.3">
      <c r="A247" s="40" t="str">
        <f>VLOOKUP(B247,Grupos!$A$2:$B$619,2,FALSE)</f>
        <v>TABLEROS 75 AMP COBRE TAPA LISA</v>
      </c>
      <c r="B247" s="41" t="s">
        <v>394</v>
      </c>
      <c r="C247" s="41" t="s">
        <v>395</v>
      </c>
      <c r="D247" s="42">
        <v>48</v>
      </c>
      <c r="E247" s="43">
        <v>7798.75</v>
      </c>
      <c r="F247" s="43">
        <v>654</v>
      </c>
      <c r="G247" s="126">
        <f t="shared" si="33"/>
        <v>8452.75</v>
      </c>
      <c r="H247" s="127">
        <f t="shared" si="34"/>
        <v>374340</v>
      </c>
      <c r="I247" s="128">
        <f t="shared" si="35"/>
        <v>31392</v>
      </c>
      <c r="J247" s="128">
        <f t="shared" si="36"/>
        <v>405732</v>
      </c>
      <c r="K247" s="44">
        <f t="shared" si="37"/>
        <v>3.0483350367460334E-4</v>
      </c>
      <c r="L247" s="45">
        <f t="shared" si="38"/>
        <v>1642.918734510379</v>
      </c>
      <c r="M247" s="45">
        <f t="shared" si="39"/>
        <v>3512.1955164471569</v>
      </c>
      <c r="N247" s="45">
        <f t="shared" si="40"/>
        <v>13607.864250957535</v>
      </c>
      <c r="O247" s="46">
        <f t="shared" si="41"/>
        <v>653177.48404596164</v>
      </c>
      <c r="P247" s="47">
        <f t="shared" si="42"/>
        <v>17819.998749999999</v>
      </c>
      <c r="Q247" s="42">
        <v>855359.94</v>
      </c>
      <c r="R247" s="48">
        <f t="shared" si="43"/>
        <v>0.76362879941041162</v>
      </c>
      <c r="S247" s="49"/>
      <c r="U247" s="112"/>
    </row>
    <row r="248" spans="1:21" outlineLevel="2" x14ac:dyDescent="0.3">
      <c r="A248" s="40" t="str">
        <f>VLOOKUP(B248,Grupos!$A$2:$B$619,2,FALSE)</f>
        <v>TABLEROS 75 AMP COBRE TAPA LISA</v>
      </c>
      <c r="B248" s="41" t="s">
        <v>396</v>
      </c>
      <c r="C248" s="41" t="s">
        <v>397</v>
      </c>
      <c r="D248" s="42">
        <v>40</v>
      </c>
      <c r="E248" s="43">
        <v>10969.67</v>
      </c>
      <c r="F248" s="43">
        <v>893.99</v>
      </c>
      <c r="G248" s="126">
        <f t="shared" si="33"/>
        <v>11863.66</v>
      </c>
      <c r="H248" s="127">
        <f t="shared" si="34"/>
        <v>438786.8</v>
      </c>
      <c r="I248" s="128">
        <f t="shared" si="35"/>
        <v>35759.599999999999</v>
      </c>
      <c r="J248" s="128">
        <f t="shared" si="36"/>
        <v>474546.4</v>
      </c>
      <c r="K248" s="44">
        <f t="shared" si="37"/>
        <v>3.5653495846561226E-4</v>
      </c>
      <c r="L248" s="45">
        <f t="shared" si="38"/>
        <v>2305.8802488966785</v>
      </c>
      <c r="M248" s="45">
        <f t="shared" si="39"/>
        <v>4801.0209017562593</v>
      </c>
      <c r="N248" s="45">
        <f t="shared" si="40"/>
        <v>18970.561150652939</v>
      </c>
      <c r="O248" s="46">
        <f t="shared" si="41"/>
        <v>758822.44602611754</v>
      </c>
      <c r="P248" s="47">
        <f t="shared" si="42"/>
        <v>23080.000250000001</v>
      </c>
      <c r="Q248" s="42">
        <v>923200.01</v>
      </c>
      <c r="R248" s="48">
        <f t="shared" si="43"/>
        <v>0.82194804788413889</v>
      </c>
      <c r="S248" s="49"/>
      <c r="U248" s="112"/>
    </row>
    <row r="249" spans="1:21" outlineLevel="2" x14ac:dyDescent="0.3">
      <c r="A249" s="40" t="str">
        <f>VLOOKUP(B249,Grupos!$A$2:$B$619,2,FALSE)</f>
        <v>TABLEROS 75 AMP COBRE TAPA LISA</v>
      </c>
      <c r="B249" s="41" t="s">
        <v>398</v>
      </c>
      <c r="C249" s="41" t="s">
        <v>399</v>
      </c>
      <c r="D249" s="42">
        <v>80</v>
      </c>
      <c r="E249" s="43">
        <v>10405.49</v>
      </c>
      <c r="F249" s="43">
        <v>1107.49</v>
      </c>
      <c r="G249" s="126">
        <f t="shared" si="33"/>
        <v>11512.98</v>
      </c>
      <c r="H249" s="127">
        <f t="shared" si="34"/>
        <v>832439.2</v>
      </c>
      <c r="I249" s="128">
        <f t="shared" si="35"/>
        <v>88599.2</v>
      </c>
      <c r="J249" s="128">
        <f t="shared" si="36"/>
        <v>921038.39999999991</v>
      </c>
      <c r="K249" s="44">
        <f t="shared" si="37"/>
        <v>6.9199215859446818E-4</v>
      </c>
      <c r="L249" s="45">
        <f t="shared" si="38"/>
        <v>2237.7203314948742</v>
      </c>
      <c r="M249" s="45">
        <f t="shared" si="39"/>
        <v>5947.5862576606451</v>
      </c>
      <c r="N249" s="45">
        <f t="shared" si="40"/>
        <v>19698.286589155519</v>
      </c>
      <c r="O249" s="46">
        <f t="shared" si="41"/>
        <v>1575862.9271324417</v>
      </c>
      <c r="P249" s="47">
        <f t="shared" si="42"/>
        <v>22935.749499999998</v>
      </c>
      <c r="Q249" s="42">
        <v>1834859.96</v>
      </c>
      <c r="R249" s="48">
        <f t="shared" si="43"/>
        <v>0.85884643051039256</v>
      </c>
      <c r="S249" s="49"/>
      <c r="U249" s="112"/>
    </row>
    <row r="250" spans="1:21" outlineLevel="2" x14ac:dyDescent="0.3">
      <c r="A250" s="40" t="str">
        <f>VLOOKUP(B250,Grupos!$A$2:$B$619,2,FALSE)</f>
        <v>TABLEROS 75 AMP COBRE TAPA LISA</v>
      </c>
      <c r="B250" s="41" t="s">
        <v>400</v>
      </c>
      <c r="C250" s="41" t="s">
        <v>401</v>
      </c>
      <c r="D250" s="42">
        <v>120</v>
      </c>
      <c r="E250" s="43">
        <v>10202.06</v>
      </c>
      <c r="F250" s="43">
        <v>1107</v>
      </c>
      <c r="G250" s="126">
        <f t="shared" si="33"/>
        <v>11309.06</v>
      </c>
      <c r="H250" s="127">
        <f t="shared" si="34"/>
        <v>1224247.2</v>
      </c>
      <c r="I250" s="128">
        <f t="shared" si="35"/>
        <v>132840</v>
      </c>
      <c r="J250" s="128">
        <f t="shared" si="36"/>
        <v>1357087.2</v>
      </c>
      <c r="K250" s="44">
        <f t="shared" si="37"/>
        <v>1.0196032010488627E-3</v>
      </c>
      <c r="L250" s="45">
        <f t="shared" si="38"/>
        <v>2198.0854211590245</v>
      </c>
      <c r="M250" s="45">
        <f t="shared" si="39"/>
        <v>5944.9547961880771</v>
      </c>
      <c r="N250" s="45">
        <f t="shared" si="40"/>
        <v>19452.100217347102</v>
      </c>
      <c r="O250" s="46">
        <f t="shared" si="41"/>
        <v>2334252.0260816524</v>
      </c>
      <c r="P250" s="47">
        <f t="shared" si="42"/>
        <v>20590.999250000001</v>
      </c>
      <c r="Q250" s="42">
        <v>2470919.91</v>
      </c>
      <c r="R250" s="48">
        <f t="shared" si="43"/>
        <v>0.9446894723842556</v>
      </c>
      <c r="S250" s="49"/>
      <c r="U250" s="112"/>
    </row>
    <row r="251" spans="1:21" outlineLevel="2" x14ac:dyDescent="0.3">
      <c r="A251" s="40" t="str">
        <f>VLOOKUP(B251,Grupos!$A$2:$B$619,2,FALSE)</f>
        <v>TABLEROS 75 AMP COBRE TAPA LISA</v>
      </c>
      <c r="B251" s="41" t="s">
        <v>402</v>
      </c>
      <c r="C251" s="41" t="s">
        <v>403</v>
      </c>
      <c r="D251" s="42">
        <v>160</v>
      </c>
      <c r="E251" s="43">
        <v>11213.28</v>
      </c>
      <c r="F251" s="43">
        <v>1168.94</v>
      </c>
      <c r="G251" s="126">
        <f t="shared" si="33"/>
        <v>12382.220000000001</v>
      </c>
      <c r="H251" s="127">
        <f t="shared" si="34"/>
        <v>1794124.8</v>
      </c>
      <c r="I251" s="128">
        <f t="shared" si="35"/>
        <v>187030.40000000002</v>
      </c>
      <c r="J251" s="128">
        <f t="shared" si="36"/>
        <v>1981155.2000000002</v>
      </c>
      <c r="K251" s="44">
        <f t="shared" si="37"/>
        <v>1.4884763364466189E-3</v>
      </c>
      <c r="L251" s="45">
        <f t="shared" si="38"/>
        <v>2406.6701621163652</v>
      </c>
      <c r="M251" s="45">
        <f t="shared" si="39"/>
        <v>6277.5930076387458</v>
      </c>
      <c r="N251" s="45">
        <f t="shared" si="40"/>
        <v>21066.483169755113</v>
      </c>
      <c r="O251" s="46">
        <f t="shared" si="41"/>
        <v>3370637.307160818</v>
      </c>
      <c r="P251" s="47">
        <f t="shared" si="42"/>
        <v>28034.437750000001</v>
      </c>
      <c r="Q251" s="42">
        <v>4485510.04</v>
      </c>
      <c r="R251" s="48">
        <f t="shared" si="43"/>
        <v>0.75145017558824101</v>
      </c>
      <c r="S251" s="49"/>
      <c r="U251" s="112"/>
    </row>
    <row r="252" spans="1:21" outlineLevel="2" x14ac:dyDescent="0.3">
      <c r="A252" s="40" t="str">
        <f>VLOOKUP(B252,Grupos!$A$2:$B$619,2,FALSE)</f>
        <v>TABLEROS 75 AMP COBRE TAPA LISA</v>
      </c>
      <c r="B252" s="41" t="s">
        <v>404</v>
      </c>
      <c r="C252" s="41" t="s">
        <v>405</v>
      </c>
      <c r="D252" s="42">
        <v>1060</v>
      </c>
      <c r="E252" s="43">
        <v>11009.85</v>
      </c>
      <c r="F252" s="43">
        <v>1169</v>
      </c>
      <c r="G252" s="126">
        <f t="shared" si="33"/>
        <v>12178.85</v>
      </c>
      <c r="H252" s="127">
        <f t="shared" si="34"/>
        <v>11670441</v>
      </c>
      <c r="I252" s="128">
        <f t="shared" si="35"/>
        <v>1239140</v>
      </c>
      <c r="J252" s="128">
        <f t="shared" si="36"/>
        <v>12909581</v>
      </c>
      <c r="K252" s="44">
        <f t="shared" si="37"/>
        <v>9.6991925882136225E-3</v>
      </c>
      <c r="L252" s="45">
        <f t="shared" si="38"/>
        <v>2367.1421525292631</v>
      </c>
      <c r="M252" s="45">
        <f t="shared" si="39"/>
        <v>6277.9152274108965</v>
      </c>
      <c r="N252" s="45">
        <f t="shared" si="40"/>
        <v>20823.907379940159</v>
      </c>
      <c r="O252" s="46">
        <f t="shared" si="41"/>
        <v>22073341.822736569</v>
      </c>
      <c r="P252" s="47">
        <f t="shared" si="42"/>
        <v>24486.395141509434</v>
      </c>
      <c r="Q252" s="42">
        <v>25955578.850000001</v>
      </c>
      <c r="R252" s="48">
        <f t="shared" si="43"/>
        <v>0.85042764602942256</v>
      </c>
      <c r="S252" s="49"/>
      <c r="U252" s="112"/>
    </row>
    <row r="253" spans="1:21" outlineLevel="2" x14ac:dyDescent="0.3">
      <c r="A253" s="40" t="str">
        <f>VLOOKUP(B253,Grupos!$A$2:$B$619,2,FALSE)</f>
        <v>TABLEROS 75 AMP COBRE TAPA LISA</v>
      </c>
      <c r="B253" s="41" t="s">
        <v>406</v>
      </c>
      <c r="C253" s="41" t="s">
        <v>407</v>
      </c>
      <c r="D253" s="42">
        <v>520</v>
      </c>
      <c r="E253" s="43">
        <v>11702.36</v>
      </c>
      <c r="F253" s="43">
        <v>1217.8</v>
      </c>
      <c r="G253" s="126">
        <f t="shared" si="33"/>
        <v>12920.16</v>
      </c>
      <c r="H253" s="127">
        <f t="shared" si="34"/>
        <v>6085227.2000000002</v>
      </c>
      <c r="I253" s="128">
        <f t="shared" si="35"/>
        <v>633256</v>
      </c>
      <c r="J253" s="128">
        <f t="shared" si="36"/>
        <v>6718483.2000000002</v>
      </c>
      <c r="K253" s="44">
        <f t="shared" si="37"/>
        <v>5.0477132028899883E-3</v>
      </c>
      <c r="L253" s="45">
        <f t="shared" si="38"/>
        <v>2511.2268689919392</v>
      </c>
      <c r="M253" s="45">
        <f t="shared" si="39"/>
        <v>6539.9873087604701</v>
      </c>
      <c r="N253" s="45">
        <f t="shared" si="40"/>
        <v>21971.374177752412</v>
      </c>
      <c r="O253" s="46">
        <f t="shared" si="41"/>
        <v>11425114.572431255</v>
      </c>
      <c r="P253" s="47">
        <f t="shared" si="42"/>
        <v>26680.960788461536</v>
      </c>
      <c r="Q253" s="42">
        <v>13874099.609999999</v>
      </c>
      <c r="R253" s="48">
        <f t="shared" si="43"/>
        <v>0.82348511929353629</v>
      </c>
      <c r="S253" s="49"/>
      <c r="U253" s="112"/>
    </row>
    <row r="254" spans="1:21" outlineLevel="2" x14ac:dyDescent="0.3">
      <c r="A254" s="40" t="str">
        <f>VLOOKUP(B254,Grupos!$A$2:$B$619,2,FALSE)</f>
        <v>TABLEROS 75 AMP COBRE TAPA LISA</v>
      </c>
      <c r="B254" s="41" t="s">
        <v>408</v>
      </c>
      <c r="C254" s="41" t="s">
        <v>409</v>
      </c>
      <c r="D254" s="42">
        <v>460</v>
      </c>
      <c r="E254" s="43">
        <v>11588.81</v>
      </c>
      <c r="F254" s="43">
        <v>1218</v>
      </c>
      <c r="G254" s="126">
        <f t="shared" si="33"/>
        <v>12806.81</v>
      </c>
      <c r="H254" s="127">
        <f t="shared" si="34"/>
        <v>5330852.5999999996</v>
      </c>
      <c r="I254" s="128">
        <f t="shared" si="35"/>
        <v>560280</v>
      </c>
      <c r="J254" s="128">
        <f t="shared" si="36"/>
        <v>5891132.5999999996</v>
      </c>
      <c r="K254" s="44">
        <f t="shared" si="37"/>
        <v>4.426110316833958E-3</v>
      </c>
      <c r="L254" s="45">
        <f t="shared" si="38"/>
        <v>2489.1955964999397</v>
      </c>
      <c r="M254" s="45">
        <f t="shared" si="39"/>
        <v>6541.0613746676408</v>
      </c>
      <c r="N254" s="45">
        <f t="shared" si="40"/>
        <v>21837.06697116758</v>
      </c>
      <c r="O254" s="46">
        <f t="shared" si="41"/>
        <v>10045050.806737088</v>
      </c>
      <c r="P254" s="47">
        <f t="shared" si="42"/>
        <v>24307.042565217391</v>
      </c>
      <c r="Q254" s="42">
        <v>11181239.58</v>
      </c>
      <c r="R254" s="48">
        <f t="shared" si="43"/>
        <v>0.89838436381461451</v>
      </c>
      <c r="S254" s="49"/>
      <c r="U254" s="112"/>
    </row>
    <row r="255" spans="1:21" outlineLevel="2" x14ac:dyDescent="0.3">
      <c r="A255" s="40" t="str">
        <f>VLOOKUP(B255,Grupos!$A$2:$B$619,2,FALSE)</f>
        <v>TABLEROS 75 AMP COBRE TAPA LISA</v>
      </c>
      <c r="B255" s="41" t="s">
        <v>410</v>
      </c>
      <c r="C255" s="41" t="s">
        <v>411</v>
      </c>
      <c r="D255" s="42">
        <v>140</v>
      </c>
      <c r="E255" s="43">
        <v>14489.42</v>
      </c>
      <c r="F255" s="43">
        <v>1492.26</v>
      </c>
      <c r="G255" s="126">
        <f t="shared" si="33"/>
        <v>15981.68</v>
      </c>
      <c r="H255" s="127">
        <f t="shared" si="34"/>
        <v>2028518.8</v>
      </c>
      <c r="I255" s="128">
        <f t="shared" si="35"/>
        <v>208916.4</v>
      </c>
      <c r="J255" s="128">
        <f t="shared" si="36"/>
        <v>2237435.2000000002</v>
      </c>
      <c r="K255" s="44">
        <f t="shared" si="37"/>
        <v>1.6810239548788041E-3</v>
      </c>
      <c r="L255" s="45">
        <f t="shared" si="38"/>
        <v>3106.2791968234992</v>
      </c>
      <c r="M255" s="45">
        <f t="shared" si="39"/>
        <v>8013.9279531703887</v>
      </c>
      <c r="N255" s="45">
        <f t="shared" si="40"/>
        <v>27101.88714999389</v>
      </c>
      <c r="O255" s="46">
        <f t="shared" si="41"/>
        <v>3794264.2009991445</v>
      </c>
      <c r="P255" s="47">
        <f t="shared" si="42"/>
        <v>33989.000071428571</v>
      </c>
      <c r="Q255" s="42">
        <v>4758460.01</v>
      </c>
      <c r="R255" s="48">
        <f t="shared" si="43"/>
        <v>0.79737229965691037</v>
      </c>
      <c r="S255" s="49"/>
      <c r="U255" s="112"/>
    </row>
    <row r="256" spans="1:21" outlineLevel="2" x14ac:dyDescent="0.3">
      <c r="A256" s="40" t="str">
        <f>VLOOKUP(B256,Grupos!$A$2:$B$619,2,FALSE)</f>
        <v>TABLEROS 75 AMP COBRE TAPA LISA</v>
      </c>
      <c r="B256" s="41" t="s">
        <v>412</v>
      </c>
      <c r="C256" s="41" t="s">
        <v>413</v>
      </c>
      <c r="D256" s="42">
        <v>280</v>
      </c>
      <c r="E256" s="43">
        <v>14408.97</v>
      </c>
      <c r="F256" s="43">
        <v>1492</v>
      </c>
      <c r="G256" s="126">
        <f t="shared" si="33"/>
        <v>15900.97</v>
      </c>
      <c r="H256" s="127">
        <f t="shared" si="34"/>
        <v>4034511.5999999996</v>
      </c>
      <c r="I256" s="128">
        <f t="shared" si="35"/>
        <v>417760</v>
      </c>
      <c r="J256" s="128">
        <f t="shared" si="36"/>
        <v>4452271.5999999996</v>
      </c>
      <c r="K256" s="44">
        <f t="shared" si="37"/>
        <v>3.3450690385252628E-3</v>
      </c>
      <c r="L256" s="45">
        <f t="shared" si="38"/>
        <v>3090.5919978572056</v>
      </c>
      <c r="M256" s="45">
        <f t="shared" si="39"/>
        <v>8012.5316674910673</v>
      </c>
      <c r="N256" s="45">
        <f t="shared" si="40"/>
        <v>27004.093665348275</v>
      </c>
      <c r="O256" s="46">
        <f t="shared" si="41"/>
        <v>7561146.2262975173</v>
      </c>
      <c r="P256" s="47">
        <f t="shared" si="42"/>
        <v>29919.998928571429</v>
      </c>
      <c r="Q256" s="42">
        <v>8377599.7000000002</v>
      </c>
      <c r="R256" s="48">
        <f t="shared" si="43"/>
        <v>0.9025432697980923</v>
      </c>
      <c r="S256" s="49"/>
      <c r="U256" s="112"/>
    </row>
    <row r="257" spans="1:21" outlineLevel="2" x14ac:dyDescent="0.3">
      <c r="A257" s="40" t="str">
        <f>VLOOKUP(B257,Grupos!$A$2:$B$619,2,FALSE)</f>
        <v>TABLEROS 75 AMP COBRE TAPA LISA</v>
      </c>
      <c r="B257" s="41" t="s">
        <v>414</v>
      </c>
      <c r="C257" s="41" t="s">
        <v>415</v>
      </c>
      <c r="D257" s="42">
        <v>440</v>
      </c>
      <c r="E257" s="43">
        <v>15395.27</v>
      </c>
      <c r="F257" s="43">
        <v>1422.45</v>
      </c>
      <c r="G257" s="126">
        <f t="shared" si="33"/>
        <v>16817.72</v>
      </c>
      <c r="H257" s="127">
        <f t="shared" si="34"/>
        <v>6773918.7999999998</v>
      </c>
      <c r="I257" s="128">
        <f t="shared" si="35"/>
        <v>625878</v>
      </c>
      <c r="J257" s="128">
        <f t="shared" si="36"/>
        <v>7399796.8000000007</v>
      </c>
      <c r="K257" s="44">
        <f t="shared" si="37"/>
        <v>5.5595959525601094E-3</v>
      </c>
      <c r="L257" s="45">
        <f t="shared" si="38"/>
        <v>3268.7761095205574</v>
      </c>
      <c r="M257" s="45">
        <f t="shared" si="39"/>
        <v>7639.0252482725664</v>
      </c>
      <c r="N257" s="45">
        <f t="shared" si="40"/>
        <v>27725.521357793124</v>
      </c>
      <c r="O257" s="46">
        <f t="shared" si="41"/>
        <v>12199229.397428975</v>
      </c>
      <c r="P257" s="47">
        <f t="shared" si="42"/>
        <v>32444.044386363636</v>
      </c>
      <c r="Q257" s="42">
        <v>14275379.529999999</v>
      </c>
      <c r="R257" s="48">
        <f t="shared" si="43"/>
        <v>0.85456427773370558</v>
      </c>
      <c r="S257" s="49"/>
      <c r="U257" s="112"/>
    </row>
    <row r="258" spans="1:21" outlineLevel="2" x14ac:dyDescent="0.3">
      <c r="A258" s="40" t="str">
        <f>VLOOKUP(B258,Grupos!$A$2:$B$619,2,FALSE)</f>
        <v>TABLEROS 75 AMP COBRE TAPA LISA</v>
      </c>
      <c r="B258" s="41" t="s">
        <v>416</v>
      </c>
      <c r="C258" s="41" t="s">
        <v>417</v>
      </c>
      <c r="D258" s="42">
        <v>620</v>
      </c>
      <c r="E258" s="43">
        <v>15314.81</v>
      </c>
      <c r="F258" s="43">
        <v>1422</v>
      </c>
      <c r="G258" s="126">
        <f t="shared" si="33"/>
        <v>16736.809999999998</v>
      </c>
      <c r="H258" s="127">
        <f t="shared" si="34"/>
        <v>9495182.1999999993</v>
      </c>
      <c r="I258" s="128">
        <f t="shared" si="35"/>
        <v>881640</v>
      </c>
      <c r="J258" s="128">
        <f t="shared" si="36"/>
        <v>10376822.199999999</v>
      </c>
      <c r="K258" s="44">
        <f t="shared" si="37"/>
        <v>7.7962868796013262E-3</v>
      </c>
      <c r="L258" s="45">
        <f t="shared" si="38"/>
        <v>3253.050037554719</v>
      </c>
      <c r="M258" s="45">
        <f t="shared" si="39"/>
        <v>7636.6085999814331</v>
      </c>
      <c r="N258" s="45">
        <f t="shared" si="40"/>
        <v>27626.468637536149</v>
      </c>
      <c r="O258" s="46">
        <f t="shared" si="41"/>
        <v>17128410.555272412</v>
      </c>
      <c r="P258" s="47">
        <f t="shared" si="42"/>
        <v>30650.966193548385</v>
      </c>
      <c r="Q258" s="42">
        <v>19003599.039999999</v>
      </c>
      <c r="R258" s="48">
        <f t="shared" si="43"/>
        <v>0.90132456063819433</v>
      </c>
      <c r="S258" s="49"/>
      <c r="U258" s="112"/>
    </row>
    <row r="259" spans="1:21" s="93" customFormat="1" outlineLevel="1" x14ac:dyDescent="0.3">
      <c r="A259" s="50" t="s">
        <v>1040</v>
      </c>
      <c r="B259" s="129"/>
      <c r="C259" s="129"/>
      <c r="D259" s="51">
        <f>SUBTOTAL(9,D245:D258)</f>
        <v>4616</v>
      </c>
      <c r="E259" s="52"/>
      <c r="F259" s="52"/>
      <c r="G259" s="130"/>
      <c r="H259" s="131">
        <f>SUBTOTAL(9,H245:H258)</f>
        <v>54953241.399999991</v>
      </c>
      <c r="I259" s="146">
        <f>SUBTOTAL(9,I245:I258)</f>
        <v>5466284.7999999998</v>
      </c>
      <c r="J259" s="146">
        <f>SUBTOTAL(9,J245:J258)</f>
        <v>60419526.200000003</v>
      </c>
      <c r="K259" s="53"/>
      <c r="L259" s="54"/>
      <c r="M259" s="54"/>
      <c r="N259" s="54"/>
      <c r="O259" s="55">
        <f>SUBTOTAL(9,O245:O258)</f>
        <v>101518717.98515826</v>
      </c>
      <c r="P259" s="56"/>
      <c r="Q259" s="51">
        <f>SUBTOTAL(9,Q245:Q258)</f>
        <v>119617602.34</v>
      </c>
      <c r="R259" s="57">
        <f>O259/Q259</f>
        <v>0.84869380424966523</v>
      </c>
      <c r="S259" s="58">
        <f>Q259/$Q$293</f>
        <v>3.6439716880258412E-2</v>
      </c>
      <c r="U259" s="147"/>
    </row>
    <row r="260" spans="1:21" outlineLevel="2" x14ac:dyDescent="0.3">
      <c r="A260" s="40" t="str">
        <f>VLOOKUP(B260,Grupos!$A$2:$B$619,2,FALSE)</f>
        <v>TABLEROS 75 AMP COBRE TAPA PLASTICA</v>
      </c>
      <c r="B260" s="41" t="s">
        <v>422</v>
      </c>
      <c r="C260" s="41" t="s">
        <v>423</v>
      </c>
      <c r="D260" s="42">
        <v>150</v>
      </c>
      <c r="E260" s="43">
        <v>10157.379999999999</v>
      </c>
      <c r="F260" s="43">
        <v>1209.01</v>
      </c>
      <c r="G260" s="126">
        <f t="shared" si="33"/>
        <v>11366.39</v>
      </c>
      <c r="H260" s="127">
        <f t="shared" si="34"/>
        <v>1523606.9999999998</v>
      </c>
      <c r="I260" s="128">
        <f t="shared" si="35"/>
        <v>181351.5</v>
      </c>
      <c r="J260" s="128">
        <f t="shared" si="36"/>
        <v>1704958.5</v>
      </c>
      <c r="K260" s="44">
        <f t="shared" si="37"/>
        <v>1.2809649551299778E-3</v>
      </c>
      <c r="L260" s="45">
        <f t="shared" si="38"/>
        <v>2209.2283664785332</v>
      </c>
      <c r="M260" s="45">
        <f t="shared" si="39"/>
        <v>6492.7821121403322</v>
      </c>
      <c r="N260" s="45">
        <f t="shared" si="40"/>
        <v>20068.400478618867</v>
      </c>
      <c r="O260" s="46">
        <f t="shared" si="41"/>
        <v>3010260.0717928302</v>
      </c>
      <c r="P260" s="47">
        <f t="shared" si="42"/>
        <v>28084.001199999999</v>
      </c>
      <c r="Q260" s="42">
        <v>4212600.18</v>
      </c>
      <c r="R260" s="48">
        <f t="shared" si="43"/>
        <v>0.71458480348657971</v>
      </c>
      <c r="S260" s="49"/>
      <c r="U260" s="112"/>
    </row>
    <row r="261" spans="1:21" outlineLevel="2" x14ac:dyDescent="0.3">
      <c r="A261" s="40" t="str">
        <f>VLOOKUP(B261,Grupos!$A$2:$B$619,2,FALSE)</f>
        <v>TABLEROS 75 AMP COBRE TAPA PLASTICA</v>
      </c>
      <c r="B261" s="41" t="s">
        <v>424</v>
      </c>
      <c r="C261" s="41" t="s">
        <v>425</v>
      </c>
      <c r="D261" s="42">
        <v>840</v>
      </c>
      <c r="E261" s="43">
        <v>11032.52</v>
      </c>
      <c r="F261" s="43">
        <v>1209</v>
      </c>
      <c r="G261" s="126">
        <f t="shared" si="33"/>
        <v>12241.52</v>
      </c>
      <c r="H261" s="127">
        <f t="shared" si="34"/>
        <v>9267316.8000000007</v>
      </c>
      <c r="I261" s="128">
        <f t="shared" si="35"/>
        <v>1015560</v>
      </c>
      <c r="J261" s="128">
        <f t="shared" si="36"/>
        <v>10282876.800000001</v>
      </c>
      <c r="K261" s="44">
        <f t="shared" si="37"/>
        <v>7.7257040677055138E-3</v>
      </c>
      <c r="L261" s="45">
        <f t="shared" si="38"/>
        <v>2379.3230069366177</v>
      </c>
      <c r="M261" s="45">
        <f t="shared" si="39"/>
        <v>6492.7284088449733</v>
      </c>
      <c r="N261" s="45">
        <f t="shared" si="40"/>
        <v>21113.571415781593</v>
      </c>
      <c r="O261" s="46">
        <f t="shared" si="41"/>
        <v>17735399.989256538</v>
      </c>
      <c r="P261" s="47">
        <f t="shared" si="42"/>
        <v>24088.124428571427</v>
      </c>
      <c r="Q261" s="42">
        <v>20234024.52</v>
      </c>
      <c r="R261" s="48">
        <f t="shared" si="43"/>
        <v>0.87651371439855008</v>
      </c>
      <c r="S261" s="49"/>
      <c r="U261" s="112"/>
    </row>
    <row r="262" spans="1:21" outlineLevel="2" x14ac:dyDescent="0.3">
      <c r="A262" s="40" t="str">
        <f>VLOOKUP(B262,Grupos!$A$2:$B$619,2,FALSE)</f>
        <v>TABLEROS 75 AMP COBRE TAPA PLASTICA</v>
      </c>
      <c r="B262" s="41" t="s">
        <v>426</v>
      </c>
      <c r="C262" s="41" t="s">
        <v>427</v>
      </c>
      <c r="D262" s="42">
        <v>30</v>
      </c>
      <c r="E262" s="43">
        <v>11674.4</v>
      </c>
      <c r="F262" s="43">
        <v>1209</v>
      </c>
      <c r="G262" s="126">
        <f t="shared" si="33"/>
        <v>12883.4</v>
      </c>
      <c r="H262" s="127">
        <f t="shared" si="34"/>
        <v>350232</v>
      </c>
      <c r="I262" s="128">
        <f t="shared" si="35"/>
        <v>36270</v>
      </c>
      <c r="J262" s="128">
        <f t="shared" si="36"/>
        <v>386502</v>
      </c>
      <c r="K262" s="44">
        <f t="shared" si="37"/>
        <v>2.9038567043575942E-4</v>
      </c>
      <c r="L262" s="45">
        <f t="shared" si="38"/>
        <v>2504.0820116756099</v>
      </c>
      <c r="M262" s="45">
        <f t="shared" si="39"/>
        <v>6492.7284088449733</v>
      </c>
      <c r="N262" s="45">
        <f t="shared" si="40"/>
        <v>21880.210420520583</v>
      </c>
      <c r="O262" s="46">
        <f t="shared" si="41"/>
        <v>656406.31261561753</v>
      </c>
      <c r="P262" s="47">
        <f t="shared" si="42"/>
        <v>24055.499</v>
      </c>
      <c r="Q262" s="42">
        <v>721664.97</v>
      </c>
      <c r="R262" s="48">
        <f t="shared" si="43"/>
        <v>0.90957208663684697</v>
      </c>
      <c r="S262" s="49"/>
      <c r="U262" s="112"/>
    </row>
    <row r="263" spans="1:21" outlineLevel="2" x14ac:dyDescent="0.3">
      <c r="A263" s="40" t="str">
        <f>VLOOKUP(B263,Grupos!$A$2:$B$619,2,FALSE)</f>
        <v>TABLEROS 75 AMP COBRE TAPA PLASTICA</v>
      </c>
      <c r="B263" s="41" t="s">
        <v>428</v>
      </c>
      <c r="C263" s="41" t="s">
        <v>429</v>
      </c>
      <c r="D263" s="42">
        <v>240</v>
      </c>
      <c r="E263" s="43">
        <v>14412.17</v>
      </c>
      <c r="F263" s="43">
        <v>1384.68</v>
      </c>
      <c r="G263" s="126">
        <f t="shared" si="33"/>
        <v>15796.85</v>
      </c>
      <c r="H263" s="127">
        <f t="shared" si="34"/>
        <v>3458920.8</v>
      </c>
      <c r="I263" s="128">
        <f t="shared" si="35"/>
        <v>332323.20000000001</v>
      </c>
      <c r="J263" s="128">
        <f t="shared" si="36"/>
        <v>3791244</v>
      </c>
      <c r="K263" s="44">
        <f t="shared" si="37"/>
        <v>2.8484275132484443E-3</v>
      </c>
      <c r="L263" s="45">
        <f t="shared" si="38"/>
        <v>3070.3547142941975</v>
      </c>
      <c r="M263" s="45">
        <f t="shared" si="39"/>
        <v>7436.1879017034398</v>
      </c>
      <c r="N263" s="45">
        <f t="shared" si="40"/>
        <v>26303.39261599764</v>
      </c>
      <c r="O263" s="46">
        <f t="shared" si="41"/>
        <v>6312814.2278394336</v>
      </c>
      <c r="P263" s="47">
        <f t="shared" si="42"/>
        <v>34455.313875</v>
      </c>
      <c r="Q263" s="42">
        <v>8269275.3300000001</v>
      </c>
      <c r="R263" s="48">
        <f t="shared" si="43"/>
        <v>0.76340597886942452</v>
      </c>
      <c r="S263" s="49"/>
      <c r="U263" s="112"/>
    </row>
    <row r="264" spans="1:21" outlineLevel="2" x14ac:dyDescent="0.3">
      <c r="A264" s="40" t="str">
        <f>VLOOKUP(B264,Grupos!$A$2:$B$619,2,FALSE)</f>
        <v>TABLEROS 75 AMP COBRE TAPA PLASTICA</v>
      </c>
      <c r="B264" s="41" t="s">
        <v>430</v>
      </c>
      <c r="C264" s="41" t="s">
        <v>431</v>
      </c>
      <c r="D264" s="42">
        <v>862</v>
      </c>
      <c r="E264" s="43">
        <v>14308.71</v>
      </c>
      <c r="F264" s="43">
        <v>1385</v>
      </c>
      <c r="G264" s="126">
        <f t="shared" si="33"/>
        <v>15693.71</v>
      </c>
      <c r="H264" s="127">
        <f t="shared" si="34"/>
        <v>12334108.02</v>
      </c>
      <c r="I264" s="128">
        <f t="shared" si="35"/>
        <v>1193870</v>
      </c>
      <c r="J264" s="128">
        <f t="shared" si="36"/>
        <v>13527978.02</v>
      </c>
      <c r="K264" s="44">
        <f t="shared" si="37"/>
        <v>1.0163805017769421E-2</v>
      </c>
      <c r="L264" s="45">
        <f t="shared" si="38"/>
        <v>3050.3079084289584</v>
      </c>
      <c r="M264" s="45">
        <f t="shared" si="39"/>
        <v>7437.9064071549119</v>
      </c>
      <c r="N264" s="45">
        <f t="shared" si="40"/>
        <v>26181.924315583867</v>
      </c>
      <c r="O264" s="46">
        <f t="shared" si="41"/>
        <v>22568818.760033295</v>
      </c>
      <c r="P264" s="47">
        <f t="shared" si="42"/>
        <v>30632.064524361951</v>
      </c>
      <c r="Q264" s="42">
        <v>26404839.620000001</v>
      </c>
      <c r="R264" s="48">
        <f t="shared" si="43"/>
        <v>0.85472281160681007</v>
      </c>
      <c r="S264" s="49"/>
      <c r="U264" s="112"/>
    </row>
    <row r="265" spans="1:21" outlineLevel="2" x14ac:dyDescent="0.3">
      <c r="A265" s="40" t="str">
        <f>VLOOKUP(B265,Grupos!$A$2:$B$619,2,FALSE)</f>
        <v>TABLEROS 75 AMP COBRE TAPA PLASTICA</v>
      </c>
      <c r="B265" s="41" t="s">
        <v>432</v>
      </c>
      <c r="C265" s="41" t="s">
        <v>433</v>
      </c>
      <c r="D265" s="42">
        <v>150</v>
      </c>
      <c r="E265" s="43">
        <v>15218.39</v>
      </c>
      <c r="F265" s="43">
        <v>1385</v>
      </c>
      <c r="G265" s="126">
        <f t="shared" si="33"/>
        <v>16603.39</v>
      </c>
      <c r="H265" s="127">
        <f t="shared" si="34"/>
        <v>2282758.5</v>
      </c>
      <c r="I265" s="128">
        <f t="shared" si="35"/>
        <v>207750</v>
      </c>
      <c r="J265" s="128">
        <f t="shared" si="36"/>
        <v>2490508.5</v>
      </c>
      <c r="K265" s="44">
        <f t="shared" si="37"/>
        <v>1.8711623238649672E-3</v>
      </c>
      <c r="L265" s="45">
        <f t="shared" si="38"/>
        <v>3227.117859558402</v>
      </c>
      <c r="M265" s="45">
        <f t="shared" si="39"/>
        <v>7437.9064071549119</v>
      </c>
      <c r="N265" s="45">
        <f t="shared" si="40"/>
        <v>27268.414266713313</v>
      </c>
      <c r="O265" s="46">
        <f t="shared" si="41"/>
        <v>4090262.1400069967</v>
      </c>
      <c r="P265" s="47">
        <f t="shared" si="42"/>
        <v>30799.998599999999</v>
      </c>
      <c r="Q265" s="42">
        <v>4619999.79</v>
      </c>
      <c r="R265" s="48">
        <f t="shared" si="43"/>
        <v>0.8853381657852839</v>
      </c>
      <c r="S265" s="49"/>
      <c r="U265" s="112"/>
    </row>
    <row r="266" spans="1:21" s="93" customFormat="1" outlineLevel="1" x14ac:dyDescent="0.3">
      <c r="A266" s="50" t="s">
        <v>1041</v>
      </c>
      <c r="B266" s="129"/>
      <c r="C266" s="129"/>
      <c r="D266" s="51">
        <f>SUBTOTAL(9,D260:D265)</f>
        <v>2272</v>
      </c>
      <c r="E266" s="52"/>
      <c r="F266" s="52"/>
      <c r="G266" s="130"/>
      <c r="H266" s="131">
        <f>SUBTOTAL(9,H260:H265)</f>
        <v>29216943.120000001</v>
      </c>
      <c r="I266" s="146">
        <f>SUBTOTAL(9,I260:I265)</f>
        <v>2967124.7</v>
      </c>
      <c r="J266" s="146">
        <f>SUBTOTAL(9,J260:J265)</f>
        <v>32184067.82</v>
      </c>
      <c r="K266" s="53"/>
      <c r="L266" s="54"/>
      <c r="M266" s="54"/>
      <c r="N266" s="54"/>
      <c r="O266" s="55">
        <f>SUBTOTAL(9,O260:O265)</f>
        <v>54373961.501544707</v>
      </c>
      <c r="P266" s="56"/>
      <c r="Q266" s="51">
        <f>SUBTOTAL(9,Q260:Q265)</f>
        <v>64462404.410000004</v>
      </c>
      <c r="R266" s="57">
        <f>O266/Q266</f>
        <v>0.84349881142673788</v>
      </c>
      <c r="S266" s="58">
        <f>Q266/$Q$293</f>
        <v>1.963750919738692E-2</v>
      </c>
      <c r="U266" s="147"/>
    </row>
    <row r="267" spans="1:21" outlineLevel="2" x14ac:dyDescent="0.3">
      <c r="A267" s="40" t="str">
        <f>VLOOKUP(B267,Grupos!$A$2:$B$619,2,FALSE)</f>
        <v>TABLEROS 85 AMP BIMETALICO</v>
      </c>
      <c r="B267" s="41" t="s">
        <v>434</v>
      </c>
      <c r="C267" s="41" t="s">
        <v>435</v>
      </c>
      <c r="D267" s="42">
        <v>10</v>
      </c>
      <c r="E267" s="43">
        <v>15473.97</v>
      </c>
      <c r="F267" s="43">
        <v>1169.45</v>
      </c>
      <c r="G267" s="126">
        <f t="shared" si="33"/>
        <v>16643.419999999998</v>
      </c>
      <c r="H267" s="127">
        <f t="shared" si="34"/>
        <v>154739.69999999998</v>
      </c>
      <c r="I267" s="128">
        <f t="shared" si="35"/>
        <v>11694.5</v>
      </c>
      <c r="J267" s="128">
        <f t="shared" si="36"/>
        <v>166434.19999999998</v>
      </c>
      <c r="K267" s="44">
        <f t="shared" si="37"/>
        <v>1.2504490727199152E-4</v>
      </c>
      <c r="L267" s="45">
        <f t="shared" si="38"/>
        <v>3234.8982904172876</v>
      </c>
      <c r="M267" s="45">
        <f t="shared" si="39"/>
        <v>6280.3318757020306</v>
      </c>
      <c r="N267" s="45">
        <f t="shared" si="40"/>
        <v>26158.650166119318</v>
      </c>
      <c r="O267" s="46">
        <f t="shared" si="41"/>
        <v>261586.50166119318</v>
      </c>
      <c r="P267" s="47">
        <f t="shared" si="42"/>
        <v>50036.998</v>
      </c>
      <c r="Q267" s="42">
        <v>500369.98</v>
      </c>
      <c r="R267" s="48">
        <f t="shared" si="43"/>
        <v>0.52278616247360243</v>
      </c>
      <c r="S267" s="49"/>
      <c r="U267" s="112"/>
    </row>
    <row r="268" spans="1:21" outlineLevel="2" x14ac:dyDescent="0.3">
      <c r="A268" s="40" t="str">
        <f>VLOOKUP(B268,Grupos!$A$2:$B$619,2,FALSE)</f>
        <v>TABLEROS 85 AMP BIMETALICO</v>
      </c>
      <c r="B268" s="41" t="s">
        <v>436</v>
      </c>
      <c r="C268" s="41" t="s">
        <v>437</v>
      </c>
      <c r="D268" s="42">
        <v>638</v>
      </c>
      <c r="E268" s="43">
        <v>15335.5</v>
      </c>
      <c r="F268" s="43">
        <v>1040.22</v>
      </c>
      <c r="G268" s="126">
        <f t="shared" si="33"/>
        <v>16375.72</v>
      </c>
      <c r="H268" s="127">
        <f t="shared" si="34"/>
        <v>9784049</v>
      </c>
      <c r="I268" s="128">
        <f t="shared" si="35"/>
        <v>663660.36</v>
      </c>
      <c r="J268" s="128">
        <f t="shared" si="36"/>
        <v>10447709.359999999</v>
      </c>
      <c r="K268" s="44">
        <f t="shared" si="37"/>
        <v>7.8495456350072147E-3</v>
      </c>
      <c r="L268" s="45">
        <f t="shared" si="38"/>
        <v>3182.8667805266095</v>
      </c>
      <c r="M268" s="45">
        <f t="shared" si="39"/>
        <v>5586.3241897838861</v>
      </c>
      <c r="N268" s="45">
        <f t="shared" si="40"/>
        <v>25144.910970310495</v>
      </c>
      <c r="O268" s="46">
        <f t="shared" si="41"/>
        <v>16042453.199058095</v>
      </c>
      <c r="P268" s="47">
        <f t="shared" si="42"/>
        <v>46374.451504702192</v>
      </c>
      <c r="Q268" s="42">
        <v>29586900.059999999</v>
      </c>
      <c r="R268" s="48">
        <f t="shared" si="43"/>
        <v>0.54221473579608581</v>
      </c>
      <c r="S268" s="49"/>
      <c r="U268" s="112"/>
    </row>
    <row r="269" spans="1:21" outlineLevel="2" x14ac:dyDescent="0.3">
      <c r="A269" s="40" t="str">
        <f>VLOOKUP(B269,Grupos!$A$2:$B$619,2,FALSE)</f>
        <v>TABLEROS 85 AMP BIMETALICO</v>
      </c>
      <c r="B269" s="41" t="s">
        <v>653</v>
      </c>
      <c r="C269" s="41" t="s">
        <v>654</v>
      </c>
      <c r="D269" s="42">
        <v>40</v>
      </c>
      <c r="E269" s="43">
        <v>14285.06</v>
      </c>
      <c r="F269" s="43">
        <v>785.51</v>
      </c>
      <c r="G269" s="126">
        <f t="shared" si="33"/>
        <v>15070.57</v>
      </c>
      <c r="H269" s="127">
        <f t="shared" si="34"/>
        <v>571402.4</v>
      </c>
      <c r="I269" s="128">
        <f t="shared" si="35"/>
        <v>31420.400000000001</v>
      </c>
      <c r="J269" s="128">
        <f t="shared" si="36"/>
        <v>602822.80000000005</v>
      </c>
      <c r="K269" s="44">
        <f t="shared" si="37"/>
        <v>4.5291124737248894E-4</v>
      </c>
      <c r="L269" s="45">
        <f t="shared" si="38"/>
        <v>2929.1913037473105</v>
      </c>
      <c r="M269" s="45">
        <f t="shared" si="39"/>
        <v>4218.447553707043</v>
      </c>
      <c r="N269" s="45">
        <f t="shared" si="40"/>
        <v>22218.208857454352</v>
      </c>
      <c r="O269" s="46">
        <f t="shared" si="41"/>
        <v>888728.35429817415</v>
      </c>
      <c r="P269" s="47">
        <f t="shared" si="42"/>
        <v>46899.001750000003</v>
      </c>
      <c r="Q269" s="42">
        <v>1875960.07</v>
      </c>
      <c r="R269" s="48">
        <f t="shared" si="43"/>
        <v>0.47374588004859514</v>
      </c>
      <c r="S269" s="49"/>
      <c r="U269" s="112"/>
    </row>
    <row r="270" spans="1:21" outlineLevel="2" x14ac:dyDescent="0.3">
      <c r="A270" s="40" t="str">
        <f>VLOOKUP(B270,Grupos!$A$2:$B$619,2,FALSE)</f>
        <v>TABLEROS 85 AMP BIMETALICO</v>
      </c>
      <c r="B270" s="41" t="s">
        <v>438</v>
      </c>
      <c r="C270" s="41" t="s">
        <v>439</v>
      </c>
      <c r="D270" s="42">
        <v>984</v>
      </c>
      <c r="E270" s="43">
        <v>12106.89</v>
      </c>
      <c r="F270" s="43">
        <v>969.11</v>
      </c>
      <c r="G270" s="126">
        <f t="shared" si="33"/>
        <v>13076</v>
      </c>
      <c r="H270" s="127">
        <f t="shared" si="34"/>
        <v>11913179.76</v>
      </c>
      <c r="I270" s="128">
        <f t="shared" si="35"/>
        <v>953604.24</v>
      </c>
      <c r="J270" s="128">
        <f t="shared" si="36"/>
        <v>12866784</v>
      </c>
      <c r="K270" s="44">
        <f t="shared" si="37"/>
        <v>9.6670384582540382E-3</v>
      </c>
      <c r="L270" s="45">
        <f t="shared" si="38"/>
        <v>2541.5167102372261</v>
      </c>
      <c r="M270" s="45">
        <f t="shared" si="39"/>
        <v>5204.4400564894559</v>
      </c>
      <c r="N270" s="45">
        <f t="shared" si="40"/>
        <v>20821.956766726682</v>
      </c>
      <c r="O270" s="46">
        <f t="shared" si="41"/>
        <v>20488805.458459057</v>
      </c>
      <c r="P270" s="47">
        <f t="shared" si="42"/>
        <v>38264.207723577238</v>
      </c>
      <c r="Q270" s="42">
        <v>37651980.399999999</v>
      </c>
      <c r="R270" s="48">
        <f t="shared" si="43"/>
        <v>0.54416275693320659</v>
      </c>
      <c r="S270" s="49"/>
      <c r="U270" s="112"/>
    </row>
    <row r="271" spans="1:21" outlineLevel="2" x14ac:dyDescent="0.3">
      <c r="A271" s="40" t="str">
        <f>VLOOKUP(B271,Grupos!$A$2:$B$619,2,FALSE)</f>
        <v>TABLEROS 85 AMP BIMETALICO</v>
      </c>
      <c r="B271" s="41" t="s">
        <v>440</v>
      </c>
      <c r="C271" s="41" t="s">
        <v>441</v>
      </c>
      <c r="D271" s="42">
        <v>120</v>
      </c>
      <c r="E271" s="43">
        <v>11035.55</v>
      </c>
      <c r="F271" s="43">
        <v>969</v>
      </c>
      <c r="G271" s="126">
        <f t="shared" si="33"/>
        <v>12004.55</v>
      </c>
      <c r="H271" s="127">
        <f t="shared" si="34"/>
        <v>1324266</v>
      </c>
      <c r="I271" s="128">
        <f t="shared" si="35"/>
        <v>116280</v>
      </c>
      <c r="J271" s="128">
        <f t="shared" si="36"/>
        <v>1440546</v>
      </c>
      <c r="K271" s="44">
        <f t="shared" si="37"/>
        <v>1.0823072480958739E-3</v>
      </c>
      <c r="L271" s="45">
        <f t="shared" si="38"/>
        <v>2333.2643334259933</v>
      </c>
      <c r="M271" s="45">
        <f t="shared" si="39"/>
        <v>5203.8493202405125</v>
      </c>
      <c r="N271" s="45">
        <f t="shared" si="40"/>
        <v>19541.663653666506</v>
      </c>
      <c r="O271" s="46">
        <f t="shared" si="41"/>
        <v>2344999.6384399808</v>
      </c>
      <c r="P271" s="47">
        <f t="shared" si="42"/>
        <v>39497.101916666674</v>
      </c>
      <c r="Q271" s="42">
        <v>4739652.2300000004</v>
      </c>
      <c r="R271" s="48">
        <f t="shared" si="43"/>
        <v>0.49476196240667653</v>
      </c>
      <c r="S271" s="49"/>
      <c r="U271" s="112"/>
    </row>
    <row r="272" spans="1:21" s="93" customFormat="1" outlineLevel="1" x14ac:dyDescent="0.3">
      <c r="A272" s="50" t="s">
        <v>1042</v>
      </c>
      <c r="B272" s="129"/>
      <c r="C272" s="129"/>
      <c r="D272" s="51">
        <f>SUBTOTAL(9,D267:D271)</f>
        <v>1792</v>
      </c>
      <c r="E272" s="52"/>
      <c r="F272" s="52"/>
      <c r="G272" s="130"/>
      <c r="H272" s="131">
        <f>SUBTOTAL(9,H267:H271)</f>
        <v>23747636.859999999</v>
      </c>
      <c r="I272" s="146">
        <f>SUBTOTAL(9,I267:I271)</f>
        <v>1776659.5</v>
      </c>
      <c r="J272" s="146">
        <f>SUBTOTAL(9,J267:J271)</f>
        <v>25524296.359999999</v>
      </c>
      <c r="K272" s="53"/>
      <c r="L272" s="54"/>
      <c r="M272" s="54"/>
      <c r="N272" s="54"/>
      <c r="O272" s="55">
        <f>SUBTOTAL(9,O267:O271)</f>
        <v>40026573.151916504</v>
      </c>
      <c r="P272" s="56"/>
      <c r="Q272" s="51">
        <f>SUBTOTAL(9,Q267:Q271)</f>
        <v>74354862.739999995</v>
      </c>
      <c r="R272" s="57">
        <f>O272/Q272</f>
        <v>0.53831816342502348</v>
      </c>
      <c r="S272" s="58">
        <f>Q272/$Q$293</f>
        <v>2.2651098951262216E-2</v>
      </c>
      <c r="U272" s="147"/>
    </row>
    <row r="273" spans="1:21" outlineLevel="2" x14ac:dyDescent="0.3">
      <c r="A273" s="40" t="str">
        <f>VLOOKUP(B273,Grupos!$A$2:$B$619,2,FALSE)</f>
        <v>TABLEROS 95 AMP COBRE</v>
      </c>
      <c r="B273" s="41" t="s">
        <v>442</v>
      </c>
      <c r="C273" s="41" t="s">
        <v>443</v>
      </c>
      <c r="D273" s="42">
        <v>190</v>
      </c>
      <c r="E273" s="43">
        <v>23710.79</v>
      </c>
      <c r="F273" s="43">
        <v>1164.5999999999999</v>
      </c>
      <c r="G273" s="126">
        <f t="shared" si="33"/>
        <v>24875.39</v>
      </c>
      <c r="H273" s="127">
        <f t="shared" si="34"/>
        <v>4505050.1000000006</v>
      </c>
      <c r="I273" s="128">
        <f t="shared" si="35"/>
        <v>221273.99999999997</v>
      </c>
      <c r="J273" s="128">
        <f t="shared" si="36"/>
        <v>4726324.0999999996</v>
      </c>
      <c r="K273" s="44">
        <f t="shared" si="37"/>
        <v>3.5509694451133166E-3</v>
      </c>
      <c r="L273" s="45">
        <f t="shared" si="38"/>
        <v>4834.9051207301918</v>
      </c>
      <c r="M273" s="45">
        <f t="shared" si="39"/>
        <v>6254.2857774531476</v>
      </c>
      <c r="N273" s="45">
        <f t="shared" si="40"/>
        <v>35964.58089818334</v>
      </c>
      <c r="O273" s="46">
        <f t="shared" si="41"/>
        <v>6833270.3706548344</v>
      </c>
      <c r="P273" s="47">
        <f t="shared" si="42"/>
        <v>62168.999473684213</v>
      </c>
      <c r="Q273" s="42">
        <v>11812109.9</v>
      </c>
      <c r="R273" s="48">
        <f t="shared" si="43"/>
        <v>0.5784970194575344</v>
      </c>
      <c r="S273" s="49"/>
      <c r="U273" s="112"/>
    </row>
    <row r="274" spans="1:21" outlineLevel="2" x14ac:dyDescent="0.3">
      <c r="A274" s="40" t="str">
        <f>VLOOKUP(B274,Grupos!$A$2:$B$619,2,FALSE)</f>
        <v>TABLEROS 95 AMP COBRE</v>
      </c>
      <c r="B274" s="41" t="s">
        <v>444</v>
      </c>
      <c r="C274" s="41" t="s">
        <v>445</v>
      </c>
      <c r="D274" s="42">
        <v>500</v>
      </c>
      <c r="E274" s="43">
        <v>23572.32</v>
      </c>
      <c r="F274" s="43">
        <v>1008.01</v>
      </c>
      <c r="G274" s="126">
        <f t="shared" si="33"/>
        <v>24580.329999999998</v>
      </c>
      <c r="H274" s="127">
        <f t="shared" si="34"/>
        <v>11786160</v>
      </c>
      <c r="I274" s="128">
        <f t="shared" si="35"/>
        <v>504005</v>
      </c>
      <c r="J274" s="128">
        <f t="shared" si="36"/>
        <v>12290164.999999998</v>
      </c>
      <c r="K274" s="44">
        <f t="shared" si="37"/>
        <v>9.2338145812728128E-3</v>
      </c>
      <c r="L274" s="45">
        <f t="shared" si="38"/>
        <v>4777.5557845017893</v>
      </c>
      <c r="M274" s="45">
        <f t="shared" si="39"/>
        <v>5413.3458754340954</v>
      </c>
      <c r="N274" s="45">
        <f t="shared" si="40"/>
        <v>34771.231659935882</v>
      </c>
      <c r="O274" s="46">
        <f t="shared" si="41"/>
        <v>17385615.829967942</v>
      </c>
      <c r="P274" s="47">
        <f t="shared" si="42"/>
        <v>57568.47</v>
      </c>
      <c r="Q274" s="42">
        <v>28784235</v>
      </c>
      <c r="R274" s="48">
        <f t="shared" si="43"/>
        <v>0.60399784222050512</v>
      </c>
      <c r="S274" s="49"/>
      <c r="U274" s="112"/>
    </row>
    <row r="275" spans="1:21" outlineLevel="2" x14ac:dyDescent="0.3">
      <c r="A275" s="40" t="str">
        <f>VLOOKUP(B275,Grupos!$A$2:$B$619,2,FALSE)</f>
        <v>TABLEROS 95 AMP COBRE</v>
      </c>
      <c r="B275" s="41" t="s">
        <v>446</v>
      </c>
      <c r="C275" s="41" t="s">
        <v>447</v>
      </c>
      <c r="D275" s="42">
        <v>80</v>
      </c>
      <c r="E275" s="43">
        <v>19190.71</v>
      </c>
      <c r="F275" s="43">
        <v>967.79</v>
      </c>
      <c r="G275" s="126">
        <f t="shared" si="33"/>
        <v>20158.5</v>
      </c>
      <c r="H275" s="127">
        <f t="shared" si="34"/>
        <v>1535256.7999999998</v>
      </c>
      <c r="I275" s="128">
        <f t="shared" si="35"/>
        <v>77423.199999999997</v>
      </c>
      <c r="J275" s="128">
        <f t="shared" si="36"/>
        <v>1612680</v>
      </c>
      <c r="K275" s="44">
        <f t="shared" si="37"/>
        <v>1.2116345141767455E-3</v>
      </c>
      <c r="L275" s="45">
        <f t="shared" si="38"/>
        <v>3918.1068066164821</v>
      </c>
      <c r="M275" s="45">
        <f t="shared" si="39"/>
        <v>5197.351221502131</v>
      </c>
      <c r="N275" s="45">
        <f t="shared" si="40"/>
        <v>29273.958028118614</v>
      </c>
      <c r="O275" s="46">
        <f t="shared" si="41"/>
        <v>2341916.6422494892</v>
      </c>
      <c r="P275" s="47">
        <f t="shared" si="42"/>
        <v>52857.001000000004</v>
      </c>
      <c r="Q275" s="42">
        <v>4228560.08</v>
      </c>
      <c r="R275" s="48">
        <f t="shared" si="43"/>
        <v>0.5538331247381707</v>
      </c>
      <c r="S275" s="49"/>
      <c r="U275" s="112"/>
    </row>
    <row r="276" spans="1:21" outlineLevel="2" x14ac:dyDescent="0.3">
      <c r="A276" s="40" t="str">
        <f>VLOOKUP(B276,Grupos!$A$2:$B$619,2,FALSE)</f>
        <v>TABLEROS 95 AMP COBRE</v>
      </c>
      <c r="B276" s="41" t="s">
        <v>448</v>
      </c>
      <c r="C276" s="41" t="s">
        <v>449</v>
      </c>
      <c r="D276" s="42">
        <v>307</v>
      </c>
      <c r="E276" s="43">
        <v>17938.84</v>
      </c>
      <c r="F276" s="43">
        <v>1072.5999999999999</v>
      </c>
      <c r="G276" s="126">
        <f t="shared" si="33"/>
        <v>19011.439999999999</v>
      </c>
      <c r="H276" s="127">
        <f t="shared" si="34"/>
        <v>5507223.8799999999</v>
      </c>
      <c r="I276" s="128">
        <f t="shared" si="35"/>
        <v>329288.19999999995</v>
      </c>
      <c r="J276" s="128">
        <f t="shared" si="36"/>
        <v>5836512.0799999991</v>
      </c>
      <c r="K276" s="44">
        <f t="shared" si="37"/>
        <v>4.3850729707924111E-3</v>
      </c>
      <c r="L276" s="45">
        <f t="shared" si="38"/>
        <v>3695.1584923273485</v>
      </c>
      <c r="M276" s="45">
        <f t="shared" si="39"/>
        <v>5760.2154601547709</v>
      </c>
      <c r="N276" s="45">
        <f t="shared" si="40"/>
        <v>28466.813952482116</v>
      </c>
      <c r="O276" s="46">
        <f t="shared" si="41"/>
        <v>8739311.8834120091</v>
      </c>
      <c r="P276" s="47">
        <f t="shared" si="42"/>
        <v>46771.124332247557</v>
      </c>
      <c r="Q276" s="42">
        <v>14358735.17</v>
      </c>
      <c r="R276" s="48">
        <f t="shared" si="43"/>
        <v>0.60864078764202245</v>
      </c>
      <c r="S276" s="49"/>
      <c r="U276" s="112"/>
    </row>
    <row r="277" spans="1:21" outlineLevel="2" x14ac:dyDescent="0.3">
      <c r="A277" s="40" t="str">
        <f>VLOOKUP(B277,Grupos!$A$2:$B$619,2,FALSE)</f>
        <v>TABLEROS 95 AMP COBRE</v>
      </c>
      <c r="B277" s="41" t="s">
        <v>450</v>
      </c>
      <c r="C277" s="41" t="s">
        <v>451</v>
      </c>
      <c r="D277" s="42">
        <v>757</v>
      </c>
      <c r="E277" s="43">
        <v>17750.79</v>
      </c>
      <c r="F277" s="43">
        <v>974.46</v>
      </c>
      <c r="G277" s="126">
        <f t="shared" si="33"/>
        <v>18725.25</v>
      </c>
      <c r="H277" s="127">
        <f t="shared" si="34"/>
        <v>13437348.030000001</v>
      </c>
      <c r="I277" s="128">
        <f t="shared" si="35"/>
        <v>737666.22</v>
      </c>
      <c r="J277" s="128">
        <f t="shared" si="36"/>
        <v>14175014.25</v>
      </c>
      <c r="K277" s="44">
        <f t="shared" si="37"/>
        <v>1.0649934583579627E-2</v>
      </c>
      <c r="L277" s="45">
        <f t="shared" si="38"/>
        <v>3639.5331736287562</v>
      </c>
      <c r="M277" s="45">
        <f t="shared" si="39"/>
        <v>5233.1713195062639</v>
      </c>
      <c r="N277" s="45">
        <f t="shared" si="40"/>
        <v>27597.954493135017</v>
      </c>
      <c r="O277" s="46">
        <f t="shared" si="41"/>
        <v>20891651.551303208</v>
      </c>
      <c r="P277" s="47">
        <f t="shared" si="42"/>
        <v>43583.799141347423</v>
      </c>
      <c r="Q277" s="42">
        <v>32992935.949999999</v>
      </c>
      <c r="R277" s="48">
        <f t="shared" si="43"/>
        <v>0.63321589757771191</v>
      </c>
      <c r="S277" s="49"/>
      <c r="U277" s="112"/>
    </row>
    <row r="278" spans="1:21" outlineLevel="2" x14ac:dyDescent="0.3">
      <c r="A278" s="40" t="str">
        <f>VLOOKUP(B278,Grupos!$A$2:$B$619,2,FALSE)</f>
        <v>TABLEROS 95 AMP COBRE</v>
      </c>
      <c r="B278" s="41" t="s">
        <v>452</v>
      </c>
      <c r="C278" s="41" t="s">
        <v>453</v>
      </c>
      <c r="D278" s="42">
        <v>204</v>
      </c>
      <c r="E278" s="43">
        <v>14834.88</v>
      </c>
      <c r="F278" s="43">
        <v>945.53</v>
      </c>
      <c r="G278" s="126">
        <f t="shared" si="33"/>
        <v>15780.41</v>
      </c>
      <c r="H278" s="127">
        <f t="shared" si="34"/>
        <v>3026315.52</v>
      </c>
      <c r="I278" s="128">
        <f t="shared" si="35"/>
        <v>192888.12</v>
      </c>
      <c r="J278" s="128">
        <f t="shared" si="36"/>
        <v>3219203.64</v>
      </c>
      <c r="K278" s="44">
        <f t="shared" si="37"/>
        <v>2.4186436480810891E-3</v>
      </c>
      <c r="L278" s="45">
        <f t="shared" si="38"/>
        <v>3067.1593537316171</v>
      </c>
      <c r="M278" s="45">
        <f t="shared" si="39"/>
        <v>5077.807686034068</v>
      </c>
      <c r="N278" s="45">
        <f t="shared" si="40"/>
        <v>23925.377039765684</v>
      </c>
      <c r="O278" s="46">
        <f t="shared" si="41"/>
        <v>4880776.9161121994</v>
      </c>
      <c r="P278" s="47">
        <f t="shared" si="42"/>
        <v>38881.528382352939</v>
      </c>
      <c r="Q278" s="42">
        <v>7931831.79</v>
      </c>
      <c r="R278" s="48">
        <f t="shared" si="43"/>
        <v>0.61534044661229503</v>
      </c>
      <c r="S278" s="49"/>
      <c r="U278" s="112"/>
    </row>
    <row r="279" spans="1:21" s="93" customFormat="1" outlineLevel="1" x14ac:dyDescent="0.3">
      <c r="A279" s="50" t="s">
        <v>1043</v>
      </c>
      <c r="B279" s="129"/>
      <c r="C279" s="129"/>
      <c r="D279" s="51">
        <f>SUBTOTAL(9,D273:D278)</f>
        <v>2038</v>
      </c>
      <c r="E279" s="52"/>
      <c r="F279" s="52"/>
      <c r="G279" s="130"/>
      <c r="H279" s="131">
        <f>SUBTOTAL(9,H273:H278)</f>
        <v>39797354.330000006</v>
      </c>
      <c r="I279" s="146">
        <f>SUBTOTAL(9,I273:I278)</f>
        <v>2062544.7399999998</v>
      </c>
      <c r="J279" s="146">
        <f>SUBTOTAL(9,J273:J278)</f>
        <v>41859899.069999993</v>
      </c>
      <c r="K279" s="53"/>
      <c r="L279" s="54"/>
      <c r="M279" s="54"/>
      <c r="N279" s="54"/>
      <c r="O279" s="55">
        <f>SUBTOTAL(9,O273:O278)</f>
        <v>61072543.19369968</v>
      </c>
      <c r="P279" s="56"/>
      <c r="Q279" s="51">
        <f>SUBTOTAL(9,Q273:Q278)</f>
        <v>100108407.89</v>
      </c>
      <c r="R279" s="57">
        <f>O279/Q279</f>
        <v>0.6100640743463499</v>
      </c>
      <c r="S279" s="58">
        <f>Q279/$Q$293</f>
        <v>3.0496532027754632E-2</v>
      </c>
      <c r="U279" s="147"/>
    </row>
    <row r="280" spans="1:21" outlineLevel="2" x14ac:dyDescent="0.3">
      <c r="A280" s="40" t="str">
        <f>VLOOKUP(B280,Grupos!$A$2:$B$619,2,FALSE)</f>
        <v>TAPAS PLASTICAS</v>
      </c>
      <c r="B280" s="41" t="s">
        <v>454</v>
      </c>
      <c r="C280" s="41" t="s">
        <v>455</v>
      </c>
      <c r="D280" s="42">
        <v>1</v>
      </c>
      <c r="E280" s="43">
        <v>1765.92</v>
      </c>
      <c r="F280" s="43">
        <v>67</v>
      </c>
      <c r="G280" s="126">
        <f t="shared" si="33"/>
        <v>1832.92</v>
      </c>
      <c r="H280" s="127">
        <f t="shared" si="34"/>
        <v>1765.92</v>
      </c>
      <c r="I280" s="128">
        <f t="shared" si="35"/>
        <v>67</v>
      </c>
      <c r="J280" s="128">
        <f t="shared" si="36"/>
        <v>1832.92</v>
      </c>
      <c r="K280" s="44">
        <f t="shared" si="37"/>
        <v>1.3771046541935414E-6</v>
      </c>
      <c r="L280" s="45">
        <f t="shared" si="38"/>
        <v>356.25549162802207</v>
      </c>
      <c r="M280" s="45">
        <f t="shared" si="39"/>
        <v>359.81207890207878</v>
      </c>
      <c r="N280" s="45">
        <f t="shared" si="40"/>
        <v>2548.9875705301006</v>
      </c>
      <c r="O280" s="46">
        <f t="shared" si="41"/>
        <v>2548.9875705301006</v>
      </c>
      <c r="P280" s="47">
        <f t="shared" si="42"/>
        <v>10115</v>
      </c>
      <c r="Q280" s="42">
        <v>10115</v>
      </c>
      <c r="R280" s="48">
        <f t="shared" si="43"/>
        <v>0.25200074844588238</v>
      </c>
      <c r="S280" s="49"/>
      <c r="U280" s="112"/>
    </row>
    <row r="281" spans="1:21" outlineLevel="2" x14ac:dyDescent="0.3">
      <c r="A281" s="40" t="str">
        <f>VLOOKUP(B281,Grupos!$A$2:$B$619,2,FALSE)</f>
        <v>TAPAS PLASTICAS</v>
      </c>
      <c r="B281" s="41" t="s">
        <v>456</v>
      </c>
      <c r="C281" s="41" t="s">
        <v>457</v>
      </c>
      <c r="D281" s="42">
        <v>14</v>
      </c>
      <c r="E281" s="43">
        <v>1145.1300000000001</v>
      </c>
      <c r="F281" s="43">
        <v>54.38</v>
      </c>
      <c r="G281" s="126">
        <f t="shared" si="33"/>
        <v>1199.5100000000002</v>
      </c>
      <c r="H281" s="127">
        <f t="shared" si="34"/>
        <v>16031.820000000002</v>
      </c>
      <c r="I281" s="128">
        <f t="shared" si="35"/>
        <v>761.32</v>
      </c>
      <c r="J281" s="128">
        <f t="shared" si="36"/>
        <v>16793.140000000003</v>
      </c>
      <c r="K281" s="44">
        <f t="shared" si="37"/>
        <v>1.2616977965499712E-5</v>
      </c>
      <c r="L281" s="45">
        <f t="shared" si="38"/>
        <v>233.14275841975038</v>
      </c>
      <c r="M281" s="45">
        <f t="shared" si="39"/>
        <v>292.03852015962752</v>
      </c>
      <c r="N281" s="45">
        <f t="shared" si="40"/>
        <v>1724.6912785793781</v>
      </c>
      <c r="O281" s="46">
        <f t="shared" si="41"/>
        <v>24145.677900111295</v>
      </c>
      <c r="P281" s="47">
        <f t="shared" si="42"/>
        <v>4287.2142857142853</v>
      </c>
      <c r="Q281" s="42">
        <v>60021</v>
      </c>
      <c r="R281" s="48">
        <f t="shared" si="43"/>
        <v>0.40228716449428192</v>
      </c>
      <c r="S281" s="49"/>
      <c r="U281" s="112"/>
    </row>
    <row r="282" spans="1:21" outlineLevel="2" x14ac:dyDescent="0.3">
      <c r="A282" s="40" t="str">
        <f>VLOOKUP(B282,Grupos!$A$2:$B$619,2,FALSE)</f>
        <v>TAPAS PLASTICAS</v>
      </c>
      <c r="B282" s="41" t="s">
        <v>459</v>
      </c>
      <c r="C282" s="41" t="s">
        <v>460</v>
      </c>
      <c r="D282" s="42">
        <v>44</v>
      </c>
      <c r="E282" s="43">
        <v>1273.0999999999999</v>
      </c>
      <c r="F282" s="43">
        <v>59.36</v>
      </c>
      <c r="G282" s="126">
        <f t="shared" si="33"/>
        <v>1332.4599999999998</v>
      </c>
      <c r="H282" s="127">
        <f t="shared" si="34"/>
        <v>56016.399999999994</v>
      </c>
      <c r="I282" s="128">
        <f t="shared" si="35"/>
        <v>2611.84</v>
      </c>
      <c r="J282" s="128">
        <f t="shared" si="36"/>
        <v>58628.239999999991</v>
      </c>
      <c r="K282" s="44">
        <f t="shared" si="37"/>
        <v>4.4048415736189217E-5</v>
      </c>
      <c r="L282" s="45">
        <f t="shared" si="38"/>
        <v>258.98358486713778</v>
      </c>
      <c r="M282" s="45">
        <f t="shared" si="39"/>
        <v>318.78276124817006</v>
      </c>
      <c r="N282" s="45">
        <f t="shared" si="40"/>
        <v>1910.2263461153077</v>
      </c>
      <c r="O282" s="46">
        <f t="shared" si="41"/>
        <v>84049.959229073545</v>
      </c>
      <c r="P282" s="47">
        <f t="shared" si="42"/>
        <v>5913.9661363636369</v>
      </c>
      <c r="Q282" s="42">
        <v>260214.51</v>
      </c>
      <c r="R282" s="48">
        <f t="shared" si="43"/>
        <v>0.32300258440266666</v>
      </c>
      <c r="S282" s="49"/>
      <c r="U282" s="112"/>
    </row>
    <row r="283" spans="1:21" outlineLevel="2" x14ac:dyDescent="0.3">
      <c r="A283" s="40" t="str">
        <f>VLOOKUP(B283,Grupos!$A$2:$B$619,2,FALSE)</f>
        <v>TAPAS PLASTICAS</v>
      </c>
      <c r="B283" s="41" t="s">
        <v>461</v>
      </c>
      <c r="C283" s="41" t="s">
        <v>462</v>
      </c>
      <c r="D283" s="42">
        <v>53</v>
      </c>
      <c r="E283" s="43">
        <v>1619.28</v>
      </c>
      <c r="F283" s="43">
        <v>56.48</v>
      </c>
      <c r="G283" s="126">
        <f t="shared" si="33"/>
        <v>1675.76</v>
      </c>
      <c r="H283" s="127">
        <f t="shared" si="34"/>
        <v>85821.84</v>
      </c>
      <c r="I283" s="128">
        <f t="shared" si="35"/>
        <v>2993.44</v>
      </c>
      <c r="J283" s="128">
        <f t="shared" si="36"/>
        <v>88815.28</v>
      </c>
      <c r="K283" s="44">
        <f t="shared" si="37"/>
        <v>6.6728463572606858E-5</v>
      </c>
      <c r="L283" s="45">
        <f t="shared" si="38"/>
        <v>325.70908858573989</v>
      </c>
      <c r="M283" s="45">
        <f t="shared" si="39"/>
        <v>303.31621218491654</v>
      </c>
      <c r="N283" s="45">
        <f t="shared" si="40"/>
        <v>2304.7853007706562</v>
      </c>
      <c r="O283" s="46">
        <f t="shared" si="41"/>
        <v>122153.62094084478</v>
      </c>
      <c r="P283" s="47">
        <f t="shared" si="42"/>
        <v>7810.9809433962264</v>
      </c>
      <c r="Q283" s="42">
        <v>413981.99</v>
      </c>
      <c r="R283" s="48">
        <f t="shared" si="43"/>
        <v>0.2950698916656852</v>
      </c>
      <c r="S283" s="49"/>
      <c r="U283" s="112"/>
    </row>
    <row r="284" spans="1:21" outlineLevel="2" x14ac:dyDescent="0.3">
      <c r="A284" s="40" t="str">
        <f>VLOOKUP(B284,Grupos!$A$2:$B$619,2,FALSE)</f>
        <v>TAPAS PLASTICAS</v>
      </c>
      <c r="B284" s="41" t="s">
        <v>463</v>
      </c>
      <c r="C284" s="41" t="s">
        <v>464</v>
      </c>
      <c r="D284" s="42">
        <v>1612</v>
      </c>
      <c r="E284" s="43">
        <v>23.89</v>
      </c>
      <c r="F284" s="43">
        <v>9.17</v>
      </c>
      <c r="G284" s="126">
        <f t="shared" si="33"/>
        <v>33.06</v>
      </c>
      <c r="H284" s="127">
        <f t="shared" si="34"/>
        <v>38510.68</v>
      </c>
      <c r="I284" s="128">
        <f t="shared" si="35"/>
        <v>14782.039999999999</v>
      </c>
      <c r="J284" s="128">
        <f t="shared" si="36"/>
        <v>53292.72</v>
      </c>
      <c r="K284" s="44">
        <f t="shared" si="37"/>
        <v>4.0039746822901834E-5</v>
      </c>
      <c r="L284" s="45">
        <f t="shared" si="38"/>
        <v>6.4257068247508942</v>
      </c>
      <c r="M284" s="45">
        <f t="shared" si="39"/>
        <v>49.245921843762126</v>
      </c>
      <c r="N284" s="45">
        <f t="shared" si="40"/>
        <v>88.731628668513025</v>
      </c>
      <c r="O284" s="46">
        <f t="shared" si="41"/>
        <v>143035.385413643</v>
      </c>
      <c r="P284" s="47">
        <f t="shared" si="42"/>
        <v>459.80148883374687</v>
      </c>
      <c r="Q284" s="42">
        <v>741200</v>
      </c>
      <c r="R284" s="48">
        <f t="shared" si="43"/>
        <v>0.19297812387161764</v>
      </c>
      <c r="S284" s="49"/>
      <c r="U284" s="112"/>
    </row>
    <row r="285" spans="1:21" outlineLevel="2" x14ac:dyDescent="0.3">
      <c r="A285" s="40" t="str">
        <f>VLOOKUP(B285,Grupos!$A$2:$B$619,2,FALSE)</f>
        <v>TAPAS PLASTICAS</v>
      </c>
      <c r="B285" s="41" t="s">
        <v>465</v>
      </c>
      <c r="C285" s="41" t="s">
        <v>466</v>
      </c>
      <c r="D285" s="42">
        <v>159840</v>
      </c>
      <c r="E285" s="43">
        <v>77.37</v>
      </c>
      <c r="F285" s="43">
        <v>8.2100000000000009</v>
      </c>
      <c r="G285" s="126">
        <f t="shared" si="33"/>
        <v>85.580000000000013</v>
      </c>
      <c r="H285" s="127">
        <f t="shared" si="34"/>
        <v>12366820.800000001</v>
      </c>
      <c r="I285" s="128">
        <f t="shared" si="35"/>
        <v>1312286.4000000001</v>
      </c>
      <c r="J285" s="128">
        <f t="shared" si="36"/>
        <v>13679107.200000001</v>
      </c>
      <c r="K285" s="44">
        <f t="shared" si="37"/>
        <v>1.02773509974971E-2</v>
      </c>
      <c r="L285" s="45">
        <f t="shared" si="38"/>
        <v>16.633756505208154</v>
      </c>
      <c r="M285" s="45">
        <f t="shared" si="39"/>
        <v>44.090405489344285</v>
      </c>
      <c r="N285" s="45">
        <f t="shared" si="40"/>
        <v>146.30416199455246</v>
      </c>
      <c r="O285" s="46">
        <f t="shared" si="41"/>
        <v>23385257.253209267</v>
      </c>
      <c r="P285" s="47">
        <f t="shared" si="42"/>
        <v>228.37839214214216</v>
      </c>
      <c r="Q285" s="42">
        <v>36504002.200000003</v>
      </c>
      <c r="R285" s="48">
        <f t="shared" si="43"/>
        <v>0.6406217358054308</v>
      </c>
      <c r="S285" s="49"/>
      <c r="U285" s="112"/>
    </row>
    <row r="286" spans="1:21" outlineLevel="2" x14ac:dyDescent="0.3">
      <c r="A286" s="40" t="str">
        <f>VLOOKUP(B286,Grupos!$A$2:$B$619,2,FALSE)</f>
        <v>TAPAS PLASTICAS</v>
      </c>
      <c r="B286" s="41" t="s">
        <v>467</v>
      </c>
      <c r="C286" s="41" t="s">
        <v>468</v>
      </c>
      <c r="D286" s="42">
        <v>26640</v>
      </c>
      <c r="E286" s="43">
        <v>76.55</v>
      </c>
      <c r="F286" s="43">
        <v>11.63</v>
      </c>
      <c r="G286" s="126">
        <f t="shared" si="33"/>
        <v>88.179999999999993</v>
      </c>
      <c r="H286" s="127">
        <f t="shared" si="34"/>
        <v>2039292</v>
      </c>
      <c r="I286" s="128">
        <f t="shared" si="35"/>
        <v>309823.2</v>
      </c>
      <c r="J286" s="128">
        <f t="shared" si="36"/>
        <v>2349115.1999999997</v>
      </c>
      <c r="K286" s="44">
        <f t="shared" si="37"/>
        <v>1.7649310800017411E-3</v>
      </c>
      <c r="L286" s="45">
        <f t="shared" si="38"/>
        <v>17.139105499290192</v>
      </c>
      <c r="M286" s="45">
        <f t="shared" si="39"/>
        <v>62.456932501957859</v>
      </c>
      <c r="N286" s="45">
        <f t="shared" si="40"/>
        <v>167.77603800124805</v>
      </c>
      <c r="O286" s="46">
        <f t="shared" si="41"/>
        <v>4469553.6523532486</v>
      </c>
      <c r="P286" s="47">
        <f t="shared" si="42"/>
        <v>228.20271358858858</v>
      </c>
      <c r="Q286" s="42">
        <v>6079320.29</v>
      </c>
      <c r="R286" s="48">
        <f t="shared" si="43"/>
        <v>0.7352061479151395</v>
      </c>
      <c r="S286" s="49"/>
      <c r="U286" s="112"/>
    </row>
    <row r="287" spans="1:21" outlineLevel="2" x14ac:dyDescent="0.3">
      <c r="A287" s="40" t="str">
        <f>VLOOKUP(B287,Grupos!$A$2:$B$619,2,FALSE)</f>
        <v>TAPAS PLASTICAS</v>
      </c>
      <c r="B287" s="41" t="s">
        <v>469</v>
      </c>
      <c r="C287" s="41" t="s">
        <v>470</v>
      </c>
      <c r="D287" s="42">
        <v>20000</v>
      </c>
      <c r="E287" s="43">
        <v>68.67</v>
      </c>
      <c r="F287" s="43">
        <v>21.29</v>
      </c>
      <c r="G287" s="126">
        <f t="shared" si="33"/>
        <v>89.960000000000008</v>
      </c>
      <c r="H287" s="127">
        <f t="shared" si="34"/>
        <v>1373400</v>
      </c>
      <c r="I287" s="128">
        <f t="shared" si="35"/>
        <v>425800</v>
      </c>
      <c r="J287" s="128">
        <f t="shared" si="36"/>
        <v>1799200.0000000002</v>
      </c>
      <c r="K287" s="44">
        <f t="shared" si="37"/>
        <v>1.3517702321023395E-3</v>
      </c>
      <c r="L287" s="45">
        <f t="shared" si="38"/>
        <v>17.485075195238675</v>
      </c>
      <c r="M287" s="45">
        <f t="shared" si="39"/>
        <v>114.33431581828741</v>
      </c>
      <c r="N287" s="45">
        <f t="shared" si="40"/>
        <v>221.77939101352609</v>
      </c>
      <c r="O287" s="46">
        <f t="shared" si="41"/>
        <v>4435587.8202705216</v>
      </c>
      <c r="P287" s="47">
        <f t="shared" si="42"/>
        <v>231.72499950000002</v>
      </c>
      <c r="Q287" s="42">
        <v>4634499.99</v>
      </c>
      <c r="R287" s="48">
        <f t="shared" si="43"/>
        <v>0.95708012295637557</v>
      </c>
      <c r="S287" s="49"/>
      <c r="U287" s="112"/>
    </row>
    <row r="288" spans="1:21" outlineLevel="2" x14ac:dyDescent="0.3">
      <c r="A288" s="40" t="str">
        <f>VLOOKUP(B288,Grupos!$A$2:$B$619,2,FALSE)</f>
        <v>TAPAS PLASTICAS</v>
      </c>
      <c r="B288" s="41" t="s">
        <v>471</v>
      </c>
      <c r="C288" s="41" t="s">
        <v>472</v>
      </c>
      <c r="D288" s="42">
        <v>1000</v>
      </c>
      <c r="E288" s="43">
        <v>62.15</v>
      </c>
      <c r="F288" s="43">
        <v>20.22</v>
      </c>
      <c r="G288" s="126">
        <f t="shared" ref="G288:G353" si="44">E288+F288</f>
        <v>82.37</v>
      </c>
      <c r="H288" s="127">
        <f t="shared" si="34"/>
        <v>62150</v>
      </c>
      <c r="I288" s="128">
        <f t="shared" si="35"/>
        <v>20220</v>
      </c>
      <c r="J288" s="128">
        <f t="shared" si="36"/>
        <v>82370</v>
      </c>
      <c r="K288" s="44">
        <f t="shared" ref="K288:K290" si="45">J288/$J$293</f>
        <v>6.1886012682453134E-5</v>
      </c>
      <c r="L288" s="45">
        <f t="shared" ref="L288:L290" si="46">$K$364*K288/D288</f>
        <v>16.009844862514555</v>
      </c>
      <c r="M288" s="45">
        <f t="shared" ref="M288:M353" si="47">F288*$M$363</f>
        <v>108.58806321492585</v>
      </c>
      <c r="N288" s="45">
        <f t="shared" ref="N288:N290" si="48">G288+L288+M288</f>
        <v>206.96790807744043</v>
      </c>
      <c r="O288" s="46">
        <f t="shared" ref="O288:O290" si="49">N288*D288</f>
        <v>206967.90807744043</v>
      </c>
      <c r="P288" s="47">
        <f t="shared" ref="P288:P290" si="50">Q288/D288</f>
        <v>227.50001999999998</v>
      </c>
      <c r="Q288" s="42">
        <v>227500.02</v>
      </c>
      <c r="R288" s="48">
        <f t="shared" ref="R288:R353" si="51">O288/Q288</f>
        <v>0.90974896651631254</v>
      </c>
      <c r="S288" s="49"/>
      <c r="U288" s="112"/>
    </row>
    <row r="289" spans="1:21" outlineLevel="2" x14ac:dyDescent="0.3">
      <c r="A289" s="40" t="str">
        <f>VLOOKUP(B289,Grupos!$A$2:$B$619,2,FALSE)</f>
        <v>TAPAS PLASTICAS</v>
      </c>
      <c r="B289" s="41" t="s">
        <v>473</v>
      </c>
      <c r="C289" s="41" t="s">
        <v>474</v>
      </c>
      <c r="D289" s="42">
        <v>6270</v>
      </c>
      <c r="E289" s="43">
        <v>96.24</v>
      </c>
      <c r="F289" s="43">
        <v>22.33</v>
      </c>
      <c r="G289" s="126">
        <f t="shared" si="44"/>
        <v>118.57</v>
      </c>
      <c r="H289" s="127">
        <f t="shared" si="34"/>
        <v>603424.79999999993</v>
      </c>
      <c r="I289" s="128">
        <f t="shared" si="35"/>
        <v>140009.09999999998</v>
      </c>
      <c r="J289" s="128">
        <f t="shared" si="36"/>
        <v>743433.89999999991</v>
      </c>
      <c r="K289" s="44">
        <f t="shared" si="45"/>
        <v>5.5855481078020627E-4</v>
      </c>
      <c r="L289" s="45">
        <f t="shared" si="46"/>
        <v>23.045857780118375</v>
      </c>
      <c r="M289" s="45">
        <f t="shared" si="47"/>
        <v>119.91945853557341</v>
      </c>
      <c r="N289" s="45">
        <f t="shared" si="48"/>
        <v>261.53531631569177</v>
      </c>
      <c r="O289" s="46">
        <f t="shared" si="49"/>
        <v>1639826.4332993873</v>
      </c>
      <c r="P289" s="47">
        <f t="shared" si="50"/>
        <v>274.0909106858054</v>
      </c>
      <c r="Q289" s="42">
        <v>1718550.01</v>
      </c>
      <c r="R289" s="48">
        <f t="shared" si="51"/>
        <v>0.95419186160278646</v>
      </c>
      <c r="S289" s="49"/>
      <c r="U289" s="112"/>
    </row>
    <row r="290" spans="1:21" outlineLevel="2" x14ac:dyDescent="0.3">
      <c r="A290" s="40" t="str">
        <f>VLOOKUP(B290,Grupos!$A$2:$B$619,2,FALSE)</f>
        <v>TAPAS PLASTICAS</v>
      </c>
      <c r="B290" s="41" t="s">
        <v>475</v>
      </c>
      <c r="C290" s="41" t="s">
        <v>476</v>
      </c>
      <c r="D290" s="42">
        <v>17670</v>
      </c>
      <c r="E290" s="43">
        <v>96.03</v>
      </c>
      <c r="F290" s="43">
        <v>23.29</v>
      </c>
      <c r="G290" s="126">
        <f t="shared" si="44"/>
        <v>119.32</v>
      </c>
      <c r="H290" s="127">
        <f t="shared" si="34"/>
        <v>1696850.1</v>
      </c>
      <c r="I290" s="128">
        <f t="shared" si="35"/>
        <v>411534.3</v>
      </c>
      <c r="J290" s="128">
        <f t="shared" si="36"/>
        <v>2108384.4</v>
      </c>
      <c r="K290" s="44">
        <f t="shared" si="45"/>
        <v>1.5840658457919915E-3</v>
      </c>
      <c r="L290" s="45">
        <f t="shared" si="46"/>
        <v>23.191631528411275</v>
      </c>
      <c r="M290" s="45">
        <f t="shared" si="47"/>
        <v>125.07497488999125</v>
      </c>
      <c r="N290" s="45">
        <f t="shared" si="48"/>
        <v>267.58660641840254</v>
      </c>
      <c r="O290" s="46">
        <f t="shared" si="49"/>
        <v>4728255.3354131728</v>
      </c>
      <c r="P290" s="47">
        <f t="shared" si="50"/>
        <v>281.80646349745331</v>
      </c>
      <c r="Q290" s="42">
        <v>4979520.21</v>
      </c>
      <c r="R290" s="48">
        <f t="shared" si="51"/>
        <v>0.94954034445281887</v>
      </c>
      <c r="S290" s="49"/>
      <c r="U290" s="112"/>
    </row>
    <row r="291" spans="1:21" s="93" customFormat="1" outlineLevel="1" x14ac:dyDescent="0.3">
      <c r="A291" s="50" t="s">
        <v>1044</v>
      </c>
      <c r="B291" s="129"/>
      <c r="C291" s="129"/>
      <c r="D291" s="51">
        <f>SUBTOTAL(9,D280:D290)</f>
        <v>233144</v>
      </c>
      <c r="E291" s="52"/>
      <c r="F291" s="52"/>
      <c r="G291" s="130"/>
      <c r="H291" s="131">
        <f>SUBTOTAL(9,H280:H290)</f>
        <v>18340084.360000003</v>
      </c>
      <c r="I291" s="146">
        <f>SUBTOTAL(9,I280:I290)</f>
        <v>2640888.6399999997</v>
      </c>
      <c r="J291" s="146">
        <f>SUBTOTAL(9,J280:J290)</f>
        <v>20980973</v>
      </c>
      <c r="K291" s="53"/>
      <c r="L291" s="54"/>
      <c r="M291" s="54"/>
      <c r="N291" s="54"/>
      <c r="O291" s="55">
        <f>SUBTOTAL(9,O280:O290)</f>
        <v>39241382.033677243</v>
      </c>
      <c r="P291" s="56"/>
      <c r="Q291" s="51">
        <f>SUBTOTAL(9,Q280:Q290)</f>
        <v>55628925.220000006</v>
      </c>
      <c r="R291" s="57">
        <f>O291/Q291</f>
        <v>0.70541326977802143</v>
      </c>
      <c r="S291" s="58">
        <f>Q291/$Q$293</f>
        <v>1.6946521629885622E-2</v>
      </c>
      <c r="U291" s="147"/>
    </row>
    <row r="292" spans="1:21" x14ac:dyDescent="0.3">
      <c r="A292" s="50" t="s">
        <v>477</v>
      </c>
      <c r="B292" s="41"/>
      <c r="C292" s="41"/>
      <c r="D292" s="42">
        <f>SUBTOTAL(9,D5:D290)</f>
        <v>1836133.6500000001</v>
      </c>
      <c r="E292" s="43"/>
      <c r="F292" s="43"/>
      <c r="G292" s="126"/>
      <c r="H292" s="127">
        <f>SUBTOTAL(9,H5:H290)</f>
        <v>1226784670.1399996</v>
      </c>
      <c r="I292" s="128">
        <f>SUBTOTAL(9,I5:I290)</f>
        <v>104210758.87000002</v>
      </c>
      <c r="J292" s="128">
        <f>SUBTOTAL(9,J5:J290)</f>
        <v>1330995429.0099998</v>
      </c>
      <c r="K292" s="44"/>
      <c r="L292" s="45"/>
      <c r="M292" s="45"/>
      <c r="N292" s="45"/>
      <c r="O292" s="46">
        <f>SUBTOTAL(9,O5:O290)</f>
        <v>2149340468.8531032</v>
      </c>
      <c r="P292" s="47"/>
      <c r="Q292" s="42">
        <f>SUBTOTAL(9,Q5:Q290)</f>
        <v>3282616128.249999</v>
      </c>
      <c r="R292" s="48"/>
      <c r="S292" s="49"/>
      <c r="U292" s="112"/>
    </row>
    <row r="293" spans="1:21" s="93" customFormat="1" x14ac:dyDescent="0.3">
      <c r="A293" s="50" t="s">
        <v>1011</v>
      </c>
      <c r="B293" s="129"/>
      <c r="C293" s="129"/>
      <c r="D293" s="51">
        <v>1836133.6500000001</v>
      </c>
      <c r="E293" s="52"/>
      <c r="F293" s="52"/>
      <c r="G293" s="130">
        <f t="shared" si="44"/>
        <v>0</v>
      </c>
      <c r="H293" s="131">
        <v>1226784670.1399996</v>
      </c>
      <c r="I293" s="131">
        <v>104210758.87000002</v>
      </c>
      <c r="J293" s="131">
        <v>1330995429.0099998</v>
      </c>
      <c r="K293" s="53"/>
      <c r="L293" s="54"/>
      <c r="M293" s="45">
        <f t="shared" si="47"/>
        <v>0</v>
      </c>
      <c r="N293" s="54"/>
      <c r="O293" s="131">
        <v>2149340468.8531032</v>
      </c>
      <c r="P293" s="56"/>
      <c r="Q293" s="51">
        <v>3282616128.249999</v>
      </c>
      <c r="R293" s="57">
        <f>O293/Q293</f>
        <v>0.65476448810325616</v>
      </c>
      <c r="S293" s="58">
        <f>Q293/Q358</f>
        <v>0.86916147459705784</v>
      </c>
      <c r="T293"/>
      <c r="U293" s="112"/>
    </row>
    <row r="294" spans="1:21" x14ac:dyDescent="0.3">
      <c r="A294" s="40" t="str">
        <f>VLOOKUP(B294,Grupos!$A$2:$B$619,2,FALSE)</f>
        <v>BREAKERS</v>
      </c>
      <c r="B294" s="41" t="s">
        <v>481</v>
      </c>
      <c r="C294" s="41" t="s">
        <v>482</v>
      </c>
      <c r="D294" s="42">
        <v>2124</v>
      </c>
      <c r="E294" s="43">
        <v>5808.8315907531278</v>
      </c>
      <c r="F294" s="43"/>
      <c r="G294" s="126">
        <f t="shared" si="44"/>
        <v>5808.8315907531278</v>
      </c>
      <c r="H294" s="127">
        <f t="shared" ref="H294:H325" si="52">E294*D294</f>
        <v>12337958.298759643</v>
      </c>
      <c r="I294" s="128">
        <f t="shared" ref="I294:I325" si="53">F294*D294</f>
        <v>0</v>
      </c>
      <c r="J294" s="128">
        <f t="shared" ref="J294:J325" si="54">G294*D294</f>
        <v>12337958.298759643</v>
      </c>
      <c r="K294" s="44"/>
      <c r="L294" s="45">
        <f t="shared" ref="L294:L325" si="55">$K$364*K294/D294</f>
        <v>0</v>
      </c>
      <c r="M294" s="45">
        <f t="shared" si="47"/>
        <v>0</v>
      </c>
      <c r="N294" s="45">
        <f t="shared" ref="N294:N325" si="56">G294+L294+M294</f>
        <v>5808.8315907531278</v>
      </c>
      <c r="O294" s="46">
        <f t="shared" ref="O294:O325" si="57">N294*D294</f>
        <v>12337958.298759643</v>
      </c>
      <c r="P294" s="47">
        <f t="shared" ref="P294:P325" si="58">Q294/D294</f>
        <v>6953.1073399246707</v>
      </c>
      <c r="Q294" s="42">
        <v>14768399.99</v>
      </c>
      <c r="R294" s="48">
        <f t="shared" si="51"/>
        <v>0.83542958662508726</v>
      </c>
      <c r="S294" s="49"/>
      <c r="U294" s="112"/>
    </row>
    <row r="295" spans="1:21" x14ac:dyDescent="0.3">
      <c r="A295" s="40" t="str">
        <f>VLOOKUP(B295,Grupos!$A$2:$B$619,2,FALSE)</f>
        <v>BREAKERS</v>
      </c>
      <c r="B295" s="41" t="s">
        <v>483</v>
      </c>
      <c r="C295" s="41" t="s">
        <v>484</v>
      </c>
      <c r="D295" s="42">
        <v>324</v>
      </c>
      <c r="E295" s="43">
        <v>5815.0243200861933</v>
      </c>
      <c r="F295" s="43"/>
      <c r="G295" s="126">
        <f t="shared" si="44"/>
        <v>5815.0243200861933</v>
      </c>
      <c r="H295" s="127">
        <f t="shared" si="52"/>
        <v>1884067.8797079267</v>
      </c>
      <c r="I295" s="128">
        <f t="shared" si="53"/>
        <v>0</v>
      </c>
      <c r="J295" s="128">
        <f t="shared" si="54"/>
        <v>1884067.8797079267</v>
      </c>
      <c r="K295" s="44"/>
      <c r="L295" s="45">
        <f t="shared" si="55"/>
        <v>0</v>
      </c>
      <c r="M295" s="45">
        <f t="shared" si="47"/>
        <v>0</v>
      </c>
      <c r="N295" s="45">
        <f t="shared" si="56"/>
        <v>5815.0243200861933</v>
      </c>
      <c r="O295" s="46">
        <f t="shared" si="57"/>
        <v>1884067.8797079267</v>
      </c>
      <c r="P295" s="47">
        <f t="shared" si="58"/>
        <v>7029.6296296296296</v>
      </c>
      <c r="Q295" s="42">
        <v>2277600</v>
      </c>
      <c r="R295" s="48">
        <f t="shared" si="51"/>
        <v>0.82721631529150275</v>
      </c>
      <c r="S295" s="49"/>
      <c r="U295" s="112"/>
    </row>
    <row r="296" spans="1:21" x14ac:dyDescent="0.3">
      <c r="A296" s="40" t="str">
        <f>VLOOKUP(B296,Grupos!$A$2:$B$619,2,FALSE)</f>
        <v>BREAKERS</v>
      </c>
      <c r="B296" s="41" t="s">
        <v>485</v>
      </c>
      <c r="C296" s="41" t="s">
        <v>486</v>
      </c>
      <c r="D296" s="42">
        <v>9420</v>
      </c>
      <c r="E296" s="43">
        <v>5212.9901566926656</v>
      </c>
      <c r="F296" s="43"/>
      <c r="G296" s="126">
        <f t="shared" si="44"/>
        <v>5212.9901566926656</v>
      </c>
      <c r="H296" s="127">
        <f t="shared" si="52"/>
        <v>49106367.276044913</v>
      </c>
      <c r="I296" s="128">
        <f t="shared" si="53"/>
        <v>0</v>
      </c>
      <c r="J296" s="128">
        <f t="shared" si="54"/>
        <v>49106367.276044913</v>
      </c>
      <c r="K296" s="44"/>
      <c r="L296" s="45">
        <f t="shared" si="55"/>
        <v>0</v>
      </c>
      <c r="M296" s="45">
        <f t="shared" si="47"/>
        <v>0</v>
      </c>
      <c r="N296" s="45">
        <f t="shared" si="56"/>
        <v>5212.9901566926656</v>
      </c>
      <c r="O296" s="46">
        <f t="shared" si="57"/>
        <v>49106367.276044913</v>
      </c>
      <c r="P296" s="47">
        <f t="shared" si="58"/>
        <v>6961.4331072186833</v>
      </c>
      <c r="Q296" s="42">
        <v>65576699.869999997</v>
      </c>
      <c r="R296" s="48">
        <f t="shared" si="51"/>
        <v>0.74883864807765466</v>
      </c>
      <c r="S296" s="49"/>
      <c r="U296" s="112"/>
    </row>
    <row r="297" spans="1:21" x14ac:dyDescent="0.3">
      <c r="A297" s="40" t="str">
        <f>VLOOKUP(B297,Grupos!$A$2:$B$619,2,FALSE)</f>
        <v>BREAKERS</v>
      </c>
      <c r="B297" s="41" t="s">
        <v>487</v>
      </c>
      <c r="C297" s="41" t="s">
        <v>488</v>
      </c>
      <c r="D297" s="42">
        <v>6677</v>
      </c>
      <c r="E297" s="43">
        <v>5212.9901566926665</v>
      </c>
      <c r="F297" s="43"/>
      <c r="G297" s="126">
        <f t="shared" si="44"/>
        <v>5212.9901566926665</v>
      </c>
      <c r="H297" s="127">
        <f t="shared" si="52"/>
        <v>34807135.276236936</v>
      </c>
      <c r="I297" s="128">
        <f t="shared" si="53"/>
        <v>0</v>
      </c>
      <c r="J297" s="128">
        <f t="shared" si="54"/>
        <v>34807135.276236936</v>
      </c>
      <c r="K297" s="44"/>
      <c r="L297" s="45">
        <f t="shared" si="55"/>
        <v>0</v>
      </c>
      <c r="M297" s="45">
        <f t="shared" si="47"/>
        <v>0</v>
      </c>
      <c r="N297" s="45">
        <f t="shared" si="56"/>
        <v>5212.9901566926665</v>
      </c>
      <c r="O297" s="46">
        <f t="shared" si="57"/>
        <v>34807135.276236936</v>
      </c>
      <c r="P297" s="47">
        <f t="shared" si="58"/>
        <v>6949.9475812490637</v>
      </c>
      <c r="Q297" s="42">
        <v>46404800</v>
      </c>
      <c r="R297" s="48">
        <f t="shared" si="51"/>
        <v>0.75007618341716664</v>
      </c>
      <c r="S297" s="49"/>
      <c r="U297" s="112"/>
    </row>
    <row r="298" spans="1:21" x14ac:dyDescent="0.3">
      <c r="A298" s="40" t="str">
        <f>VLOOKUP(B298,Grupos!$A$2:$B$619,2,FALSE)</f>
        <v>BREAKERS</v>
      </c>
      <c r="B298" s="41" t="s">
        <v>489</v>
      </c>
      <c r="C298" s="41" t="s">
        <v>490</v>
      </c>
      <c r="D298" s="42">
        <v>2772</v>
      </c>
      <c r="E298" s="43">
        <v>5212.9901566926656</v>
      </c>
      <c r="F298" s="43"/>
      <c r="G298" s="126">
        <f t="shared" si="44"/>
        <v>5212.9901566926656</v>
      </c>
      <c r="H298" s="127">
        <f t="shared" si="52"/>
        <v>14450408.714352069</v>
      </c>
      <c r="I298" s="128">
        <f t="shared" si="53"/>
        <v>0</v>
      </c>
      <c r="J298" s="128">
        <f t="shared" si="54"/>
        <v>14450408.714352069</v>
      </c>
      <c r="K298" s="44"/>
      <c r="L298" s="45">
        <f t="shared" si="55"/>
        <v>0</v>
      </c>
      <c r="M298" s="45">
        <f t="shared" si="47"/>
        <v>0</v>
      </c>
      <c r="N298" s="45">
        <f t="shared" si="56"/>
        <v>5212.9901566926656</v>
      </c>
      <c r="O298" s="46">
        <f t="shared" si="57"/>
        <v>14450408.714352069</v>
      </c>
      <c r="P298" s="47">
        <f t="shared" si="58"/>
        <v>6935.2813744588739</v>
      </c>
      <c r="Q298" s="42">
        <v>19224599.969999999</v>
      </c>
      <c r="R298" s="48">
        <f t="shared" si="51"/>
        <v>0.7516623876128472</v>
      </c>
      <c r="S298" s="49"/>
      <c r="U298" s="112"/>
    </row>
    <row r="299" spans="1:21" x14ac:dyDescent="0.3">
      <c r="A299" s="40" t="str">
        <f>VLOOKUP(B299,Grupos!$A$2:$B$619,2,FALSE)</f>
        <v>BREAKERS</v>
      </c>
      <c r="B299" s="41" t="s">
        <v>491</v>
      </c>
      <c r="C299" s="41" t="s">
        <v>492</v>
      </c>
      <c r="D299" s="42">
        <v>2184</v>
      </c>
      <c r="E299" s="43">
        <v>5212.9901566926656</v>
      </c>
      <c r="F299" s="43"/>
      <c r="G299" s="126">
        <f t="shared" si="44"/>
        <v>5212.9901566926656</v>
      </c>
      <c r="H299" s="127">
        <f t="shared" si="52"/>
        <v>11385170.502216782</v>
      </c>
      <c r="I299" s="128">
        <f t="shared" si="53"/>
        <v>0</v>
      </c>
      <c r="J299" s="128">
        <f t="shared" si="54"/>
        <v>11385170.502216782</v>
      </c>
      <c r="K299" s="44"/>
      <c r="L299" s="45">
        <f t="shared" si="55"/>
        <v>0</v>
      </c>
      <c r="M299" s="45">
        <f t="shared" si="47"/>
        <v>0</v>
      </c>
      <c r="N299" s="45">
        <f t="shared" si="56"/>
        <v>5212.9901566926656</v>
      </c>
      <c r="O299" s="46">
        <f t="shared" si="57"/>
        <v>11385170.502216782</v>
      </c>
      <c r="P299" s="47">
        <f t="shared" si="58"/>
        <v>7028.8461538461543</v>
      </c>
      <c r="Q299" s="42">
        <v>15351000</v>
      </c>
      <c r="R299" s="48">
        <f t="shared" si="51"/>
        <v>0.7416566023201604</v>
      </c>
      <c r="S299" s="49"/>
      <c r="U299" s="112"/>
    </row>
    <row r="300" spans="1:21" x14ac:dyDescent="0.3">
      <c r="A300" s="40" t="str">
        <f>VLOOKUP(B300,Grupos!$A$2:$B$619,2,FALSE)</f>
        <v>BREAKERS</v>
      </c>
      <c r="B300" s="41" t="s">
        <v>493</v>
      </c>
      <c r="C300" s="41" t="s">
        <v>494</v>
      </c>
      <c r="D300" s="42">
        <v>1356</v>
      </c>
      <c r="E300" s="43">
        <v>5541.3674893977168</v>
      </c>
      <c r="F300" s="43"/>
      <c r="G300" s="126">
        <f t="shared" si="44"/>
        <v>5541.3674893977168</v>
      </c>
      <c r="H300" s="127">
        <f t="shared" si="52"/>
        <v>7514094.3156233039</v>
      </c>
      <c r="I300" s="128">
        <f t="shared" si="53"/>
        <v>0</v>
      </c>
      <c r="J300" s="128">
        <f t="shared" si="54"/>
        <v>7514094.3156233039</v>
      </c>
      <c r="K300" s="44"/>
      <c r="L300" s="45">
        <f t="shared" si="55"/>
        <v>0</v>
      </c>
      <c r="M300" s="45">
        <f t="shared" si="47"/>
        <v>0</v>
      </c>
      <c r="N300" s="45">
        <f t="shared" si="56"/>
        <v>5541.3674893977168</v>
      </c>
      <c r="O300" s="46">
        <f t="shared" si="57"/>
        <v>7514094.3156233039</v>
      </c>
      <c r="P300" s="47">
        <f t="shared" si="58"/>
        <v>6989.1592846607673</v>
      </c>
      <c r="Q300" s="42">
        <v>9477299.9900000002</v>
      </c>
      <c r="R300" s="48">
        <f t="shared" si="51"/>
        <v>0.79285179571732689</v>
      </c>
      <c r="S300" s="49"/>
      <c r="U300" s="112"/>
    </row>
    <row r="301" spans="1:21" x14ac:dyDescent="0.3">
      <c r="A301" s="40" t="str">
        <f>VLOOKUP(B301,Grupos!$A$2:$B$619,2,FALSE)</f>
        <v>BREAKERS</v>
      </c>
      <c r="B301" s="41" t="s">
        <v>495</v>
      </c>
      <c r="C301" s="41" t="s">
        <v>496</v>
      </c>
      <c r="D301" s="42">
        <v>1992</v>
      </c>
      <c r="E301" s="43">
        <v>5541.3674893977159</v>
      </c>
      <c r="F301" s="43"/>
      <c r="G301" s="126">
        <f t="shared" si="44"/>
        <v>5541.3674893977159</v>
      </c>
      <c r="H301" s="127">
        <f t="shared" si="52"/>
        <v>11038404.038880249</v>
      </c>
      <c r="I301" s="128">
        <f t="shared" si="53"/>
        <v>0</v>
      </c>
      <c r="J301" s="128">
        <f t="shared" si="54"/>
        <v>11038404.038880249</v>
      </c>
      <c r="K301" s="44"/>
      <c r="L301" s="45">
        <f t="shared" si="55"/>
        <v>0</v>
      </c>
      <c r="M301" s="45">
        <f t="shared" si="47"/>
        <v>0</v>
      </c>
      <c r="N301" s="45">
        <f t="shared" si="56"/>
        <v>5541.3674893977159</v>
      </c>
      <c r="O301" s="46">
        <f t="shared" si="57"/>
        <v>11038404.038880249</v>
      </c>
      <c r="P301" s="47">
        <f t="shared" si="58"/>
        <v>6974.3975903614455</v>
      </c>
      <c r="Q301" s="42">
        <v>13893000</v>
      </c>
      <c r="R301" s="48">
        <f t="shared" si="51"/>
        <v>0.7945299099460339</v>
      </c>
      <c r="S301" s="49"/>
      <c r="U301" s="112"/>
    </row>
    <row r="302" spans="1:21" x14ac:dyDescent="0.3">
      <c r="A302" s="40" t="str">
        <f>VLOOKUP(B302,Grupos!$A$2:$B$619,2,FALSE)</f>
        <v>BREAKERS</v>
      </c>
      <c r="B302" s="41" t="s">
        <v>497</v>
      </c>
      <c r="C302" s="41" t="s">
        <v>498</v>
      </c>
      <c r="D302" s="42">
        <v>252</v>
      </c>
      <c r="E302" s="43">
        <v>6052.9657142857141</v>
      </c>
      <c r="F302" s="43"/>
      <c r="G302" s="126">
        <f t="shared" si="44"/>
        <v>6052.9657142857141</v>
      </c>
      <c r="H302" s="127">
        <f t="shared" si="52"/>
        <v>1525347.3599999999</v>
      </c>
      <c r="I302" s="128">
        <f t="shared" si="53"/>
        <v>0</v>
      </c>
      <c r="J302" s="128">
        <f t="shared" si="54"/>
        <v>1525347.3599999999</v>
      </c>
      <c r="K302" s="44"/>
      <c r="L302" s="45">
        <f t="shared" si="55"/>
        <v>0</v>
      </c>
      <c r="M302" s="45">
        <f t="shared" si="47"/>
        <v>0</v>
      </c>
      <c r="N302" s="45">
        <f t="shared" si="56"/>
        <v>6052.9657142857141</v>
      </c>
      <c r="O302" s="46">
        <f t="shared" si="57"/>
        <v>1525347.3599999999</v>
      </c>
      <c r="P302" s="47">
        <f t="shared" si="58"/>
        <v>6961.9047619047615</v>
      </c>
      <c r="Q302" s="42">
        <v>1754400</v>
      </c>
      <c r="R302" s="48">
        <f t="shared" si="51"/>
        <v>0.86944103967168251</v>
      </c>
      <c r="S302" s="49"/>
      <c r="U302" s="112"/>
    </row>
    <row r="303" spans="1:21" x14ac:dyDescent="0.3">
      <c r="A303" s="40" t="str">
        <f>VLOOKUP(B303,Grupos!$A$2:$B$619,2,FALSE)</f>
        <v>BREAKERS</v>
      </c>
      <c r="B303" s="41" t="s">
        <v>499</v>
      </c>
      <c r="C303" s="41" t="s">
        <v>500</v>
      </c>
      <c r="D303" s="42">
        <v>600</v>
      </c>
      <c r="E303" s="43">
        <v>5541.367489397715</v>
      </c>
      <c r="F303" s="43"/>
      <c r="G303" s="126">
        <f t="shared" si="44"/>
        <v>5541.367489397715</v>
      </c>
      <c r="H303" s="127">
        <f t="shared" si="52"/>
        <v>3324820.4936386291</v>
      </c>
      <c r="I303" s="128">
        <f t="shared" si="53"/>
        <v>0</v>
      </c>
      <c r="J303" s="128">
        <f t="shared" si="54"/>
        <v>3324820.4936386291</v>
      </c>
      <c r="K303" s="44"/>
      <c r="L303" s="45">
        <f t="shared" si="55"/>
        <v>0</v>
      </c>
      <c r="M303" s="45">
        <f t="shared" si="47"/>
        <v>0</v>
      </c>
      <c r="N303" s="45">
        <f t="shared" si="56"/>
        <v>5541.367489397715</v>
      </c>
      <c r="O303" s="46">
        <f t="shared" si="57"/>
        <v>3324820.4936386291</v>
      </c>
      <c r="P303" s="47">
        <f t="shared" si="58"/>
        <v>6948</v>
      </c>
      <c r="Q303" s="42">
        <v>4168800</v>
      </c>
      <c r="R303" s="48">
        <f t="shared" si="51"/>
        <v>0.797548573603586</v>
      </c>
      <c r="S303" s="49"/>
      <c r="U303" s="112"/>
    </row>
    <row r="304" spans="1:21" x14ac:dyDescent="0.3">
      <c r="A304" s="40" t="str">
        <f>VLOOKUP(B304,Grupos!$A$2:$B$619,2,FALSE)</f>
        <v>BREAKERS</v>
      </c>
      <c r="B304" s="41" t="s">
        <v>501</v>
      </c>
      <c r="C304" s="41" t="s">
        <v>502</v>
      </c>
      <c r="D304" s="42">
        <v>252</v>
      </c>
      <c r="E304" s="43">
        <v>6066.47</v>
      </c>
      <c r="F304" s="43"/>
      <c r="G304" s="126">
        <f t="shared" si="44"/>
        <v>6066.47</v>
      </c>
      <c r="H304" s="127">
        <f t="shared" si="52"/>
        <v>1528750.4400000002</v>
      </c>
      <c r="I304" s="128">
        <f t="shared" si="53"/>
        <v>0</v>
      </c>
      <c r="J304" s="128">
        <f t="shared" si="54"/>
        <v>1528750.4400000002</v>
      </c>
      <c r="K304" s="44"/>
      <c r="L304" s="45">
        <f t="shared" si="55"/>
        <v>0</v>
      </c>
      <c r="M304" s="45">
        <f t="shared" si="47"/>
        <v>0</v>
      </c>
      <c r="N304" s="45">
        <f t="shared" si="56"/>
        <v>6066.47</v>
      </c>
      <c r="O304" s="46">
        <f t="shared" si="57"/>
        <v>1528750.4400000002</v>
      </c>
      <c r="P304" s="47">
        <f t="shared" si="58"/>
        <v>6978.5714285714284</v>
      </c>
      <c r="Q304" s="42">
        <v>1758600</v>
      </c>
      <c r="R304" s="48">
        <f t="shared" si="51"/>
        <v>0.86929969293756404</v>
      </c>
      <c r="S304" s="49"/>
      <c r="U304" s="112"/>
    </row>
    <row r="305" spans="1:21" x14ac:dyDescent="0.3">
      <c r="A305" s="40" t="str">
        <f>VLOOKUP(B305,Grupos!$A$2:$B$619,2,FALSE)</f>
        <v>BREAKERS</v>
      </c>
      <c r="B305" s="41" t="s">
        <v>503</v>
      </c>
      <c r="C305" s="41" t="s">
        <v>504</v>
      </c>
      <c r="D305" s="42">
        <v>72</v>
      </c>
      <c r="E305" s="43">
        <v>6093.0433333333331</v>
      </c>
      <c r="F305" s="43"/>
      <c r="G305" s="126">
        <f t="shared" si="44"/>
        <v>6093.0433333333331</v>
      </c>
      <c r="H305" s="127">
        <f t="shared" si="52"/>
        <v>438699.12</v>
      </c>
      <c r="I305" s="128">
        <f t="shared" si="53"/>
        <v>0</v>
      </c>
      <c r="J305" s="128">
        <f t="shared" si="54"/>
        <v>438699.12</v>
      </c>
      <c r="K305" s="44"/>
      <c r="L305" s="45">
        <f t="shared" si="55"/>
        <v>0</v>
      </c>
      <c r="M305" s="45">
        <f t="shared" si="47"/>
        <v>0</v>
      </c>
      <c r="N305" s="45">
        <f t="shared" si="56"/>
        <v>6093.0433333333331</v>
      </c>
      <c r="O305" s="46">
        <f t="shared" si="57"/>
        <v>438699.12</v>
      </c>
      <c r="P305" s="47">
        <f t="shared" si="58"/>
        <v>7050</v>
      </c>
      <c r="Q305" s="42">
        <v>507600</v>
      </c>
      <c r="R305" s="48">
        <f t="shared" si="51"/>
        <v>0.86426146572104023</v>
      </c>
      <c r="S305" s="49"/>
      <c r="U305" s="112"/>
    </row>
    <row r="306" spans="1:21" x14ac:dyDescent="0.3">
      <c r="A306" s="40" t="str">
        <f>VLOOKUP(B306,Grupos!$A$2:$B$619,2,FALSE)</f>
        <v>BREAKERS</v>
      </c>
      <c r="B306" s="41" t="s">
        <v>505</v>
      </c>
      <c r="C306" s="41" t="s">
        <v>506</v>
      </c>
      <c r="D306" s="42">
        <v>612</v>
      </c>
      <c r="E306" s="43">
        <v>11626.752</v>
      </c>
      <c r="F306" s="43"/>
      <c r="G306" s="126">
        <f t="shared" si="44"/>
        <v>11626.752</v>
      </c>
      <c r="H306" s="127">
        <f t="shared" si="52"/>
        <v>7115572.2240000004</v>
      </c>
      <c r="I306" s="128">
        <f t="shared" si="53"/>
        <v>0</v>
      </c>
      <c r="J306" s="128">
        <f t="shared" si="54"/>
        <v>7115572.2240000004</v>
      </c>
      <c r="K306" s="44"/>
      <c r="L306" s="45">
        <f t="shared" si="55"/>
        <v>0</v>
      </c>
      <c r="M306" s="45">
        <f t="shared" si="47"/>
        <v>0</v>
      </c>
      <c r="N306" s="45">
        <f t="shared" si="56"/>
        <v>11626.752</v>
      </c>
      <c r="O306" s="46">
        <f t="shared" si="57"/>
        <v>7115572.2240000004</v>
      </c>
      <c r="P306" s="47">
        <f t="shared" si="58"/>
        <v>15152.941176470587</v>
      </c>
      <c r="Q306" s="42">
        <v>9273600</v>
      </c>
      <c r="R306" s="48">
        <f t="shared" si="51"/>
        <v>0.76729341614906832</v>
      </c>
      <c r="S306" s="49"/>
      <c r="U306" s="112"/>
    </row>
    <row r="307" spans="1:21" x14ac:dyDescent="0.3">
      <c r="A307" s="40" t="str">
        <f>VLOOKUP(B307,Grupos!$A$2:$B$619,2,FALSE)</f>
        <v>BREAKERS</v>
      </c>
      <c r="B307" s="41" t="s">
        <v>508</v>
      </c>
      <c r="C307" s="41" t="s">
        <v>509</v>
      </c>
      <c r="D307" s="42">
        <v>1050</v>
      </c>
      <c r="E307" s="43">
        <v>11671.370005018922</v>
      </c>
      <c r="F307" s="43"/>
      <c r="G307" s="126">
        <f t="shared" si="44"/>
        <v>11671.370005018922</v>
      </c>
      <c r="H307" s="127">
        <f t="shared" si="52"/>
        <v>12254938.505269868</v>
      </c>
      <c r="I307" s="128">
        <f t="shared" si="53"/>
        <v>0</v>
      </c>
      <c r="J307" s="128">
        <f t="shared" si="54"/>
        <v>12254938.505269868</v>
      </c>
      <c r="K307" s="44"/>
      <c r="L307" s="45">
        <f t="shared" si="55"/>
        <v>0</v>
      </c>
      <c r="M307" s="45">
        <f t="shared" si="47"/>
        <v>0</v>
      </c>
      <c r="N307" s="45">
        <f t="shared" si="56"/>
        <v>11671.370005018922</v>
      </c>
      <c r="O307" s="46">
        <f t="shared" si="57"/>
        <v>12254938.505269868</v>
      </c>
      <c r="P307" s="47">
        <f t="shared" si="58"/>
        <v>15183.771390476191</v>
      </c>
      <c r="Q307" s="42">
        <v>15942959.960000001</v>
      </c>
      <c r="R307" s="48">
        <f t="shared" si="51"/>
        <v>0.76867398124418718</v>
      </c>
      <c r="S307" s="49"/>
      <c r="U307" s="112"/>
    </row>
    <row r="308" spans="1:21" x14ac:dyDescent="0.3">
      <c r="A308" s="40" t="str">
        <f>VLOOKUP(B308,Grupos!$A$2:$B$619,2,FALSE)</f>
        <v>BREAKERS</v>
      </c>
      <c r="B308" s="41" t="s">
        <v>510</v>
      </c>
      <c r="C308" s="41" t="s">
        <v>511</v>
      </c>
      <c r="D308" s="42">
        <v>1164</v>
      </c>
      <c r="E308" s="43">
        <v>10425.980313385331</v>
      </c>
      <c r="F308" s="43"/>
      <c r="G308" s="126">
        <f t="shared" si="44"/>
        <v>10425.980313385331</v>
      </c>
      <c r="H308" s="127">
        <f t="shared" si="52"/>
        <v>12135841.084780525</v>
      </c>
      <c r="I308" s="128">
        <f t="shared" si="53"/>
        <v>0</v>
      </c>
      <c r="J308" s="128">
        <f t="shared" si="54"/>
        <v>12135841.084780525</v>
      </c>
      <c r="K308" s="44"/>
      <c r="L308" s="45">
        <f t="shared" si="55"/>
        <v>0</v>
      </c>
      <c r="M308" s="45">
        <f t="shared" si="47"/>
        <v>0</v>
      </c>
      <c r="N308" s="45">
        <f t="shared" si="56"/>
        <v>10425.980313385331</v>
      </c>
      <c r="O308" s="46">
        <f t="shared" si="57"/>
        <v>12135841.084780525</v>
      </c>
      <c r="P308" s="47">
        <f t="shared" si="58"/>
        <v>14568.041237113403</v>
      </c>
      <c r="Q308" s="42">
        <v>16957200</v>
      </c>
      <c r="R308" s="48">
        <f t="shared" si="51"/>
        <v>0.71567482159675688</v>
      </c>
      <c r="S308" s="49"/>
      <c r="U308" s="112"/>
    </row>
    <row r="309" spans="1:21" x14ac:dyDescent="0.3">
      <c r="A309" s="40" t="str">
        <f>VLOOKUP(B309,Grupos!$A$2:$B$619,2,FALSE)</f>
        <v>BREAKERS</v>
      </c>
      <c r="B309" s="41" t="s">
        <v>512</v>
      </c>
      <c r="C309" s="41" t="s">
        <v>513</v>
      </c>
      <c r="D309" s="42">
        <v>924</v>
      </c>
      <c r="E309" s="43">
        <v>10425.980313385331</v>
      </c>
      <c r="F309" s="43"/>
      <c r="G309" s="126">
        <f t="shared" si="44"/>
        <v>10425.980313385331</v>
      </c>
      <c r="H309" s="127">
        <f t="shared" si="52"/>
        <v>9633605.8095680457</v>
      </c>
      <c r="I309" s="128">
        <f t="shared" si="53"/>
        <v>0</v>
      </c>
      <c r="J309" s="128">
        <f t="shared" si="54"/>
        <v>9633605.8095680457</v>
      </c>
      <c r="K309" s="44"/>
      <c r="L309" s="45">
        <f t="shared" si="55"/>
        <v>0</v>
      </c>
      <c r="M309" s="45">
        <f t="shared" si="47"/>
        <v>0</v>
      </c>
      <c r="N309" s="45">
        <f t="shared" si="56"/>
        <v>10425.980313385331</v>
      </c>
      <c r="O309" s="46">
        <f t="shared" si="57"/>
        <v>9633605.8095680457</v>
      </c>
      <c r="P309" s="47">
        <f t="shared" si="58"/>
        <v>14717.727251082251</v>
      </c>
      <c r="Q309" s="42">
        <v>13599179.98</v>
      </c>
      <c r="R309" s="48">
        <f t="shared" si="51"/>
        <v>0.70839608150902977</v>
      </c>
      <c r="S309" s="49"/>
      <c r="U309" s="112"/>
    </row>
    <row r="310" spans="1:21" x14ac:dyDescent="0.3">
      <c r="A310" s="40" t="str">
        <f>VLOOKUP(B310,Grupos!$A$2:$B$619,2,FALSE)</f>
        <v>BREAKERS</v>
      </c>
      <c r="B310" s="41" t="s">
        <v>514</v>
      </c>
      <c r="C310" s="41" t="s">
        <v>515</v>
      </c>
      <c r="D310" s="42">
        <v>660</v>
      </c>
      <c r="E310" s="43">
        <v>10425.980313385331</v>
      </c>
      <c r="F310" s="43"/>
      <c r="G310" s="126">
        <f t="shared" si="44"/>
        <v>10425.980313385331</v>
      </c>
      <c r="H310" s="127">
        <f t="shared" si="52"/>
        <v>6881147.0068343189</v>
      </c>
      <c r="I310" s="128">
        <f t="shared" si="53"/>
        <v>0</v>
      </c>
      <c r="J310" s="128">
        <f t="shared" si="54"/>
        <v>6881147.0068343189</v>
      </c>
      <c r="K310" s="44"/>
      <c r="L310" s="45">
        <f t="shared" si="55"/>
        <v>0</v>
      </c>
      <c r="M310" s="45">
        <f t="shared" si="47"/>
        <v>0</v>
      </c>
      <c r="N310" s="45">
        <f t="shared" si="56"/>
        <v>10425.980313385331</v>
      </c>
      <c r="O310" s="46">
        <f t="shared" si="57"/>
        <v>6881147.0068343189</v>
      </c>
      <c r="P310" s="47">
        <f t="shared" si="58"/>
        <v>14361.818181818182</v>
      </c>
      <c r="Q310" s="42">
        <v>9478800</v>
      </c>
      <c r="R310" s="48">
        <f t="shared" si="51"/>
        <v>0.72595128147384891</v>
      </c>
      <c r="S310" s="49"/>
      <c r="U310" s="112"/>
    </row>
    <row r="311" spans="1:21" x14ac:dyDescent="0.3">
      <c r="A311" s="40" t="str">
        <f>VLOOKUP(B311,Grupos!$A$2:$B$619,2,FALSE)</f>
        <v>BREAKERS</v>
      </c>
      <c r="B311" s="41" t="s">
        <v>516</v>
      </c>
      <c r="C311" s="41" t="s">
        <v>517</v>
      </c>
      <c r="D311" s="42">
        <v>408</v>
      </c>
      <c r="E311" s="43">
        <v>11774.923512405096</v>
      </c>
      <c r="F311" s="43"/>
      <c r="G311" s="126">
        <f t="shared" si="44"/>
        <v>11774.923512405096</v>
      </c>
      <c r="H311" s="127">
        <f t="shared" si="52"/>
        <v>4804168.7930612788</v>
      </c>
      <c r="I311" s="128">
        <f t="shared" si="53"/>
        <v>0</v>
      </c>
      <c r="J311" s="128">
        <f t="shared" si="54"/>
        <v>4804168.7930612788</v>
      </c>
      <c r="K311" s="44"/>
      <c r="L311" s="45">
        <f t="shared" si="55"/>
        <v>0</v>
      </c>
      <c r="M311" s="45">
        <f t="shared" si="47"/>
        <v>0</v>
      </c>
      <c r="N311" s="45">
        <f t="shared" si="56"/>
        <v>11774.923512405096</v>
      </c>
      <c r="O311" s="46">
        <f t="shared" si="57"/>
        <v>4804168.7930612788</v>
      </c>
      <c r="P311" s="47">
        <f t="shared" si="58"/>
        <v>14977.941176470587</v>
      </c>
      <c r="Q311" s="42">
        <v>6111000</v>
      </c>
      <c r="R311" s="48">
        <f t="shared" si="51"/>
        <v>0.78615100524648651</v>
      </c>
      <c r="S311" s="49"/>
      <c r="U311" s="112"/>
    </row>
    <row r="312" spans="1:21" x14ac:dyDescent="0.3">
      <c r="A312" s="40" t="str">
        <f>VLOOKUP(B312,Grupos!$A$2:$B$619,2,FALSE)</f>
        <v>BREAKERS</v>
      </c>
      <c r="B312" s="41" t="s">
        <v>518</v>
      </c>
      <c r="C312" s="41" t="s">
        <v>519</v>
      </c>
      <c r="D312" s="42">
        <v>936</v>
      </c>
      <c r="E312" s="43">
        <v>12071.710467310158</v>
      </c>
      <c r="F312" s="43"/>
      <c r="G312" s="126">
        <f t="shared" si="44"/>
        <v>12071.710467310158</v>
      </c>
      <c r="H312" s="127">
        <f t="shared" si="52"/>
        <v>11299120.997402309</v>
      </c>
      <c r="I312" s="128">
        <f t="shared" si="53"/>
        <v>0</v>
      </c>
      <c r="J312" s="128">
        <f t="shared" si="54"/>
        <v>11299120.997402309</v>
      </c>
      <c r="K312" s="44"/>
      <c r="L312" s="45">
        <f t="shared" si="55"/>
        <v>0</v>
      </c>
      <c r="M312" s="45">
        <f t="shared" si="47"/>
        <v>0</v>
      </c>
      <c r="N312" s="45">
        <f t="shared" si="56"/>
        <v>12071.710467310158</v>
      </c>
      <c r="O312" s="46">
        <f t="shared" si="57"/>
        <v>11299120.997402309</v>
      </c>
      <c r="P312" s="47">
        <f t="shared" si="58"/>
        <v>14543.589743589744</v>
      </c>
      <c r="Q312" s="42">
        <v>13612800</v>
      </c>
      <c r="R312" s="48">
        <f t="shared" si="51"/>
        <v>0.8300365095646971</v>
      </c>
      <c r="S312" s="49"/>
      <c r="U312" s="112"/>
    </row>
    <row r="313" spans="1:21" x14ac:dyDescent="0.3">
      <c r="A313" s="40" t="str">
        <f>VLOOKUP(B313,Grupos!$A$2:$B$619,2,FALSE)</f>
        <v>BREAKERS</v>
      </c>
      <c r="B313" s="41" t="s">
        <v>520</v>
      </c>
      <c r="C313" s="41" t="s">
        <v>521</v>
      </c>
      <c r="D313" s="42">
        <v>246</v>
      </c>
      <c r="E313" s="43">
        <v>11981.988311688312</v>
      </c>
      <c r="F313" s="43"/>
      <c r="G313" s="126">
        <f t="shared" si="44"/>
        <v>11981.988311688312</v>
      </c>
      <c r="H313" s="127">
        <f t="shared" si="52"/>
        <v>2947569.1246753247</v>
      </c>
      <c r="I313" s="128">
        <f t="shared" si="53"/>
        <v>0</v>
      </c>
      <c r="J313" s="128">
        <f t="shared" si="54"/>
        <v>2947569.1246753247</v>
      </c>
      <c r="K313" s="44"/>
      <c r="L313" s="45">
        <f t="shared" si="55"/>
        <v>0</v>
      </c>
      <c r="M313" s="45">
        <f t="shared" si="47"/>
        <v>0</v>
      </c>
      <c r="N313" s="45">
        <f t="shared" si="56"/>
        <v>11981.988311688312</v>
      </c>
      <c r="O313" s="46">
        <f t="shared" si="57"/>
        <v>2947569.1246753247</v>
      </c>
      <c r="P313" s="47">
        <f t="shared" si="58"/>
        <v>14743.90243902439</v>
      </c>
      <c r="Q313" s="42">
        <v>3627000</v>
      </c>
      <c r="R313" s="48">
        <f t="shared" si="51"/>
        <v>0.81267414520962911</v>
      </c>
      <c r="S313" s="49"/>
      <c r="U313" s="112"/>
    </row>
    <row r="314" spans="1:21" x14ac:dyDescent="0.3">
      <c r="A314" s="40" t="str">
        <f>VLOOKUP(B314,Grupos!$A$2:$B$619,2,FALSE)</f>
        <v>BREAKERS</v>
      </c>
      <c r="B314" s="41" t="s">
        <v>522</v>
      </c>
      <c r="C314" s="41" t="s">
        <v>523</v>
      </c>
      <c r="D314" s="42">
        <v>48</v>
      </c>
      <c r="E314" s="43">
        <v>11082.734978795432</v>
      </c>
      <c r="F314" s="43"/>
      <c r="G314" s="126">
        <f t="shared" si="44"/>
        <v>11082.734978795432</v>
      </c>
      <c r="H314" s="127">
        <f t="shared" si="52"/>
        <v>531971.27898218075</v>
      </c>
      <c r="I314" s="128">
        <f t="shared" si="53"/>
        <v>0</v>
      </c>
      <c r="J314" s="128">
        <f t="shared" si="54"/>
        <v>531971.27898218075</v>
      </c>
      <c r="K314" s="44"/>
      <c r="L314" s="45">
        <f t="shared" si="55"/>
        <v>0</v>
      </c>
      <c r="M314" s="45">
        <f t="shared" si="47"/>
        <v>0</v>
      </c>
      <c r="N314" s="45">
        <f t="shared" si="56"/>
        <v>11082.734978795432</v>
      </c>
      <c r="O314" s="46">
        <f t="shared" si="57"/>
        <v>531971.27898218075</v>
      </c>
      <c r="P314" s="47">
        <f t="shared" si="58"/>
        <v>14900</v>
      </c>
      <c r="Q314" s="42">
        <v>715200</v>
      </c>
      <c r="R314" s="48">
        <f t="shared" si="51"/>
        <v>0.74380771669767998</v>
      </c>
      <c r="S314" s="49"/>
      <c r="U314" s="112"/>
    </row>
    <row r="315" spans="1:21" x14ac:dyDescent="0.3">
      <c r="A315" s="40" t="str">
        <f>VLOOKUP(B315,Grupos!$A$2:$B$619,2,FALSE)</f>
        <v>BREAKERS</v>
      </c>
      <c r="B315" s="41" t="s">
        <v>524</v>
      </c>
      <c r="C315" s="41" t="s">
        <v>525</v>
      </c>
      <c r="D315" s="42">
        <v>6</v>
      </c>
      <c r="E315" s="43">
        <v>12107.165217391304</v>
      </c>
      <c r="F315" s="43"/>
      <c r="G315" s="126">
        <f t="shared" si="44"/>
        <v>12107.165217391304</v>
      </c>
      <c r="H315" s="127">
        <f t="shared" si="52"/>
        <v>72642.99130434783</v>
      </c>
      <c r="I315" s="128">
        <f t="shared" si="53"/>
        <v>0</v>
      </c>
      <c r="J315" s="128">
        <f t="shared" si="54"/>
        <v>72642.99130434783</v>
      </c>
      <c r="K315" s="44"/>
      <c r="L315" s="45">
        <f t="shared" si="55"/>
        <v>0</v>
      </c>
      <c r="M315" s="45">
        <f t="shared" si="47"/>
        <v>0</v>
      </c>
      <c r="N315" s="45">
        <f t="shared" si="56"/>
        <v>12107.165217391304</v>
      </c>
      <c r="O315" s="46">
        <f t="shared" si="57"/>
        <v>72642.99130434783</v>
      </c>
      <c r="P315" s="47">
        <f t="shared" si="58"/>
        <v>15700</v>
      </c>
      <c r="Q315" s="42">
        <v>94200</v>
      </c>
      <c r="R315" s="48">
        <f t="shared" si="51"/>
        <v>0.77115702021600674</v>
      </c>
      <c r="S315" s="49"/>
      <c r="U315" s="112"/>
    </row>
    <row r="316" spans="1:21" x14ac:dyDescent="0.3">
      <c r="A316" s="40" t="str">
        <f>VLOOKUP(B316,Grupos!$A$2:$B$619,2,FALSE)</f>
        <v>BREAKERS</v>
      </c>
      <c r="B316" s="41" t="s">
        <v>526</v>
      </c>
      <c r="C316" s="41" t="s">
        <v>527</v>
      </c>
      <c r="D316" s="42">
        <v>48</v>
      </c>
      <c r="E316" s="43">
        <v>11082.734978795432</v>
      </c>
      <c r="F316" s="43"/>
      <c r="G316" s="126">
        <f t="shared" si="44"/>
        <v>11082.734978795432</v>
      </c>
      <c r="H316" s="127">
        <f t="shared" si="52"/>
        <v>531971.27898218075</v>
      </c>
      <c r="I316" s="128">
        <f t="shared" si="53"/>
        <v>0</v>
      </c>
      <c r="J316" s="128">
        <f t="shared" si="54"/>
        <v>531971.27898218075</v>
      </c>
      <c r="K316" s="44"/>
      <c r="L316" s="45">
        <f t="shared" si="55"/>
        <v>0</v>
      </c>
      <c r="M316" s="45">
        <f t="shared" si="47"/>
        <v>0</v>
      </c>
      <c r="N316" s="45">
        <f t="shared" si="56"/>
        <v>11082.734978795432</v>
      </c>
      <c r="O316" s="46">
        <f t="shared" si="57"/>
        <v>531971.27898218075</v>
      </c>
      <c r="P316" s="47">
        <f t="shared" si="58"/>
        <v>14400</v>
      </c>
      <c r="Q316" s="42">
        <v>691200</v>
      </c>
      <c r="R316" s="48">
        <f t="shared" si="51"/>
        <v>0.76963437352746056</v>
      </c>
      <c r="S316" s="49"/>
      <c r="U316" s="112"/>
    </row>
    <row r="317" spans="1:21" x14ac:dyDescent="0.3">
      <c r="A317" s="40" t="str">
        <f>VLOOKUP(B317,Grupos!$A$2:$B$619,2,FALSE)</f>
        <v>BREAKERS</v>
      </c>
      <c r="B317" s="41" t="s">
        <v>528</v>
      </c>
      <c r="C317" s="41" t="s">
        <v>529</v>
      </c>
      <c r="D317" s="42">
        <v>20</v>
      </c>
      <c r="E317" s="43">
        <v>17348.938399999999</v>
      </c>
      <c r="F317" s="43"/>
      <c r="G317" s="126">
        <f t="shared" si="44"/>
        <v>17348.938399999999</v>
      </c>
      <c r="H317" s="127">
        <f t="shared" si="52"/>
        <v>346978.76799999998</v>
      </c>
      <c r="I317" s="128">
        <f t="shared" si="53"/>
        <v>0</v>
      </c>
      <c r="J317" s="128">
        <f t="shared" si="54"/>
        <v>346978.76799999998</v>
      </c>
      <c r="K317" s="44"/>
      <c r="L317" s="45">
        <f t="shared" si="55"/>
        <v>0</v>
      </c>
      <c r="M317" s="45">
        <f t="shared" si="47"/>
        <v>0</v>
      </c>
      <c r="N317" s="45">
        <f t="shared" si="56"/>
        <v>17348.938399999999</v>
      </c>
      <c r="O317" s="46">
        <f t="shared" si="57"/>
        <v>346978.76799999998</v>
      </c>
      <c r="P317" s="47">
        <f t="shared" si="58"/>
        <v>24420</v>
      </c>
      <c r="Q317" s="42">
        <v>488400</v>
      </c>
      <c r="R317" s="48">
        <f t="shared" si="51"/>
        <v>0.71043973791973791</v>
      </c>
      <c r="S317" s="49"/>
      <c r="U317" s="112"/>
    </row>
    <row r="318" spans="1:21" x14ac:dyDescent="0.3">
      <c r="A318" s="40" t="str">
        <f>VLOOKUP(B318,Grupos!$A$2:$B$619,2,FALSE)</f>
        <v>BREAKERS</v>
      </c>
      <c r="B318" s="41" t="s">
        <v>530</v>
      </c>
      <c r="C318" s="41" t="s">
        <v>531</v>
      </c>
      <c r="D318" s="42">
        <v>336</v>
      </c>
      <c r="E318" s="43">
        <v>15638.970470077995</v>
      </c>
      <c r="F318" s="43"/>
      <c r="G318" s="126">
        <f t="shared" si="44"/>
        <v>15638.970470077995</v>
      </c>
      <c r="H318" s="127">
        <f t="shared" si="52"/>
        <v>5254694.0779462066</v>
      </c>
      <c r="I318" s="128">
        <f t="shared" si="53"/>
        <v>0</v>
      </c>
      <c r="J318" s="128">
        <f t="shared" si="54"/>
        <v>5254694.0779462066</v>
      </c>
      <c r="K318" s="44"/>
      <c r="L318" s="45">
        <f t="shared" si="55"/>
        <v>0</v>
      </c>
      <c r="M318" s="45">
        <f t="shared" si="47"/>
        <v>0</v>
      </c>
      <c r="N318" s="45">
        <f t="shared" si="56"/>
        <v>15638.970470077995</v>
      </c>
      <c r="O318" s="46">
        <f t="shared" si="57"/>
        <v>5254694.0779462066</v>
      </c>
      <c r="P318" s="47">
        <f t="shared" si="58"/>
        <v>23808.333333333332</v>
      </c>
      <c r="Q318" s="42">
        <v>7999600</v>
      </c>
      <c r="R318" s="48">
        <f t="shared" si="51"/>
        <v>0.65686960322343702</v>
      </c>
      <c r="S318" s="49"/>
      <c r="U318" s="112"/>
    </row>
    <row r="319" spans="1:21" x14ac:dyDescent="0.3">
      <c r="A319" s="40" t="str">
        <f>VLOOKUP(B319,Grupos!$A$2:$B$619,2,FALSE)</f>
        <v>BREAKERS</v>
      </c>
      <c r="B319" s="41" t="s">
        <v>532</v>
      </c>
      <c r="C319" s="41" t="s">
        <v>533</v>
      </c>
      <c r="D319" s="42">
        <v>92</v>
      </c>
      <c r="E319" s="43">
        <v>15638.970470077995</v>
      </c>
      <c r="F319" s="43"/>
      <c r="G319" s="126">
        <f t="shared" si="44"/>
        <v>15638.970470077995</v>
      </c>
      <c r="H319" s="127">
        <f t="shared" si="52"/>
        <v>1438785.2832471756</v>
      </c>
      <c r="I319" s="128">
        <f t="shared" si="53"/>
        <v>0</v>
      </c>
      <c r="J319" s="128">
        <f t="shared" si="54"/>
        <v>1438785.2832471756</v>
      </c>
      <c r="K319" s="44"/>
      <c r="L319" s="45">
        <f t="shared" si="55"/>
        <v>0</v>
      </c>
      <c r="M319" s="45">
        <f t="shared" si="47"/>
        <v>0</v>
      </c>
      <c r="N319" s="45">
        <f t="shared" si="56"/>
        <v>15638.970470077995</v>
      </c>
      <c r="O319" s="46">
        <f t="shared" si="57"/>
        <v>1438785.2832471756</v>
      </c>
      <c r="P319" s="47">
        <f t="shared" si="58"/>
        <v>24645.652173913044</v>
      </c>
      <c r="Q319" s="42">
        <v>2267400</v>
      </c>
      <c r="R319" s="48">
        <f t="shared" si="51"/>
        <v>0.63455291666542102</v>
      </c>
      <c r="S319" s="49"/>
      <c r="U319" s="112"/>
    </row>
    <row r="320" spans="1:21" x14ac:dyDescent="0.3">
      <c r="A320" s="40" t="str">
        <f>VLOOKUP(B320,Grupos!$A$2:$B$619,2,FALSE)</f>
        <v>BREAKERS</v>
      </c>
      <c r="B320" s="41" t="s">
        <v>534</v>
      </c>
      <c r="C320" s="41" t="s">
        <v>535</v>
      </c>
      <c r="D320" s="42">
        <v>116</v>
      </c>
      <c r="E320" s="43">
        <v>15638.970470077995</v>
      </c>
      <c r="F320" s="43"/>
      <c r="G320" s="126">
        <f t="shared" si="44"/>
        <v>15638.970470077995</v>
      </c>
      <c r="H320" s="127">
        <f t="shared" si="52"/>
        <v>1814120.5745290474</v>
      </c>
      <c r="I320" s="128">
        <f t="shared" si="53"/>
        <v>0</v>
      </c>
      <c r="J320" s="128">
        <f t="shared" si="54"/>
        <v>1814120.5745290474</v>
      </c>
      <c r="K320" s="44"/>
      <c r="L320" s="45">
        <f t="shared" si="55"/>
        <v>0</v>
      </c>
      <c r="M320" s="45">
        <f t="shared" si="47"/>
        <v>0</v>
      </c>
      <c r="N320" s="45">
        <f t="shared" si="56"/>
        <v>15638.970470077995</v>
      </c>
      <c r="O320" s="46">
        <f t="shared" si="57"/>
        <v>1814120.5745290474</v>
      </c>
      <c r="P320" s="47">
        <f t="shared" si="58"/>
        <v>24013.793103448275</v>
      </c>
      <c r="Q320" s="42">
        <v>2785600</v>
      </c>
      <c r="R320" s="48">
        <f t="shared" si="51"/>
        <v>0.65124948827148454</v>
      </c>
      <c r="S320" s="49"/>
      <c r="U320" s="112"/>
    </row>
    <row r="321" spans="1:21" x14ac:dyDescent="0.3">
      <c r="A321" s="40" t="str">
        <f>VLOOKUP(B321,Grupos!$A$2:$B$619,2,FALSE)</f>
        <v>BREAKERS</v>
      </c>
      <c r="B321" s="41" t="s">
        <v>536</v>
      </c>
      <c r="C321" s="41" t="s">
        <v>537</v>
      </c>
      <c r="D321" s="42">
        <v>160</v>
      </c>
      <c r="E321" s="43">
        <v>15638.970470077995</v>
      </c>
      <c r="F321" s="43"/>
      <c r="G321" s="126">
        <f t="shared" si="44"/>
        <v>15638.970470077995</v>
      </c>
      <c r="H321" s="127">
        <f t="shared" si="52"/>
        <v>2502235.2752124793</v>
      </c>
      <c r="I321" s="128">
        <f t="shared" si="53"/>
        <v>0</v>
      </c>
      <c r="J321" s="128">
        <f t="shared" si="54"/>
        <v>2502235.2752124793</v>
      </c>
      <c r="K321" s="44"/>
      <c r="L321" s="45">
        <f t="shared" si="55"/>
        <v>0</v>
      </c>
      <c r="M321" s="45">
        <f t="shared" si="47"/>
        <v>0</v>
      </c>
      <c r="N321" s="45">
        <f t="shared" si="56"/>
        <v>15638.970470077995</v>
      </c>
      <c r="O321" s="46">
        <f t="shared" si="57"/>
        <v>2502235.2752124793</v>
      </c>
      <c r="P321" s="47">
        <f t="shared" si="58"/>
        <v>24066.25</v>
      </c>
      <c r="Q321" s="42">
        <v>3850600</v>
      </c>
      <c r="R321" s="48">
        <f t="shared" si="51"/>
        <v>0.64982996811210703</v>
      </c>
      <c r="S321" s="49"/>
      <c r="U321" s="112"/>
    </row>
    <row r="322" spans="1:21" x14ac:dyDescent="0.3">
      <c r="A322" s="40" t="str">
        <f>VLOOKUP(B322,Grupos!$A$2:$B$619,2,FALSE)</f>
        <v>BREAKERS</v>
      </c>
      <c r="B322" s="41" t="s">
        <v>538</v>
      </c>
      <c r="C322" s="41" t="s">
        <v>539</v>
      </c>
      <c r="D322" s="42">
        <v>96</v>
      </c>
      <c r="E322" s="43">
        <v>16739.135670410382</v>
      </c>
      <c r="F322" s="43"/>
      <c r="G322" s="126">
        <f t="shared" si="44"/>
        <v>16739.135670410382</v>
      </c>
      <c r="H322" s="127">
        <f t="shared" si="52"/>
        <v>1606957.0243593967</v>
      </c>
      <c r="I322" s="128">
        <f t="shared" si="53"/>
        <v>0</v>
      </c>
      <c r="J322" s="128">
        <f t="shared" si="54"/>
        <v>1606957.0243593967</v>
      </c>
      <c r="K322" s="44"/>
      <c r="L322" s="45">
        <f t="shared" si="55"/>
        <v>0</v>
      </c>
      <c r="M322" s="45">
        <f t="shared" si="47"/>
        <v>0</v>
      </c>
      <c r="N322" s="45">
        <f t="shared" si="56"/>
        <v>16739.135670410382</v>
      </c>
      <c r="O322" s="46">
        <f t="shared" si="57"/>
        <v>1606957.0243593967</v>
      </c>
      <c r="P322" s="47">
        <f t="shared" si="58"/>
        <v>24245.833333333332</v>
      </c>
      <c r="Q322" s="42">
        <v>2327600</v>
      </c>
      <c r="R322" s="48">
        <f t="shared" si="51"/>
        <v>0.6903922599928668</v>
      </c>
      <c r="S322" s="49"/>
      <c r="U322" s="112"/>
    </row>
    <row r="323" spans="1:21" x14ac:dyDescent="0.3">
      <c r="A323" s="40" t="str">
        <f>VLOOKUP(B323,Grupos!$A$2:$B$619,2,FALSE)</f>
        <v>BREAKERS</v>
      </c>
      <c r="B323" s="41" t="s">
        <v>540</v>
      </c>
      <c r="C323" s="41" t="s">
        <v>541</v>
      </c>
      <c r="D323" s="42">
        <v>96</v>
      </c>
      <c r="E323" s="43">
        <v>16739.135670410382</v>
      </c>
      <c r="F323" s="43"/>
      <c r="G323" s="126">
        <f t="shared" si="44"/>
        <v>16739.135670410382</v>
      </c>
      <c r="H323" s="127">
        <f t="shared" si="52"/>
        <v>1606957.0243593967</v>
      </c>
      <c r="I323" s="128">
        <f t="shared" si="53"/>
        <v>0</v>
      </c>
      <c r="J323" s="128">
        <f t="shared" si="54"/>
        <v>1606957.0243593967</v>
      </c>
      <c r="K323" s="44"/>
      <c r="L323" s="45">
        <f t="shared" si="55"/>
        <v>0</v>
      </c>
      <c r="M323" s="45">
        <f t="shared" si="47"/>
        <v>0</v>
      </c>
      <c r="N323" s="45">
        <f t="shared" si="56"/>
        <v>16739.135670410382</v>
      </c>
      <c r="O323" s="46">
        <f t="shared" si="57"/>
        <v>1606957.0243593967</v>
      </c>
      <c r="P323" s="47">
        <f t="shared" si="58"/>
        <v>24289.583333333332</v>
      </c>
      <c r="Q323" s="42">
        <v>2331800</v>
      </c>
      <c r="R323" s="48">
        <f t="shared" si="51"/>
        <v>0.68914873675246446</v>
      </c>
      <c r="S323" s="49"/>
      <c r="U323" s="112"/>
    </row>
    <row r="324" spans="1:21" x14ac:dyDescent="0.3">
      <c r="A324" s="40" t="str">
        <f>VLOOKUP(B324,Grupos!$A$2:$B$619,2,FALSE)</f>
        <v>BREAKERS</v>
      </c>
      <c r="B324" s="41" t="s">
        <v>542</v>
      </c>
      <c r="C324" s="41" t="s">
        <v>543</v>
      </c>
      <c r="D324" s="42">
        <v>100</v>
      </c>
      <c r="E324" s="43">
        <v>16739.135670410378</v>
      </c>
      <c r="F324" s="43"/>
      <c r="G324" s="126">
        <f t="shared" si="44"/>
        <v>16739.135670410378</v>
      </c>
      <c r="H324" s="127">
        <f t="shared" si="52"/>
        <v>1673913.5670410378</v>
      </c>
      <c r="I324" s="128">
        <f t="shared" si="53"/>
        <v>0</v>
      </c>
      <c r="J324" s="128">
        <f t="shared" si="54"/>
        <v>1673913.5670410378</v>
      </c>
      <c r="K324" s="44"/>
      <c r="L324" s="45">
        <f t="shared" si="55"/>
        <v>0</v>
      </c>
      <c r="M324" s="45">
        <f t="shared" si="47"/>
        <v>0</v>
      </c>
      <c r="N324" s="45">
        <f t="shared" si="56"/>
        <v>16739.135670410378</v>
      </c>
      <c r="O324" s="46">
        <f t="shared" si="57"/>
        <v>1673913.5670410378</v>
      </c>
      <c r="P324" s="47">
        <f t="shared" si="58"/>
        <v>23880</v>
      </c>
      <c r="Q324" s="42">
        <v>2388000</v>
      </c>
      <c r="R324" s="48">
        <f t="shared" si="51"/>
        <v>0.70096883041919511</v>
      </c>
      <c r="S324" s="49"/>
      <c r="U324" s="112"/>
    </row>
    <row r="325" spans="1:21" x14ac:dyDescent="0.3">
      <c r="A325" s="40" t="str">
        <f>VLOOKUP(B325,Grupos!$A$2:$B$619,2,FALSE)</f>
        <v>BREAKERS</v>
      </c>
      <c r="B325" s="41" t="s">
        <v>544</v>
      </c>
      <c r="C325" s="41" t="s">
        <v>545</v>
      </c>
      <c r="D325" s="42">
        <v>16</v>
      </c>
      <c r="E325" s="43">
        <v>17765.919433427869</v>
      </c>
      <c r="F325" s="43"/>
      <c r="G325" s="126">
        <f t="shared" si="44"/>
        <v>17765.919433427869</v>
      </c>
      <c r="H325" s="127">
        <f t="shared" si="52"/>
        <v>284254.71093484591</v>
      </c>
      <c r="I325" s="128">
        <f t="shared" si="53"/>
        <v>0</v>
      </c>
      <c r="J325" s="128">
        <f t="shared" si="54"/>
        <v>284254.71093484591</v>
      </c>
      <c r="K325" s="44"/>
      <c r="L325" s="45">
        <f t="shared" si="55"/>
        <v>0</v>
      </c>
      <c r="M325" s="45">
        <f t="shared" si="47"/>
        <v>0</v>
      </c>
      <c r="N325" s="45">
        <f t="shared" si="56"/>
        <v>17765.919433427869</v>
      </c>
      <c r="O325" s="46">
        <f t="shared" si="57"/>
        <v>284254.71093484591</v>
      </c>
      <c r="P325" s="47">
        <f t="shared" si="58"/>
        <v>23250</v>
      </c>
      <c r="Q325" s="42">
        <v>372000</v>
      </c>
      <c r="R325" s="48">
        <f t="shared" si="51"/>
        <v>0.76412556702915568</v>
      </c>
      <c r="S325" s="49"/>
      <c r="U325" s="112"/>
    </row>
    <row r="326" spans="1:21" x14ac:dyDescent="0.3">
      <c r="A326" s="40" t="str">
        <f>VLOOKUP(B326,Grupos!$A$2:$B$619,2,FALSE)</f>
        <v>BREAKERS</v>
      </c>
      <c r="B326" s="41" t="s">
        <v>547</v>
      </c>
      <c r="C326" s="41" t="s">
        <v>548</v>
      </c>
      <c r="D326" s="42">
        <v>12</v>
      </c>
      <c r="E326" s="43">
        <v>16624.102468193145</v>
      </c>
      <c r="F326" s="43"/>
      <c r="G326" s="126">
        <f t="shared" si="44"/>
        <v>16624.102468193145</v>
      </c>
      <c r="H326" s="127">
        <f t="shared" ref="H326:H344" si="59">E326*D326</f>
        <v>199489.22961831774</v>
      </c>
      <c r="I326" s="128">
        <f t="shared" ref="I326:I344" si="60">F326*D326</f>
        <v>0</v>
      </c>
      <c r="J326" s="128">
        <f t="shared" ref="J326:J344" si="61">G326*D326</f>
        <v>199489.22961831774</v>
      </c>
      <c r="K326" s="44"/>
      <c r="L326" s="45">
        <f t="shared" ref="L326:L344" si="62">$K$364*K326/D326</f>
        <v>0</v>
      </c>
      <c r="M326" s="45">
        <f t="shared" si="47"/>
        <v>0</v>
      </c>
      <c r="N326" s="45">
        <f t="shared" ref="N326:N344" si="63">G326+L326+M326</f>
        <v>16624.102468193145</v>
      </c>
      <c r="O326" s="46">
        <f t="shared" ref="O326:O344" si="64">N326*D326</f>
        <v>199489.22961831774</v>
      </c>
      <c r="P326" s="47">
        <f t="shared" ref="P326:P344" si="65">Q326/D326</f>
        <v>24783.333333333332</v>
      </c>
      <c r="Q326" s="42">
        <v>297400</v>
      </c>
      <c r="R326" s="48">
        <f t="shared" si="51"/>
        <v>0.6707775037603152</v>
      </c>
      <c r="S326" s="49"/>
      <c r="U326" s="112"/>
    </row>
    <row r="327" spans="1:21" x14ac:dyDescent="0.3">
      <c r="A327" s="40" t="str">
        <f>VLOOKUP(B327,Grupos!$A$2:$B$619,2,FALSE)</f>
        <v>BREAKERS</v>
      </c>
      <c r="B327" s="41" t="s">
        <v>779</v>
      </c>
      <c r="C327" s="41" t="s">
        <v>780</v>
      </c>
      <c r="D327" s="42">
        <v>12</v>
      </c>
      <c r="E327" s="43">
        <v>5166.3998982748089</v>
      </c>
      <c r="F327" s="43"/>
      <c r="G327" s="126">
        <f t="shared" si="44"/>
        <v>5166.3998982748089</v>
      </c>
      <c r="H327" s="127">
        <f t="shared" si="59"/>
        <v>61996.798779297707</v>
      </c>
      <c r="I327" s="128">
        <f t="shared" si="60"/>
        <v>0</v>
      </c>
      <c r="J327" s="128">
        <f t="shared" si="61"/>
        <v>61996.798779297707</v>
      </c>
      <c r="K327" s="44"/>
      <c r="L327" s="45">
        <f t="shared" si="62"/>
        <v>0</v>
      </c>
      <c r="M327" s="45">
        <f t="shared" si="47"/>
        <v>0</v>
      </c>
      <c r="N327" s="45">
        <f t="shared" si="63"/>
        <v>5166.3998982748089</v>
      </c>
      <c r="O327" s="46">
        <f t="shared" si="64"/>
        <v>61996.798779297707</v>
      </c>
      <c r="P327" s="47">
        <f t="shared" si="65"/>
        <v>6600</v>
      </c>
      <c r="Q327" s="42">
        <v>79200</v>
      </c>
      <c r="R327" s="48">
        <f t="shared" si="51"/>
        <v>0.78278786337497108</v>
      </c>
      <c r="S327" s="49"/>
      <c r="U327" s="112"/>
    </row>
    <row r="328" spans="1:21" x14ac:dyDescent="0.3">
      <c r="A328" s="40" t="str">
        <f>VLOOKUP(B328,Grupos!$A$2:$B$619,2,FALSE)</f>
        <v>BREAKERS</v>
      </c>
      <c r="B328" s="41" t="s">
        <v>781</v>
      </c>
      <c r="C328" s="41" t="s">
        <v>782</v>
      </c>
      <c r="D328" s="42">
        <v>684</v>
      </c>
      <c r="E328" s="43">
        <v>5166.3998982748089</v>
      </c>
      <c r="F328" s="43"/>
      <c r="G328" s="126">
        <f t="shared" si="44"/>
        <v>5166.3998982748089</v>
      </c>
      <c r="H328" s="127">
        <f t="shared" si="59"/>
        <v>3533817.5304199695</v>
      </c>
      <c r="I328" s="128">
        <f t="shared" si="60"/>
        <v>0</v>
      </c>
      <c r="J328" s="128">
        <f t="shared" si="61"/>
        <v>3533817.5304199695</v>
      </c>
      <c r="K328" s="44"/>
      <c r="L328" s="45">
        <f t="shared" si="62"/>
        <v>0</v>
      </c>
      <c r="M328" s="45">
        <f t="shared" si="47"/>
        <v>0</v>
      </c>
      <c r="N328" s="45">
        <f t="shared" si="63"/>
        <v>5166.3998982748089</v>
      </c>
      <c r="O328" s="46">
        <f t="shared" si="64"/>
        <v>3533817.5304199695</v>
      </c>
      <c r="P328" s="47">
        <f t="shared" si="65"/>
        <v>6648.2456140350878</v>
      </c>
      <c r="Q328" s="42">
        <v>4547400</v>
      </c>
      <c r="R328" s="48">
        <f t="shared" si="51"/>
        <v>0.77710725478734433</v>
      </c>
      <c r="S328" s="49"/>
      <c r="U328" s="112"/>
    </row>
    <row r="329" spans="1:21" x14ac:dyDescent="0.3">
      <c r="A329" s="40" t="str">
        <f>VLOOKUP(B329,Grupos!$A$2:$B$619,2,FALSE)</f>
        <v>BREAKERS</v>
      </c>
      <c r="B329" s="41" t="s">
        <v>783</v>
      </c>
      <c r="C329" s="41" t="s">
        <v>784</v>
      </c>
      <c r="D329" s="42">
        <v>72</v>
      </c>
      <c r="E329" s="43">
        <v>5166.3998982748089</v>
      </c>
      <c r="F329" s="43"/>
      <c r="G329" s="126">
        <f t="shared" si="44"/>
        <v>5166.3998982748089</v>
      </c>
      <c r="H329" s="127">
        <f t="shared" si="59"/>
        <v>371980.79267578624</v>
      </c>
      <c r="I329" s="128">
        <f t="shared" si="60"/>
        <v>0</v>
      </c>
      <c r="J329" s="128">
        <f t="shared" si="61"/>
        <v>371980.79267578624</v>
      </c>
      <c r="K329" s="44"/>
      <c r="L329" s="45">
        <f t="shared" si="62"/>
        <v>0</v>
      </c>
      <c r="M329" s="45">
        <f t="shared" si="47"/>
        <v>0</v>
      </c>
      <c r="N329" s="45">
        <f t="shared" si="63"/>
        <v>5166.3998982748089</v>
      </c>
      <c r="O329" s="46">
        <f t="shared" si="64"/>
        <v>371980.79267578624</v>
      </c>
      <c r="P329" s="47">
        <f t="shared" si="65"/>
        <v>6791.666666666667</v>
      </c>
      <c r="Q329" s="42">
        <v>489000</v>
      </c>
      <c r="R329" s="48">
        <f t="shared" si="51"/>
        <v>0.76069691753739521</v>
      </c>
      <c r="S329" s="49"/>
      <c r="U329" s="112"/>
    </row>
    <row r="330" spans="1:21" x14ac:dyDescent="0.3">
      <c r="A330" s="40" t="str">
        <f>VLOOKUP(B330,Grupos!$A$2:$B$619,2,FALSE)</f>
        <v>BREAKERS</v>
      </c>
      <c r="B330" s="41" t="s">
        <v>785</v>
      </c>
      <c r="C330" s="41" t="s">
        <v>786</v>
      </c>
      <c r="D330" s="42">
        <v>264</v>
      </c>
      <c r="E330" s="43">
        <v>5579.7118901367921</v>
      </c>
      <c r="F330" s="43"/>
      <c r="G330" s="126">
        <f t="shared" si="44"/>
        <v>5579.7118901367921</v>
      </c>
      <c r="H330" s="127">
        <f t="shared" si="59"/>
        <v>1473043.9389961131</v>
      </c>
      <c r="I330" s="128">
        <f t="shared" si="60"/>
        <v>0</v>
      </c>
      <c r="J330" s="128">
        <f t="shared" si="61"/>
        <v>1473043.9389961131</v>
      </c>
      <c r="K330" s="44"/>
      <c r="L330" s="45">
        <f t="shared" si="62"/>
        <v>0</v>
      </c>
      <c r="M330" s="45">
        <f t="shared" si="47"/>
        <v>0</v>
      </c>
      <c r="N330" s="45">
        <f t="shared" si="63"/>
        <v>5579.7118901367921</v>
      </c>
      <c r="O330" s="46">
        <f t="shared" si="64"/>
        <v>1473043.9389961131</v>
      </c>
      <c r="P330" s="47">
        <f t="shared" si="65"/>
        <v>6836.363636363636</v>
      </c>
      <c r="Q330" s="42">
        <v>1804800</v>
      </c>
      <c r="R330" s="48">
        <f t="shared" si="51"/>
        <v>0.81618126052532869</v>
      </c>
      <c r="S330" s="49"/>
      <c r="U330" s="112"/>
    </row>
    <row r="331" spans="1:21" x14ac:dyDescent="0.3">
      <c r="A331" s="40" t="str">
        <f>VLOOKUP(B331,Grupos!$A$2:$B$619,2,FALSE)</f>
        <v>BREAKERS</v>
      </c>
      <c r="B331" s="41" t="s">
        <v>787</v>
      </c>
      <c r="C331" s="41" t="s">
        <v>788</v>
      </c>
      <c r="D331" s="42">
        <v>36</v>
      </c>
      <c r="E331" s="43">
        <v>5579.711890136793</v>
      </c>
      <c r="F331" s="43"/>
      <c r="G331" s="126">
        <f t="shared" si="44"/>
        <v>5579.711890136793</v>
      </c>
      <c r="H331" s="127">
        <f t="shared" si="59"/>
        <v>200869.62804492455</v>
      </c>
      <c r="I331" s="128">
        <f t="shared" si="60"/>
        <v>0</v>
      </c>
      <c r="J331" s="128">
        <f t="shared" si="61"/>
        <v>200869.62804492455</v>
      </c>
      <c r="K331" s="44"/>
      <c r="L331" s="45">
        <f t="shared" si="62"/>
        <v>0</v>
      </c>
      <c r="M331" s="45">
        <f t="shared" si="47"/>
        <v>0</v>
      </c>
      <c r="N331" s="45">
        <f t="shared" si="63"/>
        <v>5579.711890136793</v>
      </c>
      <c r="O331" s="46">
        <f t="shared" si="64"/>
        <v>200869.62804492455</v>
      </c>
      <c r="P331" s="47">
        <f t="shared" si="65"/>
        <v>6833.333333333333</v>
      </c>
      <c r="Q331" s="42">
        <v>246000</v>
      </c>
      <c r="R331" s="48">
        <f t="shared" si="51"/>
        <v>0.8165432034346527</v>
      </c>
      <c r="S331" s="49"/>
      <c r="U331" s="112"/>
    </row>
    <row r="332" spans="1:21" x14ac:dyDescent="0.3">
      <c r="A332" s="40" t="str">
        <f>VLOOKUP(B332,Grupos!$A$2:$B$619,2,FALSE)</f>
        <v>BREAKERS</v>
      </c>
      <c r="B332" s="41" t="s">
        <v>998</v>
      </c>
      <c r="C332" s="41" t="s">
        <v>999</v>
      </c>
      <c r="D332" s="42">
        <v>72</v>
      </c>
      <c r="E332" s="43">
        <v>5579.7118901367921</v>
      </c>
      <c r="F332" s="43"/>
      <c r="G332" s="126">
        <f t="shared" si="44"/>
        <v>5579.7118901367921</v>
      </c>
      <c r="H332" s="127">
        <f t="shared" si="59"/>
        <v>401739.25608984905</v>
      </c>
      <c r="I332" s="128">
        <f t="shared" si="60"/>
        <v>0</v>
      </c>
      <c r="J332" s="128">
        <f t="shared" si="61"/>
        <v>401739.25608984905</v>
      </c>
      <c r="K332" s="44"/>
      <c r="L332" s="45">
        <f t="shared" si="62"/>
        <v>0</v>
      </c>
      <c r="M332" s="45">
        <f t="shared" si="47"/>
        <v>0</v>
      </c>
      <c r="N332" s="45">
        <f t="shared" si="63"/>
        <v>5579.7118901367921</v>
      </c>
      <c r="O332" s="46">
        <f t="shared" si="64"/>
        <v>401739.25608984905</v>
      </c>
      <c r="P332" s="47">
        <f t="shared" si="65"/>
        <v>6791.666666666667</v>
      </c>
      <c r="Q332" s="42">
        <v>489000</v>
      </c>
      <c r="R332" s="48">
        <f t="shared" si="51"/>
        <v>0.82155267094038664</v>
      </c>
      <c r="S332" s="49"/>
      <c r="U332" s="112"/>
    </row>
    <row r="333" spans="1:21" x14ac:dyDescent="0.3">
      <c r="A333" s="40" t="str">
        <f>VLOOKUP(B333,Grupos!$A$2:$B$619,2,FALSE)</f>
        <v>BREAKERS</v>
      </c>
      <c r="B333" s="41" t="s">
        <v>790</v>
      </c>
      <c r="C333" s="41" t="s">
        <v>791</v>
      </c>
      <c r="D333" s="42">
        <v>12</v>
      </c>
      <c r="E333" s="43">
        <v>10332.799796549618</v>
      </c>
      <c r="F333" s="43"/>
      <c r="G333" s="126">
        <f t="shared" si="44"/>
        <v>10332.799796549618</v>
      </c>
      <c r="H333" s="127">
        <f t="shared" si="59"/>
        <v>123993.59755859541</v>
      </c>
      <c r="I333" s="128">
        <f t="shared" si="60"/>
        <v>0</v>
      </c>
      <c r="J333" s="128">
        <f t="shared" si="61"/>
        <v>123993.59755859541</v>
      </c>
      <c r="K333" s="44"/>
      <c r="L333" s="45">
        <f t="shared" si="62"/>
        <v>0</v>
      </c>
      <c r="M333" s="45">
        <f t="shared" si="47"/>
        <v>0</v>
      </c>
      <c r="N333" s="45">
        <f t="shared" si="63"/>
        <v>10332.799796549618</v>
      </c>
      <c r="O333" s="46">
        <f t="shared" si="64"/>
        <v>123993.59755859541</v>
      </c>
      <c r="P333" s="47">
        <f t="shared" si="65"/>
        <v>13350</v>
      </c>
      <c r="Q333" s="42">
        <v>160200</v>
      </c>
      <c r="R333" s="48">
        <f t="shared" si="51"/>
        <v>0.77399249412356685</v>
      </c>
      <c r="S333" s="49"/>
      <c r="U333" s="112"/>
    </row>
    <row r="334" spans="1:21" x14ac:dyDescent="0.3">
      <c r="A334" s="40" t="str">
        <f>VLOOKUP(B334,Grupos!$A$2:$B$619,2,FALSE)</f>
        <v>BREAKERS</v>
      </c>
      <c r="B334" s="41" t="s">
        <v>792</v>
      </c>
      <c r="C334" s="41" t="s">
        <v>793</v>
      </c>
      <c r="D334" s="42">
        <v>168</v>
      </c>
      <c r="E334" s="43">
        <v>10332.799796549618</v>
      </c>
      <c r="F334" s="43"/>
      <c r="G334" s="126">
        <f t="shared" si="44"/>
        <v>10332.799796549618</v>
      </c>
      <c r="H334" s="127">
        <f t="shared" si="59"/>
        <v>1735910.3658203357</v>
      </c>
      <c r="I334" s="128">
        <f t="shared" si="60"/>
        <v>0</v>
      </c>
      <c r="J334" s="128">
        <f t="shared" si="61"/>
        <v>1735910.3658203357</v>
      </c>
      <c r="K334" s="44"/>
      <c r="L334" s="45">
        <f t="shared" si="62"/>
        <v>0</v>
      </c>
      <c r="M334" s="45">
        <f t="shared" si="47"/>
        <v>0</v>
      </c>
      <c r="N334" s="45">
        <f t="shared" si="63"/>
        <v>10332.799796549618</v>
      </c>
      <c r="O334" s="46">
        <f t="shared" si="64"/>
        <v>1735910.3658203357</v>
      </c>
      <c r="P334" s="47">
        <f t="shared" si="65"/>
        <v>13364.285714285714</v>
      </c>
      <c r="Q334" s="42">
        <v>2245200</v>
      </c>
      <c r="R334" s="48">
        <f t="shared" si="51"/>
        <v>0.77316513710152135</v>
      </c>
      <c r="S334" s="49"/>
      <c r="U334" s="112"/>
    </row>
    <row r="335" spans="1:21" x14ac:dyDescent="0.3">
      <c r="A335" s="40" t="str">
        <f>VLOOKUP(B335,Grupos!$A$2:$B$619,2,FALSE)</f>
        <v>BREAKERS</v>
      </c>
      <c r="B335" s="41" t="s">
        <v>794</v>
      </c>
      <c r="C335" s="41" t="s">
        <v>795</v>
      </c>
      <c r="D335" s="42">
        <v>90</v>
      </c>
      <c r="E335" s="43">
        <v>10332.799796549618</v>
      </c>
      <c r="F335" s="43"/>
      <c r="G335" s="126">
        <f t="shared" si="44"/>
        <v>10332.799796549618</v>
      </c>
      <c r="H335" s="127">
        <f t="shared" si="59"/>
        <v>929951.98168946558</v>
      </c>
      <c r="I335" s="128">
        <f t="shared" si="60"/>
        <v>0</v>
      </c>
      <c r="J335" s="128">
        <f t="shared" si="61"/>
        <v>929951.98168946558</v>
      </c>
      <c r="K335" s="44"/>
      <c r="L335" s="45">
        <f t="shared" si="62"/>
        <v>0</v>
      </c>
      <c r="M335" s="45">
        <f t="shared" si="47"/>
        <v>0</v>
      </c>
      <c r="N335" s="45">
        <f t="shared" si="63"/>
        <v>10332.799796549618</v>
      </c>
      <c r="O335" s="46">
        <f t="shared" si="64"/>
        <v>929951.98168946558</v>
      </c>
      <c r="P335" s="47">
        <f t="shared" si="65"/>
        <v>13323.333333333334</v>
      </c>
      <c r="Q335" s="42">
        <v>1199100</v>
      </c>
      <c r="R335" s="48">
        <f t="shared" si="51"/>
        <v>0.77554164097195033</v>
      </c>
      <c r="S335" s="49"/>
      <c r="U335" s="112"/>
    </row>
    <row r="336" spans="1:21" x14ac:dyDescent="0.3">
      <c r="A336" s="40" t="str">
        <f>VLOOKUP(B336,Grupos!$A$2:$B$619,2,FALSE)</f>
        <v>BREAKERS</v>
      </c>
      <c r="B336" s="41" t="s">
        <v>796</v>
      </c>
      <c r="C336" s="41" t="s">
        <v>797</v>
      </c>
      <c r="D336" s="42">
        <v>84</v>
      </c>
      <c r="E336" s="43">
        <v>11159.423780273586</v>
      </c>
      <c r="F336" s="43"/>
      <c r="G336" s="126">
        <f t="shared" si="44"/>
        <v>11159.423780273586</v>
      </c>
      <c r="H336" s="127">
        <f t="shared" si="59"/>
        <v>937391.59754298127</v>
      </c>
      <c r="I336" s="128">
        <f t="shared" si="60"/>
        <v>0</v>
      </c>
      <c r="J336" s="128">
        <f t="shared" si="61"/>
        <v>937391.59754298127</v>
      </c>
      <c r="K336" s="44"/>
      <c r="L336" s="45">
        <f t="shared" si="62"/>
        <v>0</v>
      </c>
      <c r="M336" s="45">
        <f t="shared" si="47"/>
        <v>0</v>
      </c>
      <c r="N336" s="45">
        <f t="shared" si="63"/>
        <v>11159.423780273586</v>
      </c>
      <c r="O336" s="46">
        <f t="shared" si="64"/>
        <v>937391.59754298127</v>
      </c>
      <c r="P336" s="47">
        <f t="shared" si="65"/>
        <v>13235.714285714286</v>
      </c>
      <c r="Q336" s="42">
        <v>1111800</v>
      </c>
      <c r="R336" s="48">
        <f t="shared" si="51"/>
        <v>0.84312969737630983</v>
      </c>
      <c r="S336" s="49"/>
      <c r="U336" s="112"/>
    </row>
    <row r="337" spans="1:21" x14ac:dyDescent="0.3">
      <c r="A337" s="40" t="str">
        <f>VLOOKUP(B337,Grupos!$A$2:$B$619,2,FALSE)</f>
        <v>BREAKERS</v>
      </c>
      <c r="B337" s="41" t="s">
        <v>798</v>
      </c>
      <c r="C337" s="41" t="s">
        <v>799</v>
      </c>
      <c r="D337" s="42">
        <v>126</v>
      </c>
      <c r="E337" s="43">
        <v>11159.423780273586</v>
      </c>
      <c r="F337" s="43"/>
      <c r="G337" s="126">
        <f t="shared" si="44"/>
        <v>11159.423780273586</v>
      </c>
      <c r="H337" s="127">
        <f t="shared" si="59"/>
        <v>1406087.396314472</v>
      </c>
      <c r="I337" s="128">
        <f t="shared" si="60"/>
        <v>0</v>
      </c>
      <c r="J337" s="128">
        <f t="shared" si="61"/>
        <v>1406087.396314472</v>
      </c>
      <c r="K337" s="44"/>
      <c r="L337" s="45">
        <f t="shared" si="62"/>
        <v>0</v>
      </c>
      <c r="M337" s="45">
        <f t="shared" si="47"/>
        <v>0</v>
      </c>
      <c r="N337" s="45">
        <f t="shared" si="63"/>
        <v>11159.423780273586</v>
      </c>
      <c r="O337" s="46">
        <f t="shared" si="64"/>
        <v>1406087.396314472</v>
      </c>
      <c r="P337" s="47">
        <f t="shared" si="65"/>
        <v>13180</v>
      </c>
      <c r="Q337" s="42">
        <v>1660680</v>
      </c>
      <c r="R337" s="48">
        <f t="shared" si="51"/>
        <v>0.84669376178100053</v>
      </c>
      <c r="S337" s="49"/>
      <c r="U337" s="112"/>
    </row>
    <row r="338" spans="1:21" x14ac:dyDescent="0.3">
      <c r="A338" s="40" t="str">
        <f>VLOOKUP(B338,Grupos!$A$2:$B$619,2,FALSE)</f>
        <v>BREAKERS</v>
      </c>
      <c r="B338" s="41" t="s">
        <v>800</v>
      </c>
      <c r="C338" s="41" t="s">
        <v>801</v>
      </c>
      <c r="D338" s="42">
        <v>90</v>
      </c>
      <c r="E338" s="43">
        <v>11159.423780273586</v>
      </c>
      <c r="F338" s="43"/>
      <c r="G338" s="126">
        <f t="shared" si="44"/>
        <v>11159.423780273586</v>
      </c>
      <c r="H338" s="127">
        <f t="shared" si="59"/>
        <v>1004348.1402246228</v>
      </c>
      <c r="I338" s="128">
        <f t="shared" si="60"/>
        <v>0</v>
      </c>
      <c r="J338" s="128">
        <f t="shared" si="61"/>
        <v>1004348.1402246228</v>
      </c>
      <c r="K338" s="44"/>
      <c r="L338" s="45">
        <f t="shared" si="62"/>
        <v>0</v>
      </c>
      <c r="M338" s="45">
        <f t="shared" si="47"/>
        <v>0</v>
      </c>
      <c r="N338" s="45">
        <f t="shared" si="63"/>
        <v>11159.423780273586</v>
      </c>
      <c r="O338" s="46">
        <f t="shared" si="64"/>
        <v>1004348.1402246228</v>
      </c>
      <c r="P338" s="47">
        <f t="shared" si="65"/>
        <v>13580</v>
      </c>
      <c r="Q338" s="42">
        <v>1222200</v>
      </c>
      <c r="R338" s="48">
        <f t="shared" si="51"/>
        <v>0.82175432844429941</v>
      </c>
      <c r="S338" s="49"/>
      <c r="U338" s="112"/>
    </row>
    <row r="339" spans="1:21" x14ac:dyDescent="0.3">
      <c r="A339" s="40" t="str">
        <f>VLOOKUP(B339,Grupos!$A$2:$B$619,2,FALSE)</f>
        <v>BREAKERS</v>
      </c>
      <c r="B339" s="41" t="s">
        <v>802</v>
      </c>
      <c r="C339" s="41" t="s">
        <v>803</v>
      </c>
      <c r="D339" s="42">
        <v>4</v>
      </c>
      <c r="E339" s="43">
        <v>15499.199694824423</v>
      </c>
      <c r="F339" s="43"/>
      <c r="G339" s="126">
        <f t="shared" si="44"/>
        <v>15499.199694824423</v>
      </c>
      <c r="H339" s="127">
        <f t="shared" si="59"/>
        <v>61996.798779297693</v>
      </c>
      <c r="I339" s="128">
        <f t="shared" si="60"/>
        <v>0</v>
      </c>
      <c r="J339" s="128">
        <f t="shared" si="61"/>
        <v>61996.798779297693</v>
      </c>
      <c r="K339" s="44"/>
      <c r="L339" s="45">
        <f t="shared" si="62"/>
        <v>0</v>
      </c>
      <c r="M339" s="45">
        <f t="shared" si="47"/>
        <v>0</v>
      </c>
      <c r="N339" s="45">
        <f t="shared" si="63"/>
        <v>15499.199694824423</v>
      </c>
      <c r="O339" s="46">
        <f t="shared" si="64"/>
        <v>61996.798779297693</v>
      </c>
      <c r="P339" s="47">
        <f t="shared" si="65"/>
        <v>19500</v>
      </c>
      <c r="Q339" s="42">
        <v>78000</v>
      </c>
      <c r="R339" s="48">
        <f t="shared" si="51"/>
        <v>0.79483075358073962</v>
      </c>
      <c r="S339" s="49"/>
      <c r="U339" s="112"/>
    </row>
    <row r="340" spans="1:21" x14ac:dyDescent="0.3">
      <c r="A340" s="40" t="str">
        <f>VLOOKUP(B340,Grupos!$A$2:$B$619,2,FALSE)</f>
        <v>BREAKERS</v>
      </c>
      <c r="B340" s="41" t="s">
        <v>804</v>
      </c>
      <c r="C340" s="41" t="s">
        <v>805</v>
      </c>
      <c r="D340" s="42">
        <v>4</v>
      </c>
      <c r="E340" s="43">
        <v>15499.199694824423</v>
      </c>
      <c r="F340" s="43"/>
      <c r="G340" s="126">
        <f t="shared" si="44"/>
        <v>15499.199694824423</v>
      </c>
      <c r="H340" s="127">
        <f t="shared" si="59"/>
        <v>61996.798779297693</v>
      </c>
      <c r="I340" s="128">
        <f t="shared" si="60"/>
        <v>0</v>
      </c>
      <c r="J340" s="128">
        <f t="shared" si="61"/>
        <v>61996.798779297693</v>
      </c>
      <c r="K340" s="44"/>
      <c r="L340" s="45">
        <f t="shared" si="62"/>
        <v>0</v>
      </c>
      <c r="M340" s="45">
        <f t="shared" si="47"/>
        <v>0</v>
      </c>
      <c r="N340" s="45">
        <f t="shared" si="63"/>
        <v>15499.199694824423</v>
      </c>
      <c r="O340" s="46">
        <f t="shared" si="64"/>
        <v>61996.798779297693</v>
      </c>
      <c r="P340" s="47">
        <f t="shared" si="65"/>
        <v>19500</v>
      </c>
      <c r="Q340" s="42">
        <v>78000</v>
      </c>
      <c r="R340" s="48">
        <f t="shared" si="51"/>
        <v>0.79483075358073962</v>
      </c>
      <c r="S340" s="49"/>
      <c r="U340" s="112"/>
    </row>
    <row r="341" spans="1:21" x14ac:dyDescent="0.3">
      <c r="A341" s="40" t="str">
        <f>VLOOKUP(B341,Grupos!$A$2:$B$619,2,FALSE)</f>
        <v>BREAKERS</v>
      </c>
      <c r="B341" s="41" t="s">
        <v>806</v>
      </c>
      <c r="C341" s="41" t="s">
        <v>807</v>
      </c>
      <c r="D341" s="42">
        <v>8</v>
      </c>
      <c r="E341" s="43">
        <v>15499.199694824423</v>
      </c>
      <c r="F341" s="43"/>
      <c r="G341" s="126">
        <f t="shared" si="44"/>
        <v>15499.199694824423</v>
      </c>
      <c r="H341" s="127">
        <f t="shared" si="59"/>
        <v>123993.59755859539</v>
      </c>
      <c r="I341" s="128">
        <f t="shared" si="60"/>
        <v>0</v>
      </c>
      <c r="J341" s="128">
        <f t="shared" si="61"/>
        <v>123993.59755859539</v>
      </c>
      <c r="K341" s="44"/>
      <c r="L341" s="45">
        <f t="shared" si="62"/>
        <v>0</v>
      </c>
      <c r="M341" s="45">
        <f t="shared" si="47"/>
        <v>0</v>
      </c>
      <c r="N341" s="45">
        <f t="shared" si="63"/>
        <v>15499.199694824423</v>
      </c>
      <c r="O341" s="46">
        <f t="shared" si="64"/>
        <v>123993.59755859539</v>
      </c>
      <c r="P341" s="47">
        <f t="shared" si="65"/>
        <v>19500</v>
      </c>
      <c r="Q341" s="42">
        <v>156000</v>
      </c>
      <c r="R341" s="48">
        <f t="shared" si="51"/>
        <v>0.79483075358073962</v>
      </c>
      <c r="S341" s="49"/>
      <c r="U341" s="112"/>
    </row>
    <row r="342" spans="1:21" x14ac:dyDescent="0.3">
      <c r="A342" s="40" t="str">
        <f>VLOOKUP(B342,Grupos!$A$2:$B$619,2,FALSE)</f>
        <v>BREAKERS</v>
      </c>
      <c r="B342" s="41" t="s">
        <v>808</v>
      </c>
      <c r="C342" s="41" t="s">
        <v>809</v>
      </c>
      <c r="D342" s="42">
        <v>4</v>
      </c>
      <c r="E342" s="43">
        <v>16739.135670410382</v>
      </c>
      <c r="F342" s="43"/>
      <c r="G342" s="126">
        <f t="shared" si="44"/>
        <v>16739.135670410382</v>
      </c>
      <c r="H342" s="127">
        <f t="shared" si="59"/>
        <v>66956.542681641527</v>
      </c>
      <c r="I342" s="128">
        <f t="shared" si="60"/>
        <v>0</v>
      </c>
      <c r="J342" s="128">
        <f t="shared" si="61"/>
        <v>66956.542681641527</v>
      </c>
      <c r="K342" s="44"/>
      <c r="L342" s="45">
        <f t="shared" si="62"/>
        <v>0</v>
      </c>
      <c r="M342" s="45">
        <f t="shared" si="47"/>
        <v>0</v>
      </c>
      <c r="N342" s="45">
        <f t="shared" si="63"/>
        <v>16739.135670410382</v>
      </c>
      <c r="O342" s="46">
        <f t="shared" si="64"/>
        <v>66956.542681641527</v>
      </c>
      <c r="P342" s="47">
        <f t="shared" si="65"/>
        <v>19500</v>
      </c>
      <c r="Q342" s="42">
        <v>78000</v>
      </c>
      <c r="R342" s="48">
        <f t="shared" si="51"/>
        <v>0.85841721386719905</v>
      </c>
      <c r="S342" s="49"/>
      <c r="U342" s="112"/>
    </row>
    <row r="343" spans="1:21" x14ac:dyDescent="0.3">
      <c r="A343" s="40" t="str">
        <f>VLOOKUP(B343,Grupos!$A$2:$B$619,2,FALSE)</f>
        <v>BREAKERS</v>
      </c>
      <c r="B343" s="41" t="s">
        <v>810</v>
      </c>
      <c r="C343" s="41" t="s">
        <v>811</v>
      </c>
      <c r="D343" s="42">
        <v>4</v>
      </c>
      <c r="E343" s="43">
        <v>16739.135670410382</v>
      </c>
      <c r="F343" s="43"/>
      <c r="G343" s="126">
        <f t="shared" si="44"/>
        <v>16739.135670410382</v>
      </c>
      <c r="H343" s="127">
        <f t="shared" si="59"/>
        <v>66956.542681641527</v>
      </c>
      <c r="I343" s="128">
        <f t="shared" si="60"/>
        <v>0</v>
      </c>
      <c r="J343" s="128">
        <f t="shared" si="61"/>
        <v>66956.542681641527</v>
      </c>
      <c r="K343" s="44"/>
      <c r="L343" s="45">
        <f t="shared" si="62"/>
        <v>0</v>
      </c>
      <c r="M343" s="45">
        <f t="shared" si="47"/>
        <v>0</v>
      </c>
      <c r="N343" s="45">
        <f t="shared" si="63"/>
        <v>16739.135670410382</v>
      </c>
      <c r="O343" s="46">
        <f t="shared" si="64"/>
        <v>66956.542681641527</v>
      </c>
      <c r="P343" s="47">
        <f t="shared" si="65"/>
        <v>19500</v>
      </c>
      <c r="Q343" s="42">
        <v>78000</v>
      </c>
      <c r="R343" s="48">
        <f t="shared" si="51"/>
        <v>0.85841721386719905</v>
      </c>
      <c r="S343" s="49"/>
      <c r="U343" s="112"/>
    </row>
    <row r="344" spans="1:21" x14ac:dyDescent="0.3">
      <c r="A344" s="40" t="str">
        <f>VLOOKUP(B344,Grupos!$A$2:$B$619,2,FALSE)</f>
        <v>BREAKERS</v>
      </c>
      <c r="B344" s="41" t="s">
        <v>812</v>
      </c>
      <c r="C344" s="41" t="s">
        <v>813</v>
      </c>
      <c r="D344" s="42">
        <v>4</v>
      </c>
      <c r="E344" s="43">
        <v>16739.135670410382</v>
      </c>
      <c r="F344" s="43"/>
      <c r="G344" s="126">
        <f t="shared" si="44"/>
        <v>16739.135670410382</v>
      </c>
      <c r="H344" s="127">
        <f t="shared" si="59"/>
        <v>66956.542681641527</v>
      </c>
      <c r="I344" s="128">
        <f t="shared" si="60"/>
        <v>0</v>
      </c>
      <c r="J344" s="128">
        <f t="shared" si="61"/>
        <v>66956.542681641527</v>
      </c>
      <c r="K344" s="44"/>
      <c r="L344" s="45">
        <f t="shared" si="62"/>
        <v>0</v>
      </c>
      <c r="M344" s="45">
        <f t="shared" si="47"/>
        <v>0</v>
      </c>
      <c r="N344" s="45">
        <f t="shared" si="63"/>
        <v>16739.135670410382</v>
      </c>
      <c r="O344" s="46">
        <f t="shared" si="64"/>
        <v>66956.542681641527</v>
      </c>
      <c r="P344" s="47">
        <f t="shared" si="65"/>
        <v>19500</v>
      </c>
      <c r="Q344" s="42">
        <v>78000</v>
      </c>
      <c r="R344" s="48">
        <f t="shared" si="51"/>
        <v>0.85841721386719905</v>
      </c>
      <c r="S344" s="49"/>
      <c r="U344" s="112"/>
    </row>
    <row r="345" spans="1:21" x14ac:dyDescent="0.3">
      <c r="A345" s="50" t="s">
        <v>1012</v>
      </c>
      <c r="B345" s="41"/>
      <c r="C345" s="41"/>
      <c r="D345" s="51">
        <f>SUM(D294:D344)</f>
        <v>36909</v>
      </c>
      <c r="E345" s="43"/>
      <c r="F345" s="43"/>
      <c r="G345" s="126">
        <f t="shared" si="44"/>
        <v>0</v>
      </c>
      <c r="H345" s="131">
        <f>SUM(H294:H344)</f>
        <v>246908146.19288734</v>
      </c>
      <c r="I345" s="131">
        <f>SUM(I294:I344)</f>
        <v>0</v>
      </c>
      <c r="J345" s="131">
        <f>SUM(J294:J344)</f>
        <v>246908146.19288734</v>
      </c>
      <c r="K345" s="44"/>
      <c r="L345" s="45"/>
      <c r="M345" s="45"/>
      <c r="N345" s="45"/>
      <c r="O345" s="55">
        <f>SUM(O294:O344)</f>
        <v>246908146.19288734</v>
      </c>
      <c r="P345" s="47"/>
      <c r="Q345" s="51">
        <f>SUM(Q294:Q344)</f>
        <v>326174919.75999999</v>
      </c>
      <c r="R345" s="57">
        <f t="shared" si="51"/>
        <v>0.75698078311650308</v>
      </c>
      <c r="S345" s="58">
        <f>Q345/Q358</f>
        <v>8.6363638987637298E-2</v>
      </c>
      <c r="U345" s="112"/>
    </row>
    <row r="346" spans="1:21" x14ac:dyDescent="0.3">
      <c r="A346" s="40" t="str">
        <f>VLOOKUP(B346,Grupos!$A$2:$B$619,2,FALSE)</f>
        <v>VARILLAS</v>
      </c>
      <c r="B346" s="41" t="s">
        <v>549</v>
      </c>
      <c r="C346" s="41" t="s">
        <v>550</v>
      </c>
      <c r="D346" s="42">
        <v>58</v>
      </c>
      <c r="E346" s="43">
        <v>88350</v>
      </c>
      <c r="F346" s="43">
        <v>114.4</v>
      </c>
      <c r="G346" s="126">
        <f t="shared" si="44"/>
        <v>88464.4</v>
      </c>
      <c r="H346" s="127">
        <f t="shared" ref="H346:H356" si="66">E346*D346</f>
        <v>5124300</v>
      </c>
      <c r="I346" s="128">
        <f t="shared" ref="I346:I356" si="67">F346*D346</f>
        <v>6635.2000000000007</v>
      </c>
      <c r="J346" s="128">
        <f t="shared" ref="J346:J356" si="68">G346*D346</f>
        <v>5130935.1999999993</v>
      </c>
      <c r="K346" s="44"/>
      <c r="L346" s="45"/>
      <c r="M346" s="45">
        <f>F346*$M$363</f>
        <v>614.36569890145984</v>
      </c>
      <c r="N346" s="45">
        <f t="shared" ref="N346:N356" si="69">G346+L346+M346</f>
        <v>89078.76569890145</v>
      </c>
      <c r="O346" s="46">
        <f t="shared" ref="O346:O356" si="70">N346*D346</f>
        <v>5166568.4105362846</v>
      </c>
      <c r="P346" s="47">
        <f t="shared" ref="P346:P356" si="71">Q346/D346</f>
        <v>105512.06896551725</v>
      </c>
      <c r="Q346" s="42">
        <v>6119700</v>
      </c>
      <c r="R346" s="48">
        <f t="shared" si="51"/>
        <v>0.84425190949495643</v>
      </c>
      <c r="S346" s="49"/>
      <c r="U346" s="112"/>
    </row>
    <row r="347" spans="1:21" x14ac:dyDescent="0.3">
      <c r="A347" s="40" t="str">
        <f>VLOOKUP(B347,Grupos!$A$2:$B$619,2,FALSE)</f>
        <v>VARILLAS</v>
      </c>
      <c r="B347" s="41" t="s">
        <v>551</v>
      </c>
      <c r="C347" s="41" t="s">
        <v>552</v>
      </c>
      <c r="D347" s="42">
        <v>28</v>
      </c>
      <c r="E347" s="43">
        <v>110206.61764705883</v>
      </c>
      <c r="F347" s="43">
        <v>165.47</v>
      </c>
      <c r="G347" s="126">
        <f t="shared" si="44"/>
        <v>110372.08764705883</v>
      </c>
      <c r="H347" s="127">
        <f t="shared" si="66"/>
        <v>3085785.2941176472</v>
      </c>
      <c r="I347" s="128">
        <f t="shared" si="67"/>
        <v>4633.16</v>
      </c>
      <c r="J347" s="128">
        <f t="shared" si="68"/>
        <v>3090418.4541176474</v>
      </c>
      <c r="K347" s="44"/>
      <c r="L347" s="45"/>
      <c r="M347" s="45">
        <f t="shared" si="47"/>
        <v>888.62842829741749</v>
      </c>
      <c r="N347" s="45">
        <f t="shared" si="69"/>
        <v>111260.71607535625</v>
      </c>
      <c r="O347" s="46">
        <f t="shared" si="70"/>
        <v>3115300.050109975</v>
      </c>
      <c r="P347" s="47">
        <f t="shared" si="71"/>
        <v>131425</v>
      </c>
      <c r="Q347" s="42">
        <v>3679900</v>
      </c>
      <c r="R347" s="48">
        <f t="shared" si="51"/>
        <v>0.84657193133236641</v>
      </c>
      <c r="S347" s="49"/>
      <c r="U347" s="112"/>
    </row>
    <row r="348" spans="1:21" x14ac:dyDescent="0.3">
      <c r="A348" s="40" t="str">
        <f>VLOOKUP(B348,Grupos!$A$2:$B$619,2,FALSE)</f>
        <v>VARILLAS</v>
      </c>
      <c r="B348" s="41" t="s">
        <v>553</v>
      </c>
      <c r="C348" s="41" t="s">
        <v>554</v>
      </c>
      <c r="D348" s="42">
        <v>34</v>
      </c>
      <c r="E348" s="43">
        <v>131328.5</v>
      </c>
      <c r="F348" s="43">
        <v>162.94999999999999</v>
      </c>
      <c r="G348" s="126">
        <f t="shared" si="44"/>
        <v>131491.45000000001</v>
      </c>
      <c r="H348" s="127">
        <f t="shared" si="66"/>
        <v>4465169</v>
      </c>
      <c r="I348" s="128">
        <f t="shared" si="67"/>
        <v>5540.2999999999993</v>
      </c>
      <c r="J348" s="128">
        <f t="shared" si="68"/>
        <v>4470709.3000000007</v>
      </c>
      <c r="K348" s="44"/>
      <c r="L348" s="45"/>
      <c r="M348" s="45">
        <f t="shared" si="47"/>
        <v>875.09519786707062</v>
      </c>
      <c r="N348" s="45">
        <f t="shared" si="69"/>
        <v>132366.54519786709</v>
      </c>
      <c r="O348" s="46">
        <f t="shared" si="70"/>
        <v>4500462.5367274806</v>
      </c>
      <c r="P348" s="47">
        <f t="shared" si="71"/>
        <v>147705.88235294117</v>
      </c>
      <c r="Q348" s="42">
        <v>5022000</v>
      </c>
      <c r="R348" s="48">
        <f t="shared" si="51"/>
        <v>0.89614944976652344</v>
      </c>
      <c r="S348" s="49"/>
      <c r="U348" s="112"/>
    </row>
    <row r="349" spans="1:21" x14ac:dyDescent="0.3">
      <c r="A349" s="40" t="str">
        <f>VLOOKUP(B349,Grupos!$A$2:$B$619,2,FALSE)</f>
        <v>VARILLAS</v>
      </c>
      <c r="B349" s="41" t="s">
        <v>555</v>
      </c>
      <c r="C349" s="41" t="s">
        <v>556</v>
      </c>
      <c r="D349" s="42">
        <v>517</v>
      </c>
      <c r="E349" s="43">
        <v>175109.5</v>
      </c>
      <c r="F349" s="43">
        <v>110.24</v>
      </c>
      <c r="G349" s="126">
        <f t="shared" si="44"/>
        <v>175219.74</v>
      </c>
      <c r="H349" s="127">
        <f t="shared" si="66"/>
        <v>90531611.5</v>
      </c>
      <c r="I349" s="128">
        <f t="shared" si="67"/>
        <v>56994.079999999994</v>
      </c>
      <c r="J349" s="128">
        <f t="shared" si="68"/>
        <v>90588605.579999998</v>
      </c>
      <c r="K349" s="44"/>
      <c r="L349" s="45"/>
      <c r="M349" s="45">
        <f t="shared" si="47"/>
        <v>592.02512803231582</v>
      </c>
      <c r="N349" s="45">
        <f t="shared" si="69"/>
        <v>175811.7651280323</v>
      </c>
      <c r="O349" s="46">
        <f t="shared" si="70"/>
        <v>90894682.571192697</v>
      </c>
      <c r="P349" s="47">
        <f t="shared" si="71"/>
        <v>194561.49323017409</v>
      </c>
      <c r="Q349" s="42">
        <v>100588292</v>
      </c>
      <c r="R349" s="48">
        <f t="shared" si="51"/>
        <v>0.90363083778371245</v>
      </c>
      <c r="S349" s="49"/>
      <c r="U349" s="112"/>
    </row>
    <row r="350" spans="1:21" x14ac:dyDescent="0.3">
      <c r="A350" s="40" t="str">
        <f>VLOOKUP(B350,Grupos!$A$2:$B$619,2,FALSE)</f>
        <v>VARILLAS</v>
      </c>
      <c r="B350" s="41" t="s">
        <v>557</v>
      </c>
      <c r="C350" s="41" t="s">
        <v>558</v>
      </c>
      <c r="D350" s="42">
        <v>200</v>
      </c>
      <c r="E350" s="43">
        <v>72600</v>
      </c>
      <c r="F350" s="43"/>
      <c r="G350" s="126">
        <f t="shared" si="44"/>
        <v>72600</v>
      </c>
      <c r="H350" s="127">
        <f t="shared" si="66"/>
        <v>14520000</v>
      </c>
      <c r="I350" s="128">
        <f t="shared" si="67"/>
        <v>0</v>
      </c>
      <c r="J350" s="128">
        <f t="shared" si="68"/>
        <v>14520000</v>
      </c>
      <c r="K350" s="44"/>
      <c r="L350" s="45"/>
      <c r="M350" s="45">
        <f t="shared" si="47"/>
        <v>0</v>
      </c>
      <c r="N350" s="45">
        <f t="shared" si="69"/>
        <v>72600</v>
      </c>
      <c r="O350" s="46">
        <f t="shared" si="70"/>
        <v>14520000</v>
      </c>
      <c r="P350" s="47">
        <f t="shared" si="71"/>
        <v>86700</v>
      </c>
      <c r="Q350" s="42">
        <v>17340000</v>
      </c>
      <c r="R350" s="48">
        <f t="shared" si="51"/>
        <v>0.83737024221453282</v>
      </c>
      <c r="S350" s="49"/>
      <c r="U350" s="112"/>
    </row>
    <row r="351" spans="1:21" x14ac:dyDescent="0.3">
      <c r="A351" s="40" t="str">
        <f>VLOOKUP(B351,Grupos!$A$2:$B$619,2,FALSE)</f>
        <v>VARILLAS</v>
      </c>
      <c r="B351" s="41" t="s">
        <v>559</v>
      </c>
      <c r="C351" s="41" t="s">
        <v>560</v>
      </c>
      <c r="D351" s="42">
        <v>180</v>
      </c>
      <c r="E351" s="43">
        <v>91050</v>
      </c>
      <c r="F351" s="43"/>
      <c r="G351" s="126">
        <f t="shared" si="44"/>
        <v>91050</v>
      </c>
      <c r="H351" s="127">
        <f t="shared" si="66"/>
        <v>16389000</v>
      </c>
      <c r="I351" s="128">
        <f t="shared" si="67"/>
        <v>0</v>
      </c>
      <c r="J351" s="128">
        <f t="shared" si="68"/>
        <v>16389000</v>
      </c>
      <c r="K351" s="44"/>
      <c r="L351" s="45"/>
      <c r="M351" s="45">
        <f t="shared" si="47"/>
        <v>0</v>
      </c>
      <c r="N351" s="45">
        <f t="shared" si="69"/>
        <v>91050</v>
      </c>
      <c r="O351" s="46">
        <f t="shared" si="70"/>
        <v>16389000</v>
      </c>
      <c r="P351" s="47">
        <f t="shared" si="71"/>
        <v>108330</v>
      </c>
      <c r="Q351" s="42">
        <v>19499400</v>
      </c>
      <c r="R351" s="48">
        <f t="shared" si="51"/>
        <v>0.84048739961229579</v>
      </c>
      <c r="S351" s="49"/>
      <c r="U351" s="112"/>
    </row>
    <row r="352" spans="1:21" x14ac:dyDescent="0.3">
      <c r="A352" s="40" t="str">
        <f>VLOOKUP(B352,Grupos!$A$2:$B$619,2,FALSE)</f>
        <v>VARILLAS</v>
      </c>
      <c r="B352" s="41" t="s">
        <v>657</v>
      </c>
      <c r="C352" s="41" t="s">
        <v>658</v>
      </c>
      <c r="D352" s="42">
        <v>37</v>
      </c>
      <c r="E352" s="43">
        <v>107710</v>
      </c>
      <c r="F352" s="43"/>
      <c r="G352" s="126">
        <f t="shared" si="44"/>
        <v>107710</v>
      </c>
      <c r="H352" s="127">
        <f t="shared" si="66"/>
        <v>3985270</v>
      </c>
      <c r="I352" s="128">
        <f t="shared" si="67"/>
        <v>0</v>
      </c>
      <c r="J352" s="128">
        <f t="shared" si="68"/>
        <v>3985270</v>
      </c>
      <c r="K352" s="44"/>
      <c r="L352" s="45"/>
      <c r="M352" s="45">
        <f t="shared" si="47"/>
        <v>0</v>
      </c>
      <c r="N352" s="45">
        <f t="shared" si="69"/>
        <v>107710</v>
      </c>
      <c r="O352" s="46">
        <f t="shared" si="70"/>
        <v>3985270</v>
      </c>
      <c r="P352" s="47">
        <f t="shared" si="71"/>
        <v>101096.05513513513</v>
      </c>
      <c r="Q352" s="42">
        <v>3740554.04</v>
      </c>
      <c r="R352" s="48">
        <f t="shared" si="51"/>
        <v>1.0654223832574279</v>
      </c>
      <c r="S352" s="49"/>
      <c r="U352" s="112"/>
    </row>
    <row r="353" spans="1:21" x14ac:dyDescent="0.3">
      <c r="A353" s="40" t="str">
        <f>VLOOKUP(B353,Grupos!$A$2:$B$619,2,FALSE)</f>
        <v>VARILLAS</v>
      </c>
      <c r="B353" s="41" t="s">
        <v>561</v>
      </c>
      <c r="C353" s="41" t="s">
        <v>562</v>
      </c>
      <c r="D353" s="42">
        <v>45</v>
      </c>
      <c r="E353" s="43">
        <v>144042.5</v>
      </c>
      <c r="F353" s="43"/>
      <c r="G353" s="126">
        <f t="shared" si="44"/>
        <v>144042.5</v>
      </c>
      <c r="H353" s="127">
        <f t="shared" si="66"/>
        <v>6481912.5</v>
      </c>
      <c r="I353" s="128">
        <f t="shared" si="67"/>
        <v>0</v>
      </c>
      <c r="J353" s="128">
        <f t="shared" si="68"/>
        <v>6481912.5</v>
      </c>
      <c r="K353" s="44"/>
      <c r="L353" s="45"/>
      <c r="M353" s="45">
        <f t="shared" si="47"/>
        <v>0</v>
      </c>
      <c r="N353" s="45">
        <f t="shared" si="69"/>
        <v>144042.5</v>
      </c>
      <c r="O353" s="46">
        <f t="shared" si="70"/>
        <v>6481912.5</v>
      </c>
      <c r="P353" s="47">
        <f t="shared" si="71"/>
        <v>161271.55555555556</v>
      </c>
      <c r="Q353" s="42">
        <v>7257220</v>
      </c>
      <c r="R353" s="143">
        <f t="shared" si="51"/>
        <v>0.89316742499193902</v>
      </c>
      <c r="S353" s="144"/>
      <c r="U353" s="112"/>
    </row>
    <row r="354" spans="1:21" x14ac:dyDescent="0.3">
      <c r="A354" s="40" t="str">
        <f>VLOOKUP(B354,Grupos!$A$2:$B$619,2,FALSE)</f>
        <v>VARILLAS</v>
      </c>
      <c r="B354" s="41" t="s">
        <v>1004</v>
      </c>
      <c r="C354" s="41" t="s">
        <v>1005</v>
      </c>
      <c r="D354" s="42">
        <v>210</v>
      </c>
      <c r="E354" s="43">
        <v>9215</v>
      </c>
      <c r="F354" s="43">
        <v>9.42</v>
      </c>
      <c r="G354" s="126">
        <f t="shared" ref="G354:G356" si="72">E354+F354</f>
        <v>9224.42</v>
      </c>
      <c r="H354" s="127">
        <f t="shared" si="66"/>
        <v>1935150</v>
      </c>
      <c r="I354" s="128">
        <f t="shared" si="67"/>
        <v>1978.2</v>
      </c>
      <c r="J354" s="128">
        <f t="shared" si="68"/>
        <v>1937128.2</v>
      </c>
      <c r="K354" s="44"/>
      <c r="L354" s="45"/>
      <c r="M354" s="45">
        <f t="shared" ref="M354:M356" si="73">F354*$M$363</f>
        <v>50.588504227725103</v>
      </c>
      <c r="N354" s="45">
        <f t="shared" si="69"/>
        <v>9275.008504227726</v>
      </c>
      <c r="O354" s="46">
        <f t="shared" si="70"/>
        <v>1947751.7858878225</v>
      </c>
      <c r="P354" s="47">
        <f t="shared" si="71"/>
        <v>11723.809523809523</v>
      </c>
      <c r="Q354" s="42">
        <v>2462000</v>
      </c>
      <c r="R354" s="143">
        <f t="shared" ref="R354:R360" si="74">O354/Q354</f>
        <v>0.7911258269243796</v>
      </c>
      <c r="S354" s="144"/>
      <c r="U354" s="112"/>
    </row>
    <row r="355" spans="1:21" x14ac:dyDescent="0.3">
      <c r="A355" s="40" t="str">
        <f>VLOOKUP(B355,Grupos!$A$2:$B$619,2,FALSE)</f>
        <v>VARILLAS</v>
      </c>
      <c r="B355" s="41" t="s">
        <v>1006</v>
      </c>
      <c r="C355" s="41" t="s">
        <v>1007</v>
      </c>
      <c r="D355" s="42">
        <v>170</v>
      </c>
      <c r="E355" s="43">
        <v>12125</v>
      </c>
      <c r="F355" s="43">
        <v>69.94</v>
      </c>
      <c r="G355" s="126">
        <f t="shared" si="72"/>
        <v>12194.94</v>
      </c>
      <c r="H355" s="127">
        <f t="shared" si="66"/>
        <v>2061250</v>
      </c>
      <c r="I355" s="128">
        <f t="shared" si="67"/>
        <v>11889.8</v>
      </c>
      <c r="J355" s="128">
        <f t="shared" si="68"/>
        <v>2073139.8</v>
      </c>
      <c r="K355" s="44"/>
      <c r="L355" s="45"/>
      <c r="M355" s="45">
        <f t="shared" si="73"/>
        <v>375.60084773748338</v>
      </c>
      <c r="N355" s="45">
        <f t="shared" si="69"/>
        <v>12570.540847737484</v>
      </c>
      <c r="O355" s="46">
        <f t="shared" si="70"/>
        <v>2136991.9441153724</v>
      </c>
      <c r="P355" s="47">
        <f t="shared" si="71"/>
        <v>12352.941176470587</v>
      </c>
      <c r="Q355" s="42">
        <v>2100000</v>
      </c>
      <c r="R355" s="143">
        <f t="shared" si="74"/>
        <v>1.0176152114835106</v>
      </c>
      <c r="S355" s="144"/>
      <c r="U355" s="112"/>
    </row>
    <row r="356" spans="1:21" x14ac:dyDescent="0.3">
      <c r="A356" s="40" t="str">
        <f>VLOOKUP(B356,Grupos!$A$2:$B$619,2,FALSE)</f>
        <v>VARILLAS</v>
      </c>
      <c r="B356" s="41" t="s">
        <v>1008</v>
      </c>
      <c r="C356" s="41" t="s">
        <v>1009</v>
      </c>
      <c r="D356" s="42">
        <v>12</v>
      </c>
      <c r="E356" s="43">
        <v>10379</v>
      </c>
      <c r="F356" s="43">
        <v>160.54</v>
      </c>
      <c r="G356" s="126">
        <f t="shared" si="72"/>
        <v>10539.54</v>
      </c>
      <c r="H356" s="127">
        <f t="shared" si="66"/>
        <v>124548</v>
      </c>
      <c r="I356" s="128">
        <f t="shared" si="67"/>
        <v>1926.48</v>
      </c>
      <c r="J356" s="128">
        <f t="shared" si="68"/>
        <v>126474.48000000001</v>
      </c>
      <c r="K356" s="44"/>
      <c r="L356" s="45"/>
      <c r="M356" s="45">
        <f t="shared" si="73"/>
        <v>862.15270368566746</v>
      </c>
      <c r="N356" s="45">
        <f t="shared" si="69"/>
        <v>11401.692703685669</v>
      </c>
      <c r="O356" s="46">
        <f t="shared" si="70"/>
        <v>136820.31244422804</v>
      </c>
      <c r="P356" s="47">
        <f t="shared" si="71"/>
        <v>13500</v>
      </c>
      <c r="Q356" s="42">
        <v>162000</v>
      </c>
      <c r="R356" s="143">
        <f t="shared" si="74"/>
        <v>0.84456982990264218</v>
      </c>
      <c r="S356" s="144"/>
      <c r="U356" s="112"/>
    </row>
    <row r="357" spans="1:21" x14ac:dyDescent="0.3">
      <c r="A357" s="132" t="s">
        <v>1013</v>
      </c>
      <c r="B357" s="41"/>
      <c r="C357" s="41"/>
      <c r="D357" s="51">
        <f>SUM(D346:D356)</f>
        <v>1491</v>
      </c>
      <c r="E357" s="43"/>
      <c r="F357" s="43"/>
      <c r="G357" s="126"/>
      <c r="H357" s="131">
        <f>SUM(H346:H356)</f>
        <v>148703996.29411763</v>
      </c>
      <c r="I357" s="131">
        <f>SUM(I346:I356)</f>
        <v>89597.219999999987</v>
      </c>
      <c r="J357" s="131">
        <f>SUM(J346:J356)</f>
        <v>148793593.51411763</v>
      </c>
      <c r="K357" s="44"/>
      <c r="L357" s="45"/>
      <c r="M357" s="45"/>
      <c r="N357" s="45"/>
      <c r="O357" s="55">
        <f>SUM(O346:O356)</f>
        <v>149274760.11101389</v>
      </c>
      <c r="P357" s="47"/>
      <c r="Q357" s="51">
        <f>SUM(Q346:Q356)</f>
        <v>167971066.03999999</v>
      </c>
      <c r="R357" s="65">
        <f t="shared" si="74"/>
        <v>0.8886932948051075</v>
      </c>
      <c r="S357" s="148">
        <f>Q357/Q358</f>
        <v>4.4474886415304761E-2</v>
      </c>
      <c r="U357" s="112"/>
    </row>
    <row r="358" spans="1:21" x14ac:dyDescent="0.3">
      <c r="A358" s="132" t="s">
        <v>1014</v>
      </c>
      <c r="B358" s="41"/>
      <c r="C358" s="41"/>
      <c r="D358" s="51">
        <f>SUM(D357,D345,D293)</f>
        <v>1874533.6500000001</v>
      </c>
      <c r="E358" s="43"/>
      <c r="F358" s="43"/>
      <c r="G358" s="126"/>
      <c r="H358" s="131">
        <f>SUM(H357,H345,H293)</f>
        <v>1622396812.6270046</v>
      </c>
      <c r="I358" s="131">
        <f>SUM(I357,I345,I293)</f>
        <v>104300356.09000002</v>
      </c>
      <c r="J358" s="131">
        <f>SUM(J357,J345,J293)</f>
        <v>1726697168.7170048</v>
      </c>
      <c r="K358" s="44"/>
      <c r="L358" s="45"/>
      <c r="M358" s="45"/>
      <c r="N358" s="45"/>
      <c r="O358" s="131">
        <f>SUM(O357,O345,O293)</f>
        <v>2545523375.1570044</v>
      </c>
      <c r="P358" s="47"/>
      <c r="Q358" s="131">
        <f>SUM(Q357,Q345,Q293)</f>
        <v>3776762114.0499992</v>
      </c>
      <c r="R358" s="65">
        <f t="shared" si="74"/>
        <v>0.67399621641176655</v>
      </c>
      <c r="S358" s="144"/>
      <c r="U358" s="112"/>
    </row>
    <row r="359" spans="1:21" x14ac:dyDescent="0.3">
      <c r="A359" s="132" t="s">
        <v>1015</v>
      </c>
      <c r="B359" s="41"/>
      <c r="C359" s="41"/>
      <c r="D359" s="51"/>
      <c r="E359" s="43"/>
      <c r="F359" s="43"/>
      <c r="G359" s="126"/>
      <c r="H359" s="131"/>
      <c r="I359" s="131"/>
      <c r="J359" s="131"/>
      <c r="K359" s="44"/>
      <c r="L359" s="45"/>
      <c r="M359" s="45"/>
      <c r="N359" s="45"/>
      <c r="O359" s="131">
        <v>-22412766</v>
      </c>
      <c r="P359" s="47"/>
      <c r="Q359" s="131">
        <v>-58895398.100000001</v>
      </c>
      <c r="R359" s="65"/>
      <c r="S359" s="144"/>
      <c r="U359" s="112"/>
    </row>
    <row r="360" spans="1:21" x14ac:dyDescent="0.3">
      <c r="A360" s="133" t="s">
        <v>1016</v>
      </c>
      <c r="B360" s="134"/>
      <c r="C360" s="134"/>
      <c r="D360" s="135">
        <f>D358+D359</f>
        <v>1874533.6500000001</v>
      </c>
      <c r="E360" s="136"/>
      <c r="F360" s="136"/>
      <c r="G360" s="137"/>
      <c r="H360" s="138">
        <f>H358+H359</f>
        <v>1622396812.6270046</v>
      </c>
      <c r="I360" s="138">
        <f>I358+I359</f>
        <v>104300356.09000002</v>
      </c>
      <c r="J360" s="138">
        <f>J358+J359</f>
        <v>1726697168.7170048</v>
      </c>
      <c r="K360" s="139"/>
      <c r="L360" s="140"/>
      <c r="M360" s="140"/>
      <c r="N360" s="140"/>
      <c r="O360" s="138">
        <f>O358+O359</f>
        <v>2523110609.1570044</v>
      </c>
      <c r="P360" s="141"/>
      <c r="Q360" s="138">
        <f>Q358+Q359</f>
        <v>3717866715.9499993</v>
      </c>
      <c r="R360" s="142">
        <f t="shared" si="74"/>
        <v>0.67864471804021953</v>
      </c>
      <c r="S360" s="145"/>
      <c r="U360" s="112"/>
    </row>
    <row r="361" spans="1:21" x14ac:dyDescent="0.3">
      <c r="A361" s="59"/>
      <c r="B361" s="59"/>
      <c r="C361" s="59"/>
      <c r="D361" s="60"/>
      <c r="E361" s="60"/>
      <c r="F361" s="60"/>
      <c r="G361" s="63"/>
      <c r="H361" s="63"/>
      <c r="I361" s="63"/>
      <c r="J361" s="63"/>
      <c r="K361" s="64"/>
      <c r="L361" s="59"/>
      <c r="M361" s="59"/>
      <c r="N361" s="59"/>
      <c r="O361" s="60"/>
      <c r="P361" s="59"/>
      <c r="Q361" s="124"/>
      <c r="R361" s="65"/>
      <c r="S361" s="66"/>
      <c r="U361" s="112"/>
    </row>
    <row r="362" spans="1:21" x14ac:dyDescent="0.3">
      <c r="A362" s="67"/>
      <c r="B362" s="62"/>
      <c r="C362" s="62"/>
      <c r="D362" s="68"/>
      <c r="E362" s="68"/>
      <c r="F362" s="68"/>
      <c r="G362" s="69"/>
      <c r="H362" s="69" t="s">
        <v>563</v>
      </c>
      <c r="I362" s="70"/>
      <c r="J362" s="70"/>
      <c r="K362" s="71">
        <f>H358</f>
        <v>1622396812.6270046</v>
      </c>
      <c r="L362" s="44">
        <f>K362/$Q$358</f>
        <v>0.42957347157013087</v>
      </c>
      <c r="M362" s="45"/>
      <c r="N362" s="62"/>
      <c r="O362" s="62"/>
      <c r="P362" s="72"/>
      <c r="Q362" s="73"/>
      <c r="R362" s="74"/>
      <c r="S362" s="75"/>
      <c r="U362" s="112"/>
    </row>
    <row r="363" spans="1:21" x14ac:dyDescent="0.3">
      <c r="A363" s="67"/>
      <c r="B363" s="62"/>
      <c r="C363" s="62"/>
      <c r="D363" s="68"/>
      <c r="E363" s="68"/>
      <c r="F363" s="68"/>
      <c r="G363" s="76"/>
      <c r="H363" s="76" t="s">
        <v>564</v>
      </c>
      <c r="I363" s="77"/>
      <c r="J363" s="77"/>
      <c r="K363" s="78">
        <v>664427639</v>
      </c>
      <c r="L363" s="44">
        <f>K363/$Q$358</f>
        <v>0.17592520231238579</v>
      </c>
      <c r="M363" s="125">
        <f>K363/I358-1</f>
        <v>5.3703295358519219</v>
      </c>
      <c r="N363" s="62"/>
      <c r="O363" s="62"/>
      <c r="P363" s="72"/>
      <c r="Q363" s="73"/>
      <c r="R363" s="74"/>
      <c r="S363" s="75"/>
      <c r="U363" s="112"/>
    </row>
    <row r="364" spans="1:21" x14ac:dyDescent="0.3">
      <c r="A364" s="67"/>
      <c r="B364" s="62"/>
      <c r="C364" s="62"/>
      <c r="D364" s="68"/>
      <c r="E364" s="68"/>
      <c r="F364" s="68"/>
      <c r="G364" s="76"/>
      <c r="H364" s="76" t="s">
        <v>565</v>
      </c>
      <c r="I364" s="77"/>
      <c r="J364" s="77"/>
      <c r="K364" s="78">
        <f>211112139+P364</f>
        <v>258698923.53</v>
      </c>
      <c r="L364" s="44">
        <f>K364/$Q$358</f>
        <v>6.8497542529250013E-2</v>
      </c>
      <c r="M364" s="79"/>
      <c r="N364" s="80" t="s">
        <v>566</v>
      </c>
      <c r="O364" s="80"/>
      <c r="P364" s="81">
        <v>47586784.530000001</v>
      </c>
      <c r="Q364" s="73"/>
      <c r="R364" s="74"/>
      <c r="S364" s="75"/>
      <c r="U364" s="112"/>
    </row>
    <row r="365" spans="1:21" x14ac:dyDescent="0.3">
      <c r="A365" s="67"/>
      <c r="B365" s="62"/>
      <c r="C365" s="62"/>
      <c r="D365" s="68"/>
      <c r="E365" s="68"/>
      <c r="F365" s="68"/>
      <c r="G365" s="82"/>
      <c r="H365" s="82" t="s">
        <v>567</v>
      </c>
      <c r="I365" s="83"/>
      <c r="J365" s="83"/>
      <c r="K365" s="84">
        <f>SUM(K362:K364)</f>
        <v>2545523375.1570048</v>
      </c>
      <c r="L365" s="53"/>
      <c r="M365" s="85"/>
      <c r="N365" s="62"/>
      <c r="O365" s="62"/>
      <c r="P365" s="72"/>
      <c r="Q365" s="73"/>
      <c r="R365" s="74"/>
      <c r="S365" s="75"/>
    </row>
    <row r="366" spans="1:21" x14ac:dyDescent="0.3">
      <c r="A366" s="62"/>
      <c r="B366" s="62"/>
      <c r="C366" s="62"/>
      <c r="D366" s="68"/>
      <c r="E366" s="43"/>
      <c r="F366" s="68"/>
      <c r="G366" s="68"/>
      <c r="H366" s="68"/>
      <c r="I366" s="61"/>
      <c r="J366" s="61"/>
      <c r="K366" s="62"/>
      <c r="L366" s="62"/>
      <c r="M366" s="62"/>
      <c r="N366" s="62"/>
      <c r="O366" s="61"/>
      <c r="P366" s="62"/>
      <c r="Q366" s="68"/>
      <c r="R366" s="62"/>
      <c r="S366" s="75"/>
    </row>
    <row r="367" spans="1:21" x14ac:dyDescent="0.3">
      <c r="A367" s="62"/>
      <c r="B367" s="62"/>
      <c r="C367" s="62"/>
      <c r="D367" s="68"/>
      <c r="E367" s="68"/>
      <c r="F367" s="68"/>
      <c r="G367" s="68"/>
      <c r="H367" s="68"/>
      <c r="I367" s="61"/>
      <c r="J367" s="61"/>
      <c r="K367" s="86"/>
      <c r="L367" s="62"/>
      <c r="M367" s="62"/>
      <c r="N367" s="62"/>
      <c r="O367" s="62"/>
      <c r="P367" s="62"/>
      <c r="Q367" s="68"/>
      <c r="R367" s="62"/>
      <c r="S367" s="75"/>
    </row>
    <row r="368" spans="1:21" x14ac:dyDescent="0.3">
      <c r="A368" s="62"/>
      <c r="B368" s="62"/>
      <c r="C368" s="62"/>
      <c r="D368" s="68"/>
      <c r="E368" s="68"/>
      <c r="F368" s="68"/>
      <c r="G368" s="68"/>
      <c r="H368" s="68"/>
      <c r="I368" s="61"/>
      <c r="J368" s="95" t="s">
        <v>568</v>
      </c>
      <c r="K368" s="96">
        <f>K363+K364-P364</f>
        <v>875539778</v>
      </c>
      <c r="L368" s="62"/>
      <c r="M368" s="62"/>
      <c r="N368" s="62"/>
      <c r="O368" s="62"/>
      <c r="P368" s="62"/>
      <c r="Q368" s="68"/>
      <c r="R368" s="62"/>
      <c r="S368" s="75"/>
    </row>
    <row r="369" spans="1:19" x14ac:dyDescent="0.3">
      <c r="A369" s="87"/>
      <c r="B369" s="87"/>
      <c r="C369" s="87"/>
      <c r="D369" s="88"/>
      <c r="E369" s="88"/>
      <c r="F369" s="88"/>
      <c r="G369" s="88"/>
      <c r="H369" s="88"/>
      <c r="I369" s="89"/>
      <c r="J369" s="89"/>
      <c r="K369" s="87" t="s">
        <v>569</v>
      </c>
      <c r="L369" s="87"/>
      <c r="M369" s="87"/>
      <c r="N369" s="87"/>
      <c r="O369" s="87"/>
      <c r="P369" s="87"/>
      <c r="Q369" s="88"/>
      <c r="R369" s="87"/>
      <c r="S369" s="90"/>
    </row>
  </sheetData>
  <autoFilter ref="A4:S365" xr:uid="{B7459B2F-3037-4CB2-A5A4-89B2C340197F}">
    <sortState xmlns:xlrd2="http://schemas.microsoft.com/office/spreadsheetml/2017/richdata2" ref="A5:S356">
      <sortCondition ref="A4:A356"/>
    </sortState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8455-C4A0-4A5F-87A3-39ADCBD85345}">
  <dimension ref="A1:X334"/>
  <sheetViews>
    <sheetView showGridLines="0" zoomScale="80" zoomScaleNormal="80" workbookViewId="0">
      <pane xSplit="4" ySplit="4" topLeftCell="E249" activePane="bottomRight" state="frozen"/>
      <selection pane="topRight" activeCell="E1" sqref="E1"/>
      <selection pane="bottomLeft" activeCell="A5" sqref="A5"/>
      <selection pane="bottomRight" activeCell="N303" sqref="N303"/>
    </sheetView>
  </sheetViews>
  <sheetFormatPr baseColWidth="10" defaultColWidth="50.33203125" defaultRowHeight="14.4" x14ac:dyDescent="0.3"/>
  <cols>
    <col min="1" max="1" width="50.109375" bestFit="1" customWidth="1"/>
    <col min="2" max="2" width="22.88671875" bestFit="1" customWidth="1"/>
    <col min="3" max="3" width="57.88671875" hidden="1" customWidth="1"/>
    <col min="4" max="4" width="12.109375" bestFit="1" customWidth="1"/>
    <col min="5" max="5" width="21.88671875" hidden="1" customWidth="1"/>
    <col min="6" max="6" width="12.6640625" hidden="1" customWidth="1"/>
    <col min="7" max="7" width="14.33203125" hidden="1" customWidth="1"/>
    <col min="8" max="8" width="19" hidden="1" customWidth="1"/>
    <col min="9" max="9" width="12.6640625" hidden="1" customWidth="1"/>
    <col min="10" max="10" width="15.6640625" hidden="1" customWidth="1"/>
    <col min="11" max="11" width="13.33203125" hidden="1" customWidth="1"/>
    <col min="12" max="12" width="10.109375" hidden="1" customWidth="1"/>
    <col min="13" max="13" width="10.33203125" hidden="1" customWidth="1"/>
    <col min="14" max="14" width="14.6640625" bestFit="1" customWidth="1"/>
    <col min="15" max="15" width="14.5546875" bestFit="1" customWidth="1"/>
    <col min="16" max="16" width="12.109375" bestFit="1" customWidth="1"/>
    <col min="17" max="17" width="16" bestFit="1" customWidth="1"/>
    <col min="18" max="18" width="21.5546875" bestFit="1" customWidth="1"/>
    <col min="19" max="19" width="14.5546875" bestFit="1" customWidth="1"/>
    <col min="20" max="20" width="18.109375" bestFit="1" customWidth="1"/>
    <col min="21" max="22" width="11.44140625" bestFit="1" customWidth="1"/>
  </cols>
  <sheetData>
    <row r="1" spans="1:24" x14ac:dyDescent="0.3">
      <c r="A1" s="1"/>
      <c r="B1" s="1"/>
      <c r="C1" s="1"/>
      <c r="D1" s="2"/>
      <c r="E1" s="3"/>
      <c r="F1" s="3"/>
      <c r="G1" s="3"/>
      <c r="H1" s="3"/>
      <c r="I1" s="4"/>
      <c r="J1" s="4"/>
      <c r="K1" s="5"/>
      <c r="L1" s="6"/>
      <c r="M1" s="5"/>
      <c r="N1" s="7"/>
      <c r="O1" s="7"/>
      <c r="P1" s="8"/>
      <c r="Q1" s="8"/>
      <c r="R1" s="8"/>
      <c r="S1" s="8"/>
      <c r="T1" s="9"/>
      <c r="U1" s="10"/>
      <c r="V1" s="11"/>
    </row>
    <row r="2" spans="1:24" ht="15" thickBot="1" x14ac:dyDescent="0.35">
      <c r="A2" s="12" t="s">
        <v>1000</v>
      </c>
      <c r="B2" s="1"/>
      <c r="C2" s="13"/>
      <c r="D2" s="14"/>
      <c r="E2" s="15"/>
      <c r="F2" s="15"/>
      <c r="G2" s="15"/>
      <c r="H2" s="15"/>
      <c r="I2" s="16"/>
      <c r="J2" s="16"/>
      <c r="K2" s="13"/>
      <c r="L2" s="13"/>
      <c r="M2" s="13"/>
      <c r="N2" s="13"/>
      <c r="O2" s="13"/>
      <c r="P2" s="17"/>
      <c r="Q2" s="17"/>
      <c r="R2" s="17"/>
      <c r="S2" s="17"/>
      <c r="T2" s="14"/>
      <c r="U2" s="13"/>
      <c r="V2" s="18"/>
    </row>
    <row r="3" spans="1:24" x14ac:dyDescent="0.3">
      <c r="A3" s="13"/>
      <c r="B3" s="13"/>
      <c r="C3" s="13"/>
      <c r="D3" s="14"/>
      <c r="E3" s="19" t="s">
        <v>0</v>
      </c>
      <c r="F3" s="20"/>
      <c r="G3" s="21"/>
      <c r="H3" s="19" t="s">
        <v>1</v>
      </c>
      <c r="I3" s="22"/>
      <c r="J3" s="23"/>
      <c r="K3" s="24"/>
      <c r="L3" s="24"/>
      <c r="M3" s="24"/>
      <c r="N3" s="25"/>
      <c r="O3" s="26"/>
      <c r="P3" s="27"/>
      <c r="Q3" s="27"/>
      <c r="R3" s="27"/>
      <c r="S3" s="27"/>
      <c r="T3" s="28"/>
      <c r="U3" s="29"/>
      <c r="V3" s="30"/>
    </row>
    <row r="4" spans="1:24" ht="15" thickBot="1" x14ac:dyDescent="0.35">
      <c r="A4" s="31" t="s">
        <v>2</v>
      </c>
      <c r="B4" s="32" t="s">
        <v>3</v>
      </c>
      <c r="C4" s="31" t="s">
        <v>4</v>
      </c>
      <c r="D4" s="33" t="s">
        <v>5</v>
      </c>
      <c r="E4" s="34" t="s">
        <v>6</v>
      </c>
      <c r="F4" s="34" t="s">
        <v>7</v>
      </c>
      <c r="G4" s="34" t="s">
        <v>1010</v>
      </c>
      <c r="H4" s="34" t="s">
        <v>8</v>
      </c>
      <c r="I4" s="35" t="s">
        <v>9</v>
      </c>
      <c r="J4" s="35" t="s">
        <v>10</v>
      </c>
      <c r="K4" s="36" t="s">
        <v>11</v>
      </c>
      <c r="L4" s="36" t="s">
        <v>12</v>
      </c>
      <c r="M4" s="36" t="s">
        <v>13</v>
      </c>
      <c r="N4" s="36" t="s">
        <v>14</v>
      </c>
      <c r="O4" s="36" t="s">
        <v>15</v>
      </c>
      <c r="P4" s="37" t="s">
        <v>16</v>
      </c>
      <c r="Q4" s="190" t="s">
        <v>1138</v>
      </c>
      <c r="R4" s="190" t="s">
        <v>1139</v>
      </c>
      <c r="S4" s="190" t="s">
        <v>1142</v>
      </c>
      <c r="T4" s="33" t="s">
        <v>17</v>
      </c>
      <c r="U4" s="38" t="s">
        <v>18</v>
      </c>
      <c r="V4" s="39" t="s">
        <v>19</v>
      </c>
    </row>
    <row r="5" spans="1:24" x14ac:dyDescent="0.3">
      <c r="A5" s="40" t="str">
        <f>VLOOKUP(B5,Grupos!$A$2:$B$619,2,FALSE)</f>
        <v>ACCESORIOS</v>
      </c>
      <c r="B5" s="41" t="s">
        <v>755</v>
      </c>
      <c r="C5" s="41" t="s">
        <v>756</v>
      </c>
      <c r="D5" s="42">
        <v>1</v>
      </c>
      <c r="E5" s="43">
        <v>1216.9000000000001</v>
      </c>
      <c r="F5" s="43">
        <v>76.52</v>
      </c>
      <c r="G5" s="126">
        <f t="shared" ref="G5:G68" si="0">E5+F5</f>
        <v>1293.42</v>
      </c>
      <c r="H5" s="127">
        <f t="shared" ref="H5:H68" si="1">E5*D5</f>
        <v>1216.9000000000001</v>
      </c>
      <c r="I5" s="128">
        <f t="shared" ref="I5:I68" si="2">F5*D5</f>
        <v>76.52</v>
      </c>
      <c r="J5" s="128">
        <f t="shared" ref="J5:J68" si="3">G5*D5</f>
        <v>1293.42</v>
      </c>
      <c r="K5" s="44">
        <f t="shared" ref="K5:K68" si="4">J5/$J$264</f>
        <v>9.7176892708192968E-7</v>
      </c>
      <c r="L5" s="45">
        <v>251.39557535599826</v>
      </c>
      <c r="M5" s="45">
        <v>410.93761608338906</v>
      </c>
      <c r="N5" s="45">
        <f t="shared" ref="N5:N68" si="5">G5+L5+M5</f>
        <v>1955.7531914393874</v>
      </c>
      <c r="O5" s="46">
        <f t="shared" ref="O5:O68" si="6">N5*D5</f>
        <v>1955.7531914393874</v>
      </c>
      <c r="P5" s="47">
        <f t="shared" ref="P5:P68" si="7">T5/D5</f>
        <v>12075</v>
      </c>
      <c r="Q5" s="47">
        <v>16100</v>
      </c>
      <c r="R5" s="47">
        <f>Q5-P5</f>
        <v>4025</v>
      </c>
      <c r="S5" s="191">
        <f>R5/Q5</f>
        <v>0.25</v>
      </c>
      <c r="T5" s="42">
        <v>12075</v>
      </c>
      <c r="U5" s="48">
        <f t="shared" ref="U5:U68" si="8">O5/T5</f>
        <v>0.16196713800740267</v>
      </c>
      <c r="V5" s="49"/>
      <c r="X5" s="112"/>
    </row>
    <row r="6" spans="1:24" x14ac:dyDescent="0.3">
      <c r="A6" s="40" t="str">
        <f>VLOOKUP(B6,Grupos!$A$2:$B$619,2,FALSE)</f>
        <v>ACCESORIOS</v>
      </c>
      <c r="B6" s="41" t="s">
        <v>601</v>
      </c>
      <c r="C6" s="41" t="s">
        <v>602</v>
      </c>
      <c r="D6" s="42">
        <v>4</v>
      </c>
      <c r="E6" s="43">
        <v>1547.34</v>
      </c>
      <c r="F6" s="43">
        <v>77.819999999999993</v>
      </c>
      <c r="G6" s="126">
        <f t="shared" si="0"/>
        <v>1625.1599999999999</v>
      </c>
      <c r="H6" s="127">
        <f t="shared" si="1"/>
        <v>6189.36</v>
      </c>
      <c r="I6" s="128">
        <f t="shared" si="2"/>
        <v>311.27999999999997</v>
      </c>
      <c r="J6" s="128">
        <f t="shared" si="3"/>
        <v>6500.6399999999994</v>
      </c>
      <c r="K6" s="44">
        <f t="shared" si="4"/>
        <v>4.8840438203722484E-6</v>
      </c>
      <c r="L6" s="45">
        <v>315.87421970091236</v>
      </c>
      <c r="M6" s="45">
        <v>417.9190444799965</v>
      </c>
      <c r="N6" s="45">
        <f t="shared" si="5"/>
        <v>2358.9532641809087</v>
      </c>
      <c r="O6" s="46">
        <f t="shared" si="6"/>
        <v>9435.8130567236349</v>
      </c>
      <c r="P6" s="47">
        <f t="shared" si="7"/>
        <v>9492</v>
      </c>
      <c r="Q6" s="47">
        <v>22600</v>
      </c>
      <c r="R6" s="47">
        <f t="shared" ref="R6:R8" si="9">Q6-P6</f>
        <v>13108</v>
      </c>
      <c r="S6" s="191">
        <f t="shared" ref="S6:S69" si="10">R6/Q6</f>
        <v>0.57999999999999996</v>
      </c>
      <c r="T6" s="42">
        <v>37968</v>
      </c>
      <c r="U6" s="48">
        <f t="shared" si="8"/>
        <v>0.24852015004012945</v>
      </c>
      <c r="V6" s="49"/>
      <c r="X6" s="112"/>
    </row>
    <row r="7" spans="1:24" x14ac:dyDescent="0.3">
      <c r="A7" s="40" t="str">
        <f>VLOOKUP(B7,Grupos!$A$2:$B$619,2,FALSE)</f>
        <v>ACCESORIOS</v>
      </c>
      <c r="B7" s="41" t="s">
        <v>659</v>
      </c>
      <c r="C7" s="41" t="s">
        <v>660</v>
      </c>
      <c r="D7" s="42">
        <v>1</v>
      </c>
      <c r="E7" s="43">
        <v>2376.63</v>
      </c>
      <c r="F7" s="43">
        <v>89.86</v>
      </c>
      <c r="G7" s="126">
        <f t="shared" si="0"/>
        <v>2466.4900000000002</v>
      </c>
      <c r="H7" s="127">
        <f t="shared" si="1"/>
        <v>2376.63</v>
      </c>
      <c r="I7" s="128">
        <f t="shared" si="2"/>
        <v>89.86</v>
      </c>
      <c r="J7" s="128">
        <f t="shared" si="3"/>
        <v>2466.4900000000002</v>
      </c>
      <c r="K7" s="44">
        <f t="shared" si="4"/>
        <v>1.8531168073466535E-6</v>
      </c>
      <c r="L7" s="45">
        <v>479.39932323592967</v>
      </c>
      <c r="M7" s="45">
        <v>482.5778120916537</v>
      </c>
      <c r="N7" s="45">
        <f t="shared" si="5"/>
        <v>3428.4671353275839</v>
      </c>
      <c r="O7" s="46">
        <f t="shared" si="6"/>
        <v>3428.4671353275839</v>
      </c>
      <c r="P7" s="47">
        <f t="shared" si="7"/>
        <v>15664</v>
      </c>
      <c r="Q7" s="47">
        <v>33600</v>
      </c>
      <c r="R7" s="47">
        <f t="shared" si="9"/>
        <v>17936</v>
      </c>
      <c r="S7" s="191">
        <f t="shared" si="10"/>
        <v>0.53380952380952384</v>
      </c>
      <c r="T7" s="42">
        <v>15664</v>
      </c>
      <c r="U7" s="48">
        <f t="shared" si="8"/>
        <v>0.21887558320528497</v>
      </c>
      <c r="V7" s="49"/>
      <c r="X7" s="112"/>
    </row>
    <row r="8" spans="1:24" x14ac:dyDescent="0.3">
      <c r="A8" s="40" t="str">
        <f>VLOOKUP(B8,Grupos!$A$2:$B$619,2,FALSE)</f>
        <v>ACCESORIOS</v>
      </c>
      <c r="B8" s="41" t="s">
        <v>663</v>
      </c>
      <c r="C8" s="41" t="s">
        <v>664</v>
      </c>
      <c r="D8" s="42">
        <v>3</v>
      </c>
      <c r="E8" s="43">
        <v>3200</v>
      </c>
      <c r="F8" s="43">
        <v>0</v>
      </c>
      <c r="G8" s="126">
        <f t="shared" si="0"/>
        <v>3200</v>
      </c>
      <c r="H8" s="127">
        <f t="shared" si="1"/>
        <v>9600</v>
      </c>
      <c r="I8" s="128">
        <f t="shared" si="2"/>
        <v>0</v>
      </c>
      <c r="J8" s="128">
        <f t="shared" si="3"/>
        <v>9600</v>
      </c>
      <c r="K8" s="44">
        <f t="shared" si="4"/>
        <v>7.2126468587052343E-6</v>
      </c>
      <c r="L8" s="45">
        <v>621.96799271636007</v>
      </c>
      <c r="M8" s="45">
        <v>0</v>
      </c>
      <c r="N8" s="45">
        <f t="shared" si="5"/>
        <v>3821.9679927163602</v>
      </c>
      <c r="O8" s="46">
        <f t="shared" si="6"/>
        <v>11465.903978149081</v>
      </c>
      <c r="P8" s="47">
        <f t="shared" si="7"/>
        <v>13987.5</v>
      </c>
      <c r="Q8" s="47">
        <v>18650</v>
      </c>
      <c r="R8" s="47">
        <f t="shared" si="9"/>
        <v>4662.5</v>
      </c>
      <c r="S8" s="191">
        <f t="shared" si="10"/>
        <v>0.25</v>
      </c>
      <c r="T8" s="42">
        <v>41962.5</v>
      </c>
      <c r="U8" s="48">
        <f t="shared" si="8"/>
        <v>0.2732416795507675</v>
      </c>
      <c r="V8" s="49"/>
      <c r="X8" s="112"/>
    </row>
    <row r="9" spans="1:24" x14ac:dyDescent="0.3">
      <c r="A9" s="40" t="str">
        <f>VLOOKUP(B9,Grupos!$A$2:$B$619,2,FALSE)</f>
        <v>ACCESORIOS</v>
      </c>
      <c r="B9" s="41" t="s">
        <v>606</v>
      </c>
      <c r="C9" s="41" t="s">
        <v>607</v>
      </c>
      <c r="D9" s="42">
        <v>3</v>
      </c>
      <c r="E9" s="43">
        <v>0</v>
      </c>
      <c r="F9" s="43">
        <v>0</v>
      </c>
      <c r="G9" s="126">
        <f t="shared" si="0"/>
        <v>0</v>
      </c>
      <c r="H9" s="127">
        <f t="shared" si="1"/>
        <v>0</v>
      </c>
      <c r="I9" s="128">
        <f t="shared" si="2"/>
        <v>0</v>
      </c>
      <c r="J9" s="128">
        <f t="shared" si="3"/>
        <v>0</v>
      </c>
      <c r="K9" s="44">
        <f t="shared" si="4"/>
        <v>0</v>
      </c>
      <c r="L9" s="45">
        <v>0</v>
      </c>
      <c r="M9" s="45">
        <v>0</v>
      </c>
      <c r="N9" s="45">
        <f t="shared" si="5"/>
        <v>0</v>
      </c>
      <c r="O9" s="46">
        <f t="shared" si="6"/>
        <v>0</v>
      </c>
      <c r="P9" s="47">
        <f t="shared" si="7"/>
        <v>147333.33333333334</v>
      </c>
      <c r="Q9" s="166">
        <v>0</v>
      </c>
      <c r="R9" s="47"/>
      <c r="S9" s="191">
        <v>0</v>
      </c>
      <c r="T9" s="42">
        <v>442000</v>
      </c>
      <c r="U9" s="48">
        <f t="shared" si="8"/>
        <v>0</v>
      </c>
      <c r="V9" s="49"/>
      <c r="X9" s="112"/>
    </row>
    <row r="10" spans="1:24" x14ac:dyDescent="0.3">
      <c r="A10" s="40" t="str">
        <f>VLOOKUP(B10,Grupos!$A$2:$B$619,2,FALSE)</f>
        <v>ACCESORIOS</v>
      </c>
      <c r="B10" s="41" t="s">
        <v>23</v>
      </c>
      <c r="C10" s="41" t="s">
        <v>24</v>
      </c>
      <c r="D10" s="42">
        <v>39600</v>
      </c>
      <c r="E10" s="43">
        <v>59.89</v>
      </c>
      <c r="F10" s="43">
        <v>34.71</v>
      </c>
      <c r="G10" s="126">
        <f t="shared" si="0"/>
        <v>94.6</v>
      </c>
      <c r="H10" s="127">
        <f t="shared" si="1"/>
        <v>2371644</v>
      </c>
      <c r="I10" s="128">
        <f t="shared" si="2"/>
        <v>1374516</v>
      </c>
      <c r="J10" s="128">
        <f t="shared" si="3"/>
        <v>3746160</v>
      </c>
      <c r="K10" s="44">
        <f t="shared" si="4"/>
        <v>2.8145551204382499E-3</v>
      </c>
      <c r="L10" s="45">
        <v>18.386928784677394</v>
      </c>
      <c r="M10" s="45">
        <v>186.40413818942022</v>
      </c>
      <c r="N10" s="45">
        <f t="shared" si="5"/>
        <v>299.39106697409761</v>
      </c>
      <c r="O10" s="46">
        <f t="shared" si="6"/>
        <v>11855886.252174266</v>
      </c>
      <c r="P10" s="47">
        <f t="shared" si="7"/>
        <v>126.09091363636362</v>
      </c>
      <c r="Q10" s="47">
        <v>300</v>
      </c>
      <c r="R10" s="47">
        <f t="shared" ref="R10:R73" si="11">Q10-P10</f>
        <v>173.90908636363639</v>
      </c>
      <c r="S10" s="191">
        <f t="shared" si="10"/>
        <v>0.57969695454545467</v>
      </c>
      <c r="T10" s="42">
        <v>4993200.18</v>
      </c>
      <c r="U10" s="48">
        <f t="shared" si="8"/>
        <v>2.374406357602564</v>
      </c>
      <c r="V10" s="49"/>
      <c r="X10" s="112"/>
    </row>
    <row r="11" spans="1:24" x14ac:dyDescent="0.3">
      <c r="A11" s="40" t="str">
        <f>VLOOKUP(B11,Grupos!$A$2:$B$619,2,FALSE)</f>
        <v>ACCESORIOS</v>
      </c>
      <c r="B11" s="41" t="s">
        <v>25</v>
      </c>
      <c r="C11" s="41" t="s">
        <v>26</v>
      </c>
      <c r="D11" s="42">
        <v>2400</v>
      </c>
      <c r="E11" s="43">
        <v>43.39</v>
      </c>
      <c r="F11" s="43">
        <v>43.22</v>
      </c>
      <c r="G11" s="126">
        <f t="shared" si="0"/>
        <v>86.61</v>
      </c>
      <c r="H11" s="127">
        <f t="shared" si="1"/>
        <v>104136</v>
      </c>
      <c r="I11" s="128">
        <f t="shared" si="2"/>
        <v>103728</v>
      </c>
      <c r="J11" s="128">
        <f t="shared" si="3"/>
        <v>207864</v>
      </c>
      <c r="K11" s="44">
        <f t="shared" si="4"/>
        <v>1.5617183610811507E-4</v>
      </c>
      <c r="L11" s="45">
        <v>16.833952452863731</v>
      </c>
      <c r="M11" s="45">
        <v>232.10564253952006</v>
      </c>
      <c r="N11" s="45">
        <f t="shared" si="5"/>
        <v>335.54959499238379</v>
      </c>
      <c r="O11" s="46">
        <f t="shared" si="6"/>
        <v>805319.0279817211</v>
      </c>
      <c r="P11" s="47">
        <f t="shared" si="7"/>
        <v>102.50000833333333</v>
      </c>
      <c r="Q11" s="47">
        <v>250</v>
      </c>
      <c r="R11" s="47">
        <f t="shared" si="11"/>
        <v>147.49999166666669</v>
      </c>
      <c r="S11" s="191">
        <f t="shared" si="10"/>
        <v>0.58999996666666676</v>
      </c>
      <c r="T11" s="42">
        <v>246000.02</v>
      </c>
      <c r="U11" s="48">
        <f t="shared" si="8"/>
        <v>3.2736543191407916</v>
      </c>
      <c r="V11" s="49"/>
      <c r="X11" s="112"/>
    </row>
    <row r="12" spans="1:24" x14ac:dyDescent="0.3">
      <c r="A12" s="40" t="str">
        <f>VLOOKUP(B12,Grupos!$A$2:$B$619,2,FALSE)</f>
        <v>ACCESORIOS</v>
      </c>
      <c r="B12" s="41" t="s">
        <v>609</v>
      </c>
      <c r="C12" s="41" t="s">
        <v>610</v>
      </c>
      <c r="D12" s="42">
        <v>15</v>
      </c>
      <c r="E12" s="43">
        <v>2166.94</v>
      </c>
      <c r="F12" s="43">
        <v>0</v>
      </c>
      <c r="G12" s="126">
        <f t="shared" si="0"/>
        <v>2166.94</v>
      </c>
      <c r="H12" s="127">
        <f t="shared" si="1"/>
        <v>32504.100000000002</v>
      </c>
      <c r="I12" s="128">
        <f t="shared" si="2"/>
        <v>0</v>
      </c>
      <c r="J12" s="128">
        <f t="shared" si="3"/>
        <v>32504.100000000002</v>
      </c>
      <c r="K12" s="44">
        <f t="shared" si="4"/>
        <v>2.4420895287504251E-5</v>
      </c>
      <c r="L12" s="45">
        <v>421.17728816774667</v>
      </c>
      <c r="M12" s="45">
        <v>0</v>
      </c>
      <c r="N12" s="45">
        <f t="shared" si="5"/>
        <v>2588.1172881677467</v>
      </c>
      <c r="O12" s="46">
        <f t="shared" si="6"/>
        <v>38821.759322516198</v>
      </c>
      <c r="P12" s="47">
        <f t="shared" si="7"/>
        <v>16952</v>
      </c>
      <c r="Q12" s="47">
        <v>31200</v>
      </c>
      <c r="R12" s="47">
        <f t="shared" si="11"/>
        <v>14248</v>
      </c>
      <c r="S12" s="191">
        <f t="shared" si="10"/>
        <v>0.45666666666666667</v>
      </c>
      <c r="T12" s="42">
        <v>254280</v>
      </c>
      <c r="U12" s="48">
        <f t="shared" si="8"/>
        <v>0.15267327089238714</v>
      </c>
      <c r="V12" s="49"/>
      <c r="X12" s="112"/>
    </row>
    <row r="13" spans="1:24" x14ac:dyDescent="0.3">
      <c r="A13" s="40" t="str">
        <f>VLOOKUP(B13,Grupos!$A$2:$B$619,2,FALSE)</f>
        <v>ACCESORIOS</v>
      </c>
      <c r="B13" s="41" t="s">
        <v>708</v>
      </c>
      <c r="C13" s="41" t="s">
        <v>709</v>
      </c>
      <c r="D13" s="42">
        <v>5</v>
      </c>
      <c r="E13" s="43">
        <v>3042.06</v>
      </c>
      <c r="F13" s="43">
        <v>0</v>
      </c>
      <c r="G13" s="126">
        <f t="shared" si="0"/>
        <v>3042.06</v>
      </c>
      <c r="H13" s="127">
        <f t="shared" si="1"/>
        <v>15210.3</v>
      </c>
      <c r="I13" s="128">
        <f t="shared" si="2"/>
        <v>0</v>
      </c>
      <c r="J13" s="128">
        <f t="shared" si="3"/>
        <v>15210.3</v>
      </c>
      <c r="K13" s="44">
        <f t="shared" si="4"/>
        <v>1.1427762761975439E-5</v>
      </c>
      <c r="L13" s="45">
        <v>591.26998497585305</v>
      </c>
      <c r="M13" s="45">
        <v>0</v>
      </c>
      <c r="N13" s="45">
        <f t="shared" si="5"/>
        <v>3633.3299849758532</v>
      </c>
      <c r="O13" s="46">
        <f t="shared" si="6"/>
        <v>18166.649924879268</v>
      </c>
      <c r="P13" s="47">
        <f t="shared" si="7"/>
        <v>19250</v>
      </c>
      <c r="Q13" s="47">
        <v>43750</v>
      </c>
      <c r="R13" s="47">
        <f t="shared" si="11"/>
        <v>24500</v>
      </c>
      <c r="S13" s="191">
        <f t="shared" si="10"/>
        <v>0.56000000000000005</v>
      </c>
      <c r="T13" s="42">
        <v>96250</v>
      </c>
      <c r="U13" s="48">
        <f t="shared" si="8"/>
        <v>0.18874441480394044</v>
      </c>
      <c r="V13" s="49"/>
      <c r="X13" s="112"/>
    </row>
    <row r="14" spans="1:24" x14ac:dyDescent="0.3">
      <c r="A14" s="40" t="str">
        <f>VLOOKUP(B14,Grupos!$A$2:$B$619,2,FALSE)</f>
        <v>ACCESORIOS</v>
      </c>
      <c r="B14" s="41" t="s">
        <v>29</v>
      </c>
      <c r="C14" s="41" t="s">
        <v>30</v>
      </c>
      <c r="D14" s="42">
        <v>13</v>
      </c>
      <c r="E14" s="43">
        <v>9036.65</v>
      </c>
      <c r="F14" s="43">
        <v>0</v>
      </c>
      <c r="G14" s="126">
        <f t="shared" si="0"/>
        <v>9036.65</v>
      </c>
      <c r="H14" s="127">
        <f t="shared" si="1"/>
        <v>117476.45</v>
      </c>
      <c r="I14" s="128">
        <f t="shared" si="2"/>
        <v>0</v>
      </c>
      <c r="J14" s="128">
        <f t="shared" si="3"/>
        <v>117476.45</v>
      </c>
      <c r="K14" s="44">
        <f t="shared" si="4"/>
        <v>8.8262098756702336E-5</v>
      </c>
      <c r="L14" s="45">
        <v>1756.4084566813422</v>
      </c>
      <c r="M14" s="45">
        <v>0</v>
      </c>
      <c r="N14" s="45">
        <f t="shared" si="5"/>
        <v>10793.058456681341</v>
      </c>
      <c r="O14" s="46">
        <f t="shared" si="6"/>
        <v>140309.75993685744</v>
      </c>
      <c r="P14" s="47">
        <f t="shared" si="7"/>
        <v>38300.576923076922</v>
      </c>
      <c r="Q14" s="47">
        <v>69250</v>
      </c>
      <c r="R14" s="47">
        <f t="shared" si="11"/>
        <v>30949.423076923078</v>
      </c>
      <c r="S14" s="191">
        <f t="shared" si="10"/>
        <v>0.44692307692307692</v>
      </c>
      <c r="T14" s="42">
        <v>497907.5</v>
      </c>
      <c r="U14" s="48">
        <f t="shared" si="8"/>
        <v>0.28179884805281591</v>
      </c>
      <c r="V14" s="49"/>
      <c r="X14" s="112"/>
    </row>
    <row r="15" spans="1:24" x14ac:dyDescent="0.3">
      <c r="A15" s="40" t="str">
        <f>VLOOKUP(B15,Grupos!$A$2:$B$619,2,FALSE)</f>
        <v>ACCESORIOS</v>
      </c>
      <c r="B15" s="41" t="s">
        <v>32</v>
      </c>
      <c r="C15" s="41" t="s">
        <v>33</v>
      </c>
      <c r="D15" s="42">
        <v>2</v>
      </c>
      <c r="E15" s="43">
        <v>14590.87</v>
      </c>
      <c r="F15" s="43">
        <v>0</v>
      </c>
      <c r="G15" s="126">
        <f t="shared" si="0"/>
        <v>14590.87</v>
      </c>
      <c r="H15" s="127">
        <f t="shared" si="1"/>
        <v>29181.74</v>
      </c>
      <c r="I15" s="128">
        <f t="shared" si="2"/>
        <v>0</v>
      </c>
      <c r="J15" s="128">
        <f t="shared" si="3"/>
        <v>29181.74</v>
      </c>
      <c r="K15" s="44">
        <f t="shared" si="4"/>
        <v>2.1924748473182591E-5</v>
      </c>
      <c r="L15" s="45">
        <v>2835.9544143391736</v>
      </c>
      <c r="M15" s="45">
        <v>0</v>
      </c>
      <c r="N15" s="45">
        <f t="shared" si="5"/>
        <v>17426.824414339175</v>
      </c>
      <c r="O15" s="46">
        <f t="shared" si="6"/>
        <v>34853.64882867835</v>
      </c>
      <c r="P15" s="47">
        <f t="shared" si="7"/>
        <v>85125</v>
      </c>
      <c r="Q15" s="47">
        <v>113500</v>
      </c>
      <c r="R15" s="47">
        <f t="shared" si="11"/>
        <v>28375</v>
      </c>
      <c r="S15" s="191">
        <f t="shared" si="10"/>
        <v>0.25</v>
      </c>
      <c r="T15" s="42">
        <v>170250</v>
      </c>
      <c r="U15" s="48">
        <f t="shared" si="8"/>
        <v>0.20472040428004903</v>
      </c>
      <c r="V15" s="49"/>
      <c r="X15" s="112"/>
    </row>
    <row r="16" spans="1:24" x14ac:dyDescent="0.3">
      <c r="A16" s="40" t="str">
        <f>VLOOKUP(B16,Grupos!$A$2:$B$619,2,FALSE)</f>
        <v>ACCESORIOS</v>
      </c>
      <c r="B16" s="41" t="s">
        <v>34</v>
      </c>
      <c r="C16" s="41" t="s">
        <v>35</v>
      </c>
      <c r="D16" s="42">
        <v>10</v>
      </c>
      <c r="E16" s="43">
        <v>1229.3900000000001</v>
      </c>
      <c r="F16" s="43">
        <v>0</v>
      </c>
      <c r="G16" s="126">
        <f t="shared" si="0"/>
        <v>1229.3900000000001</v>
      </c>
      <c r="H16" s="127">
        <f t="shared" si="1"/>
        <v>12293.900000000001</v>
      </c>
      <c r="I16" s="128">
        <f t="shared" si="2"/>
        <v>0</v>
      </c>
      <c r="J16" s="128">
        <f t="shared" si="3"/>
        <v>12293.900000000001</v>
      </c>
      <c r="K16" s="44">
        <f t="shared" si="4"/>
        <v>9.2366207516912799E-6</v>
      </c>
      <c r="L16" s="45">
        <v>238.95038455173935</v>
      </c>
      <c r="M16" s="45">
        <v>0</v>
      </c>
      <c r="N16" s="45">
        <f t="shared" si="5"/>
        <v>1468.3403845517394</v>
      </c>
      <c r="O16" s="46">
        <f t="shared" si="6"/>
        <v>14683.403845517394</v>
      </c>
      <c r="P16" s="47">
        <f t="shared" si="7"/>
        <v>6776</v>
      </c>
      <c r="Q16" s="47">
        <v>15400</v>
      </c>
      <c r="R16" s="47">
        <f t="shared" si="11"/>
        <v>8624</v>
      </c>
      <c r="S16" s="191">
        <f t="shared" si="10"/>
        <v>0.56000000000000005</v>
      </c>
      <c r="T16" s="42">
        <v>67760</v>
      </c>
      <c r="U16" s="48">
        <f t="shared" si="8"/>
        <v>0.21669722322192139</v>
      </c>
      <c r="V16" s="49"/>
      <c r="X16" s="112"/>
    </row>
    <row r="17" spans="1:24" x14ac:dyDescent="0.3">
      <c r="A17" s="40" t="str">
        <f>VLOOKUP(B17,Grupos!$A$2:$B$619,2,FALSE)</f>
        <v>ACCESORIOS</v>
      </c>
      <c r="B17" s="41" t="s">
        <v>36</v>
      </c>
      <c r="C17" s="41" t="s">
        <v>37</v>
      </c>
      <c r="D17" s="42">
        <v>10</v>
      </c>
      <c r="E17" s="43">
        <v>1583.66</v>
      </c>
      <c r="F17" s="43">
        <v>0</v>
      </c>
      <c r="G17" s="126">
        <f t="shared" si="0"/>
        <v>1583.66</v>
      </c>
      <c r="H17" s="127">
        <f t="shared" si="1"/>
        <v>15836.6</v>
      </c>
      <c r="I17" s="128">
        <f t="shared" si="2"/>
        <v>0</v>
      </c>
      <c r="J17" s="128">
        <f t="shared" si="3"/>
        <v>15836.6</v>
      </c>
      <c r="K17" s="44">
        <f t="shared" si="4"/>
        <v>1.1898312837767845E-5</v>
      </c>
      <c r="L17" s="45">
        <v>307.80807229537214</v>
      </c>
      <c r="M17" s="45">
        <v>0</v>
      </c>
      <c r="N17" s="45">
        <f t="shared" si="5"/>
        <v>1891.4680722953722</v>
      </c>
      <c r="O17" s="46">
        <f t="shared" si="6"/>
        <v>18914.680722953723</v>
      </c>
      <c r="P17" s="47">
        <f t="shared" si="7"/>
        <v>9680</v>
      </c>
      <c r="Q17" s="47">
        <v>22000</v>
      </c>
      <c r="R17" s="47">
        <f t="shared" si="11"/>
        <v>12320</v>
      </c>
      <c r="S17" s="191">
        <f t="shared" si="10"/>
        <v>0.56000000000000005</v>
      </c>
      <c r="T17" s="42">
        <v>96800</v>
      </c>
      <c r="U17" s="48">
        <f t="shared" si="8"/>
        <v>0.19539959424538969</v>
      </c>
      <c r="V17" s="49"/>
      <c r="X17" s="112"/>
    </row>
    <row r="18" spans="1:24" x14ac:dyDescent="0.3">
      <c r="A18" s="40" t="str">
        <f>VLOOKUP(B18,Grupos!$A$2:$B$619,2,FALSE)</f>
        <v>ACCESORIOS</v>
      </c>
      <c r="B18" s="41" t="s">
        <v>731</v>
      </c>
      <c r="C18" s="41" t="s">
        <v>732</v>
      </c>
      <c r="D18" s="42">
        <v>150</v>
      </c>
      <c r="E18" s="43">
        <v>1185</v>
      </c>
      <c r="F18" s="43">
        <v>0</v>
      </c>
      <c r="G18" s="126">
        <f t="shared" si="0"/>
        <v>1185</v>
      </c>
      <c r="H18" s="127">
        <f t="shared" si="1"/>
        <v>177750</v>
      </c>
      <c r="I18" s="128">
        <f t="shared" si="2"/>
        <v>0</v>
      </c>
      <c r="J18" s="128">
        <f t="shared" si="3"/>
        <v>177750</v>
      </c>
      <c r="K18" s="44">
        <f t="shared" si="4"/>
        <v>1.335466644932141E-4</v>
      </c>
      <c r="L18" s="45">
        <v>230.32252230277706</v>
      </c>
      <c r="M18" s="45">
        <v>0</v>
      </c>
      <c r="N18" s="45">
        <f t="shared" si="5"/>
        <v>1415.3225223027771</v>
      </c>
      <c r="O18" s="46">
        <f t="shared" si="6"/>
        <v>212298.37834541657</v>
      </c>
      <c r="P18" s="47">
        <f t="shared" si="7"/>
        <v>9240.0004000000008</v>
      </c>
      <c r="Q18" s="47">
        <v>22000</v>
      </c>
      <c r="R18" s="47">
        <f t="shared" si="11"/>
        <v>12759.999599999999</v>
      </c>
      <c r="S18" s="191">
        <f t="shared" si="10"/>
        <v>0.5799999818181818</v>
      </c>
      <c r="T18" s="42">
        <v>1386000.06</v>
      </c>
      <c r="U18" s="48">
        <f t="shared" si="8"/>
        <v>0.15317342651876692</v>
      </c>
      <c r="V18" s="49"/>
      <c r="X18" s="112"/>
    </row>
    <row r="19" spans="1:24" x14ac:dyDescent="0.3">
      <c r="A19" s="40" t="str">
        <f>VLOOKUP(B19,Grupos!$A$2:$B$619,2,FALSE)</f>
        <v>ACCESORIOS</v>
      </c>
      <c r="B19" s="41" t="s">
        <v>39</v>
      </c>
      <c r="C19" s="41" t="s">
        <v>40</v>
      </c>
      <c r="D19" s="42">
        <v>20</v>
      </c>
      <c r="E19" s="43">
        <v>1003</v>
      </c>
      <c r="F19" s="43">
        <v>0</v>
      </c>
      <c r="G19" s="126">
        <f t="shared" si="0"/>
        <v>1003</v>
      </c>
      <c r="H19" s="127">
        <f t="shared" si="1"/>
        <v>20060</v>
      </c>
      <c r="I19" s="128">
        <f t="shared" si="2"/>
        <v>0</v>
      </c>
      <c r="J19" s="128">
        <f t="shared" si="3"/>
        <v>20060</v>
      </c>
      <c r="K19" s="44">
        <f t="shared" si="4"/>
        <v>1.5071426665169478E-5</v>
      </c>
      <c r="L19" s="45">
        <v>194.94809271703409</v>
      </c>
      <c r="M19" s="45">
        <v>0</v>
      </c>
      <c r="N19" s="45">
        <f t="shared" si="5"/>
        <v>1197.9480927170341</v>
      </c>
      <c r="O19" s="46">
        <f t="shared" si="6"/>
        <v>23958.961854340683</v>
      </c>
      <c r="P19" s="47">
        <f t="shared" si="7"/>
        <v>3006</v>
      </c>
      <c r="Q19" s="47">
        <v>8350</v>
      </c>
      <c r="R19" s="47">
        <f t="shared" si="11"/>
        <v>5344</v>
      </c>
      <c r="S19" s="191">
        <f t="shared" si="10"/>
        <v>0.64</v>
      </c>
      <c r="T19" s="42">
        <v>60120</v>
      </c>
      <c r="U19" s="48">
        <f t="shared" si="8"/>
        <v>0.39851899291983839</v>
      </c>
      <c r="V19" s="49"/>
      <c r="X19" s="112"/>
    </row>
    <row r="20" spans="1:24" x14ac:dyDescent="0.3">
      <c r="A20" s="40" t="str">
        <f>VLOOKUP(B20,Grupos!$A$2:$B$619,2,FALSE)</f>
        <v>ACCESORIOS</v>
      </c>
      <c r="B20" s="41" t="s">
        <v>42</v>
      </c>
      <c r="C20" s="41" t="s">
        <v>43</v>
      </c>
      <c r="D20" s="42">
        <v>24</v>
      </c>
      <c r="E20" s="43">
        <v>60</v>
      </c>
      <c r="F20" s="43">
        <v>0</v>
      </c>
      <c r="G20" s="126">
        <f t="shared" si="0"/>
        <v>60</v>
      </c>
      <c r="H20" s="127">
        <f t="shared" si="1"/>
        <v>1440</v>
      </c>
      <c r="I20" s="128">
        <f t="shared" si="2"/>
        <v>0</v>
      </c>
      <c r="J20" s="128">
        <f t="shared" si="3"/>
        <v>1440</v>
      </c>
      <c r="K20" s="44">
        <f t="shared" si="4"/>
        <v>1.0818970288057852E-6</v>
      </c>
      <c r="L20" s="45">
        <v>11.661899863431751</v>
      </c>
      <c r="M20" s="45">
        <v>0</v>
      </c>
      <c r="N20" s="45">
        <f t="shared" si="5"/>
        <v>71.661899863431756</v>
      </c>
      <c r="O20" s="46">
        <f t="shared" si="6"/>
        <v>1719.8855967223622</v>
      </c>
      <c r="P20" s="47">
        <f t="shared" si="7"/>
        <v>220</v>
      </c>
      <c r="Q20" s="47">
        <v>220</v>
      </c>
      <c r="R20" s="47">
        <f t="shared" si="11"/>
        <v>0</v>
      </c>
      <c r="S20" s="191">
        <f t="shared" si="10"/>
        <v>0</v>
      </c>
      <c r="T20" s="42">
        <v>5280</v>
      </c>
      <c r="U20" s="48">
        <f t="shared" si="8"/>
        <v>0.32573590847014433</v>
      </c>
      <c r="V20" s="49"/>
      <c r="X20" s="112"/>
    </row>
    <row r="21" spans="1:24" x14ac:dyDescent="0.3">
      <c r="A21" s="40" t="str">
        <f>VLOOKUP(B21,Grupos!$A$2:$B$619,2,FALSE)</f>
        <v>ACCESORIOS</v>
      </c>
      <c r="B21" s="41" t="s">
        <v>614</v>
      </c>
      <c r="C21" s="41" t="s">
        <v>615</v>
      </c>
      <c r="D21" s="42">
        <v>584</v>
      </c>
      <c r="E21" s="43">
        <v>84.21</v>
      </c>
      <c r="F21" s="43">
        <v>0</v>
      </c>
      <c r="G21" s="126">
        <f t="shared" si="0"/>
        <v>84.21</v>
      </c>
      <c r="H21" s="127">
        <f t="shared" si="1"/>
        <v>49178.64</v>
      </c>
      <c r="I21" s="128">
        <f t="shared" si="2"/>
        <v>0</v>
      </c>
      <c r="J21" s="128">
        <f t="shared" si="3"/>
        <v>49178.64</v>
      </c>
      <c r="K21" s="44">
        <f t="shared" si="4"/>
        <v>3.6948767011603705E-5</v>
      </c>
      <c r="L21" s="45">
        <v>16.367476458326461</v>
      </c>
      <c r="M21" s="45">
        <v>0</v>
      </c>
      <c r="N21" s="45">
        <f t="shared" si="5"/>
        <v>100.57747645832646</v>
      </c>
      <c r="O21" s="46">
        <f t="shared" si="6"/>
        <v>58737.246251662655</v>
      </c>
      <c r="P21" s="47">
        <f t="shared" si="7"/>
        <v>300</v>
      </c>
      <c r="Q21" s="47">
        <v>300</v>
      </c>
      <c r="R21" s="47">
        <f t="shared" si="11"/>
        <v>0</v>
      </c>
      <c r="S21" s="191">
        <f t="shared" si="10"/>
        <v>0</v>
      </c>
      <c r="T21" s="42">
        <v>175200</v>
      </c>
      <c r="U21" s="48">
        <f t="shared" si="8"/>
        <v>0.33525825486108823</v>
      </c>
      <c r="V21" s="49"/>
      <c r="X21" s="112"/>
    </row>
    <row r="22" spans="1:24" x14ac:dyDescent="0.3">
      <c r="A22" s="40" t="str">
        <f>VLOOKUP(B22,Grupos!$A$2:$B$619,2,FALSE)</f>
        <v>ACCESORIOS</v>
      </c>
      <c r="B22" s="41" t="s">
        <v>44</v>
      </c>
      <c r="C22" s="41" t="s">
        <v>45</v>
      </c>
      <c r="D22" s="42">
        <v>2</v>
      </c>
      <c r="E22" s="43">
        <v>5104.8500000000004</v>
      </c>
      <c r="F22" s="43">
        <v>36.47</v>
      </c>
      <c r="G22" s="126">
        <f t="shared" si="0"/>
        <v>5141.3200000000006</v>
      </c>
      <c r="H22" s="127">
        <f t="shared" si="1"/>
        <v>10209.700000000001</v>
      </c>
      <c r="I22" s="128">
        <f t="shared" si="2"/>
        <v>72.94</v>
      </c>
      <c r="J22" s="128">
        <f t="shared" si="3"/>
        <v>10282.640000000001</v>
      </c>
      <c r="K22" s="44">
        <f t="shared" si="4"/>
        <v>7.7255261557496658E-6</v>
      </c>
      <c r="L22" s="45">
        <v>999.29265009764879</v>
      </c>
      <c r="M22" s="45">
        <v>195.85591817251958</v>
      </c>
      <c r="N22" s="45">
        <f t="shared" si="5"/>
        <v>6336.4685682701693</v>
      </c>
      <c r="O22" s="46">
        <f t="shared" si="6"/>
        <v>12672.937136540339</v>
      </c>
      <c r="P22" s="47">
        <f t="shared" si="7"/>
        <v>22050</v>
      </c>
      <c r="Q22" s="47">
        <v>52500</v>
      </c>
      <c r="R22" s="47">
        <f t="shared" si="11"/>
        <v>30450</v>
      </c>
      <c r="S22" s="191">
        <f t="shared" si="10"/>
        <v>0.57999999999999996</v>
      </c>
      <c r="T22" s="42">
        <v>44100</v>
      </c>
      <c r="U22" s="48">
        <f t="shared" si="8"/>
        <v>0.28736818903719591</v>
      </c>
      <c r="V22" s="49"/>
      <c r="X22" s="112"/>
    </row>
    <row r="23" spans="1:24" x14ac:dyDescent="0.3">
      <c r="A23" s="40" t="str">
        <f>VLOOKUP(B23,Grupos!$A$2:$B$619,2,FALSE)</f>
        <v>ACCESORIOS</v>
      </c>
      <c r="B23" s="41" t="s">
        <v>667</v>
      </c>
      <c r="C23" s="41" t="s">
        <v>668</v>
      </c>
      <c r="D23" s="42">
        <v>3</v>
      </c>
      <c r="E23" s="43">
        <v>5982.61</v>
      </c>
      <c r="F23" s="43">
        <v>36.47</v>
      </c>
      <c r="G23" s="126">
        <f t="shared" si="0"/>
        <v>6019.08</v>
      </c>
      <c r="H23" s="127">
        <f t="shared" si="1"/>
        <v>17947.829999999998</v>
      </c>
      <c r="I23" s="128">
        <f t="shared" si="2"/>
        <v>109.41</v>
      </c>
      <c r="J23" s="128">
        <f t="shared" si="3"/>
        <v>18057.239999999998</v>
      </c>
      <c r="K23" s="44">
        <f t="shared" si="4"/>
        <v>1.3566718266967342E-5</v>
      </c>
      <c r="L23" s="45">
        <v>1169.8984704997463</v>
      </c>
      <c r="M23" s="45">
        <v>195.85591817251958</v>
      </c>
      <c r="N23" s="45">
        <f t="shared" si="5"/>
        <v>7384.834388672266</v>
      </c>
      <c r="O23" s="46">
        <f t="shared" si="6"/>
        <v>22154.503166016799</v>
      </c>
      <c r="P23" s="47">
        <f t="shared" si="7"/>
        <v>29880.666666666668</v>
      </c>
      <c r="Q23" s="47">
        <v>67400</v>
      </c>
      <c r="R23" s="47">
        <f t="shared" si="11"/>
        <v>37519.333333333328</v>
      </c>
      <c r="S23" s="191">
        <f t="shared" si="10"/>
        <v>0.55666666666666664</v>
      </c>
      <c r="T23" s="42">
        <v>89642</v>
      </c>
      <c r="U23" s="48">
        <f t="shared" si="8"/>
        <v>0.24714423111952877</v>
      </c>
      <c r="V23" s="49"/>
      <c r="X23" s="112"/>
    </row>
    <row r="24" spans="1:24" x14ac:dyDescent="0.3">
      <c r="A24" s="40" t="str">
        <f>VLOOKUP(B24,Grupos!$A$2:$B$619,2,FALSE)</f>
        <v>ACCESORIOS</v>
      </c>
      <c r="B24" s="41" t="s">
        <v>616</v>
      </c>
      <c r="C24" s="41" t="s">
        <v>617</v>
      </c>
      <c r="D24" s="42">
        <v>2</v>
      </c>
      <c r="E24" s="43">
        <v>4361.33</v>
      </c>
      <c r="F24" s="43">
        <v>36.47</v>
      </c>
      <c r="G24" s="126">
        <f t="shared" si="0"/>
        <v>4397.8</v>
      </c>
      <c r="H24" s="127">
        <f t="shared" si="1"/>
        <v>8722.66</v>
      </c>
      <c r="I24" s="128">
        <f t="shared" si="2"/>
        <v>72.94</v>
      </c>
      <c r="J24" s="128">
        <f t="shared" si="3"/>
        <v>8795.6</v>
      </c>
      <c r="K24" s="44">
        <f t="shared" si="4"/>
        <v>6.6082871573362253E-6</v>
      </c>
      <c r="L24" s="45">
        <v>854.77838699000256</v>
      </c>
      <c r="M24" s="45">
        <v>195.85591817251958</v>
      </c>
      <c r="N24" s="45">
        <f t="shared" si="5"/>
        <v>5448.4343051625219</v>
      </c>
      <c r="O24" s="46">
        <f t="shared" si="6"/>
        <v>10896.868610325044</v>
      </c>
      <c r="P24" s="47">
        <f t="shared" si="7"/>
        <v>31350</v>
      </c>
      <c r="Q24" s="47">
        <v>41800</v>
      </c>
      <c r="R24" s="47">
        <f t="shared" si="11"/>
        <v>10450</v>
      </c>
      <c r="S24" s="191">
        <f t="shared" si="10"/>
        <v>0.25</v>
      </c>
      <c r="T24" s="42">
        <v>62700</v>
      </c>
      <c r="U24" s="48">
        <f t="shared" si="8"/>
        <v>0.17379375774043132</v>
      </c>
      <c r="V24" s="49"/>
      <c r="X24" s="112"/>
    </row>
    <row r="25" spans="1:24" x14ac:dyDescent="0.3">
      <c r="A25" s="40" t="str">
        <f>VLOOKUP(B25,Grupos!$A$2:$B$619,2,FALSE)</f>
        <v>ACCESORIOS</v>
      </c>
      <c r="B25" s="41" t="s">
        <v>618</v>
      </c>
      <c r="C25" s="41" t="s">
        <v>619</v>
      </c>
      <c r="D25" s="42">
        <v>3</v>
      </c>
      <c r="E25" s="43">
        <v>7156.87</v>
      </c>
      <c r="F25" s="43">
        <v>179.7</v>
      </c>
      <c r="G25" s="126">
        <f t="shared" si="0"/>
        <v>7336.57</v>
      </c>
      <c r="H25" s="127">
        <f t="shared" si="1"/>
        <v>21470.61</v>
      </c>
      <c r="I25" s="128">
        <f t="shared" si="2"/>
        <v>539.09999999999991</v>
      </c>
      <c r="J25" s="128">
        <f t="shared" si="3"/>
        <v>22009.71</v>
      </c>
      <c r="K25" s="44">
        <f t="shared" si="4"/>
        <v>1.6536277676303455E-5</v>
      </c>
      <c r="L25" s="45">
        <v>1425.9724113509581</v>
      </c>
      <c r="M25" s="45">
        <v>965.04821759259028</v>
      </c>
      <c r="N25" s="45">
        <f t="shared" si="5"/>
        <v>9727.5906289435479</v>
      </c>
      <c r="O25" s="46">
        <f t="shared" si="6"/>
        <v>29182.771886830644</v>
      </c>
      <c r="P25" s="47">
        <f t="shared" si="7"/>
        <v>22000</v>
      </c>
      <c r="Q25" s="47">
        <v>22000</v>
      </c>
      <c r="R25" s="47">
        <f t="shared" si="11"/>
        <v>0</v>
      </c>
      <c r="S25" s="191">
        <f t="shared" si="10"/>
        <v>0</v>
      </c>
      <c r="T25" s="42">
        <v>66000</v>
      </c>
      <c r="U25" s="48">
        <f t="shared" si="8"/>
        <v>0.4421632104065249</v>
      </c>
      <c r="V25" s="49"/>
      <c r="X25" s="112"/>
    </row>
    <row r="26" spans="1:24" x14ac:dyDescent="0.3">
      <c r="A26" s="40" t="str">
        <f>VLOOKUP(B26,Grupos!$A$2:$B$619,2,FALSE)</f>
        <v>ACCESORIOS</v>
      </c>
      <c r="B26" s="41" t="s">
        <v>47</v>
      </c>
      <c r="C26" s="41" t="s">
        <v>48</v>
      </c>
      <c r="D26" s="42">
        <v>37</v>
      </c>
      <c r="E26" s="43">
        <v>412.02</v>
      </c>
      <c r="F26" s="43">
        <v>3.75</v>
      </c>
      <c r="G26" s="126">
        <f t="shared" si="0"/>
        <v>415.77</v>
      </c>
      <c r="H26" s="127">
        <f t="shared" si="1"/>
        <v>15244.74</v>
      </c>
      <c r="I26" s="128">
        <f t="shared" si="2"/>
        <v>138.75</v>
      </c>
      <c r="J26" s="128">
        <f t="shared" si="3"/>
        <v>15383.49</v>
      </c>
      <c r="K26" s="44">
        <f t="shared" si="4"/>
        <v>1.1557883419210768E-5</v>
      </c>
      <c r="L26" s="45">
        <v>80.811135103650315</v>
      </c>
      <c r="M26" s="45">
        <v>20.138735759444707</v>
      </c>
      <c r="N26" s="45">
        <f t="shared" si="5"/>
        <v>516.71987086309503</v>
      </c>
      <c r="O26" s="46">
        <f t="shared" si="6"/>
        <v>19118.635221934517</v>
      </c>
      <c r="P26" s="47">
        <f t="shared" si="7"/>
        <v>2625</v>
      </c>
      <c r="Q26" s="47">
        <v>7500</v>
      </c>
      <c r="R26" s="47">
        <f t="shared" si="11"/>
        <v>4875</v>
      </c>
      <c r="S26" s="191">
        <f t="shared" si="10"/>
        <v>0.65</v>
      </c>
      <c r="T26" s="42">
        <v>97125</v>
      </c>
      <c r="U26" s="48">
        <f t="shared" si="8"/>
        <v>0.19684566509070289</v>
      </c>
      <c r="V26" s="49"/>
      <c r="X26" s="112"/>
    </row>
    <row r="27" spans="1:24" x14ac:dyDescent="0.3">
      <c r="A27" s="40" t="str">
        <f>VLOOKUP(B27,Grupos!$A$2:$B$619,2,FALSE)</f>
        <v>ACCESORIOS</v>
      </c>
      <c r="B27" s="41" t="s">
        <v>50</v>
      </c>
      <c r="C27" s="41" t="s">
        <v>51</v>
      </c>
      <c r="D27" s="42">
        <v>24</v>
      </c>
      <c r="E27" s="43">
        <v>575.44000000000005</v>
      </c>
      <c r="F27" s="43">
        <v>3.75</v>
      </c>
      <c r="G27" s="126">
        <f t="shared" si="0"/>
        <v>579.19000000000005</v>
      </c>
      <c r="H27" s="127">
        <f t="shared" si="1"/>
        <v>13810.560000000001</v>
      </c>
      <c r="I27" s="128">
        <f t="shared" si="2"/>
        <v>90</v>
      </c>
      <c r="J27" s="128">
        <f t="shared" si="3"/>
        <v>13900.560000000001</v>
      </c>
      <c r="K27" s="44">
        <f t="shared" si="4"/>
        <v>1.0443732335233711E-5</v>
      </c>
      <c r="L27" s="45">
        <v>112.57426303168393</v>
      </c>
      <c r="M27" s="45">
        <v>20.138735759444707</v>
      </c>
      <c r="N27" s="45">
        <f t="shared" si="5"/>
        <v>711.90299879112865</v>
      </c>
      <c r="O27" s="46">
        <f t="shared" si="6"/>
        <v>17085.671970987089</v>
      </c>
      <c r="P27" s="47">
        <f t="shared" si="7"/>
        <v>3000</v>
      </c>
      <c r="Q27" s="47">
        <v>7500</v>
      </c>
      <c r="R27" s="47">
        <f t="shared" si="11"/>
        <v>4500</v>
      </c>
      <c r="S27" s="191">
        <f t="shared" si="10"/>
        <v>0.6</v>
      </c>
      <c r="T27" s="42">
        <v>72000</v>
      </c>
      <c r="U27" s="48">
        <f t="shared" si="8"/>
        <v>0.2373009995970429</v>
      </c>
      <c r="V27" s="49"/>
      <c r="X27" s="112"/>
    </row>
    <row r="28" spans="1:24" x14ac:dyDescent="0.3">
      <c r="A28" s="40" t="str">
        <f>VLOOKUP(B28,Grupos!$A$2:$B$619,2,FALSE)</f>
        <v>ACCESORIOS</v>
      </c>
      <c r="B28" s="41" t="s">
        <v>620</v>
      </c>
      <c r="C28" s="41" t="s">
        <v>621</v>
      </c>
      <c r="D28" s="42">
        <v>10</v>
      </c>
      <c r="E28" s="43">
        <v>2250.44</v>
      </c>
      <c r="F28" s="43">
        <v>0</v>
      </c>
      <c r="G28" s="126">
        <f t="shared" si="0"/>
        <v>2250.44</v>
      </c>
      <c r="H28" s="127">
        <f t="shared" si="1"/>
        <v>22504.400000000001</v>
      </c>
      <c r="I28" s="128">
        <f t="shared" si="2"/>
        <v>0</v>
      </c>
      <c r="J28" s="128">
        <f t="shared" si="3"/>
        <v>22504.400000000001</v>
      </c>
      <c r="K28" s="44">
        <f t="shared" si="4"/>
        <v>1.6907946871567301E-5</v>
      </c>
      <c r="L28" s="45">
        <v>437.40676547768919</v>
      </c>
      <c r="M28" s="45">
        <v>0</v>
      </c>
      <c r="N28" s="45">
        <f t="shared" si="5"/>
        <v>2687.8467654776891</v>
      </c>
      <c r="O28" s="46">
        <f t="shared" si="6"/>
        <v>26878.46765477689</v>
      </c>
      <c r="P28" s="47">
        <f t="shared" si="7"/>
        <v>13728</v>
      </c>
      <c r="Q28" s="47">
        <v>31200</v>
      </c>
      <c r="R28" s="47">
        <f t="shared" si="11"/>
        <v>17472</v>
      </c>
      <c r="S28" s="191">
        <f t="shared" si="10"/>
        <v>0.56000000000000005</v>
      </c>
      <c r="T28" s="42">
        <v>137280</v>
      </c>
      <c r="U28" s="48">
        <f t="shared" si="8"/>
        <v>0.19579303361579903</v>
      </c>
      <c r="V28" s="49"/>
      <c r="X28" s="112"/>
    </row>
    <row r="29" spans="1:24" x14ac:dyDescent="0.3">
      <c r="A29" s="40" t="str">
        <f>VLOOKUP(B29,Grupos!$A$2:$B$619,2,FALSE)</f>
        <v>ACCESORIOS</v>
      </c>
      <c r="B29" s="41" t="s">
        <v>714</v>
      </c>
      <c r="C29" s="41" t="s">
        <v>715</v>
      </c>
      <c r="D29" s="42">
        <v>5</v>
      </c>
      <c r="E29" s="43">
        <v>3125.57</v>
      </c>
      <c r="F29" s="43">
        <v>0</v>
      </c>
      <c r="G29" s="126">
        <f t="shared" si="0"/>
        <v>3125.57</v>
      </c>
      <c r="H29" s="127">
        <f t="shared" si="1"/>
        <v>15627.85</v>
      </c>
      <c r="I29" s="128">
        <f t="shared" si="2"/>
        <v>0</v>
      </c>
      <c r="J29" s="128">
        <f t="shared" si="3"/>
        <v>15627.85</v>
      </c>
      <c r="K29" s="44">
        <f t="shared" si="4"/>
        <v>1.1741475334460062E-5</v>
      </c>
      <c r="L29" s="45">
        <v>607.50140593577294</v>
      </c>
      <c r="M29" s="45">
        <v>0</v>
      </c>
      <c r="N29" s="45">
        <f t="shared" si="5"/>
        <v>3733.0714059357733</v>
      </c>
      <c r="O29" s="46">
        <f t="shared" si="6"/>
        <v>18665.357029678868</v>
      </c>
      <c r="P29" s="47">
        <f t="shared" si="7"/>
        <v>19250</v>
      </c>
      <c r="Q29" s="47">
        <v>43750</v>
      </c>
      <c r="R29" s="47">
        <f t="shared" si="11"/>
        <v>24500</v>
      </c>
      <c r="S29" s="191">
        <f t="shared" si="10"/>
        <v>0.56000000000000005</v>
      </c>
      <c r="T29" s="42">
        <v>96250</v>
      </c>
      <c r="U29" s="48">
        <f t="shared" si="8"/>
        <v>0.19392578732133889</v>
      </c>
      <c r="V29" s="49"/>
      <c r="X29" s="112"/>
    </row>
    <row r="30" spans="1:24" x14ac:dyDescent="0.3">
      <c r="A30" s="40" t="str">
        <f>VLOOKUP(B30,Grupos!$A$2:$B$619,2,FALSE)</f>
        <v>ACCESORIOS</v>
      </c>
      <c r="B30" s="41" t="s">
        <v>54</v>
      </c>
      <c r="C30" s="41" t="s">
        <v>55</v>
      </c>
      <c r="D30" s="42">
        <v>2</v>
      </c>
      <c r="E30" s="43">
        <v>14899.51</v>
      </c>
      <c r="F30" s="43">
        <v>0</v>
      </c>
      <c r="G30" s="126">
        <f t="shared" si="0"/>
        <v>14899.51</v>
      </c>
      <c r="H30" s="127">
        <f t="shared" si="1"/>
        <v>29799.02</v>
      </c>
      <c r="I30" s="128">
        <f t="shared" si="2"/>
        <v>0</v>
      </c>
      <c r="J30" s="128">
        <f t="shared" si="3"/>
        <v>29799.02</v>
      </c>
      <c r="K30" s="44">
        <f t="shared" si="4"/>
        <v>2.2388521666197337E-5</v>
      </c>
      <c r="L30" s="45">
        <v>2895.9432272366666</v>
      </c>
      <c r="M30" s="45">
        <v>0</v>
      </c>
      <c r="N30" s="45">
        <f t="shared" si="5"/>
        <v>17795.453227236667</v>
      </c>
      <c r="O30" s="46">
        <f t="shared" si="6"/>
        <v>35590.906454473334</v>
      </c>
      <c r="P30" s="47">
        <f t="shared" si="7"/>
        <v>85125</v>
      </c>
      <c r="Q30" s="47">
        <v>113500</v>
      </c>
      <c r="R30" s="47">
        <f t="shared" si="11"/>
        <v>28375</v>
      </c>
      <c r="S30" s="191">
        <f t="shared" si="10"/>
        <v>0.25</v>
      </c>
      <c r="T30" s="42">
        <v>170250</v>
      </c>
      <c r="U30" s="48">
        <f t="shared" si="8"/>
        <v>0.20905084554756731</v>
      </c>
      <c r="V30" s="49"/>
      <c r="X30" s="112"/>
    </row>
    <row r="31" spans="1:24" x14ac:dyDescent="0.3">
      <c r="A31" s="40" t="str">
        <f>VLOOKUP(B31,Grupos!$A$2:$B$619,2,FALSE)</f>
        <v>ACCESORIOS</v>
      </c>
      <c r="B31" s="41" t="s">
        <v>675</v>
      </c>
      <c r="C31" s="41" t="s">
        <v>676</v>
      </c>
      <c r="D31" s="42">
        <v>10</v>
      </c>
      <c r="E31" s="43">
        <v>1271.1500000000001</v>
      </c>
      <c r="F31" s="43">
        <v>0</v>
      </c>
      <c r="G31" s="126">
        <f t="shared" si="0"/>
        <v>1271.1500000000001</v>
      </c>
      <c r="H31" s="127">
        <f t="shared" si="1"/>
        <v>12711.5</v>
      </c>
      <c r="I31" s="128">
        <f t="shared" si="2"/>
        <v>0</v>
      </c>
      <c r="J31" s="128">
        <f t="shared" si="3"/>
        <v>12711.5</v>
      </c>
      <c r="K31" s="44">
        <f t="shared" si="4"/>
        <v>9.5503708900449573E-6</v>
      </c>
      <c r="L31" s="45">
        <v>247.06706685668783</v>
      </c>
      <c r="M31" s="45">
        <v>0</v>
      </c>
      <c r="N31" s="45">
        <f t="shared" si="5"/>
        <v>1518.217066856688</v>
      </c>
      <c r="O31" s="46">
        <f t="shared" si="6"/>
        <v>15182.17066856688</v>
      </c>
      <c r="P31" s="47">
        <f t="shared" si="7"/>
        <v>6776</v>
      </c>
      <c r="Q31" s="47">
        <v>15400</v>
      </c>
      <c r="R31" s="47">
        <f t="shared" si="11"/>
        <v>8624</v>
      </c>
      <c r="S31" s="191">
        <f t="shared" si="10"/>
        <v>0.56000000000000005</v>
      </c>
      <c r="T31" s="42">
        <v>67760</v>
      </c>
      <c r="U31" s="48">
        <f t="shared" si="8"/>
        <v>0.22405800868605194</v>
      </c>
      <c r="V31" s="49"/>
      <c r="X31" s="112"/>
    </row>
    <row r="32" spans="1:24" x14ac:dyDescent="0.3">
      <c r="A32" s="40" t="str">
        <f>VLOOKUP(B32,Grupos!$A$2:$B$619,2,FALSE)</f>
        <v>ACCESORIOS</v>
      </c>
      <c r="B32" s="41" t="s">
        <v>56</v>
      </c>
      <c r="C32" s="41" t="s">
        <v>57</v>
      </c>
      <c r="D32" s="42">
        <v>10</v>
      </c>
      <c r="E32" s="43">
        <v>1666.74</v>
      </c>
      <c r="F32" s="43">
        <v>0</v>
      </c>
      <c r="G32" s="126">
        <f t="shared" si="0"/>
        <v>1666.74</v>
      </c>
      <c r="H32" s="127">
        <f t="shared" si="1"/>
        <v>16667.400000000001</v>
      </c>
      <c r="I32" s="128">
        <f t="shared" si="2"/>
        <v>0</v>
      </c>
      <c r="J32" s="128">
        <f t="shared" si="3"/>
        <v>16667.400000000001</v>
      </c>
      <c r="K32" s="44">
        <f t="shared" si="4"/>
        <v>1.2522507317998295E-5</v>
      </c>
      <c r="L32" s="45">
        <v>323.95591630627064</v>
      </c>
      <c r="M32" s="45">
        <v>0</v>
      </c>
      <c r="N32" s="45">
        <f t="shared" si="5"/>
        <v>1990.6959163062706</v>
      </c>
      <c r="O32" s="46">
        <f t="shared" si="6"/>
        <v>19906.959163062707</v>
      </c>
      <c r="P32" s="47">
        <f t="shared" si="7"/>
        <v>9680</v>
      </c>
      <c r="Q32" s="47">
        <v>22000</v>
      </c>
      <c r="R32" s="47">
        <f t="shared" si="11"/>
        <v>12320</v>
      </c>
      <c r="S32" s="191">
        <f t="shared" si="10"/>
        <v>0.56000000000000005</v>
      </c>
      <c r="T32" s="42">
        <v>96800</v>
      </c>
      <c r="U32" s="48">
        <f t="shared" si="8"/>
        <v>0.20565040457709408</v>
      </c>
      <c r="V32" s="49"/>
      <c r="X32" s="112"/>
    </row>
    <row r="33" spans="1:24" x14ac:dyDescent="0.3">
      <c r="A33" s="40" t="str">
        <f>VLOOKUP(B33,Grupos!$A$2:$B$619,2,FALSE)</f>
        <v>ACCESORIOS</v>
      </c>
      <c r="B33" s="41" t="s">
        <v>733</v>
      </c>
      <c r="C33" s="41" t="s">
        <v>734</v>
      </c>
      <c r="D33" s="42">
        <v>150</v>
      </c>
      <c r="E33" s="43">
        <v>1201</v>
      </c>
      <c r="F33" s="43">
        <v>0</v>
      </c>
      <c r="G33" s="126">
        <f t="shared" si="0"/>
        <v>1201</v>
      </c>
      <c r="H33" s="127">
        <f t="shared" si="1"/>
        <v>180150</v>
      </c>
      <c r="I33" s="128">
        <f t="shared" si="2"/>
        <v>0</v>
      </c>
      <c r="J33" s="128">
        <f t="shared" si="3"/>
        <v>180150</v>
      </c>
      <c r="K33" s="44">
        <f t="shared" si="4"/>
        <v>1.353498262078904E-4</v>
      </c>
      <c r="L33" s="45">
        <v>233.43236226635889</v>
      </c>
      <c r="M33" s="45">
        <v>0</v>
      </c>
      <c r="N33" s="45">
        <f t="shared" si="5"/>
        <v>1434.432362266359</v>
      </c>
      <c r="O33" s="46">
        <f t="shared" si="6"/>
        <v>215164.85433995383</v>
      </c>
      <c r="P33" s="47">
        <f t="shared" si="7"/>
        <v>9240.0004000000008</v>
      </c>
      <c r="Q33" s="47">
        <v>22000</v>
      </c>
      <c r="R33" s="47">
        <f t="shared" si="11"/>
        <v>12759.999599999999</v>
      </c>
      <c r="S33" s="191">
        <f t="shared" si="10"/>
        <v>0.5799999818181818</v>
      </c>
      <c r="T33" s="42">
        <v>1386000.06</v>
      </c>
      <c r="U33" s="48">
        <f t="shared" si="8"/>
        <v>0.15524159092745915</v>
      </c>
      <c r="V33" s="49"/>
      <c r="X33" s="112"/>
    </row>
    <row r="34" spans="1:24" x14ac:dyDescent="0.3">
      <c r="A34" s="40" t="str">
        <f>VLOOKUP(B34,Grupos!$A$2:$B$619,2,FALSE)</f>
        <v>ADAPTADORES</v>
      </c>
      <c r="B34" s="41" t="s">
        <v>58</v>
      </c>
      <c r="C34" s="41" t="s">
        <v>59</v>
      </c>
      <c r="D34" s="42">
        <v>11200</v>
      </c>
      <c r="E34" s="43">
        <v>14.92</v>
      </c>
      <c r="F34" s="43">
        <v>4.79</v>
      </c>
      <c r="G34" s="126">
        <f t="shared" si="0"/>
        <v>19.71</v>
      </c>
      <c r="H34" s="127">
        <f t="shared" si="1"/>
        <v>167104</v>
      </c>
      <c r="I34" s="128">
        <f t="shared" si="2"/>
        <v>53648</v>
      </c>
      <c r="J34" s="128">
        <f t="shared" si="3"/>
        <v>220752</v>
      </c>
      <c r="K34" s="44">
        <f t="shared" si="4"/>
        <v>1.6585481451592685E-4</v>
      </c>
      <c r="L34" s="45">
        <v>3.8309341051373296</v>
      </c>
      <c r="M34" s="45">
        <v>25.723878476730707</v>
      </c>
      <c r="N34" s="45">
        <f t="shared" si="5"/>
        <v>49.264812581868043</v>
      </c>
      <c r="O34" s="46">
        <f t="shared" si="6"/>
        <v>551765.90091692202</v>
      </c>
      <c r="P34" s="47">
        <f t="shared" si="7"/>
        <v>87.857146428571426</v>
      </c>
      <c r="Q34" s="47">
        <v>250</v>
      </c>
      <c r="R34" s="47">
        <f t="shared" si="11"/>
        <v>162.14285357142859</v>
      </c>
      <c r="S34" s="191">
        <f t="shared" si="10"/>
        <v>0.64857141428571441</v>
      </c>
      <c r="T34" s="42">
        <v>984000.04</v>
      </c>
      <c r="U34" s="48">
        <f t="shared" si="8"/>
        <v>0.56073768138964908</v>
      </c>
      <c r="V34" s="49"/>
      <c r="X34" s="112"/>
    </row>
    <row r="35" spans="1:24" x14ac:dyDescent="0.3">
      <c r="A35" s="40" t="str">
        <f>VLOOKUP(B35,Grupos!$A$2:$B$619,2,FALSE)</f>
        <v>ADAPTADORES</v>
      </c>
      <c r="B35" s="41" t="s">
        <v>624</v>
      </c>
      <c r="C35" s="41" t="s">
        <v>625</v>
      </c>
      <c r="D35" s="42">
        <v>3000</v>
      </c>
      <c r="E35" s="43">
        <v>19.989999999999998</v>
      </c>
      <c r="F35" s="43">
        <v>5.28</v>
      </c>
      <c r="G35" s="126">
        <f t="shared" si="0"/>
        <v>25.27</v>
      </c>
      <c r="H35" s="127">
        <f t="shared" si="1"/>
        <v>59969.999999999993</v>
      </c>
      <c r="I35" s="128">
        <f t="shared" si="2"/>
        <v>15840</v>
      </c>
      <c r="J35" s="128">
        <f t="shared" si="3"/>
        <v>75810</v>
      </c>
      <c r="K35" s="44">
        <f t="shared" si="4"/>
        <v>5.6957370662337897E-5</v>
      </c>
      <c r="L35" s="45">
        <v>4.9116034924820058</v>
      </c>
      <c r="M35" s="45">
        <v>28.355339949298148</v>
      </c>
      <c r="N35" s="45">
        <f t="shared" si="5"/>
        <v>58.536943441780153</v>
      </c>
      <c r="O35" s="46">
        <f t="shared" si="6"/>
        <v>175610.83032534044</v>
      </c>
      <c r="P35" s="47">
        <f t="shared" si="7"/>
        <v>113.99999666666666</v>
      </c>
      <c r="Q35" s="47">
        <v>300</v>
      </c>
      <c r="R35" s="47">
        <f t="shared" si="11"/>
        <v>186.00000333333332</v>
      </c>
      <c r="S35" s="191">
        <f t="shared" si="10"/>
        <v>0.62000001111111114</v>
      </c>
      <c r="T35" s="42">
        <v>341999.99</v>
      </c>
      <c r="U35" s="48">
        <f t="shared" si="8"/>
        <v>0.51348197502970816</v>
      </c>
      <c r="V35" s="49"/>
      <c r="X35" s="112"/>
    </row>
    <row r="36" spans="1:24" x14ac:dyDescent="0.3">
      <c r="A36" s="40" t="str">
        <f>VLOOKUP(B36,Grupos!$A$2:$B$619,2,FALSE)</f>
        <v>ADAPTADORES</v>
      </c>
      <c r="B36" s="41" t="s">
        <v>60</v>
      </c>
      <c r="C36" s="41" t="s">
        <v>61</v>
      </c>
      <c r="D36" s="42">
        <v>552000</v>
      </c>
      <c r="E36" s="43">
        <v>25.93</v>
      </c>
      <c r="F36" s="43">
        <v>11.01</v>
      </c>
      <c r="G36" s="126">
        <f t="shared" si="0"/>
        <v>36.94</v>
      </c>
      <c r="H36" s="127">
        <f t="shared" si="1"/>
        <v>14313360</v>
      </c>
      <c r="I36" s="128">
        <f t="shared" si="2"/>
        <v>6077520</v>
      </c>
      <c r="J36" s="128">
        <f t="shared" si="3"/>
        <v>20390880</v>
      </c>
      <c r="K36" s="44">
        <f t="shared" si="4"/>
        <v>1.5320022560232852E-2</v>
      </c>
      <c r="L36" s="45">
        <v>7.1798430159194808</v>
      </c>
      <c r="M36" s="45">
        <v>59.12732818972966</v>
      </c>
      <c r="N36" s="45">
        <f t="shared" si="5"/>
        <v>103.24717120564914</v>
      </c>
      <c r="O36" s="46">
        <f t="shared" si="6"/>
        <v>56992438.505518325</v>
      </c>
      <c r="P36" s="47">
        <f t="shared" si="7"/>
        <v>106.51956875</v>
      </c>
      <c r="Q36" s="47">
        <v>300</v>
      </c>
      <c r="R36" s="47">
        <f t="shared" si="11"/>
        <v>193.48043124999998</v>
      </c>
      <c r="S36" s="191">
        <f t="shared" si="10"/>
        <v>0.64493477083333328</v>
      </c>
      <c r="T36" s="42">
        <v>58798801.950000003</v>
      </c>
      <c r="U36" s="48">
        <f t="shared" si="8"/>
        <v>0.96927890731485089</v>
      </c>
      <c r="V36" s="49"/>
      <c r="X36" s="112"/>
    </row>
    <row r="37" spans="1:24" x14ac:dyDescent="0.3">
      <c r="A37" s="40" t="str">
        <f>VLOOKUP(B37,Grupos!$A$2:$B$619,2,FALSE)</f>
        <v>ADAPTADORES</v>
      </c>
      <c r="B37" s="41" t="s">
        <v>62</v>
      </c>
      <c r="C37" s="41" t="s">
        <v>63</v>
      </c>
      <c r="D37" s="42">
        <v>192800</v>
      </c>
      <c r="E37" s="43">
        <v>39.89</v>
      </c>
      <c r="F37" s="43">
        <v>11.25</v>
      </c>
      <c r="G37" s="126">
        <f t="shared" si="0"/>
        <v>51.14</v>
      </c>
      <c r="H37" s="127">
        <f t="shared" si="1"/>
        <v>7690792</v>
      </c>
      <c r="I37" s="128">
        <f t="shared" si="2"/>
        <v>2169000</v>
      </c>
      <c r="J37" s="128">
        <f t="shared" si="3"/>
        <v>9859792</v>
      </c>
      <c r="K37" s="44">
        <f t="shared" si="4"/>
        <v>7.4078331037798952E-3</v>
      </c>
      <c r="L37" s="45">
        <v>9.9398259835983271</v>
      </c>
      <c r="M37" s="45">
        <v>60.41620727833412</v>
      </c>
      <c r="N37" s="45">
        <f t="shared" si="5"/>
        <v>121.49603326193244</v>
      </c>
      <c r="O37" s="46">
        <f t="shared" si="6"/>
        <v>23424435.212900575</v>
      </c>
      <c r="P37" s="47">
        <f t="shared" si="7"/>
        <v>142.2904632780083</v>
      </c>
      <c r="Q37" s="47">
        <v>400</v>
      </c>
      <c r="R37" s="47">
        <f t="shared" si="11"/>
        <v>257.7095367219917</v>
      </c>
      <c r="S37" s="191">
        <f t="shared" si="10"/>
        <v>0.64427384180497926</v>
      </c>
      <c r="T37" s="42">
        <v>27433601.32</v>
      </c>
      <c r="U37" s="48">
        <f t="shared" si="8"/>
        <v>0.85385928517607312</v>
      </c>
      <c r="V37" s="49"/>
      <c r="X37" s="112"/>
    </row>
    <row r="38" spans="1:24" x14ac:dyDescent="0.3">
      <c r="A38" s="40" t="str">
        <f>VLOOKUP(B38,Grupos!$A$2:$B$619,2,FALSE)</f>
        <v>CAJAS ARRANCADORAS</v>
      </c>
      <c r="B38" s="41" t="s">
        <v>64</v>
      </c>
      <c r="C38" s="41" t="s">
        <v>65</v>
      </c>
      <c r="D38" s="42">
        <v>3</v>
      </c>
      <c r="E38" s="43">
        <v>30739.86</v>
      </c>
      <c r="F38" s="43">
        <v>5164.8100000000004</v>
      </c>
      <c r="G38" s="126">
        <f t="shared" si="0"/>
        <v>35904.67</v>
      </c>
      <c r="H38" s="127">
        <f t="shared" si="1"/>
        <v>92219.58</v>
      </c>
      <c r="I38" s="128">
        <f t="shared" si="2"/>
        <v>15494.43</v>
      </c>
      <c r="J38" s="128">
        <f t="shared" si="3"/>
        <v>107714.01</v>
      </c>
      <c r="K38" s="44">
        <f t="shared" si="4"/>
        <v>8.0927407902608764E-5</v>
      </c>
      <c r="L38" s="45">
        <v>6978.6111028260339</v>
      </c>
      <c r="M38" s="45">
        <v>27736.731690063367</v>
      </c>
      <c r="N38" s="45">
        <f t="shared" si="5"/>
        <v>70620.012792889407</v>
      </c>
      <c r="O38" s="46">
        <f t="shared" si="6"/>
        <v>211860.03837866822</v>
      </c>
      <c r="P38" s="47">
        <f t="shared" si="7"/>
        <v>102543</v>
      </c>
      <c r="Q38" s="47">
        <v>269850</v>
      </c>
      <c r="R38" s="47">
        <f t="shared" si="11"/>
        <v>167307</v>
      </c>
      <c r="S38" s="191">
        <f t="shared" si="10"/>
        <v>0.62</v>
      </c>
      <c r="T38" s="42">
        <v>307629</v>
      </c>
      <c r="U38" s="48">
        <f t="shared" si="8"/>
        <v>0.68868682204430731</v>
      </c>
      <c r="V38" s="49"/>
      <c r="X38" s="112"/>
    </row>
    <row r="39" spans="1:24" x14ac:dyDescent="0.3">
      <c r="A39" s="40" t="str">
        <f>VLOOKUP(B39,Grupos!$A$2:$B$619,2,FALSE)</f>
        <v>CAJAS ARRANCADORAS</v>
      </c>
      <c r="B39" s="41" t="s">
        <v>627</v>
      </c>
      <c r="C39" s="41" t="s">
        <v>628</v>
      </c>
      <c r="D39" s="42">
        <v>7</v>
      </c>
      <c r="E39" s="43">
        <v>80513.679999999993</v>
      </c>
      <c r="F39" s="43">
        <v>8176.17</v>
      </c>
      <c r="G39" s="126">
        <f t="shared" si="0"/>
        <v>88689.849999999991</v>
      </c>
      <c r="H39" s="127">
        <f t="shared" si="1"/>
        <v>563595.76</v>
      </c>
      <c r="I39" s="128">
        <f t="shared" si="2"/>
        <v>57233.19</v>
      </c>
      <c r="J39" s="128">
        <f t="shared" si="3"/>
        <v>620828.94999999995</v>
      </c>
      <c r="K39" s="44">
        <f t="shared" si="4"/>
        <v>4.6643958083445505E-4</v>
      </c>
      <c r="L39" s="45">
        <v>17238.202493379704</v>
      </c>
      <c r="M39" s="45">
        <v>43908.727241146407</v>
      </c>
      <c r="N39" s="45">
        <f t="shared" si="5"/>
        <v>149836.77973452612</v>
      </c>
      <c r="O39" s="46">
        <f t="shared" si="6"/>
        <v>1048857.4581416829</v>
      </c>
      <c r="P39" s="47">
        <f t="shared" si="7"/>
        <v>325214.87142857147</v>
      </c>
      <c r="Q39" s="47">
        <v>748850</v>
      </c>
      <c r="R39" s="47">
        <f t="shared" si="11"/>
        <v>423635.12857142853</v>
      </c>
      <c r="S39" s="191">
        <f t="shared" si="10"/>
        <v>0.56571426663741542</v>
      </c>
      <c r="T39" s="42">
        <v>2276504.1</v>
      </c>
      <c r="U39" s="48">
        <f t="shared" si="8"/>
        <v>0.46073163590686389</v>
      </c>
      <c r="V39" s="49"/>
      <c r="X39" s="112"/>
    </row>
    <row r="40" spans="1:24" x14ac:dyDescent="0.3">
      <c r="A40" s="40" t="str">
        <f>VLOOKUP(B40,Grupos!$A$2:$B$619,2,FALSE)</f>
        <v>CAJAS ARRANCADORAS</v>
      </c>
      <c r="B40" s="41" t="s">
        <v>629</v>
      </c>
      <c r="C40" s="41" t="s">
        <v>630</v>
      </c>
      <c r="D40" s="42">
        <v>5</v>
      </c>
      <c r="E40" s="43">
        <v>86707.31</v>
      </c>
      <c r="F40" s="43">
        <v>10954.65</v>
      </c>
      <c r="G40" s="126">
        <f t="shared" si="0"/>
        <v>97661.959999999992</v>
      </c>
      <c r="H40" s="127">
        <f t="shared" si="1"/>
        <v>433536.55</v>
      </c>
      <c r="I40" s="128">
        <f t="shared" si="2"/>
        <v>54773.25</v>
      </c>
      <c r="J40" s="128">
        <f t="shared" si="3"/>
        <v>488309.79999999993</v>
      </c>
      <c r="K40" s="44">
        <f t="shared" si="4"/>
        <v>3.6687564010885217E-4</v>
      </c>
      <c r="L40" s="45">
        <v>18982.066633107948</v>
      </c>
      <c r="M40" s="45">
        <v>58830.080449920257</v>
      </c>
      <c r="N40" s="45">
        <f t="shared" si="5"/>
        <v>175474.10708302821</v>
      </c>
      <c r="O40" s="46">
        <f t="shared" si="6"/>
        <v>877370.53541514103</v>
      </c>
      <c r="P40" s="47">
        <f t="shared" si="7"/>
        <v>322410.99599999998</v>
      </c>
      <c r="Q40" s="47">
        <v>848450</v>
      </c>
      <c r="R40" s="47">
        <f t="shared" si="11"/>
        <v>526039.00399999996</v>
      </c>
      <c r="S40" s="191">
        <f t="shared" si="10"/>
        <v>0.62000000471447925</v>
      </c>
      <c r="T40" s="42">
        <v>1612054.98</v>
      </c>
      <c r="U40" s="48">
        <f t="shared" si="8"/>
        <v>0.54425596291705947</v>
      </c>
      <c r="V40" s="49"/>
      <c r="X40" s="112"/>
    </row>
    <row r="41" spans="1:24" x14ac:dyDescent="0.3">
      <c r="A41" s="40" t="str">
        <f>VLOOKUP(B41,Grupos!$A$2:$B$619,2,FALSE)</f>
        <v>CAJAS ARRANCADORAS</v>
      </c>
      <c r="B41" s="41" t="s">
        <v>68</v>
      </c>
      <c r="C41" s="41" t="s">
        <v>69</v>
      </c>
      <c r="D41" s="42">
        <v>2</v>
      </c>
      <c r="E41" s="43">
        <v>97632.57</v>
      </c>
      <c r="F41" s="43">
        <v>6348.31</v>
      </c>
      <c r="G41" s="126">
        <f t="shared" si="0"/>
        <v>103980.88</v>
      </c>
      <c r="H41" s="127">
        <f t="shared" si="1"/>
        <v>195265.14</v>
      </c>
      <c r="I41" s="128">
        <f t="shared" si="2"/>
        <v>12696.62</v>
      </c>
      <c r="J41" s="128">
        <f t="shared" si="3"/>
        <v>207961.76</v>
      </c>
      <c r="K41" s="44">
        <f t="shared" si="4"/>
        <v>1.5624528489529291E-4</v>
      </c>
      <c r="L41" s="45">
        <v>20210.243504525224</v>
      </c>
      <c r="M41" s="45">
        <v>34092.516695744118</v>
      </c>
      <c r="N41" s="45">
        <f t="shared" si="5"/>
        <v>158283.64020026935</v>
      </c>
      <c r="O41" s="46">
        <f t="shared" si="6"/>
        <v>316567.2804005387</v>
      </c>
      <c r="P41" s="47">
        <f t="shared" si="7"/>
        <v>359078.76500000001</v>
      </c>
      <c r="Q41" s="47">
        <v>865250</v>
      </c>
      <c r="R41" s="47">
        <f t="shared" si="11"/>
        <v>506171.23499999999</v>
      </c>
      <c r="S41" s="191">
        <f t="shared" si="10"/>
        <v>0.58499998266396991</v>
      </c>
      <c r="T41" s="42">
        <v>718157.53</v>
      </c>
      <c r="U41" s="48">
        <f t="shared" si="8"/>
        <v>0.44080479167368569</v>
      </c>
      <c r="V41" s="49"/>
      <c r="X41" s="112"/>
    </row>
    <row r="42" spans="1:24" x14ac:dyDescent="0.3">
      <c r="A42" s="40" t="str">
        <f>VLOOKUP(B42,Grupos!$A$2:$B$619,2,FALSE)</f>
        <v>CAJAS EMPALME</v>
      </c>
      <c r="B42" s="41" t="s">
        <v>70</v>
      </c>
      <c r="C42" s="41" t="s">
        <v>71</v>
      </c>
      <c r="D42" s="42">
        <v>72</v>
      </c>
      <c r="E42" s="43">
        <v>3093.28</v>
      </c>
      <c r="F42" s="43">
        <v>1065.47</v>
      </c>
      <c r="G42" s="126">
        <f t="shared" si="0"/>
        <v>4158.75</v>
      </c>
      <c r="H42" s="127">
        <f t="shared" si="1"/>
        <v>222716.16</v>
      </c>
      <c r="I42" s="128">
        <f t="shared" si="2"/>
        <v>76713.84</v>
      </c>
      <c r="J42" s="128">
        <f t="shared" si="3"/>
        <v>299430</v>
      </c>
      <c r="K42" s="44">
        <f t="shared" si="4"/>
        <v>2.2496696342730294E-4</v>
      </c>
      <c r="L42" s="45">
        <v>808.31543428411317</v>
      </c>
      <c r="M42" s="45">
        <v>5721.9250105641477</v>
      </c>
      <c r="N42" s="45">
        <f t="shared" si="5"/>
        <v>10688.990444848261</v>
      </c>
      <c r="O42" s="46">
        <f t="shared" si="6"/>
        <v>769607.31202907476</v>
      </c>
      <c r="P42" s="47">
        <f t="shared" si="7"/>
        <v>12158.250138888889</v>
      </c>
      <c r="Q42" s="47">
        <v>27950</v>
      </c>
      <c r="R42" s="47">
        <f t="shared" si="11"/>
        <v>15791.749861111111</v>
      </c>
      <c r="S42" s="191">
        <f t="shared" si="10"/>
        <v>0.564999995030809</v>
      </c>
      <c r="T42" s="42">
        <v>875394.01</v>
      </c>
      <c r="U42" s="48">
        <f t="shared" si="8"/>
        <v>0.87915533261311074</v>
      </c>
      <c r="V42" s="49"/>
      <c r="X42" s="112"/>
    </row>
    <row r="43" spans="1:24" x14ac:dyDescent="0.3">
      <c r="A43" s="40" t="str">
        <f>VLOOKUP(B43,Grupos!$A$2:$B$619,2,FALSE)</f>
        <v>CAJAS EMPALME</v>
      </c>
      <c r="B43" s="41" t="s">
        <v>72</v>
      </c>
      <c r="C43" s="41" t="s">
        <v>73</v>
      </c>
      <c r="D43" s="42">
        <v>1260</v>
      </c>
      <c r="E43" s="43">
        <v>4183.0200000000004</v>
      </c>
      <c r="F43" s="43">
        <v>784.88</v>
      </c>
      <c r="G43" s="126">
        <f t="shared" si="0"/>
        <v>4967.9000000000005</v>
      </c>
      <c r="H43" s="127">
        <f t="shared" si="1"/>
        <v>5270605.2</v>
      </c>
      <c r="I43" s="128">
        <f t="shared" si="2"/>
        <v>988948.8</v>
      </c>
      <c r="J43" s="128">
        <f t="shared" si="3"/>
        <v>6259554.0000000009</v>
      </c>
      <c r="K43" s="44">
        <f t="shared" si="4"/>
        <v>4.702911718228728E-3</v>
      </c>
      <c r="L43" s="45">
        <v>965.58587219237666</v>
      </c>
      <c r="M43" s="45">
        <v>4215.0642460994568</v>
      </c>
      <c r="N43" s="45">
        <f t="shared" si="5"/>
        <v>10148.550118291834</v>
      </c>
      <c r="O43" s="46">
        <f t="shared" si="6"/>
        <v>12787173.149047712</v>
      </c>
      <c r="P43" s="47">
        <f t="shared" si="7"/>
        <v>13611.714214285714</v>
      </c>
      <c r="Q43" s="47">
        <v>33550</v>
      </c>
      <c r="R43" s="47">
        <f t="shared" si="11"/>
        <v>19938.285785714288</v>
      </c>
      <c r="S43" s="191">
        <f t="shared" si="10"/>
        <v>0.59428571641473282</v>
      </c>
      <c r="T43" s="42">
        <v>17150759.91</v>
      </c>
      <c r="U43" s="48">
        <f t="shared" si="8"/>
        <v>0.74557472765926625</v>
      </c>
      <c r="V43" s="49"/>
      <c r="X43" s="112"/>
    </row>
    <row r="44" spans="1:24" x14ac:dyDescent="0.3">
      <c r="A44" s="40" t="str">
        <f>VLOOKUP(B44,Grupos!$A$2:$B$619,2,FALSE)</f>
        <v>CAJAS EMPALME</v>
      </c>
      <c r="B44" s="41" t="s">
        <v>74</v>
      </c>
      <c r="C44" s="41" t="s">
        <v>75</v>
      </c>
      <c r="D44" s="42">
        <v>44</v>
      </c>
      <c r="E44" s="43">
        <v>5073.7</v>
      </c>
      <c r="F44" s="43">
        <v>592.66</v>
      </c>
      <c r="G44" s="126">
        <f t="shared" si="0"/>
        <v>5666.36</v>
      </c>
      <c r="H44" s="127">
        <f t="shared" si="1"/>
        <v>223242.8</v>
      </c>
      <c r="I44" s="128">
        <f t="shared" si="2"/>
        <v>26077.039999999997</v>
      </c>
      <c r="J44" s="128">
        <f t="shared" si="3"/>
        <v>249319.84</v>
      </c>
      <c r="K44" s="44">
        <f t="shared" si="4"/>
        <v>1.8731832924884285E-4</v>
      </c>
      <c r="L44" s="45">
        <v>1101.3420485025854</v>
      </c>
      <c r="M44" s="45">
        <v>3182.779502718</v>
      </c>
      <c r="N44" s="45">
        <f t="shared" si="5"/>
        <v>9950.481551220586</v>
      </c>
      <c r="O44" s="46">
        <f t="shared" si="6"/>
        <v>437821.1882537058</v>
      </c>
      <c r="P44" s="47">
        <f t="shared" si="7"/>
        <v>16372.750454545456</v>
      </c>
      <c r="Q44" s="47">
        <v>41450</v>
      </c>
      <c r="R44" s="47">
        <f t="shared" si="11"/>
        <v>25077.249545454542</v>
      </c>
      <c r="S44" s="191">
        <f t="shared" si="10"/>
        <v>0.60499998903388519</v>
      </c>
      <c r="T44" s="42">
        <v>720401.02</v>
      </c>
      <c r="U44" s="48">
        <f t="shared" si="8"/>
        <v>0.6077464857749727</v>
      </c>
      <c r="V44" s="49"/>
      <c r="X44" s="112"/>
    </row>
    <row r="45" spans="1:24" x14ac:dyDescent="0.3">
      <c r="A45" s="40" t="str">
        <f>VLOOKUP(B45,Grupos!$A$2:$B$619,2,FALSE)</f>
        <v>CAJAS EMPALME</v>
      </c>
      <c r="B45" s="41" t="s">
        <v>76</v>
      </c>
      <c r="C45" s="41" t="s">
        <v>77</v>
      </c>
      <c r="D45" s="42">
        <v>1740</v>
      </c>
      <c r="E45" s="43">
        <v>6127.68</v>
      </c>
      <c r="F45" s="43">
        <v>823.65</v>
      </c>
      <c r="G45" s="126">
        <f t="shared" si="0"/>
        <v>6951.33</v>
      </c>
      <c r="H45" s="127">
        <f t="shared" si="1"/>
        <v>10662163.200000001</v>
      </c>
      <c r="I45" s="128">
        <f t="shared" si="2"/>
        <v>1433151</v>
      </c>
      <c r="J45" s="128">
        <f t="shared" si="3"/>
        <v>12095314.199999999</v>
      </c>
      <c r="K45" s="44">
        <f t="shared" si="4"/>
        <v>9.0874197885086258E-3</v>
      </c>
      <c r="L45" s="45">
        <v>1351.0952396278171</v>
      </c>
      <c r="M45" s="45">
        <v>4423.2719222044352</v>
      </c>
      <c r="N45" s="45">
        <f t="shared" si="5"/>
        <v>12725.697161832253</v>
      </c>
      <c r="O45" s="46">
        <f t="shared" si="6"/>
        <v>22142713.06158812</v>
      </c>
      <c r="P45" s="47">
        <f t="shared" si="7"/>
        <v>18357.333160919541</v>
      </c>
      <c r="Q45" s="47">
        <v>46600</v>
      </c>
      <c r="R45" s="47">
        <f t="shared" si="11"/>
        <v>28242.666839080459</v>
      </c>
      <c r="S45" s="191">
        <f t="shared" si="10"/>
        <v>0.6060658119974347</v>
      </c>
      <c r="T45" s="42">
        <v>31941759.699999999</v>
      </c>
      <c r="U45" s="48">
        <f t="shared" si="8"/>
        <v>0.69322145271752578</v>
      </c>
      <c r="V45" s="49"/>
      <c r="X45" s="112"/>
    </row>
    <row r="46" spans="1:24" x14ac:dyDescent="0.3">
      <c r="A46" s="40" t="str">
        <f>VLOOKUP(B46,Grupos!$A$2:$B$619,2,FALSE)</f>
        <v>CAJAS EMPALME</v>
      </c>
      <c r="B46" s="41" t="s">
        <v>78</v>
      </c>
      <c r="C46" s="41" t="s">
        <v>79</v>
      </c>
      <c r="D46" s="42">
        <v>1221</v>
      </c>
      <c r="E46" s="43">
        <v>7494.34</v>
      </c>
      <c r="F46" s="43">
        <v>780.46</v>
      </c>
      <c r="G46" s="126">
        <f t="shared" si="0"/>
        <v>8274.7999999999993</v>
      </c>
      <c r="H46" s="127">
        <f t="shared" si="1"/>
        <v>9150589.1400000006</v>
      </c>
      <c r="I46" s="128">
        <f t="shared" si="2"/>
        <v>952941.66</v>
      </c>
      <c r="J46" s="128">
        <f t="shared" si="3"/>
        <v>10103530.799999999</v>
      </c>
      <c r="K46" s="44">
        <f t="shared" si="4"/>
        <v>7.5909583006720386E-3</v>
      </c>
      <c r="L46" s="45">
        <v>1608.3314831654172</v>
      </c>
      <c r="M46" s="45">
        <v>4191.327389550991</v>
      </c>
      <c r="N46" s="45">
        <f t="shared" si="5"/>
        <v>14074.458872716408</v>
      </c>
      <c r="O46" s="46">
        <f t="shared" si="6"/>
        <v>17184914.283586733</v>
      </c>
      <c r="P46" s="47">
        <f t="shared" si="7"/>
        <v>23593.192334152332</v>
      </c>
      <c r="Q46" s="47">
        <v>59750</v>
      </c>
      <c r="R46" s="47">
        <f t="shared" si="11"/>
        <v>36156.807665847664</v>
      </c>
      <c r="S46" s="191">
        <f t="shared" si="10"/>
        <v>0.60513485633217845</v>
      </c>
      <c r="T46" s="42">
        <v>28807287.84</v>
      </c>
      <c r="U46" s="48">
        <f t="shared" si="8"/>
        <v>0.59654745629072503</v>
      </c>
      <c r="V46" s="49"/>
      <c r="X46" s="112"/>
    </row>
    <row r="47" spans="1:24" x14ac:dyDescent="0.3">
      <c r="A47" s="40" t="str">
        <f>VLOOKUP(B47,Grupos!$A$2:$B$619,2,FALSE)</f>
        <v>CAJAS EMPALME</v>
      </c>
      <c r="B47" s="41" t="s">
        <v>80</v>
      </c>
      <c r="C47" s="41" t="s">
        <v>81</v>
      </c>
      <c r="D47" s="42">
        <v>18</v>
      </c>
      <c r="E47" s="43">
        <v>7089.89</v>
      </c>
      <c r="F47" s="43">
        <v>482.92</v>
      </c>
      <c r="G47" s="126">
        <f t="shared" si="0"/>
        <v>7572.81</v>
      </c>
      <c r="H47" s="127">
        <f t="shared" si="1"/>
        <v>127618.02</v>
      </c>
      <c r="I47" s="128">
        <f t="shared" si="2"/>
        <v>8692.56</v>
      </c>
      <c r="J47" s="128">
        <f t="shared" si="3"/>
        <v>136310.58000000002</v>
      </c>
      <c r="K47" s="44">
        <f t="shared" si="4"/>
        <v>1.0241250798388423E-4</v>
      </c>
      <c r="L47" s="45">
        <v>1471.8891984132433</v>
      </c>
      <c r="M47" s="45">
        <v>2593.43953945361</v>
      </c>
      <c r="N47" s="45">
        <f t="shared" si="5"/>
        <v>11638.138737866853</v>
      </c>
      <c r="O47" s="46">
        <f t="shared" si="6"/>
        <v>209486.49728160337</v>
      </c>
      <c r="P47" s="47">
        <f t="shared" si="7"/>
        <v>25256.001666666667</v>
      </c>
      <c r="Q47" s="47">
        <v>61600</v>
      </c>
      <c r="R47" s="47">
        <f t="shared" si="11"/>
        <v>36343.998333333337</v>
      </c>
      <c r="S47" s="191">
        <f t="shared" si="10"/>
        <v>0.58999997294372297</v>
      </c>
      <c r="T47" s="42">
        <v>454608.03</v>
      </c>
      <c r="U47" s="48">
        <f t="shared" si="8"/>
        <v>0.46080685658280907</v>
      </c>
      <c r="V47" s="49"/>
      <c r="X47" s="112"/>
    </row>
    <row r="48" spans="1:24" x14ac:dyDescent="0.3">
      <c r="A48" s="40" t="str">
        <f>VLOOKUP(B48,Grupos!$A$2:$B$619,2,FALSE)</f>
        <v>CAJAS EMPALME</v>
      </c>
      <c r="B48" s="41" t="s">
        <v>82</v>
      </c>
      <c r="C48" s="41" t="s">
        <v>83</v>
      </c>
      <c r="D48" s="42">
        <v>795</v>
      </c>
      <c r="E48" s="43">
        <v>8428.08</v>
      </c>
      <c r="F48" s="43">
        <v>647.97</v>
      </c>
      <c r="G48" s="126">
        <f t="shared" si="0"/>
        <v>9076.0499999999993</v>
      </c>
      <c r="H48" s="127">
        <f t="shared" si="1"/>
        <v>6700323.5999999996</v>
      </c>
      <c r="I48" s="128">
        <f t="shared" si="2"/>
        <v>515136.15</v>
      </c>
      <c r="J48" s="128">
        <f t="shared" si="3"/>
        <v>7215459.7499999991</v>
      </c>
      <c r="K48" s="44">
        <f t="shared" si="4"/>
        <v>5.4211003229116192E-3</v>
      </c>
      <c r="L48" s="45">
        <v>1764.0664375916622</v>
      </c>
      <c r="M48" s="45">
        <v>3479.81242934597</v>
      </c>
      <c r="N48" s="45">
        <f t="shared" si="5"/>
        <v>14319.928866937631</v>
      </c>
      <c r="O48" s="46">
        <f t="shared" si="6"/>
        <v>11384343.449215416</v>
      </c>
      <c r="P48" s="47">
        <f t="shared" si="7"/>
        <v>27317.186805031448</v>
      </c>
      <c r="Q48" s="47">
        <v>70150</v>
      </c>
      <c r="R48" s="47">
        <f t="shared" si="11"/>
        <v>42832.813194968548</v>
      </c>
      <c r="S48" s="191">
        <f t="shared" si="10"/>
        <v>0.61058892651416319</v>
      </c>
      <c r="T48" s="42">
        <v>21717163.510000002</v>
      </c>
      <c r="U48" s="48">
        <f t="shared" si="8"/>
        <v>0.52420950111525011</v>
      </c>
      <c r="V48" s="49"/>
      <c r="X48" s="112"/>
    </row>
    <row r="49" spans="1:24" x14ac:dyDescent="0.3">
      <c r="A49" s="40" t="str">
        <f>VLOOKUP(B49,Grupos!$A$2:$B$619,2,FALSE)</f>
        <v>CAJAS EMPALME</v>
      </c>
      <c r="B49" s="41" t="s">
        <v>84</v>
      </c>
      <c r="C49" s="41" t="s">
        <v>85</v>
      </c>
      <c r="D49" s="42">
        <v>528</v>
      </c>
      <c r="E49" s="43">
        <v>10016.57</v>
      </c>
      <c r="F49" s="43">
        <v>648.25</v>
      </c>
      <c r="G49" s="126">
        <f t="shared" si="0"/>
        <v>10664.82</v>
      </c>
      <c r="H49" s="127">
        <f t="shared" si="1"/>
        <v>5288748.96</v>
      </c>
      <c r="I49" s="128">
        <f t="shared" si="2"/>
        <v>342276</v>
      </c>
      <c r="J49" s="128">
        <f t="shared" si="3"/>
        <v>5631024.96</v>
      </c>
      <c r="K49" s="44">
        <f t="shared" si="4"/>
        <v>4.2306869259411215E-3</v>
      </c>
      <c r="L49" s="45">
        <v>2072.8677150254034</v>
      </c>
      <c r="M49" s="45">
        <v>3481.3161216160083</v>
      </c>
      <c r="N49" s="45">
        <f t="shared" si="5"/>
        <v>16219.003836641412</v>
      </c>
      <c r="O49" s="46">
        <f t="shared" si="6"/>
        <v>8563634.0257466659</v>
      </c>
      <c r="P49" s="47">
        <f t="shared" si="7"/>
        <v>31732.852386363636</v>
      </c>
      <c r="Q49" s="47">
        <v>79550</v>
      </c>
      <c r="R49" s="47">
        <f t="shared" si="11"/>
        <v>47817.147613636364</v>
      </c>
      <c r="S49" s="191">
        <f t="shared" si="10"/>
        <v>0.60109550739957718</v>
      </c>
      <c r="T49" s="42">
        <v>16754946.060000001</v>
      </c>
      <c r="U49" s="48">
        <f t="shared" si="8"/>
        <v>0.51111080841919854</v>
      </c>
      <c r="V49" s="49"/>
      <c r="X49" s="112"/>
    </row>
    <row r="50" spans="1:24" x14ac:dyDescent="0.3">
      <c r="A50" s="40" t="str">
        <f>VLOOKUP(B50,Grupos!$A$2:$B$619,2,FALSE)</f>
        <v>CAJAS EMPALME</v>
      </c>
      <c r="B50" s="41" t="s">
        <v>86</v>
      </c>
      <c r="C50" s="41" t="s">
        <v>87</v>
      </c>
      <c r="D50" s="42">
        <v>1230</v>
      </c>
      <c r="E50" s="43">
        <v>11060.96</v>
      </c>
      <c r="F50" s="43">
        <v>596.55999999999995</v>
      </c>
      <c r="G50" s="126">
        <f t="shared" si="0"/>
        <v>11657.519999999999</v>
      </c>
      <c r="H50" s="127">
        <f t="shared" si="1"/>
        <v>13604980.799999999</v>
      </c>
      <c r="I50" s="128">
        <f t="shared" si="2"/>
        <v>733768.79999999993</v>
      </c>
      <c r="J50" s="128">
        <f t="shared" si="3"/>
        <v>14338749.599999998</v>
      </c>
      <c r="K50" s="44">
        <f t="shared" si="4"/>
        <v>1.0772951797937596E-2</v>
      </c>
      <c r="L50" s="45">
        <v>2265.8138482658815</v>
      </c>
      <c r="M50" s="45">
        <v>3203.723787907822</v>
      </c>
      <c r="N50" s="45">
        <f t="shared" si="5"/>
        <v>17127.057636173704</v>
      </c>
      <c r="O50" s="46">
        <f t="shared" si="6"/>
        <v>21066280.892493654</v>
      </c>
      <c r="P50" s="47">
        <f t="shared" si="7"/>
        <v>33475.572975609757</v>
      </c>
      <c r="Q50" s="47">
        <v>85050</v>
      </c>
      <c r="R50" s="47">
        <f t="shared" si="11"/>
        <v>51574.427024390243</v>
      </c>
      <c r="S50" s="191">
        <f t="shared" si="10"/>
        <v>0.6064012583702556</v>
      </c>
      <c r="T50" s="42">
        <v>41174954.759999998</v>
      </c>
      <c r="U50" s="48">
        <f t="shared" si="8"/>
        <v>0.51162851338354831</v>
      </c>
      <c r="V50" s="49"/>
      <c r="X50" s="112"/>
    </row>
    <row r="51" spans="1:24" x14ac:dyDescent="0.3">
      <c r="A51" s="40" t="str">
        <f>VLOOKUP(B51,Grupos!$A$2:$B$619,2,FALSE)</f>
        <v>CAJAS EMPALME</v>
      </c>
      <c r="B51" s="41" t="s">
        <v>88</v>
      </c>
      <c r="C51" s="41" t="s">
        <v>89</v>
      </c>
      <c r="D51" s="42">
        <v>1764</v>
      </c>
      <c r="E51" s="43">
        <v>12773.82</v>
      </c>
      <c r="F51" s="43">
        <v>721.56</v>
      </c>
      <c r="G51" s="126">
        <f t="shared" si="0"/>
        <v>13495.38</v>
      </c>
      <c r="H51" s="127">
        <f t="shared" si="1"/>
        <v>22533018.48</v>
      </c>
      <c r="I51" s="128">
        <f t="shared" si="2"/>
        <v>1272831.8399999999</v>
      </c>
      <c r="J51" s="128">
        <f t="shared" si="3"/>
        <v>23805850.32</v>
      </c>
      <c r="K51" s="44">
        <f t="shared" si="4"/>
        <v>1.7885749117641146E-2</v>
      </c>
      <c r="L51" s="45">
        <v>2623.0295029826598</v>
      </c>
      <c r="M51" s="45">
        <v>3875.0149798893126</v>
      </c>
      <c r="N51" s="45">
        <f t="shared" si="5"/>
        <v>19993.424482871971</v>
      </c>
      <c r="O51" s="46">
        <f t="shared" si="6"/>
        <v>35268400.787786156</v>
      </c>
      <c r="P51" s="47">
        <f t="shared" si="7"/>
        <v>39262.813696145124</v>
      </c>
      <c r="Q51" s="47">
        <v>100550</v>
      </c>
      <c r="R51" s="47">
        <f t="shared" si="11"/>
        <v>61287.186303854876</v>
      </c>
      <c r="S51" s="191">
        <f t="shared" si="10"/>
        <v>0.60951950575688585</v>
      </c>
      <c r="T51" s="42">
        <v>69259603.359999999</v>
      </c>
      <c r="U51" s="48">
        <f t="shared" si="8"/>
        <v>0.50922036911569968</v>
      </c>
      <c r="V51" s="49"/>
      <c r="X51" s="112"/>
    </row>
    <row r="52" spans="1:24" x14ac:dyDescent="0.3">
      <c r="A52" s="40" t="str">
        <f>VLOOKUP(B52,Grupos!$A$2:$B$619,2,FALSE)</f>
        <v>CAJAS EMPALME</v>
      </c>
      <c r="B52" s="41" t="s">
        <v>90</v>
      </c>
      <c r="C52" s="41" t="s">
        <v>91</v>
      </c>
      <c r="D52" s="42">
        <v>90</v>
      </c>
      <c r="E52" s="43">
        <v>16238.13</v>
      </c>
      <c r="F52" s="43">
        <v>1508.32</v>
      </c>
      <c r="G52" s="126">
        <f t="shared" si="0"/>
        <v>17746.45</v>
      </c>
      <c r="H52" s="127">
        <f t="shared" si="1"/>
        <v>1461431.7</v>
      </c>
      <c r="I52" s="128">
        <f t="shared" si="2"/>
        <v>135748.79999999999</v>
      </c>
      <c r="J52" s="128">
        <f t="shared" si="3"/>
        <v>1597180.5</v>
      </c>
      <c r="K52" s="44">
        <f t="shared" si="4"/>
        <v>1.1999894704281516E-3</v>
      </c>
      <c r="L52" s="45">
        <v>3449.2887138566398</v>
      </c>
      <c r="M52" s="45">
        <v>8100.1754455161708</v>
      </c>
      <c r="N52" s="45">
        <f t="shared" si="5"/>
        <v>29295.914159372813</v>
      </c>
      <c r="O52" s="46">
        <f t="shared" si="6"/>
        <v>2636632.274343553</v>
      </c>
      <c r="P52" s="47">
        <f t="shared" si="7"/>
        <v>47879.999222222221</v>
      </c>
      <c r="Q52" s="47">
        <v>119700</v>
      </c>
      <c r="R52" s="47">
        <f t="shared" si="11"/>
        <v>71820.000777777779</v>
      </c>
      <c r="S52" s="191">
        <f t="shared" si="10"/>
        <v>0.60000000649772578</v>
      </c>
      <c r="T52" s="42">
        <v>4309199.93</v>
      </c>
      <c r="U52" s="48">
        <f t="shared" si="8"/>
        <v>0.61186120792115417</v>
      </c>
      <c r="V52" s="49"/>
      <c r="X52" s="112"/>
    </row>
    <row r="53" spans="1:24" x14ac:dyDescent="0.3">
      <c r="A53" s="40" t="str">
        <f>VLOOKUP(B53,Grupos!$A$2:$B$619,2,FALSE)</f>
        <v>CAJAS EMPALME</v>
      </c>
      <c r="B53" s="41" t="s">
        <v>92</v>
      </c>
      <c r="C53" s="41" t="s">
        <v>93</v>
      </c>
      <c r="D53" s="42">
        <v>761</v>
      </c>
      <c r="E53" s="43">
        <v>20258.689999999999</v>
      </c>
      <c r="F53" s="43">
        <v>1240.45</v>
      </c>
      <c r="G53" s="126">
        <f t="shared" si="0"/>
        <v>21499.14</v>
      </c>
      <c r="H53" s="127">
        <f t="shared" si="1"/>
        <v>15416863.09</v>
      </c>
      <c r="I53" s="128">
        <f t="shared" si="2"/>
        <v>943982.45000000007</v>
      </c>
      <c r="J53" s="128">
        <f t="shared" si="3"/>
        <v>16360845.539999999</v>
      </c>
      <c r="K53" s="44">
        <f t="shared" si="4"/>
        <v>1.2292187623941931E-2</v>
      </c>
      <c r="L53" s="45">
        <v>4178.6802971650013</v>
      </c>
      <c r="M53" s="45">
        <v>6661.6252727475166</v>
      </c>
      <c r="N53" s="45">
        <f t="shared" si="5"/>
        <v>32339.445569912517</v>
      </c>
      <c r="O53" s="46">
        <f t="shared" si="6"/>
        <v>24610318.078703426</v>
      </c>
      <c r="P53" s="47">
        <f t="shared" si="7"/>
        <v>59300.715335085413</v>
      </c>
      <c r="Q53" s="47">
        <v>151350</v>
      </c>
      <c r="R53" s="47">
        <f t="shared" si="11"/>
        <v>92049.284664914594</v>
      </c>
      <c r="S53" s="191">
        <f t="shared" si="10"/>
        <v>0.60818820393072082</v>
      </c>
      <c r="T53" s="42">
        <v>45127844.369999997</v>
      </c>
      <c r="U53" s="48">
        <f t="shared" si="8"/>
        <v>0.54534663514891546</v>
      </c>
      <c r="V53" s="49"/>
      <c r="X53" s="112"/>
    </row>
    <row r="54" spans="1:24" x14ac:dyDescent="0.3">
      <c r="A54" s="40" t="str">
        <f>VLOOKUP(B54,Grupos!$A$2:$B$619,2,FALSE)</f>
        <v>CAJAS EMPALME</v>
      </c>
      <c r="B54" s="41" t="s">
        <v>94</v>
      </c>
      <c r="C54" s="41" t="s">
        <v>95</v>
      </c>
      <c r="D54" s="42">
        <v>380</v>
      </c>
      <c r="E54" s="43">
        <v>23057.119999999999</v>
      </c>
      <c r="F54" s="43">
        <v>1263.42</v>
      </c>
      <c r="G54" s="126">
        <f t="shared" si="0"/>
        <v>24320.54</v>
      </c>
      <c r="H54" s="127">
        <f t="shared" si="1"/>
        <v>8761705.5999999996</v>
      </c>
      <c r="I54" s="128">
        <f t="shared" si="2"/>
        <v>480099.60000000003</v>
      </c>
      <c r="J54" s="128">
        <f t="shared" si="3"/>
        <v>9241805.2000000011</v>
      </c>
      <c r="K54" s="44">
        <f t="shared" si="4"/>
        <v>6.9435288796401776E-3</v>
      </c>
      <c r="L54" s="45">
        <v>4727.0617017431077</v>
      </c>
      <c r="M54" s="45">
        <v>6784.9817421860353</v>
      </c>
      <c r="N54" s="45">
        <f t="shared" si="5"/>
        <v>35832.583443929143</v>
      </c>
      <c r="O54" s="46">
        <f t="shared" si="6"/>
        <v>13616381.708693074</v>
      </c>
      <c r="P54" s="47">
        <f t="shared" si="7"/>
        <v>71378.694131578945</v>
      </c>
      <c r="Q54" s="47">
        <v>180800</v>
      </c>
      <c r="R54" s="47">
        <f t="shared" si="11"/>
        <v>109421.30586842106</v>
      </c>
      <c r="S54" s="191">
        <f t="shared" si="10"/>
        <v>0.60520633776781563</v>
      </c>
      <c r="T54" s="42">
        <v>27123903.77</v>
      </c>
      <c r="U54" s="48">
        <f t="shared" si="8"/>
        <v>0.50200671054412438</v>
      </c>
      <c r="V54" s="49"/>
      <c r="X54" s="112"/>
    </row>
    <row r="55" spans="1:24" x14ac:dyDescent="0.3">
      <c r="A55" s="40" t="str">
        <f>VLOOKUP(B55,Grupos!$A$2:$B$619,2,FALSE)</f>
        <v>CAJAS EMPALME</v>
      </c>
      <c r="B55" s="41" t="s">
        <v>96</v>
      </c>
      <c r="C55" s="41" t="s">
        <v>97</v>
      </c>
      <c r="D55" s="42">
        <v>169</v>
      </c>
      <c r="E55" s="43">
        <v>32997.18</v>
      </c>
      <c r="F55" s="43">
        <v>1803.14</v>
      </c>
      <c r="G55" s="126">
        <f t="shared" si="0"/>
        <v>34800.32</v>
      </c>
      <c r="H55" s="127">
        <f t="shared" si="1"/>
        <v>5576523.4199999999</v>
      </c>
      <c r="I55" s="128">
        <f t="shared" si="2"/>
        <v>304730.66000000003</v>
      </c>
      <c r="J55" s="128">
        <f t="shared" si="3"/>
        <v>5881254.0800000001</v>
      </c>
      <c r="K55" s="44">
        <f t="shared" si="4"/>
        <v>4.4186884130582652E-3</v>
      </c>
      <c r="L55" s="45">
        <v>6763.9641175896877</v>
      </c>
      <c r="M55" s="45">
        <v>9683.4559992760351</v>
      </c>
      <c r="N55" s="45">
        <f t="shared" si="5"/>
        <v>51247.740116865723</v>
      </c>
      <c r="O55" s="46">
        <f t="shared" si="6"/>
        <v>8660868.0797503069</v>
      </c>
      <c r="P55" s="47">
        <f t="shared" si="7"/>
        <v>90898.661597633138</v>
      </c>
      <c r="Q55" s="47">
        <v>228350</v>
      </c>
      <c r="R55" s="47">
        <f t="shared" si="11"/>
        <v>137451.33840236685</v>
      </c>
      <c r="S55" s="191">
        <f t="shared" si="10"/>
        <v>0.60193272784045038</v>
      </c>
      <c r="T55" s="42">
        <v>15361873.810000001</v>
      </c>
      <c r="U55" s="48">
        <f t="shared" si="8"/>
        <v>0.56378982062151872</v>
      </c>
      <c r="V55" s="49"/>
      <c r="X55" s="112"/>
    </row>
    <row r="56" spans="1:24" x14ac:dyDescent="0.3">
      <c r="A56" s="40" t="str">
        <f>VLOOKUP(B56,Grupos!$A$2:$B$619,2,FALSE)</f>
        <v>CAJAS EMPALME</v>
      </c>
      <c r="B56" s="41" t="s">
        <v>98</v>
      </c>
      <c r="C56" s="41" t="s">
        <v>99</v>
      </c>
      <c r="D56" s="42">
        <v>101</v>
      </c>
      <c r="E56" s="43">
        <v>39777.360000000001</v>
      </c>
      <c r="F56" s="43">
        <v>2361.4299999999998</v>
      </c>
      <c r="G56" s="126">
        <f t="shared" si="0"/>
        <v>42138.79</v>
      </c>
      <c r="H56" s="127">
        <f t="shared" si="1"/>
        <v>4017513.36</v>
      </c>
      <c r="I56" s="128">
        <f t="shared" si="2"/>
        <v>238504.43</v>
      </c>
      <c r="J56" s="128">
        <f t="shared" si="3"/>
        <v>4256017.79</v>
      </c>
      <c r="K56" s="44">
        <f t="shared" si="4"/>
        <v>3.1976201399621972E-3</v>
      </c>
      <c r="L56" s="45">
        <v>8190.3058224363213</v>
      </c>
      <c r="M56" s="45">
        <v>12681.657275846803</v>
      </c>
      <c r="N56" s="45">
        <f t="shared" si="5"/>
        <v>63010.753098283123</v>
      </c>
      <c r="O56" s="46">
        <f t="shared" si="6"/>
        <v>6364086.0629265951</v>
      </c>
      <c r="P56" s="47">
        <f t="shared" si="7"/>
        <v>111182.06277227723</v>
      </c>
      <c r="Q56" s="47">
        <v>280550</v>
      </c>
      <c r="R56" s="47">
        <f t="shared" si="11"/>
        <v>169367.93722772278</v>
      </c>
      <c r="S56" s="191">
        <f t="shared" si="10"/>
        <v>0.60369965149785343</v>
      </c>
      <c r="T56" s="42">
        <v>11229388.34</v>
      </c>
      <c r="U56" s="48">
        <f t="shared" si="8"/>
        <v>0.56673488085341206</v>
      </c>
      <c r="V56" s="49"/>
      <c r="X56" s="112"/>
    </row>
    <row r="57" spans="1:24" x14ac:dyDescent="0.3">
      <c r="A57" s="40" t="str">
        <f>VLOOKUP(B57,Grupos!$A$2:$B$619,2,FALSE)</f>
        <v>CAJAS EMPALME</v>
      </c>
      <c r="B57" s="41" t="s">
        <v>100</v>
      </c>
      <c r="C57" s="41" t="s">
        <v>101</v>
      </c>
      <c r="D57" s="42">
        <v>13</v>
      </c>
      <c r="E57" s="43">
        <v>47362.91</v>
      </c>
      <c r="F57" s="43">
        <v>3015.33</v>
      </c>
      <c r="G57" s="126">
        <f t="shared" si="0"/>
        <v>50378.240000000005</v>
      </c>
      <c r="H57" s="127">
        <f t="shared" si="1"/>
        <v>615717.83000000007</v>
      </c>
      <c r="I57" s="128">
        <f t="shared" si="2"/>
        <v>39199.29</v>
      </c>
      <c r="J57" s="128">
        <f t="shared" si="3"/>
        <v>654917.12000000011</v>
      </c>
      <c r="K57" s="44">
        <f t="shared" si="4"/>
        <v>4.9205061544586241E-4</v>
      </c>
      <c r="L57" s="45">
        <v>9791.7665029321997</v>
      </c>
      <c r="M57" s="45">
        <v>16193.315759340376</v>
      </c>
      <c r="N57" s="45">
        <f t="shared" si="5"/>
        <v>76363.322262272588</v>
      </c>
      <c r="O57" s="46">
        <f t="shared" si="6"/>
        <v>992723.18940954364</v>
      </c>
      <c r="P57" s="47">
        <f t="shared" si="7"/>
        <v>133796.81307692308</v>
      </c>
      <c r="Q57" s="47">
        <v>333850</v>
      </c>
      <c r="R57" s="47">
        <f t="shared" si="11"/>
        <v>200053.18692307692</v>
      </c>
      <c r="S57" s="191">
        <f t="shared" si="10"/>
        <v>0.59923075310192275</v>
      </c>
      <c r="T57" s="42">
        <v>1739358.57</v>
      </c>
      <c r="U57" s="48">
        <f t="shared" si="8"/>
        <v>0.57074096539481423</v>
      </c>
      <c r="V57" s="49"/>
      <c r="X57" s="112"/>
    </row>
    <row r="58" spans="1:24" x14ac:dyDescent="0.3">
      <c r="A58" s="40" t="str">
        <f>VLOOKUP(B58,Grupos!$A$2:$B$619,2,FALSE)</f>
        <v>CAJAS EMPALME</v>
      </c>
      <c r="B58" s="41" t="s">
        <v>102</v>
      </c>
      <c r="C58" s="41" t="s">
        <v>103</v>
      </c>
      <c r="D58" s="42">
        <v>12</v>
      </c>
      <c r="E58" s="43">
        <v>5552.2</v>
      </c>
      <c r="F58" s="43">
        <v>803.85</v>
      </c>
      <c r="G58" s="126">
        <f t="shared" si="0"/>
        <v>6356.05</v>
      </c>
      <c r="H58" s="127">
        <f t="shared" si="1"/>
        <v>66626.399999999994</v>
      </c>
      <c r="I58" s="128">
        <f t="shared" si="2"/>
        <v>9646.2000000000007</v>
      </c>
      <c r="J58" s="128">
        <f t="shared" si="3"/>
        <v>76272.600000000006</v>
      </c>
      <c r="K58" s="44">
        <f t="shared" si="4"/>
        <v>5.7304930082841756E-5</v>
      </c>
      <c r="L58" s="45">
        <v>1235.3936437827563</v>
      </c>
      <c r="M58" s="45">
        <v>4316.9393973945671</v>
      </c>
      <c r="N58" s="45">
        <f t="shared" si="5"/>
        <v>11908.383041177323</v>
      </c>
      <c r="O58" s="46">
        <f t="shared" si="6"/>
        <v>142900.59649412788</v>
      </c>
      <c r="P58" s="47">
        <f t="shared" si="7"/>
        <v>28573.500833333335</v>
      </c>
      <c r="Q58" s="47">
        <v>66450</v>
      </c>
      <c r="R58" s="47">
        <f t="shared" si="11"/>
        <v>37876.499166666661</v>
      </c>
      <c r="S58" s="191">
        <f t="shared" si="10"/>
        <v>0.56999998745924241</v>
      </c>
      <c r="T58" s="42">
        <v>342882.01</v>
      </c>
      <c r="U58" s="48">
        <f t="shared" si="8"/>
        <v>0.41676317895513931</v>
      </c>
      <c r="V58" s="49"/>
      <c r="X58" s="112"/>
    </row>
    <row r="59" spans="1:24" x14ac:dyDescent="0.3">
      <c r="A59" s="40" t="str">
        <f>VLOOKUP(B59,Grupos!$A$2:$B$619,2,FALSE)</f>
        <v>CAJAS EMPALME</v>
      </c>
      <c r="B59" s="41" t="s">
        <v>104</v>
      </c>
      <c r="C59" s="41" t="s">
        <v>105</v>
      </c>
      <c r="D59" s="42">
        <v>70</v>
      </c>
      <c r="E59" s="43">
        <v>9059.16</v>
      </c>
      <c r="F59" s="43">
        <v>636.21</v>
      </c>
      <c r="G59" s="126">
        <f t="shared" si="0"/>
        <v>9695.369999999999</v>
      </c>
      <c r="H59" s="127">
        <f t="shared" si="1"/>
        <v>634141.19999999995</v>
      </c>
      <c r="I59" s="128">
        <f t="shared" si="2"/>
        <v>44534.700000000004</v>
      </c>
      <c r="J59" s="128">
        <f t="shared" si="3"/>
        <v>678675.89999999991</v>
      </c>
      <c r="K59" s="44">
        <f t="shared" si="4"/>
        <v>5.0990099981395275E-4</v>
      </c>
      <c r="L59" s="45">
        <v>1884.4405679820043</v>
      </c>
      <c r="M59" s="45">
        <v>3416.6573540043514</v>
      </c>
      <c r="N59" s="45">
        <f t="shared" si="5"/>
        <v>14996.467921986356</v>
      </c>
      <c r="O59" s="46">
        <f t="shared" si="6"/>
        <v>1049752.7545390448</v>
      </c>
      <c r="P59" s="47">
        <f t="shared" si="7"/>
        <v>36925.713000000003</v>
      </c>
      <c r="Q59" s="47">
        <v>95400</v>
      </c>
      <c r="R59" s="47">
        <f t="shared" si="11"/>
        <v>58474.286999999997</v>
      </c>
      <c r="S59" s="191">
        <f t="shared" si="10"/>
        <v>0.61293801886792454</v>
      </c>
      <c r="T59" s="42">
        <v>2584799.91</v>
      </c>
      <c r="U59" s="48">
        <f t="shared" si="8"/>
        <v>0.40612534474246587</v>
      </c>
      <c r="V59" s="49"/>
      <c r="X59" s="112"/>
    </row>
    <row r="60" spans="1:24" x14ac:dyDescent="0.3">
      <c r="A60" s="40" t="str">
        <f>VLOOKUP(B60,Grupos!$A$2:$B$619,2,FALSE)</f>
        <v>CAJAS PLASTICAS CC</v>
      </c>
      <c r="B60" s="41" t="s">
        <v>106</v>
      </c>
      <c r="C60" s="41" t="s">
        <v>107</v>
      </c>
      <c r="D60" s="42">
        <v>295920</v>
      </c>
      <c r="E60" s="43">
        <v>168.87</v>
      </c>
      <c r="F60" s="43">
        <v>7.9</v>
      </c>
      <c r="G60" s="126">
        <f t="shared" si="0"/>
        <v>176.77</v>
      </c>
      <c r="H60" s="127">
        <f t="shared" si="1"/>
        <v>49972010.399999999</v>
      </c>
      <c r="I60" s="128">
        <f t="shared" si="2"/>
        <v>2337768</v>
      </c>
      <c r="J60" s="128">
        <f t="shared" si="3"/>
        <v>52309778.400000006</v>
      </c>
      <c r="K60" s="44">
        <f t="shared" si="4"/>
        <v>3.9301245714200725E-2</v>
      </c>
      <c r="L60" s="45">
        <v>34.357900647647178</v>
      </c>
      <c r="M60" s="45">
        <v>42.425603333230185</v>
      </c>
      <c r="N60" s="45">
        <f t="shared" si="5"/>
        <v>253.55350398087737</v>
      </c>
      <c r="O60" s="46">
        <f t="shared" si="6"/>
        <v>75031552.898021236</v>
      </c>
      <c r="P60" s="47">
        <f t="shared" si="7"/>
        <v>313.72847637875105</v>
      </c>
      <c r="Q60" s="47">
        <v>900</v>
      </c>
      <c r="R60" s="47">
        <f t="shared" si="11"/>
        <v>586.27152362124889</v>
      </c>
      <c r="S60" s="191">
        <f t="shared" si="10"/>
        <v>0.6514128040236099</v>
      </c>
      <c r="T60" s="42">
        <v>92838530.730000004</v>
      </c>
      <c r="U60" s="48">
        <f t="shared" si="8"/>
        <v>0.80819410117802959</v>
      </c>
      <c r="V60" s="49"/>
      <c r="X60" s="112"/>
    </row>
    <row r="61" spans="1:24" x14ac:dyDescent="0.3">
      <c r="A61" s="40" t="str">
        <f>VLOOKUP(B61,Grupos!$A$2:$B$619,2,FALSE)</f>
        <v>CAJAS PLASTICAS CC</v>
      </c>
      <c r="B61" s="41" t="s">
        <v>108</v>
      </c>
      <c r="C61" s="41" t="s">
        <v>109</v>
      </c>
      <c r="D61" s="42">
        <v>225450</v>
      </c>
      <c r="E61" s="43">
        <v>262.69</v>
      </c>
      <c r="F61" s="43">
        <v>10.81</v>
      </c>
      <c r="G61" s="126">
        <f t="shared" si="0"/>
        <v>273.5</v>
      </c>
      <c r="H61" s="127">
        <f t="shared" si="1"/>
        <v>59223460.5</v>
      </c>
      <c r="I61" s="128">
        <f t="shared" si="2"/>
        <v>2437114.5</v>
      </c>
      <c r="J61" s="128">
        <f t="shared" si="3"/>
        <v>61660575</v>
      </c>
      <c r="K61" s="44">
        <f t="shared" si="4"/>
        <v>4.6326661727052965E-2</v>
      </c>
      <c r="L61" s="45">
        <v>53.158826877476393</v>
      </c>
      <c r="M61" s="45">
        <v>58.053262282559281</v>
      </c>
      <c r="N61" s="45">
        <f t="shared" si="5"/>
        <v>384.71208916003565</v>
      </c>
      <c r="O61" s="46">
        <f t="shared" si="6"/>
        <v>86733340.50113003</v>
      </c>
      <c r="P61" s="47">
        <f t="shared" si="7"/>
        <v>472.53415657573737</v>
      </c>
      <c r="Q61" s="47">
        <v>1350</v>
      </c>
      <c r="R61" s="47">
        <f t="shared" si="11"/>
        <v>877.46584342426263</v>
      </c>
      <c r="S61" s="191">
        <f t="shared" si="10"/>
        <v>0.64997469883278713</v>
      </c>
      <c r="T61" s="42">
        <v>106532825.59999999</v>
      </c>
      <c r="U61" s="48">
        <f t="shared" si="8"/>
        <v>0.81414662581830588</v>
      </c>
      <c r="V61" s="49"/>
      <c r="X61" s="112"/>
    </row>
    <row r="62" spans="1:24" x14ac:dyDescent="0.3">
      <c r="A62" s="40" t="str">
        <f>VLOOKUP(B62,Grupos!$A$2:$B$619,2,FALSE)</f>
        <v>CAJAS PLASTICAS CC</v>
      </c>
      <c r="B62" s="41" t="s">
        <v>110</v>
      </c>
      <c r="C62" s="41" t="s">
        <v>111</v>
      </c>
      <c r="D62" s="42">
        <v>126900</v>
      </c>
      <c r="E62" s="43">
        <v>212.15</v>
      </c>
      <c r="F62" s="43">
        <v>9.15</v>
      </c>
      <c r="G62" s="126">
        <f t="shared" si="0"/>
        <v>221.3</v>
      </c>
      <c r="H62" s="127">
        <f t="shared" si="1"/>
        <v>26921835</v>
      </c>
      <c r="I62" s="128">
        <f t="shared" si="2"/>
        <v>1161135</v>
      </c>
      <c r="J62" s="128">
        <f t="shared" si="3"/>
        <v>28082970</v>
      </c>
      <c r="K62" s="44">
        <f t="shared" si="4"/>
        <v>2.1099223474334721E-2</v>
      </c>
      <c r="L62" s="45">
        <v>43.012973996290768</v>
      </c>
      <c r="M62" s="45">
        <v>49.138515253045085</v>
      </c>
      <c r="N62" s="45">
        <f t="shared" si="5"/>
        <v>313.45148924933585</v>
      </c>
      <c r="O62" s="46">
        <f t="shared" si="6"/>
        <v>39776993.985740721</v>
      </c>
      <c r="P62" s="47">
        <f t="shared" si="7"/>
        <v>466.52022695035458</v>
      </c>
      <c r="Q62" s="47">
        <v>1350</v>
      </c>
      <c r="R62" s="47">
        <f t="shared" si="11"/>
        <v>883.47977304964547</v>
      </c>
      <c r="S62" s="191">
        <f t="shared" si="10"/>
        <v>0.65442946151825587</v>
      </c>
      <c r="T62" s="42">
        <v>59201416.799999997</v>
      </c>
      <c r="U62" s="48">
        <f t="shared" si="8"/>
        <v>0.6718926021672631</v>
      </c>
      <c r="V62" s="49"/>
      <c r="X62" s="112"/>
    </row>
    <row r="63" spans="1:24" x14ac:dyDescent="0.3">
      <c r="A63" s="40" t="str">
        <f>VLOOKUP(B63,Grupos!$A$2:$B$619,2,FALSE)</f>
        <v>CAJAS PLASTICAS LH</v>
      </c>
      <c r="B63" s="41" t="s">
        <v>112</v>
      </c>
      <c r="C63" s="41" t="s">
        <v>113</v>
      </c>
      <c r="D63" s="42">
        <v>21600</v>
      </c>
      <c r="E63" s="43">
        <v>182</v>
      </c>
      <c r="F63" s="43">
        <v>8.6</v>
      </c>
      <c r="G63" s="126">
        <f t="shared" si="0"/>
        <v>190.6</v>
      </c>
      <c r="H63" s="127">
        <f t="shared" si="1"/>
        <v>3931200</v>
      </c>
      <c r="I63" s="128">
        <f t="shared" si="2"/>
        <v>185760</v>
      </c>
      <c r="J63" s="128">
        <f t="shared" si="3"/>
        <v>4116960</v>
      </c>
      <c r="K63" s="44">
        <f t="shared" si="4"/>
        <v>3.0931436053557395E-3</v>
      </c>
      <c r="L63" s="45">
        <v>37.045968566168192</v>
      </c>
      <c r="M63" s="45">
        <v>46.184834008326526</v>
      </c>
      <c r="N63" s="45">
        <f t="shared" si="5"/>
        <v>273.83080257449473</v>
      </c>
      <c r="O63" s="46">
        <f t="shared" si="6"/>
        <v>5914745.3356090859</v>
      </c>
      <c r="P63" s="47">
        <f t="shared" si="7"/>
        <v>336.57000925925928</v>
      </c>
      <c r="Q63" s="47">
        <v>950</v>
      </c>
      <c r="R63" s="47">
        <f t="shared" si="11"/>
        <v>613.42999074074078</v>
      </c>
      <c r="S63" s="191">
        <f t="shared" si="10"/>
        <v>0.6457157797270956</v>
      </c>
      <c r="T63" s="42">
        <v>7269912.2000000002</v>
      </c>
      <c r="U63" s="48">
        <f t="shared" si="8"/>
        <v>0.81359240289161761</v>
      </c>
      <c r="V63" s="49"/>
      <c r="X63" s="112"/>
    </row>
    <row r="64" spans="1:24" x14ac:dyDescent="0.3">
      <c r="A64" s="40" t="str">
        <f>VLOOKUP(B64,Grupos!$A$2:$B$619,2,FALSE)</f>
        <v>CAJAS PLASTICAS LH</v>
      </c>
      <c r="B64" s="41" t="s">
        <v>114</v>
      </c>
      <c r="C64" s="41" t="s">
        <v>115</v>
      </c>
      <c r="D64" s="42">
        <v>34560</v>
      </c>
      <c r="E64" s="43">
        <v>260</v>
      </c>
      <c r="F64" s="43">
        <v>11.62</v>
      </c>
      <c r="G64" s="126">
        <f t="shared" si="0"/>
        <v>271.62</v>
      </c>
      <c r="H64" s="127">
        <f t="shared" si="1"/>
        <v>8985600</v>
      </c>
      <c r="I64" s="128">
        <f t="shared" si="2"/>
        <v>401587.19999999995</v>
      </c>
      <c r="J64" s="128">
        <f t="shared" si="3"/>
        <v>9387187.1999999993</v>
      </c>
      <c r="K64" s="44">
        <f t="shared" si="4"/>
        <v>7.052756903141456E-3</v>
      </c>
      <c r="L64" s="45">
        <v>52.793420681755535</v>
      </c>
      <c r="M64" s="45">
        <v>62.403229206599327</v>
      </c>
      <c r="N64" s="45">
        <f t="shared" si="5"/>
        <v>386.8166498883549</v>
      </c>
      <c r="O64" s="46">
        <f t="shared" si="6"/>
        <v>13368383.420141546</v>
      </c>
      <c r="P64" s="47">
        <f t="shared" si="7"/>
        <v>485.45313831018524</v>
      </c>
      <c r="Q64" s="47">
        <v>1400</v>
      </c>
      <c r="R64" s="47">
        <f t="shared" si="11"/>
        <v>914.5468616898147</v>
      </c>
      <c r="S64" s="191">
        <f t="shared" si="10"/>
        <v>0.65324775834986759</v>
      </c>
      <c r="T64" s="42">
        <v>16777260.460000001</v>
      </c>
      <c r="U64" s="48">
        <f t="shared" si="8"/>
        <v>0.79681563339939621</v>
      </c>
      <c r="V64" s="49"/>
      <c r="X64" s="112"/>
    </row>
    <row r="65" spans="1:24" x14ac:dyDescent="0.3">
      <c r="A65" s="40" t="str">
        <f>VLOOKUP(B65,Grupos!$A$2:$B$619,2,FALSE)</f>
        <v>CAJAS PLASTICAS LH</v>
      </c>
      <c r="B65" s="41" t="s">
        <v>116</v>
      </c>
      <c r="C65" s="41" t="s">
        <v>117</v>
      </c>
      <c r="D65" s="42">
        <v>17010</v>
      </c>
      <c r="E65" s="43">
        <v>217.92</v>
      </c>
      <c r="F65" s="43">
        <v>8.5500000000000007</v>
      </c>
      <c r="G65" s="126">
        <f t="shared" si="0"/>
        <v>226.47</v>
      </c>
      <c r="H65" s="127">
        <f t="shared" si="1"/>
        <v>3706819.1999999997</v>
      </c>
      <c r="I65" s="128">
        <f t="shared" si="2"/>
        <v>145435.5</v>
      </c>
      <c r="J65" s="128">
        <f t="shared" si="3"/>
        <v>3852254.7</v>
      </c>
      <c r="K65" s="44">
        <f t="shared" si="4"/>
        <v>2.8942659125924452E-3</v>
      </c>
      <c r="L65" s="45">
        <v>44.017841034523144</v>
      </c>
      <c r="M65" s="45">
        <v>45.916317531533934</v>
      </c>
      <c r="N65" s="45">
        <f t="shared" si="5"/>
        <v>316.40415856605711</v>
      </c>
      <c r="O65" s="46">
        <f t="shared" si="6"/>
        <v>5382034.7372086318</v>
      </c>
      <c r="P65" s="47">
        <f t="shared" si="7"/>
        <v>495.11112404467963</v>
      </c>
      <c r="Q65" s="47">
        <v>1400</v>
      </c>
      <c r="R65" s="47">
        <f t="shared" si="11"/>
        <v>904.88887595532037</v>
      </c>
      <c r="S65" s="191">
        <f t="shared" si="10"/>
        <v>0.64634919711094307</v>
      </c>
      <c r="T65" s="42">
        <v>8421840.2200000007</v>
      </c>
      <c r="U65" s="48">
        <f t="shared" si="8"/>
        <v>0.63905685653207889</v>
      </c>
      <c r="V65" s="49"/>
      <c r="X65" s="112"/>
    </row>
    <row r="66" spans="1:24" x14ac:dyDescent="0.3">
      <c r="A66" s="40" t="str">
        <f>VLOOKUP(B66,Grupos!$A$2:$B$619,2,FALSE)</f>
        <v>CAJAS TELEFONICAS</v>
      </c>
      <c r="B66" s="41" t="s">
        <v>118</v>
      </c>
      <c r="C66" s="41" t="s">
        <v>119</v>
      </c>
      <c r="D66" s="42">
        <v>20</v>
      </c>
      <c r="E66" s="43">
        <v>6348.57</v>
      </c>
      <c r="F66" s="43">
        <v>657.94</v>
      </c>
      <c r="G66" s="126">
        <f t="shared" si="0"/>
        <v>7006.51</v>
      </c>
      <c r="H66" s="127">
        <f t="shared" si="1"/>
        <v>126971.4</v>
      </c>
      <c r="I66" s="128">
        <f t="shared" si="2"/>
        <v>13158.800000000001</v>
      </c>
      <c r="J66" s="128">
        <f t="shared" si="3"/>
        <v>140130.20000000001</v>
      </c>
      <c r="K66" s="44">
        <f t="shared" si="4"/>
        <v>1.052822548791392E-4</v>
      </c>
      <c r="L66" s="45">
        <v>1361.8203002022201</v>
      </c>
      <c r="M66" s="45">
        <v>3533.3546148184137</v>
      </c>
      <c r="N66" s="45">
        <f t="shared" si="5"/>
        <v>11901.684915020634</v>
      </c>
      <c r="O66" s="46">
        <f t="shared" si="6"/>
        <v>238033.69830041268</v>
      </c>
      <c r="P66" s="47">
        <f t="shared" si="7"/>
        <v>31520.999499999998</v>
      </c>
      <c r="Q66" s="47">
        <v>82950</v>
      </c>
      <c r="R66" s="47">
        <f t="shared" si="11"/>
        <v>51429.000500000002</v>
      </c>
      <c r="S66" s="191">
        <f t="shared" si="10"/>
        <v>0.62000000602772753</v>
      </c>
      <c r="T66" s="42">
        <v>630419.99</v>
      </c>
      <c r="U66" s="48">
        <f t="shared" si="8"/>
        <v>0.37757955343454874</v>
      </c>
      <c r="V66" s="49"/>
      <c r="X66" s="112"/>
    </row>
    <row r="67" spans="1:24" x14ac:dyDescent="0.3">
      <c r="A67" s="40" t="str">
        <f>VLOOKUP(B67,Grupos!$A$2:$B$619,2,FALSE)</f>
        <v>CAJAS TELEFONICAS</v>
      </c>
      <c r="B67" s="41" t="s">
        <v>120</v>
      </c>
      <c r="C67" s="41" t="s">
        <v>121</v>
      </c>
      <c r="D67" s="42">
        <v>48</v>
      </c>
      <c r="E67" s="43">
        <v>7530.77</v>
      </c>
      <c r="F67" s="43">
        <v>688.78</v>
      </c>
      <c r="G67" s="126">
        <f t="shared" si="0"/>
        <v>8219.5500000000011</v>
      </c>
      <c r="H67" s="127">
        <f t="shared" si="1"/>
        <v>361476.96</v>
      </c>
      <c r="I67" s="128">
        <f t="shared" si="2"/>
        <v>33061.440000000002</v>
      </c>
      <c r="J67" s="128">
        <f t="shared" si="3"/>
        <v>394538.4</v>
      </c>
      <c r="K67" s="44">
        <f t="shared" si="4"/>
        <v>2.9642355743735304E-4</v>
      </c>
      <c r="L67" s="45">
        <v>1597.5928170411742</v>
      </c>
      <c r="M67" s="45">
        <v>3698.9755777040864</v>
      </c>
      <c r="N67" s="45">
        <f t="shared" si="5"/>
        <v>13516.118394745261</v>
      </c>
      <c r="O67" s="46">
        <f t="shared" si="6"/>
        <v>648773.68294777256</v>
      </c>
      <c r="P67" s="47">
        <f t="shared" si="7"/>
        <v>37652.333333333336</v>
      </c>
      <c r="Q67" s="47">
        <v>92350</v>
      </c>
      <c r="R67" s="47">
        <f t="shared" si="11"/>
        <v>54697.666666666664</v>
      </c>
      <c r="S67" s="191">
        <f t="shared" si="10"/>
        <v>0.59228659086807434</v>
      </c>
      <c r="T67" s="42">
        <v>1807312</v>
      </c>
      <c r="U67" s="48">
        <f t="shared" si="8"/>
        <v>0.35897160144334378</v>
      </c>
      <c r="V67" s="49"/>
      <c r="X67" s="112"/>
    </row>
    <row r="68" spans="1:24" x14ac:dyDescent="0.3">
      <c r="A68" s="40" t="str">
        <f>VLOOKUP(B68,Grupos!$A$2:$B$619,2,FALSE)</f>
        <v>CAJAS TELEFONICAS</v>
      </c>
      <c r="B68" s="41" t="s">
        <v>122</v>
      </c>
      <c r="C68" s="41" t="s">
        <v>123</v>
      </c>
      <c r="D68" s="42">
        <v>80</v>
      </c>
      <c r="E68" s="43">
        <v>12123.53</v>
      </c>
      <c r="F68" s="43">
        <v>640.79</v>
      </c>
      <c r="G68" s="126">
        <f t="shared" si="0"/>
        <v>12764.32</v>
      </c>
      <c r="H68" s="127">
        <f t="shared" si="1"/>
        <v>969882.4</v>
      </c>
      <c r="I68" s="128">
        <f t="shared" si="2"/>
        <v>51263.199999999997</v>
      </c>
      <c r="J68" s="128">
        <f t="shared" si="3"/>
        <v>1021145.6</v>
      </c>
      <c r="K68" s="44">
        <f t="shared" si="4"/>
        <v>7.6720443792923656E-4</v>
      </c>
      <c r="L68" s="45">
        <v>2480.9370277466523</v>
      </c>
      <c r="M68" s="45">
        <v>3441.2534632785528</v>
      </c>
      <c r="N68" s="45">
        <f t="shared" si="5"/>
        <v>18686.510491025205</v>
      </c>
      <c r="O68" s="46">
        <f t="shared" si="6"/>
        <v>1494920.8392820163</v>
      </c>
      <c r="P68" s="47">
        <f t="shared" si="7"/>
        <v>44529.501624999997</v>
      </c>
      <c r="Q68" s="47">
        <v>107300</v>
      </c>
      <c r="R68" s="47">
        <f t="shared" si="11"/>
        <v>62770.498375000003</v>
      </c>
      <c r="S68" s="191">
        <f t="shared" si="10"/>
        <v>0.58499998485554527</v>
      </c>
      <c r="T68" s="42">
        <v>3562360.13</v>
      </c>
      <c r="U68" s="48">
        <f t="shared" si="8"/>
        <v>0.41964337818984526</v>
      </c>
      <c r="V68" s="49"/>
      <c r="X68" s="112"/>
    </row>
    <row r="69" spans="1:24" x14ac:dyDescent="0.3">
      <c r="A69" s="40" t="str">
        <f>VLOOKUP(B69,Grupos!$A$2:$B$619,2,FALSE)</f>
        <v>CAJAS TELEFONICAS</v>
      </c>
      <c r="B69" s="41" t="s">
        <v>125</v>
      </c>
      <c r="C69" s="41" t="s">
        <v>126</v>
      </c>
      <c r="D69" s="42">
        <v>62</v>
      </c>
      <c r="E69" s="43">
        <v>22164.95</v>
      </c>
      <c r="F69" s="43">
        <v>668.16</v>
      </c>
      <c r="G69" s="126">
        <f t="shared" ref="G69:G132" si="12">E69+F69</f>
        <v>22833.11</v>
      </c>
      <c r="H69" s="127">
        <f t="shared" ref="H69:H132" si="13">E69*D69</f>
        <v>1374226.9000000001</v>
      </c>
      <c r="I69" s="128">
        <f t="shared" ref="I69:I132" si="14">F69*D69</f>
        <v>41425.919999999998</v>
      </c>
      <c r="J69" s="128">
        <f t="shared" ref="J69:J132" si="15">G69*D69</f>
        <v>1415652.82</v>
      </c>
      <c r="K69" s="44">
        <f t="shared" ref="K69:K132" si="16">J69/$J$264</f>
        <v>1.0636045692906464E-3</v>
      </c>
      <c r="L69" s="45">
        <v>4437.9573731787023</v>
      </c>
      <c r="M69" s="45">
        <v>3588.2393826748198</v>
      </c>
      <c r="N69" s="45">
        <f t="shared" ref="N69:N132" si="17">G69+L69+M69</f>
        <v>30859.306755853522</v>
      </c>
      <c r="O69" s="46">
        <f t="shared" ref="O69:O132" si="18">N69*D69</f>
        <v>1913277.0188629185</v>
      </c>
      <c r="P69" s="47">
        <f t="shared" ref="P69:P132" si="19">T69/D69</f>
        <v>71693.437096774185</v>
      </c>
      <c r="Q69" s="47">
        <v>175900</v>
      </c>
      <c r="R69" s="47">
        <f t="shared" si="11"/>
        <v>104206.56290322581</v>
      </c>
      <c r="S69" s="191">
        <f t="shared" si="10"/>
        <v>0.5924193456692769</v>
      </c>
      <c r="T69" s="42">
        <v>4444993.0999999996</v>
      </c>
      <c r="U69" s="48">
        <f t="shared" ref="U69:U132" si="20">O69/T69</f>
        <v>0.43043419321908927</v>
      </c>
      <c r="V69" s="49"/>
      <c r="X69" s="112"/>
    </row>
    <row r="70" spans="1:24" x14ac:dyDescent="0.3">
      <c r="A70" s="40" t="str">
        <f>VLOOKUP(B70,Grupos!$A$2:$B$619,2,FALSE)</f>
        <v>CAJAS TELEFONICAS</v>
      </c>
      <c r="B70" s="41" t="s">
        <v>127</v>
      </c>
      <c r="C70" s="41" t="s">
        <v>128</v>
      </c>
      <c r="D70" s="42">
        <v>56</v>
      </c>
      <c r="E70" s="43">
        <v>24574.799999999999</v>
      </c>
      <c r="F70" s="43">
        <v>789.33</v>
      </c>
      <c r="G70" s="126">
        <f t="shared" si="12"/>
        <v>25364.13</v>
      </c>
      <c r="H70" s="127">
        <f t="shared" si="13"/>
        <v>1376188.8</v>
      </c>
      <c r="I70" s="128">
        <f t="shared" si="14"/>
        <v>44202.48</v>
      </c>
      <c r="J70" s="128">
        <f t="shared" si="15"/>
        <v>1420391.28</v>
      </c>
      <c r="K70" s="44">
        <f t="shared" si="16"/>
        <v>1.0671646566483652E-3</v>
      </c>
      <c r="L70" s="45">
        <v>4929.8990697177524</v>
      </c>
      <c r="M70" s="45">
        <v>4238.9622125339974</v>
      </c>
      <c r="N70" s="45">
        <f t="shared" si="17"/>
        <v>34532.991282251751</v>
      </c>
      <c r="O70" s="46">
        <f t="shared" si="18"/>
        <v>1933847.511806098</v>
      </c>
      <c r="P70" s="47">
        <f t="shared" si="19"/>
        <v>88955.71767857144</v>
      </c>
      <c r="Q70" s="47">
        <v>213250</v>
      </c>
      <c r="R70" s="47">
        <f t="shared" si="11"/>
        <v>124294.28232142856</v>
      </c>
      <c r="S70" s="191">
        <f t="shared" ref="S70:S133" si="21">R70/Q70</f>
        <v>0.58285712694691005</v>
      </c>
      <c r="T70" s="42">
        <v>4981520.1900000004</v>
      </c>
      <c r="U70" s="48">
        <f t="shared" si="20"/>
        <v>0.38820429066776457</v>
      </c>
      <c r="V70" s="49"/>
      <c r="X70" s="112"/>
    </row>
    <row r="71" spans="1:24" x14ac:dyDescent="0.3">
      <c r="A71" s="40" t="str">
        <f>VLOOKUP(B71,Grupos!$A$2:$B$619,2,FALSE)</f>
        <v>CE 125</v>
      </c>
      <c r="B71" s="41" t="s">
        <v>131</v>
      </c>
      <c r="C71" s="41" t="s">
        <v>132</v>
      </c>
      <c r="D71" s="42">
        <v>9360</v>
      </c>
      <c r="E71" s="43">
        <v>2031.35</v>
      </c>
      <c r="F71" s="43">
        <v>435.36</v>
      </c>
      <c r="G71" s="126">
        <f t="shared" si="12"/>
        <v>2466.71</v>
      </c>
      <c r="H71" s="127">
        <f t="shared" si="13"/>
        <v>19013436</v>
      </c>
      <c r="I71" s="128">
        <f t="shared" si="14"/>
        <v>4074969.6</v>
      </c>
      <c r="J71" s="128">
        <f t="shared" si="15"/>
        <v>23088405.600000001</v>
      </c>
      <c r="K71" s="44">
        <f t="shared" si="16"/>
        <v>1.734672042951587E-2</v>
      </c>
      <c r="L71" s="45">
        <v>479.44208353542899</v>
      </c>
      <c r="M71" s="45">
        <v>2338.0266667284927</v>
      </c>
      <c r="N71" s="45">
        <f t="shared" si="17"/>
        <v>5284.1787502639218</v>
      </c>
      <c r="O71" s="46">
        <f t="shared" si="18"/>
        <v>49459913.102470309</v>
      </c>
      <c r="P71" s="47">
        <f t="shared" si="19"/>
        <v>4814.8846164529914</v>
      </c>
      <c r="Q71" s="47">
        <v>15400</v>
      </c>
      <c r="R71" s="47">
        <f t="shared" si="11"/>
        <v>10585.115383547009</v>
      </c>
      <c r="S71" s="191">
        <f t="shared" si="21"/>
        <v>0.68734515477577973</v>
      </c>
      <c r="T71" s="42">
        <v>45067320.009999998</v>
      </c>
      <c r="U71" s="48">
        <f t="shared" si="20"/>
        <v>1.0974673686275473</v>
      </c>
      <c r="V71" s="49"/>
      <c r="X71" s="112"/>
    </row>
    <row r="72" spans="1:24" x14ac:dyDescent="0.3">
      <c r="A72" s="40" t="str">
        <f>VLOOKUP(B72,Grupos!$A$2:$B$619,2,FALSE)</f>
        <v>CE 125</v>
      </c>
      <c r="B72" s="41" t="s">
        <v>133</v>
      </c>
      <c r="C72" s="41" t="s">
        <v>134</v>
      </c>
      <c r="D72" s="42">
        <v>1200</v>
      </c>
      <c r="E72" s="43">
        <v>2141.44</v>
      </c>
      <c r="F72" s="43">
        <v>402.72</v>
      </c>
      <c r="G72" s="126">
        <f t="shared" si="12"/>
        <v>2544.16</v>
      </c>
      <c r="H72" s="127">
        <f t="shared" si="13"/>
        <v>2569728</v>
      </c>
      <c r="I72" s="128">
        <f t="shared" si="14"/>
        <v>483264.00000000006</v>
      </c>
      <c r="J72" s="128">
        <f t="shared" si="15"/>
        <v>3052992</v>
      </c>
      <c r="K72" s="44">
        <f t="shared" si="16"/>
        <v>2.2937659540054386E-3</v>
      </c>
      <c r="L72" s="45">
        <v>494.49565260914204</v>
      </c>
      <c r="M72" s="45">
        <v>2162.7391106782861</v>
      </c>
      <c r="N72" s="45">
        <f t="shared" si="17"/>
        <v>5201.3947632874278</v>
      </c>
      <c r="O72" s="46">
        <f t="shared" si="18"/>
        <v>6241673.7159449132</v>
      </c>
      <c r="P72" s="47">
        <f t="shared" si="19"/>
        <v>5083.5000499999996</v>
      </c>
      <c r="Q72" s="47">
        <v>15400</v>
      </c>
      <c r="R72" s="47">
        <f t="shared" si="11"/>
        <v>10316.499950000001</v>
      </c>
      <c r="S72" s="191">
        <f t="shared" si="21"/>
        <v>0.66990259415584419</v>
      </c>
      <c r="T72" s="42">
        <v>6100200.0599999996</v>
      </c>
      <c r="U72" s="48">
        <f t="shared" si="20"/>
        <v>1.0231916420041007</v>
      </c>
      <c r="V72" s="49"/>
      <c r="X72" s="112"/>
    </row>
    <row r="73" spans="1:24" x14ac:dyDescent="0.3">
      <c r="A73" s="40" t="str">
        <f>VLOOKUP(B73,Grupos!$A$2:$B$619,2,FALSE)</f>
        <v>CE 125</v>
      </c>
      <c r="B73" s="41" t="s">
        <v>136</v>
      </c>
      <c r="C73" s="41" t="s">
        <v>137</v>
      </c>
      <c r="D73" s="42">
        <v>540</v>
      </c>
      <c r="E73" s="43">
        <v>1988.04</v>
      </c>
      <c r="F73" s="43">
        <v>537.63</v>
      </c>
      <c r="G73" s="126">
        <f t="shared" si="12"/>
        <v>2525.67</v>
      </c>
      <c r="H73" s="127">
        <f t="shared" si="13"/>
        <v>1073541.6000000001</v>
      </c>
      <c r="I73" s="128">
        <f t="shared" si="14"/>
        <v>290320.2</v>
      </c>
      <c r="J73" s="128">
        <f t="shared" si="15"/>
        <v>1363861.8</v>
      </c>
      <c r="K73" s="44">
        <f t="shared" si="16"/>
        <v>1.0246930757789653E-3</v>
      </c>
      <c r="L73" s="45">
        <v>490.90184380122787</v>
      </c>
      <c r="M73" s="45">
        <v>2887.2502683600687</v>
      </c>
      <c r="N73" s="45">
        <f t="shared" si="17"/>
        <v>5903.8221121612969</v>
      </c>
      <c r="O73" s="46">
        <f t="shared" si="18"/>
        <v>3188063.9405671004</v>
      </c>
      <c r="P73" s="47">
        <f t="shared" si="19"/>
        <v>5356</v>
      </c>
      <c r="Q73" s="47">
        <v>15400</v>
      </c>
      <c r="R73" s="47">
        <f t="shared" si="11"/>
        <v>10044</v>
      </c>
      <c r="S73" s="191">
        <f t="shared" si="21"/>
        <v>0.65220779220779224</v>
      </c>
      <c r="T73" s="42">
        <v>2892240</v>
      </c>
      <c r="U73" s="48">
        <f t="shared" si="20"/>
        <v>1.102281947752296</v>
      </c>
      <c r="V73" s="49"/>
      <c r="X73" s="112"/>
    </row>
    <row r="74" spans="1:24" x14ac:dyDescent="0.3">
      <c r="A74" s="40" t="str">
        <f>VLOOKUP(B74,Grupos!$A$2:$B$619,2,FALSE)</f>
        <v>CE 125</v>
      </c>
      <c r="B74" s="41" t="s">
        <v>138</v>
      </c>
      <c r="C74" s="41" t="s">
        <v>139</v>
      </c>
      <c r="D74" s="42">
        <v>9060</v>
      </c>
      <c r="E74" s="43">
        <v>2031.35</v>
      </c>
      <c r="F74" s="43">
        <v>432.81</v>
      </c>
      <c r="G74" s="126">
        <f t="shared" si="12"/>
        <v>2464.16</v>
      </c>
      <c r="H74" s="127">
        <f t="shared" si="13"/>
        <v>18404031</v>
      </c>
      <c r="I74" s="128">
        <f t="shared" si="14"/>
        <v>3921258.6</v>
      </c>
      <c r="J74" s="128">
        <f t="shared" si="15"/>
        <v>22325289.599999998</v>
      </c>
      <c r="K74" s="44">
        <f t="shared" si="16"/>
        <v>1.6773378114908814E-2</v>
      </c>
      <c r="L74" s="45">
        <v>478.94645279123301</v>
      </c>
      <c r="M74" s="45">
        <v>2324.3323264120704</v>
      </c>
      <c r="N74" s="45">
        <f t="shared" si="17"/>
        <v>5267.4387792033031</v>
      </c>
      <c r="O74" s="46">
        <f t="shared" si="18"/>
        <v>47722995.339581929</v>
      </c>
      <c r="P74" s="47">
        <f t="shared" si="19"/>
        <v>4850.6092748344372</v>
      </c>
      <c r="Q74" s="47">
        <v>15400</v>
      </c>
      <c r="R74" s="47">
        <f t="shared" ref="R74:R77" si="22">Q74-P74</f>
        <v>10549.390725165562</v>
      </c>
      <c r="S74" s="191">
        <f t="shared" si="21"/>
        <v>0.68502537176399747</v>
      </c>
      <c r="T74" s="42">
        <v>43946520.030000001</v>
      </c>
      <c r="U74" s="48">
        <f t="shared" si="20"/>
        <v>1.085933432431144</v>
      </c>
      <c r="V74" s="49"/>
      <c r="X74" s="112"/>
    </row>
    <row r="75" spans="1:24" x14ac:dyDescent="0.3">
      <c r="A75" s="40" t="str">
        <f>VLOOKUP(B75,Grupos!$A$2:$B$619,2,FALSE)</f>
        <v>CE 125</v>
      </c>
      <c r="B75" s="41" t="s">
        <v>140</v>
      </c>
      <c r="C75" s="41" t="s">
        <v>141</v>
      </c>
      <c r="D75" s="42">
        <v>3720</v>
      </c>
      <c r="E75" s="43">
        <v>2141.44</v>
      </c>
      <c r="F75" s="43">
        <v>424.82</v>
      </c>
      <c r="G75" s="126">
        <f t="shared" si="12"/>
        <v>2566.2600000000002</v>
      </c>
      <c r="H75" s="127">
        <f t="shared" si="13"/>
        <v>7966156.7999999998</v>
      </c>
      <c r="I75" s="128">
        <f t="shared" si="14"/>
        <v>1580330.4</v>
      </c>
      <c r="J75" s="128">
        <f t="shared" si="15"/>
        <v>9546487.2000000011</v>
      </c>
      <c r="K75" s="44">
        <f t="shared" si="16"/>
        <v>7.1724417619530969E-3</v>
      </c>
      <c r="L75" s="45">
        <v>498.7911190588394</v>
      </c>
      <c r="M75" s="45">
        <v>2281.4233934206136</v>
      </c>
      <c r="N75" s="45">
        <f t="shared" si="17"/>
        <v>5346.4745124794536</v>
      </c>
      <c r="O75" s="46">
        <f t="shared" si="18"/>
        <v>19888885.186423566</v>
      </c>
      <c r="P75" s="47">
        <f t="shared" si="19"/>
        <v>5114.032244623656</v>
      </c>
      <c r="Q75" s="47">
        <v>15400</v>
      </c>
      <c r="R75" s="47">
        <f t="shared" si="22"/>
        <v>10285.967755376343</v>
      </c>
      <c r="S75" s="191">
        <f t="shared" si="21"/>
        <v>0.66791998411534692</v>
      </c>
      <c r="T75" s="42">
        <v>19024199.949999999</v>
      </c>
      <c r="U75" s="48">
        <f t="shared" si="20"/>
        <v>1.0454518580910714</v>
      </c>
      <c r="V75" s="49"/>
      <c r="X75" s="112"/>
    </row>
    <row r="76" spans="1:24" x14ac:dyDescent="0.3">
      <c r="A76" s="40" t="str">
        <f>VLOOKUP(B76,Grupos!$A$2:$B$619,2,FALSE)</f>
        <v>CE 125</v>
      </c>
      <c r="B76" s="41" t="s">
        <v>142</v>
      </c>
      <c r="C76" s="41" t="s">
        <v>143</v>
      </c>
      <c r="D76" s="42">
        <v>7080</v>
      </c>
      <c r="E76" s="43">
        <v>2028.07</v>
      </c>
      <c r="F76" s="43">
        <v>415.36</v>
      </c>
      <c r="G76" s="126">
        <f t="shared" si="12"/>
        <v>2443.4299999999998</v>
      </c>
      <c r="H76" s="127">
        <f t="shared" si="13"/>
        <v>14358735.6</v>
      </c>
      <c r="I76" s="128">
        <f t="shared" si="14"/>
        <v>2940748.8000000003</v>
      </c>
      <c r="J76" s="128">
        <f t="shared" si="15"/>
        <v>17299484.399999999</v>
      </c>
      <c r="K76" s="44">
        <f t="shared" si="16"/>
        <v>1.299740331405002E-2</v>
      </c>
      <c r="L76" s="45">
        <v>474.91726638841732</v>
      </c>
      <c r="M76" s="45">
        <v>2230.6200760114543</v>
      </c>
      <c r="N76" s="45">
        <f t="shared" si="17"/>
        <v>5148.967342399872</v>
      </c>
      <c r="O76" s="46">
        <f t="shared" si="18"/>
        <v>36454688.784191094</v>
      </c>
      <c r="P76" s="47">
        <f t="shared" si="19"/>
        <v>4890.4236779661014</v>
      </c>
      <c r="Q76" s="47">
        <v>15400</v>
      </c>
      <c r="R76" s="47">
        <f t="shared" si="22"/>
        <v>10509.576322033899</v>
      </c>
      <c r="S76" s="191">
        <f t="shared" si="21"/>
        <v>0.68244002091129219</v>
      </c>
      <c r="T76" s="42">
        <v>34624199.640000001</v>
      </c>
      <c r="U76" s="48">
        <f t="shared" si="20"/>
        <v>1.0528673345008213</v>
      </c>
      <c r="V76" s="49"/>
      <c r="X76" s="112"/>
    </row>
    <row r="77" spans="1:24" x14ac:dyDescent="0.3">
      <c r="A77" s="40" t="str">
        <f>VLOOKUP(B77,Grupos!$A$2:$B$619,2,FALSE)</f>
        <v>CE 125</v>
      </c>
      <c r="B77" s="41" t="s">
        <v>144</v>
      </c>
      <c r="C77" s="41" t="s">
        <v>145</v>
      </c>
      <c r="D77" s="42">
        <v>780</v>
      </c>
      <c r="E77" s="43">
        <v>2141.44</v>
      </c>
      <c r="F77" s="43">
        <v>426.01</v>
      </c>
      <c r="G77" s="126">
        <f t="shared" si="12"/>
        <v>2567.4499999999998</v>
      </c>
      <c r="H77" s="127">
        <f t="shared" si="13"/>
        <v>1670323.2</v>
      </c>
      <c r="I77" s="128">
        <f t="shared" si="14"/>
        <v>332287.8</v>
      </c>
      <c r="J77" s="128">
        <f t="shared" si="15"/>
        <v>2002610.9999999998</v>
      </c>
      <c r="K77" s="44">
        <f t="shared" si="16"/>
        <v>1.5045964519123484E-3</v>
      </c>
      <c r="L77" s="45">
        <v>499.02241340613074</v>
      </c>
      <c r="M77" s="45">
        <v>2287.8140855682773</v>
      </c>
      <c r="N77" s="45">
        <f t="shared" si="17"/>
        <v>5354.2864989744085</v>
      </c>
      <c r="O77" s="46">
        <f t="shared" si="18"/>
        <v>4176343.4692000388</v>
      </c>
      <c r="P77" s="47">
        <f t="shared" si="19"/>
        <v>5226.0000384615378</v>
      </c>
      <c r="Q77" s="47">
        <v>15400</v>
      </c>
      <c r="R77" s="47">
        <f t="shared" si="22"/>
        <v>10173.999961538462</v>
      </c>
      <c r="S77" s="191">
        <f t="shared" si="21"/>
        <v>0.66064934815184817</v>
      </c>
      <c r="T77" s="42">
        <v>4076280.03</v>
      </c>
      <c r="U77" s="48">
        <f t="shared" si="20"/>
        <v>1.0245477343223741</v>
      </c>
      <c r="V77" s="49"/>
      <c r="X77" s="112"/>
    </row>
    <row r="78" spans="1:24" x14ac:dyDescent="0.3">
      <c r="A78" s="40" t="str">
        <f>VLOOKUP(B78,Grupos!$A$2:$B$619,2,FALSE)</f>
        <v>EXCEDENTES INDUSTRIALES</v>
      </c>
      <c r="B78" s="41" t="s">
        <v>748</v>
      </c>
      <c r="C78" s="41" t="s">
        <v>749</v>
      </c>
      <c r="D78" s="42">
        <v>85</v>
      </c>
      <c r="E78" s="43">
        <v>0</v>
      </c>
      <c r="F78" s="43">
        <v>0</v>
      </c>
      <c r="G78" s="126">
        <f t="shared" si="12"/>
        <v>0</v>
      </c>
      <c r="H78" s="127">
        <f t="shared" si="13"/>
        <v>0</v>
      </c>
      <c r="I78" s="128">
        <f t="shared" si="14"/>
        <v>0</v>
      </c>
      <c r="J78" s="128">
        <f t="shared" si="15"/>
        <v>0</v>
      </c>
      <c r="K78" s="44">
        <f t="shared" si="16"/>
        <v>0</v>
      </c>
      <c r="L78" s="45">
        <v>0</v>
      </c>
      <c r="M78" s="45">
        <v>0</v>
      </c>
      <c r="N78" s="45">
        <f t="shared" si="17"/>
        <v>0</v>
      </c>
      <c r="O78" s="46">
        <f t="shared" si="18"/>
        <v>0</v>
      </c>
      <c r="P78" s="47">
        <f t="shared" si="19"/>
        <v>739.41176470588232</v>
      </c>
      <c r="Q78" s="166">
        <v>0</v>
      </c>
      <c r="R78" s="47"/>
      <c r="S78" s="191">
        <v>0</v>
      </c>
      <c r="T78" s="42">
        <v>62850</v>
      </c>
      <c r="U78" s="48">
        <f t="shared" si="20"/>
        <v>0</v>
      </c>
      <c r="V78" s="49"/>
      <c r="X78" s="112"/>
    </row>
    <row r="79" spans="1:24" x14ac:dyDescent="0.3">
      <c r="A79" s="40" t="str">
        <f>VLOOKUP(B79,Grupos!$A$2:$B$619,2,FALSE)</f>
        <v>EXCEDENTES INDUSTRIALES</v>
      </c>
      <c r="B79" s="41" t="s">
        <v>716</v>
      </c>
      <c r="C79" s="41" t="s">
        <v>717</v>
      </c>
      <c r="D79" s="42">
        <v>18.649999999999999</v>
      </c>
      <c r="E79" s="43">
        <v>0</v>
      </c>
      <c r="F79" s="43">
        <v>0</v>
      </c>
      <c r="G79" s="126">
        <f t="shared" si="12"/>
        <v>0</v>
      </c>
      <c r="H79" s="127">
        <f t="shared" si="13"/>
        <v>0</v>
      </c>
      <c r="I79" s="128">
        <f t="shared" si="14"/>
        <v>0</v>
      </c>
      <c r="J79" s="128">
        <f t="shared" si="15"/>
        <v>0</v>
      </c>
      <c r="K79" s="44">
        <f t="shared" si="16"/>
        <v>0</v>
      </c>
      <c r="L79" s="45">
        <v>0</v>
      </c>
      <c r="M79" s="45">
        <v>0</v>
      </c>
      <c r="N79" s="45">
        <f t="shared" si="17"/>
        <v>0</v>
      </c>
      <c r="O79" s="46">
        <f t="shared" si="18"/>
        <v>0</v>
      </c>
      <c r="P79" s="47">
        <f t="shared" si="19"/>
        <v>500.00000000000006</v>
      </c>
      <c r="Q79" s="166">
        <v>0</v>
      </c>
      <c r="R79" s="47"/>
      <c r="S79" s="191">
        <v>0</v>
      </c>
      <c r="T79" s="42">
        <v>9325</v>
      </c>
      <c r="U79" s="48">
        <f t="shared" si="20"/>
        <v>0</v>
      </c>
      <c r="V79" s="49"/>
      <c r="X79" s="112"/>
    </row>
    <row r="80" spans="1:24" x14ac:dyDescent="0.3">
      <c r="A80" s="40" t="str">
        <f>VLOOKUP(B80,Grupos!$A$2:$B$619,2,FALSE)</f>
        <v>EXCEDENTES INDUSTRIALES</v>
      </c>
      <c r="B80" s="41" t="s">
        <v>739</v>
      </c>
      <c r="C80" s="41" t="s">
        <v>740</v>
      </c>
      <c r="D80" s="42">
        <v>864</v>
      </c>
      <c r="E80" s="43">
        <v>0</v>
      </c>
      <c r="F80" s="43">
        <v>0</v>
      </c>
      <c r="G80" s="126">
        <f t="shared" si="12"/>
        <v>0</v>
      </c>
      <c r="H80" s="127">
        <f t="shared" si="13"/>
        <v>0</v>
      </c>
      <c r="I80" s="128">
        <f t="shared" si="14"/>
        <v>0</v>
      </c>
      <c r="J80" s="128">
        <f t="shared" si="15"/>
        <v>0</v>
      </c>
      <c r="K80" s="44">
        <f t="shared" si="16"/>
        <v>0</v>
      </c>
      <c r="L80" s="45">
        <v>0</v>
      </c>
      <c r="M80" s="45">
        <v>0</v>
      </c>
      <c r="N80" s="45">
        <f t="shared" si="17"/>
        <v>0</v>
      </c>
      <c r="O80" s="46">
        <f t="shared" si="18"/>
        <v>0</v>
      </c>
      <c r="P80" s="47">
        <f t="shared" si="19"/>
        <v>300</v>
      </c>
      <c r="Q80" s="166">
        <v>0</v>
      </c>
      <c r="R80" s="47"/>
      <c r="S80" s="191">
        <v>0</v>
      </c>
      <c r="T80" s="42">
        <v>259200</v>
      </c>
      <c r="U80" s="48">
        <f t="shared" si="20"/>
        <v>0</v>
      </c>
      <c r="V80" s="49"/>
      <c r="X80" s="112"/>
    </row>
    <row r="81" spans="1:24" x14ac:dyDescent="0.3">
      <c r="A81" s="40" t="str">
        <f>VLOOKUP(B81,Grupos!$A$2:$B$619,2,FALSE)</f>
        <v>EXCEDENTES INDUSTRIALES</v>
      </c>
      <c r="B81" s="41" t="s">
        <v>718</v>
      </c>
      <c r="C81" s="41" t="s">
        <v>719</v>
      </c>
      <c r="D81" s="42">
        <v>548.04999999999995</v>
      </c>
      <c r="E81" s="43">
        <v>0</v>
      </c>
      <c r="F81" s="43">
        <v>0</v>
      </c>
      <c r="G81" s="126">
        <f t="shared" si="12"/>
        <v>0</v>
      </c>
      <c r="H81" s="127">
        <f t="shared" si="13"/>
        <v>0</v>
      </c>
      <c r="I81" s="128">
        <f t="shared" si="14"/>
        <v>0</v>
      </c>
      <c r="J81" s="128">
        <f t="shared" si="15"/>
        <v>0</v>
      </c>
      <c r="K81" s="44">
        <f t="shared" si="16"/>
        <v>0</v>
      </c>
      <c r="L81" s="45">
        <v>0</v>
      </c>
      <c r="M81" s="45">
        <v>0</v>
      </c>
      <c r="N81" s="45">
        <f t="shared" si="17"/>
        <v>0</v>
      </c>
      <c r="O81" s="46">
        <f t="shared" si="18"/>
        <v>0</v>
      </c>
      <c r="P81" s="47">
        <f t="shared" si="19"/>
        <v>500.00000000000006</v>
      </c>
      <c r="Q81" s="166">
        <v>0</v>
      </c>
      <c r="R81" s="47"/>
      <c r="S81" s="191">
        <v>0</v>
      </c>
      <c r="T81" s="42">
        <v>274025</v>
      </c>
      <c r="U81" s="48">
        <f t="shared" si="20"/>
        <v>0</v>
      </c>
      <c r="V81" s="49"/>
      <c r="X81" s="112"/>
    </row>
    <row r="82" spans="1:24" x14ac:dyDescent="0.3">
      <c r="A82" s="40" t="str">
        <f>VLOOKUP(B82,Grupos!$A$2:$B$619,2,FALSE)</f>
        <v>EXCEDENTES INDUSTRIALES</v>
      </c>
      <c r="B82" s="41" t="s">
        <v>678</v>
      </c>
      <c r="C82" s="41" t="s">
        <v>679</v>
      </c>
      <c r="D82" s="42">
        <v>112</v>
      </c>
      <c r="E82" s="43">
        <v>0</v>
      </c>
      <c r="F82" s="43">
        <v>0</v>
      </c>
      <c r="G82" s="126">
        <f t="shared" si="12"/>
        <v>0</v>
      </c>
      <c r="H82" s="127">
        <f t="shared" si="13"/>
        <v>0</v>
      </c>
      <c r="I82" s="128">
        <f t="shared" si="14"/>
        <v>0</v>
      </c>
      <c r="J82" s="128">
        <f t="shared" si="15"/>
        <v>0</v>
      </c>
      <c r="K82" s="44">
        <f t="shared" si="16"/>
        <v>0</v>
      </c>
      <c r="L82" s="45">
        <v>0</v>
      </c>
      <c r="M82" s="45">
        <v>0</v>
      </c>
      <c r="N82" s="45">
        <f t="shared" si="17"/>
        <v>0</v>
      </c>
      <c r="O82" s="46">
        <f t="shared" si="18"/>
        <v>0</v>
      </c>
      <c r="P82" s="47">
        <f t="shared" si="19"/>
        <v>500</v>
      </c>
      <c r="Q82" s="166">
        <v>0</v>
      </c>
      <c r="R82" s="47"/>
      <c r="S82" s="191">
        <v>0</v>
      </c>
      <c r="T82" s="42">
        <v>56000</v>
      </c>
      <c r="U82" s="48">
        <f t="shared" si="20"/>
        <v>0</v>
      </c>
      <c r="V82" s="49"/>
      <c r="X82" s="112"/>
    </row>
    <row r="83" spans="1:24" x14ac:dyDescent="0.3">
      <c r="A83" s="40" t="str">
        <f>VLOOKUP(B83,Grupos!$A$2:$B$619,2,FALSE)</f>
        <v>EXCEDENTES INDUSTRIALES</v>
      </c>
      <c r="B83" s="41" t="s">
        <v>680</v>
      </c>
      <c r="C83" s="41" t="s">
        <v>681</v>
      </c>
      <c r="D83" s="42">
        <v>67</v>
      </c>
      <c r="E83" s="43">
        <v>0</v>
      </c>
      <c r="F83" s="43">
        <v>0</v>
      </c>
      <c r="G83" s="126">
        <f t="shared" si="12"/>
        <v>0</v>
      </c>
      <c r="H83" s="127">
        <f t="shared" si="13"/>
        <v>0</v>
      </c>
      <c r="I83" s="128">
        <f t="shared" si="14"/>
        <v>0</v>
      </c>
      <c r="J83" s="128">
        <f t="shared" si="15"/>
        <v>0</v>
      </c>
      <c r="K83" s="44">
        <f t="shared" si="16"/>
        <v>0</v>
      </c>
      <c r="L83" s="45">
        <v>0</v>
      </c>
      <c r="M83" s="45">
        <v>0</v>
      </c>
      <c r="N83" s="45">
        <f t="shared" si="17"/>
        <v>0</v>
      </c>
      <c r="O83" s="46">
        <f t="shared" si="18"/>
        <v>0</v>
      </c>
      <c r="P83" s="47">
        <f t="shared" si="19"/>
        <v>1000</v>
      </c>
      <c r="Q83" s="166">
        <v>0</v>
      </c>
      <c r="R83" s="47"/>
      <c r="S83" s="191">
        <v>0</v>
      </c>
      <c r="T83" s="42">
        <v>67000</v>
      </c>
      <c r="U83" s="48">
        <f t="shared" si="20"/>
        <v>0</v>
      </c>
      <c r="V83" s="49"/>
      <c r="X83" s="112"/>
    </row>
    <row r="84" spans="1:24" x14ac:dyDescent="0.3">
      <c r="A84" s="40" t="str">
        <f>VLOOKUP(B84,Grupos!$A$2:$B$619,2,FALSE)</f>
        <v>EXCEDENTES INDUSTRIALES</v>
      </c>
      <c r="B84" s="41" t="s">
        <v>722</v>
      </c>
      <c r="C84" s="41" t="s">
        <v>723</v>
      </c>
      <c r="D84" s="42">
        <v>292.5</v>
      </c>
      <c r="E84" s="43">
        <v>0</v>
      </c>
      <c r="F84" s="43">
        <v>0</v>
      </c>
      <c r="G84" s="126">
        <f t="shared" si="12"/>
        <v>0</v>
      </c>
      <c r="H84" s="127">
        <f t="shared" si="13"/>
        <v>0</v>
      </c>
      <c r="I84" s="128">
        <f t="shared" si="14"/>
        <v>0</v>
      </c>
      <c r="J84" s="128">
        <f t="shared" si="15"/>
        <v>0</v>
      </c>
      <c r="K84" s="44">
        <f t="shared" si="16"/>
        <v>0</v>
      </c>
      <c r="L84" s="45">
        <v>0</v>
      </c>
      <c r="M84" s="45">
        <v>0</v>
      </c>
      <c r="N84" s="45">
        <f t="shared" si="17"/>
        <v>0</v>
      </c>
      <c r="O84" s="46">
        <f t="shared" si="18"/>
        <v>0</v>
      </c>
      <c r="P84" s="47">
        <f t="shared" si="19"/>
        <v>250</v>
      </c>
      <c r="Q84" s="166">
        <v>0</v>
      </c>
      <c r="R84" s="47"/>
      <c r="S84" s="191">
        <v>0</v>
      </c>
      <c r="T84" s="42">
        <v>73125</v>
      </c>
      <c r="U84" s="48">
        <f t="shared" si="20"/>
        <v>0</v>
      </c>
      <c r="V84" s="49"/>
      <c r="X84" s="112"/>
    </row>
    <row r="85" spans="1:24" x14ac:dyDescent="0.3">
      <c r="A85" s="40" t="str">
        <f>VLOOKUP(B85,Grupos!$A$2:$B$619,2,FALSE)</f>
        <v>EXCEDENTES INDUSTRIALES</v>
      </c>
      <c r="B85" s="41" t="s">
        <v>724</v>
      </c>
      <c r="C85" s="41" t="s">
        <v>725</v>
      </c>
      <c r="D85" s="42">
        <v>252.6</v>
      </c>
      <c r="E85" s="43">
        <v>0</v>
      </c>
      <c r="F85" s="43">
        <v>0</v>
      </c>
      <c r="G85" s="126">
        <f t="shared" si="12"/>
        <v>0</v>
      </c>
      <c r="H85" s="127">
        <f t="shared" si="13"/>
        <v>0</v>
      </c>
      <c r="I85" s="128">
        <f t="shared" si="14"/>
        <v>0</v>
      </c>
      <c r="J85" s="128">
        <f t="shared" si="15"/>
        <v>0</v>
      </c>
      <c r="K85" s="44">
        <f t="shared" si="16"/>
        <v>0</v>
      </c>
      <c r="L85" s="45">
        <v>0</v>
      </c>
      <c r="M85" s="45">
        <v>0</v>
      </c>
      <c r="N85" s="45">
        <f t="shared" si="17"/>
        <v>0</v>
      </c>
      <c r="O85" s="46">
        <f t="shared" si="18"/>
        <v>0</v>
      </c>
      <c r="P85" s="47">
        <f t="shared" si="19"/>
        <v>250</v>
      </c>
      <c r="Q85" s="166">
        <v>0</v>
      </c>
      <c r="R85" s="47"/>
      <c r="S85" s="191">
        <v>0</v>
      </c>
      <c r="T85" s="42">
        <v>63150</v>
      </c>
      <c r="U85" s="48">
        <f t="shared" si="20"/>
        <v>0</v>
      </c>
      <c r="V85" s="49"/>
      <c r="X85" s="112"/>
    </row>
    <row r="86" spans="1:24" x14ac:dyDescent="0.3">
      <c r="A86" s="40" t="str">
        <f>VLOOKUP(B86,Grupos!$A$2:$B$619,2,FALSE)</f>
        <v>EXCEDENTES INDUSTRIALES</v>
      </c>
      <c r="B86" s="41" t="s">
        <v>741</v>
      </c>
      <c r="C86" s="41" t="s">
        <v>742</v>
      </c>
      <c r="D86" s="42">
        <v>156.85</v>
      </c>
      <c r="E86" s="43">
        <v>0</v>
      </c>
      <c r="F86" s="43">
        <v>0</v>
      </c>
      <c r="G86" s="126">
        <f t="shared" si="12"/>
        <v>0</v>
      </c>
      <c r="H86" s="127">
        <f t="shared" si="13"/>
        <v>0</v>
      </c>
      <c r="I86" s="128">
        <f t="shared" si="14"/>
        <v>0</v>
      </c>
      <c r="J86" s="128">
        <f t="shared" si="15"/>
        <v>0</v>
      </c>
      <c r="K86" s="44">
        <f t="shared" si="16"/>
        <v>0</v>
      </c>
      <c r="L86" s="45">
        <v>0</v>
      </c>
      <c r="M86" s="45">
        <v>0</v>
      </c>
      <c r="N86" s="45">
        <f t="shared" si="17"/>
        <v>0</v>
      </c>
      <c r="O86" s="46">
        <f t="shared" si="18"/>
        <v>0</v>
      </c>
      <c r="P86" s="47">
        <f t="shared" si="19"/>
        <v>500</v>
      </c>
      <c r="Q86" s="166">
        <v>0</v>
      </c>
      <c r="R86" s="47"/>
      <c r="S86" s="191">
        <v>0</v>
      </c>
      <c r="T86" s="42">
        <v>78425</v>
      </c>
      <c r="U86" s="48">
        <f t="shared" si="20"/>
        <v>0</v>
      </c>
      <c r="V86" s="49"/>
      <c r="X86" s="112"/>
    </row>
    <row r="87" spans="1:24" x14ac:dyDescent="0.3">
      <c r="A87" s="40" t="str">
        <f>VLOOKUP(B87,Grupos!$A$2:$B$619,2,FALSE)</f>
        <v>EXCEDENTES INDUSTRIALES</v>
      </c>
      <c r="B87" s="41" t="s">
        <v>478</v>
      </c>
      <c r="C87" s="41" t="s">
        <v>479</v>
      </c>
      <c r="D87" s="42">
        <v>909</v>
      </c>
      <c r="E87" s="43">
        <v>0</v>
      </c>
      <c r="F87" s="43">
        <v>0</v>
      </c>
      <c r="G87" s="126">
        <f t="shared" si="12"/>
        <v>0</v>
      </c>
      <c r="H87" s="127">
        <f t="shared" si="13"/>
        <v>0</v>
      </c>
      <c r="I87" s="128">
        <f t="shared" si="14"/>
        <v>0</v>
      </c>
      <c r="J87" s="128">
        <f t="shared" si="15"/>
        <v>0</v>
      </c>
      <c r="K87" s="44">
        <f t="shared" si="16"/>
        <v>0</v>
      </c>
      <c r="L87" s="45">
        <v>0</v>
      </c>
      <c r="M87" s="45">
        <v>0</v>
      </c>
      <c r="N87" s="45">
        <f t="shared" si="17"/>
        <v>0</v>
      </c>
      <c r="O87" s="46">
        <f t="shared" si="18"/>
        <v>0</v>
      </c>
      <c r="P87" s="47">
        <f t="shared" si="19"/>
        <v>220</v>
      </c>
      <c r="Q87" s="166">
        <v>0</v>
      </c>
      <c r="R87" s="47"/>
      <c r="S87" s="191">
        <v>0</v>
      </c>
      <c r="T87" s="42">
        <v>199980</v>
      </c>
      <c r="U87" s="48">
        <f t="shared" si="20"/>
        <v>0</v>
      </c>
      <c r="V87" s="49"/>
      <c r="X87" s="112"/>
    </row>
    <row r="88" spans="1:24" x14ac:dyDescent="0.3">
      <c r="A88" s="40" t="str">
        <f>VLOOKUP(B88,Grupos!$A$2:$B$619,2,FALSE)</f>
        <v>INTERIORES</v>
      </c>
      <c r="B88" s="41" t="s">
        <v>633</v>
      </c>
      <c r="C88" s="41" t="s">
        <v>634</v>
      </c>
      <c r="D88" s="42">
        <v>2</v>
      </c>
      <c r="E88" s="43">
        <v>15453.34</v>
      </c>
      <c r="F88" s="43">
        <v>935.42</v>
      </c>
      <c r="G88" s="126">
        <f t="shared" si="12"/>
        <v>16388.759999999998</v>
      </c>
      <c r="H88" s="127">
        <f t="shared" si="13"/>
        <v>30906.68</v>
      </c>
      <c r="I88" s="128">
        <f t="shared" si="14"/>
        <v>1870.84</v>
      </c>
      <c r="J88" s="128">
        <f t="shared" si="15"/>
        <v>32777.519999999997</v>
      </c>
      <c r="K88" s="44">
        <f t="shared" si="16"/>
        <v>2.4626320485848747E-5</v>
      </c>
      <c r="L88" s="45">
        <v>3185.4013000969289</v>
      </c>
      <c r="M88" s="45">
        <v>5023.5136544266043</v>
      </c>
      <c r="N88" s="45">
        <f t="shared" si="17"/>
        <v>24597.674954523529</v>
      </c>
      <c r="O88" s="46">
        <f t="shared" si="18"/>
        <v>49195.349909047058</v>
      </c>
      <c r="P88" s="47">
        <f t="shared" si="19"/>
        <v>64828</v>
      </c>
      <c r="Q88" s="47">
        <v>170600</v>
      </c>
      <c r="R88" s="47">
        <f t="shared" ref="R88:R95" si="23">Q88-P88</f>
        <v>105772</v>
      </c>
      <c r="S88" s="191">
        <f t="shared" si="21"/>
        <v>0.62</v>
      </c>
      <c r="T88" s="42">
        <v>129656</v>
      </c>
      <c r="U88" s="48">
        <f t="shared" si="20"/>
        <v>0.37942979815085348</v>
      </c>
      <c r="V88" s="49"/>
      <c r="X88" s="112"/>
    </row>
    <row r="89" spans="1:24" x14ac:dyDescent="0.3">
      <c r="A89" s="40" t="str">
        <f>VLOOKUP(B89,Grupos!$A$2:$B$619,2,FALSE)</f>
        <v>INTERIORES</v>
      </c>
      <c r="B89" s="41" t="s">
        <v>684</v>
      </c>
      <c r="C89" s="41" t="s">
        <v>685</v>
      </c>
      <c r="D89" s="42">
        <v>8</v>
      </c>
      <c r="E89" s="43">
        <v>21969.01</v>
      </c>
      <c r="F89" s="43">
        <v>1049.78</v>
      </c>
      <c r="G89" s="126">
        <f t="shared" si="12"/>
        <v>23018.789999999997</v>
      </c>
      <c r="H89" s="127">
        <f t="shared" si="13"/>
        <v>175752.08</v>
      </c>
      <c r="I89" s="128">
        <f t="shared" si="14"/>
        <v>8398.24</v>
      </c>
      <c r="J89" s="128">
        <f t="shared" si="15"/>
        <v>184150.31999999998</v>
      </c>
      <c r="K89" s="44">
        <f t="shared" si="16"/>
        <v>1.3835533615391286E-4</v>
      </c>
      <c r="L89" s="45">
        <v>4474.0470659560688</v>
      </c>
      <c r="M89" s="45">
        <v>5637.6645401466303</v>
      </c>
      <c r="N89" s="45">
        <f t="shared" si="17"/>
        <v>33130.501606102698</v>
      </c>
      <c r="O89" s="46">
        <f t="shared" si="18"/>
        <v>265044.01284882159</v>
      </c>
      <c r="P89" s="47">
        <f t="shared" si="19"/>
        <v>83220</v>
      </c>
      <c r="Q89" s="47">
        <v>219000</v>
      </c>
      <c r="R89" s="47">
        <f t="shared" si="23"/>
        <v>135780</v>
      </c>
      <c r="S89" s="191">
        <f t="shared" si="21"/>
        <v>0.62</v>
      </c>
      <c r="T89" s="42">
        <v>665760</v>
      </c>
      <c r="U89" s="48">
        <f t="shared" si="20"/>
        <v>0.39810744539897497</v>
      </c>
      <c r="V89" s="49"/>
      <c r="X89" s="112"/>
    </row>
    <row r="90" spans="1:24" x14ac:dyDescent="0.3">
      <c r="A90" s="40" t="str">
        <f>VLOOKUP(B90,Grupos!$A$2:$B$619,2,FALSE)</f>
        <v>INTERIORES</v>
      </c>
      <c r="B90" s="41" t="s">
        <v>635</v>
      </c>
      <c r="C90" s="41" t="s">
        <v>636</v>
      </c>
      <c r="D90" s="42">
        <v>2</v>
      </c>
      <c r="E90" s="43">
        <v>39787.730000000003</v>
      </c>
      <c r="F90" s="43">
        <v>2660.46</v>
      </c>
      <c r="G90" s="126">
        <f t="shared" si="12"/>
        <v>42448.19</v>
      </c>
      <c r="H90" s="127">
        <f t="shared" si="13"/>
        <v>79575.460000000006</v>
      </c>
      <c r="I90" s="128">
        <f t="shared" si="14"/>
        <v>5320.92</v>
      </c>
      <c r="J90" s="128">
        <f t="shared" si="15"/>
        <v>84896.38</v>
      </c>
      <c r="K90" s="44">
        <f t="shared" si="16"/>
        <v>6.3784125887754781E-5</v>
      </c>
      <c r="L90" s="45">
        <v>8250.4423527320832</v>
      </c>
      <c r="M90" s="45">
        <v>14287.546916952604</v>
      </c>
      <c r="N90" s="45">
        <f t="shared" si="17"/>
        <v>64986.17926968469</v>
      </c>
      <c r="O90" s="46">
        <f t="shared" si="18"/>
        <v>129972.35853936938</v>
      </c>
      <c r="P90" s="47">
        <f t="shared" si="19"/>
        <v>143963</v>
      </c>
      <c r="Q90" s="47">
        <v>378850</v>
      </c>
      <c r="R90" s="47">
        <f t="shared" si="23"/>
        <v>234887</v>
      </c>
      <c r="S90" s="191">
        <f t="shared" si="21"/>
        <v>0.62</v>
      </c>
      <c r="T90" s="42">
        <v>287926</v>
      </c>
      <c r="U90" s="48">
        <f t="shared" si="20"/>
        <v>0.45140889860370159</v>
      </c>
      <c r="V90" s="49"/>
      <c r="X90" s="112"/>
    </row>
    <row r="91" spans="1:24" x14ac:dyDescent="0.3">
      <c r="A91" s="40" t="str">
        <f>VLOOKUP(B91,Grupos!$A$2:$B$619,2,FALSE)</f>
        <v>INTERIORES</v>
      </c>
      <c r="B91" s="41" t="s">
        <v>637</v>
      </c>
      <c r="C91" s="41" t="s">
        <v>638</v>
      </c>
      <c r="D91" s="42">
        <v>3</v>
      </c>
      <c r="E91" s="43">
        <v>49797.97</v>
      </c>
      <c r="F91" s="43">
        <v>2108.1999999999998</v>
      </c>
      <c r="G91" s="126">
        <f t="shared" si="12"/>
        <v>51906.17</v>
      </c>
      <c r="H91" s="127">
        <f t="shared" si="13"/>
        <v>149393.91</v>
      </c>
      <c r="I91" s="128">
        <f t="shared" si="14"/>
        <v>6324.5999999999995</v>
      </c>
      <c r="J91" s="128">
        <f t="shared" si="15"/>
        <v>155718.51</v>
      </c>
      <c r="K91" s="44">
        <f t="shared" si="16"/>
        <v>1.1699402312434997E-4</v>
      </c>
      <c r="L91" s="45">
        <v>10088.742613904422</v>
      </c>
      <c r="M91" s="45">
        <v>11321.728727483021</v>
      </c>
      <c r="N91" s="45">
        <f t="shared" si="17"/>
        <v>73316.64134138744</v>
      </c>
      <c r="O91" s="46">
        <f t="shared" si="18"/>
        <v>219949.92402416232</v>
      </c>
      <c r="P91" s="47">
        <f t="shared" si="19"/>
        <v>183999.99666666667</v>
      </c>
      <c r="Q91" s="47">
        <v>480000</v>
      </c>
      <c r="R91" s="47">
        <f t="shared" si="23"/>
        <v>296000.0033333333</v>
      </c>
      <c r="S91" s="191">
        <f t="shared" si="21"/>
        <v>0.61666667361111105</v>
      </c>
      <c r="T91" s="42">
        <v>551999.99</v>
      </c>
      <c r="U91" s="48">
        <f t="shared" si="20"/>
        <v>0.39846001450862767</v>
      </c>
      <c r="V91" s="49"/>
      <c r="X91" s="112"/>
    </row>
    <row r="92" spans="1:24" x14ac:dyDescent="0.3">
      <c r="A92" s="40" t="str">
        <f>VLOOKUP(B92,Grupos!$A$2:$B$619,2,FALSE)</f>
        <v>INTERIORES</v>
      </c>
      <c r="B92" s="41" t="s">
        <v>639</v>
      </c>
      <c r="C92" s="41" t="s">
        <v>640</v>
      </c>
      <c r="D92" s="42">
        <v>34</v>
      </c>
      <c r="E92" s="43">
        <v>25206.92</v>
      </c>
      <c r="F92" s="43">
        <v>1511.1</v>
      </c>
      <c r="G92" s="126">
        <f t="shared" si="12"/>
        <v>26718.019999999997</v>
      </c>
      <c r="H92" s="127">
        <f t="shared" si="13"/>
        <v>857035.27999999991</v>
      </c>
      <c r="I92" s="128">
        <f t="shared" si="14"/>
        <v>51377.399999999994</v>
      </c>
      <c r="J92" s="128">
        <f t="shared" si="15"/>
        <v>908412.67999999993</v>
      </c>
      <c r="K92" s="44">
        <f t="shared" si="16"/>
        <v>6.8250623570937524E-4</v>
      </c>
      <c r="L92" s="45">
        <v>5193.0478964861122</v>
      </c>
      <c r="M92" s="45">
        <v>8115.1049616258388</v>
      </c>
      <c r="N92" s="45">
        <f t="shared" si="17"/>
        <v>40026.172858111946</v>
      </c>
      <c r="O92" s="46">
        <f t="shared" si="18"/>
        <v>1360889.8771758061</v>
      </c>
      <c r="P92" s="47">
        <f t="shared" si="19"/>
        <v>98693.088235294112</v>
      </c>
      <c r="Q92" s="47">
        <v>256150</v>
      </c>
      <c r="R92" s="47">
        <f t="shared" si="23"/>
        <v>157456.9117647059</v>
      </c>
      <c r="S92" s="191">
        <f t="shared" si="21"/>
        <v>0.61470588235294121</v>
      </c>
      <c r="T92" s="42">
        <v>3355565</v>
      </c>
      <c r="U92" s="48">
        <f t="shared" si="20"/>
        <v>0.40556206694723723</v>
      </c>
      <c r="V92" s="49"/>
      <c r="X92" s="112"/>
    </row>
    <row r="93" spans="1:24" x14ac:dyDescent="0.3">
      <c r="A93" s="40" t="str">
        <f>VLOOKUP(B93,Grupos!$A$2:$B$619,2,FALSE)</f>
        <v>INTERIORES</v>
      </c>
      <c r="B93" s="41" t="s">
        <v>147</v>
      </c>
      <c r="C93" s="41" t="s">
        <v>148</v>
      </c>
      <c r="D93" s="42">
        <v>13</v>
      </c>
      <c r="E93" s="43">
        <v>37165.5</v>
      </c>
      <c r="F93" s="43">
        <v>2067.14</v>
      </c>
      <c r="G93" s="126">
        <f t="shared" si="12"/>
        <v>39232.639999999999</v>
      </c>
      <c r="H93" s="127">
        <f t="shared" si="13"/>
        <v>483151.5</v>
      </c>
      <c r="I93" s="128">
        <f t="shared" si="14"/>
        <v>26872.82</v>
      </c>
      <c r="J93" s="128">
        <f t="shared" si="15"/>
        <v>510024.32</v>
      </c>
      <c r="K93" s="44">
        <f t="shared" si="16"/>
        <v>3.8319013640742431E-4</v>
      </c>
      <c r="L93" s="45">
        <v>7625.4519843011176</v>
      </c>
      <c r="M93" s="45">
        <v>11101.22299674094</v>
      </c>
      <c r="N93" s="45">
        <f t="shared" si="17"/>
        <v>57959.314981042058</v>
      </c>
      <c r="O93" s="46">
        <f t="shared" si="18"/>
        <v>753471.09475354676</v>
      </c>
      <c r="P93" s="47">
        <f t="shared" si="19"/>
        <v>119072.99846153846</v>
      </c>
      <c r="Q93" s="47">
        <v>313350</v>
      </c>
      <c r="R93" s="47">
        <f t="shared" si="23"/>
        <v>194277.00153846154</v>
      </c>
      <c r="S93" s="191">
        <f t="shared" si="21"/>
        <v>0.62000000490972251</v>
      </c>
      <c r="T93" s="42">
        <v>1547948.98</v>
      </c>
      <c r="U93" s="48">
        <f t="shared" si="20"/>
        <v>0.48675447607681926</v>
      </c>
      <c r="V93" s="49"/>
      <c r="X93" s="112"/>
    </row>
    <row r="94" spans="1:24" x14ac:dyDescent="0.3">
      <c r="A94" s="40" t="str">
        <f>VLOOKUP(B94,Grupos!$A$2:$B$619,2,FALSE)</f>
        <v>INTERIORES</v>
      </c>
      <c r="B94" s="41" t="s">
        <v>743</v>
      </c>
      <c r="C94" s="41" t="s">
        <v>744</v>
      </c>
      <c r="D94" s="42">
        <v>2</v>
      </c>
      <c r="E94" s="43">
        <v>30107.38</v>
      </c>
      <c r="F94" s="43">
        <v>1595.87</v>
      </c>
      <c r="G94" s="126">
        <f t="shared" si="12"/>
        <v>31703.25</v>
      </c>
      <c r="H94" s="127">
        <f t="shared" si="13"/>
        <v>60214.76</v>
      </c>
      <c r="I94" s="128">
        <f t="shared" si="14"/>
        <v>3191.74</v>
      </c>
      <c r="J94" s="128">
        <f t="shared" si="15"/>
        <v>63406.5</v>
      </c>
      <c r="K94" s="44">
        <f t="shared" si="16"/>
        <v>4.7638405525676401E-5</v>
      </c>
      <c r="L94" s="45">
        <v>6162.002114089044</v>
      </c>
      <c r="M94" s="45">
        <v>8570.3477963800051</v>
      </c>
      <c r="N94" s="45">
        <f t="shared" si="17"/>
        <v>46435.599910469049</v>
      </c>
      <c r="O94" s="46">
        <f t="shared" si="18"/>
        <v>92871.199820938098</v>
      </c>
      <c r="P94" s="47">
        <f t="shared" si="19"/>
        <v>109472</v>
      </c>
      <c r="Q94" s="47">
        <v>248800</v>
      </c>
      <c r="R94" s="47">
        <f t="shared" si="23"/>
        <v>139328</v>
      </c>
      <c r="S94" s="191">
        <f t="shared" si="21"/>
        <v>0.56000000000000005</v>
      </c>
      <c r="T94" s="42">
        <v>218944</v>
      </c>
      <c r="U94" s="48">
        <f t="shared" si="20"/>
        <v>0.42417787114941763</v>
      </c>
      <c r="V94" s="49"/>
      <c r="X94" s="112"/>
    </row>
    <row r="95" spans="1:24" x14ac:dyDescent="0.3">
      <c r="A95" s="40" t="str">
        <f>VLOOKUP(B95,Grupos!$A$2:$B$619,2,FALSE)</f>
        <v>INTERIORES</v>
      </c>
      <c r="B95" s="41" t="s">
        <v>1001</v>
      </c>
      <c r="C95" s="41" t="s">
        <v>1002</v>
      </c>
      <c r="D95" s="42">
        <v>7</v>
      </c>
      <c r="E95" s="43">
        <v>12022</v>
      </c>
      <c r="F95" s="43">
        <v>2049.66</v>
      </c>
      <c r="G95" s="126">
        <f t="shared" si="12"/>
        <v>14071.66</v>
      </c>
      <c r="H95" s="127">
        <f t="shared" si="13"/>
        <v>84154</v>
      </c>
      <c r="I95" s="128">
        <f t="shared" si="14"/>
        <v>14347.619999999999</v>
      </c>
      <c r="J95" s="128">
        <f t="shared" si="15"/>
        <v>98501.62</v>
      </c>
      <c r="K95" s="44">
        <f t="shared" si="16"/>
        <v>7.4005979173997561E-5</v>
      </c>
      <c r="L95" s="45">
        <v>2735.0381638709669</v>
      </c>
      <c r="M95" s="45">
        <v>11007.34963645425</v>
      </c>
      <c r="N95" s="45">
        <f t="shared" si="17"/>
        <v>27814.047800325214</v>
      </c>
      <c r="O95" s="46">
        <f t="shared" si="18"/>
        <v>194698.3346022765</v>
      </c>
      <c r="P95" s="47">
        <f t="shared" si="19"/>
        <v>102008.00714285715</v>
      </c>
      <c r="Q95" s="47">
        <v>248800</v>
      </c>
      <c r="R95" s="47">
        <f t="shared" si="23"/>
        <v>146791.99285714285</v>
      </c>
      <c r="S95" s="191">
        <f t="shared" si="21"/>
        <v>0.58999997129076709</v>
      </c>
      <c r="T95" s="42">
        <v>714056.05</v>
      </c>
      <c r="U95" s="48">
        <f t="shared" si="20"/>
        <v>0.27266533852948449</v>
      </c>
      <c r="V95" s="49"/>
      <c r="X95" s="112"/>
    </row>
    <row r="96" spans="1:24" x14ac:dyDescent="0.3">
      <c r="A96" s="40" t="str">
        <f>VLOOKUP(B96,Grupos!$A$2:$B$619,2,FALSE)</f>
        <v>INTERIORES</v>
      </c>
      <c r="B96" s="41" t="s">
        <v>149</v>
      </c>
      <c r="C96" s="41" t="s">
        <v>150</v>
      </c>
      <c r="D96" s="42">
        <v>1</v>
      </c>
      <c r="E96" s="43">
        <v>49135.39</v>
      </c>
      <c r="F96" s="43">
        <v>2558.08</v>
      </c>
      <c r="G96" s="126">
        <f t="shared" si="12"/>
        <v>51693.47</v>
      </c>
      <c r="H96" s="127">
        <f t="shared" si="13"/>
        <v>49135.39</v>
      </c>
      <c r="I96" s="128">
        <f t="shared" si="14"/>
        <v>2558.08</v>
      </c>
      <c r="J96" s="128">
        <f t="shared" si="15"/>
        <v>51693.47</v>
      </c>
      <c r="K96" s="44">
        <f t="shared" si="16"/>
        <v>3.8838202501153463E-5</v>
      </c>
      <c r="L96" s="45">
        <v>10047.401178888555</v>
      </c>
      <c r="M96" s="45">
        <v>13737.732579072084</v>
      </c>
      <c r="N96" s="45">
        <f t="shared" si="17"/>
        <v>75478.603757960635</v>
      </c>
      <c r="O96" s="46">
        <f t="shared" si="18"/>
        <v>75478.603757960635</v>
      </c>
      <c r="P96" s="47">
        <f t="shared" si="19"/>
        <v>178059.51</v>
      </c>
      <c r="Q96" s="47">
        <v>378850</v>
      </c>
      <c r="R96" s="47">
        <f t="shared" ref="R96:R105" si="24">Q96-P96</f>
        <v>200790.49</v>
      </c>
      <c r="S96" s="191">
        <f t="shared" si="21"/>
        <v>0.52999997360432882</v>
      </c>
      <c r="T96" s="42">
        <v>178059.51</v>
      </c>
      <c r="U96" s="48">
        <f t="shared" si="20"/>
        <v>0.42389538058349496</v>
      </c>
      <c r="V96" s="49"/>
      <c r="X96" s="112"/>
    </row>
    <row r="97" spans="1:24" x14ac:dyDescent="0.3">
      <c r="A97" s="40" t="str">
        <f>VLOOKUP(B97,Grupos!$A$2:$B$619,2,FALSE)</f>
        <v>INTERIORES</v>
      </c>
      <c r="B97" s="41" t="s">
        <v>688</v>
      </c>
      <c r="C97" s="41" t="s">
        <v>689</v>
      </c>
      <c r="D97" s="42">
        <v>2</v>
      </c>
      <c r="E97" s="43">
        <v>61058.559999999998</v>
      </c>
      <c r="F97" s="43">
        <v>2754.57</v>
      </c>
      <c r="G97" s="126">
        <f t="shared" si="12"/>
        <v>63813.13</v>
      </c>
      <c r="H97" s="127">
        <f t="shared" si="13"/>
        <v>122117.12</v>
      </c>
      <c r="I97" s="128">
        <f t="shared" si="14"/>
        <v>5509.14</v>
      </c>
      <c r="J97" s="128">
        <f t="shared" si="15"/>
        <v>127626.26</v>
      </c>
      <c r="K97" s="44">
        <f t="shared" si="16"/>
        <v>9.5887827424718475E-5</v>
      </c>
      <c r="L97" s="45">
        <v>12403.03886720254</v>
      </c>
      <c r="M97" s="45">
        <v>14792.948629571629</v>
      </c>
      <c r="N97" s="45">
        <f t="shared" si="17"/>
        <v>91009.117496774168</v>
      </c>
      <c r="O97" s="46">
        <f t="shared" si="18"/>
        <v>182018.23499354834</v>
      </c>
      <c r="P97" s="47">
        <f t="shared" si="19"/>
        <v>182400</v>
      </c>
      <c r="Q97" s="47">
        <v>480000</v>
      </c>
      <c r="R97" s="47">
        <f t="shared" si="24"/>
        <v>297600</v>
      </c>
      <c r="S97" s="191">
        <f t="shared" si="21"/>
        <v>0.62</v>
      </c>
      <c r="T97" s="42">
        <v>364800</v>
      </c>
      <c r="U97" s="48">
        <f t="shared" si="20"/>
        <v>0.49895349504810399</v>
      </c>
      <c r="V97" s="49"/>
      <c r="X97" s="112"/>
    </row>
    <row r="98" spans="1:24" x14ac:dyDescent="0.3">
      <c r="A98" s="40" t="str">
        <f>VLOOKUP(B98,Grupos!$A$2:$B$619,2,FALSE)</f>
        <v>INTERIORES</v>
      </c>
      <c r="B98" s="41" t="s">
        <v>151</v>
      </c>
      <c r="C98" s="41" t="s">
        <v>152</v>
      </c>
      <c r="D98" s="42">
        <v>6</v>
      </c>
      <c r="E98" s="43">
        <v>73332.86</v>
      </c>
      <c r="F98" s="43">
        <v>3209.09</v>
      </c>
      <c r="G98" s="126">
        <f t="shared" si="12"/>
        <v>76541.95</v>
      </c>
      <c r="H98" s="127">
        <f t="shared" si="13"/>
        <v>439997.16000000003</v>
      </c>
      <c r="I98" s="128">
        <f t="shared" si="14"/>
        <v>19254.54</v>
      </c>
      <c r="J98" s="128">
        <f t="shared" si="15"/>
        <v>459251.69999999995</v>
      </c>
      <c r="K98" s="44">
        <f t="shared" si="16"/>
        <v>3.4504378451667066E-4</v>
      </c>
      <c r="L98" s="45">
        <v>14877.075937529997</v>
      </c>
      <c r="M98" s="45">
        <v>17233.870810207045</v>
      </c>
      <c r="N98" s="45">
        <f t="shared" si="17"/>
        <v>108652.89674773705</v>
      </c>
      <c r="O98" s="46">
        <f t="shared" si="18"/>
        <v>651917.38048642222</v>
      </c>
      <c r="P98" s="47">
        <f t="shared" si="19"/>
        <v>200601.99666666667</v>
      </c>
      <c r="Q98" s="47">
        <v>527900</v>
      </c>
      <c r="R98" s="47">
        <f t="shared" si="24"/>
        <v>327298.0033333333</v>
      </c>
      <c r="S98" s="191">
        <f t="shared" si="21"/>
        <v>0.62000000631432717</v>
      </c>
      <c r="T98" s="42">
        <v>1203611.98</v>
      </c>
      <c r="U98" s="48">
        <f t="shared" si="20"/>
        <v>0.54163417390247492</v>
      </c>
      <c r="V98" s="49"/>
      <c r="X98" s="112"/>
    </row>
    <row r="99" spans="1:24" x14ac:dyDescent="0.3">
      <c r="A99" s="40" t="str">
        <f>VLOOKUP(B99,Grupos!$A$2:$B$619,2,FALSE)</f>
        <v>INTERIORES</v>
      </c>
      <c r="B99" s="41" t="s">
        <v>153</v>
      </c>
      <c r="C99" s="41" t="s">
        <v>154</v>
      </c>
      <c r="D99" s="42">
        <v>1</v>
      </c>
      <c r="E99" s="43">
        <v>85554.43</v>
      </c>
      <c r="F99" s="43">
        <v>4227.38</v>
      </c>
      <c r="G99" s="126">
        <f t="shared" si="12"/>
        <v>89781.81</v>
      </c>
      <c r="H99" s="127">
        <f t="shared" si="13"/>
        <v>85554.43</v>
      </c>
      <c r="I99" s="128">
        <f t="shared" si="14"/>
        <v>4227.38</v>
      </c>
      <c r="J99" s="128">
        <f t="shared" si="15"/>
        <v>89781.81</v>
      </c>
      <c r="K99" s="44">
        <f t="shared" si="16"/>
        <v>6.7454634360976056E-5</v>
      </c>
      <c r="L99" s="45">
        <v>17450.441296294255</v>
      </c>
      <c r="M99" s="45">
        <v>22702.423673269699</v>
      </c>
      <c r="N99" s="45">
        <f t="shared" si="17"/>
        <v>129934.67496956396</v>
      </c>
      <c r="O99" s="46">
        <f t="shared" si="18"/>
        <v>129934.67496956396</v>
      </c>
      <c r="P99" s="47">
        <f t="shared" si="19"/>
        <v>229577</v>
      </c>
      <c r="Q99" s="47">
        <v>604150</v>
      </c>
      <c r="R99" s="47">
        <f t="shared" si="24"/>
        <v>374573</v>
      </c>
      <c r="S99" s="191">
        <f t="shared" si="21"/>
        <v>0.62</v>
      </c>
      <c r="T99" s="42">
        <v>229577</v>
      </c>
      <c r="U99" s="48">
        <f t="shared" si="20"/>
        <v>0.56597426993803368</v>
      </c>
      <c r="V99" s="49"/>
      <c r="X99" s="112"/>
    </row>
    <row r="100" spans="1:24" x14ac:dyDescent="0.3">
      <c r="A100" s="40" t="str">
        <f>VLOOKUP(B100,Grupos!$A$2:$B$619,2,FALSE)</f>
        <v>INTERIORES</v>
      </c>
      <c r="B100" s="41" t="s">
        <v>690</v>
      </c>
      <c r="C100" s="41" t="s">
        <v>691</v>
      </c>
      <c r="D100" s="42">
        <v>2</v>
      </c>
      <c r="E100" s="43">
        <v>11612.16</v>
      </c>
      <c r="F100" s="43">
        <v>891.76</v>
      </c>
      <c r="G100" s="126">
        <f t="shared" si="12"/>
        <v>12503.92</v>
      </c>
      <c r="H100" s="127">
        <f t="shared" si="13"/>
        <v>23224.32</v>
      </c>
      <c r="I100" s="128">
        <f t="shared" si="14"/>
        <v>1783.52</v>
      </c>
      <c r="J100" s="128">
        <f t="shared" si="15"/>
        <v>25007.84</v>
      </c>
      <c r="K100" s="44">
        <f t="shared" si="16"/>
        <v>1.8788824856146155E-5</v>
      </c>
      <c r="L100" s="45">
        <v>2430.3243823393586</v>
      </c>
      <c r="M100" s="45">
        <v>4789.0450668913099</v>
      </c>
      <c r="N100" s="45">
        <f t="shared" si="17"/>
        <v>19723.28944923067</v>
      </c>
      <c r="O100" s="46">
        <f t="shared" si="18"/>
        <v>39446.578898461339</v>
      </c>
      <c r="P100" s="47">
        <f t="shared" si="19"/>
        <v>51642</v>
      </c>
      <c r="Q100" s="47">
        <v>135900</v>
      </c>
      <c r="R100" s="47">
        <f t="shared" si="24"/>
        <v>84258</v>
      </c>
      <c r="S100" s="191">
        <f t="shared" si="21"/>
        <v>0.62</v>
      </c>
      <c r="T100" s="42">
        <v>103284</v>
      </c>
      <c r="U100" s="48">
        <f t="shared" si="20"/>
        <v>0.38192342374870591</v>
      </c>
      <c r="V100" s="49"/>
      <c r="X100" s="112"/>
    </row>
    <row r="101" spans="1:24" x14ac:dyDescent="0.3">
      <c r="A101" s="40" t="str">
        <f>VLOOKUP(B101,Grupos!$A$2:$B$619,2,FALSE)</f>
        <v>REGLETAS</v>
      </c>
      <c r="B101" s="41" t="s">
        <v>692</v>
      </c>
      <c r="C101" s="41" t="s">
        <v>693</v>
      </c>
      <c r="D101" s="42">
        <v>12</v>
      </c>
      <c r="E101" s="43">
        <v>4496.18</v>
      </c>
      <c r="F101" s="43">
        <v>453.42</v>
      </c>
      <c r="G101" s="126">
        <f t="shared" si="12"/>
        <v>4949.6000000000004</v>
      </c>
      <c r="H101" s="127">
        <f t="shared" si="13"/>
        <v>53954.16</v>
      </c>
      <c r="I101" s="128">
        <f t="shared" si="14"/>
        <v>5441.04</v>
      </c>
      <c r="J101" s="128">
        <f t="shared" si="15"/>
        <v>59395.200000000004</v>
      </c>
      <c r="K101" s="44">
        <f t="shared" si="16"/>
        <v>4.4624646114809284E-5</v>
      </c>
      <c r="L101" s="45">
        <v>962.02899273402988</v>
      </c>
      <c r="M101" s="45">
        <v>2435.0148181459786</v>
      </c>
      <c r="N101" s="45">
        <f t="shared" si="17"/>
        <v>8346.6438108800085</v>
      </c>
      <c r="O101" s="46">
        <f t="shared" si="18"/>
        <v>100159.72573056011</v>
      </c>
      <c r="P101" s="47">
        <f t="shared" si="19"/>
        <v>30075</v>
      </c>
      <c r="Q101" s="47">
        <v>40100</v>
      </c>
      <c r="R101" s="47">
        <f t="shared" si="24"/>
        <v>10025</v>
      </c>
      <c r="S101" s="191">
        <f t="shared" si="21"/>
        <v>0.25</v>
      </c>
      <c r="T101" s="42">
        <v>360900</v>
      </c>
      <c r="U101" s="48">
        <f t="shared" si="20"/>
        <v>0.27752764125951818</v>
      </c>
      <c r="V101" s="49"/>
      <c r="X101" s="112"/>
    </row>
    <row r="102" spans="1:24" x14ac:dyDescent="0.3">
      <c r="A102" s="40" t="str">
        <f>VLOOKUP(B102,Grupos!$A$2:$B$619,2,FALSE)</f>
        <v>REGLETAS</v>
      </c>
      <c r="B102" s="41" t="s">
        <v>641</v>
      </c>
      <c r="C102" s="41" t="s">
        <v>642</v>
      </c>
      <c r="D102" s="42">
        <v>3</v>
      </c>
      <c r="E102" s="43">
        <v>6859.6</v>
      </c>
      <c r="F102" s="43">
        <v>718.26</v>
      </c>
      <c r="G102" s="126">
        <f t="shared" si="12"/>
        <v>7577.8600000000006</v>
      </c>
      <c r="H102" s="127">
        <f t="shared" si="13"/>
        <v>20578.800000000003</v>
      </c>
      <c r="I102" s="128">
        <f t="shared" si="14"/>
        <v>2154.7799999999997</v>
      </c>
      <c r="J102" s="128">
        <f t="shared" si="15"/>
        <v>22733.58</v>
      </c>
      <c r="K102" s="44">
        <f t="shared" si="16"/>
        <v>1.7080133788971264E-5</v>
      </c>
      <c r="L102" s="45">
        <v>1472.8707416517489</v>
      </c>
      <c r="M102" s="45">
        <v>3857.2928924210014</v>
      </c>
      <c r="N102" s="45">
        <f t="shared" si="17"/>
        <v>12908.02363407275</v>
      </c>
      <c r="O102" s="46">
        <f t="shared" si="18"/>
        <v>38724.070902218249</v>
      </c>
      <c r="P102" s="47">
        <f t="shared" si="19"/>
        <v>22983</v>
      </c>
      <c r="Q102" s="47">
        <v>48900</v>
      </c>
      <c r="R102" s="47">
        <f t="shared" si="24"/>
        <v>25917</v>
      </c>
      <c r="S102" s="191">
        <f t="shared" si="21"/>
        <v>0.53</v>
      </c>
      <c r="T102" s="42">
        <v>68949</v>
      </c>
      <c r="U102" s="48">
        <f t="shared" si="20"/>
        <v>0.56163353931483051</v>
      </c>
      <c r="V102" s="49"/>
      <c r="X102" s="112"/>
    </row>
    <row r="103" spans="1:24" x14ac:dyDescent="0.3">
      <c r="A103" s="40" t="str">
        <f>VLOOKUP(B103,Grupos!$A$2:$B$619,2,FALSE)</f>
        <v>REGLETAS</v>
      </c>
      <c r="B103" s="41" t="s">
        <v>695</v>
      </c>
      <c r="C103" s="41" t="s">
        <v>643</v>
      </c>
      <c r="D103" s="42">
        <v>12</v>
      </c>
      <c r="E103" s="43">
        <v>1640.13</v>
      </c>
      <c r="F103" s="43">
        <v>467.65</v>
      </c>
      <c r="G103" s="126">
        <f t="shared" si="12"/>
        <v>2107.7800000000002</v>
      </c>
      <c r="H103" s="127">
        <f t="shared" si="13"/>
        <v>19681.560000000001</v>
      </c>
      <c r="I103" s="128">
        <f t="shared" si="14"/>
        <v>5611.7999999999993</v>
      </c>
      <c r="J103" s="128">
        <f t="shared" si="15"/>
        <v>25293.360000000001</v>
      </c>
      <c r="K103" s="44">
        <f t="shared" si="16"/>
        <v>1.9003340994802149E-5</v>
      </c>
      <c r="L103" s="45">
        <v>409.67865490240297</v>
      </c>
      <c r="M103" s="45">
        <v>2511.434607441151</v>
      </c>
      <c r="N103" s="45">
        <f t="shared" si="17"/>
        <v>5028.8932623435539</v>
      </c>
      <c r="O103" s="46">
        <f t="shared" si="18"/>
        <v>60346.719148122647</v>
      </c>
      <c r="P103" s="47">
        <f t="shared" si="19"/>
        <v>36675</v>
      </c>
      <c r="Q103" s="47">
        <v>48900</v>
      </c>
      <c r="R103" s="47">
        <f t="shared" si="24"/>
        <v>12225</v>
      </c>
      <c r="S103" s="191">
        <f t="shared" si="21"/>
        <v>0.25</v>
      </c>
      <c r="T103" s="42">
        <v>440100</v>
      </c>
      <c r="U103" s="48">
        <f t="shared" si="20"/>
        <v>0.13712047068421415</v>
      </c>
      <c r="V103" s="49"/>
      <c r="X103" s="112"/>
    </row>
    <row r="104" spans="1:24" x14ac:dyDescent="0.3">
      <c r="A104" s="40" t="str">
        <f>VLOOKUP(B104,Grupos!$A$2:$B$619,2,FALSE)</f>
        <v>RITEL</v>
      </c>
      <c r="B104" s="41" t="s">
        <v>157</v>
      </c>
      <c r="C104" s="41" t="s">
        <v>158</v>
      </c>
      <c r="D104" s="42">
        <v>1</v>
      </c>
      <c r="E104" s="43">
        <v>21236.87</v>
      </c>
      <c r="F104" s="43">
        <v>1292.3499999999999</v>
      </c>
      <c r="G104" s="126">
        <f t="shared" si="12"/>
        <v>22529.219999999998</v>
      </c>
      <c r="H104" s="127">
        <f t="shared" si="13"/>
        <v>21236.87</v>
      </c>
      <c r="I104" s="128">
        <f t="shared" si="14"/>
        <v>1292.3499999999999</v>
      </c>
      <c r="J104" s="128">
        <f t="shared" si="15"/>
        <v>22529.219999999998</v>
      </c>
      <c r="K104" s="44">
        <f t="shared" si="16"/>
        <v>1.6926594568966574E-5</v>
      </c>
      <c r="L104" s="45">
        <v>4378.8917940203974</v>
      </c>
      <c r="M104" s="45">
        <v>6940.3453756582303</v>
      </c>
      <c r="N104" s="45">
        <f t="shared" si="17"/>
        <v>33848.457169678622</v>
      </c>
      <c r="O104" s="46">
        <f t="shared" si="18"/>
        <v>33848.457169678622</v>
      </c>
      <c r="P104" s="47">
        <f t="shared" si="19"/>
        <v>80000</v>
      </c>
      <c r="Q104" s="47">
        <v>274350</v>
      </c>
      <c r="R104" s="47">
        <f t="shared" si="24"/>
        <v>194350</v>
      </c>
      <c r="S104" s="191">
        <f t="shared" si="21"/>
        <v>0.70840167669035903</v>
      </c>
      <c r="T104" s="42">
        <v>80000</v>
      </c>
      <c r="U104" s="48">
        <f t="shared" si="20"/>
        <v>0.42310571462098279</v>
      </c>
      <c r="V104" s="49"/>
      <c r="X104" s="112"/>
    </row>
    <row r="105" spans="1:24" x14ac:dyDescent="0.3">
      <c r="A105" s="40" t="str">
        <f>VLOOKUP(B105,Grupos!$A$2:$B$619,2,FALSE)</f>
        <v>RITEL</v>
      </c>
      <c r="B105" s="41" t="s">
        <v>645</v>
      </c>
      <c r="C105" s="41" t="s">
        <v>646</v>
      </c>
      <c r="D105" s="42">
        <v>1</v>
      </c>
      <c r="E105" s="43">
        <v>75399.64</v>
      </c>
      <c r="F105" s="43">
        <v>4733.26</v>
      </c>
      <c r="G105" s="126">
        <f t="shared" si="12"/>
        <v>80132.899999999994</v>
      </c>
      <c r="H105" s="127">
        <f t="shared" si="13"/>
        <v>75399.64</v>
      </c>
      <c r="I105" s="128">
        <f t="shared" si="14"/>
        <v>4733.26</v>
      </c>
      <c r="J105" s="128">
        <f t="shared" si="15"/>
        <v>80132.899999999994</v>
      </c>
      <c r="K105" s="44">
        <f t="shared" si="16"/>
        <v>6.0205240569160482E-5</v>
      </c>
      <c r="L105" s="45">
        <v>15575.030926106501</v>
      </c>
      <c r="M105" s="45">
        <v>25419.165978866469</v>
      </c>
      <c r="N105" s="45">
        <f t="shared" si="17"/>
        <v>121127.09690497296</v>
      </c>
      <c r="O105" s="46">
        <f t="shared" si="18"/>
        <v>121127.09690497296</v>
      </c>
      <c r="P105" s="47">
        <f t="shared" si="19"/>
        <v>390000</v>
      </c>
      <c r="Q105" s="47">
        <v>390000</v>
      </c>
      <c r="R105" s="47">
        <f t="shared" si="24"/>
        <v>0</v>
      </c>
      <c r="S105" s="191">
        <f t="shared" si="21"/>
        <v>0</v>
      </c>
      <c r="T105" s="42">
        <v>390000</v>
      </c>
      <c r="U105" s="48">
        <f t="shared" si="20"/>
        <v>0.31058229975634094</v>
      </c>
      <c r="V105" s="49"/>
      <c r="X105" s="112"/>
    </row>
    <row r="106" spans="1:24" x14ac:dyDescent="0.3">
      <c r="A106" s="40" t="str">
        <f>VLOOKUP(B106,Grupos!$A$2:$B$619,2,FALSE)</f>
        <v>RITEL</v>
      </c>
      <c r="B106" s="41" t="s">
        <v>159</v>
      </c>
      <c r="C106" s="41" t="s">
        <v>160</v>
      </c>
      <c r="D106" s="42">
        <v>153</v>
      </c>
      <c r="E106" s="43">
        <v>105004.52</v>
      </c>
      <c r="F106" s="43">
        <v>5522.6</v>
      </c>
      <c r="G106" s="126">
        <f t="shared" si="12"/>
        <v>110527.12000000001</v>
      </c>
      <c r="H106" s="127">
        <f t="shared" si="13"/>
        <v>16065691.560000001</v>
      </c>
      <c r="I106" s="128">
        <f t="shared" si="14"/>
        <v>844957.8</v>
      </c>
      <c r="J106" s="128">
        <f t="shared" si="15"/>
        <v>16910649.360000003</v>
      </c>
      <c r="K106" s="44">
        <f t="shared" si="16"/>
        <v>1.2705264790111427E-2</v>
      </c>
      <c r="L106" s="45">
        <v>21482.60342722508</v>
      </c>
      <c r="M106" s="45">
        <v>29658.181894695826</v>
      </c>
      <c r="N106" s="45">
        <f t="shared" si="17"/>
        <v>161667.9053219209</v>
      </c>
      <c r="O106" s="46">
        <f t="shared" si="18"/>
        <v>24735189.514253899</v>
      </c>
      <c r="P106" s="47">
        <f t="shared" si="19"/>
        <v>353722.22222222225</v>
      </c>
      <c r="Q106" s="47">
        <v>1371800</v>
      </c>
      <c r="R106" s="47">
        <f>Q106-P106</f>
        <v>1018077.7777777778</v>
      </c>
      <c r="S106" s="191">
        <f t="shared" si="21"/>
        <v>0.74214738138050573</v>
      </c>
      <c r="T106" s="42">
        <v>54119500</v>
      </c>
      <c r="U106" s="48">
        <f t="shared" si="20"/>
        <v>0.45704763558890787</v>
      </c>
      <c r="V106" s="49"/>
      <c r="X106" s="112"/>
    </row>
    <row r="107" spans="1:24" x14ac:dyDescent="0.3">
      <c r="A107" s="40" t="str">
        <f>VLOOKUP(B107,Grupos!$A$2:$B$619,2,FALSE)</f>
        <v>RITEL</v>
      </c>
      <c r="B107" s="41" t="s">
        <v>161</v>
      </c>
      <c r="C107" s="41" t="s">
        <v>162</v>
      </c>
      <c r="D107" s="42">
        <v>33</v>
      </c>
      <c r="E107" s="43">
        <v>75457.34</v>
      </c>
      <c r="F107" s="43">
        <v>5072.71</v>
      </c>
      <c r="G107" s="126">
        <f t="shared" si="12"/>
        <v>80530.05</v>
      </c>
      <c r="H107" s="127">
        <f t="shared" si="13"/>
        <v>2490092.2199999997</v>
      </c>
      <c r="I107" s="128">
        <f t="shared" si="14"/>
        <v>167399.43</v>
      </c>
      <c r="J107" s="128">
        <f t="shared" si="15"/>
        <v>2657491.65</v>
      </c>
      <c r="K107" s="44">
        <f t="shared" si="16"/>
        <v>1.9966196668133218E-3</v>
      </c>
      <c r="L107" s="45">
        <v>15652.222984952534</v>
      </c>
      <c r="M107" s="45">
        <v>27242.124339811402</v>
      </c>
      <c r="N107" s="45">
        <f t="shared" si="17"/>
        <v>123424.39732476394</v>
      </c>
      <c r="O107" s="46">
        <f t="shared" si="18"/>
        <v>4073005.1117172102</v>
      </c>
      <c r="P107" s="47">
        <f t="shared" si="19"/>
        <v>271712.12121212122</v>
      </c>
      <c r="Q107" s="47">
        <v>285500</v>
      </c>
      <c r="R107" s="47">
        <f>Q107-P107</f>
        <v>13787.878787878784</v>
      </c>
      <c r="S107" s="191">
        <f t="shared" si="21"/>
        <v>4.8293796104654237E-2</v>
      </c>
      <c r="T107" s="42">
        <v>8966500</v>
      </c>
      <c r="U107" s="48">
        <f t="shared" si="20"/>
        <v>0.45424693154711537</v>
      </c>
      <c r="V107" s="49"/>
      <c r="X107" s="112"/>
    </row>
    <row r="108" spans="1:24" x14ac:dyDescent="0.3">
      <c r="A108" s="40" t="str">
        <f>VLOOKUP(B108,Grupos!$A$2:$B$619,2,FALSE)</f>
        <v>RITEL</v>
      </c>
      <c r="B108" s="41" t="s">
        <v>163</v>
      </c>
      <c r="C108" s="41" t="s">
        <v>164</v>
      </c>
      <c r="D108" s="42">
        <v>237</v>
      </c>
      <c r="E108" s="43">
        <v>75399.64</v>
      </c>
      <c r="F108" s="43">
        <v>4733.26</v>
      </c>
      <c r="G108" s="126">
        <f t="shared" si="12"/>
        <v>80132.899999999994</v>
      </c>
      <c r="H108" s="127">
        <f t="shared" si="13"/>
        <v>17869714.68</v>
      </c>
      <c r="I108" s="128">
        <f t="shared" si="14"/>
        <v>1121782.6200000001</v>
      </c>
      <c r="J108" s="128">
        <f t="shared" si="15"/>
        <v>18991497.299999997</v>
      </c>
      <c r="K108" s="44">
        <f t="shared" si="16"/>
        <v>1.4268642014891033E-2</v>
      </c>
      <c r="L108" s="45">
        <v>15575.030926106499</v>
      </c>
      <c r="M108" s="45">
        <v>25419.165978866469</v>
      </c>
      <c r="N108" s="45">
        <f t="shared" si="17"/>
        <v>121127.09690497296</v>
      </c>
      <c r="O108" s="46">
        <f t="shared" si="18"/>
        <v>28707121.96647859</v>
      </c>
      <c r="P108" s="47">
        <f t="shared" si="19"/>
        <v>234278.48101265822</v>
      </c>
      <c r="Q108" s="47">
        <v>686000</v>
      </c>
      <c r="R108" s="47">
        <f t="shared" ref="R108:R171" si="25">Q108-P108</f>
        <v>451721.51898734178</v>
      </c>
      <c r="S108" s="191">
        <f t="shared" si="21"/>
        <v>0.65848617928183939</v>
      </c>
      <c r="T108" s="42">
        <v>55524000</v>
      </c>
      <c r="U108" s="48">
        <f t="shared" si="20"/>
        <v>0.51702186381526172</v>
      </c>
      <c r="V108" s="49"/>
      <c r="X108" s="112"/>
    </row>
    <row r="109" spans="1:24" x14ac:dyDescent="0.3">
      <c r="A109" s="40" t="str">
        <f>VLOOKUP(B109,Grupos!$A$2:$B$619,2,FALSE)</f>
        <v>RITEL</v>
      </c>
      <c r="B109" s="41" t="s">
        <v>166</v>
      </c>
      <c r="C109" s="41" t="s">
        <v>167</v>
      </c>
      <c r="D109" s="42">
        <v>521</v>
      </c>
      <c r="E109" s="43">
        <v>19073.87</v>
      </c>
      <c r="F109" s="43">
        <v>688.5</v>
      </c>
      <c r="G109" s="126">
        <f t="shared" si="12"/>
        <v>19762.37</v>
      </c>
      <c r="H109" s="127">
        <f t="shared" si="13"/>
        <v>9937486.2699999996</v>
      </c>
      <c r="I109" s="128">
        <f t="shared" si="14"/>
        <v>358708.5</v>
      </c>
      <c r="J109" s="128">
        <f t="shared" si="15"/>
        <v>10296194.77</v>
      </c>
      <c r="K109" s="44">
        <f t="shared" si="16"/>
        <v>7.7357100900476827E-3</v>
      </c>
      <c r="L109" s="45">
        <v>3841.1130000681283</v>
      </c>
      <c r="M109" s="45">
        <v>3697.4718854340481</v>
      </c>
      <c r="N109" s="45">
        <f t="shared" si="17"/>
        <v>27300.954885502179</v>
      </c>
      <c r="O109" s="46">
        <f t="shared" si="18"/>
        <v>14223797.495346636</v>
      </c>
      <c r="P109" s="47">
        <f t="shared" si="19"/>
        <v>65758.157389635322</v>
      </c>
      <c r="Q109" s="47">
        <v>372550</v>
      </c>
      <c r="R109" s="47">
        <f t="shared" si="25"/>
        <v>306791.84261036466</v>
      </c>
      <c r="S109" s="191">
        <f t="shared" si="21"/>
        <v>0.82349172623906763</v>
      </c>
      <c r="T109" s="42">
        <v>34260000</v>
      </c>
      <c r="U109" s="48">
        <f t="shared" si="20"/>
        <v>0.41517213938548264</v>
      </c>
      <c r="V109" s="49"/>
      <c r="X109" s="112"/>
    </row>
    <row r="110" spans="1:24" x14ac:dyDescent="0.3">
      <c r="A110" s="40" t="str">
        <f>VLOOKUP(B110,Grupos!$A$2:$B$619,2,FALSE)</f>
        <v>RITEL</v>
      </c>
      <c r="B110" s="41" t="s">
        <v>168</v>
      </c>
      <c r="C110" s="41" t="s">
        <v>169</v>
      </c>
      <c r="D110" s="42">
        <v>3991</v>
      </c>
      <c r="E110" s="43">
        <v>15292.76</v>
      </c>
      <c r="F110" s="43">
        <v>594.59</v>
      </c>
      <c r="G110" s="126">
        <f t="shared" si="12"/>
        <v>15887.35</v>
      </c>
      <c r="H110" s="127">
        <f t="shared" si="13"/>
        <v>61033405.160000004</v>
      </c>
      <c r="I110" s="128">
        <f t="shared" si="14"/>
        <v>2373008.69</v>
      </c>
      <c r="J110" s="128">
        <f t="shared" si="15"/>
        <v>63406413.850000001</v>
      </c>
      <c r="K110" s="44">
        <f t="shared" si="16"/>
        <v>4.7638340799684015E-2</v>
      </c>
      <c r="L110" s="45">
        <v>3087.9447465882067</v>
      </c>
      <c r="M110" s="45">
        <v>3193.1442387221946</v>
      </c>
      <c r="N110" s="45">
        <f t="shared" si="17"/>
        <v>22168.4389853104</v>
      </c>
      <c r="O110" s="46">
        <f t="shared" si="18"/>
        <v>88474239.990373805</v>
      </c>
      <c r="P110" s="47">
        <f t="shared" si="19"/>
        <v>37887.181157604609</v>
      </c>
      <c r="Q110" s="47">
        <v>45900</v>
      </c>
      <c r="R110" s="47">
        <f t="shared" si="25"/>
        <v>8012.8188423953907</v>
      </c>
      <c r="S110" s="191">
        <f t="shared" si="21"/>
        <v>0.17457121660992136</v>
      </c>
      <c r="T110" s="42">
        <v>151207740</v>
      </c>
      <c r="U110" s="48">
        <f t="shared" si="20"/>
        <v>0.58511713745853089</v>
      </c>
      <c r="V110" s="49"/>
      <c r="X110" s="112"/>
    </row>
    <row r="111" spans="1:24" x14ac:dyDescent="0.3">
      <c r="A111" s="40" t="str">
        <f>VLOOKUP(B111,Grupos!$A$2:$B$619,2,FALSE)</f>
        <v>RITEL</v>
      </c>
      <c r="B111" s="41" t="s">
        <v>773</v>
      </c>
      <c r="C111" s="41" t="s">
        <v>774</v>
      </c>
      <c r="D111" s="42">
        <v>318</v>
      </c>
      <c r="E111" s="43">
        <v>13775.09</v>
      </c>
      <c r="F111" s="43">
        <v>428.88</v>
      </c>
      <c r="G111" s="126">
        <f t="shared" si="12"/>
        <v>14203.97</v>
      </c>
      <c r="H111" s="127">
        <f t="shared" si="13"/>
        <v>4380478.62</v>
      </c>
      <c r="I111" s="128">
        <f t="shared" si="14"/>
        <v>136383.84</v>
      </c>
      <c r="J111" s="128">
        <f t="shared" si="15"/>
        <v>4516862.46</v>
      </c>
      <c r="K111" s="44">
        <f t="shared" si="16"/>
        <v>3.3935972743044372E-3</v>
      </c>
      <c r="L111" s="45">
        <v>2760.7545967198116</v>
      </c>
      <c r="M111" s="45">
        <v>2303.2269313361721</v>
      </c>
      <c r="N111" s="45">
        <f t="shared" si="17"/>
        <v>19267.951528055983</v>
      </c>
      <c r="O111" s="46">
        <f t="shared" si="18"/>
        <v>6127208.5859218026</v>
      </c>
      <c r="P111" s="47">
        <f t="shared" si="19"/>
        <v>39298.742138364782</v>
      </c>
      <c r="Q111" s="47">
        <v>228300</v>
      </c>
      <c r="R111" s="47">
        <f t="shared" si="25"/>
        <v>189001.25786163521</v>
      </c>
      <c r="S111" s="191">
        <f t="shared" si="21"/>
        <v>0.82786359115915553</v>
      </c>
      <c r="T111" s="42">
        <v>12497000</v>
      </c>
      <c r="U111" s="48">
        <f t="shared" si="20"/>
        <v>0.49029435751954892</v>
      </c>
      <c r="V111" s="49"/>
      <c r="X111" s="112"/>
    </row>
    <row r="112" spans="1:24" x14ac:dyDescent="0.3">
      <c r="A112" s="40" t="str">
        <f>VLOOKUP(B112,Grupos!$A$2:$B$619,2,FALSE)</f>
        <v>RITEL</v>
      </c>
      <c r="B112" s="41" t="s">
        <v>170</v>
      </c>
      <c r="C112" s="41" t="s">
        <v>171</v>
      </c>
      <c r="D112" s="42">
        <v>89</v>
      </c>
      <c r="E112" s="43">
        <v>15883.85</v>
      </c>
      <c r="F112" s="43">
        <v>892.69</v>
      </c>
      <c r="G112" s="126">
        <f t="shared" si="12"/>
        <v>16776.54</v>
      </c>
      <c r="H112" s="127">
        <f t="shared" si="13"/>
        <v>1413662.6500000001</v>
      </c>
      <c r="I112" s="128">
        <f t="shared" si="14"/>
        <v>79449.41</v>
      </c>
      <c r="J112" s="128">
        <f t="shared" si="15"/>
        <v>1493112.06</v>
      </c>
      <c r="K112" s="44">
        <f t="shared" si="16"/>
        <v>1.1218010426306147E-3</v>
      </c>
      <c r="L112" s="45">
        <v>3260.772158914288</v>
      </c>
      <c r="M112" s="45">
        <v>4794.0394733596522</v>
      </c>
      <c r="N112" s="45">
        <f t="shared" si="17"/>
        <v>24831.351632273942</v>
      </c>
      <c r="O112" s="46">
        <f t="shared" si="18"/>
        <v>2209990.2952723806</v>
      </c>
      <c r="P112" s="47">
        <f t="shared" si="19"/>
        <v>60191.011235955055</v>
      </c>
      <c r="Q112" s="47">
        <v>228300</v>
      </c>
      <c r="R112" s="47">
        <f t="shared" si="25"/>
        <v>168108.98876404495</v>
      </c>
      <c r="S112" s="191">
        <f t="shared" si="21"/>
        <v>0.73635124294369225</v>
      </c>
      <c r="T112" s="42">
        <v>5357000</v>
      </c>
      <c r="U112" s="48">
        <f t="shared" si="20"/>
        <v>0.41254252291812221</v>
      </c>
      <c r="V112" s="49"/>
      <c r="X112" s="112"/>
    </row>
    <row r="113" spans="1:24" x14ac:dyDescent="0.3">
      <c r="A113" s="40" t="str">
        <f>VLOOKUP(B113,Grupos!$A$2:$B$619,2,FALSE)</f>
        <v>TABLERO RIEL</v>
      </c>
      <c r="B113" s="41" t="s">
        <v>969</v>
      </c>
      <c r="C113" s="41" t="s">
        <v>1003</v>
      </c>
      <c r="D113" s="42">
        <v>40</v>
      </c>
      <c r="E113" s="43">
        <v>9960.43</v>
      </c>
      <c r="F113" s="43">
        <v>265</v>
      </c>
      <c r="G113" s="126">
        <f t="shared" si="12"/>
        <v>10225.43</v>
      </c>
      <c r="H113" s="127">
        <f t="shared" si="13"/>
        <v>398417.2</v>
      </c>
      <c r="I113" s="128">
        <f t="shared" si="14"/>
        <v>10600</v>
      </c>
      <c r="J113" s="128">
        <f t="shared" si="15"/>
        <v>409017.2</v>
      </c>
      <c r="K113" s="44">
        <f t="shared" si="16"/>
        <v>3.0730173153504278E-4</v>
      </c>
      <c r="L113" s="45">
        <v>1987.4656786755156</v>
      </c>
      <c r="M113" s="45">
        <v>1423.1373270007593</v>
      </c>
      <c r="N113" s="45">
        <f t="shared" si="17"/>
        <v>13636.033005676274</v>
      </c>
      <c r="O113" s="46">
        <f t="shared" si="18"/>
        <v>545441.32022705092</v>
      </c>
      <c r="P113" s="47">
        <f t="shared" si="19"/>
        <v>25961.250500000002</v>
      </c>
      <c r="Q113" s="47">
        <v>60375</v>
      </c>
      <c r="R113" s="47">
        <f t="shared" si="25"/>
        <v>34413.749499999998</v>
      </c>
      <c r="S113" s="191">
        <f t="shared" si="21"/>
        <v>0.56999999171842652</v>
      </c>
      <c r="T113" s="42">
        <v>1038450.02</v>
      </c>
      <c r="U113" s="48">
        <f t="shared" si="20"/>
        <v>0.52524561579482743</v>
      </c>
      <c r="V113" s="49"/>
      <c r="X113" s="112"/>
    </row>
    <row r="114" spans="1:24" x14ac:dyDescent="0.3">
      <c r="A114" s="40" t="str">
        <f>VLOOKUP(B114,Grupos!$A$2:$B$619,2,FALSE)</f>
        <v>TABLEROS 100 AMP BIMETALICO 2 FASES</v>
      </c>
      <c r="B114" s="41" t="s">
        <v>174</v>
      </c>
      <c r="C114" s="41" t="s">
        <v>175</v>
      </c>
      <c r="D114" s="42">
        <v>72</v>
      </c>
      <c r="E114" s="43">
        <v>27252.1</v>
      </c>
      <c r="F114" s="43">
        <v>2078.88</v>
      </c>
      <c r="G114" s="126">
        <f t="shared" si="12"/>
        <v>29330.98</v>
      </c>
      <c r="H114" s="127">
        <f t="shared" si="13"/>
        <v>1962151.2</v>
      </c>
      <c r="I114" s="128">
        <f t="shared" si="14"/>
        <v>149679.36000000002</v>
      </c>
      <c r="J114" s="128">
        <f t="shared" si="15"/>
        <v>2111830.56</v>
      </c>
      <c r="K114" s="44">
        <f t="shared" si="16"/>
        <v>1.5866550056980954E-3</v>
      </c>
      <c r="L114" s="45">
        <v>5700.9158609386568</v>
      </c>
      <c r="M114" s="45">
        <v>11164.270665491844</v>
      </c>
      <c r="N114" s="45">
        <f t="shared" si="17"/>
        <v>46196.166526430497</v>
      </c>
      <c r="O114" s="46">
        <f t="shared" si="18"/>
        <v>3326123.989902996</v>
      </c>
      <c r="P114" s="47">
        <f t="shared" si="19"/>
        <v>84511.998749999999</v>
      </c>
      <c r="Q114" s="47">
        <v>222400</v>
      </c>
      <c r="R114" s="47">
        <f t="shared" si="25"/>
        <v>137888.00125</v>
      </c>
      <c r="S114" s="191">
        <f t="shared" si="21"/>
        <v>0.62000000562050361</v>
      </c>
      <c r="T114" s="42">
        <v>6084863.9100000001</v>
      </c>
      <c r="U114" s="48">
        <f t="shared" si="20"/>
        <v>0.54662257679038151</v>
      </c>
      <c r="V114" s="49"/>
      <c r="X114" s="112"/>
    </row>
    <row r="115" spans="1:24" x14ac:dyDescent="0.3">
      <c r="A115" s="40" t="str">
        <f>VLOOKUP(B115,Grupos!$A$2:$B$619,2,FALSE)</f>
        <v>TABLEROS 100 AMP BIMETALICO 2 FASES</v>
      </c>
      <c r="B115" s="41" t="s">
        <v>176</v>
      </c>
      <c r="C115" s="41" t="s">
        <v>177</v>
      </c>
      <c r="D115" s="42">
        <v>396</v>
      </c>
      <c r="E115" s="43">
        <v>26980.69</v>
      </c>
      <c r="F115" s="43">
        <v>1961.55</v>
      </c>
      <c r="G115" s="126">
        <f t="shared" si="12"/>
        <v>28942.239999999998</v>
      </c>
      <c r="H115" s="127">
        <f t="shared" si="13"/>
        <v>10684353.24</v>
      </c>
      <c r="I115" s="128">
        <f t="shared" si="14"/>
        <v>776773.79999999993</v>
      </c>
      <c r="J115" s="128">
        <f t="shared" si="15"/>
        <v>11461127.039999999</v>
      </c>
      <c r="K115" s="44">
        <f t="shared" si="16"/>
        <v>8.6109439523205846E-3</v>
      </c>
      <c r="L115" s="45">
        <v>5625.3584117234823</v>
      </c>
      <c r="M115" s="45">
        <v>10534.169901050336</v>
      </c>
      <c r="N115" s="45">
        <f t="shared" si="17"/>
        <v>45101.768312773813</v>
      </c>
      <c r="O115" s="46">
        <f t="shared" si="18"/>
        <v>17860300.251858428</v>
      </c>
      <c r="P115" s="47">
        <f t="shared" si="19"/>
        <v>88464.001969696968</v>
      </c>
      <c r="Q115" s="47">
        <v>213400</v>
      </c>
      <c r="R115" s="47">
        <f t="shared" si="25"/>
        <v>124935.99803030303</v>
      </c>
      <c r="S115" s="191">
        <f t="shared" si="21"/>
        <v>0.5854545362244753</v>
      </c>
      <c r="T115" s="42">
        <v>35031744.780000001</v>
      </c>
      <c r="U115" s="48">
        <f t="shared" si="20"/>
        <v>0.5098318786010072</v>
      </c>
      <c r="V115" s="49"/>
      <c r="X115" s="112"/>
    </row>
    <row r="116" spans="1:24" x14ac:dyDescent="0.3">
      <c r="A116" s="40" t="str">
        <f>VLOOKUP(B116,Grupos!$A$2:$B$619,2,FALSE)</f>
        <v>TABLEROS 100 AMP BIMETALICO 2 FASES</v>
      </c>
      <c r="B116" s="41" t="s">
        <v>178</v>
      </c>
      <c r="C116" s="41" t="s">
        <v>179</v>
      </c>
      <c r="D116" s="42">
        <v>20</v>
      </c>
      <c r="E116" s="43">
        <v>33940.29</v>
      </c>
      <c r="F116" s="43">
        <v>2395.4899999999998</v>
      </c>
      <c r="G116" s="126">
        <f t="shared" si="12"/>
        <v>36335.78</v>
      </c>
      <c r="H116" s="127">
        <f t="shared" si="13"/>
        <v>678805.8</v>
      </c>
      <c r="I116" s="128">
        <f t="shared" si="14"/>
        <v>47909.799999999996</v>
      </c>
      <c r="J116" s="128">
        <f t="shared" si="15"/>
        <v>726715.6</v>
      </c>
      <c r="K116" s="44">
        <f t="shared" si="16"/>
        <v>5.4599406140750934E-4</v>
      </c>
      <c r="L116" s="45">
        <v>7062.4037969947694</v>
      </c>
      <c r="M116" s="45">
        <v>12864.570699837919</v>
      </c>
      <c r="N116" s="45">
        <f t="shared" si="17"/>
        <v>56262.754496832684</v>
      </c>
      <c r="O116" s="46">
        <f t="shared" si="18"/>
        <v>1125255.0899366536</v>
      </c>
      <c r="P116" s="47">
        <f t="shared" si="19"/>
        <v>111286.5</v>
      </c>
      <c r="Q116" s="47">
        <v>285350</v>
      </c>
      <c r="R116" s="47">
        <f t="shared" si="25"/>
        <v>174063.5</v>
      </c>
      <c r="S116" s="191">
        <f t="shared" si="21"/>
        <v>0.61</v>
      </c>
      <c r="T116" s="42">
        <v>2225730</v>
      </c>
      <c r="U116" s="48">
        <f t="shared" si="20"/>
        <v>0.50556675335132906</v>
      </c>
      <c r="V116" s="49"/>
      <c r="X116" s="112"/>
    </row>
    <row r="117" spans="1:24" x14ac:dyDescent="0.3">
      <c r="A117" s="40" t="str">
        <f>VLOOKUP(B117,Grupos!$A$2:$B$619,2,FALSE)</f>
        <v>TABLEROS 100 AMP BIMETALICO 2 FASES</v>
      </c>
      <c r="B117" s="41" t="s">
        <v>180</v>
      </c>
      <c r="C117" s="41" t="s">
        <v>181</v>
      </c>
      <c r="D117" s="42">
        <v>330</v>
      </c>
      <c r="E117" s="43">
        <v>33666.300000000003</v>
      </c>
      <c r="F117" s="43">
        <v>2187.17</v>
      </c>
      <c r="G117" s="126">
        <f t="shared" si="12"/>
        <v>35853.47</v>
      </c>
      <c r="H117" s="127">
        <f t="shared" si="13"/>
        <v>11109879.000000002</v>
      </c>
      <c r="I117" s="128">
        <f t="shared" si="14"/>
        <v>721766.1</v>
      </c>
      <c r="J117" s="128">
        <f t="shared" si="15"/>
        <v>11831645.1</v>
      </c>
      <c r="K117" s="44">
        <f t="shared" si="16"/>
        <v>8.889320610815642E-3</v>
      </c>
      <c r="L117" s="45">
        <v>6968.6596149425714</v>
      </c>
      <c r="M117" s="45">
        <v>11745.823650929249</v>
      </c>
      <c r="N117" s="45">
        <f t="shared" si="17"/>
        <v>54567.953265871824</v>
      </c>
      <c r="O117" s="46">
        <f t="shared" si="18"/>
        <v>18007424.5777377</v>
      </c>
      <c r="P117" s="47">
        <f t="shared" si="19"/>
        <v>110674.66887878787</v>
      </c>
      <c r="Q117" s="47">
        <v>274400</v>
      </c>
      <c r="R117" s="47">
        <f t="shared" si="25"/>
        <v>163725.33112121213</v>
      </c>
      <c r="S117" s="191">
        <f t="shared" si="21"/>
        <v>0.59666665860500046</v>
      </c>
      <c r="T117" s="42">
        <v>36522640.729999997</v>
      </c>
      <c r="U117" s="48">
        <f t="shared" si="20"/>
        <v>0.49304826315437411</v>
      </c>
      <c r="V117" s="49"/>
      <c r="X117" s="112"/>
    </row>
    <row r="118" spans="1:24" x14ac:dyDescent="0.3">
      <c r="A118" s="40" t="str">
        <f>VLOOKUP(B118,Grupos!$A$2:$B$619,2,FALSE)</f>
        <v>TABLEROS 100 AMP BIMETALICO 2 FASES</v>
      </c>
      <c r="B118" s="41" t="s">
        <v>182</v>
      </c>
      <c r="C118" s="41" t="s">
        <v>183</v>
      </c>
      <c r="D118" s="42">
        <v>78</v>
      </c>
      <c r="E118" s="43">
        <v>21237.54</v>
      </c>
      <c r="F118" s="43">
        <v>1742.36</v>
      </c>
      <c r="G118" s="126">
        <f t="shared" si="12"/>
        <v>22979.9</v>
      </c>
      <c r="H118" s="127">
        <f t="shared" si="13"/>
        <v>1656528.12</v>
      </c>
      <c r="I118" s="128">
        <f t="shared" si="14"/>
        <v>135904.07999999999</v>
      </c>
      <c r="J118" s="128">
        <f t="shared" si="15"/>
        <v>1792432.2000000002</v>
      </c>
      <c r="K118" s="44">
        <f t="shared" si="16"/>
        <v>1.3466854663304285E-3</v>
      </c>
      <c r="L118" s="45">
        <v>4466.4882111945881</v>
      </c>
      <c r="M118" s="45">
        <v>9357.0473700869534</v>
      </c>
      <c r="N118" s="45">
        <f t="shared" si="17"/>
        <v>36803.435581281541</v>
      </c>
      <c r="O118" s="46">
        <f t="shared" si="18"/>
        <v>2870667.9753399603</v>
      </c>
      <c r="P118" s="47">
        <f t="shared" si="19"/>
        <v>57281.176794871797</v>
      </c>
      <c r="Q118" s="47">
        <v>136634</v>
      </c>
      <c r="R118" s="47">
        <f t="shared" si="25"/>
        <v>79352.823205128196</v>
      </c>
      <c r="S118" s="191">
        <f t="shared" si="21"/>
        <v>0.58076923170754124</v>
      </c>
      <c r="T118" s="42">
        <v>4467931.79</v>
      </c>
      <c r="U118" s="48">
        <f t="shared" si="20"/>
        <v>0.64250487927434552</v>
      </c>
      <c r="V118" s="49"/>
      <c r="X118" s="112"/>
    </row>
    <row r="119" spans="1:24" x14ac:dyDescent="0.3">
      <c r="A119" s="40" t="str">
        <f>VLOOKUP(B119,Grupos!$A$2:$B$619,2,FALSE)</f>
        <v>TABLEROS 100 AMP BIMETALICO 2 FASES</v>
      </c>
      <c r="B119" s="41" t="s">
        <v>185</v>
      </c>
      <c r="C119" s="41" t="s">
        <v>186</v>
      </c>
      <c r="D119" s="42">
        <v>120</v>
      </c>
      <c r="E119" s="43">
        <v>19761.93</v>
      </c>
      <c r="F119" s="43">
        <v>1254.28</v>
      </c>
      <c r="G119" s="126">
        <f t="shared" si="12"/>
        <v>21016.21</v>
      </c>
      <c r="H119" s="127">
        <f t="shared" si="13"/>
        <v>2371431.6</v>
      </c>
      <c r="I119" s="128">
        <f t="shared" si="14"/>
        <v>150513.60000000001</v>
      </c>
      <c r="J119" s="128">
        <f t="shared" si="15"/>
        <v>2521945.1999999997</v>
      </c>
      <c r="K119" s="44">
        <f t="shared" si="16"/>
        <v>1.8947812629798689E-3</v>
      </c>
      <c r="L119" s="45">
        <v>4084.8156088142159</v>
      </c>
      <c r="M119" s="45">
        <v>6735.8969302283485</v>
      </c>
      <c r="N119" s="45">
        <f t="shared" si="17"/>
        <v>31836.922539042564</v>
      </c>
      <c r="O119" s="46">
        <f t="shared" si="18"/>
        <v>3820430.7046851078</v>
      </c>
      <c r="P119" s="47">
        <f t="shared" si="19"/>
        <v>55287.335250000004</v>
      </c>
      <c r="Q119" s="47">
        <v>130600</v>
      </c>
      <c r="R119" s="47">
        <f t="shared" si="25"/>
        <v>75312.664749999996</v>
      </c>
      <c r="S119" s="191">
        <f t="shared" si="21"/>
        <v>0.57666665199081157</v>
      </c>
      <c r="T119" s="42">
        <v>6634480.2300000004</v>
      </c>
      <c r="U119" s="48">
        <f t="shared" si="20"/>
        <v>0.57584476435844434</v>
      </c>
      <c r="V119" s="49"/>
      <c r="X119" s="112"/>
    </row>
    <row r="120" spans="1:24" x14ac:dyDescent="0.3">
      <c r="A120" s="40" t="str">
        <f>VLOOKUP(B120,Grupos!$A$2:$B$619,2,FALSE)</f>
        <v>TABLEROS 100 AMP BIMETALICO 2 FASES</v>
      </c>
      <c r="B120" s="41" t="s">
        <v>187</v>
      </c>
      <c r="C120" s="41" t="s">
        <v>188</v>
      </c>
      <c r="D120" s="42">
        <v>66</v>
      </c>
      <c r="E120" s="43">
        <v>23353.54</v>
      </c>
      <c r="F120" s="43">
        <v>1718.9</v>
      </c>
      <c r="G120" s="126">
        <f t="shared" si="12"/>
        <v>25072.440000000002</v>
      </c>
      <c r="H120" s="127">
        <f t="shared" si="13"/>
        <v>1541333.6400000001</v>
      </c>
      <c r="I120" s="128">
        <f t="shared" si="14"/>
        <v>113447.40000000001</v>
      </c>
      <c r="J120" s="128">
        <f t="shared" si="15"/>
        <v>1654781.04</v>
      </c>
      <c r="K120" s="44">
        <f t="shared" si="16"/>
        <v>1.2432657572917687E-3</v>
      </c>
      <c r="L120" s="45">
        <v>4873.204743531679</v>
      </c>
      <c r="M120" s="45">
        <v>9231.0594391758696</v>
      </c>
      <c r="N120" s="45">
        <f t="shared" si="17"/>
        <v>39176.704182707552</v>
      </c>
      <c r="O120" s="46">
        <f t="shared" si="18"/>
        <v>2585662.4760586983</v>
      </c>
      <c r="P120" s="47">
        <f t="shared" si="19"/>
        <v>68921.679545454535</v>
      </c>
      <c r="Q120" s="47">
        <v>177550</v>
      </c>
      <c r="R120" s="47">
        <f t="shared" si="25"/>
        <v>108628.32045454546</v>
      </c>
      <c r="S120" s="191">
        <f t="shared" si="21"/>
        <v>0.61181819461867337</v>
      </c>
      <c r="T120" s="42">
        <v>4548830.8499999996</v>
      </c>
      <c r="U120" s="48">
        <f t="shared" si="20"/>
        <v>0.56842352712646993</v>
      </c>
      <c r="V120" s="49"/>
      <c r="X120" s="112"/>
    </row>
    <row r="121" spans="1:24" x14ac:dyDescent="0.3">
      <c r="A121" s="40" t="str">
        <f>VLOOKUP(B121,Grupos!$A$2:$B$619,2,FALSE)</f>
        <v>TABLEROS 100 AMP BIMETALICO 2 FASES</v>
      </c>
      <c r="B121" s="41" t="s">
        <v>189</v>
      </c>
      <c r="C121" s="41" t="s">
        <v>190</v>
      </c>
      <c r="D121" s="42">
        <v>606</v>
      </c>
      <c r="E121" s="43">
        <v>23204.6</v>
      </c>
      <c r="F121" s="43">
        <v>1695.77</v>
      </c>
      <c r="G121" s="126">
        <f t="shared" si="12"/>
        <v>24900.37</v>
      </c>
      <c r="H121" s="127">
        <f t="shared" si="13"/>
        <v>14061987.6</v>
      </c>
      <c r="I121" s="128">
        <f t="shared" si="14"/>
        <v>1027636.62</v>
      </c>
      <c r="J121" s="128">
        <f t="shared" si="15"/>
        <v>15089624.219999999</v>
      </c>
      <c r="K121" s="44">
        <f t="shared" si="16"/>
        <v>1.1337096950981814E-2</v>
      </c>
      <c r="L121" s="45">
        <v>4839.7603583733344</v>
      </c>
      <c r="M121" s="45">
        <v>9106.843717011614</v>
      </c>
      <c r="N121" s="45">
        <f t="shared" si="17"/>
        <v>38846.974075384947</v>
      </c>
      <c r="O121" s="46">
        <f t="shared" si="18"/>
        <v>23541266.289683279</v>
      </c>
      <c r="P121" s="47">
        <f t="shared" si="19"/>
        <v>66495.000214521453</v>
      </c>
      <c r="Q121" s="47">
        <v>166650</v>
      </c>
      <c r="R121" s="47">
        <f t="shared" si="25"/>
        <v>100154.99978547855</v>
      </c>
      <c r="S121" s="191">
        <f t="shared" si="21"/>
        <v>0.60099009772264356</v>
      </c>
      <c r="T121" s="42">
        <v>40295970.130000003</v>
      </c>
      <c r="U121" s="48">
        <f t="shared" si="20"/>
        <v>0.58420894729016604</v>
      </c>
      <c r="V121" s="49"/>
      <c r="X121" s="112"/>
    </row>
    <row r="122" spans="1:24" x14ac:dyDescent="0.3">
      <c r="A122" s="40" t="str">
        <f>VLOOKUP(B122,Grupos!$A$2:$B$619,2,FALSE)</f>
        <v>TABLEROS 100 AMP BIMETALICO 3 FASES</v>
      </c>
      <c r="B122" s="41" t="s">
        <v>191</v>
      </c>
      <c r="C122" s="41" t="s">
        <v>192</v>
      </c>
      <c r="D122" s="42">
        <v>30</v>
      </c>
      <c r="E122" s="43">
        <v>23709.66</v>
      </c>
      <c r="F122" s="43">
        <v>2548.63</v>
      </c>
      <c r="G122" s="126">
        <f t="shared" si="12"/>
        <v>26258.29</v>
      </c>
      <c r="H122" s="127">
        <f t="shared" si="13"/>
        <v>711289.8</v>
      </c>
      <c r="I122" s="128">
        <f t="shared" si="14"/>
        <v>76458.900000000009</v>
      </c>
      <c r="J122" s="128">
        <f t="shared" si="15"/>
        <v>787748.70000000007</v>
      </c>
      <c r="K122" s="44">
        <f t="shared" si="16"/>
        <v>5.9184929026084713E-4</v>
      </c>
      <c r="L122" s="45">
        <v>5103.6924760825223</v>
      </c>
      <c r="M122" s="45">
        <v>13686.982964958284</v>
      </c>
      <c r="N122" s="45">
        <f t="shared" si="17"/>
        <v>45048.965441040804</v>
      </c>
      <c r="O122" s="46">
        <f t="shared" si="18"/>
        <v>1351468.9632312241</v>
      </c>
      <c r="P122" s="47">
        <f t="shared" si="19"/>
        <v>71548.399000000005</v>
      </c>
      <c r="Q122" s="47">
        <v>177100</v>
      </c>
      <c r="R122" s="47">
        <f t="shared" si="25"/>
        <v>105551.601</v>
      </c>
      <c r="S122" s="191">
        <f t="shared" si="21"/>
        <v>0.59600000564652733</v>
      </c>
      <c r="T122" s="42">
        <v>2146451.9700000002</v>
      </c>
      <c r="U122" s="48">
        <f t="shared" si="20"/>
        <v>0.62962925894457544</v>
      </c>
      <c r="V122" s="49"/>
      <c r="X122" s="112"/>
    </row>
    <row r="123" spans="1:24" x14ac:dyDescent="0.3">
      <c r="A123" s="40" t="str">
        <f>VLOOKUP(B123,Grupos!$A$2:$B$619,2,FALSE)</f>
        <v>TABLEROS 100 AMP BIMETALICO 3 FASES</v>
      </c>
      <c r="B123" s="41" t="s">
        <v>193</v>
      </c>
      <c r="C123" s="41" t="s">
        <v>194</v>
      </c>
      <c r="D123" s="42">
        <v>444</v>
      </c>
      <c r="E123" s="43">
        <v>23560.73</v>
      </c>
      <c r="F123" s="43">
        <v>2252.54</v>
      </c>
      <c r="G123" s="126">
        <f t="shared" si="12"/>
        <v>25813.27</v>
      </c>
      <c r="H123" s="127">
        <f t="shared" si="13"/>
        <v>10460964.119999999</v>
      </c>
      <c r="I123" s="128">
        <f t="shared" si="14"/>
        <v>1000127.76</v>
      </c>
      <c r="J123" s="128">
        <f t="shared" si="15"/>
        <v>11461091.880000001</v>
      </c>
      <c r="K123" s="44">
        <f t="shared" si="16"/>
        <v>8.6109175360014664E-3</v>
      </c>
      <c r="L123" s="45">
        <v>5017.1961647954495</v>
      </c>
      <c r="M123" s="45">
        <v>12096.882092687887</v>
      </c>
      <c r="N123" s="45">
        <f t="shared" si="17"/>
        <v>42927.348257483332</v>
      </c>
      <c r="O123" s="46">
        <f t="shared" si="18"/>
        <v>19059742.626322601</v>
      </c>
      <c r="P123" s="47">
        <f t="shared" si="19"/>
        <v>66402.485292792786</v>
      </c>
      <c r="Q123" s="47">
        <v>164800</v>
      </c>
      <c r="R123" s="47">
        <f t="shared" si="25"/>
        <v>98397.514707207214</v>
      </c>
      <c r="S123" s="191">
        <f t="shared" si="21"/>
        <v>0.59707229798062633</v>
      </c>
      <c r="T123" s="42">
        <v>29482703.469999999</v>
      </c>
      <c r="U123" s="48">
        <f t="shared" si="20"/>
        <v>0.64647201182607839</v>
      </c>
      <c r="V123" s="49"/>
      <c r="X123" s="112"/>
    </row>
    <row r="124" spans="1:24" x14ac:dyDescent="0.3">
      <c r="A124" s="40" t="str">
        <f>VLOOKUP(B124,Grupos!$A$2:$B$619,2,FALSE)</f>
        <v>TABLEROS 100 AMP BIMETALICO 3 FASES</v>
      </c>
      <c r="B124" s="41" t="s">
        <v>195</v>
      </c>
      <c r="C124" s="41" t="s">
        <v>196</v>
      </c>
      <c r="D124" s="42">
        <v>24</v>
      </c>
      <c r="E124" s="43">
        <v>28876.71</v>
      </c>
      <c r="F124" s="43">
        <v>2192.9699999999998</v>
      </c>
      <c r="G124" s="126">
        <f t="shared" si="12"/>
        <v>31069.68</v>
      </c>
      <c r="H124" s="127">
        <f t="shared" si="13"/>
        <v>693041.04</v>
      </c>
      <c r="I124" s="128">
        <f t="shared" si="14"/>
        <v>52631.28</v>
      </c>
      <c r="J124" s="128">
        <f t="shared" si="15"/>
        <v>745672.32000000007</v>
      </c>
      <c r="K124" s="44">
        <f t="shared" si="16"/>
        <v>5.6023657463244209E-4</v>
      </c>
      <c r="L124" s="45">
        <v>6038.8582824811356</v>
      </c>
      <c r="M124" s="45">
        <v>11776.971562237188</v>
      </c>
      <c r="N124" s="45">
        <f t="shared" si="17"/>
        <v>48885.509844718326</v>
      </c>
      <c r="O124" s="46">
        <f t="shared" si="18"/>
        <v>1173252.2362732398</v>
      </c>
      <c r="P124" s="47">
        <f t="shared" si="19"/>
        <v>104776.87541666666</v>
      </c>
      <c r="Q124" s="47">
        <v>249800</v>
      </c>
      <c r="R124" s="47">
        <f t="shared" si="25"/>
        <v>145023.12458333332</v>
      </c>
      <c r="S124" s="191">
        <f t="shared" si="21"/>
        <v>0.58055694388844403</v>
      </c>
      <c r="T124" s="42">
        <v>2514645.0099999998</v>
      </c>
      <c r="U124" s="48">
        <f t="shared" si="20"/>
        <v>0.46656773882896496</v>
      </c>
      <c r="V124" s="49"/>
      <c r="X124" s="112"/>
    </row>
    <row r="125" spans="1:24" x14ac:dyDescent="0.3">
      <c r="A125" s="40" t="str">
        <f>VLOOKUP(B125,Grupos!$A$2:$B$619,2,FALSE)</f>
        <v>TABLEROS 100 AMP BIMETALICO 3 FASES</v>
      </c>
      <c r="B125" s="41" t="s">
        <v>197</v>
      </c>
      <c r="C125" s="41" t="s">
        <v>198</v>
      </c>
      <c r="D125" s="42">
        <v>312</v>
      </c>
      <c r="E125" s="43">
        <v>28605.29</v>
      </c>
      <c r="F125" s="43">
        <v>2125.4499999999998</v>
      </c>
      <c r="G125" s="126">
        <f t="shared" si="12"/>
        <v>30730.74</v>
      </c>
      <c r="H125" s="127">
        <f t="shared" si="13"/>
        <v>8924850.4800000004</v>
      </c>
      <c r="I125" s="128">
        <f t="shared" si="14"/>
        <v>663140.39999999991</v>
      </c>
      <c r="J125" s="128">
        <f t="shared" si="15"/>
        <v>9587990.8800000008</v>
      </c>
      <c r="K125" s="44">
        <f t="shared" si="16"/>
        <v>7.2036241981173373E-3</v>
      </c>
      <c r="L125" s="45">
        <v>5972.9802101526102</v>
      </c>
      <c r="M125" s="45">
        <v>11414.366911976467</v>
      </c>
      <c r="N125" s="45">
        <f t="shared" si="17"/>
        <v>48118.08712212908</v>
      </c>
      <c r="O125" s="46">
        <f t="shared" si="18"/>
        <v>15012843.182104273</v>
      </c>
      <c r="P125" s="47">
        <f t="shared" si="19"/>
        <v>96425.914935897439</v>
      </c>
      <c r="Q125" s="47">
        <v>237750</v>
      </c>
      <c r="R125" s="47">
        <f t="shared" si="25"/>
        <v>141324.08506410255</v>
      </c>
      <c r="S125" s="191">
        <f t="shared" si="21"/>
        <v>0.59442307072177725</v>
      </c>
      <c r="T125" s="42">
        <v>30084885.460000001</v>
      </c>
      <c r="U125" s="48">
        <f t="shared" si="20"/>
        <v>0.49901613227229724</v>
      </c>
      <c r="V125" s="49"/>
      <c r="X125" s="112"/>
    </row>
    <row r="126" spans="1:24" x14ac:dyDescent="0.3">
      <c r="A126" s="40" t="str">
        <f>VLOOKUP(B126,Grupos!$A$2:$B$619,2,FALSE)</f>
        <v>TABLEROS 100 AMP BIMETALICO 3 FASES</v>
      </c>
      <c r="B126" s="41" t="s">
        <v>199</v>
      </c>
      <c r="C126" s="41" t="s">
        <v>200</v>
      </c>
      <c r="D126" s="42">
        <v>125</v>
      </c>
      <c r="E126" s="43">
        <v>35680.620000000003</v>
      </c>
      <c r="F126" s="43">
        <v>2955.78</v>
      </c>
      <c r="G126" s="126">
        <f t="shared" si="12"/>
        <v>38636.400000000001</v>
      </c>
      <c r="H126" s="127">
        <f t="shared" si="13"/>
        <v>4460077.5</v>
      </c>
      <c r="I126" s="128">
        <f t="shared" si="14"/>
        <v>369472.5</v>
      </c>
      <c r="J126" s="128">
        <f t="shared" si="15"/>
        <v>4829550</v>
      </c>
      <c r="K126" s="44">
        <f t="shared" si="16"/>
        <v>3.6285248579645689E-3</v>
      </c>
      <c r="L126" s="45">
        <v>7509.5637980582405</v>
      </c>
      <c r="M126" s="45">
        <v>15873.512635480394</v>
      </c>
      <c r="N126" s="45">
        <f t="shared" si="17"/>
        <v>62019.476433538635</v>
      </c>
      <c r="O126" s="46">
        <f t="shared" si="18"/>
        <v>7752434.5541923298</v>
      </c>
      <c r="P126" s="47">
        <f t="shared" si="19"/>
        <v>139816.56344</v>
      </c>
      <c r="Q126" s="47">
        <v>327900</v>
      </c>
      <c r="R126" s="47">
        <f t="shared" si="25"/>
        <v>188083.43656</v>
      </c>
      <c r="S126" s="191">
        <f t="shared" si="21"/>
        <v>0.5735999895089966</v>
      </c>
      <c r="T126" s="42">
        <v>17477070.43</v>
      </c>
      <c r="U126" s="48">
        <f t="shared" si="20"/>
        <v>0.44357746255259156</v>
      </c>
      <c r="V126" s="49"/>
      <c r="X126" s="112"/>
    </row>
    <row r="127" spans="1:24" x14ac:dyDescent="0.3">
      <c r="A127" s="40" t="str">
        <f>VLOOKUP(B127,Grupos!$A$2:$B$619,2,FALSE)</f>
        <v>TABLEROS 125 AMP COBRE 2 FASES</v>
      </c>
      <c r="B127" s="41" t="s">
        <v>201</v>
      </c>
      <c r="C127" s="41" t="s">
        <v>202</v>
      </c>
      <c r="D127" s="42">
        <v>498</v>
      </c>
      <c r="E127" s="43">
        <v>36923.08</v>
      </c>
      <c r="F127" s="43">
        <v>2088.16</v>
      </c>
      <c r="G127" s="126">
        <f t="shared" si="12"/>
        <v>39011.240000000005</v>
      </c>
      <c r="H127" s="127">
        <f t="shared" si="13"/>
        <v>18387693.84</v>
      </c>
      <c r="I127" s="128">
        <f t="shared" si="14"/>
        <v>1039903.6799999999</v>
      </c>
      <c r="J127" s="128">
        <f t="shared" si="15"/>
        <v>19427597.520000003</v>
      </c>
      <c r="K127" s="44">
        <f t="shared" si="16"/>
        <v>1.4596291690085169E-2</v>
      </c>
      <c r="L127" s="45">
        <v>7582.4195738050557</v>
      </c>
      <c r="M127" s="45">
        <v>11214.107323584549</v>
      </c>
      <c r="N127" s="45">
        <f t="shared" si="17"/>
        <v>57807.766897389607</v>
      </c>
      <c r="O127" s="46">
        <f t="shared" si="18"/>
        <v>28788267.914900023</v>
      </c>
      <c r="P127" s="47">
        <f t="shared" si="19"/>
        <v>98786.223755020081</v>
      </c>
      <c r="Q127" s="47">
        <v>246150</v>
      </c>
      <c r="R127" s="47">
        <f t="shared" si="25"/>
        <v>147363.77624497993</v>
      </c>
      <c r="S127" s="191">
        <f t="shared" si="21"/>
        <v>0.59867469528734485</v>
      </c>
      <c r="T127" s="42">
        <v>49195539.43</v>
      </c>
      <c r="U127" s="48">
        <f t="shared" si="20"/>
        <v>0.58518045026953425</v>
      </c>
      <c r="V127" s="49"/>
      <c r="X127" s="112"/>
    </row>
    <row r="128" spans="1:24" x14ac:dyDescent="0.3">
      <c r="A128" s="40" t="str">
        <f>VLOOKUP(B128,Grupos!$A$2:$B$619,2,FALSE)</f>
        <v>TABLEROS 125 AMP COBRE 2 FASES</v>
      </c>
      <c r="B128" s="41" t="s">
        <v>203</v>
      </c>
      <c r="C128" s="41" t="s">
        <v>204</v>
      </c>
      <c r="D128" s="42">
        <v>1252</v>
      </c>
      <c r="E128" s="43">
        <v>36651.67</v>
      </c>
      <c r="F128" s="43">
        <v>2015.61</v>
      </c>
      <c r="G128" s="126">
        <f t="shared" si="12"/>
        <v>38667.279999999999</v>
      </c>
      <c r="H128" s="127">
        <f t="shared" si="13"/>
        <v>45887890.839999996</v>
      </c>
      <c r="I128" s="128">
        <f t="shared" si="14"/>
        <v>2523543.7199999997</v>
      </c>
      <c r="J128" s="128">
        <f t="shared" si="15"/>
        <v>48411434.559999995</v>
      </c>
      <c r="K128" s="44">
        <f t="shared" si="16"/>
        <v>3.6372352229645619E-2</v>
      </c>
      <c r="L128" s="45">
        <v>7515.5657891879537</v>
      </c>
      <c r="M128" s="45">
        <v>10824.489915758491</v>
      </c>
      <c r="N128" s="45">
        <f t="shared" si="17"/>
        <v>57007.335704946439</v>
      </c>
      <c r="O128" s="46">
        <f t="shared" si="18"/>
        <v>71373184.302592948</v>
      </c>
      <c r="P128" s="47">
        <f t="shared" si="19"/>
        <v>94570.553562300323</v>
      </c>
      <c r="Q128" s="47">
        <v>236200</v>
      </c>
      <c r="R128" s="47">
        <f t="shared" si="25"/>
        <v>141629.44643769966</v>
      </c>
      <c r="S128" s="191">
        <f t="shared" si="21"/>
        <v>0.59961662336028643</v>
      </c>
      <c r="T128" s="42">
        <v>118402333.06</v>
      </c>
      <c r="U128" s="48">
        <f t="shared" si="20"/>
        <v>0.60280217845390616</v>
      </c>
      <c r="V128" s="49"/>
      <c r="X128" s="112"/>
    </row>
    <row r="129" spans="1:24" x14ac:dyDescent="0.3">
      <c r="A129" s="40" t="str">
        <f>VLOOKUP(B129,Grupos!$A$2:$B$619,2,FALSE)</f>
        <v>TABLEROS 125 AMP COBRE 2 FASES</v>
      </c>
      <c r="B129" s="41" t="s">
        <v>205</v>
      </c>
      <c r="C129" s="41" t="s">
        <v>206</v>
      </c>
      <c r="D129" s="42">
        <v>110</v>
      </c>
      <c r="E129" s="43">
        <v>48898.69</v>
      </c>
      <c r="F129" s="43">
        <v>2490.52</v>
      </c>
      <c r="G129" s="126">
        <f t="shared" si="12"/>
        <v>51389.21</v>
      </c>
      <c r="H129" s="127">
        <f t="shared" si="13"/>
        <v>5378855.9000000004</v>
      </c>
      <c r="I129" s="128">
        <f t="shared" si="14"/>
        <v>273957.2</v>
      </c>
      <c r="J129" s="128">
        <f t="shared" si="15"/>
        <v>5652813.0999999996</v>
      </c>
      <c r="K129" s="44">
        <f t="shared" si="16"/>
        <v>4.2470567342252907E-3</v>
      </c>
      <c r="L129" s="45">
        <v>9988.263684681091</v>
      </c>
      <c r="M129" s="45">
        <v>13374.913115629928</v>
      </c>
      <c r="N129" s="45">
        <f t="shared" si="17"/>
        <v>74752.386800311026</v>
      </c>
      <c r="O129" s="46">
        <f t="shared" si="18"/>
        <v>8222762.5480342126</v>
      </c>
      <c r="P129" s="47">
        <f t="shared" si="19"/>
        <v>132811.36454545453</v>
      </c>
      <c r="Q129" s="47">
        <v>324650</v>
      </c>
      <c r="R129" s="47">
        <f t="shared" si="25"/>
        <v>191838.63545454547</v>
      </c>
      <c r="S129" s="191">
        <f t="shared" si="21"/>
        <v>0.59090908810887255</v>
      </c>
      <c r="T129" s="42">
        <v>14609250.1</v>
      </c>
      <c r="U129" s="48">
        <f t="shared" si="20"/>
        <v>0.56284631255879536</v>
      </c>
      <c r="V129" s="49"/>
      <c r="X129" s="112"/>
    </row>
    <row r="130" spans="1:24" x14ac:dyDescent="0.3">
      <c r="A130" s="40" t="str">
        <f>VLOOKUP(B130,Grupos!$A$2:$B$619,2,FALSE)</f>
        <v>TABLEROS 125 AMP COBRE 2 FASES</v>
      </c>
      <c r="B130" s="41" t="s">
        <v>207</v>
      </c>
      <c r="C130" s="41" t="s">
        <v>208</v>
      </c>
      <c r="D130" s="42">
        <v>375</v>
      </c>
      <c r="E130" s="43">
        <v>48624.71</v>
      </c>
      <c r="F130" s="43">
        <v>2229.42</v>
      </c>
      <c r="G130" s="126">
        <f t="shared" si="12"/>
        <v>50854.13</v>
      </c>
      <c r="H130" s="127">
        <f t="shared" si="13"/>
        <v>18234266.25</v>
      </c>
      <c r="I130" s="128">
        <f t="shared" si="14"/>
        <v>836032.5</v>
      </c>
      <c r="J130" s="128">
        <f t="shared" si="15"/>
        <v>19070298.75</v>
      </c>
      <c r="K130" s="44">
        <f t="shared" si="16"/>
        <v>1.432784691393311E-2</v>
      </c>
      <c r="L130" s="45">
        <v>9884.2628616990096</v>
      </c>
      <c r="M130" s="45">
        <v>11972.720073818991</v>
      </c>
      <c r="N130" s="45">
        <f t="shared" si="17"/>
        <v>72711.112935518002</v>
      </c>
      <c r="O130" s="46">
        <f t="shared" si="18"/>
        <v>27266667.350819252</v>
      </c>
      <c r="P130" s="47">
        <f t="shared" si="19"/>
        <v>126499.99709333332</v>
      </c>
      <c r="Q130" s="47">
        <v>312500</v>
      </c>
      <c r="R130" s="47">
        <f t="shared" si="25"/>
        <v>186000.00290666666</v>
      </c>
      <c r="S130" s="191">
        <f t="shared" si="21"/>
        <v>0.59520000930133332</v>
      </c>
      <c r="T130" s="42">
        <v>47437498.909999996</v>
      </c>
      <c r="U130" s="48">
        <f t="shared" si="20"/>
        <v>0.57479141981221404</v>
      </c>
      <c r="V130" s="49"/>
      <c r="X130" s="112"/>
    </row>
    <row r="131" spans="1:24" x14ac:dyDescent="0.3">
      <c r="A131" s="40" t="str">
        <f>VLOOKUP(B131,Grupos!$A$2:$B$619,2,FALSE)</f>
        <v>TABLEROS 125 AMP COBRE 2 FASES</v>
      </c>
      <c r="B131" s="41" t="s">
        <v>209</v>
      </c>
      <c r="C131" s="41" t="s">
        <v>210</v>
      </c>
      <c r="D131" s="42">
        <v>17</v>
      </c>
      <c r="E131" s="43">
        <v>26502.799999999999</v>
      </c>
      <c r="F131" s="43">
        <v>1198.0999999999999</v>
      </c>
      <c r="G131" s="126">
        <f t="shared" si="12"/>
        <v>27700.899999999998</v>
      </c>
      <c r="H131" s="127">
        <f t="shared" si="13"/>
        <v>450547.6</v>
      </c>
      <c r="I131" s="128">
        <f t="shared" si="14"/>
        <v>20367.699999999997</v>
      </c>
      <c r="J131" s="128">
        <f t="shared" si="15"/>
        <v>470915.3</v>
      </c>
      <c r="K131" s="44">
        <f t="shared" si="16"/>
        <v>3.538068499230451E-4</v>
      </c>
      <c r="L131" s="45">
        <v>5384.0853654489429</v>
      </c>
      <c r="M131" s="45">
        <v>6434.1918169041874</v>
      </c>
      <c r="N131" s="45">
        <f t="shared" si="17"/>
        <v>39519.177182353131</v>
      </c>
      <c r="O131" s="46">
        <f t="shared" si="18"/>
        <v>671826.01210000319</v>
      </c>
      <c r="P131" s="47">
        <f t="shared" si="19"/>
        <v>56676.998823529408</v>
      </c>
      <c r="Q131" s="47">
        <v>149150</v>
      </c>
      <c r="R131" s="47">
        <f t="shared" si="25"/>
        <v>92473.0011764706</v>
      </c>
      <c r="S131" s="191">
        <f t="shared" si="21"/>
        <v>0.62000000788783505</v>
      </c>
      <c r="T131" s="42">
        <v>963508.98</v>
      </c>
      <c r="U131" s="48">
        <f t="shared" si="20"/>
        <v>0.69727010961538027</v>
      </c>
      <c r="V131" s="49"/>
      <c r="X131" s="112"/>
    </row>
    <row r="132" spans="1:24" x14ac:dyDescent="0.3">
      <c r="A132" s="40" t="str">
        <f>VLOOKUP(B132,Grupos!$A$2:$B$619,2,FALSE)</f>
        <v>TABLEROS 125 AMP COBRE 2 FASES</v>
      </c>
      <c r="B132" s="41" t="s">
        <v>211</v>
      </c>
      <c r="C132" s="41" t="s">
        <v>212</v>
      </c>
      <c r="D132" s="42">
        <v>504</v>
      </c>
      <c r="E132" s="43">
        <v>30000.21</v>
      </c>
      <c r="F132" s="43">
        <v>1905.98</v>
      </c>
      <c r="G132" s="126">
        <f t="shared" si="12"/>
        <v>31906.19</v>
      </c>
      <c r="H132" s="127">
        <f t="shared" si="13"/>
        <v>15120105.84</v>
      </c>
      <c r="I132" s="128">
        <f t="shared" si="14"/>
        <v>960613.92</v>
      </c>
      <c r="J132" s="128">
        <f t="shared" si="15"/>
        <v>16080719.76</v>
      </c>
      <c r="K132" s="44">
        <f t="shared" si="16"/>
        <v>1.2081724256529498E-2</v>
      </c>
      <c r="L132" s="45">
        <v>6201.4465467271248</v>
      </c>
      <c r="M132" s="45">
        <v>10235.740688743046</v>
      </c>
      <c r="N132" s="45">
        <f t="shared" si="17"/>
        <v>48343.377235470172</v>
      </c>
      <c r="O132" s="46">
        <f t="shared" si="18"/>
        <v>24365062.126676966</v>
      </c>
      <c r="P132" s="47">
        <f t="shared" si="19"/>
        <v>80148.322361111103</v>
      </c>
      <c r="Q132" s="47">
        <v>201450</v>
      </c>
      <c r="R132" s="47">
        <f t="shared" si="25"/>
        <v>121301.6776388889</v>
      </c>
      <c r="S132" s="191">
        <f t="shared" si="21"/>
        <v>0.60214285251372002</v>
      </c>
      <c r="T132" s="42">
        <v>40394754.469999999</v>
      </c>
      <c r="U132" s="48">
        <f t="shared" si="20"/>
        <v>0.60317391320628488</v>
      </c>
      <c r="V132" s="49"/>
      <c r="X132" s="112"/>
    </row>
    <row r="133" spans="1:24" x14ac:dyDescent="0.3">
      <c r="A133" s="40" t="str">
        <f>VLOOKUP(B133,Grupos!$A$2:$B$619,2,FALSE)</f>
        <v>TABLEROS 125 AMP COBRE 2 FASES</v>
      </c>
      <c r="B133" s="41" t="s">
        <v>213</v>
      </c>
      <c r="C133" s="41" t="s">
        <v>214</v>
      </c>
      <c r="D133" s="42">
        <v>912</v>
      </c>
      <c r="E133" s="43">
        <v>29851.27</v>
      </c>
      <c r="F133" s="43">
        <v>1903.18</v>
      </c>
      <c r="G133" s="126">
        <f t="shared" ref="G133:G196" si="26">E133+F133</f>
        <v>31754.45</v>
      </c>
      <c r="H133" s="127">
        <f t="shared" ref="H133:H196" si="27">E133*D133</f>
        <v>27224358.240000002</v>
      </c>
      <c r="I133" s="128">
        <f t="shared" ref="I133:I196" si="28">F133*D133</f>
        <v>1735700.1600000001</v>
      </c>
      <c r="J133" s="128">
        <f t="shared" ref="J133:J196" si="29">G133*D133</f>
        <v>28960058.400000002</v>
      </c>
      <c r="K133" s="44">
        <f t="shared" ref="K133:K196" si="30">J133/$J$264</f>
        <v>2.1758195234029182E-2</v>
      </c>
      <c r="L133" s="45">
        <v>6171.9536019725065</v>
      </c>
      <c r="M133" s="45">
        <v>10220.703766042661</v>
      </c>
      <c r="N133" s="45">
        <f t="shared" ref="N133:N196" si="31">G133+L133+M133</f>
        <v>48147.107368015175</v>
      </c>
      <c r="O133" s="46">
        <f t="shared" ref="O133:O196" si="32">N133*D133</f>
        <v>43910161.919629842</v>
      </c>
      <c r="P133" s="47">
        <f t="shared" ref="P133:P196" si="33">T133/D133</f>
        <v>77100.006173245609</v>
      </c>
      <c r="Q133" s="47">
        <v>193450</v>
      </c>
      <c r="R133" s="47">
        <f t="shared" si="25"/>
        <v>116349.99382675439</v>
      </c>
      <c r="S133" s="191">
        <f t="shared" si="21"/>
        <v>0.60144737051824448</v>
      </c>
      <c r="T133" s="42">
        <v>70315205.629999995</v>
      </c>
      <c r="U133" s="48">
        <f t="shared" ref="U133:U196" si="34">O133/T133</f>
        <v>0.6244760507518955</v>
      </c>
      <c r="V133" s="49"/>
      <c r="X133" s="112"/>
    </row>
    <row r="134" spans="1:24" x14ac:dyDescent="0.3">
      <c r="A134" s="40" t="str">
        <f>VLOOKUP(B134,Grupos!$A$2:$B$619,2,FALSE)</f>
        <v>TABLEROS 125 AMP COBRE 3 FASES</v>
      </c>
      <c r="B134" s="41" t="s">
        <v>215</v>
      </c>
      <c r="C134" s="41" t="s">
        <v>216</v>
      </c>
      <c r="D134" s="42">
        <v>13</v>
      </c>
      <c r="E134" s="43">
        <v>31072.03</v>
      </c>
      <c r="F134" s="43">
        <v>2183.33</v>
      </c>
      <c r="G134" s="126">
        <f t="shared" si="26"/>
        <v>33255.360000000001</v>
      </c>
      <c r="H134" s="127">
        <f t="shared" si="27"/>
        <v>403936.39</v>
      </c>
      <c r="I134" s="128">
        <f t="shared" si="28"/>
        <v>28383.29</v>
      </c>
      <c r="J134" s="128">
        <f t="shared" si="29"/>
        <v>432319.68</v>
      </c>
      <c r="K134" s="44">
        <f t="shared" si="30"/>
        <v>3.2480928978213043E-4</v>
      </c>
      <c r="L134" s="45">
        <v>6463.6779707062287</v>
      </c>
      <c r="M134" s="45">
        <v>11725.201585511577</v>
      </c>
      <c r="N134" s="45">
        <f t="shared" si="31"/>
        <v>51444.239556217806</v>
      </c>
      <c r="O134" s="46">
        <f t="shared" si="32"/>
        <v>668775.1142308315</v>
      </c>
      <c r="P134" s="47">
        <f t="shared" si="33"/>
        <v>81698.767692307694</v>
      </c>
      <c r="Q134" s="47">
        <v>198150</v>
      </c>
      <c r="R134" s="47">
        <f t="shared" si="25"/>
        <v>116451.23230769231</v>
      </c>
      <c r="S134" s="191">
        <f t="shared" ref="S134:S197" si="35">R134/Q134</f>
        <v>0.58769231545643352</v>
      </c>
      <c r="T134" s="42">
        <v>1062083.98</v>
      </c>
      <c r="U134" s="48">
        <f t="shared" si="34"/>
        <v>0.62968195248631043</v>
      </c>
      <c r="V134" s="49"/>
      <c r="X134" s="112"/>
    </row>
    <row r="135" spans="1:24" x14ac:dyDescent="0.3">
      <c r="A135" s="40" t="str">
        <f>VLOOKUP(B135,Grupos!$A$2:$B$619,2,FALSE)</f>
        <v>TABLEROS 125 AMP COBRE 3 FASES</v>
      </c>
      <c r="B135" s="41" t="s">
        <v>217</v>
      </c>
      <c r="C135" s="41" t="s">
        <v>218</v>
      </c>
      <c r="D135" s="42">
        <v>60</v>
      </c>
      <c r="E135" s="43">
        <v>30888.58</v>
      </c>
      <c r="F135" s="43">
        <v>2005.26</v>
      </c>
      <c r="G135" s="126">
        <f t="shared" si="26"/>
        <v>32893.840000000004</v>
      </c>
      <c r="H135" s="127">
        <f t="shared" si="27"/>
        <v>1853314.8</v>
      </c>
      <c r="I135" s="128">
        <f t="shared" si="28"/>
        <v>120315.6</v>
      </c>
      <c r="J135" s="128">
        <f t="shared" si="29"/>
        <v>1973630.4000000001</v>
      </c>
      <c r="K135" s="44">
        <f t="shared" si="30"/>
        <v>1.4828228234172037E-3</v>
      </c>
      <c r="L135" s="45">
        <v>6393.4111367290989</v>
      </c>
      <c r="M135" s="45">
        <v>10768.907005062425</v>
      </c>
      <c r="N135" s="45">
        <f t="shared" si="31"/>
        <v>50056.158141791529</v>
      </c>
      <c r="O135" s="46">
        <f t="shared" si="32"/>
        <v>3003369.4885074915</v>
      </c>
      <c r="P135" s="47">
        <f t="shared" si="33"/>
        <v>77941.000500000009</v>
      </c>
      <c r="Q135" s="47">
        <v>190100</v>
      </c>
      <c r="R135" s="47">
        <f t="shared" si="25"/>
        <v>112158.99949999999</v>
      </c>
      <c r="S135" s="191">
        <f t="shared" si="35"/>
        <v>0.58999999736980535</v>
      </c>
      <c r="T135" s="42">
        <v>4676460.03</v>
      </c>
      <c r="U135" s="48">
        <f t="shared" si="34"/>
        <v>0.64223140350618824</v>
      </c>
      <c r="V135" s="49"/>
      <c r="X135" s="112"/>
    </row>
    <row r="136" spans="1:24" x14ac:dyDescent="0.3">
      <c r="A136" s="40" t="str">
        <f>VLOOKUP(B136,Grupos!$A$2:$B$619,2,FALSE)</f>
        <v>TABLEROS 125 AMP COBRE 3 FASES</v>
      </c>
      <c r="B136" s="41" t="s">
        <v>219</v>
      </c>
      <c r="C136" s="41" t="s">
        <v>220</v>
      </c>
      <c r="D136" s="42">
        <v>66</v>
      </c>
      <c r="E136" s="43">
        <v>42322.64</v>
      </c>
      <c r="F136" s="43">
        <v>2485.1999999999998</v>
      </c>
      <c r="G136" s="126">
        <f t="shared" si="26"/>
        <v>44807.839999999997</v>
      </c>
      <c r="H136" s="127">
        <f t="shared" si="27"/>
        <v>2793294.2399999998</v>
      </c>
      <c r="I136" s="128">
        <f t="shared" si="28"/>
        <v>164023.19999999998</v>
      </c>
      <c r="J136" s="128">
        <f t="shared" si="29"/>
        <v>2957317.44</v>
      </c>
      <c r="K136" s="44">
        <f t="shared" si="30"/>
        <v>2.2218839941468963E-3</v>
      </c>
      <c r="L136" s="45">
        <v>8709.0757196111954</v>
      </c>
      <c r="M136" s="45">
        <v>13346.342962499195</v>
      </c>
      <c r="N136" s="45">
        <f t="shared" si="31"/>
        <v>66863.258682110391</v>
      </c>
      <c r="O136" s="46">
        <f t="shared" si="32"/>
        <v>4412975.0730192857</v>
      </c>
      <c r="P136" s="47">
        <f t="shared" si="33"/>
        <v>116256.00318181817</v>
      </c>
      <c r="Q136" s="47">
        <v>276800</v>
      </c>
      <c r="R136" s="47">
        <f t="shared" si="25"/>
        <v>160543.99681818183</v>
      </c>
      <c r="S136" s="191">
        <f t="shared" si="35"/>
        <v>0.57999998850499213</v>
      </c>
      <c r="T136" s="42">
        <v>7672896.21</v>
      </c>
      <c r="U136" s="48">
        <f t="shared" si="34"/>
        <v>0.57513811633055911</v>
      </c>
      <c r="V136" s="49"/>
      <c r="X136" s="112"/>
    </row>
    <row r="137" spans="1:24" x14ac:dyDescent="0.3">
      <c r="A137" s="40" t="str">
        <f>VLOOKUP(B137,Grupos!$A$2:$B$619,2,FALSE)</f>
        <v>TABLEROS 125 AMP COBRE 3 FASES</v>
      </c>
      <c r="B137" s="41" t="s">
        <v>221</v>
      </c>
      <c r="C137" s="41" t="s">
        <v>222</v>
      </c>
      <c r="D137" s="42">
        <v>276</v>
      </c>
      <c r="E137" s="43">
        <v>42103.83</v>
      </c>
      <c r="F137" s="43">
        <v>2243.64</v>
      </c>
      <c r="G137" s="126">
        <f t="shared" si="26"/>
        <v>44347.47</v>
      </c>
      <c r="H137" s="127">
        <f t="shared" si="27"/>
        <v>11620657.08</v>
      </c>
      <c r="I137" s="128">
        <f t="shared" si="28"/>
        <v>619244.64</v>
      </c>
      <c r="J137" s="128">
        <f t="shared" si="29"/>
        <v>12239901.720000001</v>
      </c>
      <c r="K137" s="44">
        <f t="shared" si="30"/>
        <v>9.1960509053769582E-3</v>
      </c>
      <c r="L137" s="45">
        <v>8619.5959056090614</v>
      </c>
      <c r="M137" s="45">
        <v>12049.086159818806</v>
      </c>
      <c r="N137" s="45">
        <f t="shared" si="31"/>
        <v>65016.152065427872</v>
      </c>
      <c r="O137" s="46">
        <f t="shared" si="32"/>
        <v>17944457.970058091</v>
      </c>
      <c r="P137" s="47">
        <f t="shared" si="33"/>
        <v>110030.86721014493</v>
      </c>
      <c r="Q137" s="47">
        <v>273000</v>
      </c>
      <c r="R137" s="47">
        <f t="shared" si="25"/>
        <v>162969.13278985507</v>
      </c>
      <c r="S137" s="191">
        <f t="shared" si="35"/>
        <v>0.59695653036576946</v>
      </c>
      <c r="T137" s="42">
        <v>30368519.350000001</v>
      </c>
      <c r="U137" s="48">
        <f t="shared" si="34"/>
        <v>0.59089011759995769</v>
      </c>
      <c r="V137" s="49"/>
      <c r="X137" s="112"/>
    </row>
    <row r="138" spans="1:24" x14ac:dyDescent="0.3">
      <c r="A138" s="40" t="str">
        <f>VLOOKUP(B138,Grupos!$A$2:$B$619,2,FALSE)</f>
        <v>TABLEROS 125 AMP COBRE 3 FASES</v>
      </c>
      <c r="B138" s="41" t="s">
        <v>223</v>
      </c>
      <c r="C138" s="41" t="s">
        <v>224</v>
      </c>
      <c r="D138" s="42">
        <v>130</v>
      </c>
      <c r="E138" s="43">
        <v>56763.08</v>
      </c>
      <c r="F138" s="43">
        <v>2881.75</v>
      </c>
      <c r="G138" s="126">
        <f t="shared" si="26"/>
        <v>59644.83</v>
      </c>
      <c r="H138" s="127">
        <f t="shared" si="27"/>
        <v>7379200.4000000004</v>
      </c>
      <c r="I138" s="128">
        <f t="shared" si="28"/>
        <v>374627.5</v>
      </c>
      <c r="J138" s="128">
        <f t="shared" si="29"/>
        <v>7753827.9000000004</v>
      </c>
      <c r="K138" s="44">
        <f t="shared" si="30"/>
        <v>5.8255856714454169E-3</v>
      </c>
      <c r="L138" s="45">
        <v>11592.867247190166</v>
      </c>
      <c r="M138" s="45">
        <v>15475.947139941276</v>
      </c>
      <c r="N138" s="45">
        <f t="shared" si="31"/>
        <v>86713.64438713144</v>
      </c>
      <c r="O138" s="46">
        <f t="shared" si="32"/>
        <v>11272773.770327087</v>
      </c>
      <c r="P138" s="47">
        <f t="shared" si="33"/>
        <v>156142.13992307693</v>
      </c>
      <c r="Q138" s="47">
        <v>375550</v>
      </c>
      <c r="R138" s="47">
        <f t="shared" si="25"/>
        <v>219407.86007692307</v>
      </c>
      <c r="S138" s="191">
        <f t="shared" si="35"/>
        <v>0.58423075509765166</v>
      </c>
      <c r="T138" s="42">
        <v>20298478.190000001</v>
      </c>
      <c r="U138" s="48">
        <f t="shared" si="34"/>
        <v>0.55535068515040664</v>
      </c>
      <c r="V138" s="49"/>
      <c r="X138" s="112"/>
    </row>
    <row r="139" spans="1:24" x14ac:dyDescent="0.3">
      <c r="A139" s="40" t="str">
        <f>VLOOKUP(B139,Grupos!$A$2:$B$619,2,FALSE)</f>
        <v>TABLEROS 175 AMP BIMETALICO</v>
      </c>
      <c r="B139" s="41" t="s">
        <v>225</v>
      </c>
      <c r="C139" s="41" t="s">
        <v>226</v>
      </c>
      <c r="D139" s="42">
        <v>71</v>
      </c>
      <c r="E139" s="43">
        <v>42846.36</v>
      </c>
      <c r="F139" s="43">
        <v>9376.59</v>
      </c>
      <c r="G139" s="126">
        <f t="shared" si="26"/>
        <v>52222.95</v>
      </c>
      <c r="H139" s="127">
        <f t="shared" si="27"/>
        <v>3042091.56</v>
      </c>
      <c r="I139" s="128">
        <f t="shared" si="28"/>
        <v>665737.89</v>
      </c>
      <c r="J139" s="128">
        <f t="shared" si="29"/>
        <v>3707829.4499999997</v>
      </c>
      <c r="K139" s="44">
        <f t="shared" si="30"/>
        <v>2.7857567119955471E-3</v>
      </c>
      <c r="L139" s="45">
        <v>10150.313557883384</v>
      </c>
      <c r="M139" s="45">
        <v>50355.378222573774</v>
      </c>
      <c r="N139" s="45">
        <f t="shared" si="31"/>
        <v>112728.64178045715</v>
      </c>
      <c r="O139" s="46">
        <f t="shared" si="32"/>
        <v>8003733.5664124582</v>
      </c>
      <c r="P139" s="47">
        <f t="shared" si="33"/>
        <v>124395.36126760564</v>
      </c>
      <c r="Q139" s="47">
        <v>306350</v>
      </c>
      <c r="R139" s="47">
        <f t="shared" si="25"/>
        <v>181954.63873239438</v>
      </c>
      <c r="S139" s="191">
        <f t="shared" si="35"/>
        <v>0.5939436550755488</v>
      </c>
      <c r="T139" s="42">
        <v>8832070.6500000004</v>
      </c>
      <c r="U139" s="48">
        <f t="shared" si="34"/>
        <v>0.90621258406854543</v>
      </c>
      <c r="V139" s="49"/>
      <c r="X139" s="112"/>
    </row>
    <row r="140" spans="1:24" x14ac:dyDescent="0.3">
      <c r="A140" s="40" t="str">
        <f>VLOOKUP(B140,Grupos!$A$2:$B$619,2,FALSE)</f>
        <v>TABLEROS 175 AMP BIMETALICO</v>
      </c>
      <c r="B140" s="41" t="s">
        <v>227</v>
      </c>
      <c r="C140" s="41" t="s">
        <v>228</v>
      </c>
      <c r="D140" s="42">
        <v>113</v>
      </c>
      <c r="E140" s="43">
        <v>57855.02</v>
      </c>
      <c r="F140" s="43">
        <v>10104.66</v>
      </c>
      <c r="G140" s="126">
        <f t="shared" si="26"/>
        <v>67959.679999999993</v>
      </c>
      <c r="H140" s="127">
        <f t="shared" si="27"/>
        <v>6537617.2599999998</v>
      </c>
      <c r="I140" s="128">
        <f t="shared" si="28"/>
        <v>1141826.58</v>
      </c>
      <c r="J140" s="128">
        <f t="shared" si="29"/>
        <v>7679443.8399999989</v>
      </c>
      <c r="K140" s="44">
        <f t="shared" si="30"/>
        <v>5.7696996342895051E-3</v>
      </c>
      <c r="L140" s="45">
        <v>13208.983048514421</v>
      </c>
      <c r="M140" s="45">
        <v>54265.354047741479</v>
      </c>
      <c r="N140" s="45">
        <f t="shared" si="31"/>
        <v>135434.01709625591</v>
      </c>
      <c r="O140" s="46">
        <f t="shared" si="32"/>
        <v>15304043.931876916</v>
      </c>
      <c r="P140" s="47">
        <f t="shared" si="33"/>
        <v>199180.77743362833</v>
      </c>
      <c r="Q140" s="47">
        <v>511700</v>
      </c>
      <c r="R140" s="47">
        <f t="shared" si="25"/>
        <v>312519.22256637167</v>
      </c>
      <c r="S140" s="191">
        <f t="shared" si="35"/>
        <v>0.6107469661254088</v>
      </c>
      <c r="T140" s="42">
        <v>22507427.850000001</v>
      </c>
      <c r="U140" s="48">
        <f t="shared" si="34"/>
        <v>0.67995525894252351</v>
      </c>
      <c r="V140" s="49"/>
      <c r="X140" s="112"/>
    </row>
    <row r="141" spans="1:24" x14ac:dyDescent="0.3">
      <c r="A141" s="40" t="str">
        <f>VLOOKUP(B141,Grupos!$A$2:$B$619,2,FALSE)</f>
        <v>TABLEROS 175 AMP BIMETALICO</v>
      </c>
      <c r="B141" s="41" t="s">
        <v>229</v>
      </c>
      <c r="C141" s="41" t="s">
        <v>230</v>
      </c>
      <c r="D141" s="42">
        <v>46</v>
      </c>
      <c r="E141" s="43">
        <v>52225.7</v>
      </c>
      <c r="F141" s="43">
        <v>9630.83</v>
      </c>
      <c r="G141" s="126">
        <f t="shared" si="26"/>
        <v>61856.53</v>
      </c>
      <c r="H141" s="127">
        <f t="shared" si="27"/>
        <v>2402382.1999999997</v>
      </c>
      <c r="I141" s="128">
        <f t="shared" si="28"/>
        <v>443018.18</v>
      </c>
      <c r="J141" s="128">
        <f t="shared" si="29"/>
        <v>2845400.38</v>
      </c>
      <c r="K141" s="44">
        <f t="shared" si="30"/>
        <v>2.1377987617255917E-3</v>
      </c>
      <c r="L141" s="45">
        <v>12022.744312656034</v>
      </c>
      <c r="M141" s="45">
        <v>51720.730803768762</v>
      </c>
      <c r="N141" s="45">
        <f t="shared" si="31"/>
        <v>125600.0051164248</v>
      </c>
      <c r="O141" s="46">
        <f t="shared" si="32"/>
        <v>5777600.2353555411</v>
      </c>
      <c r="P141" s="47">
        <f t="shared" si="33"/>
        <v>151384.7386956522</v>
      </c>
      <c r="Q141" s="47">
        <v>379700</v>
      </c>
      <c r="R141" s="47">
        <f t="shared" si="25"/>
        <v>228315.2613043478</v>
      </c>
      <c r="S141" s="191">
        <f t="shared" si="35"/>
        <v>0.6013043489711557</v>
      </c>
      <c r="T141" s="42">
        <v>6963697.9800000004</v>
      </c>
      <c r="U141" s="48">
        <f t="shared" si="34"/>
        <v>0.82967415473057904</v>
      </c>
      <c r="V141" s="49"/>
      <c r="X141" s="112"/>
    </row>
    <row r="142" spans="1:24" x14ac:dyDescent="0.3">
      <c r="A142" s="40" t="str">
        <f>VLOOKUP(B142,Grupos!$A$2:$B$619,2,FALSE)</f>
        <v>TABLEROS 175 AMP BIMETALICO</v>
      </c>
      <c r="B142" s="41" t="s">
        <v>231</v>
      </c>
      <c r="C142" s="41" t="s">
        <v>232</v>
      </c>
      <c r="D142" s="42">
        <v>154</v>
      </c>
      <c r="E142" s="43">
        <v>67333.539999999994</v>
      </c>
      <c r="F142" s="43">
        <v>10612.82</v>
      </c>
      <c r="G142" s="126">
        <f t="shared" si="26"/>
        <v>77946.359999999986</v>
      </c>
      <c r="H142" s="127">
        <f t="shared" si="27"/>
        <v>10369365.159999998</v>
      </c>
      <c r="I142" s="128">
        <f t="shared" si="28"/>
        <v>1634374.28</v>
      </c>
      <c r="J142" s="128">
        <f t="shared" si="29"/>
        <v>12003739.439999998</v>
      </c>
      <c r="K142" s="44">
        <f t="shared" si="30"/>
        <v>9.0186180796491787E-3</v>
      </c>
      <c r="L142" s="45">
        <v>15150.044083983365</v>
      </c>
      <c r="M142" s="45">
        <v>56994.340704679991</v>
      </c>
      <c r="N142" s="45">
        <f t="shared" si="31"/>
        <v>150090.74478866335</v>
      </c>
      <c r="O142" s="46">
        <f t="shared" si="32"/>
        <v>23113974.697454154</v>
      </c>
      <c r="P142" s="47">
        <f t="shared" si="33"/>
        <v>242472.08603896105</v>
      </c>
      <c r="Q142" s="47">
        <v>613450</v>
      </c>
      <c r="R142" s="47">
        <f t="shared" si="25"/>
        <v>370977.91396103892</v>
      </c>
      <c r="S142" s="191">
        <f t="shared" si="35"/>
        <v>0.60474026238656597</v>
      </c>
      <c r="T142" s="42">
        <v>37340701.25</v>
      </c>
      <c r="U142" s="48">
        <f t="shared" si="34"/>
        <v>0.61900215913738776</v>
      </c>
      <c r="V142" s="49"/>
      <c r="X142" s="112"/>
    </row>
    <row r="143" spans="1:24" x14ac:dyDescent="0.3">
      <c r="A143" s="40" t="str">
        <f>VLOOKUP(B143,Grupos!$A$2:$B$619,2,FALSE)</f>
        <v>TABLEROS 175 AMP BIMETALICO</v>
      </c>
      <c r="B143" s="41" t="s">
        <v>233</v>
      </c>
      <c r="C143" s="41" t="s">
        <v>234</v>
      </c>
      <c r="D143" s="42">
        <v>73</v>
      </c>
      <c r="E143" s="43">
        <v>60914.22</v>
      </c>
      <c r="F143" s="43">
        <v>11576.75</v>
      </c>
      <c r="G143" s="126">
        <f t="shared" si="26"/>
        <v>72490.97</v>
      </c>
      <c r="H143" s="127">
        <f t="shared" si="27"/>
        <v>4446738.0600000005</v>
      </c>
      <c r="I143" s="128">
        <f t="shared" si="28"/>
        <v>845102.75</v>
      </c>
      <c r="J143" s="128">
        <f t="shared" si="29"/>
        <v>5291840.8100000005</v>
      </c>
      <c r="K143" s="44">
        <f t="shared" si="30"/>
        <v>3.9758519786473609E-3</v>
      </c>
      <c r="L143" s="45">
        <v>14089.707219050586</v>
      </c>
      <c r="M143" s="45">
        <v>62170.962454173736</v>
      </c>
      <c r="N143" s="45">
        <f t="shared" si="31"/>
        <v>148751.63967322433</v>
      </c>
      <c r="O143" s="46">
        <f t="shared" si="32"/>
        <v>10858869.696145376</v>
      </c>
      <c r="P143" s="47">
        <f t="shared" si="33"/>
        <v>186452.9908219178</v>
      </c>
      <c r="Q143" s="47">
        <v>453400</v>
      </c>
      <c r="R143" s="47">
        <f t="shared" si="25"/>
        <v>266947.00917808223</v>
      </c>
      <c r="S143" s="191">
        <f t="shared" si="35"/>
        <v>0.58876711331734055</v>
      </c>
      <c r="T143" s="42">
        <v>13611068.33</v>
      </c>
      <c r="U143" s="48">
        <f t="shared" si="34"/>
        <v>0.79779701584566043</v>
      </c>
      <c r="V143" s="49"/>
      <c r="X143" s="112"/>
    </row>
    <row r="144" spans="1:24" x14ac:dyDescent="0.3">
      <c r="A144" s="40" t="str">
        <f>VLOOKUP(B144,Grupos!$A$2:$B$619,2,FALSE)</f>
        <v>TABLEROS 175 AMP BIMETALICO</v>
      </c>
      <c r="B144" s="41" t="s">
        <v>235</v>
      </c>
      <c r="C144" s="41" t="s">
        <v>236</v>
      </c>
      <c r="D144" s="42">
        <v>117</v>
      </c>
      <c r="E144" s="43">
        <v>67069.440000000002</v>
      </c>
      <c r="F144" s="43">
        <v>11484.79</v>
      </c>
      <c r="G144" s="126">
        <f t="shared" si="26"/>
        <v>78554.23000000001</v>
      </c>
      <c r="H144" s="127">
        <f t="shared" si="27"/>
        <v>7847124.4800000004</v>
      </c>
      <c r="I144" s="128">
        <f t="shared" si="28"/>
        <v>1343720.4300000002</v>
      </c>
      <c r="J144" s="128">
        <f t="shared" si="29"/>
        <v>9190844.910000002</v>
      </c>
      <c r="K144" s="44">
        <f t="shared" si="30"/>
        <v>6.9052415280165111E-3</v>
      </c>
      <c r="L144" s="45">
        <v>15268.192735149776</v>
      </c>
      <c r="M144" s="45">
        <v>61677.106950056797</v>
      </c>
      <c r="N144" s="45">
        <f t="shared" si="31"/>
        <v>155499.52968520659</v>
      </c>
      <c r="O144" s="46">
        <f t="shared" si="32"/>
        <v>18193444.97316917</v>
      </c>
      <c r="P144" s="47">
        <f t="shared" si="33"/>
        <v>279486.2216239316</v>
      </c>
      <c r="Q144" s="47">
        <v>716300</v>
      </c>
      <c r="R144" s="47">
        <f t="shared" si="25"/>
        <v>436813.7783760684</v>
      </c>
      <c r="S144" s="191">
        <f t="shared" si="35"/>
        <v>0.60981959845884182</v>
      </c>
      <c r="T144" s="42">
        <v>32699887.93</v>
      </c>
      <c r="U144" s="48">
        <f t="shared" si="34"/>
        <v>0.55637637083391589</v>
      </c>
      <c r="V144" s="49"/>
      <c r="X144" s="112"/>
    </row>
    <row r="145" spans="1:24" x14ac:dyDescent="0.3">
      <c r="A145" s="40" t="str">
        <f>VLOOKUP(B145,Grupos!$A$2:$B$619,2,FALSE)</f>
        <v>TABLEROS 175 AMP BIMETALICO</v>
      </c>
      <c r="B145" s="41" t="s">
        <v>237</v>
      </c>
      <c r="C145" s="41" t="s">
        <v>238</v>
      </c>
      <c r="D145" s="42">
        <v>11</v>
      </c>
      <c r="E145" s="43">
        <v>62637.48</v>
      </c>
      <c r="F145" s="43">
        <v>14454.83</v>
      </c>
      <c r="G145" s="126">
        <f t="shared" si="26"/>
        <v>77092.31</v>
      </c>
      <c r="H145" s="127">
        <f t="shared" si="27"/>
        <v>689012.28</v>
      </c>
      <c r="I145" s="128">
        <f t="shared" si="28"/>
        <v>159003.13</v>
      </c>
      <c r="J145" s="128">
        <f t="shared" si="29"/>
        <v>848015.40999999992</v>
      </c>
      <c r="K145" s="44">
        <f t="shared" si="30"/>
        <v>6.3712871698647197E-4</v>
      </c>
      <c r="L145" s="45">
        <v>14984.046657677303</v>
      </c>
      <c r="M145" s="45">
        <v>77627.200484718429</v>
      </c>
      <c r="N145" s="45">
        <f t="shared" si="31"/>
        <v>169703.55714239573</v>
      </c>
      <c r="O145" s="46">
        <f t="shared" si="32"/>
        <v>1866739.1285663531</v>
      </c>
      <c r="P145" s="47">
        <f t="shared" si="33"/>
        <v>175693.99454545454</v>
      </c>
      <c r="Q145" s="47">
        <v>451550</v>
      </c>
      <c r="R145" s="47">
        <f t="shared" si="25"/>
        <v>275856.00545454549</v>
      </c>
      <c r="S145" s="191">
        <f t="shared" si="35"/>
        <v>0.61090910298869561</v>
      </c>
      <c r="T145" s="42">
        <v>1932633.94</v>
      </c>
      <c r="U145" s="48">
        <f t="shared" si="34"/>
        <v>0.96590414249185397</v>
      </c>
      <c r="V145" s="49"/>
      <c r="X145" s="112"/>
    </row>
    <row r="146" spans="1:24" x14ac:dyDescent="0.3">
      <c r="A146" s="40" t="str">
        <f>VLOOKUP(B146,Grupos!$A$2:$B$619,2,FALSE)</f>
        <v>TABLEROS 175 AMP BIMETALICO</v>
      </c>
      <c r="B146" s="41" t="s">
        <v>239</v>
      </c>
      <c r="C146" s="41" t="s">
        <v>240</v>
      </c>
      <c r="D146" s="42">
        <v>16</v>
      </c>
      <c r="E146" s="43">
        <v>78769.16</v>
      </c>
      <c r="F146" s="43">
        <v>15558.05</v>
      </c>
      <c r="G146" s="126">
        <f t="shared" si="26"/>
        <v>94327.21</v>
      </c>
      <c r="H146" s="127">
        <f t="shared" si="27"/>
        <v>1260306.56</v>
      </c>
      <c r="I146" s="128">
        <f t="shared" si="28"/>
        <v>248928.8</v>
      </c>
      <c r="J146" s="128">
        <f t="shared" si="29"/>
        <v>1509235.36</v>
      </c>
      <c r="K146" s="44">
        <f t="shared" si="30"/>
        <v>1.1339147581615483E-3</v>
      </c>
      <c r="L146" s="45">
        <v>18333.9079569483</v>
      </c>
      <c r="M146" s="45">
        <v>83551.855435260994</v>
      </c>
      <c r="N146" s="45">
        <f t="shared" si="31"/>
        <v>196212.9733922093</v>
      </c>
      <c r="O146" s="46">
        <f t="shared" si="32"/>
        <v>3139407.5742753488</v>
      </c>
      <c r="P146" s="47">
        <f t="shared" si="33"/>
        <v>354951.106875</v>
      </c>
      <c r="Q146" s="47">
        <v>941800</v>
      </c>
      <c r="R146" s="47">
        <f t="shared" si="25"/>
        <v>586848.89312499994</v>
      </c>
      <c r="S146" s="191">
        <f t="shared" si="35"/>
        <v>0.62311413583032482</v>
      </c>
      <c r="T146" s="42">
        <v>5679217.71</v>
      </c>
      <c r="U146" s="48">
        <f t="shared" si="34"/>
        <v>0.55278873510122029</v>
      </c>
      <c r="V146" s="49"/>
      <c r="X146" s="112"/>
    </row>
    <row r="147" spans="1:24" x14ac:dyDescent="0.3">
      <c r="A147" s="40" t="str">
        <f>VLOOKUP(B147,Grupos!$A$2:$B$619,2,FALSE)</f>
        <v>TABLEROS 175 AMP BIMETALICO</v>
      </c>
      <c r="B147" s="41" t="s">
        <v>241</v>
      </c>
      <c r="C147" s="41" t="s">
        <v>242</v>
      </c>
      <c r="D147" s="42">
        <v>49</v>
      </c>
      <c r="E147" s="43">
        <v>79784.13</v>
      </c>
      <c r="F147" s="43">
        <v>11572.57</v>
      </c>
      <c r="G147" s="126">
        <f t="shared" si="26"/>
        <v>91356.700000000012</v>
      </c>
      <c r="H147" s="127">
        <f t="shared" si="27"/>
        <v>3909422.37</v>
      </c>
      <c r="I147" s="128">
        <f t="shared" si="28"/>
        <v>567055.92999999993</v>
      </c>
      <c r="J147" s="128">
        <f t="shared" si="29"/>
        <v>4476478.3000000007</v>
      </c>
      <c r="K147" s="44">
        <f t="shared" si="30"/>
        <v>3.3632559529747034E-3</v>
      </c>
      <c r="L147" s="45">
        <v>17756.544787559593</v>
      </c>
      <c r="M147" s="45">
        <v>62148.514476713877</v>
      </c>
      <c r="N147" s="45">
        <f t="shared" si="31"/>
        <v>171261.75926427348</v>
      </c>
      <c r="O147" s="46">
        <f t="shared" si="32"/>
        <v>8391826.2039494012</v>
      </c>
      <c r="P147" s="47">
        <f t="shared" si="33"/>
        <v>247132.50918367345</v>
      </c>
      <c r="Q147" s="47">
        <v>641300</v>
      </c>
      <c r="R147" s="47">
        <f t="shared" si="25"/>
        <v>394167.49081632658</v>
      </c>
      <c r="S147" s="191">
        <f t="shared" si="35"/>
        <v>0.61463822051508898</v>
      </c>
      <c r="T147" s="42">
        <v>12109492.949999999</v>
      </c>
      <c r="U147" s="48">
        <f t="shared" si="34"/>
        <v>0.69299567195746226</v>
      </c>
      <c r="V147" s="49"/>
      <c r="X147" s="112"/>
    </row>
    <row r="148" spans="1:24" x14ac:dyDescent="0.3">
      <c r="A148" s="40" t="str">
        <f>VLOOKUP(B148,Grupos!$A$2:$B$619,2,FALSE)</f>
        <v>TABLEROS 175 AMP BIMETALICO</v>
      </c>
      <c r="B148" s="41" t="s">
        <v>243</v>
      </c>
      <c r="C148" s="41" t="s">
        <v>244</v>
      </c>
      <c r="D148" s="42">
        <v>65</v>
      </c>
      <c r="E148" s="43">
        <v>95882.26</v>
      </c>
      <c r="F148" s="43">
        <v>12407.09</v>
      </c>
      <c r="G148" s="126">
        <f t="shared" si="26"/>
        <v>108289.34999999999</v>
      </c>
      <c r="H148" s="127">
        <f t="shared" si="27"/>
        <v>6232346.8999999994</v>
      </c>
      <c r="I148" s="128">
        <f t="shared" si="28"/>
        <v>806460.85</v>
      </c>
      <c r="J148" s="128">
        <f t="shared" si="29"/>
        <v>7038807.7499999991</v>
      </c>
      <c r="K148" s="44">
        <f t="shared" si="30"/>
        <v>5.2883786049028698E-3</v>
      </c>
      <c r="L148" s="45">
        <v>21047.659266268547</v>
      </c>
      <c r="M148" s="45">
        <v>66630.161880973028</v>
      </c>
      <c r="N148" s="45">
        <f t="shared" si="31"/>
        <v>195967.17114724155</v>
      </c>
      <c r="O148" s="46">
        <f t="shared" si="32"/>
        <v>12737866.124570701</v>
      </c>
      <c r="P148" s="47">
        <f t="shared" si="33"/>
        <v>377734.2489230769</v>
      </c>
      <c r="Q148" s="47">
        <v>923450</v>
      </c>
      <c r="R148" s="47">
        <f t="shared" si="25"/>
        <v>545715.7510769231</v>
      </c>
      <c r="S148" s="191">
        <f t="shared" si="35"/>
        <v>0.59095322007355366</v>
      </c>
      <c r="T148" s="42">
        <v>24552726.18</v>
      </c>
      <c r="U148" s="48">
        <f t="shared" si="34"/>
        <v>0.51879640701351648</v>
      </c>
      <c r="V148" s="49"/>
      <c r="X148" s="112"/>
    </row>
    <row r="149" spans="1:24" x14ac:dyDescent="0.3">
      <c r="A149" s="40" t="str">
        <f>VLOOKUP(B149,Grupos!$A$2:$B$619,2,FALSE)</f>
        <v>TABLEROS 175 AMP BIMETALICO</v>
      </c>
      <c r="B149" s="41" t="s">
        <v>647</v>
      </c>
      <c r="C149" s="41" t="s">
        <v>648</v>
      </c>
      <c r="D149" s="42">
        <v>17</v>
      </c>
      <c r="E149" s="43">
        <v>69317.88</v>
      </c>
      <c r="F149" s="43">
        <v>9511.84</v>
      </c>
      <c r="G149" s="126">
        <f t="shared" si="26"/>
        <v>78829.72</v>
      </c>
      <c r="H149" s="127">
        <f t="shared" si="27"/>
        <v>1178403.96</v>
      </c>
      <c r="I149" s="128">
        <f t="shared" si="28"/>
        <v>161701.28</v>
      </c>
      <c r="J149" s="128">
        <f t="shared" si="29"/>
        <v>1340105.24</v>
      </c>
      <c r="K149" s="44">
        <f t="shared" si="30"/>
        <v>1.0068443593354607E-3</v>
      </c>
      <c r="L149" s="45">
        <v>15321.738348372717</v>
      </c>
      <c r="M149" s="45">
        <v>51081.715292297748</v>
      </c>
      <c r="N149" s="45">
        <f t="shared" si="31"/>
        <v>145233.17364067046</v>
      </c>
      <c r="O149" s="46">
        <f t="shared" si="32"/>
        <v>2468963.9518913976</v>
      </c>
      <c r="P149" s="47">
        <f t="shared" si="33"/>
        <v>322990.41294117644</v>
      </c>
      <c r="Q149" s="47">
        <v>824450</v>
      </c>
      <c r="R149" s="47">
        <f t="shared" si="25"/>
        <v>501459.58705882356</v>
      </c>
      <c r="S149" s="191">
        <f t="shared" si="35"/>
        <v>0.60823529269067078</v>
      </c>
      <c r="T149" s="42">
        <v>5490837.0199999996</v>
      </c>
      <c r="U149" s="48">
        <f t="shared" si="34"/>
        <v>0.44965165472920882</v>
      </c>
      <c r="V149" s="49"/>
      <c r="X149" s="112"/>
    </row>
    <row r="150" spans="1:24" x14ac:dyDescent="0.3">
      <c r="A150" s="40" t="str">
        <f>VLOOKUP(B150,Grupos!$A$2:$B$619,2,FALSE)</f>
        <v>TABLEROS 175 AMP BIMETALICO</v>
      </c>
      <c r="B150" s="41" t="s">
        <v>245</v>
      </c>
      <c r="C150" s="41" t="s">
        <v>246</v>
      </c>
      <c r="D150" s="42">
        <v>10</v>
      </c>
      <c r="E150" s="43">
        <v>93045.14</v>
      </c>
      <c r="F150" s="43">
        <v>12234.02</v>
      </c>
      <c r="G150" s="126">
        <f t="shared" si="26"/>
        <v>105279.16</v>
      </c>
      <c r="H150" s="127">
        <f t="shared" si="27"/>
        <v>930451.4</v>
      </c>
      <c r="I150" s="128">
        <f t="shared" si="28"/>
        <v>122340.20000000001</v>
      </c>
      <c r="J150" s="128">
        <f t="shared" si="29"/>
        <v>1052791.6000000001</v>
      </c>
      <c r="K150" s="44">
        <f t="shared" si="30"/>
        <v>7.9098062777200608E-4</v>
      </c>
      <c r="L150" s="45">
        <v>20462.583693770161</v>
      </c>
      <c r="M150" s="45">
        <v>65700.718948203124</v>
      </c>
      <c r="N150" s="45">
        <f t="shared" si="31"/>
        <v>191442.46264197328</v>
      </c>
      <c r="O150" s="46">
        <f t="shared" si="32"/>
        <v>1914424.6264197328</v>
      </c>
      <c r="P150" s="47">
        <f t="shared" si="33"/>
        <v>424860.40700000001</v>
      </c>
      <c r="Q150" s="47">
        <v>1112200</v>
      </c>
      <c r="R150" s="47">
        <f t="shared" si="25"/>
        <v>687339.59299999999</v>
      </c>
      <c r="S150" s="191">
        <f t="shared" si="35"/>
        <v>0.61799999370616798</v>
      </c>
      <c r="T150" s="42">
        <v>4248604.07</v>
      </c>
      <c r="U150" s="48">
        <f t="shared" si="34"/>
        <v>0.45060085498146518</v>
      </c>
      <c r="V150" s="49"/>
      <c r="X150" s="112"/>
    </row>
    <row r="151" spans="1:24" x14ac:dyDescent="0.3">
      <c r="A151" s="40" t="str">
        <f>VLOOKUP(B151,Grupos!$A$2:$B$619,2,FALSE)</f>
        <v>TABLEROS 225 AMP COBRE</v>
      </c>
      <c r="B151" s="41" t="s">
        <v>247</v>
      </c>
      <c r="C151" s="41" t="s">
        <v>248</v>
      </c>
      <c r="D151" s="42">
        <v>63</v>
      </c>
      <c r="E151" s="43">
        <v>73640.759999999995</v>
      </c>
      <c r="F151" s="43">
        <v>3798.81</v>
      </c>
      <c r="G151" s="126">
        <f t="shared" si="26"/>
        <v>77439.569999999992</v>
      </c>
      <c r="H151" s="127">
        <f t="shared" si="27"/>
        <v>4639367.88</v>
      </c>
      <c r="I151" s="128">
        <f t="shared" si="28"/>
        <v>239325.03</v>
      </c>
      <c r="J151" s="128">
        <f t="shared" si="29"/>
        <v>4878692.9099999992</v>
      </c>
      <c r="K151" s="44">
        <f t="shared" si="30"/>
        <v>3.6654467804061448E-3</v>
      </c>
      <c r="L151" s="45">
        <v>15051.541846786888</v>
      </c>
      <c r="M151" s="45">
        <v>20400.861544089639</v>
      </c>
      <c r="N151" s="45">
        <f t="shared" si="31"/>
        <v>112891.97339087652</v>
      </c>
      <c r="O151" s="46">
        <f t="shared" si="32"/>
        <v>7112194.3236252209</v>
      </c>
      <c r="P151" s="47">
        <f t="shared" si="33"/>
        <v>233614.77555555553</v>
      </c>
      <c r="Q151" s="47">
        <v>588850</v>
      </c>
      <c r="R151" s="47">
        <f t="shared" si="25"/>
        <v>355235.22444444447</v>
      </c>
      <c r="S151" s="191">
        <f t="shared" si="35"/>
        <v>0.60326946496466749</v>
      </c>
      <c r="T151" s="42">
        <v>14717730.859999999</v>
      </c>
      <c r="U151" s="48">
        <f t="shared" si="34"/>
        <v>0.48323986837908661</v>
      </c>
      <c r="V151" s="49"/>
      <c r="X151" s="112"/>
    </row>
    <row r="152" spans="1:24" x14ac:dyDescent="0.3">
      <c r="A152" s="40" t="str">
        <f>VLOOKUP(B152,Grupos!$A$2:$B$619,2,FALSE)</f>
        <v>TABLEROS 225 AMP COBRE</v>
      </c>
      <c r="B152" s="41" t="s">
        <v>249</v>
      </c>
      <c r="C152" s="41" t="s">
        <v>250</v>
      </c>
      <c r="D152" s="42">
        <v>75</v>
      </c>
      <c r="E152" s="43">
        <v>74653.7</v>
      </c>
      <c r="F152" s="43">
        <v>10076.77</v>
      </c>
      <c r="G152" s="126">
        <f t="shared" si="26"/>
        <v>84730.47</v>
      </c>
      <c r="H152" s="127">
        <f t="shared" si="27"/>
        <v>5599027.5</v>
      </c>
      <c r="I152" s="128">
        <f t="shared" si="28"/>
        <v>755757.75</v>
      </c>
      <c r="J152" s="128">
        <f t="shared" si="29"/>
        <v>6354785.25</v>
      </c>
      <c r="K152" s="44">
        <f t="shared" si="30"/>
        <v>4.7744606115790473E-3</v>
      </c>
      <c r="L152" s="45">
        <v>16468.637608691799</v>
      </c>
      <c r="M152" s="45">
        <v>54115.575556986572</v>
      </c>
      <c r="N152" s="45">
        <f t="shared" si="31"/>
        <v>155314.68316567838</v>
      </c>
      <c r="O152" s="46">
        <f t="shared" si="32"/>
        <v>11648601.237425879</v>
      </c>
      <c r="P152" s="47">
        <f t="shared" si="33"/>
        <v>233110.79853333335</v>
      </c>
      <c r="Q152" s="47">
        <v>571350</v>
      </c>
      <c r="R152" s="47">
        <f t="shared" si="25"/>
        <v>338239.20146666665</v>
      </c>
      <c r="S152" s="191">
        <f t="shared" si="35"/>
        <v>0.59200000256701957</v>
      </c>
      <c r="T152" s="42">
        <v>17483309.890000001</v>
      </c>
      <c r="U152" s="48">
        <f t="shared" si="34"/>
        <v>0.66626979163073552</v>
      </c>
      <c r="V152" s="49"/>
      <c r="X152" s="112"/>
    </row>
    <row r="153" spans="1:24" x14ac:dyDescent="0.3">
      <c r="A153" s="40" t="str">
        <f>VLOOKUP(B153,Grupos!$A$2:$B$619,2,FALSE)</f>
        <v>TABLEROS 225 AMP COBRE</v>
      </c>
      <c r="B153" s="41" t="s">
        <v>251</v>
      </c>
      <c r="C153" s="41" t="s">
        <v>252</v>
      </c>
      <c r="D153" s="42">
        <v>40</v>
      </c>
      <c r="E153" s="43">
        <v>75977.87</v>
      </c>
      <c r="F153" s="43">
        <v>3208.55</v>
      </c>
      <c r="G153" s="126">
        <f t="shared" si="26"/>
        <v>79186.42</v>
      </c>
      <c r="H153" s="127">
        <f t="shared" si="27"/>
        <v>3039114.8</v>
      </c>
      <c r="I153" s="128">
        <f t="shared" si="28"/>
        <v>128342</v>
      </c>
      <c r="J153" s="128">
        <f t="shared" si="29"/>
        <v>3167456.8</v>
      </c>
      <c r="K153" s="44">
        <f t="shared" si="30"/>
        <v>2.3797653477713055E-3</v>
      </c>
      <c r="L153" s="45">
        <v>15391.068343060822</v>
      </c>
      <c r="M153" s="45">
        <v>17230.970832257684</v>
      </c>
      <c r="N153" s="45">
        <f t="shared" si="31"/>
        <v>111808.45917531851</v>
      </c>
      <c r="O153" s="46">
        <f t="shared" si="32"/>
        <v>4472338.3670127401</v>
      </c>
      <c r="P153" s="47">
        <f t="shared" si="33"/>
        <v>173921.89799999999</v>
      </c>
      <c r="Q153" s="47">
        <v>447100</v>
      </c>
      <c r="R153" s="47">
        <f t="shared" si="25"/>
        <v>273178.10200000001</v>
      </c>
      <c r="S153" s="191">
        <f t="shared" si="35"/>
        <v>0.61100000447327218</v>
      </c>
      <c r="T153" s="42">
        <v>6956875.9199999999</v>
      </c>
      <c r="U153" s="48">
        <f t="shared" si="34"/>
        <v>0.64286590970458768</v>
      </c>
      <c r="V153" s="49"/>
      <c r="X153" s="112"/>
    </row>
    <row r="154" spans="1:24" x14ac:dyDescent="0.3">
      <c r="A154" s="40" t="str">
        <f>VLOOKUP(B154,Grupos!$A$2:$B$619,2,FALSE)</f>
        <v>TABLEROS 225 AMP COBRE</v>
      </c>
      <c r="B154" s="41" t="s">
        <v>253</v>
      </c>
      <c r="C154" s="41" t="s">
        <v>254</v>
      </c>
      <c r="D154" s="42">
        <v>18</v>
      </c>
      <c r="E154" s="43">
        <v>76799.360000000001</v>
      </c>
      <c r="F154" s="43">
        <v>3209</v>
      </c>
      <c r="G154" s="126">
        <f t="shared" si="26"/>
        <v>80008.36</v>
      </c>
      <c r="H154" s="127">
        <f t="shared" si="27"/>
        <v>1382388.48</v>
      </c>
      <c r="I154" s="128">
        <f t="shared" si="28"/>
        <v>57762</v>
      </c>
      <c r="J154" s="128">
        <f t="shared" si="29"/>
        <v>1440150.48</v>
      </c>
      <c r="K154" s="44">
        <f t="shared" si="30"/>
        <v>1.0820100870452952E-3</v>
      </c>
      <c r="L154" s="45">
        <v>15550.824709289973</v>
      </c>
      <c r="M154" s="45">
        <v>17233.387480548816</v>
      </c>
      <c r="N154" s="45">
        <f t="shared" si="31"/>
        <v>112792.57218983879</v>
      </c>
      <c r="O154" s="46">
        <f t="shared" si="32"/>
        <v>2030266.2994170981</v>
      </c>
      <c r="P154" s="47">
        <f t="shared" si="33"/>
        <v>166695.10999999999</v>
      </c>
      <c r="Q154" s="47">
        <v>433600</v>
      </c>
      <c r="R154" s="47">
        <f t="shared" si="25"/>
        <v>266904.89</v>
      </c>
      <c r="S154" s="191">
        <f t="shared" si="35"/>
        <v>0.61555555811808116</v>
      </c>
      <c r="T154" s="42">
        <v>3000511.98</v>
      </c>
      <c r="U154" s="48">
        <f t="shared" si="34"/>
        <v>0.67663995776384067</v>
      </c>
      <c r="V154" s="49"/>
      <c r="X154" s="112"/>
    </row>
    <row r="155" spans="1:24" x14ac:dyDescent="0.3">
      <c r="A155" s="40" t="str">
        <f>VLOOKUP(B155,Grupos!$A$2:$B$619,2,FALSE)</f>
        <v>TABLEROS 225 AMP COBRE</v>
      </c>
      <c r="B155" s="41" t="s">
        <v>255</v>
      </c>
      <c r="C155" s="41" t="s">
        <v>256</v>
      </c>
      <c r="D155" s="42">
        <v>50</v>
      </c>
      <c r="E155" s="43">
        <v>90820.7</v>
      </c>
      <c r="F155" s="43">
        <v>5342.52</v>
      </c>
      <c r="G155" s="126">
        <f t="shared" si="26"/>
        <v>96163.22</v>
      </c>
      <c r="H155" s="127">
        <f t="shared" si="27"/>
        <v>4541035</v>
      </c>
      <c r="I155" s="128">
        <f t="shared" si="28"/>
        <v>267126</v>
      </c>
      <c r="J155" s="128">
        <f t="shared" si="29"/>
        <v>4808161</v>
      </c>
      <c r="K155" s="44">
        <f t="shared" si="30"/>
        <v>3.6124549304998974E-3</v>
      </c>
      <c r="L155" s="45">
        <v>18690.764036419288</v>
      </c>
      <c r="M155" s="45">
        <v>28691.092951879611</v>
      </c>
      <c r="N155" s="45">
        <f t="shared" si="31"/>
        <v>143545.07698829891</v>
      </c>
      <c r="O155" s="46">
        <f t="shared" si="32"/>
        <v>7177253.8494149456</v>
      </c>
      <c r="P155" s="47">
        <f t="shared" si="33"/>
        <v>280383.011</v>
      </c>
      <c r="Q155" s="47">
        <v>716350</v>
      </c>
      <c r="R155" s="47">
        <f t="shared" si="25"/>
        <v>435966.989</v>
      </c>
      <c r="S155" s="191">
        <f t="shared" si="35"/>
        <v>0.60859494520834789</v>
      </c>
      <c r="T155" s="42">
        <v>14019150.550000001</v>
      </c>
      <c r="U155" s="48">
        <f t="shared" si="34"/>
        <v>0.51196068005810413</v>
      </c>
      <c r="V155" s="49"/>
      <c r="X155" s="112"/>
    </row>
    <row r="156" spans="1:24" x14ac:dyDescent="0.3">
      <c r="A156" s="40" t="str">
        <f>VLOOKUP(B156,Grupos!$A$2:$B$619,2,FALSE)</f>
        <v>TABLEROS 225 AMP COBRE</v>
      </c>
      <c r="B156" s="41" t="s">
        <v>257</v>
      </c>
      <c r="C156" s="41" t="s">
        <v>258</v>
      </c>
      <c r="D156" s="42">
        <v>81</v>
      </c>
      <c r="E156" s="43">
        <v>91881.25</v>
      </c>
      <c r="F156" s="43">
        <v>10682.07</v>
      </c>
      <c r="G156" s="126">
        <f t="shared" si="26"/>
        <v>102563.32</v>
      </c>
      <c r="H156" s="127">
        <f t="shared" si="27"/>
        <v>7442381.25</v>
      </c>
      <c r="I156" s="128">
        <f t="shared" si="28"/>
        <v>865247.66999999993</v>
      </c>
      <c r="J156" s="128">
        <f t="shared" si="29"/>
        <v>8307628.9200000009</v>
      </c>
      <c r="K156" s="44">
        <f t="shared" si="30"/>
        <v>6.241666003450704E-3</v>
      </c>
      <c r="L156" s="45">
        <v>19934.719458351781</v>
      </c>
      <c r="M156" s="45">
        <v>57366.236025037739</v>
      </c>
      <c r="N156" s="45">
        <f t="shared" si="31"/>
        <v>179864.27548338953</v>
      </c>
      <c r="O156" s="46">
        <f t="shared" si="32"/>
        <v>14569006.314154552</v>
      </c>
      <c r="P156" s="47">
        <f t="shared" si="33"/>
        <v>279524.33123456786</v>
      </c>
      <c r="Q156" s="47">
        <v>694950</v>
      </c>
      <c r="R156" s="47">
        <f t="shared" si="25"/>
        <v>415425.66876543214</v>
      </c>
      <c r="S156" s="191">
        <f t="shared" si="35"/>
        <v>0.59777778079780153</v>
      </c>
      <c r="T156" s="42">
        <v>22641470.829999998</v>
      </c>
      <c r="U156" s="48">
        <f t="shared" si="34"/>
        <v>0.64346554265593858</v>
      </c>
      <c r="V156" s="49"/>
      <c r="X156" s="112"/>
    </row>
    <row r="157" spans="1:24" x14ac:dyDescent="0.3">
      <c r="A157" s="40" t="str">
        <f>VLOOKUP(B157,Grupos!$A$2:$B$619,2,FALSE)</f>
        <v>TABLEROS 225 AMP COBRE</v>
      </c>
      <c r="B157" s="41" t="s">
        <v>259</v>
      </c>
      <c r="C157" s="41" t="s">
        <v>260</v>
      </c>
      <c r="D157" s="42">
        <v>117</v>
      </c>
      <c r="E157" s="43">
        <v>92284.1</v>
      </c>
      <c r="F157" s="43">
        <v>4314.29</v>
      </c>
      <c r="G157" s="126">
        <f t="shared" si="26"/>
        <v>96598.39</v>
      </c>
      <c r="H157" s="127">
        <f t="shared" si="27"/>
        <v>10797239.700000001</v>
      </c>
      <c r="I157" s="128">
        <f t="shared" si="28"/>
        <v>504771.93</v>
      </c>
      <c r="J157" s="128">
        <f t="shared" si="29"/>
        <v>11302011.630000001</v>
      </c>
      <c r="K157" s="44">
        <f t="shared" si="30"/>
        <v>8.4913977791843259E-3</v>
      </c>
      <c r="L157" s="45">
        <v>18775.345852478786</v>
      </c>
      <c r="M157" s="45">
        <v>23169.159013230586</v>
      </c>
      <c r="N157" s="45">
        <f t="shared" si="31"/>
        <v>138542.89486570936</v>
      </c>
      <c r="O157" s="46">
        <f t="shared" si="32"/>
        <v>16209518.699287996</v>
      </c>
      <c r="P157" s="47">
        <f t="shared" si="33"/>
        <v>217989.76068376069</v>
      </c>
      <c r="Q157" s="47">
        <v>541750</v>
      </c>
      <c r="R157" s="47">
        <f t="shared" si="25"/>
        <v>323760.23931623931</v>
      </c>
      <c r="S157" s="191">
        <f t="shared" si="35"/>
        <v>0.59761926961926959</v>
      </c>
      <c r="T157" s="42">
        <v>25504802</v>
      </c>
      <c r="U157" s="48">
        <f t="shared" si="34"/>
        <v>0.6355477176136477</v>
      </c>
      <c r="V157" s="49"/>
      <c r="X157" s="112"/>
    </row>
    <row r="158" spans="1:24" x14ac:dyDescent="0.3">
      <c r="A158" s="40" t="str">
        <f>VLOOKUP(B158,Grupos!$A$2:$B$619,2,FALSE)</f>
        <v>TABLEROS 225 AMP COBRE</v>
      </c>
      <c r="B158" s="41" t="s">
        <v>261</v>
      </c>
      <c r="C158" s="41" t="s">
        <v>262</v>
      </c>
      <c r="D158" s="42">
        <v>140</v>
      </c>
      <c r="E158" s="43">
        <v>93153.17</v>
      </c>
      <c r="F158" s="43">
        <v>4314</v>
      </c>
      <c r="G158" s="126">
        <f t="shared" si="26"/>
        <v>97467.17</v>
      </c>
      <c r="H158" s="127">
        <f t="shared" si="27"/>
        <v>13041443.799999999</v>
      </c>
      <c r="I158" s="128">
        <f t="shared" si="28"/>
        <v>603960</v>
      </c>
      <c r="J158" s="128">
        <f t="shared" si="29"/>
        <v>13645403.799999999</v>
      </c>
      <c r="K158" s="44">
        <f t="shared" si="30"/>
        <v>1.0252029047274423E-2</v>
      </c>
      <c r="L158" s="45">
        <v>18944.206275201319</v>
      </c>
      <c r="M158" s="45">
        <v>23167.60161766519</v>
      </c>
      <c r="N158" s="45">
        <f t="shared" si="31"/>
        <v>139578.9778928665</v>
      </c>
      <c r="O158" s="46">
        <f t="shared" si="32"/>
        <v>19541056.905001309</v>
      </c>
      <c r="P158" s="47">
        <f t="shared" si="33"/>
        <v>207590.0722142857</v>
      </c>
      <c r="Q158" s="47">
        <v>523745</v>
      </c>
      <c r="R158" s="47">
        <f t="shared" si="25"/>
        <v>316154.92778571427</v>
      </c>
      <c r="S158" s="191">
        <f t="shared" si="35"/>
        <v>0.60364285632457448</v>
      </c>
      <c r="T158" s="42">
        <v>29062610.109999999</v>
      </c>
      <c r="U158" s="48">
        <f t="shared" si="34"/>
        <v>0.67237790518607032</v>
      </c>
      <c r="V158" s="49"/>
      <c r="X158" s="112"/>
    </row>
    <row r="159" spans="1:24" x14ac:dyDescent="0.3">
      <c r="A159" s="40" t="str">
        <f>VLOOKUP(B159,Grupos!$A$2:$B$619,2,FALSE)</f>
        <v>TABLEROS 225 AMP COBRE</v>
      </c>
      <c r="B159" s="41" t="s">
        <v>263</v>
      </c>
      <c r="C159" s="41" t="s">
        <v>264</v>
      </c>
      <c r="D159" s="42">
        <v>37</v>
      </c>
      <c r="E159" s="43">
        <v>98226.21</v>
      </c>
      <c r="F159" s="43">
        <v>4922.96</v>
      </c>
      <c r="G159" s="126">
        <f t="shared" si="26"/>
        <v>103149.17000000001</v>
      </c>
      <c r="H159" s="127">
        <f t="shared" si="27"/>
        <v>3634369.77</v>
      </c>
      <c r="I159" s="128">
        <f t="shared" si="28"/>
        <v>182149.52</v>
      </c>
      <c r="J159" s="128">
        <f t="shared" si="29"/>
        <v>3816519.2900000005</v>
      </c>
      <c r="K159" s="44">
        <f t="shared" si="30"/>
        <v>2.86741727793817E-3</v>
      </c>
      <c r="L159" s="45">
        <v>20048.588192268311</v>
      </c>
      <c r="M159" s="45">
        <v>26437.917491817578</v>
      </c>
      <c r="N159" s="45">
        <f t="shared" si="31"/>
        <v>149635.6756840859</v>
      </c>
      <c r="O159" s="46">
        <f t="shared" si="32"/>
        <v>5536520.0003111782</v>
      </c>
      <c r="P159" s="47">
        <f t="shared" si="33"/>
        <v>319307.26027027029</v>
      </c>
      <c r="Q159" s="47">
        <v>824450</v>
      </c>
      <c r="R159" s="47">
        <f t="shared" si="25"/>
        <v>505142.73972972971</v>
      </c>
      <c r="S159" s="191">
        <f t="shared" si="35"/>
        <v>0.61270269844105729</v>
      </c>
      <c r="T159" s="42">
        <v>11814368.630000001</v>
      </c>
      <c r="U159" s="48">
        <f t="shared" si="34"/>
        <v>0.46862597348218832</v>
      </c>
      <c r="V159" s="49"/>
      <c r="X159" s="112"/>
    </row>
    <row r="160" spans="1:24" x14ac:dyDescent="0.3">
      <c r="A160" s="40" t="str">
        <f>VLOOKUP(B160,Grupos!$A$2:$B$619,2,FALSE)</f>
        <v>TABLEROS 225 AMP COBRE</v>
      </c>
      <c r="B160" s="41" t="s">
        <v>265</v>
      </c>
      <c r="C160" s="41" t="s">
        <v>266</v>
      </c>
      <c r="D160" s="42">
        <v>75</v>
      </c>
      <c r="E160" s="43">
        <v>99334.34</v>
      </c>
      <c r="F160" s="43">
        <v>11341.21</v>
      </c>
      <c r="G160" s="126">
        <f t="shared" si="26"/>
        <v>110675.54999999999</v>
      </c>
      <c r="H160" s="127">
        <f t="shared" si="27"/>
        <v>7450075.5</v>
      </c>
      <c r="I160" s="128">
        <f t="shared" si="28"/>
        <v>850590.74999999988</v>
      </c>
      <c r="J160" s="128">
        <f t="shared" si="29"/>
        <v>8300666.2499999991</v>
      </c>
      <c r="K160" s="44">
        <f t="shared" si="30"/>
        <v>6.2364348284607339E-3</v>
      </c>
      <c r="L160" s="45">
        <v>21511.453023837228</v>
      </c>
      <c r="M160" s="45">
        <v>60906.035035299166</v>
      </c>
      <c r="N160" s="45">
        <f t="shared" si="31"/>
        <v>193093.03805913639</v>
      </c>
      <c r="O160" s="46">
        <f t="shared" si="32"/>
        <v>14481977.85443523</v>
      </c>
      <c r="P160" s="47">
        <f t="shared" si="33"/>
        <v>326029.45880000002</v>
      </c>
      <c r="Q160" s="47">
        <v>799876</v>
      </c>
      <c r="R160" s="47">
        <f t="shared" si="25"/>
        <v>473846.54119999998</v>
      </c>
      <c r="S160" s="191">
        <f t="shared" si="35"/>
        <v>0.59239999849976743</v>
      </c>
      <c r="T160" s="42">
        <v>24452209.41</v>
      </c>
      <c r="U160" s="48">
        <f t="shared" si="34"/>
        <v>0.59225641379108529</v>
      </c>
      <c r="V160" s="49"/>
      <c r="X160" s="112"/>
    </row>
    <row r="161" spans="1:24" x14ac:dyDescent="0.3">
      <c r="A161" s="40" t="str">
        <f>VLOOKUP(B161,Grupos!$A$2:$B$619,2,FALSE)</f>
        <v>TABLEROS 225 AMP COBRE</v>
      </c>
      <c r="B161" s="41" t="s">
        <v>267</v>
      </c>
      <c r="C161" s="41" t="s">
        <v>268</v>
      </c>
      <c r="D161" s="42">
        <v>7</v>
      </c>
      <c r="E161" s="43">
        <v>126828.63</v>
      </c>
      <c r="F161" s="43">
        <v>4575.1899999999996</v>
      </c>
      <c r="G161" s="126">
        <f t="shared" si="26"/>
        <v>131403.82</v>
      </c>
      <c r="H161" s="127">
        <f t="shared" si="27"/>
        <v>887800.41</v>
      </c>
      <c r="I161" s="128">
        <f t="shared" si="28"/>
        <v>32026.329999999998</v>
      </c>
      <c r="J161" s="128">
        <f t="shared" si="29"/>
        <v>919826.74</v>
      </c>
      <c r="K161" s="44">
        <f t="shared" si="30"/>
        <v>6.9108181737646628E-4</v>
      </c>
      <c r="L161" s="45">
        <v>25540.303175206842</v>
      </c>
      <c r="M161" s="45">
        <v>24570.277989134353</v>
      </c>
      <c r="N161" s="45">
        <f t="shared" si="31"/>
        <v>181514.40116434119</v>
      </c>
      <c r="O161" s="46">
        <f t="shared" si="32"/>
        <v>1270600.8081503883</v>
      </c>
      <c r="P161" s="47">
        <f t="shared" si="33"/>
        <v>377100.86428571428</v>
      </c>
      <c r="Q161" s="47">
        <v>965150</v>
      </c>
      <c r="R161" s="47">
        <f t="shared" si="25"/>
        <v>588049.13571428577</v>
      </c>
      <c r="S161" s="191">
        <f t="shared" si="35"/>
        <v>0.60928263556368001</v>
      </c>
      <c r="T161" s="42">
        <v>2639706.0499999998</v>
      </c>
      <c r="U161" s="48">
        <f t="shared" si="34"/>
        <v>0.48134177976005638</v>
      </c>
      <c r="V161" s="49"/>
      <c r="X161" s="112"/>
    </row>
    <row r="162" spans="1:24" x14ac:dyDescent="0.3">
      <c r="A162" s="40" t="str">
        <f>VLOOKUP(B162,Grupos!$A$2:$B$619,2,FALSE)</f>
        <v>TABLEROS 225 AMP COBRE</v>
      </c>
      <c r="B162" s="41" t="s">
        <v>269</v>
      </c>
      <c r="C162" s="41" t="s">
        <v>270</v>
      </c>
      <c r="D162" s="42">
        <v>9</v>
      </c>
      <c r="E162" s="43">
        <v>127982.03</v>
      </c>
      <c r="F162" s="43">
        <v>10663.99</v>
      </c>
      <c r="G162" s="126">
        <f t="shared" si="26"/>
        <v>138646.01999999999</v>
      </c>
      <c r="H162" s="127">
        <f t="shared" si="27"/>
        <v>1151838.27</v>
      </c>
      <c r="I162" s="128">
        <f t="shared" si="28"/>
        <v>95975.91</v>
      </c>
      <c r="J162" s="128">
        <f t="shared" si="29"/>
        <v>1247814.18</v>
      </c>
      <c r="K162" s="44">
        <f t="shared" si="30"/>
        <v>9.3750448183592156E-4</v>
      </c>
      <c r="L162" s="45">
        <v>26947.933361722593</v>
      </c>
      <c r="M162" s="45">
        <v>57269.140467029538</v>
      </c>
      <c r="N162" s="45">
        <f t="shared" si="31"/>
        <v>222863.09382875211</v>
      </c>
      <c r="O162" s="46">
        <f t="shared" si="32"/>
        <v>2005767.8444587691</v>
      </c>
      <c r="P162" s="47">
        <f t="shared" si="33"/>
        <v>403412.2288888889</v>
      </c>
      <c r="Q162" s="47">
        <v>935750</v>
      </c>
      <c r="R162" s="47">
        <f t="shared" si="25"/>
        <v>532337.77111111116</v>
      </c>
      <c r="S162" s="191">
        <f t="shared" si="35"/>
        <v>0.56888888176447894</v>
      </c>
      <c r="T162" s="42">
        <v>3630710.06</v>
      </c>
      <c r="U162" s="48">
        <f t="shared" si="34"/>
        <v>0.55244506207107291</v>
      </c>
      <c r="V162" s="49"/>
      <c r="X162" s="112"/>
    </row>
    <row r="163" spans="1:24" x14ac:dyDescent="0.3">
      <c r="A163" s="40" t="str">
        <f>VLOOKUP(B163,Grupos!$A$2:$B$619,2,FALSE)</f>
        <v>TABLEROS 225 AMP COBRE</v>
      </c>
      <c r="B163" s="41" t="s">
        <v>271</v>
      </c>
      <c r="C163" s="41" t="s">
        <v>272</v>
      </c>
      <c r="D163" s="42">
        <v>15</v>
      </c>
      <c r="E163" s="43">
        <v>127187.47</v>
      </c>
      <c r="F163" s="43">
        <v>5755.8</v>
      </c>
      <c r="G163" s="126">
        <f t="shared" si="26"/>
        <v>132943.26999999999</v>
      </c>
      <c r="H163" s="127">
        <f t="shared" si="27"/>
        <v>1907812.05</v>
      </c>
      <c r="I163" s="128">
        <f t="shared" si="28"/>
        <v>86337</v>
      </c>
      <c r="J163" s="128">
        <f t="shared" si="29"/>
        <v>1994149.0499999998</v>
      </c>
      <c r="K163" s="44">
        <f t="shared" si="30"/>
        <v>1.4982388417992213E-3</v>
      </c>
      <c r="L163" s="45">
        <v>25839.518370952832</v>
      </c>
      <c r="M163" s="45">
        <v>30910.542742456491</v>
      </c>
      <c r="N163" s="45">
        <f t="shared" si="31"/>
        <v>189693.33111340931</v>
      </c>
      <c r="O163" s="46">
        <f t="shared" si="32"/>
        <v>2845399.9667011397</v>
      </c>
      <c r="P163" s="47">
        <f t="shared" si="33"/>
        <v>289122.9966666667</v>
      </c>
      <c r="Q163" s="47">
        <v>760850</v>
      </c>
      <c r="R163" s="47">
        <f t="shared" si="25"/>
        <v>471727.0033333333</v>
      </c>
      <c r="S163" s="191">
        <f t="shared" si="35"/>
        <v>0.62000000438106495</v>
      </c>
      <c r="T163" s="42">
        <v>4336844.95</v>
      </c>
      <c r="U163" s="48">
        <f t="shared" si="34"/>
        <v>0.65609907651901167</v>
      </c>
      <c r="V163" s="49"/>
      <c r="X163" s="112"/>
    </row>
    <row r="164" spans="1:24" x14ac:dyDescent="0.3">
      <c r="A164" s="40" t="str">
        <f>VLOOKUP(B164,Grupos!$A$2:$B$619,2,FALSE)</f>
        <v>TABLEROS 225 AMP COBRE</v>
      </c>
      <c r="B164" s="41" t="s">
        <v>273</v>
      </c>
      <c r="C164" s="41" t="s">
        <v>274</v>
      </c>
      <c r="D164" s="42">
        <v>26</v>
      </c>
      <c r="E164" s="43">
        <v>128165.39</v>
      </c>
      <c r="F164" s="43">
        <v>5756</v>
      </c>
      <c r="G164" s="126">
        <f t="shared" si="26"/>
        <v>133921.39000000001</v>
      </c>
      <c r="H164" s="127">
        <f t="shared" si="27"/>
        <v>3332300.14</v>
      </c>
      <c r="I164" s="128">
        <f t="shared" si="28"/>
        <v>149656</v>
      </c>
      <c r="J164" s="128">
        <f t="shared" si="29"/>
        <v>3481956.1400000006</v>
      </c>
      <c r="K164" s="44">
        <f t="shared" si="30"/>
        <v>2.6160541682625424E-3</v>
      </c>
      <c r="L164" s="45">
        <v>26029.63066252651</v>
      </c>
      <c r="M164" s="45">
        <v>30911.616808363662</v>
      </c>
      <c r="N164" s="45">
        <f t="shared" si="31"/>
        <v>190862.63747089019</v>
      </c>
      <c r="O164" s="46">
        <f t="shared" si="32"/>
        <v>4962428.5742431451</v>
      </c>
      <c r="P164" s="47">
        <f t="shared" si="33"/>
        <v>292591.84615384613</v>
      </c>
      <c r="Q164" s="47">
        <v>737150</v>
      </c>
      <c r="R164" s="47">
        <f t="shared" si="25"/>
        <v>444558.15384615387</v>
      </c>
      <c r="S164" s="191">
        <f t="shared" si="35"/>
        <v>0.60307692307692307</v>
      </c>
      <c r="T164" s="42">
        <v>7607388</v>
      </c>
      <c r="U164" s="48">
        <f t="shared" si="34"/>
        <v>0.65231700739375265</v>
      </c>
      <c r="V164" s="49"/>
      <c r="X164" s="112"/>
    </row>
    <row r="165" spans="1:24" x14ac:dyDescent="0.3">
      <c r="A165" s="40" t="str">
        <f>VLOOKUP(B165,Grupos!$A$2:$B$619,2,FALSE)</f>
        <v>TABLEROS 225 AMP COBRE</v>
      </c>
      <c r="B165" s="41" t="s">
        <v>275</v>
      </c>
      <c r="C165" s="41" t="s">
        <v>276</v>
      </c>
      <c r="D165" s="42">
        <v>33</v>
      </c>
      <c r="E165" s="43">
        <v>143087.16</v>
      </c>
      <c r="F165" s="43">
        <v>6566.42</v>
      </c>
      <c r="G165" s="126">
        <f t="shared" si="26"/>
        <v>149653.58000000002</v>
      </c>
      <c r="H165" s="127">
        <f t="shared" si="27"/>
        <v>4721876.28</v>
      </c>
      <c r="I165" s="128">
        <f t="shared" si="28"/>
        <v>216691.86000000002</v>
      </c>
      <c r="J165" s="128">
        <f t="shared" si="29"/>
        <v>4938568.1400000006</v>
      </c>
      <c r="K165" s="44">
        <f t="shared" si="30"/>
        <v>3.7104320814034118E-3</v>
      </c>
      <c r="L165" s="45">
        <v>29087.417736067877</v>
      </c>
      <c r="M165" s="45">
        <v>35263.839270808778</v>
      </c>
      <c r="N165" s="45">
        <f t="shared" si="31"/>
        <v>214004.83700687665</v>
      </c>
      <c r="O165" s="46">
        <f t="shared" si="32"/>
        <v>7062159.6212269291</v>
      </c>
      <c r="P165" s="47">
        <f t="shared" si="33"/>
        <v>430890.2403030303</v>
      </c>
      <c r="Q165" s="47">
        <v>1053750</v>
      </c>
      <c r="R165" s="47">
        <f t="shared" si="25"/>
        <v>622859.75969696976</v>
      </c>
      <c r="S165" s="191">
        <f t="shared" si="35"/>
        <v>0.5910887399259499</v>
      </c>
      <c r="T165" s="42">
        <v>14219377.93</v>
      </c>
      <c r="U165" s="48">
        <f t="shared" si="34"/>
        <v>0.4966574245366393</v>
      </c>
      <c r="V165" s="49"/>
      <c r="X165" s="112"/>
    </row>
    <row r="166" spans="1:24" x14ac:dyDescent="0.3">
      <c r="A166" s="40" t="str">
        <f>VLOOKUP(B166,Grupos!$A$2:$B$619,2,FALSE)</f>
        <v>TABLEROS 225 AMP COBRE</v>
      </c>
      <c r="B166" s="41" t="s">
        <v>277</v>
      </c>
      <c r="C166" s="41" t="s">
        <v>278</v>
      </c>
      <c r="D166" s="42">
        <v>18</v>
      </c>
      <c r="E166" s="43">
        <v>144288.14000000001</v>
      </c>
      <c r="F166" s="43">
        <v>12351.2</v>
      </c>
      <c r="G166" s="126">
        <f t="shared" si="26"/>
        <v>156639.34000000003</v>
      </c>
      <c r="H166" s="127">
        <f t="shared" si="27"/>
        <v>2597186.5200000005</v>
      </c>
      <c r="I166" s="128">
        <f t="shared" si="28"/>
        <v>222321.6</v>
      </c>
      <c r="J166" s="128">
        <f t="shared" si="29"/>
        <v>2819508.1200000006</v>
      </c>
      <c r="K166" s="44">
        <f t="shared" si="30"/>
        <v>2.1183454567512399E-3</v>
      </c>
      <c r="L166" s="45">
        <v>30445.204962567328</v>
      </c>
      <c r="M166" s="45">
        <v>66330.014163214262</v>
      </c>
      <c r="N166" s="45">
        <f t="shared" si="31"/>
        <v>253414.55912578164</v>
      </c>
      <c r="O166" s="46">
        <f t="shared" si="32"/>
        <v>4561462.0642640693</v>
      </c>
      <c r="P166" s="47">
        <f t="shared" si="33"/>
        <v>430943.33166666667</v>
      </c>
      <c r="Q166" s="47">
        <v>1022000</v>
      </c>
      <c r="R166" s="47">
        <f t="shared" si="25"/>
        <v>591056.66833333333</v>
      </c>
      <c r="S166" s="191">
        <f t="shared" si="35"/>
        <v>0.57833333496412265</v>
      </c>
      <c r="T166" s="42">
        <v>7756979.9699999997</v>
      </c>
      <c r="U166" s="48">
        <f t="shared" si="34"/>
        <v>0.58804613160088759</v>
      </c>
      <c r="V166" s="49"/>
      <c r="X166" s="112"/>
    </row>
    <row r="167" spans="1:24" x14ac:dyDescent="0.3">
      <c r="A167" s="40" t="str">
        <f>VLOOKUP(B167,Grupos!$A$2:$B$619,2,FALSE)</f>
        <v>TABLEROS 225 AMP COBRE</v>
      </c>
      <c r="B167" s="41" t="s">
        <v>279</v>
      </c>
      <c r="C167" s="41" t="s">
        <v>280</v>
      </c>
      <c r="D167" s="42">
        <v>33</v>
      </c>
      <c r="E167" s="43">
        <v>40637.360000000001</v>
      </c>
      <c r="F167" s="43">
        <v>3025.62</v>
      </c>
      <c r="G167" s="126">
        <f t="shared" si="26"/>
        <v>43662.98</v>
      </c>
      <c r="H167" s="127">
        <f t="shared" si="27"/>
        <v>1341032.8800000001</v>
      </c>
      <c r="I167" s="128">
        <f t="shared" si="28"/>
        <v>99845.459999999992</v>
      </c>
      <c r="J167" s="128">
        <f t="shared" si="29"/>
        <v>1440878.34</v>
      </c>
      <c r="K167" s="44">
        <f t="shared" si="30"/>
        <v>1.0825569409143138E-3</v>
      </c>
      <c r="L167" s="45">
        <v>8486.5550083170547</v>
      </c>
      <c r="M167" s="45">
        <v>16248.576450264291</v>
      </c>
      <c r="N167" s="45">
        <f t="shared" si="31"/>
        <v>68398.111458581348</v>
      </c>
      <c r="O167" s="46">
        <f t="shared" si="32"/>
        <v>2257137.6781331846</v>
      </c>
      <c r="P167" s="47">
        <f t="shared" si="33"/>
        <v>105462.00272727272</v>
      </c>
      <c r="Q167" s="47">
        <v>251100</v>
      </c>
      <c r="R167" s="47">
        <f t="shared" si="25"/>
        <v>145637.99727272728</v>
      </c>
      <c r="S167" s="191">
        <f t="shared" si="35"/>
        <v>0.57999998913869888</v>
      </c>
      <c r="T167" s="42">
        <v>3480246.09</v>
      </c>
      <c r="U167" s="48">
        <f t="shared" si="34"/>
        <v>0.64855691803483495</v>
      </c>
      <c r="V167" s="49"/>
      <c r="X167" s="112"/>
    </row>
    <row r="168" spans="1:24" x14ac:dyDescent="0.3">
      <c r="A168" s="40" t="str">
        <f>VLOOKUP(B168,Grupos!$A$2:$B$619,2,FALSE)</f>
        <v>TABLEROS 225 AMP COBRE</v>
      </c>
      <c r="B168" s="41" t="s">
        <v>281</v>
      </c>
      <c r="C168" s="41" t="s">
        <v>282</v>
      </c>
      <c r="D168" s="42">
        <v>21</v>
      </c>
      <c r="E168" s="43">
        <v>41308.120000000003</v>
      </c>
      <c r="F168" s="43">
        <v>2858.03</v>
      </c>
      <c r="G168" s="126">
        <f t="shared" si="26"/>
        <v>44166.15</v>
      </c>
      <c r="H168" s="127">
        <f t="shared" si="27"/>
        <v>867470.52</v>
      </c>
      <c r="I168" s="128">
        <f t="shared" si="28"/>
        <v>60018.630000000005</v>
      </c>
      <c r="J168" s="128">
        <f t="shared" si="29"/>
        <v>927489.15</v>
      </c>
      <c r="K168" s="44">
        <f t="shared" si="30"/>
        <v>6.9683871919069666E-4</v>
      </c>
      <c r="L168" s="45">
        <v>8584.3536442217701</v>
      </c>
      <c r="M168" s="45">
        <v>15348.56292335087</v>
      </c>
      <c r="N168" s="45">
        <f t="shared" si="31"/>
        <v>68099.066567572634</v>
      </c>
      <c r="O168" s="46">
        <f t="shared" si="32"/>
        <v>1430080.3979190253</v>
      </c>
      <c r="P168" s="47">
        <f t="shared" si="33"/>
        <v>93473.142857142855</v>
      </c>
      <c r="Q168" s="47">
        <v>238800</v>
      </c>
      <c r="R168" s="47">
        <f t="shared" si="25"/>
        <v>145326.85714285716</v>
      </c>
      <c r="S168" s="191">
        <f t="shared" si="35"/>
        <v>0.60857142857142865</v>
      </c>
      <c r="T168" s="42">
        <v>1962936</v>
      </c>
      <c r="U168" s="48">
        <f t="shared" si="34"/>
        <v>0.72854153060467852</v>
      </c>
      <c r="V168" s="49"/>
      <c r="X168" s="112"/>
    </row>
    <row r="169" spans="1:24" x14ac:dyDescent="0.3">
      <c r="A169" s="40" t="str">
        <f>VLOOKUP(B169,Grupos!$A$2:$B$619,2,FALSE)</f>
        <v>TABLEROS 225 AMP COBRE</v>
      </c>
      <c r="B169" s="41" t="s">
        <v>283</v>
      </c>
      <c r="C169" s="41" t="s">
        <v>284</v>
      </c>
      <c r="D169" s="42">
        <v>118</v>
      </c>
      <c r="E169" s="43">
        <v>62896.31</v>
      </c>
      <c r="F169" s="43">
        <v>2880.46</v>
      </c>
      <c r="G169" s="126">
        <f t="shared" si="26"/>
        <v>65776.77</v>
      </c>
      <c r="H169" s="127">
        <f t="shared" si="27"/>
        <v>7421764.5800000001</v>
      </c>
      <c r="I169" s="128">
        <f t="shared" si="28"/>
        <v>339894.28</v>
      </c>
      <c r="J169" s="128">
        <f t="shared" si="29"/>
        <v>7761658.8600000003</v>
      </c>
      <c r="K169" s="44">
        <f t="shared" si="30"/>
        <v>5.8314692078042345E-3</v>
      </c>
      <c r="L169" s="45">
        <v>12784.701751333028</v>
      </c>
      <c r="M169" s="45">
        <v>15469.019414840028</v>
      </c>
      <c r="N169" s="45">
        <f t="shared" si="31"/>
        <v>94030.491166173073</v>
      </c>
      <c r="O169" s="46">
        <f t="shared" si="32"/>
        <v>11095597.957608422</v>
      </c>
      <c r="P169" s="47">
        <f t="shared" si="33"/>
        <v>147062.52627118645</v>
      </c>
      <c r="Q169" s="47">
        <v>363650</v>
      </c>
      <c r="R169" s="47">
        <f t="shared" si="25"/>
        <v>216587.47372881355</v>
      </c>
      <c r="S169" s="191">
        <f t="shared" si="35"/>
        <v>0.59559321800856191</v>
      </c>
      <c r="T169" s="42">
        <v>17353378.100000001</v>
      </c>
      <c r="U169" s="48">
        <f t="shared" si="34"/>
        <v>0.63939124092550148</v>
      </c>
      <c r="V169" s="49"/>
      <c r="X169" s="112"/>
    </row>
    <row r="170" spans="1:24" x14ac:dyDescent="0.3">
      <c r="A170" s="40" t="str">
        <f>VLOOKUP(B170,Grupos!$A$2:$B$619,2,FALSE)</f>
        <v>TABLEROS 225 AMP COBRE</v>
      </c>
      <c r="B170" s="41" t="s">
        <v>285</v>
      </c>
      <c r="C170" s="41" t="s">
        <v>286</v>
      </c>
      <c r="D170" s="42">
        <v>113</v>
      </c>
      <c r="E170" s="43">
        <v>63672.52</v>
      </c>
      <c r="F170" s="43">
        <v>2880</v>
      </c>
      <c r="G170" s="126">
        <f t="shared" si="26"/>
        <v>66552.51999999999</v>
      </c>
      <c r="H170" s="127">
        <f t="shared" si="27"/>
        <v>7194994.7599999998</v>
      </c>
      <c r="I170" s="128">
        <f t="shared" si="28"/>
        <v>325440</v>
      </c>
      <c r="J170" s="128">
        <f t="shared" si="29"/>
        <v>7520434.7599999988</v>
      </c>
      <c r="K170" s="44">
        <f t="shared" si="30"/>
        <v>5.6502333487303798E-3</v>
      </c>
      <c r="L170" s="45">
        <v>12935.480398317313</v>
      </c>
      <c r="M170" s="45">
        <v>15466.549063253535</v>
      </c>
      <c r="N170" s="45">
        <f t="shared" si="31"/>
        <v>94954.549461570845</v>
      </c>
      <c r="O170" s="46">
        <f t="shared" si="32"/>
        <v>10729864.089157505</v>
      </c>
      <c r="P170" s="47">
        <f t="shared" si="33"/>
        <v>139985.12371681415</v>
      </c>
      <c r="Q170" s="47">
        <v>347350</v>
      </c>
      <c r="R170" s="47">
        <f t="shared" si="25"/>
        <v>207364.87628318585</v>
      </c>
      <c r="S170" s="191">
        <f t="shared" si="35"/>
        <v>0.59699115095202493</v>
      </c>
      <c r="T170" s="42">
        <v>15818318.98</v>
      </c>
      <c r="U170" s="48">
        <f t="shared" si="34"/>
        <v>0.67831885946438952</v>
      </c>
      <c r="V170" s="49"/>
      <c r="X170" s="112"/>
    </row>
    <row r="171" spans="1:24" x14ac:dyDescent="0.3">
      <c r="A171" s="40" t="str">
        <f>VLOOKUP(B171,Grupos!$A$2:$B$619,2,FALSE)</f>
        <v>TABLEROS 225 AMP COBRE</v>
      </c>
      <c r="B171" s="41" t="s">
        <v>287</v>
      </c>
      <c r="C171" s="41" t="s">
        <v>288</v>
      </c>
      <c r="D171" s="42">
        <v>93</v>
      </c>
      <c r="E171" s="43">
        <v>77668.23</v>
      </c>
      <c r="F171" s="43">
        <v>3853.71</v>
      </c>
      <c r="G171" s="126">
        <f t="shared" si="26"/>
        <v>81521.94</v>
      </c>
      <c r="H171" s="127">
        <f t="shared" si="27"/>
        <v>7223145.3899999997</v>
      </c>
      <c r="I171" s="128">
        <f t="shared" si="28"/>
        <v>358395.03</v>
      </c>
      <c r="J171" s="128">
        <f t="shared" si="29"/>
        <v>7581540.4199999999</v>
      </c>
      <c r="K171" s="44">
        <f t="shared" si="30"/>
        <v>5.696143093172892E-3</v>
      </c>
      <c r="L171" s="45">
        <v>15845.011682544857</v>
      </c>
      <c r="M171" s="45">
        <v>20695.692635607909</v>
      </c>
      <c r="N171" s="45">
        <f t="shared" si="31"/>
        <v>118062.64431815277</v>
      </c>
      <c r="O171" s="46">
        <f t="shared" si="32"/>
        <v>10979825.921588209</v>
      </c>
      <c r="P171" s="47">
        <f t="shared" si="33"/>
        <v>245037.5882795699</v>
      </c>
      <c r="Q171" s="47">
        <v>588850</v>
      </c>
      <c r="R171" s="47">
        <f t="shared" si="25"/>
        <v>343812.41172043013</v>
      </c>
      <c r="S171" s="191">
        <f t="shared" si="35"/>
        <v>0.58387095477698925</v>
      </c>
      <c r="T171" s="42">
        <v>22788495.710000001</v>
      </c>
      <c r="U171" s="48">
        <f t="shared" si="34"/>
        <v>0.48181442344042325</v>
      </c>
      <c r="V171" s="49"/>
      <c r="X171" s="112"/>
    </row>
    <row r="172" spans="1:24" x14ac:dyDescent="0.3">
      <c r="A172" s="40" t="str">
        <f>VLOOKUP(B172,Grupos!$A$2:$B$619,2,FALSE)</f>
        <v>TABLEROS 225 AMP COBRE</v>
      </c>
      <c r="B172" s="41" t="s">
        <v>289</v>
      </c>
      <c r="C172" s="41" t="s">
        <v>290</v>
      </c>
      <c r="D172" s="42">
        <v>108</v>
      </c>
      <c r="E172" s="43">
        <v>78681.179999999993</v>
      </c>
      <c r="F172" s="43">
        <v>9712.75</v>
      </c>
      <c r="G172" s="126">
        <f t="shared" si="26"/>
        <v>88393.93</v>
      </c>
      <c r="H172" s="127">
        <f t="shared" si="27"/>
        <v>8497567.4399999995</v>
      </c>
      <c r="I172" s="128">
        <f t="shared" si="28"/>
        <v>1048977</v>
      </c>
      <c r="J172" s="128">
        <f t="shared" si="29"/>
        <v>9546544.4399999995</v>
      </c>
      <c r="K172" s="44">
        <f t="shared" si="30"/>
        <v>7.1724847673599913E-3</v>
      </c>
      <c r="L172" s="45">
        <v>17180.68600325326</v>
      </c>
      <c r="M172" s="45">
        <v>52160.668199345753</v>
      </c>
      <c r="N172" s="45">
        <f t="shared" si="31"/>
        <v>157735.284202599</v>
      </c>
      <c r="O172" s="46">
        <f t="shared" si="32"/>
        <v>17035410.693880692</v>
      </c>
      <c r="P172" s="47">
        <f t="shared" si="33"/>
        <v>227799.35712962964</v>
      </c>
      <c r="Q172" s="47">
        <v>571350</v>
      </c>
      <c r="R172" s="47">
        <f t="shared" ref="R172:R235" si="36">Q172-P172</f>
        <v>343550.64287037036</v>
      </c>
      <c r="S172" s="191">
        <f t="shared" si="35"/>
        <v>0.60129630326484707</v>
      </c>
      <c r="T172" s="42">
        <v>24602330.57</v>
      </c>
      <c r="U172" s="48">
        <f t="shared" si="34"/>
        <v>0.69243076973584017</v>
      </c>
      <c r="V172" s="49"/>
      <c r="X172" s="112"/>
    </row>
    <row r="173" spans="1:24" x14ac:dyDescent="0.3">
      <c r="A173" s="40" t="str">
        <f>VLOOKUP(B173,Grupos!$A$2:$B$619,2,FALSE)</f>
        <v>TABLEROS 225 AMP COBRE</v>
      </c>
      <c r="B173" s="41" t="s">
        <v>291</v>
      </c>
      <c r="C173" s="41" t="s">
        <v>292</v>
      </c>
      <c r="D173" s="42">
        <v>81</v>
      </c>
      <c r="E173" s="43">
        <v>81893.710000000006</v>
      </c>
      <c r="F173" s="43">
        <v>3492.65</v>
      </c>
      <c r="G173" s="126">
        <f t="shared" si="26"/>
        <v>85386.36</v>
      </c>
      <c r="H173" s="127">
        <f t="shared" si="27"/>
        <v>6633390.5100000007</v>
      </c>
      <c r="I173" s="128">
        <f t="shared" si="28"/>
        <v>282904.65000000002</v>
      </c>
      <c r="J173" s="128">
        <f t="shared" si="29"/>
        <v>6916295.1600000001</v>
      </c>
      <c r="K173" s="44">
        <f t="shared" si="30"/>
        <v>5.1963327666304394E-3</v>
      </c>
      <c r="L173" s="45">
        <v>16596.119667048904</v>
      </c>
      <c r="M173" s="45">
        <v>18756.681453393216</v>
      </c>
      <c r="N173" s="45">
        <f t="shared" si="31"/>
        <v>120739.16112044212</v>
      </c>
      <c r="O173" s="46">
        <f t="shared" si="32"/>
        <v>9779872.0507558119</v>
      </c>
      <c r="P173" s="47">
        <f t="shared" si="33"/>
        <v>187557.33802469136</v>
      </c>
      <c r="Q173" s="47">
        <v>455400</v>
      </c>
      <c r="R173" s="47">
        <f t="shared" si="36"/>
        <v>267842.66197530867</v>
      </c>
      <c r="S173" s="191">
        <f t="shared" si="35"/>
        <v>0.58814813784652764</v>
      </c>
      <c r="T173" s="42">
        <v>15192144.380000001</v>
      </c>
      <c r="U173" s="48">
        <f t="shared" si="34"/>
        <v>0.64374533351794094</v>
      </c>
      <c r="V173" s="49"/>
      <c r="X173" s="112"/>
    </row>
    <row r="174" spans="1:24" x14ac:dyDescent="0.3">
      <c r="A174" s="40" t="str">
        <f>VLOOKUP(B174,Grupos!$A$2:$B$619,2,FALSE)</f>
        <v>TABLEROS 225 AMP COBRE</v>
      </c>
      <c r="B174" s="41" t="s">
        <v>293</v>
      </c>
      <c r="C174" s="41" t="s">
        <v>294</v>
      </c>
      <c r="D174" s="42">
        <v>150</v>
      </c>
      <c r="E174" s="43">
        <v>82715.199999999997</v>
      </c>
      <c r="F174" s="43">
        <v>3493</v>
      </c>
      <c r="G174" s="126">
        <f t="shared" si="26"/>
        <v>86208.2</v>
      </c>
      <c r="H174" s="127">
        <f t="shared" si="27"/>
        <v>12407280</v>
      </c>
      <c r="I174" s="128">
        <f t="shared" si="28"/>
        <v>523950</v>
      </c>
      <c r="J174" s="128">
        <f t="shared" si="29"/>
        <v>12931230</v>
      </c>
      <c r="K174" s="44">
        <f t="shared" si="30"/>
        <v>9.7154578581973832E-3</v>
      </c>
      <c r="L174" s="45">
        <v>16755.856596778285</v>
      </c>
      <c r="M174" s="45">
        <v>18758.561068730764</v>
      </c>
      <c r="N174" s="45">
        <f t="shared" si="31"/>
        <v>121722.61766550904</v>
      </c>
      <c r="O174" s="46">
        <f t="shared" si="32"/>
        <v>18258392.649826355</v>
      </c>
      <c r="P174" s="47">
        <f t="shared" si="33"/>
        <v>170636.0508</v>
      </c>
      <c r="Q174" s="47">
        <v>433600</v>
      </c>
      <c r="R174" s="47">
        <f t="shared" si="36"/>
        <v>262963.94920000003</v>
      </c>
      <c r="S174" s="191">
        <f t="shared" si="35"/>
        <v>0.60646667250922515</v>
      </c>
      <c r="T174" s="42">
        <v>25595407.620000001</v>
      </c>
      <c r="U174" s="48">
        <f t="shared" si="34"/>
        <v>0.71334642998845721</v>
      </c>
      <c r="V174" s="49"/>
      <c r="X174" s="112"/>
    </row>
    <row r="175" spans="1:24" x14ac:dyDescent="0.3">
      <c r="A175" s="40" t="str">
        <f>VLOOKUP(B175,Grupos!$A$2:$B$619,2,FALSE)</f>
        <v>TABLEROS 225 AMP COBRE</v>
      </c>
      <c r="B175" s="41" t="s">
        <v>295</v>
      </c>
      <c r="C175" s="41" t="s">
        <v>296</v>
      </c>
      <c r="D175" s="42">
        <v>101</v>
      </c>
      <c r="E175" s="43">
        <v>96762.49</v>
      </c>
      <c r="F175" s="43">
        <v>4708.9399999999996</v>
      </c>
      <c r="G175" s="126">
        <f t="shared" si="26"/>
        <v>101471.43000000001</v>
      </c>
      <c r="H175" s="127">
        <f t="shared" si="27"/>
        <v>9773011.4900000002</v>
      </c>
      <c r="I175" s="128">
        <f t="shared" si="28"/>
        <v>475602.93999999994</v>
      </c>
      <c r="J175" s="128">
        <f t="shared" si="29"/>
        <v>10248614.430000002</v>
      </c>
      <c r="K175" s="44">
        <f t="shared" si="30"/>
        <v>7.6999621536063172E-3</v>
      </c>
      <c r="L175" s="45">
        <v>19722.494260987078</v>
      </c>
      <c r="M175" s="45">
        <v>25288.559564554547</v>
      </c>
      <c r="N175" s="45">
        <f t="shared" si="31"/>
        <v>146482.48382554163</v>
      </c>
      <c r="O175" s="46">
        <f t="shared" si="32"/>
        <v>14794730.866379704</v>
      </c>
      <c r="P175" s="47">
        <f t="shared" si="33"/>
        <v>291859.43435643567</v>
      </c>
      <c r="Q175" s="47">
        <v>716350</v>
      </c>
      <c r="R175" s="47">
        <f t="shared" si="36"/>
        <v>424490.56564356433</v>
      </c>
      <c r="S175" s="191">
        <f t="shared" si="35"/>
        <v>0.59257425231180894</v>
      </c>
      <c r="T175" s="42">
        <v>29477802.870000001</v>
      </c>
      <c r="U175" s="48">
        <f t="shared" si="34"/>
        <v>0.50189394818962307</v>
      </c>
      <c r="V175" s="49"/>
      <c r="X175" s="112"/>
    </row>
    <row r="176" spans="1:24" x14ac:dyDescent="0.3">
      <c r="A176" s="40" t="str">
        <f>VLOOKUP(B176,Grupos!$A$2:$B$619,2,FALSE)</f>
        <v>TABLEROS 225 AMP COBRE</v>
      </c>
      <c r="B176" s="41" t="s">
        <v>297</v>
      </c>
      <c r="C176" s="41" t="s">
        <v>298</v>
      </c>
      <c r="D176" s="42">
        <v>109</v>
      </c>
      <c r="E176" s="43">
        <v>97823.039999999994</v>
      </c>
      <c r="F176" s="43">
        <v>10604.4</v>
      </c>
      <c r="G176" s="126">
        <f t="shared" si="26"/>
        <v>108427.43999999999</v>
      </c>
      <c r="H176" s="127">
        <f t="shared" si="27"/>
        <v>10662711.359999999</v>
      </c>
      <c r="I176" s="128">
        <f t="shared" si="28"/>
        <v>1155879.5999999999</v>
      </c>
      <c r="J176" s="128">
        <f t="shared" si="29"/>
        <v>11818590.959999999</v>
      </c>
      <c r="K176" s="44">
        <f t="shared" si="30"/>
        <v>8.8795128085381314E-3</v>
      </c>
      <c r="L176" s="45">
        <v>21074.499128804233</v>
      </c>
      <c r="M176" s="45">
        <v>56949.122529988119</v>
      </c>
      <c r="N176" s="45">
        <f t="shared" si="31"/>
        <v>186451.06165879234</v>
      </c>
      <c r="O176" s="46">
        <f t="shared" si="32"/>
        <v>20323165.720808364</v>
      </c>
      <c r="P176" s="47">
        <f t="shared" si="33"/>
        <v>282506.74082568806</v>
      </c>
      <c r="Q176" s="47">
        <v>694950</v>
      </c>
      <c r="R176" s="47">
        <f t="shared" si="36"/>
        <v>412443.25917431194</v>
      </c>
      <c r="S176" s="191">
        <f t="shared" si="35"/>
        <v>0.59348623523176047</v>
      </c>
      <c r="T176" s="42">
        <v>30793234.75</v>
      </c>
      <c r="U176" s="48">
        <f t="shared" si="34"/>
        <v>0.65998800989260686</v>
      </c>
      <c r="V176" s="49"/>
      <c r="X176" s="112"/>
    </row>
    <row r="177" spans="1:24" x14ac:dyDescent="0.3">
      <c r="A177" s="40" t="str">
        <f>VLOOKUP(B177,Grupos!$A$2:$B$619,2,FALSE)</f>
        <v>TABLEROS 225 AMP COBRE</v>
      </c>
      <c r="B177" s="41" t="s">
        <v>299</v>
      </c>
      <c r="C177" s="41" t="s">
        <v>300</v>
      </c>
      <c r="D177" s="42">
        <v>71</v>
      </c>
      <c r="E177" s="43">
        <v>101657.71</v>
      </c>
      <c r="F177" s="43">
        <v>4171.8500000000004</v>
      </c>
      <c r="G177" s="126">
        <f t="shared" si="26"/>
        <v>105829.56000000001</v>
      </c>
      <c r="H177" s="127">
        <f t="shared" si="27"/>
        <v>7217697.4100000001</v>
      </c>
      <c r="I177" s="128">
        <f t="shared" si="28"/>
        <v>296201.35000000003</v>
      </c>
      <c r="J177" s="128">
        <f t="shared" si="29"/>
        <v>7513898.7600000007</v>
      </c>
      <c r="K177" s="44">
        <f t="shared" si="30"/>
        <v>5.6453227383274126E-3</v>
      </c>
      <c r="L177" s="45">
        <v>20569.562188517375</v>
      </c>
      <c r="M177" s="45">
        <v>22404.209274143843</v>
      </c>
      <c r="N177" s="45">
        <f t="shared" si="31"/>
        <v>148803.33146266124</v>
      </c>
      <c r="O177" s="46">
        <f t="shared" si="32"/>
        <v>10565036.533848949</v>
      </c>
      <c r="P177" s="47">
        <f t="shared" si="33"/>
        <v>222642.78408450703</v>
      </c>
      <c r="Q177" s="47">
        <v>551750</v>
      </c>
      <c r="R177" s="47">
        <f t="shared" si="36"/>
        <v>329107.21591549297</v>
      </c>
      <c r="S177" s="191">
        <f t="shared" si="35"/>
        <v>0.59647886889985136</v>
      </c>
      <c r="T177" s="42">
        <v>15807637.67</v>
      </c>
      <c r="U177" s="48">
        <f t="shared" si="34"/>
        <v>0.66835012001188843</v>
      </c>
      <c r="V177" s="49"/>
      <c r="X177" s="112"/>
    </row>
    <row r="178" spans="1:24" x14ac:dyDescent="0.3">
      <c r="A178" s="40" t="str">
        <f>VLOOKUP(B178,Grupos!$A$2:$B$619,2,FALSE)</f>
        <v>TABLEROS 225 AMP COBRE</v>
      </c>
      <c r="B178" s="41" t="s">
        <v>301</v>
      </c>
      <c r="C178" s="41" t="s">
        <v>302</v>
      </c>
      <c r="D178" s="42">
        <v>126</v>
      </c>
      <c r="E178" s="43">
        <v>102526.78</v>
      </c>
      <c r="F178" s="43">
        <v>4172</v>
      </c>
      <c r="G178" s="126">
        <f t="shared" si="26"/>
        <v>106698.78</v>
      </c>
      <c r="H178" s="127">
        <f t="shared" si="27"/>
        <v>12918374.279999999</v>
      </c>
      <c r="I178" s="128">
        <f t="shared" si="28"/>
        <v>525672</v>
      </c>
      <c r="J178" s="128">
        <f t="shared" si="29"/>
        <v>13444046.279999999</v>
      </c>
      <c r="K178" s="44">
        <f t="shared" si="30"/>
        <v>1.0100745642680186E-2</v>
      </c>
      <c r="L178" s="45">
        <v>20738.508131838906</v>
      </c>
      <c r="M178" s="45">
        <v>22405.014823574216</v>
      </c>
      <c r="N178" s="45">
        <f t="shared" si="31"/>
        <v>149842.30295541312</v>
      </c>
      <c r="O178" s="46">
        <f t="shared" si="32"/>
        <v>18880130.172382053</v>
      </c>
      <c r="P178" s="47">
        <f t="shared" si="33"/>
        <v>214197.12484126983</v>
      </c>
      <c r="Q178" s="47">
        <v>523750</v>
      </c>
      <c r="R178" s="47">
        <f t="shared" si="36"/>
        <v>309552.8751587302</v>
      </c>
      <c r="S178" s="191">
        <f t="shared" si="35"/>
        <v>0.59103174254650159</v>
      </c>
      <c r="T178" s="42">
        <v>26988837.73</v>
      </c>
      <c r="U178" s="48">
        <f t="shared" si="34"/>
        <v>0.69955328796524852</v>
      </c>
      <c r="V178" s="49"/>
      <c r="X178" s="112"/>
    </row>
    <row r="179" spans="1:24" x14ac:dyDescent="0.3">
      <c r="A179" s="40" t="str">
        <f>VLOOKUP(B179,Grupos!$A$2:$B$619,2,FALSE)</f>
        <v>TABLEROS 225 AMP COBRE</v>
      </c>
      <c r="B179" s="41" t="s">
        <v>303</v>
      </c>
      <c r="C179" s="41" t="s">
        <v>304</v>
      </c>
      <c r="D179" s="42">
        <v>84</v>
      </c>
      <c r="E179" s="43">
        <v>107573.87</v>
      </c>
      <c r="F179" s="43">
        <v>4914.8500000000004</v>
      </c>
      <c r="G179" s="126">
        <f t="shared" si="26"/>
        <v>112488.72</v>
      </c>
      <c r="H179" s="127">
        <f t="shared" si="27"/>
        <v>9036205.0800000001</v>
      </c>
      <c r="I179" s="128">
        <f t="shared" si="28"/>
        <v>412847.4</v>
      </c>
      <c r="J179" s="128">
        <f t="shared" si="29"/>
        <v>9449052.4800000004</v>
      </c>
      <c r="K179" s="44">
        <f t="shared" si="30"/>
        <v>7.0992373632930107E-3</v>
      </c>
      <c r="L179" s="45">
        <v>21863.869806760205</v>
      </c>
      <c r="M179" s="45">
        <v>26394.364119281821</v>
      </c>
      <c r="N179" s="45">
        <f t="shared" si="31"/>
        <v>160746.95392604201</v>
      </c>
      <c r="O179" s="46">
        <f t="shared" si="32"/>
        <v>13502744.129787529</v>
      </c>
      <c r="P179" s="47">
        <f t="shared" si="33"/>
        <v>330368.38678571425</v>
      </c>
      <c r="Q179" s="47">
        <v>824450</v>
      </c>
      <c r="R179" s="47">
        <f t="shared" si="36"/>
        <v>494081.61321428575</v>
      </c>
      <c r="S179" s="191">
        <f t="shared" si="35"/>
        <v>0.59928632811484717</v>
      </c>
      <c r="T179" s="42">
        <v>27750944.489999998</v>
      </c>
      <c r="U179" s="48">
        <f t="shared" si="34"/>
        <v>0.48656881334807245</v>
      </c>
      <c r="V179" s="49"/>
      <c r="X179" s="112"/>
    </row>
    <row r="180" spans="1:24" x14ac:dyDescent="0.3">
      <c r="A180" s="40" t="str">
        <f>VLOOKUP(B180,Grupos!$A$2:$B$619,2,FALSE)</f>
        <v>TABLEROS 225 AMP COBRE</v>
      </c>
      <c r="B180" s="41" t="s">
        <v>305</v>
      </c>
      <c r="C180" s="41" t="s">
        <v>306</v>
      </c>
      <c r="D180" s="42">
        <v>107</v>
      </c>
      <c r="E180" s="43">
        <v>108682</v>
      </c>
      <c r="F180" s="43">
        <v>10803.47</v>
      </c>
      <c r="G180" s="126">
        <f t="shared" si="26"/>
        <v>119485.47</v>
      </c>
      <c r="H180" s="127">
        <f t="shared" si="27"/>
        <v>11628974</v>
      </c>
      <c r="I180" s="128">
        <f t="shared" si="28"/>
        <v>1155971.29</v>
      </c>
      <c r="J180" s="128">
        <f t="shared" si="29"/>
        <v>12784945.290000001</v>
      </c>
      <c r="K180" s="44">
        <f t="shared" si="30"/>
        <v>9.6055516129829981E-3</v>
      </c>
      <c r="L180" s="45">
        <v>23223.793104584642</v>
      </c>
      <c r="M180" s="45">
        <v>58018.19403069016</v>
      </c>
      <c r="N180" s="45">
        <f t="shared" si="31"/>
        <v>200727.4571352748</v>
      </c>
      <c r="O180" s="46">
        <f t="shared" si="32"/>
        <v>21477837.913474403</v>
      </c>
      <c r="P180" s="47">
        <f t="shared" si="33"/>
        <v>324968.72093457944</v>
      </c>
      <c r="Q180" s="47">
        <v>799900</v>
      </c>
      <c r="R180" s="47">
        <f t="shared" si="36"/>
        <v>474931.27906542056</v>
      </c>
      <c r="S180" s="191">
        <f t="shared" si="35"/>
        <v>0.59373831612129091</v>
      </c>
      <c r="T180" s="42">
        <v>34771653.140000001</v>
      </c>
      <c r="U180" s="48">
        <f t="shared" si="34"/>
        <v>0.61768239280999582</v>
      </c>
      <c r="V180" s="49"/>
      <c r="X180" s="112"/>
    </row>
    <row r="181" spans="1:24" x14ac:dyDescent="0.3">
      <c r="A181" s="40" t="str">
        <f>VLOOKUP(B181,Grupos!$A$2:$B$619,2,FALSE)</f>
        <v>TABLEROS 225 AMP COBRE</v>
      </c>
      <c r="B181" s="41" t="s">
        <v>307</v>
      </c>
      <c r="C181" s="41" t="s">
        <v>308</v>
      </c>
      <c r="D181" s="42">
        <v>29</v>
      </c>
      <c r="E181" s="43">
        <v>122349.04</v>
      </c>
      <c r="F181" s="43">
        <v>4431.99</v>
      </c>
      <c r="G181" s="126">
        <f t="shared" si="26"/>
        <v>126781.03</v>
      </c>
      <c r="H181" s="127">
        <f t="shared" si="27"/>
        <v>3548122.1599999997</v>
      </c>
      <c r="I181" s="128">
        <f t="shared" si="28"/>
        <v>128527.70999999999</v>
      </c>
      <c r="J181" s="128">
        <f t="shared" si="29"/>
        <v>3676649.87</v>
      </c>
      <c r="K181" s="44">
        <f t="shared" si="30"/>
        <v>2.7623309516056778E-3</v>
      </c>
      <c r="L181" s="45">
        <v>24641.794607378943</v>
      </c>
      <c r="M181" s="45">
        <v>23801.246799600358</v>
      </c>
      <c r="N181" s="45">
        <f t="shared" si="31"/>
        <v>175224.07140697932</v>
      </c>
      <c r="O181" s="46">
        <f t="shared" si="32"/>
        <v>5081498.0708023999</v>
      </c>
      <c r="P181" s="47">
        <f t="shared" si="33"/>
        <v>262898.99413793103</v>
      </c>
      <c r="Q181" s="47">
        <v>674100</v>
      </c>
      <c r="R181" s="47">
        <f t="shared" si="36"/>
        <v>411201.00586206897</v>
      </c>
      <c r="S181" s="191">
        <f t="shared" si="35"/>
        <v>0.61000000869614146</v>
      </c>
      <c r="T181" s="42">
        <v>7624070.8300000001</v>
      </c>
      <c r="U181" s="48">
        <f t="shared" si="34"/>
        <v>0.66650719597294195</v>
      </c>
      <c r="V181" s="49"/>
      <c r="X181" s="112"/>
    </row>
    <row r="182" spans="1:24" x14ac:dyDescent="0.3">
      <c r="A182" s="40" t="str">
        <f>VLOOKUP(B182,Grupos!$A$2:$B$619,2,FALSE)</f>
        <v>TABLEROS 225 AMP COBRE</v>
      </c>
      <c r="B182" s="41" t="s">
        <v>309</v>
      </c>
      <c r="C182" s="41" t="s">
        <v>310</v>
      </c>
      <c r="D182" s="42">
        <v>9</v>
      </c>
      <c r="E182" s="43">
        <v>123279.36</v>
      </c>
      <c r="F182" s="43">
        <v>4432</v>
      </c>
      <c r="G182" s="126">
        <f t="shared" si="26"/>
        <v>127711.36</v>
      </c>
      <c r="H182" s="127">
        <f t="shared" si="27"/>
        <v>1109514.24</v>
      </c>
      <c r="I182" s="128">
        <f t="shared" si="28"/>
        <v>39888</v>
      </c>
      <c r="J182" s="128">
        <f t="shared" si="29"/>
        <v>1149402.24</v>
      </c>
      <c r="K182" s="44">
        <f t="shared" si="30"/>
        <v>8.6356588080466245E-4</v>
      </c>
      <c r="L182" s="45">
        <v>24822.618195711388</v>
      </c>
      <c r="M182" s="45">
        <v>23801.300502895716</v>
      </c>
      <c r="N182" s="45">
        <f t="shared" si="31"/>
        <v>176335.27869860712</v>
      </c>
      <c r="O182" s="46">
        <f t="shared" si="32"/>
        <v>1587017.508287464</v>
      </c>
      <c r="P182" s="47">
        <f t="shared" si="33"/>
        <v>274908.89777777781</v>
      </c>
      <c r="Q182" s="47">
        <v>651100</v>
      </c>
      <c r="R182" s="47">
        <f t="shared" si="36"/>
        <v>376191.10222222219</v>
      </c>
      <c r="S182" s="191">
        <f t="shared" si="35"/>
        <v>0.57777776412566761</v>
      </c>
      <c r="T182" s="42">
        <v>2474180.08</v>
      </c>
      <c r="U182" s="48">
        <f t="shared" si="34"/>
        <v>0.64143168927601424</v>
      </c>
      <c r="V182" s="49"/>
      <c r="X182" s="112"/>
    </row>
    <row r="183" spans="1:24" x14ac:dyDescent="0.3">
      <c r="A183" s="40" t="str">
        <f>VLOOKUP(B183,Grupos!$A$2:$B$619,2,FALSE)</f>
        <v>TABLEROS 225 AMP COBRE</v>
      </c>
      <c r="B183" s="41" t="s">
        <v>311</v>
      </c>
      <c r="C183" s="41" t="s">
        <v>312</v>
      </c>
      <c r="D183" s="42">
        <v>25</v>
      </c>
      <c r="E183" s="43">
        <v>138257.64000000001</v>
      </c>
      <c r="F183" s="43">
        <v>5278.48</v>
      </c>
      <c r="G183" s="126">
        <f t="shared" si="26"/>
        <v>143536.12000000002</v>
      </c>
      <c r="H183" s="127">
        <f t="shared" si="27"/>
        <v>3456441.0000000005</v>
      </c>
      <c r="I183" s="128">
        <f t="shared" si="28"/>
        <v>131962</v>
      </c>
      <c r="J183" s="128">
        <f t="shared" si="29"/>
        <v>3588403.0000000005</v>
      </c>
      <c r="K183" s="44">
        <f t="shared" si="30"/>
        <v>2.6960295443456709E-3</v>
      </c>
      <c r="L183" s="45">
        <v>27898.397637092057</v>
      </c>
      <c r="M183" s="45">
        <v>28347.17704840365</v>
      </c>
      <c r="N183" s="45">
        <f t="shared" si="31"/>
        <v>199781.69468549575</v>
      </c>
      <c r="O183" s="46">
        <f t="shared" si="32"/>
        <v>4994542.3671373939</v>
      </c>
      <c r="P183" s="47">
        <f t="shared" si="33"/>
        <v>393781.20880000002</v>
      </c>
      <c r="Q183" s="47">
        <v>965150</v>
      </c>
      <c r="R183" s="47">
        <f t="shared" si="36"/>
        <v>571368.79119999998</v>
      </c>
      <c r="S183" s="191">
        <f t="shared" si="35"/>
        <v>0.59199999088224631</v>
      </c>
      <c r="T183" s="42">
        <v>9844530.2200000007</v>
      </c>
      <c r="U183" s="48">
        <f t="shared" si="34"/>
        <v>0.50734186959887184</v>
      </c>
      <c r="V183" s="49"/>
      <c r="X183" s="112"/>
    </row>
    <row r="184" spans="1:24" x14ac:dyDescent="0.3">
      <c r="A184" s="40" t="str">
        <f>VLOOKUP(B184,Grupos!$A$2:$B$619,2,FALSE)</f>
        <v>TABLEROS 225 AMP COBRE</v>
      </c>
      <c r="B184" s="41" t="s">
        <v>313</v>
      </c>
      <c r="C184" s="41" t="s">
        <v>314</v>
      </c>
      <c r="D184" s="42">
        <v>26</v>
      </c>
      <c r="E184" s="43">
        <v>139411.04</v>
      </c>
      <c r="F184" s="43">
        <v>5278</v>
      </c>
      <c r="G184" s="126">
        <f t="shared" si="26"/>
        <v>144689.04</v>
      </c>
      <c r="H184" s="127">
        <f t="shared" si="27"/>
        <v>3624687.04</v>
      </c>
      <c r="I184" s="128">
        <f t="shared" si="28"/>
        <v>137228</v>
      </c>
      <c r="J184" s="128">
        <f t="shared" si="29"/>
        <v>3761915.04</v>
      </c>
      <c r="K184" s="44">
        <f t="shared" si="30"/>
        <v>2.8263921558304142E-3</v>
      </c>
      <c r="L184" s="45">
        <v>28122.484930267852</v>
      </c>
      <c r="M184" s="45">
        <v>28344.599290226444</v>
      </c>
      <c r="N184" s="45">
        <f t="shared" si="31"/>
        <v>201156.1242204943</v>
      </c>
      <c r="O184" s="46">
        <f t="shared" si="32"/>
        <v>5230059.2297328515</v>
      </c>
      <c r="P184" s="47">
        <f t="shared" si="33"/>
        <v>382557.34807692311</v>
      </c>
      <c r="Q184" s="47">
        <v>935700</v>
      </c>
      <c r="R184" s="47">
        <f t="shared" si="36"/>
        <v>553142.65192307695</v>
      </c>
      <c r="S184" s="191">
        <f t="shared" si="35"/>
        <v>0.59115384409861804</v>
      </c>
      <c r="T184" s="42">
        <v>9946491.0500000007</v>
      </c>
      <c r="U184" s="48">
        <f t="shared" si="34"/>
        <v>0.52581952805686694</v>
      </c>
      <c r="V184" s="49"/>
      <c r="X184" s="112"/>
    </row>
    <row r="185" spans="1:24" x14ac:dyDescent="0.3">
      <c r="A185" s="40" t="str">
        <f>VLOOKUP(B185,Grupos!$A$2:$B$619,2,FALSE)</f>
        <v>TABLEROS 225 AMP COBRE</v>
      </c>
      <c r="B185" s="41" t="s">
        <v>315</v>
      </c>
      <c r="C185" s="41" t="s">
        <v>316</v>
      </c>
      <c r="D185" s="42">
        <v>26</v>
      </c>
      <c r="E185" s="43">
        <v>142045.49</v>
      </c>
      <c r="F185" s="43">
        <v>5387.7</v>
      </c>
      <c r="G185" s="126">
        <f t="shared" si="26"/>
        <v>147433.19</v>
      </c>
      <c r="H185" s="127">
        <f t="shared" si="27"/>
        <v>3693182.7399999998</v>
      </c>
      <c r="I185" s="128">
        <f t="shared" si="28"/>
        <v>140080.19999999998</v>
      </c>
      <c r="J185" s="128">
        <f t="shared" si="29"/>
        <v>3833262.94</v>
      </c>
      <c r="K185" s="44">
        <f t="shared" si="30"/>
        <v>2.8799970732064782E-3</v>
      </c>
      <c r="L185" s="45">
        <v>28655.85163877179</v>
      </c>
      <c r="M185" s="45">
        <v>28933.724440309397</v>
      </c>
      <c r="N185" s="45">
        <f t="shared" si="31"/>
        <v>205022.76607908119</v>
      </c>
      <c r="O185" s="46">
        <f t="shared" si="32"/>
        <v>5330591.9180561109</v>
      </c>
      <c r="P185" s="47">
        <f t="shared" si="33"/>
        <v>302826.61653846153</v>
      </c>
      <c r="Q185" s="47">
        <v>774950</v>
      </c>
      <c r="R185" s="47">
        <f t="shared" si="36"/>
        <v>472123.38346153847</v>
      </c>
      <c r="S185" s="191">
        <f t="shared" si="35"/>
        <v>0.60923076774183949</v>
      </c>
      <c r="T185" s="42">
        <v>7873492.0300000003</v>
      </c>
      <c r="U185" s="48">
        <f t="shared" si="34"/>
        <v>0.67703020435471384</v>
      </c>
      <c r="V185" s="49"/>
      <c r="X185" s="112"/>
    </row>
    <row r="186" spans="1:24" x14ac:dyDescent="0.3">
      <c r="A186" s="40" t="str">
        <f>VLOOKUP(B186,Grupos!$A$2:$B$619,2,FALSE)</f>
        <v>TABLEROS 225 AMP COBRE</v>
      </c>
      <c r="B186" s="41" t="s">
        <v>317</v>
      </c>
      <c r="C186" s="41" t="s">
        <v>318</v>
      </c>
      <c r="D186" s="42">
        <v>21</v>
      </c>
      <c r="E186" s="43">
        <v>142975.63</v>
      </c>
      <c r="F186" s="43">
        <v>5388</v>
      </c>
      <c r="G186" s="126">
        <f t="shared" si="26"/>
        <v>148363.63</v>
      </c>
      <c r="H186" s="127">
        <f t="shared" si="27"/>
        <v>3002488.23</v>
      </c>
      <c r="I186" s="128">
        <f t="shared" si="28"/>
        <v>113148</v>
      </c>
      <c r="J186" s="128">
        <f t="shared" si="29"/>
        <v>3115636.23</v>
      </c>
      <c r="K186" s="44">
        <f t="shared" si="30"/>
        <v>2.3408316528310122E-3</v>
      </c>
      <c r="L186" s="45">
        <v>28836.69660725398</v>
      </c>
      <c r="M186" s="45">
        <v>28935.335539170155</v>
      </c>
      <c r="N186" s="45">
        <f t="shared" si="31"/>
        <v>206135.66214642415</v>
      </c>
      <c r="O186" s="46">
        <f t="shared" si="32"/>
        <v>4328848.9050749075</v>
      </c>
      <c r="P186" s="47">
        <f t="shared" si="33"/>
        <v>298721.26619047619</v>
      </c>
      <c r="Q186" s="47">
        <v>737150</v>
      </c>
      <c r="R186" s="47">
        <f t="shared" si="36"/>
        <v>438428.73380952381</v>
      </c>
      <c r="S186" s="191">
        <f t="shared" si="35"/>
        <v>0.59476189894800757</v>
      </c>
      <c r="T186" s="42">
        <v>6273146.5899999999</v>
      </c>
      <c r="U186" s="48">
        <f t="shared" si="34"/>
        <v>0.69006021826040376</v>
      </c>
      <c r="V186" s="49"/>
      <c r="X186" s="112"/>
    </row>
    <row r="187" spans="1:24" x14ac:dyDescent="0.3">
      <c r="A187" s="40" t="str">
        <f>VLOOKUP(B187,Grupos!$A$2:$B$619,2,FALSE)</f>
        <v>TABLEROS 225 AMP COBRE</v>
      </c>
      <c r="B187" s="41" t="s">
        <v>319</v>
      </c>
      <c r="C187" s="41" t="s">
        <v>320</v>
      </c>
      <c r="D187" s="42">
        <v>54</v>
      </c>
      <c r="E187" s="43">
        <v>157776.75</v>
      </c>
      <c r="F187" s="43">
        <v>6420.38</v>
      </c>
      <c r="G187" s="126">
        <f t="shared" si="26"/>
        <v>164197.13</v>
      </c>
      <c r="H187" s="127">
        <f t="shared" si="27"/>
        <v>8519944.5</v>
      </c>
      <c r="I187" s="128">
        <f t="shared" si="28"/>
        <v>346700.52</v>
      </c>
      <c r="J187" s="128">
        <f t="shared" si="29"/>
        <v>8866645.0199999996</v>
      </c>
      <c r="K187" s="44">
        <f t="shared" si="30"/>
        <v>6.6616645157038966E-3</v>
      </c>
      <c r="L187" s="45">
        <v>31914.174798714757</v>
      </c>
      <c r="M187" s="45">
        <v>34479.556345392964</v>
      </c>
      <c r="N187" s="45">
        <f t="shared" si="31"/>
        <v>230590.86114410771</v>
      </c>
      <c r="O187" s="46">
        <f t="shared" si="32"/>
        <v>12451906.501781816</v>
      </c>
      <c r="P187" s="47">
        <f t="shared" si="33"/>
        <v>431452.09055555559</v>
      </c>
      <c r="Q187" s="47">
        <v>1053750</v>
      </c>
      <c r="R187" s="47">
        <f t="shared" si="36"/>
        <v>622297.90944444435</v>
      </c>
      <c r="S187" s="191">
        <f t="shared" si="35"/>
        <v>0.59055554870172655</v>
      </c>
      <c r="T187" s="42">
        <v>23298412.890000001</v>
      </c>
      <c r="U187" s="48">
        <f t="shared" si="34"/>
        <v>0.53445299302453109</v>
      </c>
      <c r="V187" s="49"/>
      <c r="X187" s="112"/>
    </row>
    <row r="188" spans="1:24" x14ac:dyDescent="0.3">
      <c r="A188" s="40" t="str">
        <f>VLOOKUP(B188,Grupos!$A$2:$B$619,2,FALSE)</f>
        <v>TABLEROS 225 AMP COBRE</v>
      </c>
      <c r="B188" s="41" t="s">
        <v>321</v>
      </c>
      <c r="C188" s="41" t="s">
        <v>322</v>
      </c>
      <c r="D188" s="42">
        <v>60</v>
      </c>
      <c r="E188" s="43">
        <v>158977.73000000001</v>
      </c>
      <c r="F188" s="43">
        <v>6420</v>
      </c>
      <c r="G188" s="126">
        <f t="shared" si="26"/>
        <v>165397.73000000001</v>
      </c>
      <c r="H188" s="127">
        <f t="shared" si="27"/>
        <v>9538663.8000000007</v>
      </c>
      <c r="I188" s="128">
        <f t="shared" si="28"/>
        <v>385200</v>
      </c>
      <c r="J188" s="128">
        <f t="shared" si="29"/>
        <v>9923863.8000000007</v>
      </c>
      <c r="K188" s="44">
        <f t="shared" si="30"/>
        <v>7.4559713607592285E-3</v>
      </c>
      <c r="L188" s="45">
        <v>32147.529414982026</v>
      </c>
      <c r="M188" s="45">
        <v>34477.515620169339</v>
      </c>
      <c r="N188" s="45">
        <f t="shared" si="31"/>
        <v>232022.7750351514</v>
      </c>
      <c r="O188" s="46">
        <f t="shared" si="32"/>
        <v>13921366.502109084</v>
      </c>
      <c r="P188" s="47">
        <f t="shared" si="33"/>
        <v>413058.3421666667</v>
      </c>
      <c r="Q188" s="47">
        <v>1022000</v>
      </c>
      <c r="R188" s="47">
        <f t="shared" si="36"/>
        <v>608941.65783333336</v>
      </c>
      <c r="S188" s="191">
        <f t="shared" si="35"/>
        <v>0.59583332469015005</v>
      </c>
      <c r="T188" s="42">
        <v>24783500.530000001</v>
      </c>
      <c r="U188" s="48">
        <f t="shared" si="34"/>
        <v>0.56171913589274891</v>
      </c>
      <c r="V188" s="49"/>
      <c r="X188" s="112"/>
    </row>
    <row r="189" spans="1:24" x14ac:dyDescent="0.3">
      <c r="A189" s="40" t="str">
        <f>VLOOKUP(B189,Grupos!$A$2:$B$619,2,FALSE)</f>
        <v>TABLEROS 225 AMP COBRE</v>
      </c>
      <c r="B189" s="41" t="s">
        <v>323</v>
      </c>
      <c r="C189" s="41" t="s">
        <v>324</v>
      </c>
      <c r="D189" s="42">
        <v>26</v>
      </c>
      <c r="E189" s="43">
        <v>153317.93</v>
      </c>
      <c r="F189" s="43">
        <v>6756.29</v>
      </c>
      <c r="G189" s="126">
        <f t="shared" si="26"/>
        <v>160074.22</v>
      </c>
      <c r="H189" s="127">
        <f t="shared" si="27"/>
        <v>3986266.1799999997</v>
      </c>
      <c r="I189" s="128">
        <f t="shared" si="28"/>
        <v>175663.54</v>
      </c>
      <c r="J189" s="128">
        <f t="shared" si="29"/>
        <v>4161929.72</v>
      </c>
      <c r="K189" s="44">
        <f t="shared" si="30"/>
        <v>3.1269301376156203E-3</v>
      </c>
      <c r="L189" s="45">
        <v>31112.825405949068</v>
      </c>
      <c r="M189" s="45">
        <v>36283.503739780979</v>
      </c>
      <c r="N189" s="45">
        <f t="shared" si="31"/>
        <v>227470.54914573004</v>
      </c>
      <c r="O189" s="46">
        <f t="shared" si="32"/>
        <v>5914234.2777889809</v>
      </c>
      <c r="P189" s="47">
        <f t="shared" si="33"/>
        <v>349144.6111538462</v>
      </c>
      <c r="Q189" s="47">
        <v>886500</v>
      </c>
      <c r="R189" s="47">
        <f t="shared" si="36"/>
        <v>537355.38884615386</v>
      </c>
      <c r="S189" s="191">
        <f t="shared" si="35"/>
        <v>0.60615385092628749</v>
      </c>
      <c r="T189" s="42">
        <v>9077759.8900000006</v>
      </c>
      <c r="U189" s="48">
        <f t="shared" si="34"/>
        <v>0.65150811978449241</v>
      </c>
      <c r="V189" s="49"/>
      <c r="X189" s="112"/>
    </row>
    <row r="190" spans="1:24" x14ac:dyDescent="0.3">
      <c r="A190" s="40" t="str">
        <f>VLOOKUP(B190,Grupos!$A$2:$B$619,2,FALSE)</f>
        <v>TABLEROS 225 AMP COBRE</v>
      </c>
      <c r="B190" s="41" t="s">
        <v>325</v>
      </c>
      <c r="C190" s="41" t="s">
        <v>326</v>
      </c>
      <c r="D190" s="42">
        <v>19</v>
      </c>
      <c r="E190" s="43">
        <v>154343.44</v>
      </c>
      <c r="F190" s="43">
        <v>6756</v>
      </c>
      <c r="G190" s="126">
        <f t="shared" si="26"/>
        <v>161099.44</v>
      </c>
      <c r="H190" s="127">
        <f t="shared" si="27"/>
        <v>2932525.36</v>
      </c>
      <c r="I190" s="128">
        <f t="shared" si="28"/>
        <v>128364</v>
      </c>
      <c r="J190" s="128">
        <f t="shared" si="29"/>
        <v>3060889.36</v>
      </c>
      <c r="K190" s="44">
        <f t="shared" si="30"/>
        <v>2.2996993778383618E-3</v>
      </c>
      <c r="L190" s="45">
        <v>31312.092288915523</v>
      </c>
      <c r="M190" s="45">
        <v>36281.946344215583</v>
      </c>
      <c r="N190" s="45">
        <f t="shared" si="31"/>
        <v>228693.47863313113</v>
      </c>
      <c r="O190" s="46">
        <f t="shared" si="32"/>
        <v>4345176.0940294918</v>
      </c>
      <c r="P190" s="47">
        <f t="shared" si="33"/>
        <v>332743.40999999997</v>
      </c>
      <c r="Q190" s="47">
        <v>842950</v>
      </c>
      <c r="R190" s="47">
        <f t="shared" si="36"/>
        <v>510206.59</v>
      </c>
      <c r="S190" s="191">
        <f t="shared" si="35"/>
        <v>0.605263171006584</v>
      </c>
      <c r="T190" s="42">
        <v>6322124.79</v>
      </c>
      <c r="U190" s="48">
        <f t="shared" si="34"/>
        <v>0.6872967931449977</v>
      </c>
      <c r="V190" s="49"/>
      <c r="X190" s="112"/>
    </row>
    <row r="191" spans="1:24" x14ac:dyDescent="0.3">
      <c r="A191" s="40" t="str">
        <f>VLOOKUP(B191,Grupos!$A$2:$B$619,2,FALSE)</f>
        <v>TABLEROS 225 AMP COBRE</v>
      </c>
      <c r="B191" s="41" t="s">
        <v>327</v>
      </c>
      <c r="C191" s="41" t="s">
        <v>328</v>
      </c>
      <c r="D191" s="42">
        <v>26</v>
      </c>
      <c r="E191" s="43">
        <v>176832.1</v>
      </c>
      <c r="F191" s="43">
        <v>8052.17</v>
      </c>
      <c r="G191" s="126">
        <f t="shared" si="26"/>
        <v>184884.27000000002</v>
      </c>
      <c r="H191" s="127">
        <f t="shared" si="27"/>
        <v>4597634.6000000006</v>
      </c>
      <c r="I191" s="128">
        <f t="shared" si="28"/>
        <v>209356.42</v>
      </c>
      <c r="J191" s="128">
        <f t="shared" si="29"/>
        <v>4806991.0200000005</v>
      </c>
      <c r="K191" s="44">
        <f t="shared" si="30"/>
        <v>3.6115759041903408E-3</v>
      </c>
      <c r="L191" s="45">
        <v>35935.030717727983</v>
      </c>
      <c r="M191" s="45">
        <v>43242.80637870077</v>
      </c>
      <c r="N191" s="45">
        <f t="shared" si="31"/>
        <v>264062.10709642875</v>
      </c>
      <c r="O191" s="46">
        <f t="shared" si="32"/>
        <v>6865614.784507148</v>
      </c>
      <c r="P191" s="47">
        <f t="shared" si="33"/>
        <v>462231.00846153847</v>
      </c>
      <c r="Q191" s="47">
        <v>1151150</v>
      </c>
      <c r="R191" s="47">
        <f t="shared" si="36"/>
        <v>688918.99153846153</v>
      </c>
      <c r="S191" s="191">
        <f t="shared" si="35"/>
        <v>0.5984615311110294</v>
      </c>
      <c r="T191" s="42">
        <v>12018006.220000001</v>
      </c>
      <c r="U191" s="48">
        <f t="shared" si="34"/>
        <v>0.57127735323365036</v>
      </c>
      <c r="V191" s="49"/>
      <c r="X191" s="112"/>
    </row>
    <row r="192" spans="1:24" x14ac:dyDescent="0.3">
      <c r="A192" s="40" t="str">
        <f>VLOOKUP(B192,Grupos!$A$2:$B$619,2,FALSE)</f>
        <v>TABLEROS 225 AMP COBRE</v>
      </c>
      <c r="B192" s="41" t="s">
        <v>329</v>
      </c>
      <c r="C192" s="41" t="s">
        <v>330</v>
      </c>
      <c r="D192" s="42">
        <v>33</v>
      </c>
      <c r="E192" s="43">
        <v>178070.7</v>
      </c>
      <c r="F192" s="43">
        <v>8052</v>
      </c>
      <c r="G192" s="126">
        <f t="shared" si="26"/>
        <v>186122.7</v>
      </c>
      <c r="H192" s="127">
        <f t="shared" si="27"/>
        <v>5876333.1000000006</v>
      </c>
      <c r="I192" s="128">
        <f t="shared" si="28"/>
        <v>265716</v>
      </c>
      <c r="J192" s="128">
        <f t="shared" si="29"/>
        <v>6142049.1000000006</v>
      </c>
      <c r="K192" s="44">
        <f t="shared" si="30"/>
        <v>4.6146282444925329E-3</v>
      </c>
      <c r="L192" s="45">
        <v>36175.738161859153</v>
      </c>
      <c r="M192" s="45">
        <v>43241.893422679677</v>
      </c>
      <c r="N192" s="45">
        <f t="shared" si="31"/>
        <v>265540.33158453886</v>
      </c>
      <c r="O192" s="46">
        <f t="shared" si="32"/>
        <v>8762830.9422897827</v>
      </c>
      <c r="P192" s="47">
        <f t="shared" si="33"/>
        <v>444550.09666666668</v>
      </c>
      <c r="Q192" s="47">
        <v>1116450</v>
      </c>
      <c r="R192" s="47">
        <f t="shared" si="36"/>
        <v>671899.90333333332</v>
      </c>
      <c r="S192" s="191">
        <f t="shared" si="35"/>
        <v>0.60181817666114323</v>
      </c>
      <c r="T192" s="42">
        <v>14670153.189999999</v>
      </c>
      <c r="U192" s="48">
        <f t="shared" si="34"/>
        <v>0.59732375175625441</v>
      </c>
      <c r="V192" s="49"/>
      <c r="X192" s="112"/>
    </row>
    <row r="193" spans="1:24" x14ac:dyDescent="0.3">
      <c r="A193" s="40" t="str">
        <f>VLOOKUP(B193,Grupos!$A$2:$B$619,2,FALSE)</f>
        <v>TABLEROS 75 AMP BIMETALICO CON PUERTA</v>
      </c>
      <c r="B193" s="41" t="s">
        <v>649</v>
      </c>
      <c r="C193" s="41" t="s">
        <v>650</v>
      </c>
      <c r="D193" s="42">
        <v>36</v>
      </c>
      <c r="E193" s="43">
        <v>18426.939999999999</v>
      </c>
      <c r="F193" s="43">
        <v>1583.13</v>
      </c>
      <c r="G193" s="126">
        <f t="shared" si="26"/>
        <v>20010.07</v>
      </c>
      <c r="H193" s="127">
        <f t="shared" si="27"/>
        <v>663369.84</v>
      </c>
      <c r="I193" s="128">
        <f t="shared" si="28"/>
        <v>56992.680000000008</v>
      </c>
      <c r="J193" s="128">
        <f t="shared" si="29"/>
        <v>720362.52</v>
      </c>
      <c r="K193" s="44">
        <f t="shared" si="30"/>
        <v>5.4122088197989442E-4</v>
      </c>
      <c r="L193" s="45">
        <v>3889.2572100043294</v>
      </c>
      <c r="M193" s="45">
        <v>8501.9297980932533</v>
      </c>
      <c r="N193" s="45">
        <f t="shared" si="31"/>
        <v>32401.257008097582</v>
      </c>
      <c r="O193" s="46">
        <f t="shared" si="32"/>
        <v>1166445.2522915129</v>
      </c>
      <c r="P193" s="47">
        <f t="shared" si="33"/>
        <v>65358.335277777776</v>
      </c>
      <c r="Q193" s="47">
        <v>170500</v>
      </c>
      <c r="R193" s="47">
        <f t="shared" si="36"/>
        <v>105141.66472222222</v>
      </c>
      <c r="S193" s="191">
        <f t="shared" si="35"/>
        <v>0.61666665526230047</v>
      </c>
      <c r="T193" s="42">
        <v>2352900.0699999998</v>
      </c>
      <c r="U193" s="48">
        <f t="shared" si="34"/>
        <v>0.49574789306352179</v>
      </c>
      <c r="V193" s="49"/>
      <c r="X193" s="112"/>
    </row>
    <row r="194" spans="1:24" x14ac:dyDescent="0.3">
      <c r="A194" s="40" t="str">
        <f>VLOOKUP(B194,Grupos!$A$2:$B$619,2,FALSE)</f>
        <v>TABLEROS 75 AMP BIMETALICO CON PUERTA</v>
      </c>
      <c r="B194" s="41" t="s">
        <v>331</v>
      </c>
      <c r="C194" s="41" t="s">
        <v>332</v>
      </c>
      <c r="D194" s="42">
        <v>126</v>
      </c>
      <c r="E194" s="43">
        <v>8875.91</v>
      </c>
      <c r="F194" s="43">
        <v>1160.0999999999999</v>
      </c>
      <c r="G194" s="126">
        <f t="shared" si="26"/>
        <v>10036.01</v>
      </c>
      <c r="H194" s="127">
        <f t="shared" si="27"/>
        <v>1118364.6599999999</v>
      </c>
      <c r="I194" s="128">
        <f t="shared" si="28"/>
        <v>146172.59999999998</v>
      </c>
      <c r="J194" s="128">
        <f t="shared" si="29"/>
        <v>1264537.26</v>
      </c>
      <c r="K194" s="44">
        <f t="shared" si="30"/>
        <v>9.5006882250570036E-4</v>
      </c>
      <c r="L194" s="45">
        <v>1950.6490608066613</v>
      </c>
      <c r="M194" s="45">
        <v>6230.1192945418143</v>
      </c>
      <c r="N194" s="45">
        <f t="shared" si="31"/>
        <v>18216.778355348477</v>
      </c>
      <c r="O194" s="46">
        <f t="shared" si="32"/>
        <v>2295314.0727739083</v>
      </c>
      <c r="P194" s="47">
        <f t="shared" si="33"/>
        <v>29573.500396825395</v>
      </c>
      <c r="Q194" s="47">
        <v>73150</v>
      </c>
      <c r="R194" s="47">
        <f t="shared" si="36"/>
        <v>43576.499603174605</v>
      </c>
      <c r="S194" s="191">
        <f t="shared" si="35"/>
        <v>0.59571428028946827</v>
      </c>
      <c r="T194" s="42">
        <v>3726261.05</v>
      </c>
      <c r="U194" s="48">
        <f t="shared" si="34"/>
        <v>0.61598316435020262</v>
      </c>
      <c r="V194" s="49"/>
      <c r="X194" s="112"/>
    </row>
    <row r="195" spans="1:24" x14ac:dyDescent="0.3">
      <c r="A195" s="40" t="str">
        <f>VLOOKUP(B195,Grupos!$A$2:$B$619,2,FALSE)</f>
        <v>TABLEROS 75 AMP BIMETALICO CON PUERTA</v>
      </c>
      <c r="B195" s="41" t="s">
        <v>333</v>
      </c>
      <c r="C195" s="41" t="s">
        <v>334</v>
      </c>
      <c r="D195" s="42">
        <v>108</v>
      </c>
      <c r="E195" s="43">
        <v>9205.7900000000009</v>
      </c>
      <c r="F195" s="43">
        <v>1305.21</v>
      </c>
      <c r="G195" s="126">
        <f t="shared" si="26"/>
        <v>10511</v>
      </c>
      <c r="H195" s="127">
        <f t="shared" si="27"/>
        <v>994225.32000000007</v>
      </c>
      <c r="I195" s="128">
        <f t="shared" si="28"/>
        <v>140962.68</v>
      </c>
      <c r="J195" s="128">
        <f t="shared" si="29"/>
        <v>1135188</v>
      </c>
      <c r="K195" s="44">
        <f t="shared" si="30"/>
        <v>8.5288647523332054E-4</v>
      </c>
      <c r="L195" s="45">
        <v>2042.9704910755188</v>
      </c>
      <c r="M195" s="45">
        <v>7009.407813489287</v>
      </c>
      <c r="N195" s="45">
        <f t="shared" si="31"/>
        <v>19563.378304564805</v>
      </c>
      <c r="O195" s="46">
        <f t="shared" si="32"/>
        <v>2112844.8568929988</v>
      </c>
      <c r="P195" s="47">
        <f t="shared" si="33"/>
        <v>30357.251574074075</v>
      </c>
      <c r="Q195" s="47">
        <v>73150</v>
      </c>
      <c r="R195" s="47">
        <f t="shared" si="36"/>
        <v>42792.748425925922</v>
      </c>
      <c r="S195" s="191">
        <f t="shared" si="35"/>
        <v>0.58499997848155738</v>
      </c>
      <c r="T195" s="42">
        <v>3278583.17</v>
      </c>
      <c r="U195" s="48">
        <f t="shared" si="34"/>
        <v>0.64443838918779017</v>
      </c>
      <c r="V195" s="49"/>
      <c r="X195" s="112"/>
    </row>
    <row r="196" spans="1:24" x14ac:dyDescent="0.3">
      <c r="A196" s="40" t="str">
        <f>VLOOKUP(B196,Grupos!$A$2:$B$619,2,FALSE)</f>
        <v>TABLEROS 75 AMP BIMETALICO CON PUERTA</v>
      </c>
      <c r="B196" s="41" t="s">
        <v>335</v>
      </c>
      <c r="C196" s="41" t="s">
        <v>336</v>
      </c>
      <c r="D196" s="42">
        <v>96</v>
      </c>
      <c r="E196" s="43">
        <v>10818.41</v>
      </c>
      <c r="F196" s="43">
        <v>1289.01</v>
      </c>
      <c r="G196" s="126">
        <f t="shared" si="26"/>
        <v>12107.42</v>
      </c>
      <c r="H196" s="127">
        <f t="shared" si="27"/>
        <v>1038567.36</v>
      </c>
      <c r="I196" s="128">
        <f t="shared" si="28"/>
        <v>123744.95999999999</v>
      </c>
      <c r="J196" s="128">
        <f t="shared" si="29"/>
        <v>1162312.32</v>
      </c>
      <c r="K196" s="44">
        <f t="shared" si="30"/>
        <v>8.7326544830024927E-4</v>
      </c>
      <c r="L196" s="45">
        <v>2353.2586607418475</v>
      </c>
      <c r="M196" s="45">
        <v>6922.4084750084858</v>
      </c>
      <c r="N196" s="45">
        <f t="shared" si="31"/>
        <v>21383.087135750335</v>
      </c>
      <c r="O196" s="46">
        <f t="shared" si="32"/>
        <v>2052776.3650320321</v>
      </c>
      <c r="P196" s="47">
        <f t="shared" si="33"/>
        <v>37149.001458333332</v>
      </c>
      <c r="Q196" s="47">
        <v>88450</v>
      </c>
      <c r="R196" s="47">
        <f t="shared" si="36"/>
        <v>51300.998541666668</v>
      </c>
      <c r="S196" s="191">
        <f t="shared" si="35"/>
        <v>0.57999998351234217</v>
      </c>
      <c r="T196" s="42">
        <v>3566304.14</v>
      </c>
      <c r="U196" s="48">
        <f t="shared" si="34"/>
        <v>0.57560328128156568</v>
      </c>
      <c r="V196" s="49"/>
      <c r="X196" s="112"/>
    </row>
    <row r="197" spans="1:24" x14ac:dyDescent="0.3">
      <c r="A197" s="40" t="str">
        <f>VLOOKUP(B197,Grupos!$A$2:$B$619,2,FALSE)</f>
        <v>TABLEROS 75 AMP BIMETALICO CON PUERTA</v>
      </c>
      <c r="B197" s="41" t="s">
        <v>337</v>
      </c>
      <c r="C197" s="41" t="s">
        <v>338</v>
      </c>
      <c r="D197" s="42">
        <v>312</v>
      </c>
      <c r="E197" s="43">
        <v>11137.42</v>
      </c>
      <c r="F197" s="43">
        <v>1425.14</v>
      </c>
      <c r="G197" s="126">
        <f t="shared" ref="G197:G260" si="37">E197+F197</f>
        <v>12562.56</v>
      </c>
      <c r="H197" s="127">
        <f t="shared" ref="H197:H263" si="38">E197*D197</f>
        <v>3474875.04</v>
      </c>
      <c r="I197" s="128">
        <f t="shared" ref="I197:I263" si="39">F197*D197</f>
        <v>444643.68000000005</v>
      </c>
      <c r="J197" s="128">
        <f t="shared" ref="J197:J263" si="40">G197*D197</f>
        <v>3919518.7199999997</v>
      </c>
      <c r="K197" s="44">
        <f t="shared" ref="K197:K260" si="41">J197/$J$264</f>
        <v>2.9448025399421208E-3</v>
      </c>
      <c r="L197" s="45">
        <v>2441.7219458058862</v>
      </c>
      <c r="M197" s="45">
        <v>7653.4714347240088</v>
      </c>
      <c r="N197" s="45">
        <f t="shared" ref="N197:N260" si="42">G197+L197+M197</f>
        <v>22657.753380529895</v>
      </c>
      <c r="O197" s="46">
        <f t="shared" ref="O197:O260" si="43">N197*D197</f>
        <v>7069219.0547253275</v>
      </c>
      <c r="P197" s="47">
        <f t="shared" ref="P197:P260" si="44">T197/D197</f>
        <v>35597.821955128202</v>
      </c>
      <c r="Q197" s="47">
        <v>88450</v>
      </c>
      <c r="R197" s="47">
        <f t="shared" si="36"/>
        <v>52852.178044871798</v>
      </c>
      <c r="S197" s="191">
        <f t="shared" si="35"/>
        <v>0.59753734363902544</v>
      </c>
      <c r="T197" s="42">
        <v>11106520.449999999</v>
      </c>
      <c r="U197" s="48">
        <f t="shared" ref="U197:U260" si="45">O197/T197</f>
        <v>0.63649268792597669</v>
      </c>
      <c r="V197" s="49"/>
      <c r="X197" s="112"/>
    </row>
    <row r="198" spans="1:24" x14ac:dyDescent="0.3">
      <c r="A198" s="40" t="str">
        <f>VLOOKUP(B198,Grupos!$A$2:$B$619,2,FALSE)</f>
        <v>TABLEROS 75 AMP BIMETALICO CON PUERTA</v>
      </c>
      <c r="B198" s="41" t="s">
        <v>339</v>
      </c>
      <c r="C198" s="41" t="s">
        <v>340</v>
      </c>
      <c r="D198" s="42">
        <v>36</v>
      </c>
      <c r="E198" s="43">
        <v>13567.02</v>
      </c>
      <c r="F198" s="43">
        <v>1696.73</v>
      </c>
      <c r="G198" s="126">
        <f t="shared" si="37"/>
        <v>15263.75</v>
      </c>
      <c r="H198" s="127">
        <f t="shared" si="38"/>
        <v>488412.72000000003</v>
      </c>
      <c r="I198" s="128">
        <f t="shared" si="39"/>
        <v>61082.28</v>
      </c>
      <c r="J198" s="128">
        <f t="shared" si="40"/>
        <v>549495</v>
      </c>
      <c r="K198" s="44">
        <f t="shared" si="41"/>
        <v>4.1284514433585757E-4</v>
      </c>
      <c r="L198" s="45">
        <v>2966.7387340076066</v>
      </c>
      <c r="M198" s="45">
        <v>9111.9992333660321</v>
      </c>
      <c r="N198" s="45">
        <f t="shared" si="42"/>
        <v>27342.487967373636</v>
      </c>
      <c r="O198" s="46">
        <f t="shared" si="43"/>
        <v>984329.56682545086</v>
      </c>
      <c r="P198" s="47">
        <f t="shared" si="44"/>
        <v>55889.999444444446</v>
      </c>
      <c r="Q198" s="47">
        <v>148500</v>
      </c>
      <c r="R198" s="47">
        <f t="shared" si="36"/>
        <v>92610.000555555554</v>
      </c>
      <c r="S198" s="191">
        <f t="shared" ref="S198:S261" si="46">R198/Q198</f>
        <v>0.62363636737747852</v>
      </c>
      <c r="T198" s="42">
        <v>2012039.98</v>
      </c>
      <c r="U198" s="48">
        <f t="shared" si="45"/>
        <v>0.48921968579642777</v>
      </c>
      <c r="V198" s="49"/>
      <c r="X198" s="112"/>
    </row>
    <row r="199" spans="1:24" x14ac:dyDescent="0.3">
      <c r="A199" s="40" t="str">
        <f>VLOOKUP(B199,Grupos!$A$2:$B$619,2,FALSE)</f>
        <v>TABLEROS 75 AMP BIMETALICO CON PUERTA</v>
      </c>
      <c r="B199" s="41" t="s">
        <v>341</v>
      </c>
      <c r="C199" s="41" t="s">
        <v>342</v>
      </c>
      <c r="D199" s="42">
        <v>24</v>
      </c>
      <c r="E199" s="43">
        <v>13912.34</v>
      </c>
      <c r="F199" s="43">
        <v>1710.33</v>
      </c>
      <c r="G199" s="126">
        <f t="shared" si="37"/>
        <v>15622.67</v>
      </c>
      <c r="H199" s="127">
        <f t="shared" si="38"/>
        <v>333896.16000000003</v>
      </c>
      <c r="I199" s="128">
        <f t="shared" si="39"/>
        <v>41047.919999999998</v>
      </c>
      <c r="J199" s="128">
        <f t="shared" si="40"/>
        <v>374944.08</v>
      </c>
      <c r="K199" s="44">
        <f t="shared" si="41"/>
        <v>2.8170200425022126E-4</v>
      </c>
      <c r="L199" s="45">
        <v>3036.5002189906554</v>
      </c>
      <c r="M199" s="45">
        <v>9185.0357150536165</v>
      </c>
      <c r="N199" s="45">
        <f t="shared" si="42"/>
        <v>27844.205934044272</v>
      </c>
      <c r="O199" s="46">
        <f t="shared" si="43"/>
        <v>668260.94241706259</v>
      </c>
      <c r="P199" s="47">
        <f t="shared" si="44"/>
        <v>61627.498749999999</v>
      </c>
      <c r="Q199" s="47">
        <v>148500</v>
      </c>
      <c r="R199" s="47">
        <f t="shared" si="36"/>
        <v>86872.501250000001</v>
      </c>
      <c r="S199" s="191">
        <f t="shared" si="46"/>
        <v>0.58500000841750843</v>
      </c>
      <c r="T199" s="42">
        <v>1479059.97</v>
      </c>
      <c r="U199" s="48">
        <f t="shared" si="45"/>
        <v>0.4518146363038022</v>
      </c>
      <c r="V199" s="49"/>
      <c r="X199" s="112"/>
    </row>
    <row r="200" spans="1:24" x14ac:dyDescent="0.3">
      <c r="A200" s="40" t="str">
        <f>VLOOKUP(B200,Grupos!$A$2:$B$619,2,FALSE)</f>
        <v>TABLEROS 75 AMP BIMETALICO TAPA LISA</v>
      </c>
      <c r="B200" s="41" t="s">
        <v>344</v>
      </c>
      <c r="C200" s="41" t="s">
        <v>345</v>
      </c>
      <c r="D200" s="42">
        <v>72</v>
      </c>
      <c r="E200" s="43">
        <v>6139.71</v>
      </c>
      <c r="F200" s="43">
        <v>669.78</v>
      </c>
      <c r="G200" s="126">
        <f t="shared" si="37"/>
        <v>6809.49</v>
      </c>
      <c r="H200" s="127">
        <f t="shared" si="38"/>
        <v>442059.12</v>
      </c>
      <c r="I200" s="128">
        <f t="shared" si="39"/>
        <v>48224.159999999996</v>
      </c>
      <c r="J200" s="128">
        <f t="shared" si="40"/>
        <v>490283.27999999997</v>
      </c>
      <c r="K200" s="44">
        <f t="shared" si="41"/>
        <v>3.6835834993413527E-4</v>
      </c>
      <c r="L200" s="45">
        <v>1323.5265083506645</v>
      </c>
      <c r="M200" s="45">
        <v>3596.9393165229003</v>
      </c>
      <c r="N200" s="45">
        <f t="shared" si="42"/>
        <v>11729.955824873565</v>
      </c>
      <c r="O200" s="46">
        <f t="shared" si="43"/>
        <v>844556.81939089671</v>
      </c>
      <c r="P200" s="47">
        <f t="shared" si="44"/>
        <v>16919.334444444445</v>
      </c>
      <c r="Q200" s="47">
        <v>43700</v>
      </c>
      <c r="R200" s="47">
        <f t="shared" si="36"/>
        <v>26780.665555555555</v>
      </c>
      <c r="S200" s="191">
        <f t="shared" si="46"/>
        <v>0.61282987541317058</v>
      </c>
      <c r="T200" s="42">
        <v>1218192.08</v>
      </c>
      <c r="U200" s="48">
        <f t="shared" si="45"/>
        <v>0.69328707127278044</v>
      </c>
      <c r="V200" s="49"/>
      <c r="X200" s="112"/>
    </row>
    <row r="201" spans="1:24" x14ac:dyDescent="0.3">
      <c r="A201" s="40" t="str">
        <f>VLOOKUP(B201,Grupos!$A$2:$B$619,2,FALSE)</f>
        <v>TABLEROS 75 AMP BIMETALICO TAPA LISA</v>
      </c>
      <c r="B201" s="41" t="s">
        <v>346</v>
      </c>
      <c r="C201" s="41" t="s">
        <v>347</v>
      </c>
      <c r="D201" s="42">
        <v>216</v>
      </c>
      <c r="E201" s="43">
        <v>5633.29</v>
      </c>
      <c r="F201" s="43">
        <v>670</v>
      </c>
      <c r="G201" s="126">
        <f t="shared" si="37"/>
        <v>6303.29</v>
      </c>
      <c r="H201" s="127">
        <f t="shared" si="38"/>
        <v>1216790.6399999999</v>
      </c>
      <c r="I201" s="128">
        <f t="shared" si="39"/>
        <v>144720</v>
      </c>
      <c r="J201" s="128">
        <f t="shared" si="40"/>
        <v>1361510.64</v>
      </c>
      <c r="K201" s="44">
        <f t="shared" si="41"/>
        <v>1.0229266084051825E-3</v>
      </c>
      <c r="L201" s="45">
        <v>1225.1389465028451</v>
      </c>
      <c r="M201" s="45">
        <v>3598.1207890207875</v>
      </c>
      <c r="N201" s="45">
        <f t="shared" si="42"/>
        <v>11126.549735523633</v>
      </c>
      <c r="O201" s="46">
        <f t="shared" si="43"/>
        <v>2403334.7428731048</v>
      </c>
      <c r="P201" s="47">
        <f t="shared" si="44"/>
        <v>16509.50097222222</v>
      </c>
      <c r="Q201" s="47">
        <v>40050</v>
      </c>
      <c r="R201" s="47">
        <f t="shared" si="36"/>
        <v>23540.49902777778</v>
      </c>
      <c r="S201" s="191">
        <f t="shared" si="46"/>
        <v>0.58777775350256634</v>
      </c>
      <c r="T201" s="42">
        <v>3566052.21</v>
      </c>
      <c r="U201" s="48">
        <f t="shared" si="45"/>
        <v>0.67394827707054372</v>
      </c>
      <c r="V201" s="49"/>
      <c r="X201" s="112"/>
    </row>
    <row r="202" spans="1:24" x14ac:dyDescent="0.3">
      <c r="A202" s="40" t="str">
        <f>VLOOKUP(B202,Grupos!$A$2:$B$619,2,FALSE)</f>
        <v>TABLEROS 75 AMP BIMETALICO TAPA LISA</v>
      </c>
      <c r="B202" s="41" t="s">
        <v>348</v>
      </c>
      <c r="C202" s="41" t="s">
        <v>349</v>
      </c>
      <c r="D202" s="42">
        <v>20</v>
      </c>
      <c r="E202" s="43">
        <v>9022.25</v>
      </c>
      <c r="F202" s="43">
        <v>1021.04</v>
      </c>
      <c r="G202" s="126">
        <f t="shared" si="37"/>
        <v>10043.290000000001</v>
      </c>
      <c r="H202" s="127">
        <f t="shared" si="38"/>
        <v>180445</v>
      </c>
      <c r="I202" s="128">
        <f t="shared" si="39"/>
        <v>20420.8</v>
      </c>
      <c r="J202" s="128">
        <f t="shared" si="40"/>
        <v>200865.80000000002</v>
      </c>
      <c r="K202" s="44">
        <f t="shared" si="41"/>
        <v>1.5091396681159519E-4</v>
      </c>
      <c r="L202" s="45">
        <v>1952.064037990091</v>
      </c>
      <c r="M202" s="45">
        <v>5483.3212692862462</v>
      </c>
      <c r="N202" s="45">
        <f t="shared" si="42"/>
        <v>17478.675307276339</v>
      </c>
      <c r="O202" s="46">
        <f t="shared" si="43"/>
        <v>349573.50614552677</v>
      </c>
      <c r="P202" s="47">
        <f t="shared" si="44"/>
        <v>21777.001</v>
      </c>
      <c r="Q202" s="47">
        <v>51850</v>
      </c>
      <c r="R202" s="47">
        <f t="shared" si="36"/>
        <v>30072.999</v>
      </c>
      <c r="S202" s="191">
        <f t="shared" si="46"/>
        <v>0.57999998071359693</v>
      </c>
      <c r="T202" s="42">
        <v>435540.02</v>
      </c>
      <c r="U202" s="48">
        <f t="shared" si="45"/>
        <v>0.8026208616731173</v>
      </c>
      <c r="V202" s="49"/>
      <c r="X202" s="112"/>
    </row>
    <row r="203" spans="1:24" x14ac:dyDescent="0.3">
      <c r="A203" s="40" t="str">
        <f>VLOOKUP(B203,Grupos!$A$2:$B$619,2,FALSE)</f>
        <v>TABLEROS 75 AMP BIMETALICO TAPA LISA</v>
      </c>
      <c r="B203" s="41" t="s">
        <v>350</v>
      </c>
      <c r="C203" s="41" t="s">
        <v>351</v>
      </c>
      <c r="D203" s="42">
        <v>560</v>
      </c>
      <c r="E203" s="43">
        <v>7740.23</v>
      </c>
      <c r="F203" s="43">
        <v>1021</v>
      </c>
      <c r="G203" s="126">
        <f t="shared" si="37"/>
        <v>8761.23</v>
      </c>
      <c r="H203" s="127">
        <f t="shared" si="38"/>
        <v>4334528.8</v>
      </c>
      <c r="I203" s="128">
        <f t="shared" si="39"/>
        <v>571760</v>
      </c>
      <c r="J203" s="128">
        <f t="shared" si="40"/>
        <v>4906288.8</v>
      </c>
      <c r="K203" s="44">
        <f t="shared" si="41"/>
        <v>3.6861800522104866E-3</v>
      </c>
      <c r="L203" s="45">
        <v>1702.8764490082358</v>
      </c>
      <c r="M203" s="45">
        <v>5483.1064561048124</v>
      </c>
      <c r="N203" s="45">
        <f t="shared" si="42"/>
        <v>15947.212905113047</v>
      </c>
      <c r="O203" s="46">
        <f t="shared" si="43"/>
        <v>8930439.226863306</v>
      </c>
      <c r="P203" s="47">
        <f t="shared" si="44"/>
        <v>18512.821910714283</v>
      </c>
      <c r="Q203" s="47">
        <v>45550</v>
      </c>
      <c r="R203" s="47">
        <f t="shared" si="36"/>
        <v>27037.178089285717</v>
      </c>
      <c r="S203" s="191">
        <f t="shared" si="46"/>
        <v>0.59357141798651414</v>
      </c>
      <c r="T203" s="42">
        <v>10367180.27</v>
      </c>
      <c r="U203" s="48">
        <f t="shared" si="45"/>
        <v>0.86141448246113173</v>
      </c>
      <c r="V203" s="49"/>
      <c r="X203" s="112"/>
    </row>
    <row r="204" spans="1:24" x14ac:dyDescent="0.3">
      <c r="A204" s="40" t="str">
        <f>VLOOKUP(B204,Grupos!$A$2:$B$619,2,FALSE)</f>
        <v>TABLEROS 75 AMP BIMETALICO TAPA LISA</v>
      </c>
      <c r="B204" s="41" t="s">
        <v>352</v>
      </c>
      <c r="C204" s="41" t="s">
        <v>353</v>
      </c>
      <c r="D204" s="42">
        <v>20</v>
      </c>
      <c r="E204" s="43">
        <v>8252.09</v>
      </c>
      <c r="F204" s="43">
        <v>1069.8699999999999</v>
      </c>
      <c r="G204" s="126">
        <f t="shared" si="37"/>
        <v>9321.9599999999991</v>
      </c>
      <c r="H204" s="127">
        <f t="shared" si="38"/>
        <v>165041.79999999999</v>
      </c>
      <c r="I204" s="128">
        <f t="shared" si="39"/>
        <v>21397.399999999998</v>
      </c>
      <c r="J204" s="128">
        <f t="shared" si="40"/>
        <v>186439.19999999998</v>
      </c>
      <c r="K204" s="44">
        <f t="shared" si="41"/>
        <v>1.4007501148119965E-4</v>
      </c>
      <c r="L204" s="45">
        <v>1811.862734181937</v>
      </c>
      <c r="M204" s="45">
        <v>5745.5544605218947</v>
      </c>
      <c r="N204" s="45">
        <f t="shared" si="42"/>
        <v>16879.377194703833</v>
      </c>
      <c r="O204" s="46">
        <f t="shared" si="43"/>
        <v>337587.54389407666</v>
      </c>
      <c r="P204" s="47">
        <f t="shared" si="44"/>
        <v>22666.999499999998</v>
      </c>
      <c r="Q204" s="47">
        <v>59650</v>
      </c>
      <c r="R204" s="47">
        <f t="shared" si="36"/>
        <v>36983.000500000002</v>
      </c>
      <c r="S204" s="191">
        <f t="shared" si="46"/>
        <v>0.62000000838222968</v>
      </c>
      <c r="T204" s="42">
        <v>453339.99</v>
      </c>
      <c r="U204" s="48">
        <f t="shared" si="45"/>
        <v>0.74466747108296505</v>
      </c>
      <c r="V204" s="49"/>
      <c r="X204" s="112"/>
    </row>
    <row r="205" spans="1:24" x14ac:dyDescent="0.3">
      <c r="A205" s="40" t="str">
        <f>VLOOKUP(B205,Grupos!$A$2:$B$619,2,FALSE)</f>
        <v>TABLEROS 75 AMP BIMETALICO TAPA LISA</v>
      </c>
      <c r="B205" s="41" t="s">
        <v>354</v>
      </c>
      <c r="C205" s="41" t="s">
        <v>355</v>
      </c>
      <c r="D205" s="42">
        <v>1080</v>
      </c>
      <c r="E205" s="43">
        <v>8168.5</v>
      </c>
      <c r="F205" s="43">
        <v>1070</v>
      </c>
      <c r="G205" s="126">
        <f t="shared" si="37"/>
        <v>9238.5</v>
      </c>
      <c r="H205" s="127">
        <f t="shared" si="38"/>
        <v>8821980</v>
      </c>
      <c r="I205" s="128">
        <f t="shared" si="39"/>
        <v>1155600</v>
      </c>
      <c r="J205" s="128">
        <f t="shared" si="40"/>
        <v>9977580</v>
      </c>
      <c r="K205" s="44">
        <f t="shared" si="41"/>
        <v>7.4963292754666845E-3</v>
      </c>
      <c r="L205" s="45">
        <v>1795.6410314719037</v>
      </c>
      <c r="M205" s="45">
        <v>5746.2526033615568</v>
      </c>
      <c r="N205" s="45">
        <f t="shared" si="42"/>
        <v>16780.393634833461</v>
      </c>
      <c r="O205" s="46">
        <f t="shared" si="43"/>
        <v>18122825.125620138</v>
      </c>
      <c r="P205" s="47">
        <f t="shared" si="44"/>
        <v>22006.010296296296</v>
      </c>
      <c r="Q205" s="47">
        <v>55150</v>
      </c>
      <c r="R205" s="47">
        <f t="shared" si="36"/>
        <v>33143.989703703701</v>
      </c>
      <c r="S205" s="191">
        <f t="shared" si="46"/>
        <v>0.60097896108256932</v>
      </c>
      <c r="T205" s="42">
        <v>23766491.120000001</v>
      </c>
      <c r="U205" s="48">
        <f t="shared" si="45"/>
        <v>0.76253684374844044</v>
      </c>
      <c r="V205" s="49"/>
      <c r="X205" s="112"/>
    </row>
    <row r="206" spans="1:24" x14ac:dyDescent="0.3">
      <c r="A206" s="40" t="str">
        <f>VLOOKUP(B206,Grupos!$A$2:$B$619,2,FALSE)</f>
        <v>TABLEROS 75 AMP BIMETALICO TAPA LISA</v>
      </c>
      <c r="B206" s="41" t="s">
        <v>356</v>
      </c>
      <c r="C206" s="41" t="s">
        <v>357</v>
      </c>
      <c r="D206" s="42">
        <v>140</v>
      </c>
      <c r="E206" s="43">
        <v>7952.18</v>
      </c>
      <c r="F206" s="43">
        <v>976.87</v>
      </c>
      <c r="G206" s="126">
        <f t="shared" si="37"/>
        <v>8929.0500000000011</v>
      </c>
      <c r="H206" s="127">
        <f t="shared" si="38"/>
        <v>1113305.2</v>
      </c>
      <c r="I206" s="128">
        <f t="shared" si="39"/>
        <v>136761.79999999999</v>
      </c>
      <c r="J206" s="128">
        <f t="shared" si="40"/>
        <v>1250067.0000000002</v>
      </c>
      <c r="K206" s="44">
        <f t="shared" si="41"/>
        <v>9.391970646584456E-4</v>
      </c>
      <c r="L206" s="45">
        <v>1735.4947829262549</v>
      </c>
      <c r="M206" s="45">
        <v>5246.1138136876671</v>
      </c>
      <c r="N206" s="45">
        <f t="shared" si="42"/>
        <v>15910.658596613923</v>
      </c>
      <c r="O206" s="46">
        <f t="shared" si="43"/>
        <v>2227492.2035259493</v>
      </c>
      <c r="P206" s="47">
        <f t="shared" si="44"/>
        <v>23146.572214285712</v>
      </c>
      <c r="Q206" s="47">
        <v>59650</v>
      </c>
      <c r="R206" s="47">
        <f t="shared" si="36"/>
        <v>36503.427785714288</v>
      </c>
      <c r="S206" s="191">
        <f t="shared" si="46"/>
        <v>0.61196023111004672</v>
      </c>
      <c r="T206" s="42">
        <v>3240520.11</v>
      </c>
      <c r="U206" s="48">
        <f t="shared" si="45"/>
        <v>0.6873872489333045</v>
      </c>
      <c r="V206" s="49"/>
      <c r="X206" s="112"/>
    </row>
    <row r="207" spans="1:24" x14ac:dyDescent="0.3">
      <c r="A207" s="40" t="str">
        <f>VLOOKUP(B207,Grupos!$A$2:$B$619,2,FALSE)</f>
        <v>TABLEROS 75 AMP BIMETALICO TAPA LISA</v>
      </c>
      <c r="B207" s="41" t="s">
        <v>358</v>
      </c>
      <c r="C207" s="41" t="s">
        <v>359</v>
      </c>
      <c r="D207" s="42">
        <v>1292</v>
      </c>
      <c r="E207" s="43">
        <v>7838.62</v>
      </c>
      <c r="F207" s="43">
        <v>977</v>
      </c>
      <c r="G207" s="126">
        <f t="shared" si="37"/>
        <v>8815.619999999999</v>
      </c>
      <c r="H207" s="127">
        <f t="shared" si="38"/>
        <v>10127497.039999999</v>
      </c>
      <c r="I207" s="128">
        <f t="shared" si="39"/>
        <v>1262284</v>
      </c>
      <c r="J207" s="128">
        <f t="shared" si="40"/>
        <v>11389781.039999999</v>
      </c>
      <c r="K207" s="44">
        <f t="shared" si="41"/>
        <v>8.5573404624475439E-3</v>
      </c>
      <c r="L207" s="45">
        <v>1713.4479612344364</v>
      </c>
      <c r="M207" s="45">
        <v>5246.8119565273273</v>
      </c>
      <c r="N207" s="45">
        <f t="shared" si="42"/>
        <v>15775.879917761762</v>
      </c>
      <c r="O207" s="46">
        <f t="shared" si="43"/>
        <v>20382436.853748195</v>
      </c>
      <c r="P207" s="47">
        <f t="shared" si="44"/>
        <v>21696.178018575851</v>
      </c>
      <c r="Q207" s="47">
        <v>55150</v>
      </c>
      <c r="R207" s="47">
        <f t="shared" si="36"/>
        <v>33453.821981424146</v>
      </c>
      <c r="S207" s="191">
        <f t="shared" si="46"/>
        <v>0.60659695342564179</v>
      </c>
      <c r="T207" s="42">
        <v>28031462</v>
      </c>
      <c r="U207" s="48">
        <f t="shared" si="45"/>
        <v>0.72712714212866225</v>
      </c>
      <c r="V207" s="49"/>
      <c r="X207" s="112"/>
    </row>
    <row r="208" spans="1:24" x14ac:dyDescent="0.3">
      <c r="A208" s="40" t="str">
        <f>VLOOKUP(B208,Grupos!$A$2:$B$619,2,FALSE)</f>
        <v>TABLEROS 75 AMP BIMETALICO TAPA LISA</v>
      </c>
      <c r="B208" s="41" t="s">
        <v>360</v>
      </c>
      <c r="C208" s="41" t="s">
        <v>361</v>
      </c>
      <c r="D208" s="42">
        <v>40</v>
      </c>
      <c r="E208" s="43">
        <v>9979.81</v>
      </c>
      <c r="F208" s="43">
        <v>1281.17</v>
      </c>
      <c r="G208" s="126">
        <f t="shared" si="37"/>
        <v>11260.98</v>
      </c>
      <c r="H208" s="127">
        <f t="shared" si="38"/>
        <v>399192.39999999997</v>
      </c>
      <c r="I208" s="128">
        <f t="shared" si="39"/>
        <v>51246.8</v>
      </c>
      <c r="J208" s="128">
        <f t="shared" si="40"/>
        <v>450439.19999999995</v>
      </c>
      <c r="K208" s="44">
        <f t="shared" si="41"/>
        <v>3.3842280009559357E-4</v>
      </c>
      <c r="L208" s="45">
        <v>2188.7403520684611</v>
      </c>
      <c r="M208" s="45">
        <v>6880.305091447407</v>
      </c>
      <c r="N208" s="45">
        <f t="shared" si="42"/>
        <v>20330.025443515868</v>
      </c>
      <c r="O208" s="46">
        <f t="shared" si="43"/>
        <v>813201.01774063474</v>
      </c>
      <c r="P208" s="47">
        <f t="shared" si="44"/>
        <v>27239.998499999998</v>
      </c>
      <c r="Q208" s="47">
        <v>73900</v>
      </c>
      <c r="R208" s="47">
        <f t="shared" si="36"/>
        <v>46660.001499999998</v>
      </c>
      <c r="S208" s="191">
        <f t="shared" si="46"/>
        <v>0.63139379566982412</v>
      </c>
      <c r="T208" s="42">
        <v>1089599.94</v>
      </c>
      <c r="U208" s="48">
        <f t="shared" si="45"/>
        <v>0.74632990319422632</v>
      </c>
      <c r="V208" s="49"/>
      <c r="X208" s="112"/>
    </row>
    <row r="209" spans="1:24" x14ac:dyDescent="0.3">
      <c r="A209" s="40" t="str">
        <f>VLOOKUP(B209,Grupos!$A$2:$B$619,2,FALSE)</f>
        <v>TABLEROS 75 AMP BIMETALICO TAPA LISA</v>
      </c>
      <c r="B209" s="41" t="s">
        <v>362</v>
      </c>
      <c r="C209" s="41" t="s">
        <v>363</v>
      </c>
      <c r="D209" s="42">
        <v>240</v>
      </c>
      <c r="E209" s="43">
        <v>9899.36</v>
      </c>
      <c r="F209" s="43">
        <v>1281</v>
      </c>
      <c r="G209" s="126">
        <f t="shared" si="37"/>
        <v>11180.36</v>
      </c>
      <c r="H209" s="127">
        <f t="shared" si="38"/>
        <v>2375846.4000000004</v>
      </c>
      <c r="I209" s="128">
        <f t="shared" si="39"/>
        <v>307440</v>
      </c>
      <c r="J209" s="128">
        <f t="shared" si="40"/>
        <v>2683286.4000000004</v>
      </c>
      <c r="K209" s="44">
        <f t="shared" si="41"/>
        <v>2.0159997108298417E-3</v>
      </c>
      <c r="L209" s="45">
        <v>2173.0706459519638</v>
      </c>
      <c r="M209" s="45">
        <v>6879.3921354263121</v>
      </c>
      <c r="N209" s="45">
        <f t="shared" si="42"/>
        <v>20232.822781378276</v>
      </c>
      <c r="O209" s="46">
        <f t="shared" si="43"/>
        <v>4855877.4675307861</v>
      </c>
      <c r="P209" s="47">
        <f t="shared" si="44"/>
        <v>25803.999666666667</v>
      </c>
      <c r="Q209" s="47">
        <v>68100</v>
      </c>
      <c r="R209" s="47">
        <f t="shared" si="36"/>
        <v>42296.00033333333</v>
      </c>
      <c r="S209" s="191">
        <f t="shared" si="46"/>
        <v>0.62108664219285359</v>
      </c>
      <c r="T209" s="42">
        <v>6192959.9199999999</v>
      </c>
      <c r="U209" s="48">
        <f t="shared" si="45"/>
        <v>0.78409638206261567</v>
      </c>
      <c r="V209" s="49"/>
      <c r="X209" s="112"/>
    </row>
    <row r="210" spans="1:24" x14ac:dyDescent="0.3">
      <c r="A210" s="40" t="str">
        <f>VLOOKUP(B210,Grupos!$A$2:$B$619,2,FALSE)</f>
        <v>TABLEROS 75 AMP BIMETALICO TAPA LISA</v>
      </c>
      <c r="B210" s="41" t="s">
        <v>365</v>
      </c>
      <c r="C210" s="41" t="s">
        <v>366</v>
      </c>
      <c r="D210" s="42">
        <v>1140</v>
      </c>
      <c r="E210" s="43">
        <v>9580.34</v>
      </c>
      <c r="F210" s="43">
        <v>1281</v>
      </c>
      <c r="G210" s="126">
        <f t="shared" si="37"/>
        <v>10861.34</v>
      </c>
      <c r="H210" s="127">
        <f t="shared" si="38"/>
        <v>10921587.6</v>
      </c>
      <c r="I210" s="128">
        <f t="shared" si="39"/>
        <v>1460340</v>
      </c>
      <c r="J210" s="128">
        <f t="shared" si="40"/>
        <v>12381927.6</v>
      </c>
      <c r="K210" s="44">
        <f t="shared" si="41"/>
        <v>9.3027574175891282E-3</v>
      </c>
      <c r="L210" s="45">
        <v>2111.0643243780969</v>
      </c>
      <c r="M210" s="45">
        <v>6879.3921354263121</v>
      </c>
      <c r="N210" s="45">
        <f t="shared" si="42"/>
        <v>19851.796459804409</v>
      </c>
      <c r="O210" s="46">
        <f t="shared" si="43"/>
        <v>22631047.964177027</v>
      </c>
      <c r="P210" s="47">
        <f t="shared" si="44"/>
        <v>28219.684710526315</v>
      </c>
      <c r="Q210" s="47">
        <v>68100</v>
      </c>
      <c r="R210" s="47">
        <f t="shared" si="36"/>
        <v>39880.315289473685</v>
      </c>
      <c r="S210" s="191">
        <f t="shared" si="46"/>
        <v>0.58561402774557536</v>
      </c>
      <c r="T210" s="42">
        <v>32170440.57</v>
      </c>
      <c r="U210" s="48">
        <f t="shared" si="45"/>
        <v>0.70347336135897465</v>
      </c>
      <c r="V210" s="49"/>
      <c r="X210" s="112"/>
    </row>
    <row r="211" spans="1:24" x14ac:dyDescent="0.3">
      <c r="A211" s="40" t="str">
        <f>VLOOKUP(B211,Grupos!$A$2:$B$619,2,FALSE)</f>
        <v>TABLEROS 75 AMP BIMETALICO TAPA LISA</v>
      </c>
      <c r="B211" s="41" t="s">
        <v>651</v>
      </c>
      <c r="C211" s="41" t="s">
        <v>652</v>
      </c>
      <c r="D211" s="42">
        <v>105</v>
      </c>
      <c r="E211" s="43">
        <v>11762.18</v>
      </c>
      <c r="F211" s="43">
        <v>961.98</v>
      </c>
      <c r="G211" s="126">
        <f t="shared" si="37"/>
        <v>12724.16</v>
      </c>
      <c r="H211" s="127">
        <f t="shared" si="38"/>
        <v>1235028.9000000001</v>
      </c>
      <c r="I211" s="128">
        <f t="shared" si="39"/>
        <v>101007.90000000001</v>
      </c>
      <c r="J211" s="128">
        <f t="shared" si="40"/>
        <v>1336036.8</v>
      </c>
      <c r="K211" s="44">
        <f t="shared" si="41"/>
        <v>1.0037876696494367E-3</v>
      </c>
      <c r="L211" s="45">
        <v>2473.1313294380625</v>
      </c>
      <c r="M211" s="45">
        <v>5166.1496068988317</v>
      </c>
      <c r="N211" s="45">
        <f t="shared" si="42"/>
        <v>20363.440936336894</v>
      </c>
      <c r="O211" s="46">
        <f t="shared" si="43"/>
        <v>2138161.2983153737</v>
      </c>
      <c r="P211" s="47">
        <f t="shared" si="44"/>
        <v>29945.21438095238</v>
      </c>
      <c r="Q211" s="47">
        <v>88450</v>
      </c>
      <c r="R211" s="47">
        <f t="shared" si="36"/>
        <v>58504.785619047616</v>
      </c>
      <c r="S211" s="191">
        <f t="shared" si="46"/>
        <v>0.66144472152682432</v>
      </c>
      <c r="T211" s="42">
        <v>3144247.51</v>
      </c>
      <c r="U211" s="48">
        <f t="shared" si="45"/>
        <v>0.68002321430330837</v>
      </c>
      <c r="V211" s="49"/>
      <c r="X211" s="112"/>
    </row>
    <row r="212" spans="1:24" x14ac:dyDescent="0.3">
      <c r="A212" s="40" t="str">
        <f>VLOOKUP(B212,Grupos!$A$2:$B$619,2,FALSE)</f>
        <v>TABLEROS 75 AMP BIMETALICO TAPA LISA</v>
      </c>
      <c r="B212" s="41" t="s">
        <v>367</v>
      </c>
      <c r="C212" s="41" t="s">
        <v>368</v>
      </c>
      <c r="D212" s="42">
        <v>30</v>
      </c>
      <c r="E212" s="43">
        <v>11416.69</v>
      </c>
      <c r="F212" s="43">
        <v>961.98</v>
      </c>
      <c r="G212" s="126">
        <f t="shared" si="37"/>
        <v>12378.67</v>
      </c>
      <c r="H212" s="127">
        <f t="shared" si="38"/>
        <v>342500.7</v>
      </c>
      <c r="I212" s="128">
        <f t="shared" si="39"/>
        <v>28859.4</v>
      </c>
      <c r="J212" s="128">
        <f t="shared" si="40"/>
        <v>371360.1</v>
      </c>
      <c r="K212" s="44">
        <f t="shared" si="41"/>
        <v>2.7900929778265225E-4</v>
      </c>
      <c r="L212" s="45">
        <v>2405.9801663744452</v>
      </c>
      <c r="M212" s="45">
        <v>5166.1496068988317</v>
      </c>
      <c r="N212" s="45">
        <f t="shared" si="42"/>
        <v>19950.799773273277</v>
      </c>
      <c r="O212" s="46">
        <f t="shared" si="43"/>
        <v>598523.99319819827</v>
      </c>
      <c r="P212" s="47">
        <f t="shared" si="44"/>
        <v>37359.001333333334</v>
      </c>
      <c r="Q212" s="47">
        <v>88950</v>
      </c>
      <c r="R212" s="47">
        <f t="shared" si="36"/>
        <v>51590.998666666666</v>
      </c>
      <c r="S212" s="191">
        <f t="shared" si="46"/>
        <v>0.57999998501030536</v>
      </c>
      <c r="T212" s="42">
        <v>1120770.04</v>
      </c>
      <c r="U212" s="48">
        <f t="shared" si="45"/>
        <v>0.53402925831082904</v>
      </c>
      <c r="V212" s="49"/>
      <c r="X212" s="112"/>
    </row>
    <row r="213" spans="1:24" x14ac:dyDescent="0.3">
      <c r="A213" s="40" t="str">
        <f>VLOOKUP(B213,Grupos!$A$2:$B$619,2,FALSE)</f>
        <v>TABLEROS 75 AMP BIMETALICO TAPA PLASTICA</v>
      </c>
      <c r="B213" s="41" t="s">
        <v>369</v>
      </c>
      <c r="C213" s="41" t="s">
        <v>370</v>
      </c>
      <c r="D213" s="42">
        <v>255</v>
      </c>
      <c r="E213" s="43">
        <v>8254.09</v>
      </c>
      <c r="F213" s="43">
        <v>911.76</v>
      </c>
      <c r="G213" s="126">
        <f t="shared" si="37"/>
        <v>9165.85</v>
      </c>
      <c r="H213" s="127">
        <f t="shared" si="38"/>
        <v>2104792.9500000002</v>
      </c>
      <c r="I213" s="128">
        <f t="shared" si="39"/>
        <v>232498.8</v>
      </c>
      <c r="J213" s="128">
        <f t="shared" si="40"/>
        <v>2337291.75</v>
      </c>
      <c r="K213" s="44">
        <f t="shared" si="41"/>
        <v>1.7560479165119958E-3</v>
      </c>
      <c r="L213" s="45">
        <v>1781.5204143872652</v>
      </c>
      <c r="M213" s="45">
        <v>4896.4516576083479</v>
      </c>
      <c r="N213" s="45">
        <f t="shared" si="42"/>
        <v>15843.822071995613</v>
      </c>
      <c r="O213" s="46">
        <f t="shared" si="43"/>
        <v>4040174.6283588815</v>
      </c>
      <c r="P213" s="47">
        <f t="shared" si="44"/>
        <v>21508.499764705884</v>
      </c>
      <c r="Q213" s="47">
        <v>55150</v>
      </c>
      <c r="R213" s="47">
        <f t="shared" si="36"/>
        <v>33641.500235294116</v>
      </c>
      <c r="S213" s="191">
        <f t="shared" si="46"/>
        <v>0.61000000426643908</v>
      </c>
      <c r="T213" s="42">
        <v>5484667.4400000004</v>
      </c>
      <c r="U213" s="48">
        <f t="shared" si="45"/>
        <v>0.73663073879259322</v>
      </c>
      <c r="V213" s="49"/>
      <c r="X213" s="112"/>
    </row>
    <row r="214" spans="1:24" x14ac:dyDescent="0.3">
      <c r="A214" s="40" t="str">
        <f>VLOOKUP(B214,Grupos!$A$2:$B$619,2,FALSE)</f>
        <v>TABLEROS 75 AMP BIMETALICO TAPA PLASTICA</v>
      </c>
      <c r="B214" s="41" t="s">
        <v>371</v>
      </c>
      <c r="C214" s="41" t="s">
        <v>372</v>
      </c>
      <c r="D214" s="42">
        <v>315</v>
      </c>
      <c r="E214" s="43">
        <v>7924.21</v>
      </c>
      <c r="F214" s="43">
        <v>911.76</v>
      </c>
      <c r="G214" s="126">
        <f t="shared" si="37"/>
        <v>8835.9699999999993</v>
      </c>
      <c r="H214" s="127">
        <f t="shared" si="38"/>
        <v>2496126.15</v>
      </c>
      <c r="I214" s="128">
        <f t="shared" si="39"/>
        <v>287204.40000000002</v>
      </c>
      <c r="J214" s="128">
        <f t="shared" si="40"/>
        <v>2783330.55</v>
      </c>
      <c r="K214" s="44">
        <f t="shared" si="41"/>
        <v>2.0911646196037303E-3</v>
      </c>
      <c r="L214" s="45">
        <v>1717.4032889381174</v>
      </c>
      <c r="M214" s="45">
        <v>4896.4516576083479</v>
      </c>
      <c r="N214" s="45">
        <f t="shared" si="42"/>
        <v>15449.824946546465</v>
      </c>
      <c r="O214" s="46">
        <f t="shared" si="43"/>
        <v>4866694.8581621367</v>
      </c>
      <c r="P214" s="47">
        <f t="shared" si="44"/>
        <v>22492.381936507936</v>
      </c>
      <c r="Q214" s="47">
        <v>55150</v>
      </c>
      <c r="R214" s="47">
        <f t="shared" si="36"/>
        <v>32657.618063492064</v>
      </c>
      <c r="S214" s="191">
        <f t="shared" si="46"/>
        <v>0.59215989235706368</v>
      </c>
      <c r="T214" s="42">
        <v>7085100.3099999996</v>
      </c>
      <c r="U214" s="48">
        <f t="shared" si="45"/>
        <v>0.68689145463377876</v>
      </c>
      <c r="V214" s="49"/>
      <c r="X214" s="112"/>
    </row>
    <row r="215" spans="1:24" x14ac:dyDescent="0.3">
      <c r="A215" s="40" t="str">
        <f>VLOOKUP(B215,Grupos!$A$2:$B$619,2,FALSE)</f>
        <v>TABLEROS 75 AMP BIMETALICO TAPA PLASTICA</v>
      </c>
      <c r="B215" s="41" t="s">
        <v>373</v>
      </c>
      <c r="C215" s="41" t="s">
        <v>374</v>
      </c>
      <c r="D215" s="42">
        <v>300</v>
      </c>
      <c r="E215" s="43">
        <v>9799.1</v>
      </c>
      <c r="F215" s="43">
        <v>1036.77</v>
      </c>
      <c r="G215" s="126">
        <f t="shared" si="37"/>
        <v>10835.87</v>
      </c>
      <c r="H215" s="127">
        <f t="shared" si="38"/>
        <v>2939730</v>
      </c>
      <c r="I215" s="128">
        <f t="shared" si="39"/>
        <v>311031</v>
      </c>
      <c r="J215" s="128">
        <f t="shared" si="40"/>
        <v>3250761.0000000005</v>
      </c>
      <c r="K215" s="44">
        <f t="shared" si="41"/>
        <v>2.4423532411511966E-3</v>
      </c>
      <c r="L215" s="45">
        <v>2106.1138478860703</v>
      </c>
      <c r="M215" s="45">
        <v>5567.7965528851973</v>
      </c>
      <c r="N215" s="45">
        <f t="shared" si="42"/>
        <v>18509.780400771269</v>
      </c>
      <c r="O215" s="46">
        <f t="shared" si="43"/>
        <v>5552934.1202313807</v>
      </c>
      <c r="P215" s="47">
        <f t="shared" si="44"/>
        <v>27274.050466666664</v>
      </c>
      <c r="Q215" s="47">
        <v>68100</v>
      </c>
      <c r="R215" s="47">
        <f t="shared" si="36"/>
        <v>40825.949533333333</v>
      </c>
      <c r="S215" s="191">
        <f t="shared" si="46"/>
        <v>0.59949999314733238</v>
      </c>
      <c r="T215" s="42">
        <v>8182215.1399999997</v>
      </c>
      <c r="U215" s="48">
        <f t="shared" si="45"/>
        <v>0.67865902145312951</v>
      </c>
      <c r="V215" s="49"/>
      <c r="X215" s="112"/>
    </row>
    <row r="216" spans="1:24" x14ac:dyDescent="0.3">
      <c r="A216" s="40" t="str">
        <f>VLOOKUP(B216,Grupos!$A$2:$B$619,2,FALSE)</f>
        <v>TABLEROS 75 AMP BIMETALICO TAPA PLASTICA</v>
      </c>
      <c r="B216" s="41" t="s">
        <v>375</v>
      </c>
      <c r="C216" s="41" t="s">
        <v>376</v>
      </c>
      <c r="D216" s="42">
        <v>534</v>
      </c>
      <c r="E216" s="43">
        <v>9483.92</v>
      </c>
      <c r="F216" s="43">
        <v>1036.77</v>
      </c>
      <c r="G216" s="126">
        <f t="shared" si="37"/>
        <v>10520.69</v>
      </c>
      <c r="H216" s="127">
        <f t="shared" si="38"/>
        <v>5064413.28</v>
      </c>
      <c r="I216" s="128">
        <f t="shared" si="39"/>
        <v>553635.17999999993</v>
      </c>
      <c r="J216" s="128">
        <f t="shared" si="40"/>
        <v>5618048.46</v>
      </c>
      <c r="K216" s="44">
        <f t="shared" si="41"/>
        <v>4.2209374559450813E-3</v>
      </c>
      <c r="L216" s="45">
        <v>2044.8538879034631</v>
      </c>
      <c r="M216" s="45">
        <v>5567.7965528851973</v>
      </c>
      <c r="N216" s="45">
        <f t="shared" si="42"/>
        <v>18133.340440788659</v>
      </c>
      <c r="O216" s="46">
        <f t="shared" si="43"/>
        <v>9683203.7953811437</v>
      </c>
      <c r="P216" s="47">
        <f t="shared" si="44"/>
        <v>26567.927209737831</v>
      </c>
      <c r="Q216" s="47">
        <v>68100</v>
      </c>
      <c r="R216" s="47">
        <f t="shared" si="36"/>
        <v>41532.072790262173</v>
      </c>
      <c r="S216" s="191">
        <f t="shared" si="46"/>
        <v>0.60986891028285128</v>
      </c>
      <c r="T216" s="42">
        <v>14187273.130000001</v>
      </c>
      <c r="U216" s="48">
        <f t="shared" si="45"/>
        <v>0.68252748126102669</v>
      </c>
      <c r="V216" s="49"/>
      <c r="X216" s="112"/>
    </row>
    <row r="217" spans="1:24" x14ac:dyDescent="0.3">
      <c r="A217" s="40" t="str">
        <f>VLOOKUP(B217,Grupos!$A$2:$B$619,2,FALSE)</f>
        <v>TABLEROS 75 AMP COBRE CON PUERTA</v>
      </c>
      <c r="B217" s="41" t="s">
        <v>378</v>
      </c>
      <c r="C217" s="41" t="s">
        <v>379</v>
      </c>
      <c r="D217" s="42">
        <v>180</v>
      </c>
      <c r="E217" s="43">
        <v>12051.54</v>
      </c>
      <c r="F217" s="43">
        <v>1312.26</v>
      </c>
      <c r="G217" s="126">
        <f t="shared" si="37"/>
        <v>13363.800000000001</v>
      </c>
      <c r="H217" s="127">
        <f t="shared" si="38"/>
        <v>2169277.2000000002</v>
      </c>
      <c r="I217" s="128">
        <f t="shared" si="39"/>
        <v>236206.8</v>
      </c>
      <c r="J217" s="128">
        <f t="shared" si="40"/>
        <v>2405484</v>
      </c>
      <c r="K217" s="44">
        <f t="shared" si="41"/>
        <v>1.8072819391943438E-3</v>
      </c>
      <c r="L217" s="45">
        <v>2597.4549565821535</v>
      </c>
      <c r="M217" s="45">
        <v>7047.2686367170427</v>
      </c>
      <c r="N217" s="45">
        <f t="shared" si="42"/>
        <v>23008.523593299196</v>
      </c>
      <c r="O217" s="46">
        <f t="shared" si="43"/>
        <v>4141534.2467938554</v>
      </c>
      <c r="P217" s="47">
        <f t="shared" si="44"/>
        <v>33261.299500000001</v>
      </c>
      <c r="Q217" s="47">
        <v>87300</v>
      </c>
      <c r="R217" s="47">
        <f t="shared" si="36"/>
        <v>54038.700499999999</v>
      </c>
      <c r="S217" s="191">
        <f t="shared" si="46"/>
        <v>0.6190000057273769</v>
      </c>
      <c r="T217" s="42">
        <v>5987033.9100000001</v>
      </c>
      <c r="U217" s="48">
        <f t="shared" si="45"/>
        <v>0.69175059120282412</v>
      </c>
      <c r="V217" s="49"/>
      <c r="X217" s="112"/>
    </row>
    <row r="218" spans="1:24" x14ac:dyDescent="0.3">
      <c r="A218" s="40" t="str">
        <f>VLOOKUP(B218,Grupos!$A$2:$B$619,2,FALSE)</f>
        <v>TABLEROS 75 AMP COBRE CON PUERTA</v>
      </c>
      <c r="B218" s="41" t="s">
        <v>380</v>
      </c>
      <c r="C218" s="41" t="s">
        <v>381</v>
      </c>
      <c r="D218" s="42">
        <v>54</v>
      </c>
      <c r="E218" s="43">
        <v>11984.22</v>
      </c>
      <c r="F218" s="43">
        <v>1322.56</v>
      </c>
      <c r="G218" s="126">
        <f t="shared" si="37"/>
        <v>13306.779999999999</v>
      </c>
      <c r="H218" s="127">
        <f t="shared" si="38"/>
        <v>647147.88</v>
      </c>
      <c r="I218" s="128">
        <f t="shared" si="39"/>
        <v>71418.239999999991</v>
      </c>
      <c r="J218" s="128">
        <f t="shared" si="40"/>
        <v>718566.11999999988</v>
      </c>
      <c r="K218" s="44">
        <f t="shared" si="41"/>
        <v>5.3987121543645907E-4</v>
      </c>
      <c r="L218" s="45">
        <v>2586.3722644119384</v>
      </c>
      <c r="M218" s="45">
        <v>7102.5830309363173</v>
      </c>
      <c r="N218" s="45">
        <f t="shared" si="42"/>
        <v>22995.735295348255</v>
      </c>
      <c r="O218" s="46">
        <f t="shared" si="43"/>
        <v>1241769.7059488057</v>
      </c>
      <c r="P218" s="47">
        <f t="shared" si="44"/>
        <v>31599.998148148148</v>
      </c>
      <c r="Q218" s="47">
        <v>79000</v>
      </c>
      <c r="R218" s="47">
        <f t="shared" si="36"/>
        <v>47400.001851851848</v>
      </c>
      <c r="S218" s="191">
        <f t="shared" si="46"/>
        <v>0.60000002344116266</v>
      </c>
      <c r="T218" s="42">
        <v>1706399.9</v>
      </c>
      <c r="U218" s="48">
        <f t="shared" si="45"/>
        <v>0.72771318490396408</v>
      </c>
      <c r="V218" s="49"/>
      <c r="X218" s="112"/>
    </row>
    <row r="219" spans="1:24" x14ac:dyDescent="0.3">
      <c r="A219" s="40" t="str">
        <f>VLOOKUP(B219,Grupos!$A$2:$B$619,2,FALSE)</f>
        <v>TABLEROS 75 AMP COBRE CON PUERTA</v>
      </c>
      <c r="B219" s="41" t="s">
        <v>382</v>
      </c>
      <c r="C219" s="41" t="s">
        <v>383</v>
      </c>
      <c r="D219" s="42">
        <v>80</v>
      </c>
      <c r="E219" s="43">
        <v>16654.29</v>
      </c>
      <c r="F219" s="43">
        <v>1599.13</v>
      </c>
      <c r="G219" s="126">
        <f t="shared" si="37"/>
        <v>18253.420000000002</v>
      </c>
      <c r="H219" s="127">
        <f t="shared" si="38"/>
        <v>1332343.2000000002</v>
      </c>
      <c r="I219" s="128">
        <f t="shared" si="39"/>
        <v>127930.40000000001</v>
      </c>
      <c r="J219" s="128">
        <f t="shared" si="40"/>
        <v>1460273.6</v>
      </c>
      <c r="K219" s="44">
        <f t="shared" si="41"/>
        <v>1.0971289368635609E-3</v>
      </c>
      <c r="L219" s="45">
        <v>3547.8259367527071</v>
      </c>
      <c r="M219" s="45">
        <v>8587.8550706668848</v>
      </c>
      <c r="N219" s="45">
        <f t="shared" si="42"/>
        <v>30389.101007419595</v>
      </c>
      <c r="O219" s="46">
        <f t="shared" si="43"/>
        <v>2431128.0805935673</v>
      </c>
      <c r="P219" s="47">
        <f t="shared" si="44"/>
        <v>42061.498500000002</v>
      </c>
      <c r="Q219" s="47">
        <v>107850</v>
      </c>
      <c r="R219" s="47">
        <f t="shared" si="36"/>
        <v>65788.501499999998</v>
      </c>
      <c r="S219" s="191">
        <f t="shared" si="46"/>
        <v>0.6100000139082058</v>
      </c>
      <c r="T219" s="42">
        <v>3364919.88</v>
      </c>
      <c r="U219" s="48">
        <f t="shared" si="45"/>
        <v>0.72249211490692833</v>
      </c>
      <c r="V219" s="49"/>
      <c r="X219" s="112"/>
    </row>
    <row r="220" spans="1:24" x14ac:dyDescent="0.3">
      <c r="A220" s="40" t="str">
        <f>VLOOKUP(B220,Grupos!$A$2:$B$619,2,FALSE)</f>
        <v>TABLEROS 75 AMP COBRE CON PUERTA</v>
      </c>
      <c r="B220" s="41" t="s">
        <v>384</v>
      </c>
      <c r="C220" s="41" t="s">
        <v>385</v>
      </c>
      <c r="D220" s="42">
        <v>48</v>
      </c>
      <c r="E220" s="43">
        <v>16552.88</v>
      </c>
      <c r="F220" s="43">
        <v>1610.67</v>
      </c>
      <c r="G220" s="126">
        <f t="shared" si="37"/>
        <v>18163.550000000003</v>
      </c>
      <c r="H220" s="127">
        <f t="shared" si="38"/>
        <v>794538.24</v>
      </c>
      <c r="I220" s="128">
        <f t="shared" si="39"/>
        <v>77312.160000000003</v>
      </c>
      <c r="J220" s="128">
        <f t="shared" si="40"/>
        <v>871850.40000000014</v>
      </c>
      <c r="K220" s="44">
        <f t="shared" si="41"/>
        <v>6.5503635925217739E-4</v>
      </c>
      <c r="L220" s="45">
        <v>3530.3583544072631</v>
      </c>
      <c r="M220" s="45">
        <v>8649.8286735106158</v>
      </c>
      <c r="N220" s="45">
        <f t="shared" si="42"/>
        <v>30343.737027917883</v>
      </c>
      <c r="O220" s="46">
        <f t="shared" si="43"/>
        <v>1456499.3773400583</v>
      </c>
      <c r="P220" s="47">
        <f t="shared" si="44"/>
        <v>39239.997708333329</v>
      </c>
      <c r="Q220" s="47">
        <v>98100</v>
      </c>
      <c r="R220" s="47">
        <f t="shared" si="36"/>
        <v>58860.002291666671</v>
      </c>
      <c r="S220" s="191">
        <f t="shared" si="46"/>
        <v>0.6000000233605165</v>
      </c>
      <c r="T220" s="42">
        <v>1883519.89</v>
      </c>
      <c r="U220" s="48">
        <f t="shared" si="45"/>
        <v>0.77328590214147319</v>
      </c>
      <c r="V220" s="49"/>
      <c r="X220" s="112"/>
    </row>
    <row r="221" spans="1:24" x14ac:dyDescent="0.3">
      <c r="A221" s="40" t="str">
        <f>VLOOKUP(B221,Grupos!$A$2:$B$619,2,FALSE)</f>
        <v>TABLEROS 75 AMP COBRE CON PUERTA</v>
      </c>
      <c r="B221" s="41" t="s">
        <v>386</v>
      </c>
      <c r="C221" s="41" t="s">
        <v>387</v>
      </c>
      <c r="D221" s="42">
        <v>128</v>
      </c>
      <c r="E221" s="43">
        <v>15748.45</v>
      </c>
      <c r="F221" s="43">
        <v>1654.72</v>
      </c>
      <c r="G221" s="126">
        <f t="shared" si="37"/>
        <v>17403.170000000002</v>
      </c>
      <c r="H221" s="127">
        <f t="shared" si="38"/>
        <v>2015801.6</v>
      </c>
      <c r="I221" s="128">
        <f t="shared" si="39"/>
        <v>211804.16</v>
      </c>
      <c r="J221" s="128">
        <f t="shared" si="40"/>
        <v>2227605.7600000002</v>
      </c>
      <c r="K221" s="44">
        <f t="shared" si="41"/>
        <v>1.6736389257601758E-3</v>
      </c>
      <c r="L221" s="45">
        <v>3382.5670974379927</v>
      </c>
      <c r="M221" s="45">
        <v>8886.3916895648927</v>
      </c>
      <c r="N221" s="45">
        <f t="shared" si="42"/>
        <v>29672.12878700289</v>
      </c>
      <c r="O221" s="46">
        <f t="shared" si="43"/>
        <v>3798032.4847363699</v>
      </c>
      <c r="P221" s="47">
        <f t="shared" si="44"/>
        <v>43679.250937500001</v>
      </c>
      <c r="Q221" s="47">
        <v>107850</v>
      </c>
      <c r="R221" s="47">
        <f t="shared" si="36"/>
        <v>64170.749062499999</v>
      </c>
      <c r="S221" s="191">
        <f t="shared" si="46"/>
        <v>0.59499999130737136</v>
      </c>
      <c r="T221" s="42">
        <v>5590944.1200000001</v>
      </c>
      <c r="U221" s="48">
        <f t="shared" si="45"/>
        <v>0.67931862726905057</v>
      </c>
      <c r="V221" s="49"/>
      <c r="X221" s="112"/>
    </row>
    <row r="222" spans="1:24" x14ac:dyDescent="0.3">
      <c r="A222" s="40" t="str">
        <f>VLOOKUP(B222,Grupos!$A$2:$B$619,2,FALSE)</f>
        <v>TABLEROS 75 AMP COBRE TAPA LISA</v>
      </c>
      <c r="B222" s="41" t="s">
        <v>389</v>
      </c>
      <c r="C222" s="41" t="s">
        <v>390</v>
      </c>
      <c r="D222" s="42">
        <v>24</v>
      </c>
      <c r="E222" s="43">
        <v>7539.24</v>
      </c>
      <c r="F222" s="43">
        <v>654.04999999999995</v>
      </c>
      <c r="G222" s="126">
        <f t="shared" si="37"/>
        <v>8193.2899999999991</v>
      </c>
      <c r="H222" s="127">
        <f t="shared" si="38"/>
        <v>180941.76</v>
      </c>
      <c r="I222" s="128">
        <f t="shared" si="39"/>
        <v>15697.199999999999</v>
      </c>
      <c r="J222" s="128">
        <f t="shared" si="40"/>
        <v>196638.95999999996</v>
      </c>
      <c r="K222" s="44">
        <f t="shared" si="41"/>
        <v>1.4773826845240249E-4</v>
      </c>
      <c r="L222" s="45">
        <v>1592.488792200945</v>
      </c>
      <c r="M222" s="45">
        <v>3512.4640329239492</v>
      </c>
      <c r="N222" s="45">
        <f t="shared" si="42"/>
        <v>13298.242825124893</v>
      </c>
      <c r="O222" s="46">
        <f t="shared" si="43"/>
        <v>319157.82780299743</v>
      </c>
      <c r="P222" s="47">
        <f t="shared" si="44"/>
        <v>17802.999583333334</v>
      </c>
      <c r="Q222" s="47">
        <v>46850</v>
      </c>
      <c r="R222" s="47">
        <f t="shared" si="36"/>
        <v>29047.000416666666</v>
      </c>
      <c r="S222" s="191">
        <f t="shared" si="46"/>
        <v>0.62000000889363216</v>
      </c>
      <c r="T222" s="42">
        <v>427271.99</v>
      </c>
      <c r="U222" s="48">
        <f t="shared" si="45"/>
        <v>0.7469664178150256</v>
      </c>
      <c r="V222" s="49"/>
      <c r="X222" s="112"/>
    </row>
    <row r="223" spans="1:24" x14ac:dyDescent="0.3">
      <c r="A223" s="40" t="str">
        <f>VLOOKUP(B223,Grupos!$A$2:$B$619,2,FALSE)</f>
        <v>TABLEROS 75 AMP COBRE TAPA LISA</v>
      </c>
      <c r="B223" s="41" t="s">
        <v>391</v>
      </c>
      <c r="C223" s="41" t="s">
        <v>392</v>
      </c>
      <c r="D223" s="42">
        <v>624</v>
      </c>
      <c r="E223" s="43">
        <v>7515.56</v>
      </c>
      <c r="F223" s="43">
        <v>654</v>
      </c>
      <c r="G223" s="126">
        <f t="shared" si="37"/>
        <v>8169.56</v>
      </c>
      <c r="H223" s="127">
        <f t="shared" si="38"/>
        <v>4689709.4400000004</v>
      </c>
      <c r="I223" s="128">
        <f t="shared" si="39"/>
        <v>408096</v>
      </c>
      <c r="J223" s="128">
        <f t="shared" si="40"/>
        <v>5097805.4400000004</v>
      </c>
      <c r="K223" s="44">
        <f t="shared" si="41"/>
        <v>3.830069832615256E-3</v>
      </c>
      <c r="L223" s="45">
        <v>1587.8765108049583</v>
      </c>
      <c r="M223" s="45">
        <v>3512.1955164471569</v>
      </c>
      <c r="N223" s="45">
        <f t="shared" si="42"/>
        <v>13269.632027252115</v>
      </c>
      <c r="O223" s="46">
        <f t="shared" si="43"/>
        <v>8280250.3850053195</v>
      </c>
      <c r="P223" s="47">
        <f t="shared" si="44"/>
        <v>17939.942580128205</v>
      </c>
      <c r="Q223" s="47">
        <v>44550</v>
      </c>
      <c r="R223" s="47">
        <f t="shared" si="36"/>
        <v>26610.057419871795</v>
      </c>
      <c r="S223" s="191">
        <f t="shared" si="46"/>
        <v>0.59730768619240837</v>
      </c>
      <c r="T223" s="42">
        <v>11194524.17</v>
      </c>
      <c r="U223" s="48">
        <f t="shared" si="45"/>
        <v>0.73966970451458858</v>
      </c>
      <c r="V223" s="49"/>
      <c r="X223" s="112"/>
    </row>
    <row r="224" spans="1:24" x14ac:dyDescent="0.3">
      <c r="A224" s="40" t="str">
        <f>VLOOKUP(B224,Grupos!$A$2:$B$619,2,FALSE)</f>
        <v>TABLEROS 75 AMP COBRE TAPA LISA</v>
      </c>
      <c r="B224" s="41" t="s">
        <v>394</v>
      </c>
      <c r="C224" s="41" t="s">
        <v>395</v>
      </c>
      <c r="D224" s="42">
        <v>48</v>
      </c>
      <c r="E224" s="43">
        <v>7798.75</v>
      </c>
      <c r="F224" s="43">
        <v>654</v>
      </c>
      <c r="G224" s="126">
        <f t="shared" si="37"/>
        <v>8452.75</v>
      </c>
      <c r="H224" s="127">
        <f t="shared" si="38"/>
        <v>374340</v>
      </c>
      <c r="I224" s="128">
        <f t="shared" si="39"/>
        <v>31392</v>
      </c>
      <c r="J224" s="128">
        <f t="shared" si="40"/>
        <v>405732</v>
      </c>
      <c r="K224" s="44">
        <f t="shared" si="41"/>
        <v>3.0483350367460334E-4</v>
      </c>
      <c r="L224" s="45">
        <v>1642.918734510379</v>
      </c>
      <c r="M224" s="45">
        <v>3512.1955164471569</v>
      </c>
      <c r="N224" s="45">
        <f t="shared" si="42"/>
        <v>13607.864250957535</v>
      </c>
      <c r="O224" s="46">
        <f t="shared" si="43"/>
        <v>653177.48404596164</v>
      </c>
      <c r="P224" s="47">
        <f t="shared" si="44"/>
        <v>17819.998749999999</v>
      </c>
      <c r="Q224" s="47">
        <v>44550</v>
      </c>
      <c r="R224" s="47">
        <f t="shared" si="36"/>
        <v>26730.001250000001</v>
      </c>
      <c r="S224" s="191">
        <f t="shared" si="46"/>
        <v>0.60000002805836139</v>
      </c>
      <c r="T224" s="42">
        <v>855359.94</v>
      </c>
      <c r="U224" s="48">
        <f t="shared" si="45"/>
        <v>0.76362879941041162</v>
      </c>
      <c r="V224" s="49"/>
      <c r="X224" s="112"/>
    </row>
    <row r="225" spans="1:24" x14ac:dyDescent="0.3">
      <c r="A225" s="40" t="str">
        <f>VLOOKUP(B225,Grupos!$A$2:$B$619,2,FALSE)</f>
        <v>TABLEROS 75 AMP COBRE TAPA LISA</v>
      </c>
      <c r="B225" s="41" t="s">
        <v>396</v>
      </c>
      <c r="C225" s="41" t="s">
        <v>397</v>
      </c>
      <c r="D225" s="42">
        <v>40</v>
      </c>
      <c r="E225" s="43">
        <v>10969.67</v>
      </c>
      <c r="F225" s="43">
        <v>893.99</v>
      </c>
      <c r="G225" s="126">
        <f t="shared" si="37"/>
        <v>11863.66</v>
      </c>
      <c r="H225" s="127">
        <f t="shared" si="38"/>
        <v>438786.8</v>
      </c>
      <c r="I225" s="128">
        <f t="shared" si="39"/>
        <v>35759.599999999999</v>
      </c>
      <c r="J225" s="128">
        <f t="shared" si="40"/>
        <v>474546.4</v>
      </c>
      <c r="K225" s="44">
        <f t="shared" si="41"/>
        <v>3.5653495846561226E-4</v>
      </c>
      <c r="L225" s="45">
        <v>2305.8802488966785</v>
      </c>
      <c r="M225" s="45">
        <v>4801.0209017562593</v>
      </c>
      <c r="N225" s="45">
        <f t="shared" si="42"/>
        <v>18970.561150652939</v>
      </c>
      <c r="O225" s="46">
        <f t="shared" si="43"/>
        <v>758822.44602611754</v>
      </c>
      <c r="P225" s="47">
        <f t="shared" si="44"/>
        <v>23080.000250000001</v>
      </c>
      <c r="Q225" s="47">
        <v>57700</v>
      </c>
      <c r="R225" s="47">
        <f t="shared" si="36"/>
        <v>34619.999750000003</v>
      </c>
      <c r="S225" s="191">
        <f t="shared" si="46"/>
        <v>0.59999999566724438</v>
      </c>
      <c r="T225" s="42">
        <v>923200.01</v>
      </c>
      <c r="U225" s="48">
        <f t="shared" si="45"/>
        <v>0.82194804788413889</v>
      </c>
      <c r="V225" s="49"/>
      <c r="X225" s="112"/>
    </row>
    <row r="226" spans="1:24" x14ac:dyDescent="0.3">
      <c r="A226" s="40" t="str">
        <f>VLOOKUP(B226,Grupos!$A$2:$B$619,2,FALSE)</f>
        <v>TABLEROS 75 AMP COBRE TAPA LISA</v>
      </c>
      <c r="B226" s="41" t="s">
        <v>398</v>
      </c>
      <c r="C226" s="41" t="s">
        <v>399</v>
      </c>
      <c r="D226" s="42">
        <v>80</v>
      </c>
      <c r="E226" s="43">
        <v>10405.49</v>
      </c>
      <c r="F226" s="43">
        <v>1107.49</v>
      </c>
      <c r="G226" s="126">
        <f t="shared" si="37"/>
        <v>11512.98</v>
      </c>
      <c r="H226" s="127">
        <f t="shared" si="38"/>
        <v>832439.2</v>
      </c>
      <c r="I226" s="128">
        <f t="shared" si="39"/>
        <v>88599.2</v>
      </c>
      <c r="J226" s="128">
        <f t="shared" si="40"/>
        <v>921038.39999999991</v>
      </c>
      <c r="K226" s="44">
        <f t="shared" si="41"/>
        <v>6.9199215859446818E-4</v>
      </c>
      <c r="L226" s="45">
        <v>2237.7203314948742</v>
      </c>
      <c r="M226" s="45">
        <v>5947.5862576606451</v>
      </c>
      <c r="N226" s="45">
        <f t="shared" si="42"/>
        <v>19698.286589155519</v>
      </c>
      <c r="O226" s="46">
        <f t="shared" si="43"/>
        <v>1575862.9271324417</v>
      </c>
      <c r="P226" s="47">
        <f t="shared" si="44"/>
        <v>22935.749499999998</v>
      </c>
      <c r="Q226" s="47">
        <v>57700</v>
      </c>
      <c r="R226" s="47">
        <f t="shared" si="36"/>
        <v>34764.250500000002</v>
      </c>
      <c r="S226" s="191">
        <f t="shared" si="46"/>
        <v>0.60250000866551134</v>
      </c>
      <c r="T226" s="42">
        <v>1834859.96</v>
      </c>
      <c r="U226" s="48">
        <f t="shared" si="45"/>
        <v>0.85884643051039256</v>
      </c>
      <c r="V226" s="49"/>
      <c r="X226" s="112"/>
    </row>
    <row r="227" spans="1:24" x14ac:dyDescent="0.3">
      <c r="A227" s="40" t="str">
        <f>VLOOKUP(B227,Grupos!$A$2:$B$619,2,FALSE)</f>
        <v>TABLEROS 75 AMP COBRE TAPA LISA</v>
      </c>
      <c r="B227" s="41" t="s">
        <v>400</v>
      </c>
      <c r="C227" s="41" t="s">
        <v>401</v>
      </c>
      <c r="D227" s="42">
        <v>120</v>
      </c>
      <c r="E227" s="43">
        <v>10202.06</v>
      </c>
      <c r="F227" s="43">
        <v>1107</v>
      </c>
      <c r="G227" s="126">
        <f t="shared" si="37"/>
        <v>11309.06</v>
      </c>
      <c r="H227" s="127">
        <f t="shared" si="38"/>
        <v>1224247.2</v>
      </c>
      <c r="I227" s="128">
        <f t="shared" si="39"/>
        <v>132840</v>
      </c>
      <c r="J227" s="128">
        <f t="shared" si="40"/>
        <v>1357087.2</v>
      </c>
      <c r="K227" s="44">
        <f t="shared" si="41"/>
        <v>1.0196032010488627E-3</v>
      </c>
      <c r="L227" s="45">
        <v>2198.0854211590245</v>
      </c>
      <c r="M227" s="45">
        <v>5944.9547961880771</v>
      </c>
      <c r="N227" s="45">
        <f t="shared" si="42"/>
        <v>19452.100217347102</v>
      </c>
      <c r="O227" s="46">
        <f t="shared" si="43"/>
        <v>2334252.0260816524</v>
      </c>
      <c r="P227" s="47">
        <f t="shared" si="44"/>
        <v>20590.999250000001</v>
      </c>
      <c r="Q227" s="47">
        <v>52350</v>
      </c>
      <c r="R227" s="47">
        <f t="shared" si="36"/>
        <v>31759.000749999999</v>
      </c>
      <c r="S227" s="191">
        <f t="shared" si="46"/>
        <v>0.60666668099331422</v>
      </c>
      <c r="T227" s="42">
        <v>2470919.91</v>
      </c>
      <c r="U227" s="48">
        <f t="shared" si="45"/>
        <v>0.9446894723842556</v>
      </c>
      <c r="V227" s="49"/>
      <c r="X227" s="112"/>
    </row>
    <row r="228" spans="1:24" x14ac:dyDescent="0.3">
      <c r="A228" s="40" t="str">
        <f>VLOOKUP(B228,Grupos!$A$2:$B$619,2,FALSE)</f>
        <v>TABLEROS 75 AMP COBRE TAPA LISA</v>
      </c>
      <c r="B228" s="41" t="s">
        <v>402</v>
      </c>
      <c r="C228" s="41" t="s">
        <v>403</v>
      </c>
      <c r="D228" s="42">
        <v>160</v>
      </c>
      <c r="E228" s="43">
        <v>11213.28</v>
      </c>
      <c r="F228" s="43">
        <v>1168.94</v>
      </c>
      <c r="G228" s="126">
        <f t="shared" si="37"/>
        <v>12382.220000000001</v>
      </c>
      <c r="H228" s="127">
        <f t="shared" si="38"/>
        <v>1794124.8</v>
      </c>
      <c r="I228" s="128">
        <f t="shared" si="39"/>
        <v>187030.40000000002</v>
      </c>
      <c r="J228" s="128">
        <f t="shared" si="40"/>
        <v>1981155.2000000002</v>
      </c>
      <c r="K228" s="44">
        <f t="shared" si="41"/>
        <v>1.4884763364466189E-3</v>
      </c>
      <c r="L228" s="45">
        <v>2406.6701621163652</v>
      </c>
      <c r="M228" s="45">
        <v>6277.5930076387458</v>
      </c>
      <c r="N228" s="45">
        <f t="shared" si="42"/>
        <v>21066.483169755113</v>
      </c>
      <c r="O228" s="46">
        <f t="shared" si="43"/>
        <v>3370637.307160818</v>
      </c>
      <c r="P228" s="47">
        <f t="shared" si="44"/>
        <v>28034.437750000001</v>
      </c>
      <c r="Q228" s="47">
        <v>67350</v>
      </c>
      <c r="R228" s="47">
        <f t="shared" si="36"/>
        <v>39315.562250000003</v>
      </c>
      <c r="S228" s="191">
        <f t="shared" si="46"/>
        <v>0.58374999628804758</v>
      </c>
      <c r="T228" s="42">
        <v>4485510.04</v>
      </c>
      <c r="U228" s="48">
        <f t="shared" si="45"/>
        <v>0.75145017558824101</v>
      </c>
      <c r="V228" s="49"/>
      <c r="X228" s="112"/>
    </row>
    <row r="229" spans="1:24" x14ac:dyDescent="0.3">
      <c r="A229" s="40" t="str">
        <f>VLOOKUP(B229,Grupos!$A$2:$B$619,2,FALSE)</f>
        <v>TABLEROS 75 AMP COBRE TAPA LISA</v>
      </c>
      <c r="B229" s="41" t="s">
        <v>404</v>
      </c>
      <c r="C229" s="41" t="s">
        <v>405</v>
      </c>
      <c r="D229" s="42">
        <v>1060</v>
      </c>
      <c r="E229" s="43">
        <v>11009.85</v>
      </c>
      <c r="F229" s="43">
        <v>1169</v>
      </c>
      <c r="G229" s="126">
        <f t="shared" si="37"/>
        <v>12178.85</v>
      </c>
      <c r="H229" s="127">
        <f t="shared" si="38"/>
        <v>11670441</v>
      </c>
      <c r="I229" s="128">
        <f t="shared" si="39"/>
        <v>1239140</v>
      </c>
      <c r="J229" s="128">
        <f t="shared" si="40"/>
        <v>12909581</v>
      </c>
      <c r="K229" s="44">
        <f t="shared" si="41"/>
        <v>9.6991925882136225E-3</v>
      </c>
      <c r="L229" s="45">
        <v>2367.1421525292631</v>
      </c>
      <c r="M229" s="45">
        <v>6277.9152274108965</v>
      </c>
      <c r="N229" s="45">
        <f t="shared" si="42"/>
        <v>20823.907379940159</v>
      </c>
      <c r="O229" s="46">
        <f t="shared" si="43"/>
        <v>22073341.822736569</v>
      </c>
      <c r="P229" s="47">
        <f t="shared" si="44"/>
        <v>24486.395141509434</v>
      </c>
      <c r="Q229" s="47">
        <v>60900</v>
      </c>
      <c r="R229" s="47">
        <f t="shared" si="36"/>
        <v>36413.604858490566</v>
      </c>
      <c r="S229" s="191">
        <f t="shared" si="46"/>
        <v>0.59792454611642964</v>
      </c>
      <c r="T229" s="42">
        <v>25955578.850000001</v>
      </c>
      <c r="U229" s="48">
        <f t="shared" si="45"/>
        <v>0.85042764602942256</v>
      </c>
      <c r="V229" s="49"/>
      <c r="X229" s="112"/>
    </row>
    <row r="230" spans="1:24" x14ac:dyDescent="0.3">
      <c r="A230" s="40" t="str">
        <f>VLOOKUP(B230,Grupos!$A$2:$B$619,2,FALSE)</f>
        <v>TABLEROS 75 AMP COBRE TAPA LISA</v>
      </c>
      <c r="B230" s="41" t="s">
        <v>406</v>
      </c>
      <c r="C230" s="41" t="s">
        <v>407</v>
      </c>
      <c r="D230" s="42">
        <v>520</v>
      </c>
      <c r="E230" s="43">
        <v>11702.36</v>
      </c>
      <c r="F230" s="43">
        <v>1217.8</v>
      </c>
      <c r="G230" s="126">
        <f t="shared" si="37"/>
        <v>12920.16</v>
      </c>
      <c r="H230" s="127">
        <f t="shared" si="38"/>
        <v>6085227.2000000002</v>
      </c>
      <c r="I230" s="128">
        <f t="shared" si="39"/>
        <v>633256</v>
      </c>
      <c r="J230" s="128">
        <f t="shared" si="40"/>
        <v>6718483.2000000002</v>
      </c>
      <c r="K230" s="44">
        <f t="shared" si="41"/>
        <v>5.0477132028899883E-3</v>
      </c>
      <c r="L230" s="45">
        <v>2511.2268689919392</v>
      </c>
      <c r="M230" s="45">
        <v>6539.9873087604701</v>
      </c>
      <c r="N230" s="45">
        <f t="shared" si="42"/>
        <v>21971.374177752412</v>
      </c>
      <c r="O230" s="46">
        <f t="shared" si="43"/>
        <v>11425114.572431255</v>
      </c>
      <c r="P230" s="47">
        <f t="shared" si="44"/>
        <v>26680.960788461536</v>
      </c>
      <c r="Q230" s="47">
        <v>67350</v>
      </c>
      <c r="R230" s="47">
        <f t="shared" si="36"/>
        <v>40669.03921153846</v>
      </c>
      <c r="S230" s="191">
        <f t="shared" si="46"/>
        <v>0.60384616498201127</v>
      </c>
      <c r="T230" s="42">
        <v>13874099.609999999</v>
      </c>
      <c r="U230" s="48">
        <f t="shared" si="45"/>
        <v>0.82348511929353629</v>
      </c>
      <c r="V230" s="49"/>
      <c r="X230" s="112"/>
    </row>
    <row r="231" spans="1:24" x14ac:dyDescent="0.3">
      <c r="A231" s="40" t="str">
        <f>VLOOKUP(B231,Grupos!$A$2:$B$619,2,FALSE)</f>
        <v>TABLEROS 75 AMP COBRE TAPA LISA</v>
      </c>
      <c r="B231" s="41" t="s">
        <v>408</v>
      </c>
      <c r="C231" s="41" t="s">
        <v>409</v>
      </c>
      <c r="D231" s="42">
        <v>460</v>
      </c>
      <c r="E231" s="43">
        <v>11588.81</v>
      </c>
      <c r="F231" s="43">
        <v>1218</v>
      </c>
      <c r="G231" s="126">
        <f t="shared" si="37"/>
        <v>12806.81</v>
      </c>
      <c r="H231" s="127">
        <f t="shared" si="38"/>
        <v>5330852.5999999996</v>
      </c>
      <c r="I231" s="128">
        <f t="shared" si="39"/>
        <v>560280</v>
      </c>
      <c r="J231" s="128">
        <f t="shared" si="40"/>
        <v>5891132.5999999996</v>
      </c>
      <c r="K231" s="44">
        <f t="shared" si="41"/>
        <v>4.426110316833958E-3</v>
      </c>
      <c r="L231" s="45">
        <v>2489.1955964999397</v>
      </c>
      <c r="M231" s="45">
        <v>6541.0613746676408</v>
      </c>
      <c r="N231" s="45">
        <f t="shared" si="42"/>
        <v>21837.06697116758</v>
      </c>
      <c r="O231" s="46">
        <f t="shared" si="43"/>
        <v>10045050.806737088</v>
      </c>
      <c r="P231" s="47">
        <f t="shared" si="44"/>
        <v>24307.042565217391</v>
      </c>
      <c r="Q231" s="47">
        <v>60900</v>
      </c>
      <c r="R231" s="47">
        <f t="shared" si="36"/>
        <v>36592.957434782613</v>
      </c>
      <c r="S231" s="191">
        <f t="shared" si="46"/>
        <v>0.60086958020989512</v>
      </c>
      <c r="T231" s="42">
        <v>11181239.58</v>
      </c>
      <c r="U231" s="48">
        <f t="shared" si="45"/>
        <v>0.89838436381461451</v>
      </c>
      <c r="V231" s="49"/>
      <c r="X231" s="112"/>
    </row>
    <row r="232" spans="1:24" x14ac:dyDescent="0.3">
      <c r="A232" s="40" t="str">
        <f>VLOOKUP(B232,Grupos!$A$2:$B$619,2,FALSE)</f>
        <v>TABLEROS 75 AMP COBRE TAPA LISA</v>
      </c>
      <c r="B232" s="41" t="s">
        <v>410</v>
      </c>
      <c r="C232" s="41" t="s">
        <v>411</v>
      </c>
      <c r="D232" s="42">
        <v>140</v>
      </c>
      <c r="E232" s="43">
        <v>14489.42</v>
      </c>
      <c r="F232" s="43">
        <v>1492.26</v>
      </c>
      <c r="G232" s="126">
        <f t="shared" si="37"/>
        <v>15981.68</v>
      </c>
      <c r="H232" s="127">
        <f t="shared" si="38"/>
        <v>2028518.8</v>
      </c>
      <c r="I232" s="128">
        <f t="shared" si="39"/>
        <v>208916.4</v>
      </c>
      <c r="J232" s="128">
        <f t="shared" si="40"/>
        <v>2237435.2000000002</v>
      </c>
      <c r="K232" s="44">
        <f t="shared" si="41"/>
        <v>1.6810239548788041E-3</v>
      </c>
      <c r="L232" s="45">
        <v>3106.2791968234992</v>
      </c>
      <c r="M232" s="45">
        <v>8013.9279531703887</v>
      </c>
      <c r="N232" s="45">
        <f t="shared" si="42"/>
        <v>27101.88714999389</v>
      </c>
      <c r="O232" s="46">
        <f t="shared" si="43"/>
        <v>3794264.2009991445</v>
      </c>
      <c r="P232" s="47">
        <f t="shared" si="44"/>
        <v>33989.000071428571</v>
      </c>
      <c r="Q232" s="47">
        <v>82900</v>
      </c>
      <c r="R232" s="47">
        <f t="shared" si="36"/>
        <v>48910.999928571429</v>
      </c>
      <c r="S232" s="191">
        <f t="shared" si="46"/>
        <v>0.58999999913837675</v>
      </c>
      <c r="T232" s="42">
        <v>4758460.01</v>
      </c>
      <c r="U232" s="48">
        <f t="shared" si="45"/>
        <v>0.79737229965691037</v>
      </c>
      <c r="V232" s="49"/>
      <c r="X232" s="112"/>
    </row>
    <row r="233" spans="1:24" x14ac:dyDescent="0.3">
      <c r="A233" s="40" t="str">
        <f>VLOOKUP(B233,Grupos!$A$2:$B$619,2,FALSE)</f>
        <v>TABLEROS 75 AMP COBRE TAPA LISA</v>
      </c>
      <c r="B233" s="41" t="s">
        <v>412</v>
      </c>
      <c r="C233" s="41" t="s">
        <v>413</v>
      </c>
      <c r="D233" s="42">
        <v>280</v>
      </c>
      <c r="E233" s="43">
        <v>14408.97</v>
      </c>
      <c r="F233" s="43">
        <v>1492</v>
      </c>
      <c r="G233" s="126">
        <f t="shared" si="37"/>
        <v>15900.97</v>
      </c>
      <c r="H233" s="127">
        <f t="shared" si="38"/>
        <v>4034511.5999999996</v>
      </c>
      <c r="I233" s="128">
        <f t="shared" si="39"/>
        <v>417760</v>
      </c>
      <c r="J233" s="128">
        <f t="shared" si="40"/>
        <v>4452271.5999999996</v>
      </c>
      <c r="K233" s="44">
        <f t="shared" si="41"/>
        <v>3.3450690385252628E-3</v>
      </c>
      <c r="L233" s="45">
        <v>3090.5919978572056</v>
      </c>
      <c r="M233" s="45">
        <v>8012.5316674910673</v>
      </c>
      <c r="N233" s="45">
        <f t="shared" si="42"/>
        <v>27004.093665348275</v>
      </c>
      <c r="O233" s="46">
        <f t="shared" si="43"/>
        <v>7561146.2262975173</v>
      </c>
      <c r="P233" s="47">
        <f t="shared" si="44"/>
        <v>29919.998928571429</v>
      </c>
      <c r="Q233" s="47">
        <v>77000</v>
      </c>
      <c r="R233" s="47">
        <f t="shared" si="36"/>
        <v>47080.001071428575</v>
      </c>
      <c r="S233" s="191">
        <f t="shared" si="46"/>
        <v>0.61142858534322819</v>
      </c>
      <c r="T233" s="42">
        <v>8377599.7000000002</v>
      </c>
      <c r="U233" s="48">
        <f t="shared" si="45"/>
        <v>0.9025432697980923</v>
      </c>
      <c r="V233" s="49"/>
      <c r="X233" s="112"/>
    </row>
    <row r="234" spans="1:24" x14ac:dyDescent="0.3">
      <c r="A234" s="40" t="str">
        <f>VLOOKUP(B234,Grupos!$A$2:$B$619,2,FALSE)</f>
        <v>TABLEROS 75 AMP COBRE TAPA LISA</v>
      </c>
      <c r="B234" s="41" t="s">
        <v>414</v>
      </c>
      <c r="C234" s="41" t="s">
        <v>415</v>
      </c>
      <c r="D234" s="42">
        <v>440</v>
      </c>
      <c r="E234" s="43">
        <v>15395.27</v>
      </c>
      <c r="F234" s="43">
        <v>1422.45</v>
      </c>
      <c r="G234" s="126">
        <f t="shared" si="37"/>
        <v>16817.72</v>
      </c>
      <c r="H234" s="127">
        <f t="shared" si="38"/>
        <v>6773918.7999999998</v>
      </c>
      <c r="I234" s="128">
        <f t="shared" si="39"/>
        <v>625878</v>
      </c>
      <c r="J234" s="128">
        <f t="shared" si="40"/>
        <v>7399796.8000000007</v>
      </c>
      <c r="K234" s="44">
        <f t="shared" si="41"/>
        <v>5.5595959525601094E-3</v>
      </c>
      <c r="L234" s="45">
        <v>3268.7761095205574</v>
      </c>
      <c r="M234" s="45">
        <v>7639.0252482725664</v>
      </c>
      <c r="N234" s="45">
        <f t="shared" si="42"/>
        <v>27725.521357793124</v>
      </c>
      <c r="O234" s="46">
        <f t="shared" si="43"/>
        <v>12199229.397428975</v>
      </c>
      <c r="P234" s="47">
        <f t="shared" si="44"/>
        <v>32444.044386363636</v>
      </c>
      <c r="Q234" s="47">
        <v>82900</v>
      </c>
      <c r="R234" s="47">
        <f t="shared" si="36"/>
        <v>50455.955613636368</v>
      </c>
      <c r="S234" s="191">
        <f t="shared" si="46"/>
        <v>0.60863637652154845</v>
      </c>
      <c r="T234" s="42">
        <v>14275379.529999999</v>
      </c>
      <c r="U234" s="48">
        <f t="shared" si="45"/>
        <v>0.85456427773370558</v>
      </c>
      <c r="V234" s="49"/>
      <c r="X234" s="112"/>
    </row>
    <row r="235" spans="1:24" x14ac:dyDescent="0.3">
      <c r="A235" s="40" t="str">
        <f>VLOOKUP(B235,Grupos!$A$2:$B$619,2,FALSE)</f>
        <v>TABLEROS 75 AMP COBRE TAPA LISA</v>
      </c>
      <c r="B235" s="41" t="s">
        <v>416</v>
      </c>
      <c r="C235" s="41" t="s">
        <v>417</v>
      </c>
      <c r="D235" s="42">
        <v>620</v>
      </c>
      <c r="E235" s="43">
        <v>15314.81</v>
      </c>
      <c r="F235" s="43">
        <v>1422</v>
      </c>
      <c r="G235" s="126">
        <f t="shared" si="37"/>
        <v>16736.809999999998</v>
      </c>
      <c r="H235" s="127">
        <f t="shared" si="38"/>
        <v>9495182.1999999993</v>
      </c>
      <c r="I235" s="128">
        <f t="shared" si="39"/>
        <v>881640</v>
      </c>
      <c r="J235" s="128">
        <f t="shared" si="40"/>
        <v>10376822.199999999</v>
      </c>
      <c r="K235" s="44">
        <f t="shared" si="41"/>
        <v>7.7962868796013262E-3</v>
      </c>
      <c r="L235" s="45">
        <v>3253.050037554719</v>
      </c>
      <c r="M235" s="45">
        <v>7636.6085999814331</v>
      </c>
      <c r="N235" s="45">
        <f t="shared" si="42"/>
        <v>27626.468637536149</v>
      </c>
      <c r="O235" s="46">
        <f t="shared" si="43"/>
        <v>17128410.555272412</v>
      </c>
      <c r="P235" s="47">
        <f t="shared" si="44"/>
        <v>30650.966193548385</v>
      </c>
      <c r="Q235" s="47">
        <v>77000</v>
      </c>
      <c r="R235" s="47">
        <f t="shared" si="36"/>
        <v>46349.033806451611</v>
      </c>
      <c r="S235" s="191">
        <f t="shared" si="46"/>
        <v>0.60193550397989104</v>
      </c>
      <c r="T235" s="42">
        <v>19003599.039999999</v>
      </c>
      <c r="U235" s="48">
        <f t="shared" si="45"/>
        <v>0.90132456063819433</v>
      </c>
      <c r="V235" s="49"/>
      <c r="X235" s="112"/>
    </row>
    <row r="236" spans="1:24" x14ac:dyDescent="0.3">
      <c r="A236" s="40" t="str">
        <f>VLOOKUP(B236,Grupos!$A$2:$B$619,2,FALSE)</f>
        <v>TABLEROS 75 AMP COBRE TAPA PLASTICA</v>
      </c>
      <c r="B236" s="41" t="s">
        <v>422</v>
      </c>
      <c r="C236" s="41" t="s">
        <v>423</v>
      </c>
      <c r="D236" s="42">
        <v>150</v>
      </c>
      <c r="E236" s="43">
        <v>10157.379999999999</v>
      </c>
      <c r="F236" s="43">
        <v>1209.01</v>
      </c>
      <c r="G236" s="126">
        <f t="shared" si="37"/>
        <v>11366.39</v>
      </c>
      <c r="H236" s="127">
        <f t="shared" si="38"/>
        <v>1523606.9999999998</v>
      </c>
      <c r="I236" s="128">
        <f t="shared" si="39"/>
        <v>181351.5</v>
      </c>
      <c r="J236" s="128">
        <f t="shared" si="40"/>
        <v>1704958.5</v>
      </c>
      <c r="K236" s="44">
        <f t="shared" si="41"/>
        <v>1.2809649551299778E-3</v>
      </c>
      <c r="L236" s="45">
        <v>2209.2283664785332</v>
      </c>
      <c r="M236" s="45">
        <v>6492.7821121403322</v>
      </c>
      <c r="N236" s="45">
        <f t="shared" si="42"/>
        <v>20068.400478618867</v>
      </c>
      <c r="O236" s="46">
        <f t="shared" si="43"/>
        <v>3010260.0717928302</v>
      </c>
      <c r="P236" s="47">
        <f t="shared" si="44"/>
        <v>28084.001199999999</v>
      </c>
      <c r="Q236" s="47">
        <v>68000</v>
      </c>
      <c r="R236" s="47">
        <f t="shared" ref="R236:R296" si="47">Q236-P236</f>
        <v>39915.998800000001</v>
      </c>
      <c r="S236" s="191">
        <f t="shared" si="46"/>
        <v>0.58699998235294115</v>
      </c>
      <c r="T236" s="42">
        <v>4212600.18</v>
      </c>
      <c r="U236" s="48">
        <f t="shared" si="45"/>
        <v>0.71458480348657971</v>
      </c>
      <c r="V236" s="49"/>
      <c r="X236" s="112"/>
    </row>
    <row r="237" spans="1:24" x14ac:dyDescent="0.3">
      <c r="A237" s="40" t="str">
        <f>VLOOKUP(B237,Grupos!$A$2:$B$619,2,FALSE)</f>
        <v>TABLEROS 75 AMP COBRE TAPA PLASTICA</v>
      </c>
      <c r="B237" s="41" t="s">
        <v>424</v>
      </c>
      <c r="C237" s="41" t="s">
        <v>425</v>
      </c>
      <c r="D237" s="42">
        <v>840</v>
      </c>
      <c r="E237" s="43">
        <v>11032.52</v>
      </c>
      <c r="F237" s="43">
        <v>1209</v>
      </c>
      <c r="G237" s="126">
        <f t="shared" si="37"/>
        <v>12241.52</v>
      </c>
      <c r="H237" s="127">
        <f t="shared" si="38"/>
        <v>9267316.8000000007</v>
      </c>
      <c r="I237" s="128">
        <f t="shared" si="39"/>
        <v>1015560</v>
      </c>
      <c r="J237" s="128">
        <f t="shared" si="40"/>
        <v>10282876.800000001</v>
      </c>
      <c r="K237" s="44">
        <f t="shared" si="41"/>
        <v>7.7257040677055138E-3</v>
      </c>
      <c r="L237" s="45">
        <v>2379.3230069366177</v>
      </c>
      <c r="M237" s="45">
        <v>6492.7284088449733</v>
      </c>
      <c r="N237" s="45">
        <f t="shared" si="42"/>
        <v>21113.571415781593</v>
      </c>
      <c r="O237" s="46">
        <f t="shared" si="43"/>
        <v>17735399.989256538</v>
      </c>
      <c r="P237" s="47">
        <f t="shared" si="44"/>
        <v>24088.124428571427</v>
      </c>
      <c r="Q237" s="47">
        <v>60900</v>
      </c>
      <c r="R237" s="47">
        <f t="shared" si="47"/>
        <v>36811.875571428573</v>
      </c>
      <c r="S237" s="191">
        <f t="shared" si="46"/>
        <v>0.60446429509734934</v>
      </c>
      <c r="T237" s="42">
        <v>20234024.52</v>
      </c>
      <c r="U237" s="48">
        <f t="shared" si="45"/>
        <v>0.87651371439855008</v>
      </c>
      <c r="V237" s="49"/>
      <c r="X237" s="112"/>
    </row>
    <row r="238" spans="1:24" x14ac:dyDescent="0.3">
      <c r="A238" s="40" t="str">
        <f>VLOOKUP(B238,Grupos!$A$2:$B$619,2,FALSE)</f>
        <v>TABLEROS 75 AMP COBRE TAPA PLASTICA</v>
      </c>
      <c r="B238" s="41" t="s">
        <v>426</v>
      </c>
      <c r="C238" s="41" t="s">
        <v>427</v>
      </c>
      <c r="D238" s="42">
        <v>30</v>
      </c>
      <c r="E238" s="43">
        <v>11674.4</v>
      </c>
      <c r="F238" s="43">
        <v>1209</v>
      </c>
      <c r="G238" s="126">
        <f t="shared" si="37"/>
        <v>12883.4</v>
      </c>
      <c r="H238" s="127">
        <f t="shared" si="38"/>
        <v>350232</v>
      </c>
      <c r="I238" s="128">
        <f t="shared" si="39"/>
        <v>36270</v>
      </c>
      <c r="J238" s="128">
        <f t="shared" si="40"/>
        <v>386502</v>
      </c>
      <c r="K238" s="44">
        <f t="shared" si="41"/>
        <v>2.9038567043575942E-4</v>
      </c>
      <c r="L238" s="45">
        <v>2504.0820116756099</v>
      </c>
      <c r="M238" s="45">
        <v>6492.7284088449733</v>
      </c>
      <c r="N238" s="45">
        <f t="shared" si="42"/>
        <v>21880.210420520583</v>
      </c>
      <c r="O238" s="46">
        <f t="shared" si="43"/>
        <v>656406.31261561753</v>
      </c>
      <c r="P238" s="47">
        <f t="shared" si="44"/>
        <v>24055.499</v>
      </c>
      <c r="Q238" s="47">
        <v>60900</v>
      </c>
      <c r="R238" s="47">
        <f t="shared" si="47"/>
        <v>36844.501000000004</v>
      </c>
      <c r="S238" s="191">
        <f t="shared" si="46"/>
        <v>0.60500001642036128</v>
      </c>
      <c r="T238" s="42">
        <v>721664.97</v>
      </c>
      <c r="U238" s="48">
        <f t="shared" si="45"/>
        <v>0.90957208663684697</v>
      </c>
      <c r="V238" s="49"/>
      <c r="X238" s="112"/>
    </row>
    <row r="239" spans="1:24" x14ac:dyDescent="0.3">
      <c r="A239" s="40" t="str">
        <f>VLOOKUP(B239,Grupos!$A$2:$B$619,2,FALSE)</f>
        <v>TABLEROS 75 AMP COBRE TAPA PLASTICA</v>
      </c>
      <c r="B239" s="41" t="s">
        <v>428</v>
      </c>
      <c r="C239" s="41" t="s">
        <v>429</v>
      </c>
      <c r="D239" s="42">
        <v>240</v>
      </c>
      <c r="E239" s="43">
        <v>14412.17</v>
      </c>
      <c r="F239" s="43">
        <v>1384.68</v>
      </c>
      <c r="G239" s="126">
        <f t="shared" si="37"/>
        <v>15796.85</v>
      </c>
      <c r="H239" s="127">
        <f t="shared" si="38"/>
        <v>3458920.8</v>
      </c>
      <c r="I239" s="128">
        <f t="shared" si="39"/>
        <v>332323.20000000001</v>
      </c>
      <c r="J239" s="128">
        <f t="shared" si="40"/>
        <v>3791244</v>
      </c>
      <c r="K239" s="44">
        <f t="shared" si="41"/>
        <v>2.8484275132484443E-3</v>
      </c>
      <c r="L239" s="45">
        <v>3070.3547142941975</v>
      </c>
      <c r="M239" s="45">
        <v>7436.1879017034398</v>
      </c>
      <c r="N239" s="45">
        <f t="shared" si="42"/>
        <v>26303.39261599764</v>
      </c>
      <c r="O239" s="46">
        <f t="shared" si="43"/>
        <v>6312814.2278394336</v>
      </c>
      <c r="P239" s="47">
        <f t="shared" si="44"/>
        <v>34455.313875</v>
      </c>
      <c r="Q239" s="47">
        <v>82900</v>
      </c>
      <c r="R239" s="47">
        <f t="shared" si="47"/>
        <v>48444.686125</v>
      </c>
      <c r="S239" s="191">
        <f t="shared" si="46"/>
        <v>0.58437498341375149</v>
      </c>
      <c r="T239" s="42">
        <v>8269275.3300000001</v>
      </c>
      <c r="U239" s="48">
        <f t="shared" si="45"/>
        <v>0.76340597886942452</v>
      </c>
      <c r="V239" s="49"/>
      <c r="X239" s="112"/>
    </row>
    <row r="240" spans="1:24" x14ac:dyDescent="0.3">
      <c r="A240" s="40" t="str">
        <f>VLOOKUP(B240,Grupos!$A$2:$B$619,2,FALSE)</f>
        <v>TABLEROS 75 AMP COBRE TAPA PLASTICA</v>
      </c>
      <c r="B240" s="41" t="s">
        <v>430</v>
      </c>
      <c r="C240" s="41" t="s">
        <v>431</v>
      </c>
      <c r="D240" s="42">
        <v>862</v>
      </c>
      <c r="E240" s="43">
        <v>14308.71</v>
      </c>
      <c r="F240" s="43">
        <v>1385</v>
      </c>
      <c r="G240" s="126">
        <f t="shared" si="37"/>
        <v>15693.71</v>
      </c>
      <c r="H240" s="127">
        <f t="shared" si="38"/>
        <v>12334108.02</v>
      </c>
      <c r="I240" s="128">
        <f t="shared" si="39"/>
        <v>1193870</v>
      </c>
      <c r="J240" s="128">
        <f t="shared" si="40"/>
        <v>13527978.02</v>
      </c>
      <c r="K240" s="44">
        <f t="shared" si="41"/>
        <v>1.0163805017769421E-2</v>
      </c>
      <c r="L240" s="45">
        <v>3050.3079084289584</v>
      </c>
      <c r="M240" s="45">
        <v>7437.9064071549119</v>
      </c>
      <c r="N240" s="45">
        <f t="shared" si="42"/>
        <v>26181.924315583867</v>
      </c>
      <c r="O240" s="46">
        <f t="shared" si="43"/>
        <v>22568818.760033295</v>
      </c>
      <c r="P240" s="47">
        <f t="shared" si="44"/>
        <v>30632.064524361951</v>
      </c>
      <c r="Q240" s="47">
        <v>77000</v>
      </c>
      <c r="R240" s="47">
        <f t="shared" si="47"/>
        <v>46367.935475638049</v>
      </c>
      <c r="S240" s="191">
        <f t="shared" si="46"/>
        <v>0.60218098020309152</v>
      </c>
      <c r="T240" s="42">
        <v>26404839.620000001</v>
      </c>
      <c r="U240" s="48">
        <f t="shared" si="45"/>
        <v>0.85472281160681007</v>
      </c>
      <c r="V240" s="49"/>
      <c r="X240" s="112"/>
    </row>
    <row r="241" spans="1:24" x14ac:dyDescent="0.3">
      <c r="A241" s="40" t="str">
        <f>VLOOKUP(B241,Grupos!$A$2:$B$619,2,FALSE)</f>
        <v>TABLEROS 75 AMP COBRE TAPA PLASTICA</v>
      </c>
      <c r="B241" s="41" t="s">
        <v>432</v>
      </c>
      <c r="C241" s="41" t="s">
        <v>433</v>
      </c>
      <c r="D241" s="42">
        <v>150</v>
      </c>
      <c r="E241" s="43">
        <v>15218.39</v>
      </c>
      <c r="F241" s="43">
        <v>1385</v>
      </c>
      <c r="G241" s="126">
        <f t="shared" si="37"/>
        <v>16603.39</v>
      </c>
      <c r="H241" s="127">
        <f t="shared" si="38"/>
        <v>2282758.5</v>
      </c>
      <c r="I241" s="128">
        <f t="shared" si="39"/>
        <v>207750</v>
      </c>
      <c r="J241" s="128">
        <f t="shared" si="40"/>
        <v>2490508.5</v>
      </c>
      <c r="K241" s="44">
        <f t="shared" si="41"/>
        <v>1.8711623238649672E-3</v>
      </c>
      <c r="L241" s="45">
        <v>3227.117859558402</v>
      </c>
      <c r="M241" s="45">
        <v>7437.9064071549119</v>
      </c>
      <c r="N241" s="45">
        <f t="shared" si="42"/>
        <v>27268.414266713313</v>
      </c>
      <c r="O241" s="46">
        <f t="shared" si="43"/>
        <v>4090262.1400069967</v>
      </c>
      <c r="P241" s="47">
        <f t="shared" si="44"/>
        <v>30799.998599999999</v>
      </c>
      <c r="Q241" s="47">
        <v>77000</v>
      </c>
      <c r="R241" s="47">
        <f t="shared" si="47"/>
        <v>46200.001400000001</v>
      </c>
      <c r="S241" s="191">
        <f t="shared" si="46"/>
        <v>0.60000001818181814</v>
      </c>
      <c r="T241" s="42">
        <v>4619999.79</v>
      </c>
      <c r="U241" s="48">
        <f t="shared" si="45"/>
        <v>0.8853381657852839</v>
      </c>
      <c r="V241" s="49"/>
      <c r="X241" s="112"/>
    </row>
    <row r="242" spans="1:24" x14ac:dyDescent="0.3">
      <c r="A242" s="40" t="str">
        <f>VLOOKUP(B242,Grupos!$A$2:$B$619,2,FALSE)</f>
        <v>TABLEROS 85 AMP BIMETALICO</v>
      </c>
      <c r="B242" s="41" t="s">
        <v>434</v>
      </c>
      <c r="C242" s="41" t="s">
        <v>435</v>
      </c>
      <c r="D242" s="42">
        <v>10</v>
      </c>
      <c r="E242" s="43">
        <v>15473.97</v>
      </c>
      <c r="F242" s="43">
        <v>1169.45</v>
      </c>
      <c r="G242" s="126">
        <f t="shared" si="37"/>
        <v>16643.419999999998</v>
      </c>
      <c r="H242" s="127">
        <f t="shared" si="38"/>
        <v>154739.69999999998</v>
      </c>
      <c r="I242" s="128">
        <f t="shared" si="39"/>
        <v>11694.5</v>
      </c>
      <c r="J242" s="128">
        <f t="shared" si="40"/>
        <v>166434.19999999998</v>
      </c>
      <c r="K242" s="44">
        <f t="shared" si="41"/>
        <v>1.2504490727199152E-4</v>
      </c>
      <c r="L242" s="45">
        <v>3234.8982904172876</v>
      </c>
      <c r="M242" s="45">
        <v>6280.3318757020306</v>
      </c>
      <c r="N242" s="45">
        <f t="shared" si="42"/>
        <v>26158.650166119318</v>
      </c>
      <c r="O242" s="46">
        <f t="shared" si="43"/>
        <v>261586.50166119318</v>
      </c>
      <c r="P242" s="47">
        <f t="shared" si="44"/>
        <v>50036.998</v>
      </c>
      <c r="Q242" s="47">
        <v>128300</v>
      </c>
      <c r="R242" s="47">
        <f t="shared" si="47"/>
        <v>78263.002000000008</v>
      </c>
      <c r="S242" s="191">
        <f t="shared" si="46"/>
        <v>0.61000001558846462</v>
      </c>
      <c r="T242" s="42">
        <v>500369.98</v>
      </c>
      <c r="U242" s="48">
        <f t="shared" si="45"/>
        <v>0.52278616247360243</v>
      </c>
      <c r="V242" s="49"/>
      <c r="X242" s="112"/>
    </row>
    <row r="243" spans="1:24" x14ac:dyDescent="0.3">
      <c r="A243" s="40" t="str">
        <f>VLOOKUP(B243,Grupos!$A$2:$B$619,2,FALSE)</f>
        <v>TABLEROS 85 AMP BIMETALICO</v>
      </c>
      <c r="B243" s="41" t="s">
        <v>436</v>
      </c>
      <c r="C243" s="41" t="s">
        <v>437</v>
      </c>
      <c r="D243" s="42">
        <v>638</v>
      </c>
      <c r="E243" s="43">
        <v>15335.5</v>
      </c>
      <c r="F243" s="43">
        <v>1040.22</v>
      </c>
      <c r="G243" s="126">
        <f t="shared" si="37"/>
        <v>16375.72</v>
      </c>
      <c r="H243" s="127">
        <f t="shared" si="38"/>
        <v>9784049</v>
      </c>
      <c r="I243" s="128">
        <f t="shared" si="39"/>
        <v>663660.36</v>
      </c>
      <c r="J243" s="128">
        <f t="shared" si="40"/>
        <v>10447709.359999999</v>
      </c>
      <c r="K243" s="44">
        <f t="shared" si="41"/>
        <v>7.8495456350072147E-3</v>
      </c>
      <c r="L243" s="45">
        <v>3182.8667805266095</v>
      </c>
      <c r="M243" s="45">
        <v>5586.3241897838861</v>
      </c>
      <c r="N243" s="45">
        <f t="shared" si="42"/>
        <v>25144.910970310495</v>
      </c>
      <c r="O243" s="46">
        <f t="shared" si="43"/>
        <v>16042453.199058095</v>
      </c>
      <c r="P243" s="47">
        <f t="shared" si="44"/>
        <v>46374.451504702192</v>
      </c>
      <c r="Q243" s="47">
        <v>115800</v>
      </c>
      <c r="R243" s="47">
        <f t="shared" si="47"/>
        <v>69425.548495297815</v>
      </c>
      <c r="S243" s="191">
        <f t="shared" si="46"/>
        <v>0.59952977975214006</v>
      </c>
      <c r="T243" s="42">
        <v>29586900.059999999</v>
      </c>
      <c r="U243" s="48">
        <f t="shared" si="45"/>
        <v>0.54221473579608581</v>
      </c>
      <c r="V243" s="49"/>
      <c r="X243" s="112"/>
    </row>
    <row r="244" spans="1:24" x14ac:dyDescent="0.3">
      <c r="A244" s="40" t="str">
        <f>VLOOKUP(B244,Grupos!$A$2:$B$619,2,FALSE)</f>
        <v>TABLEROS 85 AMP BIMETALICO</v>
      </c>
      <c r="B244" s="41" t="s">
        <v>653</v>
      </c>
      <c r="C244" s="41" t="s">
        <v>654</v>
      </c>
      <c r="D244" s="42">
        <v>40</v>
      </c>
      <c r="E244" s="43">
        <v>14285.06</v>
      </c>
      <c r="F244" s="43">
        <v>785.51</v>
      </c>
      <c r="G244" s="126">
        <f t="shared" si="37"/>
        <v>15070.57</v>
      </c>
      <c r="H244" s="127">
        <f t="shared" si="38"/>
        <v>571402.4</v>
      </c>
      <c r="I244" s="128">
        <f t="shared" si="39"/>
        <v>31420.400000000001</v>
      </c>
      <c r="J244" s="128">
        <f t="shared" si="40"/>
        <v>602822.80000000005</v>
      </c>
      <c r="K244" s="44">
        <f t="shared" si="41"/>
        <v>4.5291124737248894E-4</v>
      </c>
      <c r="L244" s="45">
        <v>2929.1913037473105</v>
      </c>
      <c r="M244" s="45">
        <v>4218.447553707043</v>
      </c>
      <c r="N244" s="45">
        <f t="shared" si="42"/>
        <v>22218.208857454352</v>
      </c>
      <c r="O244" s="46">
        <f t="shared" si="43"/>
        <v>888728.35429817415</v>
      </c>
      <c r="P244" s="47">
        <f t="shared" si="44"/>
        <v>46899.001750000003</v>
      </c>
      <c r="Q244" s="47">
        <v>115800</v>
      </c>
      <c r="R244" s="47">
        <f t="shared" si="47"/>
        <v>68900.998250000004</v>
      </c>
      <c r="S244" s="191">
        <f t="shared" si="46"/>
        <v>0.59499998488773753</v>
      </c>
      <c r="T244" s="42">
        <v>1875960.07</v>
      </c>
      <c r="U244" s="48">
        <f t="shared" si="45"/>
        <v>0.47374588004859514</v>
      </c>
      <c r="V244" s="49"/>
      <c r="X244" s="112"/>
    </row>
    <row r="245" spans="1:24" x14ac:dyDescent="0.3">
      <c r="A245" s="40" t="str">
        <f>VLOOKUP(B245,Grupos!$A$2:$B$619,2,FALSE)</f>
        <v>TABLEROS 85 AMP BIMETALICO</v>
      </c>
      <c r="B245" s="41" t="s">
        <v>438</v>
      </c>
      <c r="C245" s="41" t="s">
        <v>439</v>
      </c>
      <c r="D245" s="42">
        <v>984</v>
      </c>
      <c r="E245" s="43">
        <v>12106.89</v>
      </c>
      <c r="F245" s="43">
        <v>969.11</v>
      </c>
      <c r="G245" s="126">
        <f t="shared" si="37"/>
        <v>13076</v>
      </c>
      <c r="H245" s="127">
        <f t="shared" si="38"/>
        <v>11913179.76</v>
      </c>
      <c r="I245" s="128">
        <f t="shared" si="39"/>
        <v>953604.24</v>
      </c>
      <c r="J245" s="128">
        <f t="shared" si="40"/>
        <v>12866784</v>
      </c>
      <c r="K245" s="44">
        <f t="shared" si="41"/>
        <v>9.6670384582540382E-3</v>
      </c>
      <c r="L245" s="45">
        <v>2541.5167102372261</v>
      </c>
      <c r="M245" s="45">
        <v>5204.4400564894559</v>
      </c>
      <c r="N245" s="45">
        <f t="shared" si="42"/>
        <v>20821.956766726682</v>
      </c>
      <c r="O245" s="46">
        <f t="shared" si="43"/>
        <v>20488805.458459057</v>
      </c>
      <c r="P245" s="47">
        <f t="shared" si="44"/>
        <v>38264.207723577238</v>
      </c>
      <c r="Q245" s="47">
        <v>96100</v>
      </c>
      <c r="R245" s="47">
        <f t="shared" si="47"/>
        <v>57835.792276422762</v>
      </c>
      <c r="S245" s="191">
        <f t="shared" si="46"/>
        <v>0.60182926406267179</v>
      </c>
      <c r="T245" s="42">
        <v>37651980.399999999</v>
      </c>
      <c r="U245" s="48">
        <f t="shared" si="45"/>
        <v>0.54416275693320659</v>
      </c>
      <c r="V245" s="49"/>
      <c r="X245" s="112"/>
    </row>
    <row r="246" spans="1:24" x14ac:dyDescent="0.3">
      <c r="A246" s="40" t="str">
        <f>VLOOKUP(B246,Grupos!$A$2:$B$619,2,FALSE)</f>
        <v>TABLEROS 85 AMP BIMETALICO</v>
      </c>
      <c r="B246" s="41" t="s">
        <v>440</v>
      </c>
      <c r="C246" s="41" t="s">
        <v>441</v>
      </c>
      <c r="D246" s="42">
        <v>120</v>
      </c>
      <c r="E246" s="43">
        <v>11035.55</v>
      </c>
      <c r="F246" s="43">
        <v>969</v>
      </c>
      <c r="G246" s="126">
        <f t="shared" si="37"/>
        <v>12004.55</v>
      </c>
      <c r="H246" s="127">
        <f t="shared" si="38"/>
        <v>1324266</v>
      </c>
      <c r="I246" s="128">
        <f t="shared" si="39"/>
        <v>116280</v>
      </c>
      <c r="J246" s="128">
        <f t="shared" si="40"/>
        <v>1440546</v>
      </c>
      <c r="K246" s="44">
        <f t="shared" si="41"/>
        <v>1.0823072480958739E-3</v>
      </c>
      <c r="L246" s="45">
        <v>2333.2643334259933</v>
      </c>
      <c r="M246" s="45">
        <v>5203.8493202405125</v>
      </c>
      <c r="N246" s="45">
        <f t="shared" si="42"/>
        <v>19541.663653666506</v>
      </c>
      <c r="O246" s="46">
        <f t="shared" si="43"/>
        <v>2344999.6384399808</v>
      </c>
      <c r="P246" s="47">
        <f t="shared" si="44"/>
        <v>39497.101916666674</v>
      </c>
      <c r="Q246" s="47">
        <v>96100</v>
      </c>
      <c r="R246" s="47">
        <f t="shared" si="47"/>
        <v>56602.898083333326</v>
      </c>
      <c r="S246" s="191">
        <f t="shared" si="46"/>
        <v>0.5889999800554977</v>
      </c>
      <c r="T246" s="42">
        <v>4739652.2300000004</v>
      </c>
      <c r="U246" s="48">
        <f t="shared" si="45"/>
        <v>0.49476196240667653</v>
      </c>
      <c r="V246" s="49"/>
      <c r="X246" s="112"/>
    </row>
    <row r="247" spans="1:24" x14ac:dyDescent="0.3">
      <c r="A247" s="40" t="str">
        <f>VLOOKUP(B247,Grupos!$A$2:$B$619,2,FALSE)</f>
        <v>TABLEROS 95 AMP COBRE</v>
      </c>
      <c r="B247" s="41" t="s">
        <v>442</v>
      </c>
      <c r="C247" s="41" t="s">
        <v>443</v>
      </c>
      <c r="D247" s="42">
        <v>190</v>
      </c>
      <c r="E247" s="43">
        <v>23710.79</v>
      </c>
      <c r="F247" s="43">
        <v>1164.5999999999999</v>
      </c>
      <c r="G247" s="126">
        <f t="shared" si="37"/>
        <v>24875.39</v>
      </c>
      <c r="H247" s="127">
        <f t="shared" si="38"/>
        <v>4505050.1000000006</v>
      </c>
      <c r="I247" s="128">
        <f t="shared" si="39"/>
        <v>221273.99999999997</v>
      </c>
      <c r="J247" s="128">
        <f t="shared" si="40"/>
        <v>4726324.0999999996</v>
      </c>
      <c r="K247" s="44">
        <f t="shared" si="41"/>
        <v>3.5509694451133166E-3</v>
      </c>
      <c r="L247" s="45">
        <v>4834.9051207301918</v>
      </c>
      <c r="M247" s="45">
        <v>6254.2857774531476</v>
      </c>
      <c r="N247" s="45">
        <f t="shared" si="42"/>
        <v>35964.58089818334</v>
      </c>
      <c r="O247" s="46">
        <f t="shared" si="43"/>
        <v>6833270.3706548344</v>
      </c>
      <c r="P247" s="47">
        <f t="shared" si="44"/>
        <v>62168.999473684213</v>
      </c>
      <c r="Q247" s="47">
        <v>151050</v>
      </c>
      <c r="R247" s="47">
        <f t="shared" si="47"/>
        <v>88881.000526315795</v>
      </c>
      <c r="S247" s="191">
        <f t="shared" si="46"/>
        <v>0.58842105611596029</v>
      </c>
      <c r="T247" s="42">
        <v>11812109.9</v>
      </c>
      <c r="U247" s="48">
        <f t="shared" si="45"/>
        <v>0.5784970194575344</v>
      </c>
      <c r="V247" s="49"/>
      <c r="X247" s="112"/>
    </row>
    <row r="248" spans="1:24" x14ac:dyDescent="0.3">
      <c r="A248" s="40" t="str">
        <f>VLOOKUP(B248,Grupos!$A$2:$B$619,2,FALSE)</f>
        <v>TABLEROS 95 AMP COBRE</v>
      </c>
      <c r="B248" s="41" t="s">
        <v>444</v>
      </c>
      <c r="C248" s="41" t="s">
        <v>445</v>
      </c>
      <c r="D248" s="42">
        <v>500</v>
      </c>
      <c r="E248" s="43">
        <v>23572.32</v>
      </c>
      <c r="F248" s="43">
        <v>1008.01</v>
      </c>
      <c r="G248" s="126">
        <f t="shared" si="37"/>
        <v>24580.329999999998</v>
      </c>
      <c r="H248" s="127">
        <f t="shared" si="38"/>
        <v>11786160</v>
      </c>
      <c r="I248" s="128">
        <f t="shared" si="39"/>
        <v>504005</v>
      </c>
      <c r="J248" s="128">
        <f t="shared" si="40"/>
        <v>12290164.999999998</v>
      </c>
      <c r="K248" s="44">
        <f t="shared" si="41"/>
        <v>9.2338145812728128E-3</v>
      </c>
      <c r="L248" s="45">
        <v>4777.5557845017893</v>
      </c>
      <c r="M248" s="45">
        <v>5413.3458754340954</v>
      </c>
      <c r="N248" s="45">
        <f t="shared" si="42"/>
        <v>34771.231659935882</v>
      </c>
      <c r="O248" s="46">
        <f t="shared" si="43"/>
        <v>17385615.829967942</v>
      </c>
      <c r="P248" s="47">
        <f t="shared" si="44"/>
        <v>57568.47</v>
      </c>
      <c r="Q248" s="47">
        <v>145850</v>
      </c>
      <c r="R248" s="47">
        <f t="shared" si="47"/>
        <v>88281.53</v>
      </c>
      <c r="S248" s="191">
        <f t="shared" si="46"/>
        <v>0.60528988687007201</v>
      </c>
      <c r="T248" s="42">
        <v>28784235</v>
      </c>
      <c r="U248" s="48">
        <f t="shared" si="45"/>
        <v>0.60399784222050512</v>
      </c>
      <c r="V248" s="49"/>
      <c r="X248" s="112"/>
    </row>
    <row r="249" spans="1:24" x14ac:dyDescent="0.3">
      <c r="A249" s="40" t="str">
        <f>VLOOKUP(B249,Grupos!$A$2:$B$619,2,FALSE)</f>
        <v>TABLEROS 95 AMP COBRE</v>
      </c>
      <c r="B249" s="41" t="s">
        <v>446</v>
      </c>
      <c r="C249" s="41" t="s">
        <v>447</v>
      </c>
      <c r="D249" s="42">
        <v>80</v>
      </c>
      <c r="E249" s="43">
        <v>19190.71</v>
      </c>
      <c r="F249" s="43">
        <v>967.79</v>
      </c>
      <c r="G249" s="126">
        <f t="shared" si="37"/>
        <v>20158.5</v>
      </c>
      <c r="H249" s="127">
        <f t="shared" si="38"/>
        <v>1535256.7999999998</v>
      </c>
      <c r="I249" s="128">
        <f t="shared" si="39"/>
        <v>77423.199999999997</v>
      </c>
      <c r="J249" s="128">
        <f t="shared" si="40"/>
        <v>1612680</v>
      </c>
      <c r="K249" s="44">
        <f t="shared" si="41"/>
        <v>1.2116345141767455E-3</v>
      </c>
      <c r="L249" s="45">
        <v>3918.1068066164821</v>
      </c>
      <c r="M249" s="45">
        <v>5197.351221502131</v>
      </c>
      <c r="N249" s="45">
        <f t="shared" si="42"/>
        <v>29273.958028118614</v>
      </c>
      <c r="O249" s="46">
        <f t="shared" si="43"/>
        <v>2341916.6422494892</v>
      </c>
      <c r="P249" s="47">
        <f t="shared" si="44"/>
        <v>52857.001000000004</v>
      </c>
      <c r="Q249" s="47">
        <v>125850</v>
      </c>
      <c r="R249" s="47">
        <f t="shared" si="47"/>
        <v>72992.998999999996</v>
      </c>
      <c r="S249" s="191">
        <f t="shared" si="46"/>
        <v>0.57999999205403252</v>
      </c>
      <c r="T249" s="42">
        <v>4228560.08</v>
      </c>
      <c r="U249" s="48">
        <f t="shared" si="45"/>
        <v>0.5538331247381707</v>
      </c>
      <c r="V249" s="49"/>
      <c r="X249" s="112"/>
    </row>
    <row r="250" spans="1:24" x14ac:dyDescent="0.3">
      <c r="A250" s="40" t="str">
        <f>VLOOKUP(B250,Grupos!$A$2:$B$619,2,FALSE)</f>
        <v>TABLEROS 95 AMP COBRE</v>
      </c>
      <c r="B250" s="41" t="s">
        <v>448</v>
      </c>
      <c r="C250" s="41" t="s">
        <v>449</v>
      </c>
      <c r="D250" s="42">
        <v>307</v>
      </c>
      <c r="E250" s="43">
        <v>17938.84</v>
      </c>
      <c r="F250" s="43">
        <v>1072.5999999999999</v>
      </c>
      <c r="G250" s="126">
        <f t="shared" si="37"/>
        <v>19011.439999999999</v>
      </c>
      <c r="H250" s="127">
        <f t="shared" si="38"/>
        <v>5507223.8799999999</v>
      </c>
      <c r="I250" s="128">
        <f t="shared" si="39"/>
        <v>329288.19999999995</v>
      </c>
      <c r="J250" s="128">
        <f t="shared" si="40"/>
        <v>5836512.0799999991</v>
      </c>
      <c r="K250" s="44">
        <f t="shared" si="41"/>
        <v>4.3850729707924111E-3</v>
      </c>
      <c r="L250" s="45">
        <v>3695.1584923273485</v>
      </c>
      <c r="M250" s="45">
        <v>5760.2154601547709</v>
      </c>
      <c r="N250" s="45">
        <f t="shared" si="42"/>
        <v>28466.813952482116</v>
      </c>
      <c r="O250" s="46">
        <f t="shared" si="43"/>
        <v>8739311.8834120091</v>
      </c>
      <c r="P250" s="47">
        <f t="shared" si="44"/>
        <v>46771.124332247557</v>
      </c>
      <c r="Q250" s="47">
        <v>113150</v>
      </c>
      <c r="R250" s="47">
        <f t="shared" si="47"/>
        <v>66378.875667752436</v>
      </c>
      <c r="S250" s="191">
        <f t="shared" si="46"/>
        <v>0.58664494624615493</v>
      </c>
      <c r="T250" s="42">
        <v>14358735.17</v>
      </c>
      <c r="U250" s="48">
        <f t="shared" si="45"/>
        <v>0.60864078764202245</v>
      </c>
      <c r="V250" s="49"/>
      <c r="X250" s="112"/>
    </row>
    <row r="251" spans="1:24" x14ac:dyDescent="0.3">
      <c r="A251" s="40" t="str">
        <f>VLOOKUP(B251,Grupos!$A$2:$B$619,2,FALSE)</f>
        <v>TABLEROS 95 AMP COBRE</v>
      </c>
      <c r="B251" s="41" t="s">
        <v>450</v>
      </c>
      <c r="C251" s="41" t="s">
        <v>451</v>
      </c>
      <c r="D251" s="42">
        <v>757</v>
      </c>
      <c r="E251" s="43">
        <v>17750.79</v>
      </c>
      <c r="F251" s="43">
        <v>974.46</v>
      </c>
      <c r="G251" s="126">
        <f t="shared" si="37"/>
        <v>18725.25</v>
      </c>
      <c r="H251" s="127">
        <f t="shared" si="38"/>
        <v>13437348.030000001</v>
      </c>
      <c r="I251" s="128">
        <f t="shared" si="39"/>
        <v>737666.22</v>
      </c>
      <c r="J251" s="128">
        <f t="shared" si="40"/>
        <v>14175014.25</v>
      </c>
      <c r="K251" s="44">
        <f t="shared" si="41"/>
        <v>1.0649934583579627E-2</v>
      </c>
      <c r="L251" s="45">
        <v>3639.5331736287562</v>
      </c>
      <c r="M251" s="45">
        <v>5233.1713195062639</v>
      </c>
      <c r="N251" s="45">
        <f t="shared" si="42"/>
        <v>27597.954493135017</v>
      </c>
      <c r="O251" s="46">
        <f t="shared" si="43"/>
        <v>20891651.551303208</v>
      </c>
      <c r="P251" s="47">
        <f t="shared" si="44"/>
        <v>43583.799141347423</v>
      </c>
      <c r="Q251" s="47">
        <v>110300</v>
      </c>
      <c r="R251" s="47">
        <f t="shared" si="47"/>
        <v>66716.200858652577</v>
      </c>
      <c r="S251" s="191">
        <f t="shared" si="46"/>
        <v>0.60486129518270693</v>
      </c>
      <c r="T251" s="42">
        <v>32992935.949999999</v>
      </c>
      <c r="U251" s="48">
        <f t="shared" si="45"/>
        <v>0.63321589757771191</v>
      </c>
      <c r="V251" s="49"/>
      <c r="X251" s="112"/>
    </row>
    <row r="252" spans="1:24" x14ac:dyDescent="0.3">
      <c r="A252" s="40" t="str">
        <f>VLOOKUP(B252,Grupos!$A$2:$B$619,2,FALSE)</f>
        <v>TABLEROS 95 AMP COBRE</v>
      </c>
      <c r="B252" s="41" t="s">
        <v>452</v>
      </c>
      <c r="C252" s="41" t="s">
        <v>453</v>
      </c>
      <c r="D252" s="42">
        <v>204</v>
      </c>
      <c r="E252" s="43">
        <v>14834.88</v>
      </c>
      <c r="F252" s="43">
        <v>945.53</v>
      </c>
      <c r="G252" s="126">
        <f t="shared" si="37"/>
        <v>15780.41</v>
      </c>
      <c r="H252" s="127">
        <f t="shared" si="38"/>
        <v>3026315.52</v>
      </c>
      <c r="I252" s="128">
        <f t="shared" si="39"/>
        <v>192888.12</v>
      </c>
      <c r="J252" s="128">
        <f t="shared" si="40"/>
        <v>3219203.64</v>
      </c>
      <c r="K252" s="44">
        <f t="shared" si="41"/>
        <v>2.4186436480810891E-3</v>
      </c>
      <c r="L252" s="45">
        <v>3067.1593537316171</v>
      </c>
      <c r="M252" s="45">
        <v>5077.807686034068</v>
      </c>
      <c r="N252" s="45">
        <f t="shared" si="42"/>
        <v>23925.377039765684</v>
      </c>
      <c r="O252" s="46">
        <f t="shared" si="43"/>
        <v>4880776.9161121994</v>
      </c>
      <c r="P252" s="47">
        <f t="shared" si="44"/>
        <v>38881.528382352939</v>
      </c>
      <c r="Q252" s="47">
        <v>98950</v>
      </c>
      <c r="R252" s="47">
        <f t="shared" si="47"/>
        <v>60068.471617647061</v>
      </c>
      <c r="S252" s="191">
        <f t="shared" si="46"/>
        <v>0.60705883393276461</v>
      </c>
      <c r="T252" s="42">
        <v>7931831.79</v>
      </c>
      <c r="U252" s="48">
        <f t="shared" si="45"/>
        <v>0.61534044661229503</v>
      </c>
      <c r="V252" s="49"/>
      <c r="X252" s="112"/>
    </row>
    <row r="253" spans="1:24" x14ac:dyDescent="0.3">
      <c r="A253" s="40" t="str">
        <f>VLOOKUP(B253,Grupos!$A$2:$B$619,2,FALSE)</f>
        <v>TAPAS PLASTICAS</v>
      </c>
      <c r="B253" s="41" t="s">
        <v>454</v>
      </c>
      <c r="C253" s="41" t="s">
        <v>455</v>
      </c>
      <c r="D253" s="42">
        <v>1</v>
      </c>
      <c r="E253" s="43">
        <v>1765.92</v>
      </c>
      <c r="F253" s="43">
        <v>67</v>
      </c>
      <c r="G253" s="126">
        <f t="shared" si="37"/>
        <v>1832.92</v>
      </c>
      <c r="H253" s="127">
        <f t="shared" si="38"/>
        <v>1765.92</v>
      </c>
      <c r="I253" s="128">
        <f t="shared" si="39"/>
        <v>67</v>
      </c>
      <c r="J253" s="128">
        <f t="shared" si="40"/>
        <v>1832.92</v>
      </c>
      <c r="K253" s="44">
        <f t="shared" si="41"/>
        <v>1.3771046541935414E-6</v>
      </c>
      <c r="L253" s="45">
        <v>356.25549162802207</v>
      </c>
      <c r="M253" s="45">
        <v>359.81207890207878</v>
      </c>
      <c r="N253" s="45">
        <f t="shared" si="42"/>
        <v>2548.9875705301006</v>
      </c>
      <c r="O253" s="46">
        <f t="shared" si="43"/>
        <v>2548.9875705301006</v>
      </c>
      <c r="P253" s="47">
        <f t="shared" si="44"/>
        <v>10115</v>
      </c>
      <c r="Q253" s="47">
        <v>28900</v>
      </c>
      <c r="R253" s="47">
        <f t="shared" si="47"/>
        <v>18785</v>
      </c>
      <c r="S253" s="191">
        <f t="shared" si="46"/>
        <v>0.65</v>
      </c>
      <c r="T253" s="42">
        <v>10115</v>
      </c>
      <c r="U253" s="48">
        <f t="shared" si="45"/>
        <v>0.25200074844588238</v>
      </c>
      <c r="V253" s="49"/>
      <c r="X253" s="112"/>
    </row>
    <row r="254" spans="1:24" x14ac:dyDescent="0.3">
      <c r="A254" s="40" t="str">
        <f>VLOOKUP(B254,Grupos!$A$2:$B$619,2,FALSE)</f>
        <v>TAPAS PLASTICAS</v>
      </c>
      <c r="B254" s="41" t="s">
        <v>456</v>
      </c>
      <c r="C254" s="41" t="s">
        <v>457</v>
      </c>
      <c r="D254" s="42">
        <v>14</v>
      </c>
      <c r="E254" s="43">
        <v>1145.1300000000001</v>
      </c>
      <c r="F254" s="43">
        <v>54.38</v>
      </c>
      <c r="G254" s="126">
        <f t="shared" si="37"/>
        <v>1199.5100000000002</v>
      </c>
      <c r="H254" s="127">
        <f t="shared" si="38"/>
        <v>16031.820000000002</v>
      </c>
      <c r="I254" s="128">
        <f t="shared" si="39"/>
        <v>761.32</v>
      </c>
      <c r="J254" s="128">
        <f t="shared" si="40"/>
        <v>16793.140000000003</v>
      </c>
      <c r="K254" s="44">
        <f t="shared" si="41"/>
        <v>1.2616977965499712E-5</v>
      </c>
      <c r="L254" s="45">
        <v>233.14275841975038</v>
      </c>
      <c r="M254" s="45">
        <v>292.03852015962752</v>
      </c>
      <c r="N254" s="45">
        <f t="shared" si="42"/>
        <v>1724.6912785793781</v>
      </c>
      <c r="O254" s="46">
        <f t="shared" si="43"/>
        <v>24145.677900111295</v>
      </c>
      <c r="P254" s="47">
        <f t="shared" si="44"/>
        <v>4287.2142857142853</v>
      </c>
      <c r="Q254" s="47">
        <v>12350</v>
      </c>
      <c r="R254" s="47">
        <f t="shared" si="47"/>
        <v>8062.7857142857147</v>
      </c>
      <c r="S254" s="191">
        <f t="shared" si="46"/>
        <v>0.65285714285714291</v>
      </c>
      <c r="T254" s="42">
        <v>60021</v>
      </c>
      <c r="U254" s="48">
        <f t="shared" si="45"/>
        <v>0.40228716449428192</v>
      </c>
      <c r="V254" s="49"/>
      <c r="X254" s="112"/>
    </row>
    <row r="255" spans="1:24" x14ac:dyDescent="0.3">
      <c r="A255" s="40" t="str">
        <f>VLOOKUP(B255,Grupos!$A$2:$B$619,2,FALSE)</f>
        <v>TAPAS PLASTICAS</v>
      </c>
      <c r="B255" s="41" t="s">
        <v>459</v>
      </c>
      <c r="C255" s="41" t="s">
        <v>460</v>
      </c>
      <c r="D255" s="42">
        <v>44</v>
      </c>
      <c r="E255" s="43">
        <v>1273.0999999999999</v>
      </c>
      <c r="F255" s="43">
        <v>59.36</v>
      </c>
      <c r="G255" s="126">
        <f t="shared" si="37"/>
        <v>1332.4599999999998</v>
      </c>
      <c r="H255" s="127">
        <f t="shared" si="38"/>
        <v>56016.399999999994</v>
      </c>
      <c r="I255" s="128">
        <f t="shared" si="39"/>
        <v>2611.84</v>
      </c>
      <c r="J255" s="128">
        <f t="shared" si="40"/>
        <v>58628.239999999991</v>
      </c>
      <c r="K255" s="44">
        <f t="shared" si="41"/>
        <v>4.4048415736189217E-5</v>
      </c>
      <c r="L255" s="45">
        <v>258.98358486713778</v>
      </c>
      <c r="M255" s="45">
        <v>318.78276124817006</v>
      </c>
      <c r="N255" s="45">
        <f t="shared" si="42"/>
        <v>1910.2263461153077</v>
      </c>
      <c r="O255" s="46">
        <f t="shared" si="43"/>
        <v>84049.959229073545</v>
      </c>
      <c r="P255" s="47">
        <f t="shared" si="44"/>
        <v>5913.9661363636369</v>
      </c>
      <c r="Q255" s="47">
        <v>15050</v>
      </c>
      <c r="R255" s="47">
        <f t="shared" si="47"/>
        <v>9136.0338636363631</v>
      </c>
      <c r="S255" s="191">
        <f t="shared" si="46"/>
        <v>0.60704543944427658</v>
      </c>
      <c r="T255" s="42">
        <v>260214.51</v>
      </c>
      <c r="U255" s="48">
        <f t="shared" si="45"/>
        <v>0.32300258440266666</v>
      </c>
      <c r="V255" s="49"/>
      <c r="X255" s="112"/>
    </row>
    <row r="256" spans="1:24" x14ac:dyDescent="0.3">
      <c r="A256" s="40" t="str">
        <f>VLOOKUP(B256,Grupos!$A$2:$B$619,2,FALSE)</f>
        <v>TAPAS PLASTICAS</v>
      </c>
      <c r="B256" s="41" t="s">
        <v>461</v>
      </c>
      <c r="C256" s="41" t="s">
        <v>462</v>
      </c>
      <c r="D256" s="42">
        <v>53</v>
      </c>
      <c r="E256" s="43">
        <v>1619.28</v>
      </c>
      <c r="F256" s="43">
        <v>56.48</v>
      </c>
      <c r="G256" s="126">
        <f t="shared" si="37"/>
        <v>1675.76</v>
      </c>
      <c r="H256" s="127">
        <f t="shared" si="38"/>
        <v>85821.84</v>
      </c>
      <c r="I256" s="128">
        <f t="shared" si="39"/>
        <v>2993.44</v>
      </c>
      <c r="J256" s="128">
        <f t="shared" si="40"/>
        <v>88815.28</v>
      </c>
      <c r="K256" s="44">
        <f t="shared" si="41"/>
        <v>6.6728463572606858E-5</v>
      </c>
      <c r="L256" s="45">
        <v>325.70908858573989</v>
      </c>
      <c r="M256" s="45">
        <v>303.31621218491654</v>
      </c>
      <c r="N256" s="45">
        <f t="shared" si="42"/>
        <v>2304.7853007706562</v>
      </c>
      <c r="O256" s="46">
        <f t="shared" si="43"/>
        <v>122153.62094084478</v>
      </c>
      <c r="P256" s="47">
        <f t="shared" si="44"/>
        <v>7810.9809433962264</v>
      </c>
      <c r="Q256" s="47">
        <v>21800</v>
      </c>
      <c r="R256" s="47">
        <f t="shared" si="47"/>
        <v>13989.019056603775</v>
      </c>
      <c r="S256" s="191">
        <f t="shared" si="46"/>
        <v>0.64169812186255848</v>
      </c>
      <c r="T256" s="42">
        <v>413981.99</v>
      </c>
      <c r="U256" s="48">
        <f t="shared" si="45"/>
        <v>0.2950698916656852</v>
      </c>
      <c r="V256" s="49"/>
      <c r="X256" s="112"/>
    </row>
    <row r="257" spans="1:24" x14ac:dyDescent="0.3">
      <c r="A257" s="40" t="str">
        <f>VLOOKUP(B257,Grupos!$A$2:$B$619,2,FALSE)</f>
        <v>TAPAS PLASTICAS</v>
      </c>
      <c r="B257" s="41" t="s">
        <v>463</v>
      </c>
      <c r="C257" s="41" t="s">
        <v>464</v>
      </c>
      <c r="D257" s="42">
        <v>1612</v>
      </c>
      <c r="E257" s="43">
        <v>23.89</v>
      </c>
      <c r="F257" s="43">
        <v>9.17</v>
      </c>
      <c r="G257" s="126">
        <f t="shared" si="37"/>
        <v>33.06</v>
      </c>
      <c r="H257" s="127">
        <f t="shared" si="38"/>
        <v>38510.68</v>
      </c>
      <c r="I257" s="128">
        <f t="shared" si="39"/>
        <v>14782.039999999999</v>
      </c>
      <c r="J257" s="128">
        <f t="shared" si="40"/>
        <v>53292.72</v>
      </c>
      <c r="K257" s="44">
        <f t="shared" si="41"/>
        <v>4.0039746822901834E-5</v>
      </c>
      <c r="L257" s="45">
        <v>6.4257068247508942</v>
      </c>
      <c r="M257" s="45">
        <v>49.245921843762126</v>
      </c>
      <c r="N257" s="45">
        <f t="shared" si="42"/>
        <v>88.731628668513025</v>
      </c>
      <c r="O257" s="46">
        <f t="shared" si="43"/>
        <v>143035.385413643</v>
      </c>
      <c r="P257" s="47">
        <f t="shared" si="44"/>
        <v>459.80148883374687</v>
      </c>
      <c r="Q257" s="47">
        <v>1050</v>
      </c>
      <c r="R257" s="47">
        <f t="shared" si="47"/>
        <v>590.19851116625318</v>
      </c>
      <c r="S257" s="191">
        <f t="shared" si="46"/>
        <v>0.56209382015833631</v>
      </c>
      <c r="T257" s="42">
        <v>741200</v>
      </c>
      <c r="U257" s="48">
        <f t="shared" si="45"/>
        <v>0.19297812387161764</v>
      </c>
      <c r="V257" s="49"/>
      <c r="X257" s="112"/>
    </row>
    <row r="258" spans="1:24" x14ac:dyDescent="0.3">
      <c r="A258" s="40" t="str">
        <f>VLOOKUP(B258,Grupos!$A$2:$B$619,2,FALSE)</f>
        <v>TAPAS PLASTICAS</v>
      </c>
      <c r="B258" s="41" t="s">
        <v>465</v>
      </c>
      <c r="C258" s="41" t="s">
        <v>466</v>
      </c>
      <c r="D258" s="42">
        <v>159840</v>
      </c>
      <c r="E258" s="43">
        <v>77.37</v>
      </c>
      <c r="F258" s="43">
        <v>8.2100000000000009</v>
      </c>
      <c r="G258" s="126">
        <f t="shared" si="37"/>
        <v>85.580000000000013</v>
      </c>
      <c r="H258" s="127">
        <f t="shared" si="38"/>
        <v>12366820.800000001</v>
      </c>
      <c r="I258" s="128">
        <f t="shared" si="39"/>
        <v>1312286.4000000001</v>
      </c>
      <c r="J258" s="128">
        <f t="shared" si="40"/>
        <v>13679107.200000001</v>
      </c>
      <c r="K258" s="44">
        <f t="shared" si="41"/>
        <v>1.02773509974971E-2</v>
      </c>
      <c r="L258" s="45">
        <v>16.633756505208154</v>
      </c>
      <c r="M258" s="45">
        <v>44.090405489344285</v>
      </c>
      <c r="N258" s="45">
        <f t="shared" si="42"/>
        <v>146.30416199455246</v>
      </c>
      <c r="O258" s="46">
        <f t="shared" si="43"/>
        <v>23385257.253209267</v>
      </c>
      <c r="P258" s="47">
        <f t="shared" si="44"/>
        <v>228.37839214214216</v>
      </c>
      <c r="Q258" s="47">
        <v>650</v>
      </c>
      <c r="R258" s="47">
        <f t="shared" si="47"/>
        <v>421.62160785785784</v>
      </c>
      <c r="S258" s="191">
        <f t="shared" si="46"/>
        <v>0.64864862747362739</v>
      </c>
      <c r="T258" s="42">
        <v>36504002.200000003</v>
      </c>
      <c r="U258" s="48">
        <f t="shared" si="45"/>
        <v>0.6406217358054308</v>
      </c>
      <c r="V258" s="49"/>
      <c r="X258" s="112"/>
    </row>
    <row r="259" spans="1:24" x14ac:dyDescent="0.3">
      <c r="A259" s="40" t="str">
        <f>VLOOKUP(B259,Grupos!$A$2:$B$619,2,FALSE)</f>
        <v>TAPAS PLASTICAS</v>
      </c>
      <c r="B259" s="41" t="s">
        <v>467</v>
      </c>
      <c r="C259" s="41" t="s">
        <v>468</v>
      </c>
      <c r="D259" s="42">
        <v>26640</v>
      </c>
      <c r="E259" s="43">
        <v>76.55</v>
      </c>
      <c r="F259" s="43">
        <v>11.63</v>
      </c>
      <c r="G259" s="126">
        <f t="shared" si="37"/>
        <v>88.179999999999993</v>
      </c>
      <c r="H259" s="127">
        <f t="shared" si="38"/>
        <v>2039292</v>
      </c>
      <c r="I259" s="128">
        <f t="shared" si="39"/>
        <v>309823.2</v>
      </c>
      <c r="J259" s="128">
        <f t="shared" si="40"/>
        <v>2349115.1999999997</v>
      </c>
      <c r="K259" s="44">
        <f t="shared" si="41"/>
        <v>1.7649310800017411E-3</v>
      </c>
      <c r="L259" s="45">
        <v>17.139105499290192</v>
      </c>
      <c r="M259" s="45">
        <v>62.456932501957859</v>
      </c>
      <c r="N259" s="45">
        <f t="shared" si="42"/>
        <v>167.77603800124805</v>
      </c>
      <c r="O259" s="46">
        <f t="shared" si="43"/>
        <v>4469553.6523532486</v>
      </c>
      <c r="P259" s="47">
        <f t="shared" si="44"/>
        <v>228.20271358858858</v>
      </c>
      <c r="Q259" s="47">
        <v>650</v>
      </c>
      <c r="R259" s="47">
        <f t="shared" si="47"/>
        <v>421.79728641141139</v>
      </c>
      <c r="S259" s="191">
        <f t="shared" si="46"/>
        <v>0.64891890217140213</v>
      </c>
      <c r="T259" s="42">
        <v>6079320.29</v>
      </c>
      <c r="U259" s="48">
        <f t="shared" si="45"/>
        <v>0.7352061479151395</v>
      </c>
      <c r="V259" s="49"/>
      <c r="X259" s="112"/>
    </row>
    <row r="260" spans="1:24" x14ac:dyDescent="0.3">
      <c r="A260" s="40" t="str">
        <f>VLOOKUP(B260,Grupos!$A$2:$B$619,2,FALSE)</f>
        <v>TAPAS PLASTICAS</v>
      </c>
      <c r="B260" s="41" t="s">
        <v>469</v>
      </c>
      <c r="C260" s="41" t="s">
        <v>470</v>
      </c>
      <c r="D260" s="42">
        <v>20000</v>
      </c>
      <c r="E260" s="43">
        <v>68.67</v>
      </c>
      <c r="F260" s="43">
        <v>21.29</v>
      </c>
      <c r="G260" s="126">
        <f t="shared" si="37"/>
        <v>89.960000000000008</v>
      </c>
      <c r="H260" s="127">
        <f t="shared" si="38"/>
        <v>1373400</v>
      </c>
      <c r="I260" s="128">
        <f t="shared" si="39"/>
        <v>425800</v>
      </c>
      <c r="J260" s="128">
        <f t="shared" si="40"/>
        <v>1799200.0000000002</v>
      </c>
      <c r="K260" s="44">
        <f t="shared" si="41"/>
        <v>1.3517702321023395E-3</v>
      </c>
      <c r="L260" s="45">
        <v>17.485075195238675</v>
      </c>
      <c r="M260" s="45">
        <v>114.33431581828741</v>
      </c>
      <c r="N260" s="45">
        <f t="shared" si="42"/>
        <v>221.77939101352609</v>
      </c>
      <c r="O260" s="46">
        <f t="shared" si="43"/>
        <v>4435587.8202705216</v>
      </c>
      <c r="P260" s="47">
        <f t="shared" si="44"/>
        <v>231.72499950000002</v>
      </c>
      <c r="Q260" s="47">
        <v>650</v>
      </c>
      <c r="R260" s="47">
        <f t="shared" si="47"/>
        <v>418.27500049999998</v>
      </c>
      <c r="S260" s="191">
        <f t="shared" si="46"/>
        <v>0.64350000076923075</v>
      </c>
      <c r="T260" s="42">
        <v>4634499.99</v>
      </c>
      <c r="U260" s="48">
        <f t="shared" si="45"/>
        <v>0.95708012295637557</v>
      </c>
      <c r="V260" s="49"/>
      <c r="X260" s="112"/>
    </row>
    <row r="261" spans="1:24" x14ac:dyDescent="0.3">
      <c r="A261" s="40" t="str">
        <f>VLOOKUP(B261,Grupos!$A$2:$B$619,2,FALSE)</f>
        <v>TAPAS PLASTICAS</v>
      </c>
      <c r="B261" s="41" t="s">
        <v>471</v>
      </c>
      <c r="C261" s="41" t="s">
        <v>472</v>
      </c>
      <c r="D261" s="42">
        <v>1000</v>
      </c>
      <c r="E261" s="43">
        <v>62.15</v>
      </c>
      <c r="F261" s="43">
        <v>20.22</v>
      </c>
      <c r="G261" s="126">
        <f t="shared" ref="G261:G324" si="48">E261+F261</f>
        <v>82.37</v>
      </c>
      <c r="H261" s="127">
        <f t="shared" si="38"/>
        <v>62150</v>
      </c>
      <c r="I261" s="128">
        <f t="shared" si="39"/>
        <v>20220</v>
      </c>
      <c r="J261" s="128">
        <f t="shared" si="40"/>
        <v>82370</v>
      </c>
      <c r="K261" s="44">
        <f t="shared" ref="K261:K263" si="49">J261/$J$264</f>
        <v>6.1886012682453134E-5</v>
      </c>
      <c r="L261" s="45">
        <v>16.009844862514555</v>
      </c>
      <c r="M261" s="45">
        <v>108.58806321492585</v>
      </c>
      <c r="N261" s="45">
        <f t="shared" ref="N261:N263" si="50">G261+L261+M261</f>
        <v>206.96790807744043</v>
      </c>
      <c r="O261" s="46">
        <f t="shared" ref="O261:O263" si="51">N261*D261</f>
        <v>206967.90807744043</v>
      </c>
      <c r="P261" s="47">
        <f t="shared" ref="P261:P263" si="52">T261/D261</f>
        <v>227.50001999999998</v>
      </c>
      <c r="Q261" s="47">
        <v>650</v>
      </c>
      <c r="R261" s="47">
        <f t="shared" si="47"/>
        <v>422.49998000000005</v>
      </c>
      <c r="S261" s="191">
        <f t="shared" si="46"/>
        <v>0.6499999692307693</v>
      </c>
      <c r="T261" s="42">
        <v>227500.02</v>
      </c>
      <c r="U261" s="48">
        <f t="shared" ref="U261:U324" si="53">O261/T261</f>
        <v>0.90974896651631254</v>
      </c>
      <c r="V261" s="49"/>
      <c r="X261" s="112"/>
    </row>
    <row r="262" spans="1:24" x14ac:dyDescent="0.3">
      <c r="A262" s="40" t="str">
        <f>VLOOKUP(B262,Grupos!$A$2:$B$619,2,FALSE)</f>
        <v>TAPAS PLASTICAS</v>
      </c>
      <c r="B262" s="41" t="s">
        <v>473</v>
      </c>
      <c r="C262" s="41" t="s">
        <v>474</v>
      </c>
      <c r="D262" s="42">
        <v>6270</v>
      </c>
      <c r="E262" s="43">
        <v>96.24</v>
      </c>
      <c r="F262" s="43">
        <v>22.33</v>
      </c>
      <c r="G262" s="126">
        <f t="shared" si="48"/>
        <v>118.57</v>
      </c>
      <c r="H262" s="127">
        <f t="shared" si="38"/>
        <v>603424.79999999993</v>
      </c>
      <c r="I262" s="128">
        <f t="shared" si="39"/>
        <v>140009.09999999998</v>
      </c>
      <c r="J262" s="128">
        <f t="shared" si="40"/>
        <v>743433.89999999991</v>
      </c>
      <c r="K262" s="44">
        <f t="shared" si="49"/>
        <v>5.5855481078020627E-4</v>
      </c>
      <c r="L262" s="45">
        <v>23.045857780118375</v>
      </c>
      <c r="M262" s="45">
        <v>119.91945853557341</v>
      </c>
      <c r="N262" s="45">
        <f t="shared" si="50"/>
        <v>261.53531631569177</v>
      </c>
      <c r="O262" s="46">
        <f t="shared" si="51"/>
        <v>1639826.4332993873</v>
      </c>
      <c r="P262" s="47">
        <f t="shared" si="52"/>
        <v>274.0909106858054</v>
      </c>
      <c r="Q262" s="47">
        <v>750</v>
      </c>
      <c r="R262" s="47">
        <f t="shared" si="47"/>
        <v>475.9090893141946</v>
      </c>
      <c r="S262" s="191">
        <f t="shared" ref="S262:S315" si="54">R262/Q262</f>
        <v>0.63454545241892613</v>
      </c>
      <c r="T262" s="42">
        <v>1718550.01</v>
      </c>
      <c r="U262" s="48">
        <f t="shared" si="53"/>
        <v>0.95419186160278646</v>
      </c>
      <c r="V262" s="49"/>
      <c r="X262" s="112"/>
    </row>
    <row r="263" spans="1:24" x14ac:dyDescent="0.3">
      <c r="A263" s="40" t="str">
        <f>VLOOKUP(B263,Grupos!$A$2:$B$619,2,FALSE)</f>
        <v>TAPAS PLASTICAS</v>
      </c>
      <c r="B263" s="41" t="s">
        <v>475</v>
      </c>
      <c r="C263" s="41" t="s">
        <v>476</v>
      </c>
      <c r="D263" s="42">
        <v>17670</v>
      </c>
      <c r="E263" s="43">
        <v>96.03</v>
      </c>
      <c r="F263" s="43">
        <v>23.29</v>
      </c>
      <c r="G263" s="126">
        <f t="shared" si="48"/>
        <v>119.32</v>
      </c>
      <c r="H263" s="127">
        <f t="shared" si="38"/>
        <v>1696850.1</v>
      </c>
      <c r="I263" s="128">
        <f t="shared" si="39"/>
        <v>411534.3</v>
      </c>
      <c r="J263" s="128">
        <f t="shared" si="40"/>
        <v>2108384.4</v>
      </c>
      <c r="K263" s="44">
        <f t="shared" si="49"/>
        <v>1.5840658457919915E-3</v>
      </c>
      <c r="L263" s="45">
        <v>23.191631528411275</v>
      </c>
      <c r="M263" s="45">
        <v>125.07497488999125</v>
      </c>
      <c r="N263" s="45">
        <f t="shared" si="50"/>
        <v>267.58660641840254</v>
      </c>
      <c r="O263" s="46">
        <f t="shared" si="51"/>
        <v>4728255.3354131728</v>
      </c>
      <c r="P263" s="47">
        <f t="shared" si="52"/>
        <v>281.80646349745331</v>
      </c>
      <c r="Q263" s="47">
        <v>800</v>
      </c>
      <c r="R263" s="47">
        <f t="shared" si="47"/>
        <v>518.19353650254675</v>
      </c>
      <c r="S263" s="191">
        <f t="shared" si="54"/>
        <v>0.64774192062818348</v>
      </c>
      <c r="T263" s="42">
        <v>4979520.21</v>
      </c>
      <c r="U263" s="48">
        <f t="shared" si="53"/>
        <v>0.94954034445281887</v>
      </c>
      <c r="V263" s="49"/>
      <c r="X263" s="112"/>
    </row>
    <row r="264" spans="1:24" s="93" customFormat="1" x14ac:dyDescent="0.3">
      <c r="A264" s="50" t="s">
        <v>1011</v>
      </c>
      <c r="B264" s="129"/>
      <c r="C264" s="129"/>
      <c r="D264" s="51">
        <v>1836133.6500000001</v>
      </c>
      <c r="E264" s="52"/>
      <c r="F264" s="52"/>
      <c r="G264" s="130">
        <f t="shared" si="48"/>
        <v>0</v>
      </c>
      <c r="H264" s="131">
        <v>1226784670.1399996</v>
      </c>
      <c r="I264" s="131">
        <v>104210758.87000002</v>
      </c>
      <c r="J264" s="131">
        <v>1330995429.0099998</v>
      </c>
      <c r="K264" s="53"/>
      <c r="L264" s="54"/>
      <c r="M264" s="45">
        <v>0</v>
      </c>
      <c r="N264" s="54"/>
      <c r="O264" s="131">
        <v>2149340468.8531032</v>
      </c>
      <c r="P264" s="56"/>
      <c r="Q264" s="47"/>
      <c r="R264" s="47"/>
      <c r="S264" s="47"/>
      <c r="T264" s="51">
        <v>3282616128.249999</v>
      </c>
      <c r="U264" s="57">
        <f>O264/T264</f>
        <v>0.65476448810325616</v>
      </c>
      <c r="V264" s="58">
        <f>T264/T329</f>
        <v>0.86916147459705784</v>
      </c>
      <c r="W264"/>
      <c r="X264" s="112"/>
    </row>
    <row r="265" spans="1:24" x14ac:dyDescent="0.3">
      <c r="A265" s="40" t="str">
        <f>VLOOKUP(B265,Grupos!$A$2:$B$619,2,FALSE)</f>
        <v>BREAKERS</v>
      </c>
      <c r="B265" s="41" t="s">
        <v>481</v>
      </c>
      <c r="C265" s="41" t="s">
        <v>482</v>
      </c>
      <c r="D265" s="42">
        <v>2124</v>
      </c>
      <c r="E265" s="43">
        <v>5808.8315907531278</v>
      </c>
      <c r="F265" s="43"/>
      <c r="G265" s="126">
        <f t="shared" si="48"/>
        <v>5808.8315907531278</v>
      </c>
      <c r="H265" s="127">
        <f t="shared" ref="H265:H315" si="55">E265*D265</f>
        <v>12337958.298759643</v>
      </c>
      <c r="I265" s="128">
        <f t="shared" ref="I265:I315" si="56">F265*D265</f>
        <v>0</v>
      </c>
      <c r="J265" s="128">
        <f t="shared" ref="J265:J315" si="57">G265*D265</f>
        <v>12337958.298759643</v>
      </c>
      <c r="K265" s="44"/>
      <c r="L265" s="45">
        <v>0</v>
      </c>
      <c r="M265" s="45">
        <v>0</v>
      </c>
      <c r="N265" s="45">
        <f t="shared" ref="N265:N315" si="58">G265+L265+M265</f>
        <v>5808.8315907531278</v>
      </c>
      <c r="O265" s="46">
        <f t="shared" ref="O265:O315" si="59">N265*D265</f>
        <v>12337958.298759643</v>
      </c>
      <c r="P265" s="47">
        <f t="shared" ref="P265:P315" si="60">T265/D265</f>
        <v>6953.1073399246707</v>
      </c>
      <c r="Q265" s="47">
        <v>21250</v>
      </c>
      <c r="R265" s="47">
        <f t="shared" si="47"/>
        <v>14296.892660075329</v>
      </c>
      <c r="S265" s="191">
        <f t="shared" si="54"/>
        <v>0.67279494870942724</v>
      </c>
      <c r="T265" s="42">
        <v>14768399.99</v>
      </c>
      <c r="U265" s="48">
        <f t="shared" si="53"/>
        <v>0.83542958662508726</v>
      </c>
      <c r="V265" s="49"/>
      <c r="X265" s="112"/>
    </row>
    <row r="266" spans="1:24" x14ac:dyDescent="0.3">
      <c r="A266" s="40" t="str">
        <f>VLOOKUP(B266,Grupos!$A$2:$B$619,2,FALSE)</f>
        <v>BREAKERS</v>
      </c>
      <c r="B266" s="41" t="s">
        <v>483</v>
      </c>
      <c r="C266" s="41" t="s">
        <v>484</v>
      </c>
      <c r="D266" s="42">
        <v>324</v>
      </c>
      <c r="E266" s="43">
        <v>5815.0243200861933</v>
      </c>
      <c r="F266" s="43"/>
      <c r="G266" s="126">
        <f t="shared" si="48"/>
        <v>5815.0243200861933</v>
      </c>
      <c r="H266" s="127">
        <f t="shared" si="55"/>
        <v>1884067.8797079267</v>
      </c>
      <c r="I266" s="128">
        <f t="shared" si="56"/>
        <v>0</v>
      </c>
      <c r="J266" s="128">
        <f t="shared" si="57"/>
        <v>1884067.8797079267</v>
      </c>
      <c r="K266" s="44"/>
      <c r="L266" s="45">
        <v>0</v>
      </c>
      <c r="M266" s="45">
        <v>0</v>
      </c>
      <c r="N266" s="45">
        <f t="shared" si="58"/>
        <v>5815.0243200861933</v>
      </c>
      <c r="O266" s="46">
        <f t="shared" si="59"/>
        <v>1884067.8797079267</v>
      </c>
      <c r="P266" s="47">
        <f t="shared" si="60"/>
        <v>7029.6296296296296</v>
      </c>
      <c r="Q266" s="47">
        <v>21250</v>
      </c>
      <c r="R266" s="47">
        <f t="shared" si="47"/>
        <v>14220.37037037037</v>
      </c>
      <c r="S266" s="191">
        <f t="shared" si="54"/>
        <v>0.66919389978213506</v>
      </c>
      <c r="T266" s="42">
        <v>2277600</v>
      </c>
      <c r="U266" s="48">
        <f t="shared" si="53"/>
        <v>0.82721631529150275</v>
      </c>
      <c r="V266" s="49"/>
      <c r="X266" s="112"/>
    </row>
    <row r="267" spans="1:24" x14ac:dyDescent="0.3">
      <c r="A267" s="40" t="str">
        <f>VLOOKUP(B267,Grupos!$A$2:$B$619,2,FALSE)</f>
        <v>BREAKERS</v>
      </c>
      <c r="B267" s="41" t="s">
        <v>485</v>
      </c>
      <c r="C267" s="41" t="s">
        <v>486</v>
      </c>
      <c r="D267" s="42">
        <v>9420</v>
      </c>
      <c r="E267" s="43">
        <v>5212.9901566926656</v>
      </c>
      <c r="F267" s="43"/>
      <c r="G267" s="126">
        <f t="shared" si="48"/>
        <v>5212.9901566926656</v>
      </c>
      <c r="H267" s="127">
        <f t="shared" si="55"/>
        <v>49106367.276044913</v>
      </c>
      <c r="I267" s="128">
        <f t="shared" si="56"/>
        <v>0</v>
      </c>
      <c r="J267" s="128">
        <f t="shared" si="57"/>
        <v>49106367.276044913</v>
      </c>
      <c r="K267" s="44"/>
      <c r="L267" s="45">
        <v>0</v>
      </c>
      <c r="M267" s="45">
        <v>0</v>
      </c>
      <c r="N267" s="45">
        <f t="shared" si="58"/>
        <v>5212.9901566926656</v>
      </c>
      <c r="O267" s="46">
        <f t="shared" si="59"/>
        <v>49106367.276044913</v>
      </c>
      <c r="P267" s="47">
        <f t="shared" si="60"/>
        <v>6961.4331072186833</v>
      </c>
      <c r="Q267" s="47">
        <v>21250</v>
      </c>
      <c r="R267" s="47">
        <f t="shared" si="47"/>
        <v>14288.566892781317</v>
      </c>
      <c r="S267" s="191">
        <f t="shared" si="54"/>
        <v>0.67240314789559141</v>
      </c>
      <c r="T267" s="42">
        <v>65576699.869999997</v>
      </c>
      <c r="U267" s="48">
        <f t="shared" si="53"/>
        <v>0.74883864807765466</v>
      </c>
      <c r="V267" s="49"/>
      <c r="X267" s="112"/>
    </row>
    <row r="268" spans="1:24" x14ac:dyDescent="0.3">
      <c r="A268" s="40" t="str">
        <f>VLOOKUP(B268,Grupos!$A$2:$B$619,2,FALSE)</f>
        <v>BREAKERS</v>
      </c>
      <c r="B268" s="41" t="s">
        <v>487</v>
      </c>
      <c r="C268" s="41" t="s">
        <v>488</v>
      </c>
      <c r="D268" s="42">
        <v>6677</v>
      </c>
      <c r="E268" s="43">
        <v>5212.9901566926665</v>
      </c>
      <c r="F268" s="43"/>
      <c r="G268" s="126">
        <f t="shared" si="48"/>
        <v>5212.9901566926665</v>
      </c>
      <c r="H268" s="127">
        <f t="shared" si="55"/>
        <v>34807135.276236936</v>
      </c>
      <c r="I268" s="128">
        <f t="shared" si="56"/>
        <v>0</v>
      </c>
      <c r="J268" s="128">
        <f t="shared" si="57"/>
        <v>34807135.276236936</v>
      </c>
      <c r="K268" s="44"/>
      <c r="L268" s="45">
        <v>0</v>
      </c>
      <c r="M268" s="45">
        <v>0</v>
      </c>
      <c r="N268" s="45">
        <f t="shared" si="58"/>
        <v>5212.9901566926665</v>
      </c>
      <c r="O268" s="46">
        <f t="shared" si="59"/>
        <v>34807135.276236936</v>
      </c>
      <c r="P268" s="47">
        <f t="shared" si="60"/>
        <v>6949.9475812490637</v>
      </c>
      <c r="Q268" s="47">
        <v>21250</v>
      </c>
      <c r="R268" s="47">
        <f t="shared" si="47"/>
        <v>14300.052418750936</v>
      </c>
      <c r="S268" s="191">
        <f t="shared" si="54"/>
        <v>0.67294364323533817</v>
      </c>
      <c r="T268" s="42">
        <v>46404800</v>
      </c>
      <c r="U268" s="48">
        <f t="shared" si="53"/>
        <v>0.75007618341716664</v>
      </c>
      <c r="V268" s="49"/>
      <c r="X268" s="112"/>
    </row>
    <row r="269" spans="1:24" x14ac:dyDescent="0.3">
      <c r="A269" s="40" t="str">
        <f>VLOOKUP(B269,Grupos!$A$2:$B$619,2,FALSE)</f>
        <v>BREAKERS</v>
      </c>
      <c r="B269" s="41" t="s">
        <v>489</v>
      </c>
      <c r="C269" s="41" t="s">
        <v>490</v>
      </c>
      <c r="D269" s="42">
        <v>2772</v>
      </c>
      <c r="E269" s="43">
        <v>5212.9901566926656</v>
      </c>
      <c r="F269" s="43"/>
      <c r="G269" s="126">
        <f t="shared" si="48"/>
        <v>5212.9901566926656</v>
      </c>
      <c r="H269" s="127">
        <f t="shared" si="55"/>
        <v>14450408.714352069</v>
      </c>
      <c r="I269" s="128">
        <f t="shared" si="56"/>
        <v>0</v>
      </c>
      <c r="J269" s="128">
        <f t="shared" si="57"/>
        <v>14450408.714352069</v>
      </c>
      <c r="K269" s="44"/>
      <c r="L269" s="45">
        <v>0</v>
      </c>
      <c r="M269" s="45">
        <v>0</v>
      </c>
      <c r="N269" s="45">
        <f t="shared" si="58"/>
        <v>5212.9901566926656</v>
      </c>
      <c r="O269" s="46">
        <f t="shared" si="59"/>
        <v>14450408.714352069</v>
      </c>
      <c r="P269" s="47">
        <f t="shared" si="60"/>
        <v>6935.2813744588739</v>
      </c>
      <c r="Q269" s="47">
        <v>21250</v>
      </c>
      <c r="R269" s="47">
        <f t="shared" si="47"/>
        <v>14314.718625541125</v>
      </c>
      <c r="S269" s="191">
        <f t="shared" si="54"/>
        <v>0.6736338176725235</v>
      </c>
      <c r="T269" s="42">
        <v>19224599.969999999</v>
      </c>
      <c r="U269" s="48">
        <f t="shared" si="53"/>
        <v>0.7516623876128472</v>
      </c>
      <c r="V269" s="49"/>
      <c r="X269" s="112"/>
    </row>
    <row r="270" spans="1:24" x14ac:dyDescent="0.3">
      <c r="A270" s="40" t="str">
        <f>VLOOKUP(B270,Grupos!$A$2:$B$619,2,FALSE)</f>
        <v>BREAKERS</v>
      </c>
      <c r="B270" s="41" t="s">
        <v>491</v>
      </c>
      <c r="C270" s="41" t="s">
        <v>492</v>
      </c>
      <c r="D270" s="42">
        <v>2184</v>
      </c>
      <c r="E270" s="43">
        <v>5212.9901566926656</v>
      </c>
      <c r="F270" s="43"/>
      <c r="G270" s="126">
        <f t="shared" si="48"/>
        <v>5212.9901566926656</v>
      </c>
      <c r="H270" s="127">
        <f t="shared" si="55"/>
        <v>11385170.502216782</v>
      </c>
      <c r="I270" s="128">
        <f t="shared" si="56"/>
        <v>0</v>
      </c>
      <c r="J270" s="128">
        <f t="shared" si="57"/>
        <v>11385170.502216782</v>
      </c>
      <c r="K270" s="44"/>
      <c r="L270" s="45">
        <v>0</v>
      </c>
      <c r="M270" s="45">
        <v>0</v>
      </c>
      <c r="N270" s="45">
        <f t="shared" si="58"/>
        <v>5212.9901566926656</v>
      </c>
      <c r="O270" s="46">
        <f t="shared" si="59"/>
        <v>11385170.502216782</v>
      </c>
      <c r="P270" s="47">
        <f t="shared" si="60"/>
        <v>7028.8461538461543</v>
      </c>
      <c r="Q270" s="47">
        <v>21250</v>
      </c>
      <c r="R270" s="47">
        <f t="shared" si="47"/>
        <v>14221.153846153846</v>
      </c>
      <c r="S270" s="191">
        <f t="shared" si="54"/>
        <v>0.66923076923076918</v>
      </c>
      <c r="T270" s="42">
        <v>15351000</v>
      </c>
      <c r="U270" s="48">
        <f t="shared" si="53"/>
        <v>0.7416566023201604</v>
      </c>
      <c r="V270" s="49"/>
      <c r="X270" s="112"/>
    </row>
    <row r="271" spans="1:24" x14ac:dyDescent="0.3">
      <c r="A271" s="40" t="str">
        <f>VLOOKUP(B271,Grupos!$A$2:$B$619,2,FALSE)</f>
        <v>BREAKERS</v>
      </c>
      <c r="B271" s="41" t="s">
        <v>493</v>
      </c>
      <c r="C271" s="41" t="s">
        <v>494</v>
      </c>
      <c r="D271" s="42">
        <v>1356</v>
      </c>
      <c r="E271" s="43">
        <v>5541.3674893977168</v>
      </c>
      <c r="F271" s="43"/>
      <c r="G271" s="126">
        <f t="shared" si="48"/>
        <v>5541.3674893977168</v>
      </c>
      <c r="H271" s="127">
        <f t="shared" si="55"/>
        <v>7514094.3156233039</v>
      </c>
      <c r="I271" s="128">
        <f t="shared" si="56"/>
        <v>0</v>
      </c>
      <c r="J271" s="128">
        <f t="shared" si="57"/>
        <v>7514094.3156233039</v>
      </c>
      <c r="K271" s="44"/>
      <c r="L271" s="45">
        <v>0</v>
      </c>
      <c r="M271" s="45">
        <v>0</v>
      </c>
      <c r="N271" s="45">
        <f t="shared" si="58"/>
        <v>5541.3674893977168</v>
      </c>
      <c r="O271" s="46">
        <f t="shared" si="59"/>
        <v>7514094.3156233039</v>
      </c>
      <c r="P271" s="47">
        <f t="shared" si="60"/>
        <v>6989.1592846607673</v>
      </c>
      <c r="Q271" s="47">
        <v>21250</v>
      </c>
      <c r="R271" s="47">
        <f t="shared" si="47"/>
        <v>14260.840715339233</v>
      </c>
      <c r="S271" s="191">
        <f t="shared" si="54"/>
        <v>0.67109838660419918</v>
      </c>
      <c r="T271" s="42">
        <v>9477299.9900000002</v>
      </c>
      <c r="U271" s="48">
        <f t="shared" si="53"/>
        <v>0.79285179571732689</v>
      </c>
      <c r="V271" s="49"/>
      <c r="X271" s="112"/>
    </row>
    <row r="272" spans="1:24" x14ac:dyDescent="0.3">
      <c r="A272" s="40" t="str">
        <f>VLOOKUP(B272,Grupos!$A$2:$B$619,2,FALSE)</f>
        <v>BREAKERS</v>
      </c>
      <c r="B272" s="41" t="s">
        <v>495</v>
      </c>
      <c r="C272" s="41" t="s">
        <v>496</v>
      </c>
      <c r="D272" s="42">
        <v>1992</v>
      </c>
      <c r="E272" s="43">
        <v>5541.3674893977159</v>
      </c>
      <c r="F272" s="43"/>
      <c r="G272" s="126">
        <f t="shared" si="48"/>
        <v>5541.3674893977159</v>
      </c>
      <c r="H272" s="127">
        <f t="shared" si="55"/>
        <v>11038404.038880249</v>
      </c>
      <c r="I272" s="128">
        <f t="shared" si="56"/>
        <v>0</v>
      </c>
      <c r="J272" s="128">
        <f t="shared" si="57"/>
        <v>11038404.038880249</v>
      </c>
      <c r="K272" s="44"/>
      <c r="L272" s="45">
        <v>0</v>
      </c>
      <c r="M272" s="45">
        <v>0</v>
      </c>
      <c r="N272" s="45">
        <f t="shared" si="58"/>
        <v>5541.3674893977159</v>
      </c>
      <c r="O272" s="46">
        <f t="shared" si="59"/>
        <v>11038404.038880249</v>
      </c>
      <c r="P272" s="47">
        <f t="shared" si="60"/>
        <v>6974.3975903614455</v>
      </c>
      <c r="Q272" s="47">
        <v>21250</v>
      </c>
      <c r="R272" s="47">
        <f t="shared" si="47"/>
        <v>14275.602409638555</v>
      </c>
      <c r="S272" s="191">
        <f t="shared" si="54"/>
        <v>0.67179305457122618</v>
      </c>
      <c r="T272" s="42">
        <v>13893000</v>
      </c>
      <c r="U272" s="48">
        <f t="shared" si="53"/>
        <v>0.7945299099460339</v>
      </c>
      <c r="V272" s="49"/>
      <c r="X272" s="112"/>
    </row>
    <row r="273" spans="1:24" x14ac:dyDescent="0.3">
      <c r="A273" s="40" t="str">
        <f>VLOOKUP(B273,Grupos!$A$2:$B$619,2,FALSE)</f>
        <v>BREAKERS</v>
      </c>
      <c r="B273" s="41" t="s">
        <v>497</v>
      </c>
      <c r="C273" s="41" t="s">
        <v>498</v>
      </c>
      <c r="D273" s="42">
        <v>252</v>
      </c>
      <c r="E273" s="43">
        <v>6052.9657142857141</v>
      </c>
      <c r="F273" s="43"/>
      <c r="G273" s="126">
        <f t="shared" si="48"/>
        <v>6052.9657142857141</v>
      </c>
      <c r="H273" s="127">
        <f t="shared" si="55"/>
        <v>1525347.3599999999</v>
      </c>
      <c r="I273" s="128">
        <f t="shared" si="56"/>
        <v>0</v>
      </c>
      <c r="J273" s="128">
        <f t="shared" si="57"/>
        <v>1525347.3599999999</v>
      </c>
      <c r="K273" s="44"/>
      <c r="L273" s="45">
        <v>0</v>
      </c>
      <c r="M273" s="45">
        <v>0</v>
      </c>
      <c r="N273" s="45">
        <f t="shared" si="58"/>
        <v>6052.9657142857141</v>
      </c>
      <c r="O273" s="46">
        <f t="shared" si="59"/>
        <v>1525347.3599999999</v>
      </c>
      <c r="P273" s="47">
        <f t="shared" si="60"/>
        <v>6961.9047619047615</v>
      </c>
      <c r="Q273" s="47">
        <v>21250</v>
      </c>
      <c r="R273" s="47">
        <f t="shared" si="47"/>
        <v>14288.095238095239</v>
      </c>
      <c r="S273" s="191">
        <f t="shared" si="54"/>
        <v>0.67238095238095241</v>
      </c>
      <c r="T273" s="42">
        <v>1754400</v>
      </c>
      <c r="U273" s="48">
        <f t="shared" si="53"/>
        <v>0.86944103967168251</v>
      </c>
      <c r="V273" s="49"/>
      <c r="X273" s="112"/>
    </row>
    <row r="274" spans="1:24" x14ac:dyDescent="0.3">
      <c r="A274" s="40" t="str">
        <f>VLOOKUP(B274,Grupos!$A$2:$B$619,2,FALSE)</f>
        <v>BREAKERS</v>
      </c>
      <c r="B274" s="41" t="s">
        <v>499</v>
      </c>
      <c r="C274" s="41" t="s">
        <v>500</v>
      </c>
      <c r="D274" s="42">
        <v>600</v>
      </c>
      <c r="E274" s="43">
        <v>5541.367489397715</v>
      </c>
      <c r="F274" s="43"/>
      <c r="G274" s="126">
        <f t="shared" si="48"/>
        <v>5541.367489397715</v>
      </c>
      <c r="H274" s="127">
        <f t="shared" si="55"/>
        <v>3324820.4936386291</v>
      </c>
      <c r="I274" s="128">
        <f t="shared" si="56"/>
        <v>0</v>
      </c>
      <c r="J274" s="128">
        <f t="shared" si="57"/>
        <v>3324820.4936386291</v>
      </c>
      <c r="K274" s="44"/>
      <c r="L274" s="45">
        <v>0</v>
      </c>
      <c r="M274" s="45">
        <v>0</v>
      </c>
      <c r="N274" s="45">
        <f t="shared" si="58"/>
        <v>5541.367489397715</v>
      </c>
      <c r="O274" s="46">
        <f t="shared" si="59"/>
        <v>3324820.4936386291</v>
      </c>
      <c r="P274" s="47">
        <f t="shared" si="60"/>
        <v>6948</v>
      </c>
      <c r="Q274" s="47">
        <v>21250</v>
      </c>
      <c r="R274" s="47">
        <f t="shared" si="47"/>
        <v>14302</v>
      </c>
      <c r="S274" s="191">
        <f t="shared" si="54"/>
        <v>0.67303529411764706</v>
      </c>
      <c r="T274" s="42">
        <v>4168800</v>
      </c>
      <c r="U274" s="48">
        <f t="shared" si="53"/>
        <v>0.797548573603586</v>
      </c>
      <c r="V274" s="49"/>
      <c r="X274" s="112"/>
    </row>
    <row r="275" spans="1:24" x14ac:dyDescent="0.3">
      <c r="A275" s="40" t="str">
        <f>VLOOKUP(B275,Grupos!$A$2:$B$619,2,FALSE)</f>
        <v>BREAKERS</v>
      </c>
      <c r="B275" s="41" t="s">
        <v>501</v>
      </c>
      <c r="C275" s="41" t="s">
        <v>502</v>
      </c>
      <c r="D275" s="42">
        <v>252</v>
      </c>
      <c r="E275" s="43">
        <v>6066.47</v>
      </c>
      <c r="F275" s="43"/>
      <c r="G275" s="126">
        <f t="shared" si="48"/>
        <v>6066.47</v>
      </c>
      <c r="H275" s="127">
        <f t="shared" si="55"/>
        <v>1528750.4400000002</v>
      </c>
      <c r="I275" s="128">
        <f t="shared" si="56"/>
        <v>0</v>
      </c>
      <c r="J275" s="128">
        <f t="shared" si="57"/>
        <v>1528750.4400000002</v>
      </c>
      <c r="K275" s="44"/>
      <c r="L275" s="45">
        <v>0</v>
      </c>
      <c r="M275" s="45">
        <v>0</v>
      </c>
      <c r="N275" s="45">
        <f t="shared" si="58"/>
        <v>6066.47</v>
      </c>
      <c r="O275" s="46">
        <f t="shared" si="59"/>
        <v>1528750.4400000002</v>
      </c>
      <c r="P275" s="47">
        <f t="shared" si="60"/>
        <v>6978.5714285714284</v>
      </c>
      <c r="Q275" s="47">
        <v>21250</v>
      </c>
      <c r="R275" s="47">
        <f t="shared" si="47"/>
        <v>14271.428571428572</v>
      </c>
      <c r="S275" s="191">
        <f t="shared" si="54"/>
        <v>0.67159663865546226</v>
      </c>
      <c r="T275" s="42">
        <v>1758600</v>
      </c>
      <c r="U275" s="48">
        <f t="shared" si="53"/>
        <v>0.86929969293756404</v>
      </c>
      <c r="V275" s="49"/>
      <c r="X275" s="112"/>
    </row>
    <row r="276" spans="1:24" x14ac:dyDescent="0.3">
      <c r="A276" s="40" t="str">
        <f>VLOOKUP(B276,Grupos!$A$2:$B$619,2,FALSE)</f>
        <v>BREAKERS</v>
      </c>
      <c r="B276" s="41" t="s">
        <v>503</v>
      </c>
      <c r="C276" s="41" t="s">
        <v>504</v>
      </c>
      <c r="D276" s="42">
        <v>72</v>
      </c>
      <c r="E276" s="43">
        <v>6093.0433333333331</v>
      </c>
      <c r="F276" s="43"/>
      <c r="G276" s="126">
        <f t="shared" si="48"/>
        <v>6093.0433333333331</v>
      </c>
      <c r="H276" s="127">
        <f t="shared" si="55"/>
        <v>438699.12</v>
      </c>
      <c r="I276" s="128">
        <f t="shared" si="56"/>
        <v>0</v>
      </c>
      <c r="J276" s="128">
        <f t="shared" si="57"/>
        <v>438699.12</v>
      </c>
      <c r="K276" s="44"/>
      <c r="L276" s="45">
        <v>0</v>
      </c>
      <c r="M276" s="45">
        <v>0</v>
      </c>
      <c r="N276" s="45">
        <f t="shared" si="58"/>
        <v>6093.0433333333331</v>
      </c>
      <c r="O276" s="46">
        <f t="shared" si="59"/>
        <v>438699.12</v>
      </c>
      <c r="P276" s="47">
        <f t="shared" si="60"/>
        <v>7050</v>
      </c>
      <c r="Q276" s="47">
        <v>21250</v>
      </c>
      <c r="R276" s="47">
        <f t="shared" si="47"/>
        <v>14200</v>
      </c>
      <c r="S276" s="191">
        <f t="shared" si="54"/>
        <v>0.66823529411764704</v>
      </c>
      <c r="T276" s="42">
        <v>507600</v>
      </c>
      <c r="U276" s="48">
        <f t="shared" si="53"/>
        <v>0.86426146572104023</v>
      </c>
      <c r="V276" s="49"/>
      <c r="X276" s="112"/>
    </row>
    <row r="277" spans="1:24" x14ac:dyDescent="0.3">
      <c r="A277" s="40" t="str">
        <f>VLOOKUP(B277,Grupos!$A$2:$B$619,2,FALSE)</f>
        <v>BREAKERS</v>
      </c>
      <c r="B277" s="41" t="s">
        <v>505</v>
      </c>
      <c r="C277" s="41" t="s">
        <v>506</v>
      </c>
      <c r="D277" s="42">
        <v>612</v>
      </c>
      <c r="E277" s="43">
        <v>11626.752</v>
      </c>
      <c r="F277" s="43"/>
      <c r="G277" s="126">
        <f t="shared" si="48"/>
        <v>11626.752</v>
      </c>
      <c r="H277" s="127">
        <f t="shared" si="55"/>
        <v>7115572.2240000004</v>
      </c>
      <c r="I277" s="128">
        <f t="shared" si="56"/>
        <v>0</v>
      </c>
      <c r="J277" s="128">
        <f t="shared" si="57"/>
        <v>7115572.2240000004</v>
      </c>
      <c r="K277" s="44"/>
      <c r="L277" s="45">
        <v>0</v>
      </c>
      <c r="M277" s="45">
        <v>0</v>
      </c>
      <c r="N277" s="45">
        <f t="shared" si="58"/>
        <v>11626.752</v>
      </c>
      <c r="O277" s="46">
        <f t="shared" si="59"/>
        <v>7115572.2240000004</v>
      </c>
      <c r="P277" s="47">
        <f t="shared" si="60"/>
        <v>15152.941176470587</v>
      </c>
      <c r="Q277" s="47">
        <v>64750</v>
      </c>
      <c r="R277" s="47">
        <f t="shared" si="47"/>
        <v>49597.058823529413</v>
      </c>
      <c r="S277" s="191">
        <f t="shared" si="54"/>
        <v>0.76597774244833072</v>
      </c>
      <c r="T277" s="42">
        <v>9273600</v>
      </c>
      <c r="U277" s="48">
        <f t="shared" si="53"/>
        <v>0.76729341614906832</v>
      </c>
      <c r="V277" s="49"/>
      <c r="X277" s="112"/>
    </row>
    <row r="278" spans="1:24" x14ac:dyDescent="0.3">
      <c r="A278" s="40" t="str">
        <f>VLOOKUP(B278,Grupos!$A$2:$B$619,2,FALSE)</f>
        <v>BREAKERS</v>
      </c>
      <c r="B278" s="41" t="s">
        <v>508</v>
      </c>
      <c r="C278" s="41" t="s">
        <v>509</v>
      </c>
      <c r="D278" s="42">
        <v>1050</v>
      </c>
      <c r="E278" s="43">
        <v>11671.370005018922</v>
      </c>
      <c r="F278" s="43"/>
      <c r="G278" s="126">
        <f t="shared" si="48"/>
        <v>11671.370005018922</v>
      </c>
      <c r="H278" s="127">
        <f t="shared" si="55"/>
        <v>12254938.505269868</v>
      </c>
      <c r="I278" s="128">
        <f t="shared" si="56"/>
        <v>0</v>
      </c>
      <c r="J278" s="128">
        <f t="shared" si="57"/>
        <v>12254938.505269868</v>
      </c>
      <c r="K278" s="44"/>
      <c r="L278" s="45">
        <v>0</v>
      </c>
      <c r="M278" s="45">
        <v>0</v>
      </c>
      <c r="N278" s="45">
        <f t="shared" si="58"/>
        <v>11671.370005018922</v>
      </c>
      <c r="O278" s="46">
        <f t="shared" si="59"/>
        <v>12254938.505269868</v>
      </c>
      <c r="P278" s="47">
        <f t="shared" si="60"/>
        <v>15183.771390476191</v>
      </c>
      <c r="Q278" s="47">
        <v>64750</v>
      </c>
      <c r="R278" s="47">
        <f t="shared" si="47"/>
        <v>49566.228609523809</v>
      </c>
      <c r="S278" s="191">
        <f t="shared" si="54"/>
        <v>0.7655016001470859</v>
      </c>
      <c r="T278" s="42">
        <v>15942959.960000001</v>
      </c>
      <c r="U278" s="48">
        <f t="shared" si="53"/>
        <v>0.76867398124418718</v>
      </c>
      <c r="V278" s="49"/>
      <c r="X278" s="112"/>
    </row>
    <row r="279" spans="1:24" x14ac:dyDescent="0.3">
      <c r="A279" s="40" t="str">
        <f>VLOOKUP(B279,Grupos!$A$2:$B$619,2,FALSE)</f>
        <v>BREAKERS</v>
      </c>
      <c r="B279" s="41" t="s">
        <v>510</v>
      </c>
      <c r="C279" s="41" t="s">
        <v>511</v>
      </c>
      <c r="D279" s="42">
        <v>1164</v>
      </c>
      <c r="E279" s="43">
        <v>10425.980313385331</v>
      </c>
      <c r="F279" s="43"/>
      <c r="G279" s="126">
        <f t="shared" si="48"/>
        <v>10425.980313385331</v>
      </c>
      <c r="H279" s="127">
        <f t="shared" si="55"/>
        <v>12135841.084780525</v>
      </c>
      <c r="I279" s="128">
        <f t="shared" si="56"/>
        <v>0</v>
      </c>
      <c r="J279" s="128">
        <f t="shared" si="57"/>
        <v>12135841.084780525</v>
      </c>
      <c r="K279" s="44"/>
      <c r="L279" s="45">
        <v>0</v>
      </c>
      <c r="M279" s="45">
        <v>0</v>
      </c>
      <c r="N279" s="45">
        <f t="shared" si="58"/>
        <v>10425.980313385331</v>
      </c>
      <c r="O279" s="46">
        <f t="shared" si="59"/>
        <v>12135841.084780525</v>
      </c>
      <c r="P279" s="47">
        <f t="shared" si="60"/>
        <v>14568.041237113403</v>
      </c>
      <c r="Q279" s="47">
        <v>64750</v>
      </c>
      <c r="R279" s="47">
        <f t="shared" si="47"/>
        <v>50181.958762886599</v>
      </c>
      <c r="S279" s="191">
        <f t="shared" si="54"/>
        <v>0.77501094614496679</v>
      </c>
      <c r="T279" s="42">
        <v>16957200</v>
      </c>
      <c r="U279" s="48">
        <f t="shared" si="53"/>
        <v>0.71567482159675688</v>
      </c>
      <c r="V279" s="49"/>
      <c r="X279" s="112"/>
    </row>
    <row r="280" spans="1:24" x14ac:dyDescent="0.3">
      <c r="A280" s="40" t="str">
        <f>VLOOKUP(B280,Grupos!$A$2:$B$619,2,FALSE)</f>
        <v>BREAKERS</v>
      </c>
      <c r="B280" s="41" t="s">
        <v>512</v>
      </c>
      <c r="C280" s="41" t="s">
        <v>513</v>
      </c>
      <c r="D280" s="42">
        <v>924</v>
      </c>
      <c r="E280" s="43">
        <v>10425.980313385331</v>
      </c>
      <c r="F280" s="43"/>
      <c r="G280" s="126">
        <f t="shared" si="48"/>
        <v>10425.980313385331</v>
      </c>
      <c r="H280" s="127">
        <f t="shared" si="55"/>
        <v>9633605.8095680457</v>
      </c>
      <c r="I280" s="128">
        <f t="shared" si="56"/>
        <v>0</v>
      </c>
      <c r="J280" s="128">
        <f t="shared" si="57"/>
        <v>9633605.8095680457</v>
      </c>
      <c r="K280" s="44"/>
      <c r="L280" s="45">
        <v>0</v>
      </c>
      <c r="M280" s="45">
        <v>0</v>
      </c>
      <c r="N280" s="45">
        <f t="shared" si="58"/>
        <v>10425.980313385331</v>
      </c>
      <c r="O280" s="46">
        <f t="shared" si="59"/>
        <v>9633605.8095680457</v>
      </c>
      <c r="P280" s="47">
        <f t="shared" si="60"/>
        <v>14717.727251082251</v>
      </c>
      <c r="Q280" s="47">
        <v>64750</v>
      </c>
      <c r="R280" s="47">
        <f t="shared" si="47"/>
        <v>50032.272748917749</v>
      </c>
      <c r="S280" s="191">
        <f t="shared" si="54"/>
        <v>0.77269919303347878</v>
      </c>
      <c r="T280" s="42">
        <v>13599179.98</v>
      </c>
      <c r="U280" s="48">
        <f t="shared" si="53"/>
        <v>0.70839608150902977</v>
      </c>
      <c r="V280" s="49"/>
      <c r="X280" s="112"/>
    </row>
    <row r="281" spans="1:24" x14ac:dyDescent="0.3">
      <c r="A281" s="40" t="str">
        <f>VLOOKUP(B281,Grupos!$A$2:$B$619,2,FALSE)</f>
        <v>BREAKERS</v>
      </c>
      <c r="B281" s="41" t="s">
        <v>514</v>
      </c>
      <c r="C281" s="41" t="s">
        <v>515</v>
      </c>
      <c r="D281" s="42">
        <v>660</v>
      </c>
      <c r="E281" s="43">
        <v>10425.980313385331</v>
      </c>
      <c r="F281" s="43"/>
      <c r="G281" s="126">
        <f t="shared" si="48"/>
        <v>10425.980313385331</v>
      </c>
      <c r="H281" s="127">
        <f t="shared" si="55"/>
        <v>6881147.0068343189</v>
      </c>
      <c r="I281" s="128">
        <f t="shared" si="56"/>
        <v>0</v>
      </c>
      <c r="J281" s="128">
        <f t="shared" si="57"/>
        <v>6881147.0068343189</v>
      </c>
      <c r="K281" s="44"/>
      <c r="L281" s="45">
        <v>0</v>
      </c>
      <c r="M281" s="45">
        <v>0</v>
      </c>
      <c r="N281" s="45">
        <f t="shared" si="58"/>
        <v>10425.980313385331</v>
      </c>
      <c r="O281" s="46">
        <f t="shared" si="59"/>
        <v>6881147.0068343189</v>
      </c>
      <c r="P281" s="47">
        <f t="shared" si="60"/>
        <v>14361.818181818182</v>
      </c>
      <c r="Q281" s="47">
        <v>64750</v>
      </c>
      <c r="R281" s="47">
        <f t="shared" si="47"/>
        <v>50388.181818181816</v>
      </c>
      <c r="S281" s="191">
        <f t="shared" si="54"/>
        <v>0.77819585819585813</v>
      </c>
      <c r="T281" s="42">
        <v>9478800</v>
      </c>
      <c r="U281" s="48">
        <f t="shared" si="53"/>
        <v>0.72595128147384891</v>
      </c>
      <c r="V281" s="49"/>
      <c r="X281" s="112"/>
    </row>
    <row r="282" spans="1:24" x14ac:dyDescent="0.3">
      <c r="A282" s="40" t="str">
        <f>VLOOKUP(B282,Grupos!$A$2:$B$619,2,FALSE)</f>
        <v>BREAKERS</v>
      </c>
      <c r="B282" s="41" t="s">
        <v>516</v>
      </c>
      <c r="C282" s="41" t="s">
        <v>517</v>
      </c>
      <c r="D282" s="42">
        <v>408</v>
      </c>
      <c r="E282" s="43">
        <v>11774.923512405096</v>
      </c>
      <c r="F282" s="43"/>
      <c r="G282" s="126">
        <f t="shared" si="48"/>
        <v>11774.923512405096</v>
      </c>
      <c r="H282" s="127">
        <f t="shared" si="55"/>
        <v>4804168.7930612788</v>
      </c>
      <c r="I282" s="128">
        <f t="shared" si="56"/>
        <v>0</v>
      </c>
      <c r="J282" s="128">
        <f t="shared" si="57"/>
        <v>4804168.7930612788</v>
      </c>
      <c r="K282" s="44"/>
      <c r="L282" s="45">
        <v>0</v>
      </c>
      <c r="M282" s="45">
        <v>0</v>
      </c>
      <c r="N282" s="45">
        <f t="shared" si="58"/>
        <v>11774.923512405096</v>
      </c>
      <c r="O282" s="46">
        <f t="shared" si="59"/>
        <v>4804168.7930612788</v>
      </c>
      <c r="P282" s="47">
        <f t="shared" si="60"/>
        <v>14977.941176470587</v>
      </c>
      <c r="Q282" s="47">
        <v>64750</v>
      </c>
      <c r="R282" s="47">
        <f t="shared" si="47"/>
        <v>49772.058823529413</v>
      </c>
      <c r="S282" s="191">
        <f t="shared" si="54"/>
        <v>0.7686804451510334</v>
      </c>
      <c r="T282" s="42">
        <v>6111000</v>
      </c>
      <c r="U282" s="48">
        <f t="shared" si="53"/>
        <v>0.78615100524648651</v>
      </c>
      <c r="V282" s="49"/>
      <c r="X282" s="112"/>
    </row>
    <row r="283" spans="1:24" x14ac:dyDescent="0.3">
      <c r="A283" s="40" t="str">
        <f>VLOOKUP(B283,Grupos!$A$2:$B$619,2,FALSE)</f>
        <v>BREAKERS</v>
      </c>
      <c r="B283" s="41" t="s">
        <v>518</v>
      </c>
      <c r="C283" s="41" t="s">
        <v>519</v>
      </c>
      <c r="D283" s="42">
        <v>936</v>
      </c>
      <c r="E283" s="43">
        <v>12071.710467310158</v>
      </c>
      <c r="F283" s="43"/>
      <c r="G283" s="126">
        <f t="shared" si="48"/>
        <v>12071.710467310158</v>
      </c>
      <c r="H283" s="127">
        <f t="shared" si="55"/>
        <v>11299120.997402309</v>
      </c>
      <c r="I283" s="128">
        <f t="shared" si="56"/>
        <v>0</v>
      </c>
      <c r="J283" s="128">
        <f t="shared" si="57"/>
        <v>11299120.997402309</v>
      </c>
      <c r="K283" s="44"/>
      <c r="L283" s="45">
        <v>0</v>
      </c>
      <c r="M283" s="45">
        <v>0</v>
      </c>
      <c r="N283" s="45">
        <f t="shared" si="58"/>
        <v>12071.710467310158</v>
      </c>
      <c r="O283" s="46">
        <f t="shared" si="59"/>
        <v>11299120.997402309</v>
      </c>
      <c r="P283" s="47">
        <f t="shared" si="60"/>
        <v>14543.589743589744</v>
      </c>
      <c r="Q283" s="47">
        <v>64750</v>
      </c>
      <c r="R283" s="47">
        <f t="shared" si="47"/>
        <v>50206.410256410258</v>
      </c>
      <c r="S283" s="191">
        <f t="shared" si="54"/>
        <v>0.77538857538857542</v>
      </c>
      <c r="T283" s="42">
        <v>13612800</v>
      </c>
      <c r="U283" s="48">
        <f t="shared" si="53"/>
        <v>0.8300365095646971</v>
      </c>
      <c r="V283" s="49"/>
      <c r="X283" s="112"/>
    </row>
    <row r="284" spans="1:24" x14ac:dyDescent="0.3">
      <c r="A284" s="40" t="str">
        <f>VLOOKUP(B284,Grupos!$A$2:$B$619,2,FALSE)</f>
        <v>BREAKERS</v>
      </c>
      <c r="B284" s="41" t="s">
        <v>520</v>
      </c>
      <c r="C284" s="41" t="s">
        <v>521</v>
      </c>
      <c r="D284" s="42">
        <v>246</v>
      </c>
      <c r="E284" s="43">
        <v>11981.988311688312</v>
      </c>
      <c r="F284" s="43"/>
      <c r="G284" s="126">
        <f t="shared" si="48"/>
        <v>11981.988311688312</v>
      </c>
      <c r="H284" s="127">
        <f t="shared" si="55"/>
        <v>2947569.1246753247</v>
      </c>
      <c r="I284" s="128">
        <f t="shared" si="56"/>
        <v>0</v>
      </c>
      <c r="J284" s="128">
        <f t="shared" si="57"/>
        <v>2947569.1246753247</v>
      </c>
      <c r="K284" s="44"/>
      <c r="L284" s="45">
        <v>0</v>
      </c>
      <c r="M284" s="45">
        <v>0</v>
      </c>
      <c r="N284" s="45">
        <f t="shared" si="58"/>
        <v>11981.988311688312</v>
      </c>
      <c r="O284" s="46">
        <f t="shared" si="59"/>
        <v>2947569.1246753247</v>
      </c>
      <c r="P284" s="47">
        <f t="shared" si="60"/>
        <v>14743.90243902439</v>
      </c>
      <c r="Q284" s="47">
        <v>64750</v>
      </c>
      <c r="R284" s="47">
        <f t="shared" si="47"/>
        <v>50006.097560975613</v>
      </c>
      <c r="S284" s="191">
        <f t="shared" si="54"/>
        <v>0.77229494302665036</v>
      </c>
      <c r="T284" s="42">
        <v>3627000</v>
      </c>
      <c r="U284" s="48">
        <f t="shared" si="53"/>
        <v>0.81267414520962911</v>
      </c>
      <c r="V284" s="49"/>
      <c r="X284" s="112"/>
    </row>
    <row r="285" spans="1:24" x14ac:dyDescent="0.3">
      <c r="A285" s="40" t="str">
        <f>VLOOKUP(B285,Grupos!$A$2:$B$619,2,FALSE)</f>
        <v>BREAKERS</v>
      </c>
      <c r="B285" s="41" t="s">
        <v>522</v>
      </c>
      <c r="C285" s="41" t="s">
        <v>523</v>
      </c>
      <c r="D285" s="42">
        <v>48</v>
      </c>
      <c r="E285" s="43">
        <v>11082.734978795432</v>
      </c>
      <c r="F285" s="43"/>
      <c r="G285" s="126">
        <f t="shared" si="48"/>
        <v>11082.734978795432</v>
      </c>
      <c r="H285" s="127">
        <f t="shared" si="55"/>
        <v>531971.27898218075</v>
      </c>
      <c r="I285" s="128">
        <f t="shared" si="56"/>
        <v>0</v>
      </c>
      <c r="J285" s="128">
        <f t="shared" si="57"/>
        <v>531971.27898218075</v>
      </c>
      <c r="K285" s="44"/>
      <c r="L285" s="45">
        <v>0</v>
      </c>
      <c r="M285" s="45">
        <v>0</v>
      </c>
      <c r="N285" s="45">
        <f t="shared" si="58"/>
        <v>11082.734978795432</v>
      </c>
      <c r="O285" s="46">
        <f t="shared" si="59"/>
        <v>531971.27898218075</v>
      </c>
      <c r="P285" s="47">
        <f t="shared" si="60"/>
        <v>14900</v>
      </c>
      <c r="Q285" s="47">
        <v>64750</v>
      </c>
      <c r="R285" s="47">
        <f t="shared" si="47"/>
        <v>49850</v>
      </c>
      <c r="S285" s="191">
        <f t="shared" si="54"/>
        <v>0.76988416988416986</v>
      </c>
      <c r="T285" s="42">
        <v>715200</v>
      </c>
      <c r="U285" s="48">
        <f t="shared" si="53"/>
        <v>0.74380771669767998</v>
      </c>
      <c r="V285" s="49"/>
      <c r="X285" s="112"/>
    </row>
    <row r="286" spans="1:24" x14ac:dyDescent="0.3">
      <c r="A286" s="40" t="str">
        <f>VLOOKUP(B286,Grupos!$A$2:$B$619,2,FALSE)</f>
        <v>BREAKERS</v>
      </c>
      <c r="B286" s="41" t="s">
        <v>524</v>
      </c>
      <c r="C286" s="41" t="s">
        <v>525</v>
      </c>
      <c r="D286" s="42">
        <v>6</v>
      </c>
      <c r="E286" s="43">
        <v>12107.165217391304</v>
      </c>
      <c r="F286" s="43"/>
      <c r="G286" s="126">
        <f t="shared" si="48"/>
        <v>12107.165217391304</v>
      </c>
      <c r="H286" s="127">
        <f t="shared" si="55"/>
        <v>72642.99130434783</v>
      </c>
      <c r="I286" s="128">
        <f t="shared" si="56"/>
        <v>0</v>
      </c>
      <c r="J286" s="128">
        <f t="shared" si="57"/>
        <v>72642.99130434783</v>
      </c>
      <c r="K286" s="44"/>
      <c r="L286" s="45">
        <v>0</v>
      </c>
      <c r="M286" s="45">
        <v>0</v>
      </c>
      <c r="N286" s="45">
        <f t="shared" si="58"/>
        <v>12107.165217391304</v>
      </c>
      <c r="O286" s="46">
        <f t="shared" si="59"/>
        <v>72642.99130434783</v>
      </c>
      <c r="P286" s="47">
        <f t="shared" si="60"/>
        <v>15700</v>
      </c>
      <c r="Q286" s="47">
        <v>64750</v>
      </c>
      <c r="R286" s="47">
        <f t="shared" si="47"/>
        <v>49050</v>
      </c>
      <c r="S286" s="191">
        <f t="shared" si="54"/>
        <v>0.75752895752895755</v>
      </c>
      <c r="T286" s="42">
        <v>94200</v>
      </c>
      <c r="U286" s="48">
        <f t="shared" si="53"/>
        <v>0.77115702021600674</v>
      </c>
      <c r="V286" s="49"/>
      <c r="X286" s="112"/>
    </row>
    <row r="287" spans="1:24" x14ac:dyDescent="0.3">
      <c r="A287" s="40" t="str">
        <f>VLOOKUP(B287,Grupos!$A$2:$B$619,2,FALSE)</f>
        <v>BREAKERS</v>
      </c>
      <c r="B287" s="41" t="s">
        <v>526</v>
      </c>
      <c r="C287" s="41" t="s">
        <v>527</v>
      </c>
      <c r="D287" s="42">
        <v>48</v>
      </c>
      <c r="E287" s="43">
        <v>11082.734978795432</v>
      </c>
      <c r="F287" s="43"/>
      <c r="G287" s="126">
        <f t="shared" si="48"/>
        <v>11082.734978795432</v>
      </c>
      <c r="H287" s="127">
        <f t="shared" si="55"/>
        <v>531971.27898218075</v>
      </c>
      <c r="I287" s="128">
        <f t="shared" si="56"/>
        <v>0</v>
      </c>
      <c r="J287" s="128">
        <f t="shared" si="57"/>
        <v>531971.27898218075</v>
      </c>
      <c r="K287" s="44"/>
      <c r="L287" s="45">
        <v>0</v>
      </c>
      <c r="M287" s="45">
        <v>0</v>
      </c>
      <c r="N287" s="45">
        <f t="shared" si="58"/>
        <v>11082.734978795432</v>
      </c>
      <c r="O287" s="46">
        <f t="shared" si="59"/>
        <v>531971.27898218075</v>
      </c>
      <c r="P287" s="47">
        <f t="shared" si="60"/>
        <v>14400</v>
      </c>
      <c r="Q287" s="47">
        <v>64750</v>
      </c>
      <c r="R287" s="47">
        <f t="shared" si="47"/>
        <v>50350</v>
      </c>
      <c r="S287" s="191">
        <f t="shared" si="54"/>
        <v>0.77760617760617756</v>
      </c>
      <c r="T287" s="42">
        <v>691200</v>
      </c>
      <c r="U287" s="48">
        <f t="shared" si="53"/>
        <v>0.76963437352746056</v>
      </c>
      <c r="V287" s="49"/>
      <c r="X287" s="112"/>
    </row>
    <row r="288" spans="1:24" x14ac:dyDescent="0.3">
      <c r="A288" s="40" t="str">
        <f>VLOOKUP(B288,Grupos!$A$2:$B$619,2,FALSE)</f>
        <v>BREAKERS</v>
      </c>
      <c r="B288" s="41" t="s">
        <v>528</v>
      </c>
      <c r="C288" s="41" t="s">
        <v>529</v>
      </c>
      <c r="D288" s="42">
        <v>20</v>
      </c>
      <c r="E288" s="43">
        <v>17348.938399999999</v>
      </c>
      <c r="F288" s="43"/>
      <c r="G288" s="126">
        <f t="shared" si="48"/>
        <v>17348.938399999999</v>
      </c>
      <c r="H288" s="127">
        <f t="shared" si="55"/>
        <v>346978.76799999998</v>
      </c>
      <c r="I288" s="128">
        <f t="shared" si="56"/>
        <v>0</v>
      </c>
      <c r="J288" s="128">
        <f t="shared" si="57"/>
        <v>346978.76799999998</v>
      </c>
      <c r="K288" s="44"/>
      <c r="L288" s="45">
        <v>0</v>
      </c>
      <c r="M288" s="45">
        <v>0</v>
      </c>
      <c r="N288" s="45">
        <f t="shared" si="58"/>
        <v>17348.938399999999</v>
      </c>
      <c r="O288" s="46">
        <f t="shared" si="59"/>
        <v>346978.76799999998</v>
      </c>
      <c r="P288" s="47">
        <f t="shared" si="60"/>
        <v>24420</v>
      </c>
      <c r="Q288" s="47">
        <v>139750</v>
      </c>
      <c r="R288" s="47">
        <f t="shared" si="47"/>
        <v>115330</v>
      </c>
      <c r="S288" s="191">
        <f t="shared" si="54"/>
        <v>0.8252593917710197</v>
      </c>
      <c r="T288" s="42">
        <v>488400</v>
      </c>
      <c r="U288" s="48">
        <f t="shared" si="53"/>
        <v>0.71043973791973791</v>
      </c>
      <c r="V288" s="49"/>
      <c r="X288" s="112"/>
    </row>
    <row r="289" spans="1:24" x14ac:dyDescent="0.3">
      <c r="A289" s="40" t="str">
        <f>VLOOKUP(B289,Grupos!$A$2:$B$619,2,FALSE)</f>
        <v>BREAKERS</v>
      </c>
      <c r="B289" s="41" t="s">
        <v>530</v>
      </c>
      <c r="C289" s="41" t="s">
        <v>531</v>
      </c>
      <c r="D289" s="42">
        <v>336</v>
      </c>
      <c r="E289" s="43">
        <v>15638.970470077995</v>
      </c>
      <c r="F289" s="43"/>
      <c r="G289" s="126">
        <f t="shared" si="48"/>
        <v>15638.970470077995</v>
      </c>
      <c r="H289" s="127">
        <f t="shared" si="55"/>
        <v>5254694.0779462066</v>
      </c>
      <c r="I289" s="128">
        <f t="shared" si="56"/>
        <v>0</v>
      </c>
      <c r="J289" s="128">
        <f t="shared" si="57"/>
        <v>5254694.0779462066</v>
      </c>
      <c r="K289" s="44"/>
      <c r="L289" s="45">
        <v>0</v>
      </c>
      <c r="M289" s="45">
        <v>0</v>
      </c>
      <c r="N289" s="45">
        <f t="shared" si="58"/>
        <v>15638.970470077995</v>
      </c>
      <c r="O289" s="46">
        <f t="shared" si="59"/>
        <v>5254694.0779462066</v>
      </c>
      <c r="P289" s="47">
        <f t="shared" si="60"/>
        <v>23808.333333333332</v>
      </c>
      <c r="Q289" s="47">
        <v>139750</v>
      </c>
      <c r="R289" s="47">
        <f t="shared" si="47"/>
        <v>115941.66666666667</v>
      </c>
      <c r="S289" s="191">
        <f t="shared" si="54"/>
        <v>0.82963625521765061</v>
      </c>
      <c r="T289" s="42">
        <v>7999600</v>
      </c>
      <c r="U289" s="48">
        <f t="shared" si="53"/>
        <v>0.65686960322343702</v>
      </c>
      <c r="V289" s="49"/>
      <c r="X289" s="112"/>
    </row>
    <row r="290" spans="1:24" x14ac:dyDescent="0.3">
      <c r="A290" s="40" t="str">
        <f>VLOOKUP(B290,Grupos!$A$2:$B$619,2,FALSE)</f>
        <v>BREAKERS</v>
      </c>
      <c r="B290" s="41" t="s">
        <v>532</v>
      </c>
      <c r="C290" s="41" t="s">
        <v>533</v>
      </c>
      <c r="D290" s="42">
        <v>92</v>
      </c>
      <c r="E290" s="43">
        <v>15638.970470077995</v>
      </c>
      <c r="F290" s="43"/>
      <c r="G290" s="126">
        <f t="shared" si="48"/>
        <v>15638.970470077995</v>
      </c>
      <c r="H290" s="127">
        <f t="shared" si="55"/>
        <v>1438785.2832471756</v>
      </c>
      <c r="I290" s="128">
        <f t="shared" si="56"/>
        <v>0</v>
      </c>
      <c r="J290" s="128">
        <f t="shared" si="57"/>
        <v>1438785.2832471756</v>
      </c>
      <c r="K290" s="44"/>
      <c r="L290" s="45">
        <v>0</v>
      </c>
      <c r="M290" s="45">
        <v>0</v>
      </c>
      <c r="N290" s="45">
        <f t="shared" si="58"/>
        <v>15638.970470077995</v>
      </c>
      <c r="O290" s="46">
        <f t="shared" si="59"/>
        <v>1438785.2832471756</v>
      </c>
      <c r="P290" s="47">
        <f t="shared" si="60"/>
        <v>24645.652173913044</v>
      </c>
      <c r="Q290" s="47">
        <v>139750</v>
      </c>
      <c r="R290" s="47">
        <f t="shared" si="47"/>
        <v>115104.34782608696</v>
      </c>
      <c r="S290" s="191">
        <f t="shared" si="54"/>
        <v>0.82364470716341298</v>
      </c>
      <c r="T290" s="42">
        <v>2267400</v>
      </c>
      <c r="U290" s="48">
        <f t="shared" si="53"/>
        <v>0.63455291666542102</v>
      </c>
      <c r="V290" s="49"/>
      <c r="X290" s="112"/>
    </row>
    <row r="291" spans="1:24" x14ac:dyDescent="0.3">
      <c r="A291" s="40" t="str">
        <f>VLOOKUP(B291,Grupos!$A$2:$B$619,2,FALSE)</f>
        <v>BREAKERS</v>
      </c>
      <c r="B291" s="41" t="s">
        <v>534</v>
      </c>
      <c r="C291" s="41" t="s">
        <v>535</v>
      </c>
      <c r="D291" s="42">
        <v>116</v>
      </c>
      <c r="E291" s="43">
        <v>15638.970470077995</v>
      </c>
      <c r="F291" s="43"/>
      <c r="G291" s="126">
        <f t="shared" si="48"/>
        <v>15638.970470077995</v>
      </c>
      <c r="H291" s="127">
        <f t="shared" si="55"/>
        <v>1814120.5745290474</v>
      </c>
      <c r="I291" s="128">
        <f t="shared" si="56"/>
        <v>0</v>
      </c>
      <c r="J291" s="128">
        <f t="shared" si="57"/>
        <v>1814120.5745290474</v>
      </c>
      <c r="K291" s="44"/>
      <c r="L291" s="45">
        <v>0</v>
      </c>
      <c r="M291" s="45">
        <v>0</v>
      </c>
      <c r="N291" s="45">
        <f t="shared" si="58"/>
        <v>15638.970470077995</v>
      </c>
      <c r="O291" s="46">
        <f t="shared" si="59"/>
        <v>1814120.5745290474</v>
      </c>
      <c r="P291" s="47">
        <f t="shared" si="60"/>
        <v>24013.793103448275</v>
      </c>
      <c r="Q291" s="47">
        <v>139750</v>
      </c>
      <c r="R291" s="47">
        <f t="shared" si="47"/>
        <v>115736.20689655172</v>
      </c>
      <c r="S291" s="191">
        <f t="shared" si="54"/>
        <v>0.82816606008265992</v>
      </c>
      <c r="T291" s="42">
        <v>2785600</v>
      </c>
      <c r="U291" s="48">
        <f t="shared" si="53"/>
        <v>0.65124948827148454</v>
      </c>
      <c r="V291" s="49"/>
      <c r="X291" s="112"/>
    </row>
    <row r="292" spans="1:24" x14ac:dyDescent="0.3">
      <c r="A292" s="40" t="str">
        <f>VLOOKUP(B292,Grupos!$A$2:$B$619,2,FALSE)</f>
        <v>BREAKERS</v>
      </c>
      <c r="B292" s="41" t="s">
        <v>536</v>
      </c>
      <c r="C292" s="41" t="s">
        <v>537</v>
      </c>
      <c r="D292" s="42">
        <v>160</v>
      </c>
      <c r="E292" s="43">
        <v>15638.970470077995</v>
      </c>
      <c r="F292" s="43"/>
      <c r="G292" s="126">
        <f t="shared" si="48"/>
        <v>15638.970470077995</v>
      </c>
      <c r="H292" s="127">
        <f t="shared" si="55"/>
        <v>2502235.2752124793</v>
      </c>
      <c r="I292" s="128">
        <f t="shared" si="56"/>
        <v>0</v>
      </c>
      <c r="J292" s="128">
        <f t="shared" si="57"/>
        <v>2502235.2752124793</v>
      </c>
      <c r="K292" s="44"/>
      <c r="L292" s="45">
        <v>0</v>
      </c>
      <c r="M292" s="45">
        <v>0</v>
      </c>
      <c r="N292" s="45">
        <f t="shared" si="58"/>
        <v>15638.970470077995</v>
      </c>
      <c r="O292" s="46">
        <f t="shared" si="59"/>
        <v>2502235.2752124793</v>
      </c>
      <c r="P292" s="47">
        <f t="shared" si="60"/>
        <v>24066.25</v>
      </c>
      <c r="Q292" s="47">
        <v>139750</v>
      </c>
      <c r="R292" s="47">
        <f t="shared" si="47"/>
        <v>115683.75</v>
      </c>
      <c r="S292" s="191">
        <f t="shared" si="54"/>
        <v>0.8277906976744186</v>
      </c>
      <c r="T292" s="42">
        <v>3850600</v>
      </c>
      <c r="U292" s="48">
        <f t="shared" si="53"/>
        <v>0.64982996811210703</v>
      </c>
      <c r="V292" s="49"/>
      <c r="X292" s="112"/>
    </row>
    <row r="293" spans="1:24" x14ac:dyDescent="0.3">
      <c r="A293" s="40" t="str">
        <f>VLOOKUP(B293,Grupos!$A$2:$B$619,2,FALSE)</f>
        <v>BREAKERS</v>
      </c>
      <c r="B293" s="41" t="s">
        <v>538</v>
      </c>
      <c r="C293" s="41" t="s">
        <v>539</v>
      </c>
      <c r="D293" s="42">
        <v>96</v>
      </c>
      <c r="E293" s="43">
        <v>16739.135670410382</v>
      </c>
      <c r="F293" s="43"/>
      <c r="G293" s="126">
        <f t="shared" si="48"/>
        <v>16739.135670410382</v>
      </c>
      <c r="H293" s="127">
        <f t="shared" si="55"/>
        <v>1606957.0243593967</v>
      </c>
      <c r="I293" s="128">
        <f t="shared" si="56"/>
        <v>0</v>
      </c>
      <c r="J293" s="128">
        <f t="shared" si="57"/>
        <v>1606957.0243593967</v>
      </c>
      <c r="K293" s="44"/>
      <c r="L293" s="45">
        <v>0</v>
      </c>
      <c r="M293" s="45">
        <v>0</v>
      </c>
      <c r="N293" s="45">
        <f t="shared" si="58"/>
        <v>16739.135670410382</v>
      </c>
      <c r="O293" s="46">
        <f t="shared" si="59"/>
        <v>1606957.0243593967</v>
      </c>
      <c r="P293" s="47">
        <f t="shared" si="60"/>
        <v>24245.833333333332</v>
      </c>
      <c r="Q293" s="47">
        <v>139750</v>
      </c>
      <c r="R293" s="47">
        <f t="shared" si="47"/>
        <v>115504.16666666667</v>
      </c>
      <c r="S293" s="191">
        <f t="shared" si="54"/>
        <v>0.8265056648777579</v>
      </c>
      <c r="T293" s="42">
        <v>2327600</v>
      </c>
      <c r="U293" s="48">
        <f t="shared" si="53"/>
        <v>0.6903922599928668</v>
      </c>
      <c r="V293" s="49"/>
      <c r="X293" s="112"/>
    </row>
    <row r="294" spans="1:24" x14ac:dyDescent="0.3">
      <c r="A294" s="40" t="str">
        <f>VLOOKUP(B294,Grupos!$A$2:$B$619,2,FALSE)</f>
        <v>BREAKERS</v>
      </c>
      <c r="B294" s="41" t="s">
        <v>540</v>
      </c>
      <c r="C294" s="41" t="s">
        <v>541</v>
      </c>
      <c r="D294" s="42">
        <v>96</v>
      </c>
      <c r="E294" s="43">
        <v>16739.135670410382</v>
      </c>
      <c r="F294" s="43"/>
      <c r="G294" s="126">
        <f t="shared" si="48"/>
        <v>16739.135670410382</v>
      </c>
      <c r="H294" s="127">
        <f t="shared" si="55"/>
        <v>1606957.0243593967</v>
      </c>
      <c r="I294" s="128">
        <f t="shared" si="56"/>
        <v>0</v>
      </c>
      <c r="J294" s="128">
        <f t="shared" si="57"/>
        <v>1606957.0243593967</v>
      </c>
      <c r="K294" s="44"/>
      <c r="L294" s="45">
        <v>0</v>
      </c>
      <c r="M294" s="45">
        <v>0</v>
      </c>
      <c r="N294" s="45">
        <f t="shared" si="58"/>
        <v>16739.135670410382</v>
      </c>
      <c r="O294" s="46">
        <f t="shared" si="59"/>
        <v>1606957.0243593967</v>
      </c>
      <c r="P294" s="47">
        <f t="shared" si="60"/>
        <v>24289.583333333332</v>
      </c>
      <c r="Q294" s="47">
        <v>139750</v>
      </c>
      <c r="R294" s="47">
        <f t="shared" si="47"/>
        <v>115460.41666666667</v>
      </c>
      <c r="S294" s="191">
        <f t="shared" si="54"/>
        <v>0.82619260584376863</v>
      </c>
      <c r="T294" s="42">
        <v>2331800</v>
      </c>
      <c r="U294" s="48">
        <f t="shared" si="53"/>
        <v>0.68914873675246446</v>
      </c>
      <c r="V294" s="49"/>
      <c r="X294" s="112"/>
    </row>
    <row r="295" spans="1:24" x14ac:dyDescent="0.3">
      <c r="A295" s="40" t="str">
        <f>VLOOKUP(B295,Grupos!$A$2:$B$619,2,FALSE)</f>
        <v>BREAKERS</v>
      </c>
      <c r="B295" s="41" t="s">
        <v>542</v>
      </c>
      <c r="C295" s="41" t="s">
        <v>543</v>
      </c>
      <c r="D295" s="42">
        <v>100</v>
      </c>
      <c r="E295" s="43">
        <v>16739.135670410378</v>
      </c>
      <c r="F295" s="43"/>
      <c r="G295" s="126">
        <f t="shared" si="48"/>
        <v>16739.135670410378</v>
      </c>
      <c r="H295" s="127">
        <f t="shared" si="55"/>
        <v>1673913.5670410378</v>
      </c>
      <c r="I295" s="128">
        <f t="shared" si="56"/>
        <v>0</v>
      </c>
      <c r="J295" s="128">
        <f t="shared" si="57"/>
        <v>1673913.5670410378</v>
      </c>
      <c r="K295" s="44"/>
      <c r="L295" s="45">
        <v>0</v>
      </c>
      <c r="M295" s="45">
        <v>0</v>
      </c>
      <c r="N295" s="45">
        <f t="shared" si="58"/>
        <v>16739.135670410378</v>
      </c>
      <c r="O295" s="46">
        <f t="shared" si="59"/>
        <v>1673913.5670410378</v>
      </c>
      <c r="P295" s="47">
        <f t="shared" si="60"/>
        <v>23880</v>
      </c>
      <c r="Q295" s="47">
        <v>139750</v>
      </c>
      <c r="R295" s="47">
        <f t="shared" si="47"/>
        <v>115870</v>
      </c>
      <c r="S295" s="191">
        <f t="shared" si="54"/>
        <v>0.82912343470483008</v>
      </c>
      <c r="T295" s="42">
        <v>2388000</v>
      </c>
      <c r="U295" s="48">
        <f t="shared" si="53"/>
        <v>0.70096883041919511</v>
      </c>
      <c r="V295" s="49"/>
      <c r="X295" s="112"/>
    </row>
    <row r="296" spans="1:24" x14ac:dyDescent="0.3">
      <c r="A296" s="40" t="str">
        <f>VLOOKUP(B296,Grupos!$A$2:$B$619,2,FALSE)</f>
        <v>BREAKERS</v>
      </c>
      <c r="B296" s="41" t="s">
        <v>544</v>
      </c>
      <c r="C296" s="41" t="s">
        <v>545</v>
      </c>
      <c r="D296" s="42">
        <v>16</v>
      </c>
      <c r="E296" s="43">
        <v>17765.919433427869</v>
      </c>
      <c r="F296" s="43"/>
      <c r="G296" s="126">
        <f t="shared" si="48"/>
        <v>17765.919433427869</v>
      </c>
      <c r="H296" s="127">
        <f t="shared" si="55"/>
        <v>284254.71093484591</v>
      </c>
      <c r="I296" s="128">
        <f t="shared" si="56"/>
        <v>0</v>
      </c>
      <c r="J296" s="128">
        <f t="shared" si="57"/>
        <v>284254.71093484591</v>
      </c>
      <c r="K296" s="44"/>
      <c r="L296" s="45">
        <v>0</v>
      </c>
      <c r="M296" s="45">
        <v>0</v>
      </c>
      <c r="N296" s="45">
        <f t="shared" si="58"/>
        <v>17765.919433427869</v>
      </c>
      <c r="O296" s="46">
        <f t="shared" si="59"/>
        <v>284254.71093484591</v>
      </c>
      <c r="P296" s="47">
        <f t="shared" si="60"/>
        <v>23250</v>
      </c>
      <c r="Q296" s="47">
        <v>139750</v>
      </c>
      <c r="R296" s="47">
        <f t="shared" si="47"/>
        <v>116500</v>
      </c>
      <c r="S296" s="191">
        <f t="shared" si="54"/>
        <v>0.83363148479427551</v>
      </c>
      <c r="T296" s="42">
        <v>372000</v>
      </c>
      <c r="U296" s="48">
        <f t="shared" si="53"/>
        <v>0.76412556702915568</v>
      </c>
      <c r="V296" s="49"/>
      <c r="X296" s="112"/>
    </row>
    <row r="297" spans="1:24" x14ac:dyDescent="0.3">
      <c r="A297" s="40" t="str">
        <f>VLOOKUP(B297,Grupos!$A$2:$B$619,2,FALSE)</f>
        <v>BREAKERS</v>
      </c>
      <c r="B297" s="41" t="s">
        <v>547</v>
      </c>
      <c r="C297" s="41" t="s">
        <v>548</v>
      </c>
      <c r="D297" s="42">
        <v>12</v>
      </c>
      <c r="E297" s="43">
        <v>16624.102468193145</v>
      </c>
      <c r="F297" s="43"/>
      <c r="G297" s="126">
        <f t="shared" si="48"/>
        <v>16624.102468193145</v>
      </c>
      <c r="H297" s="127">
        <f t="shared" si="55"/>
        <v>199489.22961831774</v>
      </c>
      <c r="I297" s="128">
        <f t="shared" si="56"/>
        <v>0</v>
      </c>
      <c r="J297" s="128">
        <f t="shared" si="57"/>
        <v>199489.22961831774</v>
      </c>
      <c r="K297" s="44"/>
      <c r="L297" s="45">
        <v>0</v>
      </c>
      <c r="M297" s="45">
        <v>0</v>
      </c>
      <c r="N297" s="45">
        <f t="shared" si="58"/>
        <v>16624.102468193145</v>
      </c>
      <c r="O297" s="46">
        <f t="shared" si="59"/>
        <v>199489.22961831774</v>
      </c>
      <c r="P297" s="47">
        <f t="shared" si="60"/>
        <v>24783.333333333332</v>
      </c>
      <c r="Q297" s="47">
        <v>139750</v>
      </c>
      <c r="R297" s="47">
        <f>Q297-P297</f>
        <v>114966.66666666667</v>
      </c>
      <c r="S297" s="191">
        <f t="shared" si="54"/>
        <v>0.82265951103160406</v>
      </c>
      <c r="T297" s="42">
        <v>297400</v>
      </c>
      <c r="U297" s="48">
        <f t="shared" si="53"/>
        <v>0.6707775037603152</v>
      </c>
      <c r="V297" s="49"/>
      <c r="X297" s="112"/>
    </row>
    <row r="298" spans="1:24" x14ac:dyDescent="0.3">
      <c r="A298" s="40" t="str">
        <f>VLOOKUP(B298,Grupos!$A$2:$B$619,2,FALSE)</f>
        <v>BREAKERS</v>
      </c>
      <c r="B298" s="41" t="s">
        <v>779</v>
      </c>
      <c r="C298" s="41" t="s">
        <v>780</v>
      </c>
      <c r="D298" s="42">
        <v>12</v>
      </c>
      <c r="E298" s="43">
        <v>5166.3998982748089</v>
      </c>
      <c r="F298" s="43"/>
      <c r="G298" s="126">
        <f t="shared" si="48"/>
        <v>5166.3998982748089</v>
      </c>
      <c r="H298" s="127">
        <f t="shared" si="55"/>
        <v>61996.798779297707</v>
      </c>
      <c r="I298" s="128">
        <f t="shared" si="56"/>
        <v>0</v>
      </c>
      <c r="J298" s="128">
        <f t="shared" si="57"/>
        <v>61996.798779297707</v>
      </c>
      <c r="K298" s="44"/>
      <c r="L298" s="45">
        <v>0</v>
      </c>
      <c r="M298" s="45">
        <v>0</v>
      </c>
      <c r="N298" s="45">
        <f t="shared" si="58"/>
        <v>5166.3998982748089</v>
      </c>
      <c r="O298" s="46">
        <f t="shared" si="59"/>
        <v>61996.798779297707</v>
      </c>
      <c r="P298" s="47">
        <f t="shared" si="60"/>
        <v>6600</v>
      </c>
      <c r="Q298" s="47">
        <v>6950</v>
      </c>
      <c r="R298" s="47">
        <f t="shared" ref="R298:R315" si="61">Q298-P298</f>
        <v>350</v>
      </c>
      <c r="S298" s="191">
        <f t="shared" si="54"/>
        <v>5.0359712230215826E-2</v>
      </c>
      <c r="T298" s="42">
        <v>79200</v>
      </c>
      <c r="U298" s="48">
        <f t="shared" si="53"/>
        <v>0.78278786337497108</v>
      </c>
      <c r="V298" s="49"/>
      <c r="X298" s="112"/>
    </row>
    <row r="299" spans="1:24" x14ac:dyDescent="0.3">
      <c r="A299" s="40" t="str">
        <f>VLOOKUP(B299,Grupos!$A$2:$B$619,2,FALSE)</f>
        <v>BREAKERS</v>
      </c>
      <c r="B299" s="41" t="s">
        <v>781</v>
      </c>
      <c r="C299" s="41" t="s">
        <v>782</v>
      </c>
      <c r="D299" s="42">
        <v>684</v>
      </c>
      <c r="E299" s="43">
        <v>5166.3998982748089</v>
      </c>
      <c r="F299" s="43"/>
      <c r="G299" s="126">
        <f t="shared" si="48"/>
        <v>5166.3998982748089</v>
      </c>
      <c r="H299" s="127">
        <f t="shared" si="55"/>
        <v>3533817.5304199695</v>
      </c>
      <c r="I299" s="128">
        <f t="shared" si="56"/>
        <v>0</v>
      </c>
      <c r="J299" s="128">
        <f t="shared" si="57"/>
        <v>3533817.5304199695</v>
      </c>
      <c r="K299" s="44"/>
      <c r="L299" s="45">
        <v>0</v>
      </c>
      <c r="M299" s="45">
        <v>0</v>
      </c>
      <c r="N299" s="45">
        <f t="shared" si="58"/>
        <v>5166.3998982748089</v>
      </c>
      <c r="O299" s="46">
        <f t="shared" si="59"/>
        <v>3533817.5304199695</v>
      </c>
      <c r="P299" s="47">
        <f t="shared" si="60"/>
        <v>6648.2456140350878</v>
      </c>
      <c r="Q299" s="47">
        <v>6950</v>
      </c>
      <c r="R299" s="47">
        <f t="shared" si="61"/>
        <v>301.75438596491222</v>
      </c>
      <c r="S299" s="191">
        <f t="shared" si="54"/>
        <v>4.3417897261138448E-2</v>
      </c>
      <c r="T299" s="42">
        <v>4547400</v>
      </c>
      <c r="U299" s="48">
        <f t="shared" si="53"/>
        <v>0.77710725478734433</v>
      </c>
      <c r="V299" s="49"/>
      <c r="X299" s="112"/>
    </row>
    <row r="300" spans="1:24" x14ac:dyDescent="0.3">
      <c r="A300" s="40" t="str">
        <f>VLOOKUP(B300,Grupos!$A$2:$B$619,2,FALSE)</f>
        <v>BREAKERS</v>
      </c>
      <c r="B300" s="41" t="s">
        <v>783</v>
      </c>
      <c r="C300" s="41" t="s">
        <v>784</v>
      </c>
      <c r="D300" s="42">
        <v>72</v>
      </c>
      <c r="E300" s="43">
        <v>5166.3998982748089</v>
      </c>
      <c r="F300" s="43"/>
      <c r="G300" s="126">
        <f t="shared" si="48"/>
        <v>5166.3998982748089</v>
      </c>
      <c r="H300" s="127">
        <f t="shared" si="55"/>
        <v>371980.79267578624</v>
      </c>
      <c r="I300" s="128">
        <f t="shared" si="56"/>
        <v>0</v>
      </c>
      <c r="J300" s="128">
        <f t="shared" si="57"/>
        <v>371980.79267578624</v>
      </c>
      <c r="K300" s="44"/>
      <c r="L300" s="45">
        <v>0</v>
      </c>
      <c r="M300" s="45">
        <v>0</v>
      </c>
      <c r="N300" s="45">
        <f t="shared" si="58"/>
        <v>5166.3998982748089</v>
      </c>
      <c r="O300" s="46">
        <f t="shared" si="59"/>
        <v>371980.79267578624</v>
      </c>
      <c r="P300" s="47">
        <f t="shared" si="60"/>
        <v>6791.666666666667</v>
      </c>
      <c r="Q300" s="47">
        <v>6950</v>
      </c>
      <c r="R300" s="47">
        <f t="shared" si="61"/>
        <v>158.33333333333303</v>
      </c>
      <c r="S300" s="191">
        <f t="shared" si="54"/>
        <v>2.2781774580335687E-2</v>
      </c>
      <c r="T300" s="42">
        <v>489000</v>
      </c>
      <c r="U300" s="48">
        <f t="shared" si="53"/>
        <v>0.76069691753739521</v>
      </c>
      <c r="V300" s="49"/>
      <c r="X300" s="112"/>
    </row>
    <row r="301" spans="1:24" x14ac:dyDescent="0.3">
      <c r="A301" s="40" t="str">
        <f>VLOOKUP(B301,Grupos!$A$2:$B$619,2,FALSE)</f>
        <v>BREAKERS</v>
      </c>
      <c r="B301" s="41" t="s">
        <v>785</v>
      </c>
      <c r="C301" s="41" t="s">
        <v>786</v>
      </c>
      <c r="D301" s="42">
        <v>264</v>
      </c>
      <c r="E301" s="43">
        <v>5579.7118901367921</v>
      </c>
      <c r="F301" s="43"/>
      <c r="G301" s="126">
        <f t="shared" si="48"/>
        <v>5579.7118901367921</v>
      </c>
      <c r="H301" s="127">
        <f t="shared" si="55"/>
        <v>1473043.9389961131</v>
      </c>
      <c r="I301" s="128">
        <f t="shared" si="56"/>
        <v>0</v>
      </c>
      <c r="J301" s="128">
        <f t="shared" si="57"/>
        <v>1473043.9389961131</v>
      </c>
      <c r="K301" s="44"/>
      <c r="L301" s="45">
        <v>0</v>
      </c>
      <c r="M301" s="45">
        <v>0</v>
      </c>
      <c r="N301" s="45">
        <f t="shared" si="58"/>
        <v>5579.7118901367921</v>
      </c>
      <c r="O301" s="46">
        <f t="shared" si="59"/>
        <v>1473043.9389961131</v>
      </c>
      <c r="P301" s="47">
        <f t="shared" si="60"/>
        <v>6836.363636363636</v>
      </c>
      <c r="Q301" s="47">
        <v>6950</v>
      </c>
      <c r="R301" s="47">
        <f t="shared" si="61"/>
        <v>113.63636363636397</v>
      </c>
      <c r="S301" s="191">
        <f t="shared" si="54"/>
        <v>1.6350555918901291E-2</v>
      </c>
      <c r="T301" s="42">
        <v>1804800</v>
      </c>
      <c r="U301" s="48">
        <f t="shared" si="53"/>
        <v>0.81618126052532869</v>
      </c>
      <c r="V301" s="49"/>
      <c r="X301" s="112"/>
    </row>
    <row r="302" spans="1:24" x14ac:dyDescent="0.3">
      <c r="A302" s="40" t="str">
        <f>VLOOKUP(B302,Grupos!$A$2:$B$619,2,FALSE)</f>
        <v>BREAKERS</v>
      </c>
      <c r="B302" s="41" t="s">
        <v>787</v>
      </c>
      <c r="C302" s="41" t="s">
        <v>788</v>
      </c>
      <c r="D302" s="42">
        <v>36</v>
      </c>
      <c r="E302" s="43">
        <v>5579.711890136793</v>
      </c>
      <c r="F302" s="43"/>
      <c r="G302" s="126">
        <f t="shared" si="48"/>
        <v>5579.711890136793</v>
      </c>
      <c r="H302" s="127">
        <f t="shared" si="55"/>
        <v>200869.62804492455</v>
      </c>
      <c r="I302" s="128">
        <f t="shared" si="56"/>
        <v>0</v>
      </c>
      <c r="J302" s="128">
        <f t="shared" si="57"/>
        <v>200869.62804492455</v>
      </c>
      <c r="K302" s="44"/>
      <c r="L302" s="45">
        <v>0</v>
      </c>
      <c r="M302" s="45">
        <v>0</v>
      </c>
      <c r="N302" s="45">
        <f t="shared" si="58"/>
        <v>5579.711890136793</v>
      </c>
      <c r="O302" s="46">
        <f t="shared" si="59"/>
        <v>200869.62804492455</v>
      </c>
      <c r="P302" s="47">
        <f t="shared" si="60"/>
        <v>6833.333333333333</v>
      </c>
      <c r="Q302" s="47">
        <v>6950</v>
      </c>
      <c r="R302" s="47">
        <f t="shared" si="61"/>
        <v>116.66666666666697</v>
      </c>
      <c r="S302" s="191">
        <f t="shared" si="54"/>
        <v>1.6786570743405321E-2</v>
      </c>
      <c r="T302" s="42">
        <v>246000</v>
      </c>
      <c r="U302" s="48">
        <f t="shared" si="53"/>
        <v>0.8165432034346527</v>
      </c>
      <c r="V302" s="49"/>
      <c r="X302" s="112"/>
    </row>
    <row r="303" spans="1:24" x14ac:dyDescent="0.3">
      <c r="A303" s="40" t="str">
        <f>VLOOKUP(B303,Grupos!$A$2:$B$619,2,FALSE)</f>
        <v>BREAKERS</v>
      </c>
      <c r="B303" s="41" t="s">
        <v>998</v>
      </c>
      <c r="C303" s="41" t="s">
        <v>999</v>
      </c>
      <c r="D303" s="42">
        <v>72</v>
      </c>
      <c r="E303" s="43">
        <v>5579.7118901367921</v>
      </c>
      <c r="F303" s="43"/>
      <c r="G303" s="126">
        <f t="shared" si="48"/>
        <v>5579.7118901367921</v>
      </c>
      <c r="H303" s="127">
        <f t="shared" si="55"/>
        <v>401739.25608984905</v>
      </c>
      <c r="I303" s="128">
        <f t="shared" si="56"/>
        <v>0</v>
      </c>
      <c r="J303" s="128">
        <f t="shared" si="57"/>
        <v>401739.25608984905</v>
      </c>
      <c r="K303" s="44"/>
      <c r="L303" s="45">
        <v>0</v>
      </c>
      <c r="M303" s="45">
        <v>0</v>
      </c>
      <c r="N303" s="45">
        <f t="shared" si="58"/>
        <v>5579.7118901367921</v>
      </c>
      <c r="O303" s="46">
        <f t="shared" si="59"/>
        <v>401739.25608984905</v>
      </c>
      <c r="P303" s="47">
        <f t="shared" si="60"/>
        <v>6791.666666666667</v>
      </c>
      <c r="Q303" s="47">
        <v>6950</v>
      </c>
      <c r="R303" s="47">
        <f t="shared" si="61"/>
        <v>158.33333333333303</v>
      </c>
      <c r="S303" s="191">
        <f t="shared" si="54"/>
        <v>2.2781774580335687E-2</v>
      </c>
      <c r="T303" s="42">
        <v>489000</v>
      </c>
      <c r="U303" s="48">
        <f t="shared" si="53"/>
        <v>0.82155267094038664</v>
      </c>
      <c r="V303" s="49"/>
      <c r="X303" s="112"/>
    </row>
    <row r="304" spans="1:24" x14ac:dyDescent="0.3">
      <c r="A304" s="40" t="str">
        <f>VLOOKUP(B304,Grupos!$A$2:$B$619,2,FALSE)</f>
        <v>BREAKERS</v>
      </c>
      <c r="B304" s="41" t="s">
        <v>790</v>
      </c>
      <c r="C304" s="41" t="s">
        <v>791</v>
      </c>
      <c r="D304" s="42">
        <v>12</v>
      </c>
      <c r="E304" s="43">
        <v>10332.799796549618</v>
      </c>
      <c r="F304" s="43"/>
      <c r="G304" s="126">
        <f t="shared" si="48"/>
        <v>10332.799796549618</v>
      </c>
      <c r="H304" s="127">
        <f t="shared" si="55"/>
        <v>123993.59755859541</v>
      </c>
      <c r="I304" s="128">
        <f t="shared" si="56"/>
        <v>0</v>
      </c>
      <c r="J304" s="128">
        <f t="shared" si="57"/>
        <v>123993.59755859541</v>
      </c>
      <c r="K304" s="44"/>
      <c r="L304" s="45">
        <v>0</v>
      </c>
      <c r="M304" s="45">
        <v>0</v>
      </c>
      <c r="N304" s="45">
        <f t="shared" si="58"/>
        <v>10332.799796549618</v>
      </c>
      <c r="O304" s="46">
        <f t="shared" si="59"/>
        <v>123993.59755859541</v>
      </c>
      <c r="P304" s="47">
        <f t="shared" si="60"/>
        <v>13350</v>
      </c>
      <c r="Q304" s="47">
        <v>13400</v>
      </c>
      <c r="R304" s="47">
        <f t="shared" si="61"/>
        <v>50</v>
      </c>
      <c r="S304" s="191">
        <f t="shared" si="54"/>
        <v>3.7313432835820895E-3</v>
      </c>
      <c r="T304" s="42">
        <v>160200</v>
      </c>
      <c r="U304" s="48">
        <f t="shared" si="53"/>
        <v>0.77399249412356685</v>
      </c>
      <c r="V304" s="49"/>
      <c r="X304" s="112"/>
    </row>
    <row r="305" spans="1:24" x14ac:dyDescent="0.3">
      <c r="A305" s="40" t="str">
        <f>VLOOKUP(B305,Grupos!$A$2:$B$619,2,FALSE)</f>
        <v>BREAKERS</v>
      </c>
      <c r="B305" s="41" t="s">
        <v>792</v>
      </c>
      <c r="C305" s="41" t="s">
        <v>793</v>
      </c>
      <c r="D305" s="42">
        <v>168</v>
      </c>
      <c r="E305" s="43">
        <v>10332.799796549618</v>
      </c>
      <c r="F305" s="43"/>
      <c r="G305" s="126">
        <f t="shared" si="48"/>
        <v>10332.799796549618</v>
      </c>
      <c r="H305" s="127">
        <f t="shared" si="55"/>
        <v>1735910.3658203357</v>
      </c>
      <c r="I305" s="128">
        <f t="shared" si="56"/>
        <v>0</v>
      </c>
      <c r="J305" s="128">
        <f t="shared" si="57"/>
        <v>1735910.3658203357</v>
      </c>
      <c r="K305" s="44"/>
      <c r="L305" s="45">
        <v>0</v>
      </c>
      <c r="M305" s="45">
        <v>0</v>
      </c>
      <c r="N305" s="45">
        <f t="shared" si="58"/>
        <v>10332.799796549618</v>
      </c>
      <c r="O305" s="46">
        <f t="shared" si="59"/>
        <v>1735910.3658203357</v>
      </c>
      <c r="P305" s="47">
        <f t="shared" si="60"/>
        <v>13364.285714285714</v>
      </c>
      <c r="Q305" s="47">
        <v>13400</v>
      </c>
      <c r="R305" s="47">
        <f t="shared" si="61"/>
        <v>35.714285714286234</v>
      </c>
      <c r="S305" s="191">
        <f t="shared" si="54"/>
        <v>2.6652452025586744E-3</v>
      </c>
      <c r="T305" s="42">
        <v>2245200</v>
      </c>
      <c r="U305" s="48">
        <f t="shared" si="53"/>
        <v>0.77316513710152135</v>
      </c>
      <c r="V305" s="49"/>
      <c r="X305" s="112"/>
    </row>
    <row r="306" spans="1:24" x14ac:dyDescent="0.3">
      <c r="A306" s="40" t="str">
        <f>VLOOKUP(B306,Grupos!$A$2:$B$619,2,FALSE)</f>
        <v>BREAKERS</v>
      </c>
      <c r="B306" s="41" t="s">
        <v>794</v>
      </c>
      <c r="C306" s="41" t="s">
        <v>795</v>
      </c>
      <c r="D306" s="42">
        <v>90</v>
      </c>
      <c r="E306" s="43">
        <v>10332.799796549618</v>
      </c>
      <c r="F306" s="43"/>
      <c r="G306" s="126">
        <f t="shared" si="48"/>
        <v>10332.799796549618</v>
      </c>
      <c r="H306" s="127">
        <f t="shared" si="55"/>
        <v>929951.98168946558</v>
      </c>
      <c r="I306" s="128">
        <f t="shared" si="56"/>
        <v>0</v>
      </c>
      <c r="J306" s="128">
        <f t="shared" si="57"/>
        <v>929951.98168946558</v>
      </c>
      <c r="K306" s="44"/>
      <c r="L306" s="45">
        <v>0</v>
      </c>
      <c r="M306" s="45">
        <v>0</v>
      </c>
      <c r="N306" s="45">
        <f t="shared" si="58"/>
        <v>10332.799796549618</v>
      </c>
      <c r="O306" s="46">
        <f t="shared" si="59"/>
        <v>929951.98168946558</v>
      </c>
      <c r="P306" s="47">
        <f t="shared" si="60"/>
        <v>13323.333333333334</v>
      </c>
      <c r="Q306" s="47">
        <v>13400</v>
      </c>
      <c r="R306" s="47">
        <f t="shared" si="61"/>
        <v>76.66666666666606</v>
      </c>
      <c r="S306" s="191">
        <f t="shared" si="54"/>
        <v>5.7213930348258253E-3</v>
      </c>
      <c r="T306" s="42">
        <v>1199100</v>
      </c>
      <c r="U306" s="48">
        <f t="shared" si="53"/>
        <v>0.77554164097195033</v>
      </c>
      <c r="V306" s="49"/>
      <c r="X306" s="112"/>
    </row>
    <row r="307" spans="1:24" x14ac:dyDescent="0.3">
      <c r="A307" s="40" t="str">
        <f>VLOOKUP(B307,Grupos!$A$2:$B$619,2,FALSE)</f>
        <v>BREAKERS</v>
      </c>
      <c r="B307" s="41" t="s">
        <v>796</v>
      </c>
      <c r="C307" s="41" t="s">
        <v>797</v>
      </c>
      <c r="D307" s="42">
        <v>84</v>
      </c>
      <c r="E307" s="43">
        <v>11159.423780273586</v>
      </c>
      <c r="F307" s="43"/>
      <c r="G307" s="126">
        <f t="shared" si="48"/>
        <v>11159.423780273586</v>
      </c>
      <c r="H307" s="127">
        <f t="shared" si="55"/>
        <v>937391.59754298127</v>
      </c>
      <c r="I307" s="128">
        <f t="shared" si="56"/>
        <v>0</v>
      </c>
      <c r="J307" s="128">
        <f t="shared" si="57"/>
        <v>937391.59754298127</v>
      </c>
      <c r="K307" s="44"/>
      <c r="L307" s="45">
        <v>0</v>
      </c>
      <c r="M307" s="45">
        <v>0</v>
      </c>
      <c r="N307" s="45">
        <f t="shared" si="58"/>
        <v>11159.423780273586</v>
      </c>
      <c r="O307" s="46">
        <f t="shared" si="59"/>
        <v>937391.59754298127</v>
      </c>
      <c r="P307" s="47">
        <f t="shared" si="60"/>
        <v>13235.714285714286</v>
      </c>
      <c r="Q307" s="47">
        <v>13400</v>
      </c>
      <c r="R307" s="47">
        <f t="shared" si="61"/>
        <v>164.28571428571377</v>
      </c>
      <c r="S307" s="191">
        <f t="shared" si="54"/>
        <v>1.2260127931769685E-2</v>
      </c>
      <c r="T307" s="42">
        <v>1111800</v>
      </c>
      <c r="U307" s="48">
        <f t="shared" si="53"/>
        <v>0.84312969737630983</v>
      </c>
      <c r="V307" s="49"/>
      <c r="X307" s="112"/>
    </row>
    <row r="308" spans="1:24" x14ac:dyDescent="0.3">
      <c r="A308" s="40" t="str">
        <f>VLOOKUP(B308,Grupos!$A$2:$B$619,2,FALSE)</f>
        <v>BREAKERS</v>
      </c>
      <c r="B308" s="41" t="s">
        <v>798</v>
      </c>
      <c r="C308" s="41" t="s">
        <v>799</v>
      </c>
      <c r="D308" s="42">
        <v>126</v>
      </c>
      <c r="E308" s="43">
        <v>11159.423780273586</v>
      </c>
      <c r="F308" s="43"/>
      <c r="G308" s="126">
        <f t="shared" si="48"/>
        <v>11159.423780273586</v>
      </c>
      <c r="H308" s="127">
        <f t="shared" si="55"/>
        <v>1406087.396314472</v>
      </c>
      <c r="I308" s="128">
        <f t="shared" si="56"/>
        <v>0</v>
      </c>
      <c r="J308" s="128">
        <f t="shared" si="57"/>
        <v>1406087.396314472</v>
      </c>
      <c r="K308" s="44"/>
      <c r="L308" s="45">
        <v>0</v>
      </c>
      <c r="M308" s="45">
        <v>0</v>
      </c>
      <c r="N308" s="45">
        <f t="shared" si="58"/>
        <v>11159.423780273586</v>
      </c>
      <c r="O308" s="46">
        <f t="shared" si="59"/>
        <v>1406087.396314472</v>
      </c>
      <c r="P308" s="47">
        <f t="shared" si="60"/>
        <v>13180</v>
      </c>
      <c r="Q308" s="47">
        <v>13400</v>
      </c>
      <c r="R308" s="47">
        <f t="shared" si="61"/>
        <v>220</v>
      </c>
      <c r="S308" s="191">
        <f t="shared" si="54"/>
        <v>1.6417910447761194E-2</v>
      </c>
      <c r="T308" s="42">
        <v>1660680</v>
      </c>
      <c r="U308" s="48">
        <f t="shared" si="53"/>
        <v>0.84669376178100053</v>
      </c>
      <c r="V308" s="49"/>
      <c r="X308" s="112"/>
    </row>
    <row r="309" spans="1:24" x14ac:dyDescent="0.3">
      <c r="A309" s="40" t="str">
        <f>VLOOKUP(B309,Grupos!$A$2:$B$619,2,FALSE)</f>
        <v>BREAKERS</v>
      </c>
      <c r="B309" s="41" t="s">
        <v>800</v>
      </c>
      <c r="C309" s="41" t="s">
        <v>801</v>
      </c>
      <c r="D309" s="42">
        <v>90</v>
      </c>
      <c r="E309" s="43">
        <v>11159.423780273586</v>
      </c>
      <c r="F309" s="43"/>
      <c r="G309" s="126">
        <f t="shared" si="48"/>
        <v>11159.423780273586</v>
      </c>
      <c r="H309" s="127">
        <f t="shared" si="55"/>
        <v>1004348.1402246228</v>
      </c>
      <c r="I309" s="128">
        <f t="shared" si="56"/>
        <v>0</v>
      </c>
      <c r="J309" s="128">
        <f t="shared" si="57"/>
        <v>1004348.1402246228</v>
      </c>
      <c r="K309" s="44"/>
      <c r="L309" s="45">
        <v>0</v>
      </c>
      <c r="M309" s="45">
        <v>0</v>
      </c>
      <c r="N309" s="45">
        <f t="shared" si="58"/>
        <v>11159.423780273586</v>
      </c>
      <c r="O309" s="46">
        <f t="shared" si="59"/>
        <v>1004348.1402246228</v>
      </c>
      <c r="P309" s="47">
        <f t="shared" si="60"/>
        <v>13580</v>
      </c>
      <c r="Q309" s="47">
        <v>13400</v>
      </c>
      <c r="R309" s="47">
        <f t="shared" si="61"/>
        <v>-180</v>
      </c>
      <c r="S309" s="191">
        <f t="shared" si="54"/>
        <v>-1.3432835820895522E-2</v>
      </c>
      <c r="T309" s="42">
        <v>1222200</v>
      </c>
      <c r="U309" s="48">
        <f t="shared" si="53"/>
        <v>0.82175432844429941</v>
      </c>
      <c r="V309" s="49"/>
      <c r="X309" s="112"/>
    </row>
    <row r="310" spans="1:24" x14ac:dyDescent="0.3">
      <c r="A310" s="40" t="str">
        <f>VLOOKUP(B310,Grupos!$A$2:$B$619,2,FALSE)</f>
        <v>BREAKERS</v>
      </c>
      <c r="B310" s="41" t="s">
        <v>802</v>
      </c>
      <c r="C310" s="41" t="s">
        <v>803</v>
      </c>
      <c r="D310" s="42">
        <v>4</v>
      </c>
      <c r="E310" s="43">
        <v>15499.199694824423</v>
      </c>
      <c r="F310" s="43"/>
      <c r="G310" s="126">
        <f t="shared" si="48"/>
        <v>15499.199694824423</v>
      </c>
      <c r="H310" s="127">
        <f t="shared" si="55"/>
        <v>61996.798779297693</v>
      </c>
      <c r="I310" s="128">
        <f t="shared" si="56"/>
        <v>0</v>
      </c>
      <c r="J310" s="128">
        <f t="shared" si="57"/>
        <v>61996.798779297693</v>
      </c>
      <c r="K310" s="44"/>
      <c r="L310" s="45">
        <v>0</v>
      </c>
      <c r="M310" s="45">
        <v>0</v>
      </c>
      <c r="N310" s="45">
        <f t="shared" si="58"/>
        <v>15499.199694824423</v>
      </c>
      <c r="O310" s="46">
        <f t="shared" si="59"/>
        <v>61996.798779297693</v>
      </c>
      <c r="P310" s="47">
        <f t="shared" si="60"/>
        <v>19500</v>
      </c>
      <c r="Q310" s="47">
        <v>20150</v>
      </c>
      <c r="R310" s="47">
        <f t="shared" si="61"/>
        <v>650</v>
      </c>
      <c r="S310" s="191">
        <f t="shared" si="54"/>
        <v>3.2258064516129031E-2</v>
      </c>
      <c r="T310" s="42">
        <v>78000</v>
      </c>
      <c r="U310" s="48">
        <f t="shared" si="53"/>
        <v>0.79483075358073962</v>
      </c>
      <c r="V310" s="49"/>
      <c r="X310" s="112"/>
    </row>
    <row r="311" spans="1:24" x14ac:dyDescent="0.3">
      <c r="A311" s="40" t="str">
        <f>VLOOKUP(B311,Grupos!$A$2:$B$619,2,FALSE)</f>
        <v>BREAKERS</v>
      </c>
      <c r="B311" s="41" t="s">
        <v>804</v>
      </c>
      <c r="C311" s="41" t="s">
        <v>805</v>
      </c>
      <c r="D311" s="42">
        <v>4</v>
      </c>
      <c r="E311" s="43">
        <v>15499.199694824423</v>
      </c>
      <c r="F311" s="43"/>
      <c r="G311" s="126">
        <f t="shared" si="48"/>
        <v>15499.199694824423</v>
      </c>
      <c r="H311" s="127">
        <f t="shared" si="55"/>
        <v>61996.798779297693</v>
      </c>
      <c r="I311" s="128">
        <f t="shared" si="56"/>
        <v>0</v>
      </c>
      <c r="J311" s="128">
        <f t="shared" si="57"/>
        <v>61996.798779297693</v>
      </c>
      <c r="K311" s="44"/>
      <c r="L311" s="45">
        <v>0</v>
      </c>
      <c r="M311" s="45">
        <v>0</v>
      </c>
      <c r="N311" s="45">
        <f t="shared" si="58"/>
        <v>15499.199694824423</v>
      </c>
      <c r="O311" s="46">
        <f t="shared" si="59"/>
        <v>61996.798779297693</v>
      </c>
      <c r="P311" s="47">
        <f t="shared" si="60"/>
        <v>19500</v>
      </c>
      <c r="Q311" s="47">
        <v>20150</v>
      </c>
      <c r="R311" s="47">
        <f t="shared" si="61"/>
        <v>650</v>
      </c>
      <c r="S311" s="191">
        <f t="shared" si="54"/>
        <v>3.2258064516129031E-2</v>
      </c>
      <c r="T311" s="42">
        <v>78000</v>
      </c>
      <c r="U311" s="48">
        <f t="shared" si="53"/>
        <v>0.79483075358073962</v>
      </c>
      <c r="V311" s="49"/>
      <c r="X311" s="112"/>
    </row>
    <row r="312" spans="1:24" x14ac:dyDescent="0.3">
      <c r="A312" s="40" t="str">
        <f>VLOOKUP(B312,Grupos!$A$2:$B$619,2,FALSE)</f>
        <v>BREAKERS</v>
      </c>
      <c r="B312" s="41" t="s">
        <v>806</v>
      </c>
      <c r="C312" s="41" t="s">
        <v>807</v>
      </c>
      <c r="D312" s="42">
        <v>8</v>
      </c>
      <c r="E312" s="43">
        <v>15499.199694824423</v>
      </c>
      <c r="F312" s="43"/>
      <c r="G312" s="126">
        <f t="shared" si="48"/>
        <v>15499.199694824423</v>
      </c>
      <c r="H312" s="127">
        <f t="shared" si="55"/>
        <v>123993.59755859539</v>
      </c>
      <c r="I312" s="128">
        <f t="shared" si="56"/>
        <v>0</v>
      </c>
      <c r="J312" s="128">
        <f t="shared" si="57"/>
        <v>123993.59755859539</v>
      </c>
      <c r="K312" s="44"/>
      <c r="L312" s="45">
        <v>0</v>
      </c>
      <c r="M312" s="45">
        <v>0</v>
      </c>
      <c r="N312" s="45">
        <f t="shared" si="58"/>
        <v>15499.199694824423</v>
      </c>
      <c r="O312" s="46">
        <f t="shared" si="59"/>
        <v>123993.59755859539</v>
      </c>
      <c r="P312" s="47">
        <f t="shared" si="60"/>
        <v>19500</v>
      </c>
      <c r="Q312" s="47">
        <v>20150</v>
      </c>
      <c r="R312" s="47">
        <f t="shared" si="61"/>
        <v>650</v>
      </c>
      <c r="S312" s="191">
        <f t="shared" si="54"/>
        <v>3.2258064516129031E-2</v>
      </c>
      <c r="T312" s="42">
        <v>156000</v>
      </c>
      <c r="U312" s="48">
        <f t="shared" si="53"/>
        <v>0.79483075358073962</v>
      </c>
      <c r="V312" s="49"/>
      <c r="X312" s="112"/>
    </row>
    <row r="313" spans="1:24" x14ac:dyDescent="0.3">
      <c r="A313" s="40" t="str">
        <f>VLOOKUP(B313,Grupos!$A$2:$B$619,2,FALSE)</f>
        <v>BREAKERS</v>
      </c>
      <c r="B313" s="41" t="s">
        <v>808</v>
      </c>
      <c r="C313" s="41" t="s">
        <v>809</v>
      </c>
      <c r="D313" s="42">
        <v>4</v>
      </c>
      <c r="E313" s="43">
        <v>16739.135670410382</v>
      </c>
      <c r="F313" s="43"/>
      <c r="G313" s="126">
        <f t="shared" si="48"/>
        <v>16739.135670410382</v>
      </c>
      <c r="H313" s="127">
        <f t="shared" si="55"/>
        <v>66956.542681641527</v>
      </c>
      <c r="I313" s="128">
        <f t="shared" si="56"/>
        <v>0</v>
      </c>
      <c r="J313" s="128">
        <f t="shared" si="57"/>
        <v>66956.542681641527</v>
      </c>
      <c r="K313" s="44"/>
      <c r="L313" s="45">
        <v>0</v>
      </c>
      <c r="M313" s="45">
        <v>0</v>
      </c>
      <c r="N313" s="45">
        <f t="shared" si="58"/>
        <v>16739.135670410382</v>
      </c>
      <c r="O313" s="46">
        <f t="shared" si="59"/>
        <v>66956.542681641527</v>
      </c>
      <c r="P313" s="47">
        <f t="shared" si="60"/>
        <v>19500</v>
      </c>
      <c r="Q313" s="47">
        <v>20150</v>
      </c>
      <c r="R313" s="47">
        <f t="shared" si="61"/>
        <v>650</v>
      </c>
      <c r="S313" s="191">
        <f t="shared" si="54"/>
        <v>3.2258064516129031E-2</v>
      </c>
      <c r="T313" s="42">
        <v>78000</v>
      </c>
      <c r="U313" s="48">
        <f t="shared" si="53"/>
        <v>0.85841721386719905</v>
      </c>
      <c r="V313" s="49"/>
      <c r="X313" s="112"/>
    </row>
    <row r="314" spans="1:24" x14ac:dyDescent="0.3">
      <c r="A314" s="40" t="str">
        <f>VLOOKUP(B314,Grupos!$A$2:$B$619,2,FALSE)</f>
        <v>BREAKERS</v>
      </c>
      <c r="B314" s="41" t="s">
        <v>810</v>
      </c>
      <c r="C314" s="41" t="s">
        <v>811</v>
      </c>
      <c r="D314" s="42">
        <v>4</v>
      </c>
      <c r="E314" s="43">
        <v>16739.135670410382</v>
      </c>
      <c r="F314" s="43"/>
      <c r="G314" s="126">
        <f t="shared" si="48"/>
        <v>16739.135670410382</v>
      </c>
      <c r="H314" s="127">
        <f t="shared" si="55"/>
        <v>66956.542681641527</v>
      </c>
      <c r="I314" s="128">
        <f t="shared" si="56"/>
        <v>0</v>
      </c>
      <c r="J314" s="128">
        <f t="shared" si="57"/>
        <v>66956.542681641527</v>
      </c>
      <c r="K314" s="44"/>
      <c r="L314" s="45">
        <v>0</v>
      </c>
      <c r="M314" s="45">
        <v>0</v>
      </c>
      <c r="N314" s="45">
        <f t="shared" si="58"/>
        <v>16739.135670410382</v>
      </c>
      <c r="O314" s="46">
        <f t="shared" si="59"/>
        <v>66956.542681641527</v>
      </c>
      <c r="P314" s="47">
        <f t="shared" si="60"/>
        <v>19500</v>
      </c>
      <c r="Q314" s="47">
        <v>20150</v>
      </c>
      <c r="R314" s="47">
        <f t="shared" si="61"/>
        <v>650</v>
      </c>
      <c r="S314" s="191">
        <f t="shared" si="54"/>
        <v>3.2258064516129031E-2</v>
      </c>
      <c r="T314" s="42">
        <v>78000</v>
      </c>
      <c r="U314" s="48">
        <f t="shared" si="53"/>
        <v>0.85841721386719905</v>
      </c>
      <c r="V314" s="49"/>
      <c r="X314" s="112"/>
    </row>
    <row r="315" spans="1:24" x14ac:dyDescent="0.3">
      <c r="A315" s="40" t="str">
        <f>VLOOKUP(B315,Grupos!$A$2:$B$619,2,FALSE)</f>
        <v>BREAKERS</v>
      </c>
      <c r="B315" s="41" t="s">
        <v>812</v>
      </c>
      <c r="C315" s="41" t="s">
        <v>813</v>
      </c>
      <c r="D315" s="42">
        <v>4</v>
      </c>
      <c r="E315" s="43">
        <v>16739.135670410382</v>
      </c>
      <c r="F315" s="43"/>
      <c r="G315" s="126">
        <f t="shared" si="48"/>
        <v>16739.135670410382</v>
      </c>
      <c r="H315" s="127">
        <f t="shared" si="55"/>
        <v>66956.542681641527</v>
      </c>
      <c r="I315" s="128">
        <f t="shared" si="56"/>
        <v>0</v>
      </c>
      <c r="J315" s="128">
        <f t="shared" si="57"/>
        <v>66956.542681641527</v>
      </c>
      <c r="K315" s="44"/>
      <c r="L315" s="45">
        <v>0</v>
      </c>
      <c r="M315" s="45">
        <v>0</v>
      </c>
      <c r="N315" s="45">
        <f t="shared" si="58"/>
        <v>16739.135670410382</v>
      </c>
      <c r="O315" s="46">
        <f t="shared" si="59"/>
        <v>66956.542681641527</v>
      </c>
      <c r="P315" s="47">
        <f t="shared" si="60"/>
        <v>19500</v>
      </c>
      <c r="Q315" s="47">
        <v>20150</v>
      </c>
      <c r="R315" s="47">
        <f t="shared" si="61"/>
        <v>650</v>
      </c>
      <c r="S315" s="191">
        <f t="shared" si="54"/>
        <v>3.2258064516129031E-2</v>
      </c>
      <c r="T315" s="42">
        <v>78000</v>
      </c>
      <c r="U315" s="48">
        <f t="shared" si="53"/>
        <v>0.85841721386719905</v>
      </c>
      <c r="V315" s="49"/>
      <c r="X315" s="112"/>
    </row>
    <row r="316" spans="1:24" x14ac:dyDescent="0.3">
      <c r="A316" s="50" t="s">
        <v>1012</v>
      </c>
      <c r="B316" s="41"/>
      <c r="C316" s="41"/>
      <c r="D316" s="51">
        <f>SUM(D265:D315)</f>
        <v>36909</v>
      </c>
      <c r="E316" s="43"/>
      <c r="F316" s="43"/>
      <c r="G316" s="126">
        <f t="shared" si="48"/>
        <v>0</v>
      </c>
      <c r="H316" s="131">
        <f>SUM(H265:H315)</f>
        <v>246908146.19288734</v>
      </c>
      <c r="I316" s="131">
        <f>SUM(I265:I315)</f>
        <v>0</v>
      </c>
      <c r="J316" s="131">
        <f>SUM(J265:J315)</f>
        <v>246908146.19288734</v>
      </c>
      <c r="K316" s="44"/>
      <c r="L316" s="45"/>
      <c r="M316" s="45"/>
      <c r="N316" s="45"/>
      <c r="O316" s="55">
        <f>SUM(O265:O315)</f>
        <v>246908146.19288734</v>
      </c>
      <c r="P316" s="47"/>
      <c r="Q316" s="47"/>
      <c r="R316" s="47"/>
      <c r="S316" s="47"/>
      <c r="T316" s="51">
        <f>SUM(T265:T315)</f>
        <v>326174919.75999999</v>
      </c>
      <c r="U316" s="57">
        <f t="shared" si="53"/>
        <v>0.75698078311650308</v>
      </c>
      <c r="V316" s="58">
        <f>T316/T329</f>
        <v>8.6363638987637298E-2</v>
      </c>
      <c r="X316" s="112"/>
    </row>
    <row r="317" spans="1:24" x14ac:dyDescent="0.3">
      <c r="A317" s="40" t="str">
        <f>VLOOKUP(B317,Grupos!$A$2:$B$619,2,FALSE)</f>
        <v>VARILLAS</v>
      </c>
      <c r="B317" s="41" t="s">
        <v>549</v>
      </c>
      <c r="C317" s="41" t="s">
        <v>550</v>
      </c>
      <c r="D317" s="42">
        <v>58</v>
      </c>
      <c r="E317" s="43">
        <v>88350</v>
      </c>
      <c r="F317" s="43">
        <v>114.4</v>
      </c>
      <c r="G317" s="126">
        <f t="shared" si="48"/>
        <v>88464.4</v>
      </c>
      <c r="H317" s="127">
        <f t="shared" ref="H317:H327" si="62">E317*D317</f>
        <v>5124300</v>
      </c>
      <c r="I317" s="128">
        <f t="shared" ref="I317:I327" si="63">F317*D317</f>
        <v>6635.2000000000007</v>
      </c>
      <c r="J317" s="128">
        <f t="shared" ref="J317:J327" si="64">G317*D317</f>
        <v>5130935.1999999993</v>
      </c>
      <c r="K317" s="44"/>
      <c r="L317" s="45"/>
      <c r="M317" s="45">
        <v>614.36569890145984</v>
      </c>
      <c r="N317" s="45">
        <f t="shared" ref="N317:N327" si="65">G317+L317+M317</f>
        <v>89078.76569890145</v>
      </c>
      <c r="O317" s="46">
        <f t="shared" ref="O317:O327" si="66">N317*D317</f>
        <v>5166568.4105362846</v>
      </c>
      <c r="P317" s="47">
        <f t="shared" ref="P317:P327" si="67">T317/D317</f>
        <v>105512.06896551725</v>
      </c>
      <c r="Q317" s="166">
        <v>0</v>
      </c>
      <c r="R317" s="47"/>
      <c r="S317" s="47"/>
      <c r="T317" s="42">
        <v>6119700</v>
      </c>
      <c r="U317" s="48">
        <f t="shared" si="53"/>
        <v>0.84425190949495643</v>
      </c>
      <c r="V317" s="49"/>
      <c r="X317" s="112"/>
    </row>
    <row r="318" spans="1:24" x14ac:dyDescent="0.3">
      <c r="A318" s="40" t="str">
        <f>VLOOKUP(B318,Grupos!$A$2:$B$619,2,FALSE)</f>
        <v>VARILLAS</v>
      </c>
      <c r="B318" s="41" t="s">
        <v>551</v>
      </c>
      <c r="C318" s="41" t="s">
        <v>552</v>
      </c>
      <c r="D318" s="42">
        <v>28</v>
      </c>
      <c r="E318" s="43">
        <v>110206.61764705883</v>
      </c>
      <c r="F318" s="43">
        <v>165.47</v>
      </c>
      <c r="G318" s="126">
        <f t="shared" si="48"/>
        <v>110372.08764705883</v>
      </c>
      <c r="H318" s="127">
        <f t="shared" si="62"/>
        <v>3085785.2941176472</v>
      </c>
      <c r="I318" s="128">
        <f t="shared" si="63"/>
        <v>4633.16</v>
      </c>
      <c r="J318" s="128">
        <f t="shared" si="64"/>
        <v>3090418.4541176474</v>
      </c>
      <c r="K318" s="44"/>
      <c r="L318" s="45"/>
      <c r="M318" s="45">
        <v>888.62842829741749</v>
      </c>
      <c r="N318" s="45">
        <f t="shared" si="65"/>
        <v>111260.71607535625</v>
      </c>
      <c r="O318" s="46">
        <f t="shared" si="66"/>
        <v>3115300.050109975</v>
      </c>
      <c r="P318" s="47">
        <f t="shared" si="67"/>
        <v>131425</v>
      </c>
      <c r="Q318" s="166">
        <v>0</v>
      </c>
      <c r="R318" s="47"/>
      <c r="S318" s="47"/>
      <c r="T318" s="42">
        <v>3679900</v>
      </c>
      <c r="U318" s="48">
        <f t="shared" si="53"/>
        <v>0.84657193133236641</v>
      </c>
      <c r="V318" s="49"/>
      <c r="X318" s="112"/>
    </row>
    <row r="319" spans="1:24" x14ac:dyDescent="0.3">
      <c r="A319" s="40" t="str">
        <f>VLOOKUP(B319,Grupos!$A$2:$B$619,2,FALSE)</f>
        <v>VARILLAS</v>
      </c>
      <c r="B319" s="41" t="s">
        <v>553</v>
      </c>
      <c r="C319" s="41" t="s">
        <v>554</v>
      </c>
      <c r="D319" s="42">
        <v>34</v>
      </c>
      <c r="E319" s="43">
        <v>131328.5</v>
      </c>
      <c r="F319" s="43">
        <v>162.94999999999999</v>
      </c>
      <c r="G319" s="126">
        <f t="shared" si="48"/>
        <v>131491.45000000001</v>
      </c>
      <c r="H319" s="127">
        <f t="shared" si="62"/>
        <v>4465169</v>
      </c>
      <c r="I319" s="128">
        <f t="shared" si="63"/>
        <v>5540.2999999999993</v>
      </c>
      <c r="J319" s="128">
        <f t="shared" si="64"/>
        <v>4470709.3000000007</v>
      </c>
      <c r="K319" s="44"/>
      <c r="L319" s="45"/>
      <c r="M319" s="45">
        <v>875.09519786707062</v>
      </c>
      <c r="N319" s="45">
        <f t="shared" si="65"/>
        <v>132366.54519786709</v>
      </c>
      <c r="O319" s="46">
        <f t="shared" si="66"/>
        <v>4500462.5367274806</v>
      </c>
      <c r="P319" s="47">
        <f t="shared" si="67"/>
        <v>147705.88235294117</v>
      </c>
      <c r="Q319" s="166">
        <v>0</v>
      </c>
      <c r="R319" s="47"/>
      <c r="S319" s="47"/>
      <c r="T319" s="42">
        <v>5022000</v>
      </c>
      <c r="U319" s="48">
        <f t="shared" si="53"/>
        <v>0.89614944976652344</v>
      </c>
      <c r="V319" s="49"/>
      <c r="X319" s="112"/>
    </row>
    <row r="320" spans="1:24" x14ac:dyDescent="0.3">
      <c r="A320" s="40" t="str">
        <f>VLOOKUP(B320,Grupos!$A$2:$B$619,2,FALSE)</f>
        <v>VARILLAS</v>
      </c>
      <c r="B320" s="41" t="s">
        <v>555</v>
      </c>
      <c r="C320" s="41" t="s">
        <v>556</v>
      </c>
      <c r="D320" s="42">
        <v>517</v>
      </c>
      <c r="E320" s="43">
        <v>175109.5</v>
      </c>
      <c r="F320" s="43">
        <v>110.24</v>
      </c>
      <c r="G320" s="126">
        <f t="shared" si="48"/>
        <v>175219.74</v>
      </c>
      <c r="H320" s="127">
        <f t="shared" si="62"/>
        <v>90531611.5</v>
      </c>
      <c r="I320" s="128">
        <f t="shared" si="63"/>
        <v>56994.079999999994</v>
      </c>
      <c r="J320" s="128">
        <f t="shared" si="64"/>
        <v>90588605.579999998</v>
      </c>
      <c r="K320" s="44"/>
      <c r="L320" s="45"/>
      <c r="M320" s="45">
        <v>592.02512803231582</v>
      </c>
      <c r="N320" s="45">
        <f t="shared" si="65"/>
        <v>175811.7651280323</v>
      </c>
      <c r="O320" s="46">
        <f t="shared" si="66"/>
        <v>90894682.571192697</v>
      </c>
      <c r="P320" s="47">
        <f t="shared" si="67"/>
        <v>194561.49323017409</v>
      </c>
      <c r="Q320" s="166">
        <v>0</v>
      </c>
      <c r="R320" s="47"/>
      <c r="S320" s="47"/>
      <c r="T320" s="42">
        <v>100588292</v>
      </c>
      <c r="U320" s="48">
        <f t="shared" si="53"/>
        <v>0.90363083778371245</v>
      </c>
      <c r="V320" s="49"/>
      <c r="X320" s="112"/>
    </row>
    <row r="321" spans="1:24" x14ac:dyDescent="0.3">
      <c r="A321" s="40" t="str">
        <f>VLOOKUP(B321,Grupos!$A$2:$B$619,2,FALSE)</f>
        <v>VARILLAS</v>
      </c>
      <c r="B321" s="41" t="s">
        <v>557</v>
      </c>
      <c r="C321" s="41" t="s">
        <v>558</v>
      </c>
      <c r="D321" s="42">
        <v>200</v>
      </c>
      <c r="E321" s="43">
        <v>72600</v>
      </c>
      <c r="F321" s="43"/>
      <c r="G321" s="126">
        <f t="shared" si="48"/>
        <v>72600</v>
      </c>
      <c r="H321" s="127">
        <f t="shared" si="62"/>
        <v>14520000</v>
      </c>
      <c r="I321" s="128">
        <f t="shared" si="63"/>
        <v>0</v>
      </c>
      <c r="J321" s="128">
        <f t="shared" si="64"/>
        <v>14520000</v>
      </c>
      <c r="K321" s="44"/>
      <c r="L321" s="45"/>
      <c r="M321" s="45">
        <v>0</v>
      </c>
      <c r="N321" s="45">
        <f t="shared" si="65"/>
        <v>72600</v>
      </c>
      <c r="O321" s="46">
        <f t="shared" si="66"/>
        <v>14520000</v>
      </c>
      <c r="P321" s="47">
        <f t="shared" si="67"/>
        <v>86700</v>
      </c>
      <c r="Q321" s="166">
        <v>0</v>
      </c>
      <c r="R321" s="47"/>
      <c r="S321" s="47"/>
      <c r="T321" s="42">
        <v>17340000</v>
      </c>
      <c r="U321" s="48">
        <f t="shared" si="53"/>
        <v>0.83737024221453282</v>
      </c>
      <c r="V321" s="49"/>
      <c r="X321" s="112"/>
    </row>
    <row r="322" spans="1:24" x14ac:dyDescent="0.3">
      <c r="A322" s="40" t="str">
        <f>VLOOKUP(B322,Grupos!$A$2:$B$619,2,FALSE)</f>
        <v>VARILLAS</v>
      </c>
      <c r="B322" s="41" t="s">
        <v>559</v>
      </c>
      <c r="C322" s="41" t="s">
        <v>560</v>
      </c>
      <c r="D322" s="42">
        <v>180</v>
      </c>
      <c r="E322" s="43">
        <v>91050</v>
      </c>
      <c r="F322" s="43"/>
      <c r="G322" s="126">
        <f t="shared" si="48"/>
        <v>91050</v>
      </c>
      <c r="H322" s="127">
        <f t="shared" si="62"/>
        <v>16389000</v>
      </c>
      <c r="I322" s="128">
        <f t="shared" si="63"/>
        <v>0</v>
      </c>
      <c r="J322" s="128">
        <f t="shared" si="64"/>
        <v>16389000</v>
      </c>
      <c r="K322" s="44"/>
      <c r="L322" s="45"/>
      <c r="M322" s="45">
        <v>0</v>
      </c>
      <c r="N322" s="45">
        <f t="shared" si="65"/>
        <v>91050</v>
      </c>
      <c r="O322" s="46">
        <f t="shared" si="66"/>
        <v>16389000</v>
      </c>
      <c r="P322" s="47">
        <f t="shared" si="67"/>
        <v>108330</v>
      </c>
      <c r="Q322" s="166">
        <v>0</v>
      </c>
      <c r="R322" s="47"/>
      <c r="S322" s="47"/>
      <c r="T322" s="42">
        <v>19499400</v>
      </c>
      <c r="U322" s="48">
        <f t="shared" si="53"/>
        <v>0.84048739961229579</v>
      </c>
      <c r="V322" s="49"/>
      <c r="X322" s="112"/>
    </row>
    <row r="323" spans="1:24" x14ac:dyDescent="0.3">
      <c r="A323" s="40" t="str">
        <f>VLOOKUP(B323,Grupos!$A$2:$B$619,2,FALSE)</f>
        <v>VARILLAS</v>
      </c>
      <c r="B323" s="41" t="s">
        <v>657</v>
      </c>
      <c r="C323" s="41" t="s">
        <v>658</v>
      </c>
      <c r="D323" s="42">
        <v>37</v>
      </c>
      <c r="E323" s="43">
        <v>107710</v>
      </c>
      <c r="F323" s="43"/>
      <c r="G323" s="126">
        <f t="shared" si="48"/>
        <v>107710</v>
      </c>
      <c r="H323" s="127">
        <f t="shared" si="62"/>
        <v>3985270</v>
      </c>
      <c r="I323" s="128">
        <f t="shared" si="63"/>
        <v>0</v>
      </c>
      <c r="J323" s="128">
        <f t="shared" si="64"/>
        <v>3985270</v>
      </c>
      <c r="K323" s="44"/>
      <c r="L323" s="45"/>
      <c r="M323" s="45">
        <v>0</v>
      </c>
      <c r="N323" s="45">
        <f t="shared" si="65"/>
        <v>107710</v>
      </c>
      <c r="O323" s="46">
        <f t="shared" si="66"/>
        <v>3985270</v>
      </c>
      <c r="P323" s="47">
        <f t="shared" si="67"/>
        <v>101096.05513513513</v>
      </c>
      <c r="Q323" s="166">
        <v>0</v>
      </c>
      <c r="R323" s="47"/>
      <c r="S323" s="47"/>
      <c r="T323" s="42">
        <v>3740554.04</v>
      </c>
      <c r="U323" s="48">
        <f t="shared" si="53"/>
        <v>1.0654223832574279</v>
      </c>
      <c r="V323" s="49"/>
      <c r="X323" s="112"/>
    </row>
    <row r="324" spans="1:24" x14ac:dyDescent="0.3">
      <c r="A324" s="40" t="str">
        <f>VLOOKUP(B324,Grupos!$A$2:$B$619,2,FALSE)</f>
        <v>VARILLAS</v>
      </c>
      <c r="B324" s="41" t="s">
        <v>561</v>
      </c>
      <c r="C324" s="41" t="s">
        <v>562</v>
      </c>
      <c r="D324" s="42">
        <v>45</v>
      </c>
      <c r="E324" s="43">
        <v>144042.5</v>
      </c>
      <c r="F324" s="43"/>
      <c r="G324" s="126">
        <f t="shared" si="48"/>
        <v>144042.5</v>
      </c>
      <c r="H324" s="127">
        <f t="shared" si="62"/>
        <v>6481912.5</v>
      </c>
      <c r="I324" s="128">
        <f t="shared" si="63"/>
        <v>0</v>
      </c>
      <c r="J324" s="128">
        <f t="shared" si="64"/>
        <v>6481912.5</v>
      </c>
      <c r="K324" s="44"/>
      <c r="L324" s="45"/>
      <c r="M324" s="45">
        <v>0</v>
      </c>
      <c r="N324" s="45">
        <f t="shared" si="65"/>
        <v>144042.5</v>
      </c>
      <c r="O324" s="46">
        <f t="shared" si="66"/>
        <v>6481912.5</v>
      </c>
      <c r="P324" s="47">
        <f t="shared" si="67"/>
        <v>161271.55555555556</v>
      </c>
      <c r="Q324" s="166">
        <v>0</v>
      </c>
      <c r="R324" s="47"/>
      <c r="S324" s="47"/>
      <c r="T324" s="42">
        <v>7257220</v>
      </c>
      <c r="U324" s="143">
        <f t="shared" si="53"/>
        <v>0.89316742499193902</v>
      </c>
      <c r="V324" s="144"/>
      <c r="X324" s="112"/>
    </row>
    <row r="325" spans="1:24" x14ac:dyDescent="0.3">
      <c r="A325" s="40" t="str">
        <f>VLOOKUP(B325,Grupos!$A$2:$B$619,2,FALSE)</f>
        <v>VARILLAS</v>
      </c>
      <c r="B325" s="41" t="s">
        <v>1004</v>
      </c>
      <c r="C325" s="41" t="s">
        <v>1005</v>
      </c>
      <c r="D325" s="42">
        <v>210</v>
      </c>
      <c r="E325" s="43">
        <v>9215</v>
      </c>
      <c r="F325" s="43">
        <v>9.42</v>
      </c>
      <c r="G325" s="126">
        <f t="shared" ref="G325:G327" si="68">E325+F325</f>
        <v>9224.42</v>
      </c>
      <c r="H325" s="127">
        <f t="shared" si="62"/>
        <v>1935150</v>
      </c>
      <c r="I325" s="128">
        <f t="shared" si="63"/>
        <v>1978.2</v>
      </c>
      <c r="J325" s="128">
        <f t="shared" si="64"/>
        <v>1937128.2</v>
      </c>
      <c r="K325" s="44"/>
      <c r="L325" s="45"/>
      <c r="M325" s="45">
        <v>50.588504227725103</v>
      </c>
      <c r="N325" s="45">
        <f t="shared" si="65"/>
        <v>9275.008504227726</v>
      </c>
      <c r="O325" s="46">
        <f t="shared" si="66"/>
        <v>1947751.7858878225</v>
      </c>
      <c r="P325" s="47">
        <f t="shared" si="67"/>
        <v>11723.809523809523</v>
      </c>
      <c r="Q325" s="166">
        <v>0</v>
      </c>
      <c r="R325" s="47"/>
      <c r="S325" s="47"/>
      <c r="T325" s="42">
        <v>2462000</v>
      </c>
      <c r="U325" s="143">
        <f t="shared" ref="U325:U331" si="69">O325/T325</f>
        <v>0.7911258269243796</v>
      </c>
      <c r="V325" s="144"/>
      <c r="X325" s="112"/>
    </row>
    <row r="326" spans="1:24" x14ac:dyDescent="0.3">
      <c r="A326" s="40" t="str">
        <f>VLOOKUP(B326,Grupos!$A$2:$B$619,2,FALSE)</f>
        <v>VARILLAS</v>
      </c>
      <c r="B326" s="41" t="s">
        <v>1006</v>
      </c>
      <c r="C326" s="41" t="s">
        <v>1007</v>
      </c>
      <c r="D326" s="42">
        <v>170</v>
      </c>
      <c r="E326" s="43">
        <v>12125</v>
      </c>
      <c r="F326" s="43">
        <v>69.94</v>
      </c>
      <c r="G326" s="126">
        <f t="shared" si="68"/>
        <v>12194.94</v>
      </c>
      <c r="H326" s="127">
        <f t="shared" si="62"/>
        <v>2061250</v>
      </c>
      <c r="I326" s="128">
        <f t="shared" si="63"/>
        <v>11889.8</v>
      </c>
      <c r="J326" s="128">
        <f t="shared" si="64"/>
        <v>2073139.8</v>
      </c>
      <c r="K326" s="44"/>
      <c r="L326" s="45"/>
      <c r="M326" s="45">
        <v>375.60084773748338</v>
      </c>
      <c r="N326" s="45">
        <f t="shared" si="65"/>
        <v>12570.540847737484</v>
      </c>
      <c r="O326" s="46">
        <f t="shared" si="66"/>
        <v>2136991.9441153724</v>
      </c>
      <c r="P326" s="47">
        <f t="shared" si="67"/>
        <v>12352.941176470587</v>
      </c>
      <c r="Q326" s="166">
        <v>0</v>
      </c>
      <c r="R326" s="47"/>
      <c r="S326" s="47"/>
      <c r="T326" s="42">
        <v>2100000</v>
      </c>
      <c r="U326" s="143">
        <f t="shared" si="69"/>
        <v>1.0176152114835106</v>
      </c>
      <c r="V326" s="144"/>
      <c r="X326" s="112"/>
    </row>
    <row r="327" spans="1:24" x14ac:dyDescent="0.3">
      <c r="A327" s="40" t="str">
        <f>VLOOKUP(B327,Grupos!$A$2:$B$619,2,FALSE)</f>
        <v>VARILLAS</v>
      </c>
      <c r="B327" s="41" t="s">
        <v>1008</v>
      </c>
      <c r="C327" s="41" t="s">
        <v>1009</v>
      </c>
      <c r="D327" s="42">
        <v>12</v>
      </c>
      <c r="E327" s="43">
        <v>10379</v>
      </c>
      <c r="F327" s="43">
        <v>160.54</v>
      </c>
      <c r="G327" s="126">
        <f t="shared" si="68"/>
        <v>10539.54</v>
      </c>
      <c r="H327" s="127">
        <f t="shared" si="62"/>
        <v>124548</v>
      </c>
      <c r="I327" s="128">
        <f t="shared" si="63"/>
        <v>1926.48</v>
      </c>
      <c r="J327" s="128">
        <f t="shared" si="64"/>
        <v>126474.48000000001</v>
      </c>
      <c r="K327" s="44"/>
      <c r="L327" s="45"/>
      <c r="M327" s="45">
        <v>862.15270368566746</v>
      </c>
      <c r="N327" s="45">
        <f t="shared" si="65"/>
        <v>11401.692703685669</v>
      </c>
      <c r="O327" s="46">
        <f t="shared" si="66"/>
        <v>136820.31244422804</v>
      </c>
      <c r="P327" s="47">
        <f t="shared" si="67"/>
        <v>13500</v>
      </c>
      <c r="Q327" s="166">
        <v>0</v>
      </c>
      <c r="R327" s="47"/>
      <c r="S327" s="47"/>
      <c r="T327" s="42">
        <v>162000</v>
      </c>
      <c r="U327" s="143">
        <f t="shared" si="69"/>
        <v>0.84456982990264218</v>
      </c>
      <c r="V327" s="144"/>
      <c r="X327" s="112"/>
    </row>
    <row r="328" spans="1:24" x14ac:dyDescent="0.3">
      <c r="A328" s="132" t="s">
        <v>1013</v>
      </c>
      <c r="B328" s="41"/>
      <c r="C328" s="41"/>
      <c r="D328" s="51">
        <f>SUM(D317:D327)</f>
        <v>1491</v>
      </c>
      <c r="E328" s="43"/>
      <c r="F328" s="43"/>
      <c r="G328" s="126"/>
      <c r="H328" s="131">
        <f>SUM(H317:H327)</f>
        <v>148703996.29411763</v>
      </c>
      <c r="I328" s="131">
        <f>SUM(I317:I327)</f>
        <v>89597.219999999987</v>
      </c>
      <c r="J328" s="131">
        <f>SUM(J317:J327)</f>
        <v>148793593.51411763</v>
      </c>
      <c r="K328" s="44"/>
      <c r="L328" s="45"/>
      <c r="M328" s="45"/>
      <c r="N328" s="45"/>
      <c r="O328" s="55">
        <f>SUM(O317:O327)</f>
        <v>149274760.11101389</v>
      </c>
      <c r="P328" s="47"/>
      <c r="Q328" s="47"/>
      <c r="R328" s="47"/>
      <c r="S328" s="47"/>
      <c r="T328" s="51">
        <f>SUM(T317:T327)</f>
        <v>167971066.03999999</v>
      </c>
      <c r="U328" s="65">
        <f t="shared" si="69"/>
        <v>0.8886932948051075</v>
      </c>
      <c r="V328" s="148">
        <f>T328/T329</f>
        <v>4.4474886415304761E-2</v>
      </c>
      <c r="X328" s="112"/>
    </row>
    <row r="329" spans="1:24" x14ac:dyDescent="0.3">
      <c r="A329" s="132" t="s">
        <v>1014</v>
      </c>
      <c r="B329" s="41"/>
      <c r="C329" s="41"/>
      <c r="D329" s="51">
        <f>SUM(D328,D316,D264)</f>
        <v>1874533.6500000001</v>
      </c>
      <c r="E329" s="43"/>
      <c r="F329" s="43"/>
      <c r="G329" s="126"/>
      <c r="H329" s="131">
        <f>SUM(H328,H316,H264)</f>
        <v>1622396812.6270046</v>
      </c>
      <c r="I329" s="131">
        <f>SUM(I328,I316,I264)</f>
        <v>104300356.09000002</v>
      </c>
      <c r="J329" s="131">
        <f>SUM(J328,J316,J264)</f>
        <v>1726697168.7170048</v>
      </c>
      <c r="K329" s="44"/>
      <c r="L329" s="45"/>
      <c r="M329" s="45"/>
      <c r="N329" s="45"/>
      <c r="O329" s="131">
        <f>SUM(O328,O316,O264)</f>
        <v>2545523375.1570044</v>
      </c>
      <c r="P329" s="47"/>
      <c r="Q329" s="47"/>
      <c r="R329" s="47"/>
      <c r="S329" s="47"/>
      <c r="T329" s="131">
        <f>SUM(T328,T316,T264)</f>
        <v>3776762114.0499992</v>
      </c>
      <c r="U329" s="65">
        <f t="shared" si="69"/>
        <v>0.67399621641176655</v>
      </c>
      <c r="V329" s="144"/>
      <c r="X329" s="112"/>
    </row>
    <row r="330" spans="1:24" x14ac:dyDescent="0.3">
      <c r="A330" s="132" t="s">
        <v>1015</v>
      </c>
      <c r="B330" s="41"/>
      <c r="C330" s="41"/>
      <c r="D330" s="51"/>
      <c r="E330" s="43"/>
      <c r="F330" s="43"/>
      <c r="G330" s="126"/>
      <c r="H330" s="131"/>
      <c r="I330" s="131"/>
      <c r="J330" s="131"/>
      <c r="K330" s="44"/>
      <c r="L330" s="45"/>
      <c r="M330" s="45"/>
      <c r="N330" s="45"/>
      <c r="O330" s="131">
        <v>-22412766</v>
      </c>
      <c r="P330" s="47"/>
      <c r="Q330" s="47"/>
      <c r="R330" s="47"/>
      <c r="S330" s="47"/>
      <c r="T330" s="131">
        <v>-58895398.100000001</v>
      </c>
      <c r="U330" s="65"/>
      <c r="V330" s="144"/>
      <c r="X330" s="112"/>
    </row>
    <row r="331" spans="1:24" x14ac:dyDescent="0.3">
      <c r="A331" s="133" t="s">
        <v>1016</v>
      </c>
      <c r="B331" s="134"/>
      <c r="C331" s="134"/>
      <c r="D331" s="135">
        <f>D329+D330</f>
        <v>1874533.6500000001</v>
      </c>
      <c r="E331" s="136"/>
      <c r="F331" s="136"/>
      <c r="G331" s="137"/>
      <c r="H331" s="138">
        <f>H329+H330</f>
        <v>1622396812.6270046</v>
      </c>
      <c r="I331" s="138">
        <f>I329+I330</f>
        <v>104300356.09000002</v>
      </c>
      <c r="J331" s="138">
        <f>J329+J330</f>
        <v>1726697168.7170048</v>
      </c>
      <c r="K331" s="139"/>
      <c r="L331" s="140"/>
      <c r="M331" s="140"/>
      <c r="N331" s="140"/>
      <c r="O331" s="138">
        <f>O329+O330</f>
        <v>2523110609.1570044</v>
      </c>
      <c r="P331" s="141"/>
      <c r="Q331" s="141"/>
      <c r="R331" s="141"/>
      <c r="S331" s="141"/>
      <c r="T331" s="138">
        <f>T329+T330</f>
        <v>3717866715.9499993</v>
      </c>
      <c r="U331" s="142">
        <f t="shared" si="69"/>
        <v>0.67864471804021953</v>
      </c>
      <c r="V331" s="145"/>
      <c r="X331" s="112"/>
    </row>
    <row r="332" spans="1:24" x14ac:dyDescent="0.3">
      <c r="A332" s="59"/>
      <c r="B332" s="59"/>
      <c r="C332" s="59"/>
      <c r="D332" s="60"/>
      <c r="E332" s="60"/>
      <c r="F332" s="60"/>
      <c r="G332" s="63"/>
      <c r="H332" s="63"/>
      <c r="I332" s="63"/>
      <c r="J332" s="63"/>
      <c r="K332" s="64"/>
      <c r="L332" s="59"/>
      <c r="M332" s="59"/>
      <c r="N332" s="59"/>
      <c r="O332" s="60"/>
      <c r="P332" s="59"/>
      <c r="Q332" s="59"/>
      <c r="R332" s="59"/>
      <c r="S332" s="59"/>
      <c r="T332" s="124"/>
      <c r="U332" s="65"/>
      <c r="V332" s="66"/>
      <c r="X332" s="112"/>
    </row>
    <row r="333" spans="1:24" x14ac:dyDescent="0.3">
      <c r="A333" s="67"/>
      <c r="B333" s="62"/>
      <c r="C333" s="62"/>
      <c r="D333" s="68"/>
      <c r="E333" s="68"/>
      <c r="F333" s="68"/>
      <c r="G333" s="69"/>
      <c r="H333" s="69" t="s">
        <v>563</v>
      </c>
      <c r="I333" s="70"/>
      <c r="J333" s="70"/>
      <c r="K333" s="71">
        <f>H329</f>
        <v>1622396812.6270046</v>
      </c>
      <c r="L333" s="44">
        <f>K333/$T$329</f>
        <v>0.42957347157013087</v>
      </c>
      <c r="M333" s="45"/>
      <c r="N333" s="62"/>
      <c r="O333" s="62"/>
      <c r="P333" s="72"/>
      <c r="Q333" s="72"/>
      <c r="R333" s="72"/>
      <c r="S333" s="72"/>
      <c r="T333" s="73"/>
      <c r="U333" s="74"/>
      <c r="V333" s="75"/>
      <c r="X333" s="112"/>
    </row>
    <row r="334" spans="1:24" x14ac:dyDescent="0.3">
      <c r="A334" s="67"/>
      <c r="B334" s="62"/>
      <c r="C334" s="62"/>
      <c r="D334" s="68"/>
      <c r="E334" s="68"/>
      <c r="F334" s="68"/>
      <c r="G334" s="76"/>
      <c r="H334" s="76" t="s">
        <v>564</v>
      </c>
      <c r="I334" s="77"/>
      <c r="J334" s="77"/>
      <c r="K334" s="78">
        <v>664427639</v>
      </c>
      <c r="L334" s="44">
        <f>K334/$T$329</f>
        <v>0.17592520231238579</v>
      </c>
      <c r="M334" s="125">
        <f>K334/I329-1</f>
        <v>5.3703295358519219</v>
      </c>
      <c r="N334" s="62"/>
      <c r="O334" s="62"/>
      <c r="P334" s="72"/>
      <c r="Q334" s="72"/>
      <c r="R334" s="72"/>
      <c r="S334" s="72"/>
      <c r="T334" s="73"/>
      <c r="U334" s="74"/>
      <c r="V334" s="75"/>
      <c r="X334" s="112"/>
    </row>
  </sheetData>
  <autoFilter ref="A4:V334" xr:uid="{B7459B2F-3037-4CB2-A5A4-89B2C340197F}">
    <sortState xmlns:xlrd2="http://schemas.microsoft.com/office/spreadsheetml/2017/richdata2" ref="A5:V327">
      <sortCondition ref="A4:A327"/>
    </sortState>
  </autoFilter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C3DC-6DD1-46C5-8DB6-8C3385134A6A}">
  <dimension ref="A1:X390"/>
  <sheetViews>
    <sheetView showGridLines="0" zoomScale="80" zoomScaleNormal="80" workbookViewId="0">
      <pane xSplit="3" ySplit="4" topLeftCell="I369" activePane="bottomRight" state="frozen"/>
      <selection pane="topRight" activeCell="D1" sqref="D1"/>
      <selection pane="bottomLeft" activeCell="A5" sqref="A5"/>
      <selection pane="bottomRight" activeCell="K390" sqref="K390"/>
    </sheetView>
  </sheetViews>
  <sheetFormatPr baseColWidth="10" defaultColWidth="50.33203125" defaultRowHeight="14.4" outlineLevelRow="2" x14ac:dyDescent="0.3"/>
  <cols>
    <col min="1" max="1" width="50.44140625" bestFit="1" customWidth="1"/>
    <col min="2" max="2" width="22.88671875" bestFit="1" customWidth="1"/>
    <col min="3" max="3" width="58.5546875" hidden="1" customWidth="1"/>
    <col min="4" max="4" width="12.44140625" bestFit="1" customWidth="1"/>
    <col min="5" max="5" width="21.6640625" bestFit="1" customWidth="1"/>
    <col min="6" max="6" width="13" bestFit="1" customWidth="1"/>
    <col min="7" max="7" width="14.6640625" bestFit="1" customWidth="1"/>
    <col min="8" max="8" width="37.88671875" bestFit="1" customWidth="1"/>
    <col min="9" max="9" width="12.88671875" bestFit="1" customWidth="1"/>
    <col min="10" max="10" width="15.77734375" bestFit="1" customWidth="1"/>
    <col min="11" max="11" width="14" bestFit="1" customWidth="1"/>
    <col min="12" max="13" width="10.6640625" bestFit="1" customWidth="1"/>
    <col min="14" max="14" width="14.6640625" bestFit="1" customWidth="1"/>
    <col min="15" max="15" width="14" bestFit="1" customWidth="1"/>
    <col min="16" max="16" width="11.44140625" bestFit="1" customWidth="1"/>
    <col min="17" max="17" width="18" bestFit="1" customWidth="1"/>
    <col min="18" max="18" width="11.6640625" bestFit="1" customWidth="1"/>
    <col min="19" max="19" width="12.109375" bestFit="1" customWidth="1"/>
    <col min="20" max="20" width="10.109375" style="157" bestFit="1" customWidth="1"/>
    <col min="21" max="21" width="6.88671875" bestFit="1" customWidth="1"/>
    <col min="22" max="22" width="0" hidden="1" customWidth="1"/>
    <col min="23" max="23" width="9.88671875" bestFit="1" customWidth="1"/>
    <col min="24" max="24" width="7.88671875" bestFit="1" customWidth="1"/>
  </cols>
  <sheetData>
    <row r="1" spans="1:24" x14ac:dyDescent="0.3">
      <c r="A1" s="1"/>
      <c r="B1" s="1"/>
      <c r="C1" s="1"/>
      <c r="D1" s="2"/>
      <c r="E1" s="3"/>
      <c r="F1" s="3"/>
      <c r="G1" s="3"/>
      <c r="H1" s="3"/>
      <c r="I1" s="4"/>
      <c r="J1" s="4"/>
      <c r="K1" s="5"/>
      <c r="L1" s="6"/>
      <c r="M1" s="5"/>
      <c r="N1" s="7"/>
      <c r="O1" s="7"/>
      <c r="P1" s="8"/>
      <c r="Q1" s="9"/>
      <c r="R1" s="10"/>
      <c r="S1" s="11"/>
    </row>
    <row r="2" spans="1:24" ht="15" thickBot="1" x14ac:dyDescent="0.35">
      <c r="A2" s="12" t="s">
        <v>1000</v>
      </c>
      <c r="B2" s="1"/>
      <c r="C2" s="13"/>
      <c r="D2" s="14"/>
      <c r="E2" s="15"/>
      <c r="F2" s="15"/>
      <c r="G2" s="15"/>
      <c r="H2" s="15"/>
      <c r="I2" s="16"/>
      <c r="J2" s="16"/>
      <c r="K2" s="13"/>
      <c r="L2" s="13"/>
      <c r="M2" s="13"/>
      <c r="N2" s="13"/>
      <c r="O2" s="13"/>
      <c r="P2" s="17"/>
      <c r="Q2" s="14"/>
      <c r="R2" s="13"/>
      <c r="S2" s="18"/>
    </row>
    <row r="3" spans="1:24" x14ac:dyDescent="0.3">
      <c r="A3" s="13"/>
      <c r="B3" s="13"/>
      <c r="C3" s="13"/>
      <c r="D3" s="14"/>
      <c r="E3" s="19" t="s">
        <v>0</v>
      </c>
      <c r="F3" s="20"/>
      <c r="G3" s="21"/>
      <c r="H3" s="19" t="s">
        <v>1</v>
      </c>
      <c r="I3" s="22"/>
      <c r="J3" s="23"/>
      <c r="K3" s="24"/>
      <c r="L3" s="24"/>
      <c r="M3" s="24"/>
      <c r="N3" s="25"/>
      <c r="O3" s="26"/>
      <c r="P3" s="27"/>
      <c r="Q3" s="28"/>
      <c r="R3" s="29"/>
      <c r="S3" s="30"/>
    </row>
    <row r="4" spans="1:24" ht="15" thickBot="1" x14ac:dyDescent="0.35">
      <c r="A4" s="31" t="s">
        <v>2</v>
      </c>
      <c r="B4" s="32" t="s">
        <v>3</v>
      </c>
      <c r="C4" s="31" t="s">
        <v>4</v>
      </c>
      <c r="D4" s="33" t="s">
        <v>5</v>
      </c>
      <c r="E4" s="34" t="s">
        <v>6</v>
      </c>
      <c r="F4" s="34" t="s">
        <v>7</v>
      </c>
      <c r="G4" s="34" t="s">
        <v>1010</v>
      </c>
      <c r="H4" s="34" t="s">
        <v>8</v>
      </c>
      <c r="I4" s="35" t="s">
        <v>9</v>
      </c>
      <c r="J4" s="35" t="s">
        <v>10</v>
      </c>
      <c r="K4" s="36" t="s">
        <v>11</v>
      </c>
      <c r="L4" s="36" t="s">
        <v>12</v>
      </c>
      <c r="M4" s="36" t="s">
        <v>13</v>
      </c>
      <c r="N4" s="36" t="s">
        <v>14</v>
      </c>
      <c r="O4" s="36" t="s">
        <v>15</v>
      </c>
      <c r="P4" s="37" t="s">
        <v>16</v>
      </c>
      <c r="Q4" s="33" t="s">
        <v>17</v>
      </c>
      <c r="R4" s="38" t="s">
        <v>18</v>
      </c>
      <c r="S4" s="39" t="s">
        <v>19</v>
      </c>
      <c r="T4" s="158" t="s">
        <v>1143</v>
      </c>
      <c r="U4" s="93" t="s">
        <v>1144</v>
      </c>
      <c r="W4" s="158" t="s">
        <v>1169</v>
      </c>
      <c r="X4" s="93" t="s">
        <v>1144</v>
      </c>
    </row>
    <row r="5" spans="1:24" outlineLevel="2" x14ac:dyDescent="0.3">
      <c r="A5" s="40" t="str">
        <f>VLOOKUP(B5,Grupos!$A$2:$B$619,2,FALSE)</f>
        <v>ACCESORIOS</v>
      </c>
      <c r="B5" s="41">
        <v>997</v>
      </c>
      <c r="C5" s="41" t="s">
        <v>1047</v>
      </c>
      <c r="D5" s="42">
        <v>-2</v>
      </c>
      <c r="E5" s="43">
        <v>0</v>
      </c>
      <c r="F5" s="43">
        <v>0</v>
      </c>
      <c r="G5" s="126">
        <f t="shared" ref="G5:G42" si="0">E5+F5</f>
        <v>0</v>
      </c>
      <c r="H5" s="127">
        <f t="shared" ref="H5:H42" si="1">E5*D5</f>
        <v>0</v>
      </c>
      <c r="I5" s="128">
        <f t="shared" ref="I5:I42" si="2">F5*D5</f>
        <v>0</v>
      </c>
      <c r="J5" s="128">
        <f t="shared" ref="J5:J42" si="3">G5*D5</f>
        <v>0</v>
      </c>
      <c r="K5" s="44">
        <f t="shared" ref="K5:K42" si="4">J5/$J$308</f>
        <v>0</v>
      </c>
      <c r="L5" s="45">
        <f t="shared" ref="L5:L42" si="5">$K$383*K5/D5</f>
        <v>0</v>
      </c>
      <c r="M5" s="45">
        <f t="shared" ref="M5:M42" si="6">F5*$M$382</f>
        <v>0</v>
      </c>
      <c r="N5" s="45">
        <f t="shared" ref="N5:N42" si="7">G5+L5+M5</f>
        <v>0</v>
      </c>
      <c r="O5" s="46">
        <f t="shared" ref="O5:O42" si="8">N5*D5</f>
        <v>0</v>
      </c>
      <c r="P5" s="47">
        <f t="shared" ref="P5:P42" si="9">Q5/D5</f>
        <v>737800</v>
      </c>
      <c r="Q5" s="42">
        <f>-1404327-71273</f>
        <v>-1475600</v>
      </c>
      <c r="R5" s="48">
        <f t="shared" ref="R5:R68" si="10">O5/Q5</f>
        <v>0</v>
      </c>
      <c r="S5" s="49"/>
      <c r="T5" s="157">
        <f>IFERROR(VLOOKUP(B5,[1]Todos!$A$2:$C$3021,3,FALSE),0)</f>
        <v>0</v>
      </c>
      <c r="U5" s="112">
        <f>T5-F5</f>
        <v>0</v>
      </c>
      <c r="W5" s="157">
        <f>IFERROR(VLOOKUP(B5,[1]Todos!$A$2:$B$3021,2,FALSE),0)</f>
        <v>0</v>
      </c>
      <c r="X5" s="112">
        <f>W5-E5</f>
        <v>0</v>
      </c>
    </row>
    <row r="6" spans="1:24" outlineLevel="2" x14ac:dyDescent="0.3">
      <c r="A6" s="40" t="str">
        <f>VLOOKUP(B6,Grupos!$A$2:$B$619,2,FALSE)</f>
        <v>ACCESORIOS</v>
      </c>
      <c r="B6" s="41" t="s">
        <v>755</v>
      </c>
      <c r="C6" s="41" t="s">
        <v>756</v>
      </c>
      <c r="D6" s="42">
        <v>1</v>
      </c>
      <c r="E6" s="43">
        <v>1216.9000000000001</v>
      </c>
      <c r="F6" s="43">
        <v>73.14</v>
      </c>
      <c r="G6" s="126">
        <f t="shared" si="0"/>
        <v>1290.0400000000002</v>
      </c>
      <c r="H6" s="127">
        <f t="shared" si="1"/>
        <v>1216.9000000000001</v>
      </c>
      <c r="I6" s="128">
        <f t="shared" si="2"/>
        <v>73.14</v>
      </c>
      <c r="J6" s="128">
        <f t="shared" si="3"/>
        <v>1290.0400000000002</v>
      </c>
      <c r="K6" s="44">
        <f t="shared" si="4"/>
        <v>7.6982245909637273E-7</v>
      </c>
      <c r="L6" s="45">
        <f t="shared" si="5"/>
        <v>321.15813087387437</v>
      </c>
      <c r="M6" s="45">
        <f t="shared" si="6"/>
        <v>430.37216089930774</v>
      </c>
      <c r="N6" s="45">
        <f t="shared" si="7"/>
        <v>2041.5702917731824</v>
      </c>
      <c r="O6" s="46">
        <f t="shared" si="8"/>
        <v>2041.5702917731824</v>
      </c>
      <c r="P6" s="47">
        <f t="shared" si="9"/>
        <v>6762</v>
      </c>
      <c r="Q6" s="42">
        <v>6762</v>
      </c>
      <c r="R6" s="48">
        <f t="shared" si="10"/>
        <v>0.30191811472540409</v>
      </c>
      <c r="S6" s="49"/>
      <c r="T6" s="157">
        <f>IFERROR(VLOOKUP(B6,[1]Todos!$A$2:$C$3021,3,FALSE),0)</f>
        <v>0</v>
      </c>
      <c r="U6" s="112">
        <f t="shared" ref="U6:U69" si="11">T6-F6</f>
        <v>-73.14</v>
      </c>
      <c r="W6" s="157">
        <f>IFERROR(VLOOKUP(B6,[1]Todos!$A$2:$B$3021,2,FALSE),0)</f>
        <v>0</v>
      </c>
      <c r="X6" s="112">
        <f t="shared" ref="X6:X69" si="12">W6-E6</f>
        <v>-1216.9000000000001</v>
      </c>
    </row>
    <row r="7" spans="1:24" outlineLevel="2" x14ac:dyDescent="0.3">
      <c r="A7" s="40" t="str">
        <f>VLOOKUP(B7,Grupos!$A$2:$B$619,2,FALSE)</f>
        <v>ACCESORIOS</v>
      </c>
      <c r="B7" s="41" t="s">
        <v>603</v>
      </c>
      <c r="C7" s="41" t="s">
        <v>1051</v>
      </c>
      <c r="D7" s="42">
        <v>1</v>
      </c>
      <c r="E7" s="43">
        <v>2120.5</v>
      </c>
      <c r="F7" s="43">
        <v>123.35</v>
      </c>
      <c r="G7" s="126">
        <f t="shared" si="0"/>
        <v>2243.85</v>
      </c>
      <c r="H7" s="127">
        <f t="shared" si="1"/>
        <v>2120.5</v>
      </c>
      <c r="I7" s="128">
        <f t="shared" si="2"/>
        <v>123.35</v>
      </c>
      <c r="J7" s="128">
        <f t="shared" si="3"/>
        <v>2243.85</v>
      </c>
      <c r="K7" s="44">
        <f t="shared" si="4"/>
        <v>1.3390019881890451E-6</v>
      </c>
      <c r="L7" s="45">
        <f t="shared" si="5"/>
        <v>558.6111066023866</v>
      </c>
      <c r="M7" s="45">
        <f t="shared" si="6"/>
        <v>725.81905997989611</v>
      </c>
      <c r="N7" s="45">
        <f t="shared" si="7"/>
        <v>3528.2801665822826</v>
      </c>
      <c r="O7" s="46">
        <f t="shared" si="8"/>
        <v>3528.2801665822826</v>
      </c>
      <c r="P7" s="47">
        <f t="shared" si="9"/>
        <v>11970</v>
      </c>
      <c r="Q7" s="42">
        <v>11970</v>
      </c>
      <c r="R7" s="48">
        <f t="shared" si="10"/>
        <v>0.29476024783477717</v>
      </c>
      <c r="S7" s="49"/>
      <c r="T7" s="157">
        <f>IFERROR(VLOOKUP(B7,[1]Todos!$A$2:$C$3021,3,FALSE),0)</f>
        <v>0</v>
      </c>
      <c r="U7" s="112">
        <f t="shared" si="11"/>
        <v>-123.35</v>
      </c>
      <c r="W7" s="157">
        <f>IFERROR(VLOOKUP(B7,[1]Todos!$A$2:$B$3021,2,FALSE),0)</f>
        <v>0</v>
      </c>
      <c r="X7" s="112">
        <f t="shared" si="12"/>
        <v>-2120.5</v>
      </c>
    </row>
    <row r="8" spans="1:24" outlineLevel="2" x14ac:dyDescent="0.3">
      <c r="A8" s="40" t="str">
        <f>VLOOKUP(B8,Grupos!$A$2:$B$619,2,FALSE)</f>
        <v>ACCESORIOS</v>
      </c>
      <c r="B8" s="41" t="s">
        <v>659</v>
      </c>
      <c r="C8" s="41" t="s">
        <v>660</v>
      </c>
      <c r="D8" s="42">
        <v>1</v>
      </c>
      <c r="E8" s="43">
        <v>2376.63</v>
      </c>
      <c r="F8" s="43">
        <v>87.07</v>
      </c>
      <c r="G8" s="126">
        <f t="shared" si="0"/>
        <v>2463.7000000000003</v>
      </c>
      <c r="H8" s="127">
        <f t="shared" si="1"/>
        <v>2376.63</v>
      </c>
      <c r="I8" s="128">
        <f t="shared" si="2"/>
        <v>87.07</v>
      </c>
      <c r="J8" s="128">
        <f t="shared" si="3"/>
        <v>2463.7000000000003</v>
      </c>
      <c r="K8" s="44">
        <f t="shared" si="4"/>
        <v>1.4701959570832946E-6</v>
      </c>
      <c r="L8" s="45">
        <f t="shared" si="5"/>
        <v>613.34321961641831</v>
      </c>
      <c r="M8" s="45">
        <f t="shared" si="6"/>
        <v>512.33940455978563</v>
      </c>
      <c r="N8" s="45">
        <f t="shared" si="7"/>
        <v>3589.382624176204</v>
      </c>
      <c r="O8" s="46">
        <f t="shared" si="8"/>
        <v>3589.382624176204</v>
      </c>
      <c r="P8" s="47">
        <f t="shared" si="9"/>
        <v>26700</v>
      </c>
      <c r="Q8" s="42">
        <v>26700</v>
      </c>
      <c r="R8" s="48">
        <f t="shared" si="10"/>
        <v>0.1344338061489215</v>
      </c>
      <c r="S8" s="49"/>
      <c r="T8" s="157">
        <f>IFERROR(VLOOKUP(B8,[1]Todos!$A$2:$C$3021,3,FALSE),0)</f>
        <v>0</v>
      </c>
      <c r="U8" s="112">
        <f t="shared" si="11"/>
        <v>-87.07</v>
      </c>
      <c r="W8" s="157">
        <f>IFERROR(VLOOKUP(B8,[1]Todos!$A$2:$B$3021,2,FALSE),0)</f>
        <v>0</v>
      </c>
      <c r="X8" s="112">
        <f t="shared" si="12"/>
        <v>-2376.63</v>
      </c>
    </row>
    <row r="9" spans="1:24" outlineLevel="2" x14ac:dyDescent="0.3">
      <c r="A9" s="40" t="str">
        <f>VLOOKUP(B9,Grupos!$A$2:$B$619,2,FALSE)</f>
        <v>ACCESORIOS</v>
      </c>
      <c r="B9" s="41" t="s">
        <v>604</v>
      </c>
      <c r="C9" s="41" t="s">
        <v>1052</v>
      </c>
      <c r="D9" s="42">
        <v>1</v>
      </c>
      <c r="E9" s="43">
        <v>3286.26</v>
      </c>
      <c r="F9" s="43">
        <v>157.35</v>
      </c>
      <c r="G9" s="126">
        <f t="shared" si="0"/>
        <v>3443.61</v>
      </c>
      <c r="H9" s="127">
        <f t="shared" si="1"/>
        <v>3286.26</v>
      </c>
      <c r="I9" s="128">
        <f t="shared" si="2"/>
        <v>157.35</v>
      </c>
      <c r="J9" s="128">
        <f t="shared" si="3"/>
        <v>3443.61</v>
      </c>
      <c r="K9" s="44">
        <f t="shared" si="4"/>
        <v>2.0549504808911817E-6</v>
      </c>
      <c r="L9" s="45">
        <f t="shared" si="5"/>
        <v>857.29384442232993</v>
      </c>
      <c r="M9" s="45">
        <f t="shared" si="6"/>
        <v>925.88268413325227</v>
      </c>
      <c r="N9" s="45">
        <f t="shared" si="7"/>
        <v>5226.7865285555818</v>
      </c>
      <c r="O9" s="46">
        <f t="shared" si="8"/>
        <v>5226.7865285555818</v>
      </c>
      <c r="P9" s="47">
        <f t="shared" si="9"/>
        <v>38587.5</v>
      </c>
      <c r="Q9" s="42">
        <v>38587.5</v>
      </c>
      <c r="R9" s="48">
        <f t="shared" si="10"/>
        <v>0.13545284168592372</v>
      </c>
      <c r="S9" s="49"/>
      <c r="T9" s="157">
        <f>IFERROR(VLOOKUP(B9,[1]Todos!$A$2:$C$3021,3,FALSE),0)</f>
        <v>0</v>
      </c>
      <c r="U9" s="112">
        <f t="shared" si="11"/>
        <v>-157.35</v>
      </c>
      <c r="W9" s="157">
        <f>IFERROR(VLOOKUP(B9,[1]Todos!$A$2:$B$3021,2,FALSE),0)</f>
        <v>0</v>
      </c>
      <c r="X9" s="112">
        <f t="shared" si="12"/>
        <v>-3286.26</v>
      </c>
    </row>
    <row r="10" spans="1:24" outlineLevel="2" x14ac:dyDescent="0.3">
      <c r="A10" s="40" t="str">
        <f>VLOOKUP(B10,Grupos!$A$2:$B$619,2,FALSE)</f>
        <v>ACCESORIOS</v>
      </c>
      <c r="B10" s="41" t="s">
        <v>662</v>
      </c>
      <c r="C10" s="41" t="s">
        <v>1053</v>
      </c>
      <c r="D10" s="42">
        <v>1</v>
      </c>
      <c r="E10" s="43">
        <v>2141.58</v>
      </c>
      <c r="F10" s="43">
        <v>66.959999999999994</v>
      </c>
      <c r="G10" s="126">
        <f t="shared" si="0"/>
        <v>2208.54</v>
      </c>
      <c r="H10" s="127">
        <f t="shared" si="1"/>
        <v>2141.58</v>
      </c>
      <c r="I10" s="128">
        <f t="shared" si="2"/>
        <v>66.959999999999994</v>
      </c>
      <c r="J10" s="128">
        <f t="shared" si="3"/>
        <v>2208.54</v>
      </c>
      <c r="K10" s="44">
        <f t="shared" si="4"/>
        <v>1.3179309895915653E-6</v>
      </c>
      <c r="L10" s="45">
        <f t="shared" si="5"/>
        <v>549.82060894250287</v>
      </c>
      <c r="M10" s="45">
        <f t="shared" si="6"/>
        <v>394.00765509731531</v>
      </c>
      <c r="N10" s="45">
        <f t="shared" si="7"/>
        <v>3152.3682640398183</v>
      </c>
      <c r="O10" s="46">
        <f t="shared" si="8"/>
        <v>3152.3682640398183</v>
      </c>
      <c r="P10" s="47">
        <f t="shared" si="9"/>
        <v>33112.5</v>
      </c>
      <c r="Q10" s="42">
        <v>33112.5</v>
      </c>
      <c r="R10" s="48">
        <f t="shared" si="10"/>
        <v>9.5201759578401463E-2</v>
      </c>
      <c r="S10" s="49"/>
      <c r="T10" s="157">
        <f>IFERROR(VLOOKUP(B10,[1]Todos!$A$2:$C$3021,3,FALSE),0)</f>
        <v>67</v>
      </c>
      <c r="U10" s="112">
        <f t="shared" si="11"/>
        <v>4.0000000000006253E-2</v>
      </c>
      <c r="W10" s="157">
        <f>IFERROR(VLOOKUP(B10,[1]Todos!$A$2:$B$3021,2,FALSE),0)</f>
        <v>1927.16</v>
      </c>
      <c r="X10" s="112">
        <f t="shared" si="12"/>
        <v>-214.41999999999985</v>
      </c>
    </row>
    <row r="11" spans="1:24" outlineLevel="2" x14ac:dyDescent="0.3">
      <c r="A11" s="40" t="str">
        <f>VLOOKUP(B11,Grupos!$A$2:$B$619,2,FALSE)</f>
        <v>ACCESORIOS</v>
      </c>
      <c r="B11" s="41" t="s">
        <v>663</v>
      </c>
      <c r="C11" s="41" t="s">
        <v>664</v>
      </c>
      <c r="D11" s="42">
        <v>20</v>
      </c>
      <c r="E11" s="43">
        <v>3200</v>
      </c>
      <c r="F11" s="43">
        <v>0</v>
      </c>
      <c r="G11" s="126">
        <f t="shared" si="0"/>
        <v>3200</v>
      </c>
      <c r="H11" s="127">
        <f t="shared" si="1"/>
        <v>64000</v>
      </c>
      <c r="I11" s="128">
        <f t="shared" si="2"/>
        <v>0</v>
      </c>
      <c r="J11" s="128">
        <f t="shared" si="3"/>
        <v>64000</v>
      </c>
      <c r="K11" s="44">
        <f t="shared" si="4"/>
        <v>3.8191557922365081E-5</v>
      </c>
      <c r="L11" s="45">
        <f t="shared" si="5"/>
        <v>796.6466301792176</v>
      </c>
      <c r="M11" s="45">
        <f t="shared" si="6"/>
        <v>0</v>
      </c>
      <c r="N11" s="45">
        <f t="shared" si="7"/>
        <v>3996.6466301792175</v>
      </c>
      <c r="O11" s="46">
        <f t="shared" si="8"/>
        <v>79932.932603584355</v>
      </c>
      <c r="P11" s="47">
        <f t="shared" si="9"/>
        <v>7217.55</v>
      </c>
      <c r="Q11" s="42">
        <v>144351</v>
      </c>
      <c r="R11" s="48">
        <f t="shared" si="10"/>
        <v>0.55374006833055789</v>
      </c>
      <c r="S11" s="49"/>
      <c r="T11" s="157">
        <f>IFERROR(VLOOKUP(B11,[1]Todos!$A$2:$C$3021,3,FALSE),0)</f>
        <v>0</v>
      </c>
      <c r="U11" s="112">
        <f t="shared" si="11"/>
        <v>0</v>
      </c>
      <c r="W11" s="157">
        <f>IFERROR(VLOOKUP(B11,[1]Todos!$A$2:$B$3021,2,FALSE),0)</f>
        <v>3200</v>
      </c>
      <c r="X11" s="112">
        <f t="shared" si="12"/>
        <v>0</v>
      </c>
    </row>
    <row r="12" spans="1:24" outlineLevel="2" x14ac:dyDescent="0.3">
      <c r="A12" s="40" t="str">
        <f>VLOOKUP(B12,Grupos!$A$2:$B$619,2,FALSE)</f>
        <v>ACCESORIOS</v>
      </c>
      <c r="B12" s="41" t="s">
        <v>21</v>
      </c>
      <c r="C12" s="41" t="s">
        <v>1058</v>
      </c>
      <c r="D12" s="42">
        <v>20</v>
      </c>
      <c r="E12" s="43">
        <v>68.22</v>
      </c>
      <c r="F12" s="43">
        <v>12.44</v>
      </c>
      <c r="G12" s="126">
        <f t="shared" si="0"/>
        <v>80.66</v>
      </c>
      <c r="H12" s="127">
        <f t="shared" si="1"/>
        <v>1364.4</v>
      </c>
      <c r="I12" s="128">
        <f t="shared" si="2"/>
        <v>248.79999999999998</v>
      </c>
      <c r="J12" s="128">
        <f t="shared" si="3"/>
        <v>1613.1999999999998</v>
      </c>
      <c r="K12" s="44">
        <f t="shared" si="4"/>
        <v>9.626659568806147E-7</v>
      </c>
      <c r="L12" s="45">
        <f t="shared" si="5"/>
        <v>20.0804741219549</v>
      </c>
      <c r="M12" s="45">
        <f t="shared" si="6"/>
        <v>73.199749543169091</v>
      </c>
      <c r="N12" s="45">
        <f t="shared" si="7"/>
        <v>173.94022366512399</v>
      </c>
      <c r="O12" s="46">
        <f t="shared" si="8"/>
        <v>3478.8044733024799</v>
      </c>
      <c r="P12" s="47">
        <f t="shared" si="9"/>
        <v>1540</v>
      </c>
      <c r="Q12" s="42">
        <v>30800</v>
      </c>
      <c r="R12" s="48">
        <f t="shared" si="10"/>
        <v>0.11294819718514545</v>
      </c>
      <c r="S12" s="49"/>
      <c r="T12" s="157">
        <f>IFERROR(VLOOKUP(B12,[1]Todos!$A$2:$C$3021,3,FALSE),0)</f>
        <v>12.51</v>
      </c>
      <c r="U12" s="112">
        <f t="shared" si="11"/>
        <v>7.0000000000000284E-2</v>
      </c>
      <c r="W12" s="157">
        <f>IFERROR(VLOOKUP(B12,[1]Todos!$A$2:$B$3021,2,FALSE),0)</f>
        <v>68.150000000000006</v>
      </c>
      <c r="X12" s="112">
        <f t="shared" si="12"/>
        <v>-6.9999999999993179E-2</v>
      </c>
    </row>
    <row r="13" spans="1:24" outlineLevel="2" x14ac:dyDescent="0.3">
      <c r="A13" s="40" t="str">
        <f>VLOOKUP(B13,Grupos!$A$2:$B$619,2,FALSE)</f>
        <v>ACCESORIOS</v>
      </c>
      <c r="B13" s="41" t="s">
        <v>606</v>
      </c>
      <c r="C13" s="41" t="s">
        <v>607</v>
      </c>
      <c r="D13" s="42">
        <v>2</v>
      </c>
      <c r="E13" s="43">
        <v>0</v>
      </c>
      <c r="F13" s="43">
        <v>0</v>
      </c>
      <c r="G13" s="126">
        <f t="shared" si="0"/>
        <v>0</v>
      </c>
      <c r="H13" s="127">
        <f t="shared" si="1"/>
        <v>0</v>
      </c>
      <c r="I13" s="128">
        <f t="shared" si="2"/>
        <v>0</v>
      </c>
      <c r="J13" s="128">
        <f t="shared" si="3"/>
        <v>0</v>
      </c>
      <c r="K13" s="44">
        <f t="shared" si="4"/>
        <v>0</v>
      </c>
      <c r="L13" s="45">
        <f t="shared" si="5"/>
        <v>0</v>
      </c>
      <c r="M13" s="45">
        <f t="shared" si="6"/>
        <v>0</v>
      </c>
      <c r="N13" s="45">
        <f t="shared" si="7"/>
        <v>0</v>
      </c>
      <c r="O13" s="46">
        <f t="shared" si="8"/>
        <v>0</v>
      </c>
      <c r="P13" s="47">
        <f t="shared" si="9"/>
        <v>351000</v>
      </c>
      <c r="Q13" s="42">
        <v>702000</v>
      </c>
      <c r="R13" s="48">
        <f t="shared" si="10"/>
        <v>0</v>
      </c>
      <c r="S13" s="49"/>
      <c r="T13" s="157">
        <f>IFERROR(VLOOKUP(B13,[1]Todos!$A$2:$C$3021,3,FALSE),0)</f>
        <v>0</v>
      </c>
      <c r="U13" s="112">
        <f t="shared" si="11"/>
        <v>0</v>
      </c>
      <c r="W13" s="157">
        <f>IFERROR(VLOOKUP(B13,[1]Todos!$A$2:$B$3021,2,FALSE),0)</f>
        <v>0</v>
      </c>
      <c r="X13" s="112">
        <f t="shared" si="12"/>
        <v>0</v>
      </c>
    </row>
    <row r="14" spans="1:24" outlineLevel="2" x14ac:dyDescent="0.3">
      <c r="A14" s="40" t="str">
        <f>VLOOKUP(B14,Grupos!$A$2:$B$619,2,FALSE)</f>
        <v>ACCESORIOS</v>
      </c>
      <c r="B14" s="41" t="s">
        <v>23</v>
      </c>
      <c r="C14" s="41" t="s">
        <v>24</v>
      </c>
      <c r="D14" s="42">
        <v>13800</v>
      </c>
      <c r="E14" s="43">
        <v>59.89</v>
      </c>
      <c r="F14" s="43">
        <v>35.07</v>
      </c>
      <c r="G14" s="126">
        <f t="shared" si="0"/>
        <v>94.960000000000008</v>
      </c>
      <c r="H14" s="127">
        <f t="shared" si="1"/>
        <v>826482</v>
      </c>
      <c r="I14" s="128">
        <f t="shared" si="2"/>
        <v>483966</v>
      </c>
      <c r="J14" s="128">
        <f t="shared" si="3"/>
        <v>1310448</v>
      </c>
      <c r="K14" s="44">
        <f t="shared" si="4"/>
        <v>7.8200079212886677E-4</v>
      </c>
      <c r="L14" s="45">
        <f t="shared" si="5"/>
        <v>23.640488750568281</v>
      </c>
      <c r="M14" s="45">
        <f t="shared" si="6"/>
        <v>206.35974408994699</v>
      </c>
      <c r="N14" s="45">
        <f t="shared" si="7"/>
        <v>324.96023284051529</v>
      </c>
      <c r="O14" s="46">
        <f t="shared" si="8"/>
        <v>4484451.2131991107</v>
      </c>
      <c r="P14" s="47">
        <f t="shared" si="9"/>
        <v>120.39130072463767</v>
      </c>
      <c r="Q14" s="42">
        <v>1661399.95</v>
      </c>
      <c r="R14" s="152">
        <f t="shared" si="10"/>
        <v>2.6992002817859184</v>
      </c>
      <c r="S14" s="49"/>
      <c r="T14" s="157">
        <f>IFERROR(VLOOKUP(B14,[1]Todos!$A$2:$C$3021,3,FALSE),0)</f>
        <v>29.35</v>
      </c>
      <c r="U14" s="112">
        <f t="shared" si="11"/>
        <v>-5.7199999999999989</v>
      </c>
      <c r="W14" s="157">
        <f>IFERROR(VLOOKUP(B14,[1]Todos!$A$2:$B$3021,2,FALSE),0)</f>
        <v>55.77</v>
      </c>
      <c r="X14" s="112">
        <f t="shared" si="12"/>
        <v>-4.1199999999999974</v>
      </c>
    </row>
    <row r="15" spans="1:24" outlineLevel="2" x14ac:dyDescent="0.3">
      <c r="A15" s="40" t="str">
        <f>VLOOKUP(B15,Grupos!$A$2:$B$619,2,FALSE)</f>
        <v>ACCESORIOS</v>
      </c>
      <c r="B15" s="41" t="s">
        <v>25</v>
      </c>
      <c r="C15" s="41" t="s">
        <v>26</v>
      </c>
      <c r="D15" s="42">
        <v>-2400</v>
      </c>
      <c r="E15" s="43">
        <v>43.39</v>
      </c>
      <c r="F15" s="43">
        <v>43.22</v>
      </c>
      <c r="G15" s="126">
        <f t="shared" si="0"/>
        <v>86.61</v>
      </c>
      <c r="H15" s="127">
        <f t="shared" si="1"/>
        <v>-104136</v>
      </c>
      <c r="I15" s="128">
        <f t="shared" si="2"/>
        <v>-103728</v>
      </c>
      <c r="J15" s="128">
        <f t="shared" si="3"/>
        <v>-207864</v>
      </c>
      <c r="K15" s="44">
        <f t="shared" si="4"/>
        <v>-1.2404140618710148E-4</v>
      </c>
      <c r="L15" s="45">
        <f t="shared" si="5"/>
        <v>21.561738949944385</v>
      </c>
      <c r="M15" s="45">
        <f t="shared" si="6"/>
        <v>254.31617164435437</v>
      </c>
      <c r="N15" s="45">
        <f t="shared" si="7"/>
        <v>362.48791059429874</v>
      </c>
      <c r="O15" s="46">
        <f t="shared" si="8"/>
        <v>-869970.98542631697</v>
      </c>
      <c r="P15" s="47">
        <f t="shared" si="9"/>
        <v>102.50000833333333</v>
      </c>
      <c r="Q15" s="42">
        <v>-246000.02</v>
      </c>
      <c r="R15" s="152">
        <f t="shared" si="10"/>
        <v>3.5364671329145301</v>
      </c>
      <c r="S15" s="49"/>
      <c r="T15" s="157">
        <f>IFERROR(VLOOKUP(B15,[1]Todos!$A$2:$C$3021,3,FALSE),0)</f>
        <v>44.51</v>
      </c>
      <c r="U15" s="112">
        <f t="shared" si="11"/>
        <v>1.2899999999999991</v>
      </c>
      <c r="W15" s="157">
        <f>IFERROR(VLOOKUP(B15,[1]Todos!$A$2:$B$3021,2,FALSE),0)</f>
        <v>40.380000000000003</v>
      </c>
      <c r="X15" s="112">
        <f t="shared" si="12"/>
        <v>-3.009999999999998</v>
      </c>
    </row>
    <row r="16" spans="1:24" outlineLevel="2" x14ac:dyDescent="0.3">
      <c r="A16" s="40" t="str">
        <f>VLOOKUP(B16,Grupos!$A$2:$B$619,2,FALSE)</f>
        <v>ACCESORIOS</v>
      </c>
      <c r="B16" s="41" t="s">
        <v>609</v>
      </c>
      <c r="C16" s="41" t="s">
        <v>610</v>
      </c>
      <c r="D16" s="42">
        <v>28</v>
      </c>
      <c r="E16" s="43">
        <v>2166.94</v>
      </c>
      <c r="F16" s="43">
        <v>0</v>
      </c>
      <c r="G16" s="126">
        <f t="shared" si="0"/>
        <v>2166.94</v>
      </c>
      <c r="H16" s="127">
        <f t="shared" si="1"/>
        <v>60674.32</v>
      </c>
      <c r="I16" s="128">
        <f t="shared" si="2"/>
        <v>0</v>
      </c>
      <c r="J16" s="128">
        <f t="shared" si="3"/>
        <v>60674.32</v>
      </c>
      <c r="K16" s="44">
        <f t="shared" si="4"/>
        <v>3.6206981354376781E-5</v>
      </c>
      <c r="L16" s="45">
        <f t="shared" si="5"/>
        <v>539.46420275017294</v>
      </c>
      <c r="M16" s="45">
        <f t="shared" si="6"/>
        <v>0</v>
      </c>
      <c r="N16" s="45">
        <f t="shared" si="7"/>
        <v>2706.4042027501728</v>
      </c>
      <c r="O16" s="46">
        <f t="shared" si="8"/>
        <v>75779.317677004845</v>
      </c>
      <c r="P16" s="47">
        <f t="shared" si="9"/>
        <v>12970.285714285714</v>
      </c>
      <c r="Q16" s="42">
        <v>363168</v>
      </c>
      <c r="R16" s="48">
        <f t="shared" si="10"/>
        <v>0.20866188011334932</v>
      </c>
      <c r="S16" s="49"/>
      <c r="T16" s="157">
        <f>IFERROR(VLOOKUP(B16,[1]Todos!$A$2:$C$3021,3,FALSE),0)</f>
        <v>0</v>
      </c>
      <c r="U16" s="112">
        <f t="shared" si="11"/>
        <v>0</v>
      </c>
      <c r="W16" s="157">
        <f>IFERROR(VLOOKUP(B16,[1]Todos!$A$2:$B$3021,2,FALSE),0)</f>
        <v>2166.94</v>
      </c>
      <c r="X16" s="112">
        <f t="shared" si="12"/>
        <v>0</v>
      </c>
    </row>
    <row r="17" spans="1:24" outlineLevel="2" x14ac:dyDescent="0.3">
      <c r="A17" s="40" t="str">
        <f>VLOOKUP(B17,Grupos!$A$2:$B$619,2,FALSE)</f>
        <v>ACCESORIOS</v>
      </c>
      <c r="B17" s="41" t="s">
        <v>708</v>
      </c>
      <c r="C17" s="41" t="s">
        <v>709</v>
      </c>
      <c r="D17" s="42">
        <v>1</v>
      </c>
      <c r="E17" s="43">
        <v>3042.06</v>
      </c>
      <c r="F17" s="43">
        <v>0</v>
      </c>
      <c r="G17" s="126">
        <f t="shared" si="0"/>
        <v>3042.06</v>
      </c>
      <c r="H17" s="127">
        <f t="shared" si="1"/>
        <v>3042.06</v>
      </c>
      <c r="I17" s="128">
        <f t="shared" si="2"/>
        <v>0</v>
      </c>
      <c r="J17" s="128">
        <f t="shared" si="3"/>
        <v>3042.06</v>
      </c>
      <c r="K17" s="44">
        <f t="shared" si="4"/>
        <v>1.8153282920829674E-6</v>
      </c>
      <c r="L17" s="45">
        <f t="shared" si="5"/>
        <v>757.32713993843458</v>
      </c>
      <c r="M17" s="45">
        <f t="shared" si="6"/>
        <v>0</v>
      </c>
      <c r="N17" s="45">
        <f t="shared" si="7"/>
        <v>3799.3871399384343</v>
      </c>
      <c r="O17" s="46">
        <f t="shared" si="8"/>
        <v>3799.3871399384343</v>
      </c>
      <c r="P17" s="47">
        <f t="shared" si="9"/>
        <v>32812.5</v>
      </c>
      <c r="Q17" s="42">
        <v>32812.5</v>
      </c>
      <c r="R17" s="48">
        <f t="shared" si="10"/>
        <v>0.11579084616955228</v>
      </c>
      <c r="S17" s="49"/>
      <c r="T17" s="157">
        <f>IFERROR(VLOOKUP(B17,[1]Todos!$A$2:$C$3021,3,FALSE),0)</f>
        <v>0</v>
      </c>
      <c r="U17" s="112">
        <f t="shared" si="11"/>
        <v>0</v>
      </c>
      <c r="W17" s="157">
        <f>IFERROR(VLOOKUP(B17,[1]Todos!$A$2:$B$3021,2,FALSE),0)</f>
        <v>3042.06</v>
      </c>
      <c r="X17" s="112">
        <f t="shared" si="12"/>
        <v>0</v>
      </c>
    </row>
    <row r="18" spans="1:24" outlineLevel="2" x14ac:dyDescent="0.3">
      <c r="A18" s="40" t="str">
        <f>VLOOKUP(B18,Grupos!$A$2:$B$619,2,FALSE)</f>
        <v>ACCESORIOS</v>
      </c>
      <c r="B18" s="41" t="s">
        <v>28</v>
      </c>
      <c r="C18" s="41" t="s">
        <v>1073</v>
      </c>
      <c r="D18" s="42">
        <v>7</v>
      </c>
      <c r="E18" s="43">
        <v>7688.17</v>
      </c>
      <c r="F18" s="43">
        <v>0</v>
      </c>
      <c r="G18" s="126">
        <f t="shared" si="0"/>
        <v>7688.17</v>
      </c>
      <c r="H18" s="127">
        <f t="shared" si="1"/>
        <v>53817.19</v>
      </c>
      <c r="I18" s="128">
        <f t="shared" si="2"/>
        <v>0</v>
      </c>
      <c r="J18" s="128">
        <f t="shared" si="3"/>
        <v>53817.19</v>
      </c>
      <c r="K18" s="44">
        <f t="shared" si="4"/>
        <v>3.2115036392248861E-5</v>
      </c>
      <c r="L18" s="45">
        <f t="shared" si="5"/>
        <v>1913.9858508577986</v>
      </c>
      <c r="M18" s="45">
        <f t="shared" si="6"/>
        <v>0</v>
      </c>
      <c r="N18" s="45">
        <f t="shared" si="7"/>
        <v>9602.1558508577982</v>
      </c>
      <c r="O18" s="46">
        <f t="shared" si="8"/>
        <v>67215.090956004584</v>
      </c>
      <c r="P18" s="47">
        <f t="shared" si="9"/>
        <v>24174</v>
      </c>
      <c r="Q18" s="42">
        <v>169218</v>
      </c>
      <c r="R18" s="48">
        <f t="shared" si="10"/>
        <v>0.39721005422593686</v>
      </c>
      <c r="S18" s="49"/>
      <c r="T18" s="157">
        <f>IFERROR(VLOOKUP(B18,[1]Todos!$A$2:$C$3021,3,FALSE),0)</f>
        <v>0</v>
      </c>
      <c r="U18" s="112">
        <f t="shared" si="11"/>
        <v>0</v>
      </c>
      <c r="W18" s="157">
        <f>IFERROR(VLOOKUP(B18,[1]Todos!$A$2:$B$3021,2,FALSE),0)</f>
        <v>7688.17</v>
      </c>
      <c r="X18" s="112">
        <f t="shared" si="12"/>
        <v>0</v>
      </c>
    </row>
    <row r="19" spans="1:24" outlineLevel="2" x14ac:dyDescent="0.3">
      <c r="A19" s="40" t="str">
        <f>VLOOKUP(B19,Grupos!$A$2:$B$619,2,FALSE)</f>
        <v>ACCESORIOS</v>
      </c>
      <c r="B19" s="41" t="s">
        <v>29</v>
      </c>
      <c r="C19" s="41" t="s">
        <v>30</v>
      </c>
      <c r="D19" s="42">
        <v>1</v>
      </c>
      <c r="E19" s="43">
        <v>9669.17</v>
      </c>
      <c r="F19" s="43">
        <v>0</v>
      </c>
      <c r="G19" s="126">
        <f t="shared" si="0"/>
        <v>9669.17</v>
      </c>
      <c r="H19" s="127">
        <f t="shared" si="1"/>
        <v>9669.17</v>
      </c>
      <c r="I19" s="128">
        <f t="shared" si="2"/>
        <v>0</v>
      </c>
      <c r="J19" s="128">
        <f t="shared" si="3"/>
        <v>9669.17</v>
      </c>
      <c r="K19" s="44">
        <f t="shared" si="4"/>
        <v>5.7700104080655437E-6</v>
      </c>
      <c r="L19" s="45">
        <f t="shared" si="5"/>
        <v>2407.1599053531204</v>
      </c>
      <c r="M19" s="45">
        <f t="shared" si="6"/>
        <v>0</v>
      </c>
      <c r="N19" s="45">
        <f t="shared" si="7"/>
        <v>12076.329905353121</v>
      </c>
      <c r="O19" s="46">
        <f t="shared" si="8"/>
        <v>12076.329905353121</v>
      </c>
      <c r="P19" s="47">
        <f t="shared" si="9"/>
        <v>51937.5</v>
      </c>
      <c r="Q19" s="42">
        <v>51937.5</v>
      </c>
      <c r="R19" s="48">
        <f t="shared" si="10"/>
        <v>0.23251658060848368</v>
      </c>
      <c r="S19" s="49"/>
      <c r="T19" s="157">
        <f>IFERROR(VLOOKUP(B19,[1]Todos!$A$2:$C$3021,3,FALSE),0)</f>
        <v>0</v>
      </c>
      <c r="U19" s="112">
        <f t="shared" si="11"/>
        <v>0</v>
      </c>
      <c r="W19" s="157">
        <f>IFERROR(VLOOKUP(B19,[1]Todos!$A$2:$B$3021,2,FALSE),0)</f>
        <v>9669.17</v>
      </c>
      <c r="X19" s="112">
        <f t="shared" si="12"/>
        <v>0</v>
      </c>
    </row>
    <row r="20" spans="1:24" outlineLevel="2" x14ac:dyDescent="0.3">
      <c r="A20" s="40" t="str">
        <f>VLOOKUP(B20,Grupos!$A$2:$B$619,2,FALSE)</f>
        <v>ACCESORIOS</v>
      </c>
      <c r="B20" s="41" t="s">
        <v>32</v>
      </c>
      <c r="C20" s="41" t="s">
        <v>33</v>
      </c>
      <c r="D20" s="42">
        <v>1</v>
      </c>
      <c r="E20" s="43">
        <v>15612.16</v>
      </c>
      <c r="F20" s="43">
        <v>0</v>
      </c>
      <c r="G20" s="126">
        <f t="shared" si="0"/>
        <v>15612.16</v>
      </c>
      <c r="H20" s="127">
        <f t="shared" si="1"/>
        <v>15612.16</v>
      </c>
      <c r="I20" s="128">
        <f t="shared" si="2"/>
        <v>0</v>
      </c>
      <c r="J20" s="128">
        <f t="shared" si="3"/>
        <v>15612.16</v>
      </c>
      <c r="K20" s="44">
        <f t="shared" si="4"/>
        <v>9.3164486395817382E-6</v>
      </c>
      <c r="L20" s="45">
        <f t="shared" si="5"/>
        <v>3886.6795793183669</v>
      </c>
      <c r="M20" s="45">
        <f t="shared" si="6"/>
        <v>0</v>
      </c>
      <c r="N20" s="45">
        <f t="shared" si="7"/>
        <v>19498.839579318366</v>
      </c>
      <c r="O20" s="46">
        <f t="shared" si="8"/>
        <v>19498.839579318366</v>
      </c>
      <c r="P20" s="47">
        <f t="shared" si="9"/>
        <v>85125</v>
      </c>
      <c r="Q20" s="42">
        <v>85125</v>
      </c>
      <c r="R20" s="48">
        <f t="shared" si="10"/>
        <v>0.22906125790682369</v>
      </c>
      <c r="S20" s="49"/>
      <c r="T20" s="157">
        <f>IFERROR(VLOOKUP(B20,[1]Todos!$A$2:$C$3021,3,FALSE),0)</f>
        <v>0</v>
      </c>
      <c r="U20" s="112">
        <f t="shared" si="11"/>
        <v>0</v>
      </c>
      <c r="W20" s="157">
        <f>IFERROR(VLOOKUP(B20,[1]Todos!$A$2:$B$3021,2,FALSE),0)</f>
        <v>15612.16</v>
      </c>
      <c r="X20" s="112">
        <f t="shared" si="12"/>
        <v>0</v>
      </c>
    </row>
    <row r="21" spans="1:24" outlineLevel="2" x14ac:dyDescent="0.3">
      <c r="A21" s="40" t="str">
        <f>VLOOKUP(B21,Grupos!$A$2:$B$619,2,FALSE)</f>
        <v>ACCESORIOS</v>
      </c>
      <c r="B21" s="41" t="s">
        <v>1074</v>
      </c>
      <c r="C21" s="41" t="s">
        <v>1075</v>
      </c>
      <c r="D21" s="42">
        <v>66</v>
      </c>
      <c r="E21" s="43">
        <v>676</v>
      </c>
      <c r="F21" s="43">
        <v>0</v>
      </c>
      <c r="G21" s="126">
        <f t="shared" si="0"/>
        <v>676</v>
      </c>
      <c r="H21" s="127">
        <f t="shared" si="1"/>
        <v>44616</v>
      </c>
      <c r="I21" s="128">
        <f t="shared" si="2"/>
        <v>0</v>
      </c>
      <c r="J21" s="128">
        <f t="shared" si="3"/>
        <v>44616</v>
      </c>
      <c r="K21" s="44">
        <f t="shared" si="4"/>
        <v>2.6624289816628759E-5</v>
      </c>
      <c r="L21" s="45">
        <f t="shared" si="5"/>
        <v>168.29160062535971</v>
      </c>
      <c r="M21" s="45">
        <f t="shared" si="6"/>
        <v>0</v>
      </c>
      <c r="N21" s="45">
        <f t="shared" si="7"/>
        <v>844.29160062535971</v>
      </c>
      <c r="O21" s="46">
        <f t="shared" si="8"/>
        <v>55723.245641273737</v>
      </c>
      <c r="P21" s="47">
        <f t="shared" si="9"/>
        <v>4779.9996969696967</v>
      </c>
      <c r="Q21" s="42">
        <v>315479.98</v>
      </c>
      <c r="R21" s="48">
        <f t="shared" si="10"/>
        <v>0.17663005316937619</v>
      </c>
      <c r="S21" s="49"/>
      <c r="T21" s="157">
        <f>IFERROR(VLOOKUP(B21,[1]Todos!$A$2:$C$3021,3,FALSE),0)</f>
        <v>0</v>
      </c>
      <c r="U21" s="112">
        <f t="shared" si="11"/>
        <v>0</v>
      </c>
      <c r="W21" s="157">
        <f>IFERROR(VLOOKUP(B21,[1]Todos!$A$2:$B$3021,2,FALSE),0)</f>
        <v>676</v>
      </c>
      <c r="X21" s="112">
        <f t="shared" si="12"/>
        <v>0</v>
      </c>
    </row>
    <row r="22" spans="1:24" outlineLevel="2" x14ac:dyDescent="0.3">
      <c r="A22" s="40" t="str">
        <f>VLOOKUP(B22,Grupos!$A$2:$B$619,2,FALSE)</f>
        <v>ACCESORIOS</v>
      </c>
      <c r="B22" s="41" t="s">
        <v>34</v>
      </c>
      <c r="C22" s="41" t="s">
        <v>35</v>
      </c>
      <c r="D22" s="42">
        <v>6</v>
      </c>
      <c r="E22" s="43">
        <v>1229.3900000000001</v>
      </c>
      <c r="F22" s="43">
        <v>0</v>
      </c>
      <c r="G22" s="126">
        <f t="shared" si="0"/>
        <v>1229.3900000000001</v>
      </c>
      <c r="H22" s="127">
        <f t="shared" si="1"/>
        <v>7376.34</v>
      </c>
      <c r="I22" s="128">
        <f t="shared" si="2"/>
        <v>0</v>
      </c>
      <c r="J22" s="128">
        <f t="shared" si="3"/>
        <v>7376.34</v>
      </c>
      <c r="K22" s="44">
        <f t="shared" si="4"/>
        <v>4.4017799432040381E-6</v>
      </c>
      <c r="L22" s="45">
        <f t="shared" si="5"/>
        <v>306.05918771125886</v>
      </c>
      <c r="M22" s="45">
        <f t="shared" si="6"/>
        <v>0</v>
      </c>
      <c r="N22" s="45">
        <f t="shared" si="7"/>
        <v>1535.4491877112589</v>
      </c>
      <c r="O22" s="46">
        <f t="shared" si="8"/>
        <v>9212.6951262675539</v>
      </c>
      <c r="P22" s="47">
        <f t="shared" si="9"/>
        <v>6776</v>
      </c>
      <c r="Q22" s="42">
        <v>40656</v>
      </c>
      <c r="R22" s="48">
        <f t="shared" si="10"/>
        <v>0.22660111979209843</v>
      </c>
      <c r="S22" s="49"/>
      <c r="T22" s="157">
        <f>IFERROR(VLOOKUP(B22,[1]Todos!$A$2:$C$3021,3,FALSE),0)</f>
        <v>0</v>
      </c>
      <c r="U22" s="112">
        <f t="shared" si="11"/>
        <v>0</v>
      </c>
      <c r="W22" s="157">
        <f>IFERROR(VLOOKUP(B22,[1]Todos!$A$2:$B$3021,2,FALSE),0)</f>
        <v>1229.3900000000001</v>
      </c>
      <c r="X22" s="112">
        <f t="shared" si="12"/>
        <v>0</v>
      </c>
    </row>
    <row r="23" spans="1:24" outlineLevel="2" x14ac:dyDescent="0.3">
      <c r="A23" s="40" t="str">
        <f>VLOOKUP(B23,Grupos!$A$2:$B$619,2,FALSE)</f>
        <v>ACCESORIOS</v>
      </c>
      <c r="B23" s="41" t="s">
        <v>36</v>
      </c>
      <c r="C23" s="41" t="s">
        <v>37</v>
      </c>
      <c r="D23" s="42">
        <v>130</v>
      </c>
      <c r="E23" s="43">
        <v>1583.66</v>
      </c>
      <c r="F23" s="43">
        <v>0</v>
      </c>
      <c r="G23" s="126">
        <f t="shared" si="0"/>
        <v>1583.66</v>
      </c>
      <c r="H23" s="127">
        <f t="shared" si="1"/>
        <v>205875.80000000002</v>
      </c>
      <c r="I23" s="128">
        <f t="shared" si="2"/>
        <v>0</v>
      </c>
      <c r="J23" s="128">
        <f t="shared" si="3"/>
        <v>205875.80000000002</v>
      </c>
      <c r="K23" s="44">
        <f t="shared" si="4"/>
        <v>1.2285496157051954E-4</v>
      </c>
      <c r="L23" s="45">
        <f t="shared" si="5"/>
        <v>394.25543823425619</v>
      </c>
      <c r="M23" s="45">
        <f t="shared" si="6"/>
        <v>0</v>
      </c>
      <c r="N23" s="45">
        <f t="shared" si="7"/>
        <v>1977.9154382342563</v>
      </c>
      <c r="O23" s="46">
        <f t="shared" si="8"/>
        <v>257129.00697045331</v>
      </c>
      <c r="P23" s="47">
        <f t="shared" si="9"/>
        <v>9206.1541538461533</v>
      </c>
      <c r="Q23" s="42">
        <v>1196800.04</v>
      </c>
      <c r="R23" s="48">
        <f t="shared" si="10"/>
        <v>0.21484709088951343</v>
      </c>
      <c r="S23" s="49"/>
      <c r="T23" s="157">
        <f>IFERROR(VLOOKUP(B23,[1]Todos!$A$2:$C$3021,3,FALSE),0)</f>
        <v>0</v>
      </c>
      <c r="U23" s="112">
        <f t="shared" si="11"/>
        <v>0</v>
      </c>
      <c r="W23" s="157">
        <f>IFERROR(VLOOKUP(B23,[1]Todos!$A$2:$B$3021,2,FALSE),0)</f>
        <v>1583.66</v>
      </c>
      <c r="X23" s="112">
        <f t="shared" si="12"/>
        <v>0</v>
      </c>
    </row>
    <row r="24" spans="1:24" outlineLevel="2" x14ac:dyDescent="0.3">
      <c r="A24" s="40" t="str">
        <f>VLOOKUP(B24,Grupos!$A$2:$B$619,2,FALSE)</f>
        <v>ACCESORIOS</v>
      </c>
      <c r="B24" s="41" t="s">
        <v>39</v>
      </c>
      <c r="C24" s="41" t="s">
        <v>40</v>
      </c>
      <c r="D24" s="42">
        <v>-13</v>
      </c>
      <c r="E24" s="43">
        <v>860.06</v>
      </c>
      <c r="F24" s="43">
        <v>85.88</v>
      </c>
      <c r="G24" s="126">
        <f t="shared" si="0"/>
        <v>945.93999999999994</v>
      </c>
      <c r="H24" s="127">
        <f t="shared" si="1"/>
        <v>-11180.779999999999</v>
      </c>
      <c r="I24" s="128">
        <f t="shared" si="2"/>
        <v>-1116.44</v>
      </c>
      <c r="J24" s="128">
        <f t="shared" si="3"/>
        <v>-12297.22</v>
      </c>
      <c r="K24" s="44">
        <f t="shared" si="4"/>
        <v>-7.3382810924072858E-6</v>
      </c>
      <c r="L24" s="45">
        <f t="shared" si="5"/>
        <v>235.49372292241532</v>
      </c>
      <c r="M24" s="45">
        <f t="shared" si="6"/>
        <v>505.33717771441815</v>
      </c>
      <c r="N24" s="45">
        <f t="shared" si="7"/>
        <v>1686.7709006368334</v>
      </c>
      <c r="O24" s="46">
        <f t="shared" si="8"/>
        <v>-21928.021708278833</v>
      </c>
      <c r="P24" s="47">
        <f t="shared" si="9"/>
        <v>494.57692307692309</v>
      </c>
      <c r="Q24" s="42">
        <v>-6429.5</v>
      </c>
      <c r="R24" s="152">
        <f t="shared" si="10"/>
        <v>3.4105329665259871</v>
      </c>
      <c r="S24" s="49"/>
      <c r="T24" s="157">
        <f>IFERROR(VLOOKUP(B24,[1]Todos!$A$2:$C$3021,3,FALSE),0)</f>
        <v>0</v>
      </c>
      <c r="U24" s="112">
        <f t="shared" si="11"/>
        <v>-85.88</v>
      </c>
      <c r="W24" s="157">
        <f>IFERROR(VLOOKUP(B24,[1]Todos!$A$2:$B$3021,2,FALSE),0)</f>
        <v>0</v>
      </c>
      <c r="X24" s="112">
        <f t="shared" si="12"/>
        <v>-860.06</v>
      </c>
    </row>
    <row r="25" spans="1:24" outlineLevel="2" x14ac:dyDescent="0.3">
      <c r="A25" s="40" t="str">
        <f>VLOOKUP(B25,Grupos!$A$2:$B$619,2,FALSE)</f>
        <v>ACCESORIOS</v>
      </c>
      <c r="B25" s="41" t="s">
        <v>41</v>
      </c>
      <c r="C25" s="41" t="s">
        <v>1079</v>
      </c>
      <c r="D25" s="42">
        <v>18</v>
      </c>
      <c r="E25" s="43">
        <v>50.68</v>
      </c>
      <c r="F25" s="43">
        <v>7.08</v>
      </c>
      <c r="G25" s="126">
        <f t="shared" si="0"/>
        <v>57.76</v>
      </c>
      <c r="H25" s="127">
        <f t="shared" si="1"/>
        <v>912.24</v>
      </c>
      <c r="I25" s="128">
        <f t="shared" si="2"/>
        <v>127.44</v>
      </c>
      <c r="J25" s="128">
        <f t="shared" si="3"/>
        <v>1039.68</v>
      </c>
      <c r="K25" s="44">
        <f t="shared" si="4"/>
        <v>6.2042185844882075E-7</v>
      </c>
      <c r="L25" s="45">
        <f t="shared" si="5"/>
        <v>14.379471674734877</v>
      </c>
      <c r="M25" s="45">
        <f t="shared" si="6"/>
        <v>41.6603076178165</v>
      </c>
      <c r="N25" s="45">
        <f t="shared" si="7"/>
        <v>113.79977929255138</v>
      </c>
      <c r="O25" s="46">
        <f t="shared" si="8"/>
        <v>2048.3960272659247</v>
      </c>
      <c r="P25" s="47">
        <f t="shared" si="9"/>
        <v>361</v>
      </c>
      <c r="Q25" s="42">
        <v>6498</v>
      </c>
      <c r="R25" s="48">
        <f t="shared" si="10"/>
        <v>0.31523484568573784</v>
      </c>
      <c r="S25" s="49"/>
      <c r="T25" s="157">
        <f>IFERROR(VLOOKUP(B25,[1]Todos!$A$2:$C$3021,3,FALSE),0)</f>
        <v>8.06</v>
      </c>
      <c r="U25" s="112">
        <f t="shared" si="11"/>
        <v>0.98000000000000043</v>
      </c>
      <c r="W25" s="157">
        <f>IFERROR(VLOOKUP(B25,[1]Todos!$A$2:$B$3021,2,FALSE),0)</f>
        <v>47.32</v>
      </c>
      <c r="X25" s="112">
        <f t="shared" si="12"/>
        <v>-3.3599999999999994</v>
      </c>
    </row>
    <row r="26" spans="1:24" outlineLevel="2" x14ac:dyDescent="0.3">
      <c r="A26" s="40" t="str">
        <f>VLOOKUP(B26,Grupos!$A$2:$B$619,2,FALSE)</f>
        <v>ACCESORIOS</v>
      </c>
      <c r="B26" s="41" t="s">
        <v>614</v>
      </c>
      <c r="C26" s="41" t="s">
        <v>615</v>
      </c>
      <c r="D26" s="42">
        <v>500</v>
      </c>
      <c r="E26" s="43">
        <v>84.21</v>
      </c>
      <c r="F26" s="43">
        <v>0</v>
      </c>
      <c r="G26" s="126">
        <f t="shared" si="0"/>
        <v>84.21</v>
      </c>
      <c r="H26" s="127">
        <f t="shared" si="1"/>
        <v>42105</v>
      </c>
      <c r="I26" s="128">
        <f t="shared" si="2"/>
        <v>0</v>
      </c>
      <c r="J26" s="128">
        <f t="shared" si="3"/>
        <v>42105</v>
      </c>
      <c r="K26" s="44">
        <f t="shared" si="4"/>
        <v>2.5125867911268466E-5</v>
      </c>
      <c r="L26" s="45">
        <f t="shared" si="5"/>
        <v>20.964253977309973</v>
      </c>
      <c r="M26" s="45">
        <f t="shared" si="6"/>
        <v>0</v>
      </c>
      <c r="N26" s="45">
        <f t="shared" si="7"/>
        <v>105.17425397730997</v>
      </c>
      <c r="O26" s="46">
        <f t="shared" si="8"/>
        <v>52587.126988654985</v>
      </c>
      <c r="P26" s="47">
        <f t="shared" si="9"/>
        <v>300</v>
      </c>
      <c r="Q26" s="42">
        <v>150000</v>
      </c>
      <c r="R26" s="48">
        <f t="shared" si="10"/>
        <v>0.35058084659103322</v>
      </c>
      <c r="S26" s="49"/>
      <c r="T26" s="157">
        <f>IFERROR(VLOOKUP(B26,[1]Todos!$A$2:$C$3021,3,FALSE),0)</f>
        <v>0</v>
      </c>
      <c r="U26" s="112">
        <f t="shared" si="11"/>
        <v>0</v>
      </c>
      <c r="W26" s="157">
        <f>IFERROR(VLOOKUP(B26,[1]Todos!$A$2:$B$3021,2,FALSE),0)</f>
        <v>84.21</v>
      </c>
      <c r="X26" s="112">
        <f t="shared" si="12"/>
        <v>0</v>
      </c>
    </row>
    <row r="27" spans="1:24" outlineLevel="2" x14ac:dyDescent="0.3">
      <c r="A27" s="40" t="str">
        <f>VLOOKUP(B27,Grupos!$A$2:$B$619,2,FALSE)</f>
        <v>ACCESORIOS</v>
      </c>
      <c r="B27" s="41" t="s">
        <v>670</v>
      </c>
      <c r="C27" s="41" t="s">
        <v>1080</v>
      </c>
      <c r="D27" s="42">
        <v>1</v>
      </c>
      <c r="E27" s="43">
        <v>17930.400000000001</v>
      </c>
      <c r="F27" s="43">
        <v>501.13</v>
      </c>
      <c r="G27" s="126">
        <f t="shared" si="0"/>
        <v>18431.530000000002</v>
      </c>
      <c r="H27" s="127">
        <f t="shared" si="1"/>
        <v>17930.400000000001</v>
      </c>
      <c r="I27" s="128">
        <f t="shared" si="2"/>
        <v>501.13</v>
      </c>
      <c r="J27" s="128">
        <f t="shared" si="3"/>
        <v>18431.530000000002</v>
      </c>
      <c r="K27" s="44">
        <f t="shared" si="4"/>
        <v>1.0998888212387653E-5</v>
      </c>
      <c r="L27" s="45">
        <f t="shared" si="5"/>
        <v>4588.5675823584861</v>
      </c>
      <c r="M27" s="45">
        <f t="shared" si="6"/>
        <v>2948.7612932932743</v>
      </c>
      <c r="N27" s="45">
        <f t="shared" si="7"/>
        <v>25968.858875651764</v>
      </c>
      <c r="O27" s="46">
        <f t="shared" si="8"/>
        <v>25968.858875651764</v>
      </c>
      <c r="P27" s="47">
        <f t="shared" si="9"/>
        <v>121837.5</v>
      </c>
      <c r="Q27" s="42">
        <v>121837.5</v>
      </c>
      <c r="R27" s="48">
        <f t="shared" si="10"/>
        <v>0.21314339899991189</v>
      </c>
      <c r="S27" s="49"/>
      <c r="T27" s="157">
        <f>IFERROR(VLOOKUP(B27,[1]Todos!$A$2:$C$3021,3,FALSE),0)</f>
        <v>0</v>
      </c>
      <c r="U27" s="112">
        <f t="shared" si="11"/>
        <v>-501.13</v>
      </c>
      <c r="W27" s="157">
        <f>IFERROR(VLOOKUP(B27,[1]Todos!$A$2:$B$3021,2,FALSE),0)</f>
        <v>0</v>
      </c>
      <c r="X27" s="112">
        <f t="shared" si="12"/>
        <v>-17930.400000000001</v>
      </c>
    </row>
    <row r="28" spans="1:24" outlineLevel="2" x14ac:dyDescent="0.3">
      <c r="A28" s="40" t="str">
        <f>VLOOKUP(B28,Grupos!$A$2:$B$619,2,FALSE)</f>
        <v>ACCESORIOS</v>
      </c>
      <c r="B28" s="41" t="s">
        <v>747</v>
      </c>
      <c r="C28" s="41" t="s">
        <v>1081</v>
      </c>
      <c r="D28" s="42">
        <v>-1</v>
      </c>
      <c r="E28" s="43">
        <v>17930.400000000001</v>
      </c>
      <c r="F28" s="43">
        <v>501.13</v>
      </c>
      <c r="G28" s="126">
        <f t="shared" si="0"/>
        <v>18431.530000000002</v>
      </c>
      <c r="H28" s="127">
        <f t="shared" si="1"/>
        <v>-17930.400000000001</v>
      </c>
      <c r="I28" s="128">
        <f t="shared" si="2"/>
        <v>-501.13</v>
      </c>
      <c r="J28" s="128">
        <f t="shared" si="3"/>
        <v>-18431.530000000002</v>
      </c>
      <c r="K28" s="44">
        <f t="shared" si="4"/>
        <v>-1.0998888212387653E-5</v>
      </c>
      <c r="L28" s="45">
        <f t="shared" si="5"/>
        <v>4588.5675823584861</v>
      </c>
      <c r="M28" s="45">
        <f t="shared" si="6"/>
        <v>2948.7612932932743</v>
      </c>
      <c r="N28" s="45">
        <f t="shared" si="7"/>
        <v>25968.858875651764</v>
      </c>
      <c r="O28" s="46">
        <f t="shared" si="8"/>
        <v>-25968.858875651764</v>
      </c>
      <c r="P28" s="47">
        <f t="shared" si="9"/>
        <v>97067.51</v>
      </c>
      <c r="Q28" s="42">
        <v>-97067.51</v>
      </c>
      <c r="R28" s="48">
        <f t="shared" si="10"/>
        <v>0.26753399644898446</v>
      </c>
      <c r="S28" s="49"/>
      <c r="T28" s="157">
        <f>IFERROR(VLOOKUP(B28,[1]Todos!$A$2:$C$3021,3,FALSE),0)</f>
        <v>533.71</v>
      </c>
      <c r="U28" s="112">
        <f t="shared" si="11"/>
        <v>32.580000000000041</v>
      </c>
      <c r="W28" s="157">
        <f>IFERROR(VLOOKUP(B28,[1]Todos!$A$2:$B$3021,2,FALSE),0)</f>
        <v>16597.88</v>
      </c>
      <c r="X28" s="112">
        <f t="shared" si="12"/>
        <v>-1332.5200000000004</v>
      </c>
    </row>
    <row r="29" spans="1:24" outlineLevel="2" x14ac:dyDescent="0.3">
      <c r="A29" s="40" t="str">
        <f>VLOOKUP(B29,Grupos!$A$2:$B$619,2,FALSE)</f>
        <v>ACCESORIOS</v>
      </c>
      <c r="B29" s="41" t="s">
        <v>616</v>
      </c>
      <c r="C29" s="41" t="s">
        <v>617</v>
      </c>
      <c r="D29" s="42">
        <v>16</v>
      </c>
      <c r="E29" s="43">
        <v>4356.76</v>
      </c>
      <c r="F29" s="43">
        <v>36.380000000000003</v>
      </c>
      <c r="G29" s="126">
        <f t="shared" si="0"/>
        <v>4393.1400000000003</v>
      </c>
      <c r="H29" s="127">
        <f t="shared" si="1"/>
        <v>69708.160000000003</v>
      </c>
      <c r="I29" s="128">
        <f t="shared" si="2"/>
        <v>582.08000000000004</v>
      </c>
      <c r="J29" s="128">
        <f t="shared" si="3"/>
        <v>70290.240000000005</v>
      </c>
      <c r="K29" s="44">
        <f t="shared" si="4"/>
        <v>4.1945215192764736E-5</v>
      </c>
      <c r="L29" s="45">
        <f t="shared" si="5"/>
        <v>1093.6813052829775</v>
      </c>
      <c r="M29" s="45">
        <f t="shared" si="6"/>
        <v>214.06807784409099</v>
      </c>
      <c r="N29" s="45">
        <f t="shared" si="7"/>
        <v>5700.8893831270689</v>
      </c>
      <c r="O29" s="46">
        <f t="shared" si="8"/>
        <v>91214.230130033102</v>
      </c>
      <c r="P29" s="47">
        <f t="shared" si="9"/>
        <v>31350</v>
      </c>
      <c r="Q29" s="42">
        <v>501600</v>
      </c>
      <c r="R29" s="48">
        <f t="shared" si="10"/>
        <v>0.18184655129591926</v>
      </c>
      <c r="S29" s="49"/>
      <c r="T29" s="157">
        <f>IFERROR(VLOOKUP(B29,[1]Todos!$A$2:$C$3021,3,FALSE),0)</f>
        <v>36.590000000000003</v>
      </c>
      <c r="U29" s="112">
        <f t="shared" si="11"/>
        <v>0.21000000000000085</v>
      </c>
      <c r="W29" s="157">
        <f>IFERROR(VLOOKUP(B29,[1]Todos!$A$2:$B$3021,2,FALSE),0)</f>
        <v>3990.63</v>
      </c>
      <c r="X29" s="112">
        <f t="shared" si="12"/>
        <v>-366.13000000000011</v>
      </c>
    </row>
    <row r="30" spans="1:24" outlineLevel="2" x14ac:dyDescent="0.3">
      <c r="A30" s="40" t="str">
        <f>VLOOKUP(B30,Grupos!$A$2:$B$619,2,FALSE)</f>
        <v>ACCESORIOS</v>
      </c>
      <c r="B30" s="41" t="s">
        <v>762</v>
      </c>
      <c r="C30" s="41" t="s">
        <v>1082</v>
      </c>
      <c r="D30" s="42">
        <v>2</v>
      </c>
      <c r="E30" s="43">
        <v>13959.25</v>
      </c>
      <c r="F30" s="43">
        <v>2626.26</v>
      </c>
      <c r="G30" s="126">
        <f t="shared" si="0"/>
        <v>16585.510000000002</v>
      </c>
      <c r="H30" s="127">
        <f t="shared" si="1"/>
        <v>27918.5</v>
      </c>
      <c r="I30" s="128">
        <f t="shared" si="2"/>
        <v>5252.52</v>
      </c>
      <c r="J30" s="128">
        <f t="shared" si="3"/>
        <v>33171.020000000004</v>
      </c>
      <c r="K30" s="44">
        <f t="shared" si="4"/>
        <v>1.9794577057405167E-5</v>
      </c>
      <c r="L30" s="45">
        <f t="shared" si="5"/>
        <v>4128.9970785324113</v>
      </c>
      <c r="M30" s="45">
        <f t="shared" si="6"/>
        <v>15453.502752029204</v>
      </c>
      <c r="N30" s="45">
        <f t="shared" si="7"/>
        <v>36168.009830561619</v>
      </c>
      <c r="O30" s="46">
        <f t="shared" si="8"/>
        <v>72336.019661123239</v>
      </c>
      <c r="P30" s="47">
        <f t="shared" si="9"/>
        <v>79500</v>
      </c>
      <c r="Q30" s="42">
        <v>159000</v>
      </c>
      <c r="R30" s="48">
        <f t="shared" si="10"/>
        <v>0.45494351988127824</v>
      </c>
      <c r="S30" s="49"/>
      <c r="T30" s="157">
        <f>IFERROR(VLOOKUP(B30,[1]Todos!$A$2:$C$3021,3,FALSE),0)</f>
        <v>2568.62</v>
      </c>
      <c r="U30" s="112">
        <f t="shared" si="11"/>
        <v>-57.640000000000327</v>
      </c>
      <c r="W30" s="157">
        <f>IFERROR(VLOOKUP(B30,[1]Todos!$A$2:$B$3021,2,FALSE),0)</f>
        <v>12742.45</v>
      </c>
      <c r="X30" s="112">
        <f t="shared" si="12"/>
        <v>-1216.7999999999993</v>
      </c>
    </row>
    <row r="31" spans="1:24" outlineLevel="2" x14ac:dyDescent="0.3">
      <c r="A31" s="40" t="str">
        <f>VLOOKUP(B31,Grupos!$A$2:$B$619,2,FALSE)</f>
        <v>ACCESORIOS</v>
      </c>
      <c r="B31" s="41" t="s">
        <v>618</v>
      </c>
      <c r="C31" s="41" t="s">
        <v>619</v>
      </c>
      <c r="D31" s="42">
        <v>4</v>
      </c>
      <c r="E31" s="43">
        <v>7152.29</v>
      </c>
      <c r="F31" s="43">
        <v>595.45000000000005</v>
      </c>
      <c r="G31" s="126">
        <f t="shared" si="0"/>
        <v>7747.74</v>
      </c>
      <c r="H31" s="127">
        <f t="shared" si="1"/>
        <v>28609.16</v>
      </c>
      <c r="I31" s="128">
        <f t="shared" si="2"/>
        <v>2381.8000000000002</v>
      </c>
      <c r="J31" s="128">
        <f t="shared" si="3"/>
        <v>30990.959999999999</v>
      </c>
      <c r="K31" s="44">
        <f t="shared" si="4"/>
        <v>1.8493641311089053E-5</v>
      </c>
      <c r="L31" s="45">
        <f t="shared" si="5"/>
        <v>1928.8159257827285</v>
      </c>
      <c r="M31" s="45">
        <f t="shared" si="6"/>
        <v>3503.7613235916433</v>
      </c>
      <c r="N31" s="45">
        <f t="shared" si="7"/>
        <v>13180.317249374371</v>
      </c>
      <c r="O31" s="46">
        <f t="shared" si="8"/>
        <v>52721.268997497486</v>
      </c>
      <c r="P31" s="47">
        <f t="shared" si="9"/>
        <v>16500</v>
      </c>
      <c r="Q31" s="42">
        <v>66000</v>
      </c>
      <c r="R31" s="48">
        <f t="shared" si="10"/>
        <v>0.79880710602268923</v>
      </c>
      <c r="S31" s="49"/>
      <c r="T31" s="157">
        <f>IFERROR(VLOOKUP(B31,[1]Todos!$A$2:$C$3021,3,FALSE),0)</f>
        <v>706.36</v>
      </c>
      <c r="U31" s="112">
        <f t="shared" si="11"/>
        <v>110.90999999999997</v>
      </c>
      <c r="W31" s="157">
        <f>IFERROR(VLOOKUP(B31,[1]Todos!$A$2:$B$3021,2,FALSE),0)</f>
        <v>6585.63</v>
      </c>
      <c r="X31" s="112">
        <f t="shared" si="12"/>
        <v>-566.65999999999985</v>
      </c>
    </row>
    <row r="32" spans="1:24" outlineLevel="2" x14ac:dyDescent="0.3">
      <c r="A32" s="40" t="str">
        <f>VLOOKUP(B32,Grupos!$A$2:$B$619,2,FALSE)</f>
        <v>ACCESORIOS</v>
      </c>
      <c r="B32" s="41" t="s">
        <v>47</v>
      </c>
      <c r="C32" s="41" t="s">
        <v>48</v>
      </c>
      <c r="D32" s="42">
        <v>203</v>
      </c>
      <c r="E32" s="43">
        <v>412.02</v>
      </c>
      <c r="F32" s="43">
        <v>31.34</v>
      </c>
      <c r="G32" s="126">
        <f t="shared" si="0"/>
        <v>443.35999999999996</v>
      </c>
      <c r="H32" s="127">
        <f t="shared" si="1"/>
        <v>83640.06</v>
      </c>
      <c r="I32" s="128">
        <f t="shared" si="2"/>
        <v>6362.0199999999995</v>
      </c>
      <c r="J32" s="128">
        <f t="shared" si="3"/>
        <v>90002.079999999987</v>
      </c>
      <c r="K32" s="44">
        <f t="shared" si="4"/>
        <v>5.3708119553958362E-5</v>
      </c>
      <c r="L32" s="45">
        <f t="shared" si="5"/>
        <v>110.37539061133057</v>
      </c>
      <c r="M32" s="45">
        <f t="shared" si="6"/>
        <v>184.41158767547586</v>
      </c>
      <c r="N32" s="45">
        <f t="shared" si="7"/>
        <v>738.14697828680642</v>
      </c>
      <c r="O32" s="46">
        <f t="shared" si="8"/>
        <v>149843.83659222169</v>
      </c>
      <c r="P32" s="47">
        <f t="shared" si="9"/>
        <v>2702.5863546798032</v>
      </c>
      <c r="Q32" s="42">
        <v>548625.03</v>
      </c>
      <c r="R32" s="48">
        <f t="shared" si="10"/>
        <v>0.2731261397100706</v>
      </c>
      <c r="S32" s="49"/>
      <c r="T32" s="157">
        <f>IFERROR(VLOOKUP(B32,[1]Todos!$A$2:$C$3021,3,FALSE),0)</f>
        <v>0</v>
      </c>
      <c r="U32" s="112">
        <f t="shared" si="11"/>
        <v>-31.34</v>
      </c>
      <c r="W32" s="157">
        <f>IFERROR(VLOOKUP(B32,[1]Todos!$A$2:$B$3021,2,FALSE),0)</f>
        <v>0</v>
      </c>
      <c r="X32" s="112">
        <f t="shared" si="12"/>
        <v>-412.02</v>
      </c>
    </row>
    <row r="33" spans="1:24" outlineLevel="2" x14ac:dyDescent="0.3">
      <c r="A33" s="40" t="str">
        <f>VLOOKUP(B33,Grupos!$A$2:$B$619,2,FALSE)</f>
        <v>ACCESORIOS</v>
      </c>
      <c r="B33" s="41" t="s">
        <v>49</v>
      </c>
      <c r="C33" s="41" t="s">
        <v>1085</v>
      </c>
      <c r="D33" s="42">
        <v>233</v>
      </c>
      <c r="E33" s="43">
        <v>412.02</v>
      </c>
      <c r="F33" s="43">
        <v>31.34</v>
      </c>
      <c r="G33" s="126">
        <f t="shared" si="0"/>
        <v>443.35999999999996</v>
      </c>
      <c r="H33" s="127">
        <f t="shared" si="1"/>
        <v>96000.659999999989</v>
      </c>
      <c r="I33" s="128">
        <f t="shared" si="2"/>
        <v>7302.22</v>
      </c>
      <c r="J33" s="128">
        <f t="shared" si="3"/>
        <v>103302.87999999999</v>
      </c>
      <c r="K33" s="44">
        <f t="shared" si="4"/>
        <v>6.1645280079173894E-5</v>
      </c>
      <c r="L33" s="45">
        <f t="shared" si="5"/>
        <v>110.3753906113306</v>
      </c>
      <c r="M33" s="45">
        <f t="shared" si="6"/>
        <v>184.41158767547586</v>
      </c>
      <c r="N33" s="45">
        <f t="shared" si="7"/>
        <v>738.14697828680642</v>
      </c>
      <c r="O33" s="46">
        <f t="shared" si="8"/>
        <v>171988.2459408259</v>
      </c>
      <c r="P33" s="47">
        <f t="shared" si="9"/>
        <v>2867.7039055793994</v>
      </c>
      <c r="Q33" s="42">
        <v>668175.01</v>
      </c>
      <c r="R33" s="48">
        <f t="shared" si="10"/>
        <v>0.25739999755576898</v>
      </c>
      <c r="S33" s="49"/>
      <c r="T33" s="157">
        <f>IFERROR(VLOOKUP(B33,[1]Todos!$A$2:$C$3021,3,FALSE),0)</f>
        <v>0</v>
      </c>
      <c r="U33" s="112">
        <f t="shared" si="11"/>
        <v>-31.34</v>
      </c>
      <c r="W33" s="157">
        <f>IFERROR(VLOOKUP(B33,[1]Todos!$A$2:$B$3021,2,FALSE),0)</f>
        <v>0</v>
      </c>
      <c r="X33" s="112">
        <f t="shared" si="12"/>
        <v>-412.02</v>
      </c>
    </row>
    <row r="34" spans="1:24" outlineLevel="2" x14ac:dyDescent="0.3">
      <c r="A34" s="40" t="str">
        <f>VLOOKUP(B34,Grupos!$A$2:$B$619,2,FALSE)</f>
        <v>ACCESORIOS</v>
      </c>
      <c r="B34" s="41" t="s">
        <v>50</v>
      </c>
      <c r="C34" s="41" t="s">
        <v>51</v>
      </c>
      <c r="D34" s="42">
        <v>524</v>
      </c>
      <c r="E34" s="43">
        <v>412.02</v>
      </c>
      <c r="F34" s="43">
        <v>31.34</v>
      </c>
      <c r="G34" s="126">
        <f t="shared" si="0"/>
        <v>443.35999999999996</v>
      </c>
      <c r="H34" s="127">
        <f t="shared" si="1"/>
        <v>215898.47999999998</v>
      </c>
      <c r="I34" s="128">
        <f t="shared" si="2"/>
        <v>16422.16</v>
      </c>
      <c r="J34" s="128">
        <f t="shared" si="3"/>
        <v>232320.63999999998</v>
      </c>
      <c r="K34" s="44">
        <f t="shared" si="4"/>
        <v>1.3863573717376446E-4</v>
      </c>
      <c r="L34" s="45">
        <f t="shared" si="5"/>
        <v>110.37539061133059</v>
      </c>
      <c r="M34" s="45">
        <f t="shared" si="6"/>
        <v>184.41158767547586</v>
      </c>
      <c r="N34" s="45">
        <f t="shared" si="7"/>
        <v>738.14697828680642</v>
      </c>
      <c r="O34" s="46">
        <f t="shared" si="8"/>
        <v>386789.01662228658</v>
      </c>
      <c r="P34" s="47">
        <f t="shared" si="9"/>
        <v>2658.4925000000003</v>
      </c>
      <c r="Q34" s="42">
        <v>1393050.07</v>
      </c>
      <c r="R34" s="48">
        <f t="shared" si="10"/>
        <v>0.27765621993923489</v>
      </c>
      <c r="S34" s="49"/>
      <c r="T34" s="157">
        <f>IFERROR(VLOOKUP(B34,[1]Todos!$A$2:$C$3021,3,FALSE),0)</f>
        <v>0</v>
      </c>
      <c r="U34" s="112">
        <f t="shared" si="11"/>
        <v>-31.34</v>
      </c>
      <c r="W34" s="157">
        <f>IFERROR(VLOOKUP(B34,[1]Todos!$A$2:$B$3021,2,FALSE),0)</f>
        <v>0</v>
      </c>
      <c r="X34" s="112">
        <f t="shared" si="12"/>
        <v>-412.02</v>
      </c>
    </row>
    <row r="35" spans="1:24" outlineLevel="2" x14ac:dyDescent="0.3">
      <c r="A35" s="40" t="str">
        <f>VLOOKUP(B35,Grupos!$A$2:$B$619,2,FALSE)</f>
        <v>ACCESORIOS</v>
      </c>
      <c r="B35" s="41" t="s">
        <v>620</v>
      </c>
      <c r="C35" s="41" t="s">
        <v>621</v>
      </c>
      <c r="D35" s="42">
        <v>20</v>
      </c>
      <c r="E35" s="43">
        <v>2250.44</v>
      </c>
      <c r="F35" s="43">
        <v>0</v>
      </c>
      <c r="G35" s="126">
        <f t="shared" si="0"/>
        <v>2250.44</v>
      </c>
      <c r="H35" s="127">
        <f t="shared" si="1"/>
        <v>45008.800000000003</v>
      </c>
      <c r="I35" s="128">
        <f t="shared" si="2"/>
        <v>0</v>
      </c>
      <c r="J35" s="128">
        <f t="shared" si="3"/>
        <v>45008.800000000003</v>
      </c>
      <c r="K35" s="44">
        <f t="shared" si="4"/>
        <v>2.6858690503377274E-5</v>
      </c>
      <c r="L35" s="45">
        <f t="shared" si="5"/>
        <v>560.25170075641199</v>
      </c>
      <c r="M35" s="45">
        <f t="shared" si="6"/>
        <v>0</v>
      </c>
      <c r="N35" s="45">
        <f t="shared" si="7"/>
        <v>2810.691700756412</v>
      </c>
      <c r="O35" s="46">
        <f t="shared" si="8"/>
        <v>56213.834015128239</v>
      </c>
      <c r="P35" s="47">
        <f t="shared" si="9"/>
        <v>13416</v>
      </c>
      <c r="Q35" s="42">
        <v>268320</v>
      </c>
      <c r="R35" s="48">
        <f t="shared" si="10"/>
        <v>0.20950295920963119</v>
      </c>
      <c r="S35" s="49"/>
      <c r="T35" s="157">
        <f>IFERROR(VLOOKUP(B35,[1]Todos!$A$2:$C$3021,3,FALSE),0)</f>
        <v>0</v>
      </c>
      <c r="U35" s="112">
        <f t="shared" si="11"/>
        <v>0</v>
      </c>
      <c r="W35" s="157">
        <f>IFERROR(VLOOKUP(B35,[1]Todos!$A$2:$B$3021,2,FALSE),0)</f>
        <v>2250.44</v>
      </c>
      <c r="X35" s="112">
        <f t="shared" si="12"/>
        <v>0</v>
      </c>
    </row>
    <row r="36" spans="1:24" outlineLevel="2" x14ac:dyDescent="0.3">
      <c r="A36" s="40" t="str">
        <f>VLOOKUP(B36,Grupos!$A$2:$B$619,2,FALSE)</f>
        <v>ACCESORIOS</v>
      </c>
      <c r="B36" s="41" t="s">
        <v>713</v>
      </c>
      <c r="C36" s="41" t="s">
        <v>1099</v>
      </c>
      <c r="D36" s="42">
        <v>6</v>
      </c>
      <c r="E36" s="43">
        <v>6037.37</v>
      </c>
      <c r="F36" s="43">
        <v>0</v>
      </c>
      <c r="G36" s="126">
        <f t="shared" si="0"/>
        <v>6037.37</v>
      </c>
      <c r="H36" s="127">
        <f t="shared" si="1"/>
        <v>36224.22</v>
      </c>
      <c r="I36" s="128">
        <f t="shared" si="2"/>
        <v>0</v>
      </c>
      <c r="J36" s="128">
        <f t="shared" si="3"/>
        <v>36224.22</v>
      </c>
      <c r="K36" s="44">
        <f t="shared" si="4"/>
        <v>2.1616553067538996E-5</v>
      </c>
      <c r="L36" s="45">
        <f t="shared" si="5"/>
        <v>1503.0157705140946</v>
      </c>
      <c r="M36" s="45">
        <f t="shared" si="6"/>
        <v>0</v>
      </c>
      <c r="N36" s="45">
        <f t="shared" si="7"/>
        <v>7540.3857705140945</v>
      </c>
      <c r="O36" s="46">
        <f t="shared" si="8"/>
        <v>45242.314623084567</v>
      </c>
      <c r="P36" s="47">
        <f t="shared" si="9"/>
        <v>17820</v>
      </c>
      <c r="Q36" s="42">
        <v>106920</v>
      </c>
      <c r="R36" s="48">
        <f t="shared" si="10"/>
        <v>0.42314173796375387</v>
      </c>
      <c r="S36" s="49"/>
      <c r="T36" s="157">
        <f>IFERROR(VLOOKUP(B36,[1]Todos!$A$2:$C$3021,3,FALSE),0)</f>
        <v>0</v>
      </c>
      <c r="U36" s="112">
        <f t="shared" si="11"/>
        <v>0</v>
      </c>
      <c r="W36" s="157">
        <f>IFERROR(VLOOKUP(B36,[1]Todos!$A$2:$B$3021,2,FALSE),0)</f>
        <v>6037.37</v>
      </c>
      <c r="X36" s="112">
        <f t="shared" si="12"/>
        <v>0</v>
      </c>
    </row>
    <row r="37" spans="1:24" outlineLevel="2" x14ac:dyDescent="0.3">
      <c r="A37" s="40" t="str">
        <f>VLOOKUP(B37,Grupos!$A$2:$B$619,2,FALSE)</f>
        <v>ACCESORIOS</v>
      </c>
      <c r="B37" s="41" t="s">
        <v>714</v>
      </c>
      <c r="C37" s="41" t="s">
        <v>715</v>
      </c>
      <c r="D37" s="42">
        <v>1</v>
      </c>
      <c r="E37" s="43">
        <v>3125.57</v>
      </c>
      <c r="F37" s="43">
        <v>0</v>
      </c>
      <c r="G37" s="126">
        <f t="shared" si="0"/>
        <v>3125.57</v>
      </c>
      <c r="H37" s="127">
        <f t="shared" si="1"/>
        <v>3125.57</v>
      </c>
      <c r="I37" s="128">
        <f t="shared" si="2"/>
        <v>0</v>
      </c>
      <c r="J37" s="128">
        <f t="shared" si="3"/>
        <v>3125.57</v>
      </c>
      <c r="K37" s="44">
        <f t="shared" si="4"/>
        <v>1.8651623077407287E-6</v>
      </c>
      <c r="L37" s="45">
        <f t="shared" si="5"/>
        <v>778.11712746539285</v>
      </c>
      <c r="M37" s="45">
        <f t="shared" si="6"/>
        <v>0</v>
      </c>
      <c r="N37" s="45">
        <f t="shared" si="7"/>
        <v>3903.6871274653931</v>
      </c>
      <c r="O37" s="46">
        <f t="shared" si="8"/>
        <v>3903.6871274653931</v>
      </c>
      <c r="P37" s="47">
        <f t="shared" si="9"/>
        <v>32812.5</v>
      </c>
      <c r="Q37" s="42">
        <v>32812.5</v>
      </c>
      <c r="R37" s="48">
        <f t="shared" si="10"/>
        <v>0.11896951245608817</v>
      </c>
      <c r="S37" s="49"/>
      <c r="T37" s="157">
        <f>IFERROR(VLOOKUP(B37,[1]Todos!$A$2:$C$3021,3,FALSE),0)</f>
        <v>0</v>
      </c>
      <c r="U37" s="112">
        <f t="shared" si="11"/>
        <v>0</v>
      </c>
      <c r="W37" s="157">
        <f>IFERROR(VLOOKUP(B37,[1]Todos!$A$2:$B$3021,2,FALSE),0)</f>
        <v>3125.57</v>
      </c>
      <c r="X37" s="112">
        <f t="shared" si="12"/>
        <v>0</v>
      </c>
    </row>
    <row r="38" spans="1:24" outlineLevel="2" x14ac:dyDescent="0.3">
      <c r="A38" s="40" t="str">
        <f>VLOOKUP(B38,Grupos!$A$2:$B$619,2,FALSE)</f>
        <v>ACCESORIOS</v>
      </c>
      <c r="B38" s="41" t="s">
        <v>674</v>
      </c>
      <c r="C38" s="41" t="s">
        <v>1100</v>
      </c>
      <c r="D38" s="42">
        <v>6</v>
      </c>
      <c r="E38" s="43">
        <v>8018.41</v>
      </c>
      <c r="F38" s="43">
        <v>0</v>
      </c>
      <c r="G38" s="126">
        <f t="shared" si="0"/>
        <v>8018.41</v>
      </c>
      <c r="H38" s="127">
        <f t="shared" si="1"/>
        <v>48110.46</v>
      </c>
      <c r="I38" s="128">
        <f t="shared" si="2"/>
        <v>0</v>
      </c>
      <c r="J38" s="128">
        <f t="shared" si="3"/>
        <v>48110.46</v>
      </c>
      <c r="K38" s="44">
        <f t="shared" si="4"/>
        <v>2.8709584683775441E-5</v>
      </c>
      <c r="L38" s="45">
        <f t="shared" si="5"/>
        <v>1996.1997830922935</v>
      </c>
      <c r="M38" s="45">
        <f t="shared" si="6"/>
        <v>0</v>
      </c>
      <c r="N38" s="45">
        <f t="shared" si="7"/>
        <v>10014.609783092294</v>
      </c>
      <c r="O38" s="46">
        <f t="shared" si="8"/>
        <v>60087.658698553758</v>
      </c>
      <c r="P38" s="47">
        <f t="shared" si="9"/>
        <v>24332</v>
      </c>
      <c r="Q38" s="42">
        <v>145992</v>
      </c>
      <c r="R38" s="48">
        <f t="shared" si="10"/>
        <v>0.41158185858508517</v>
      </c>
      <c r="S38" s="49"/>
      <c r="T38" s="157">
        <f>IFERROR(VLOOKUP(B38,[1]Todos!$A$2:$C$3021,3,FALSE),0)</f>
        <v>0</v>
      </c>
      <c r="U38" s="112">
        <f t="shared" si="11"/>
        <v>0</v>
      </c>
      <c r="W38" s="157">
        <f>IFERROR(VLOOKUP(B38,[1]Todos!$A$2:$B$3021,2,FALSE),0)</f>
        <v>8018.41</v>
      </c>
      <c r="X38" s="112">
        <f t="shared" si="12"/>
        <v>0</v>
      </c>
    </row>
    <row r="39" spans="1:24" outlineLevel="2" x14ac:dyDescent="0.3">
      <c r="A39" s="40" t="str">
        <f>VLOOKUP(B39,Grupos!$A$2:$B$619,2,FALSE)</f>
        <v>ACCESORIOS</v>
      </c>
      <c r="B39" s="41" t="s">
        <v>52</v>
      </c>
      <c r="C39" s="41" t="s">
        <v>1101</v>
      </c>
      <c r="D39" s="42">
        <v>1</v>
      </c>
      <c r="E39" s="43">
        <v>9999.41</v>
      </c>
      <c r="F39" s="43">
        <v>0</v>
      </c>
      <c r="G39" s="126">
        <f t="shared" si="0"/>
        <v>9999.41</v>
      </c>
      <c r="H39" s="127">
        <f t="shared" si="1"/>
        <v>9999.41</v>
      </c>
      <c r="I39" s="128">
        <f t="shared" si="2"/>
        <v>0</v>
      </c>
      <c r="J39" s="128">
        <f t="shared" si="3"/>
        <v>9999.41</v>
      </c>
      <c r="K39" s="44">
        <f t="shared" si="4"/>
        <v>5.9670788469449471E-6</v>
      </c>
      <c r="L39" s="45">
        <f t="shared" si="5"/>
        <v>2489.3738375876155</v>
      </c>
      <c r="M39" s="45">
        <f t="shared" si="6"/>
        <v>0</v>
      </c>
      <c r="N39" s="45">
        <f t="shared" si="7"/>
        <v>12488.783837587616</v>
      </c>
      <c r="O39" s="46">
        <f t="shared" si="8"/>
        <v>12488.783837587616</v>
      </c>
      <c r="P39" s="47">
        <f t="shared" si="9"/>
        <v>51937.5</v>
      </c>
      <c r="Q39" s="42">
        <v>51937.5</v>
      </c>
      <c r="R39" s="48">
        <f t="shared" si="10"/>
        <v>0.24045793189097697</v>
      </c>
      <c r="S39" s="49"/>
      <c r="T39" s="157">
        <f>IFERROR(VLOOKUP(B39,[1]Todos!$A$2:$C$3021,3,FALSE),0)</f>
        <v>0</v>
      </c>
      <c r="U39" s="112">
        <f t="shared" si="11"/>
        <v>0</v>
      </c>
      <c r="W39" s="157">
        <f>IFERROR(VLOOKUP(B39,[1]Todos!$A$2:$B$3021,2,FALSE),0)</f>
        <v>9999.41</v>
      </c>
      <c r="X39" s="112">
        <f t="shared" si="12"/>
        <v>0</v>
      </c>
    </row>
    <row r="40" spans="1:24" outlineLevel="2" x14ac:dyDescent="0.3">
      <c r="A40" s="40" t="str">
        <f>VLOOKUP(B40,Grupos!$A$2:$B$619,2,FALSE)</f>
        <v>ACCESORIOS</v>
      </c>
      <c r="B40" s="41" t="s">
        <v>54</v>
      </c>
      <c r="C40" s="41" t="s">
        <v>55</v>
      </c>
      <c r="D40" s="42">
        <v>1</v>
      </c>
      <c r="E40" s="43">
        <v>15942.4</v>
      </c>
      <c r="F40" s="43">
        <v>0</v>
      </c>
      <c r="G40" s="126">
        <f t="shared" si="0"/>
        <v>15942.4</v>
      </c>
      <c r="H40" s="127">
        <f t="shared" si="1"/>
        <v>15942.4</v>
      </c>
      <c r="I40" s="128">
        <f t="shared" si="2"/>
        <v>0</v>
      </c>
      <c r="J40" s="128">
        <f t="shared" si="3"/>
        <v>15942.4</v>
      </c>
      <c r="K40" s="44">
        <f t="shared" si="4"/>
        <v>9.5135170784611408E-6</v>
      </c>
      <c r="L40" s="45">
        <f t="shared" si="5"/>
        <v>3968.8935115528616</v>
      </c>
      <c r="M40" s="45">
        <f t="shared" si="6"/>
        <v>0</v>
      </c>
      <c r="N40" s="45">
        <f t="shared" si="7"/>
        <v>19911.29351155286</v>
      </c>
      <c r="O40" s="46">
        <f t="shared" si="8"/>
        <v>19911.29351155286</v>
      </c>
      <c r="P40" s="47">
        <f t="shared" si="9"/>
        <v>85125</v>
      </c>
      <c r="Q40" s="42">
        <v>85125</v>
      </c>
      <c r="R40" s="48">
        <f t="shared" si="10"/>
        <v>0.23390653170693521</v>
      </c>
      <c r="S40" s="49"/>
      <c r="T40" s="157">
        <f>IFERROR(VLOOKUP(B40,[1]Todos!$A$2:$C$3021,3,FALSE),0)</f>
        <v>0</v>
      </c>
      <c r="U40" s="112">
        <f t="shared" si="11"/>
        <v>0</v>
      </c>
      <c r="W40" s="157">
        <f>IFERROR(VLOOKUP(B40,[1]Todos!$A$2:$B$3021,2,FALSE),0)</f>
        <v>15942.4</v>
      </c>
      <c r="X40" s="112">
        <f t="shared" si="12"/>
        <v>0</v>
      </c>
    </row>
    <row r="41" spans="1:24" outlineLevel="2" x14ac:dyDescent="0.3">
      <c r="A41" s="40" t="str">
        <f>VLOOKUP(B41,Grupos!$A$2:$B$619,2,FALSE)</f>
        <v>ACCESORIOS</v>
      </c>
      <c r="B41" s="41" t="s">
        <v>675</v>
      </c>
      <c r="C41" s="41" t="s">
        <v>676</v>
      </c>
      <c r="D41" s="42">
        <v>6</v>
      </c>
      <c r="E41" s="43">
        <v>1271.1500000000001</v>
      </c>
      <c r="F41" s="43">
        <v>0</v>
      </c>
      <c r="G41" s="126">
        <f t="shared" si="0"/>
        <v>1271.1500000000001</v>
      </c>
      <c r="H41" s="127">
        <f t="shared" si="1"/>
        <v>7626.9000000000005</v>
      </c>
      <c r="I41" s="128">
        <f t="shared" si="2"/>
        <v>0</v>
      </c>
      <c r="J41" s="128">
        <f t="shared" si="3"/>
        <v>7626.9000000000005</v>
      </c>
      <c r="K41" s="44">
        <f t="shared" si="4"/>
        <v>4.5512998924700982E-6</v>
      </c>
      <c r="L41" s="45">
        <f t="shared" si="5"/>
        <v>316.45542623509766</v>
      </c>
      <c r="M41" s="45">
        <f t="shared" si="6"/>
        <v>0</v>
      </c>
      <c r="N41" s="45">
        <f t="shared" si="7"/>
        <v>1587.6054262350976</v>
      </c>
      <c r="O41" s="46">
        <f t="shared" si="8"/>
        <v>9525.6325574105867</v>
      </c>
      <c r="P41" s="47">
        <f t="shared" si="9"/>
        <v>6776</v>
      </c>
      <c r="Q41" s="42">
        <v>40656</v>
      </c>
      <c r="R41" s="48">
        <f t="shared" si="10"/>
        <v>0.2342983214632671</v>
      </c>
      <c r="S41" s="49"/>
      <c r="T41" s="157">
        <f>IFERROR(VLOOKUP(B41,[1]Todos!$A$2:$C$3021,3,FALSE),0)</f>
        <v>0</v>
      </c>
      <c r="U41" s="112">
        <f t="shared" si="11"/>
        <v>0</v>
      </c>
      <c r="W41" s="157">
        <f>IFERROR(VLOOKUP(B41,[1]Todos!$A$2:$B$3021,2,FALSE),0)</f>
        <v>1271.1500000000001</v>
      </c>
      <c r="X41" s="112">
        <f t="shared" si="12"/>
        <v>0</v>
      </c>
    </row>
    <row r="42" spans="1:24" outlineLevel="2" x14ac:dyDescent="0.3">
      <c r="A42" s="40" t="str">
        <f>VLOOKUP(B42,Grupos!$A$2:$B$619,2,FALSE)</f>
        <v>ACCESORIOS</v>
      </c>
      <c r="B42" s="41" t="s">
        <v>56</v>
      </c>
      <c r="C42" s="41" t="s">
        <v>57</v>
      </c>
      <c r="D42" s="42">
        <v>136</v>
      </c>
      <c r="E42" s="43">
        <v>1666.74</v>
      </c>
      <c r="F42" s="43">
        <v>0</v>
      </c>
      <c r="G42" s="126">
        <f t="shared" si="0"/>
        <v>1666.74</v>
      </c>
      <c r="H42" s="127">
        <f t="shared" si="1"/>
        <v>226676.64</v>
      </c>
      <c r="I42" s="128">
        <f t="shared" si="2"/>
        <v>0</v>
      </c>
      <c r="J42" s="128">
        <f t="shared" si="3"/>
        <v>226676.64</v>
      </c>
      <c r="K42" s="44">
        <f t="shared" si="4"/>
        <v>1.352677191594859E-4</v>
      </c>
      <c r="L42" s="45">
        <f t="shared" si="5"/>
        <v>414.93837637028406</v>
      </c>
      <c r="M42" s="45">
        <f t="shared" si="6"/>
        <v>0</v>
      </c>
      <c r="N42" s="45">
        <f t="shared" si="7"/>
        <v>2081.6783763702842</v>
      </c>
      <c r="O42" s="46">
        <f t="shared" si="8"/>
        <v>283108.25918635866</v>
      </c>
      <c r="P42" s="47">
        <f t="shared" si="9"/>
        <v>9227.0591176470589</v>
      </c>
      <c r="Q42" s="42">
        <v>1254880.04</v>
      </c>
      <c r="R42" s="48">
        <f t="shared" si="10"/>
        <v>0.22560583495005518</v>
      </c>
      <c r="S42" s="49"/>
      <c r="T42" s="157">
        <f>IFERROR(VLOOKUP(B42,[1]Todos!$A$2:$C$3021,3,FALSE),0)</f>
        <v>0</v>
      </c>
      <c r="U42" s="112">
        <f t="shared" si="11"/>
        <v>0</v>
      </c>
      <c r="W42" s="157">
        <f>IFERROR(VLOOKUP(B42,[1]Todos!$A$2:$B$3021,2,FALSE),0)</f>
        <v>1666.74</v>
      </c>
      <c r="X42" s="112">
        <f t="shared" si="12"/>
        <v>0</v>
      </c>
    </row>
    <row r="43" spans="1:24" s="93" customFormat="1" outlineLevel="1" x14ac:dyDescent="0.3">
      <c r="A43" s="50" t="s">
        <v>1017</v>
      </c>
      <c r="B43" s="129"/>
      <c r="C43" s="129"/>
      <c r="D43" s="51">
        <f>SUBTOTAL(9,D5:D42)</f>
        <v>13349</v>
      </c>
      <c r="E43" s="52"/>
      <c r="F43" s="52"/>
      <c r="G43" s="130"/>
      <c r="H43" s="131">
        <f>SUBTOTAL(9,H5:H42)</f>
        <v>2145861.1899999995</v>
      </c>
      <c r="I43" s="146">
        <f>SUBTOTAL(9,I5:I42)</f>
        <v>418308.47</v>
      </c>
      <c r="J43" s="146">
        <f>SUBTOTAL(9,J5:J42)</f>
        <v>2564169.6599999997</v>
      </c>
      <c r="K43" s="53"/>
      <c r="L43" s="54"/>
      <c r="M43" s="54"/>
      <c r="N43" s="54"/>
      <c r="O43" s="55">
        <f>SUBTOTAL(9,O5:O42)</f>
        <v>5663945.8485291936</v>
      </c>
      <c r="P43" s="56"/>
      <c r="Q43" s="51">
        <f>SUBTOTAL(9,Q5:Q42)</f>
        <v>8687211.5899999999</v>
      </c>
      <c r="R43" s="57">
        <f t="shared" si="10"/>
        <v>0.65198663458929218</v>
      </c>
      <c r="S43" s="58">
        <f>Q43/$Q$308</f>
        <v>2.006236770977869E-3</v>
      </c>
      <c r="T43" s="157">
        <f>IFERROR(VLOOKUP(B43,[1]Todos!$A$2:$C$3021,3,FALSE),0)</f>
        <v>0</v>
      </c>
      <c r="U43" s="112">
        <f t="shared" si="11"/>
        <v>0</v>
      </c>
      <c r="W43" s="157">
        <f>IFERROR(VLOOKUP(B43,[1]Todos!$A$2:$B$3021,2,FALSE),0)</f>
        <v>0</v>
      </c>
      <c r="X43" s="112">
        <f t="shared" si="12"/>
        <v>0</v>
      </c>
    </row>
    <row r="44" spans="1:24" outlineLevel="2" x14ac:dyDescent="0.3">
      <c r="A44" s="40" t="str">
        <f>VLOOKUP(B44,Grupos!$A$2:$B$619,2,FALSE)</f>
        <v>ADAPTADORES</v>
      </c>
      <c r="B44" s="41" t="s">
        <v>58</v>
      </c>
      <c r="C44" s="41" t="s">
        <v>59</v>
      </c>
      <c r="D44" s="42">
        <v>12794</v>
      </c>
      <c r="E44" s="43">
        <v>15.04</v>
      </c>
      <c r="F44" s="43">
        <v>4.8899999999999997</v>
      </c>
      <c r="G44" s="126">
        <f t="shared" ref="G44:G49" si="13">E44+F44</f>
        <v>19.93</v>
      </c>
      <c r="H44" s="127">
        <f t="shared" ref="H44:H49" si="14">E44*D44</f>
        <v>192421.75999999998</v>
      </c>
      <c r="I44" s="128">
        <f t="shared" ref="I44:I49" si="15">F44*D44</f>
        <v>62562.659999999996</v>
      </c>
      <c r="J44" s="128">
        <f t="shared" ref="J44:J49" si="16">G44*D44</f>
        <v>254984.41999999998</v>
      </c>
      <c r="K44" s="44">
        <f t="shared" ref="K44:K49" si="17">J44/$J$308</f>
        <v>1.5216019133954163E-4</v>
      </c>
      <c r="L44" s="45">
        <f t="shared" ref="L44:L49" si="18">$K$383*K44/D44</f>
        <v>4.9616147935849391</v>
      </c>
      <c r="M44" s="45">
        <f t="shared" ref="M44:M49" si="19">F44*$M$382</f>
        <v>28.773856532644444</v>
      </c>
      <c r="N44" s="45">
        <f t="shared" ref="N44:N49" si="20">G44+L44+M44</f>
        <v>53.66547132622938</v>
      </c>
      <c r="O44" s="46">
        <f t="shared" ref="O44:O49" si="21">N44*D44</f>
        <v>686596.04014777869</v>
      </c>
      <c r="P44" s="47">
        <f t="shared" ref="P44:P49" si="22">Q44/D44</f>
        <v>87.187358136626543</v>
      </c>
      <c r="Q44" s="42">
        <v>1115475.06</v>
      </c>
      <c r="R44" s="48">
        <f t="shared" si="10"/>
        <v>0.61551895221017194</v>
      </c>
      <c r="S44" s="49"/>
      <c r="T44" s="157">
        <f>IFERROR(VLOOKUP(B44,[1]Todos!$A$2:$C$3021,3,FALSE),0)</f>
        <v>4.8499999999999996</v>
      </c>
      <c r="U44" s="112">
        <f t="shared" si="11"/>
        <v>-4.0000000000000036E-2</v>
      </c>
      <c r="W44" s="157">
        <f>IFERROR(VLOOKUP(B44,[1]Todos!$A$2:$B$3021,2,FALSE),0)</f>
        <v>15.04</v>
      </c>
      <c r="X44" s="112">
        <f t="shared" si="12"/>
        <v>0</v>
      </c>
    </row>
    <row r="45" spans="1:24" outlineLevel="2" x14ac:dyDescent="0.3">
      <c r="A45" s="40" t="str">
        <f>VLOOKUP(B45,Grupos!$A$2:$B$619,2,FALSE)</f>
        <v>ADAPTADORES</v>
      </c>
      <c r="B45" s="41" t="s">
        <v>624</v>
      </c>
      <c r="C45" s="41" t="s">
        <v>625</v>
      </c>
      <c r="D45" s="42">
        <v>3000</v>
      </c>
      <c r="E45" s="43">
        <v>20.18</v>
      </c>
      <c r="F45" s="43">
        <v>5.27</v>
      </c>
      <c r="G45" s="126">
        <f t="shared" si="13"/>
        <v>25.45</v>
      </c>
      <c r="H45" s="127">
        <f t="shared" si="14"/>
        <v>60540</v>
      </c>
      <c r="I45" s="128">
        <f t="shared" si="15"/>
        <v>15809.999999999998</v>
      </c>
      <c r="J45" s="128">
        <f t="shared" si="16"/>
        <v>76350</v>
      </c>
      <c r="K45" s="44">
        <f t="shared" si="17"/>
        <v>4.556133511519647E-5</v>
      </c>
      <c r="L45" s="45">
        <f t="shared" si="18"/>
        <v>6.3358302306440901</v>
      </c>
      <c r="M45" s="45">
        <f t="shared" si="19"/>
        <v>31.009861743770188</v>
      </c>
      <c r="N45" s="45">
        <f t="shared" si="20"/>
        <v>62.795691974414275</v>
      </c>
      <c r="O45" s="46">
        <f t="shared" si="21"/>
        <v>188387.07592324284</v>
      </c>
      <c r="P45" s="47">
        <f t="shared" si="22"/>
        <v>104.00000333333334</v>
      </c>
      <c r="Q45" s="42">
        <v>312000.01</v>
      </c>
      <c r="R45" s="48">
        <f t="shared" si="10"/>
        <v>0.60380471117049905</v>
      </c>
      <c r="S45" s="49"/>
      <c r="T45" s="157">
        <f>IFERROR(VLOOKUP(B45,[1]Todos!$A$2:$C$3021,3,FALSE),0)</f>
        <v>4.9000000000000004</v>
      </c>
      <c r="U45" s="112">
        <f t="shared" si="11"/>
        <v>-0.36999999999999922</v>
      </c>
      <c r="W45" s="157">
        <f>IFERROR(VLOOKUP(B45,[1]Todos!$A$2:$B$3021,2,FALSE),0)</f>
        <v>20.18</v>
      </c>
      <c r="X45" s="112">
        <f t="shared" si="12"/>
        <v>0</v>
      </c>
    </row>
    <row r="46" spans="1:24" outlineLevel="2" x14ac:dyDescent="0.3">
      <c r="A46" s="40" t="str">
        <f>VLOOKUP(B46,Grupos!$A$2:$B$619,2,FALSE)</f>
        <v>ADAPTADORES</v>
      </c>
      <c r="B46" s="41" t="s">
        <v>60</v>
      </c>
      <c r="C46" s="41" t="s">
        <v>61</v>
      </c>
      <c r="D46" s="42">
        <v>648000</v>
      </c>
      <c r="E46" s="43">
        <v>26.11</v>
      </c>
      <c r="F46" s="43">
        <v>10.98</v>
      </c>
      <c r="G46" s="126">
        <f t="shared" si="13"/>
        <v>37.090000000000003</v>
      </c>
      <c r="H46" s="127">
        <f t="shared" si="14"/>
        <v>16919280</v>
      </c>
      <c r="I46" s="128">
        <f t="shared" si="15"/>
        <v>7115040</v>
      </c>
      <c r="J46" s="128">
        <f t="shared" si="16"/>
        <v>24034320.000000004</v>
      </c>
      <c r="K46" s="44">
        <f t="shared" si="17"/>
        <v>1.4342314443822776E-2</v>
      </c>
      <c r="L46" s="45">
        <f t="shared" si="18"/>
        <v>9.2336323479209952</v>
      </c>
      <c r="M46" s="45">
        <f t="shared" si="19"/>
        <v>64.608782153054406</v>
      </c>
      <c r="N46" s="45">
        <f t="shared" si="20"/>
        <v>110.9324145009754</v>
      </c>
      <c r="O46" s="46">
        <f t="shared" si="21"/>
        <v>71884204.596632063</v>
      </c>
      <c r="P46" s="47">
        <f t="shared" si="22"/>
        <v>107.10000436728394</v>
      </c>
      <c r="Q46" s="42">
        <v>69400802.829999998</v>
      </c>
      <c r="R46" s="48">
        <f t="shared" si="10"/>
        <v>1.0357834731784767</v>
      </c>
      <c r="S46" s="49"/>
      <c r="T46" s="157">
        <f>IFERROR(VLOOKUP(B46,[1]Todos!$A$2:$C$3021,3,FALSE),0)</f>
        <v>10.32</v>
      </c>
      <c r="U46" s="112">
        <f t="shared" si="11"/>
        <v>-0.66000000000000014</v>
      </c>
      <c r="W46" s="157">
        <f>IFERROR(VLOOKUP(B46,[1]Todos!$A$2:$B$3021,2,FALSE),0)</f>
        <v>26.12</v>
      </c>
      <c r="X46" s="112">
        <f t="shared" si="12"/>
        <v>1.0000000000001563E-2</v>
      </c>
    </row>
    <row r="47" spans="1:24" outlineLevel="2" x14ac:dyDescent="0.3">
      <c r="A47" s="40" t="str">
        <f>VLOOKUP(B47,Grupos!$A$2:$B$619,2,FALSE)</f>
        <v>ADAPTADORES</v>
      </c>
      <c r="B47" s="41" t="s">
        <v>766</v>
      </c>
      <c r="C47" s="41" t="s">
        <v>1048</v>
      </c>
      <c r="D47" s="42">
        <v>19200</v>
      </c>
      <c r="E47" s="43">
        <v>55.65</v>
      </c>
      <c r="F47" s="43">
        <v>10.16</v>
      </c>
      <c r="G47" s="126">
        <f t="shared" si="13"/>
        <v>65.81</v>
      </c>
      <c r="H47" s="127">
        <f t="shared" si="14"/>
        <v>1068480</v>
      </c>
      <c r="I47" s="128">
        <f t="shared" si="15"/>
        <v>195072</v>
      </c>
      <c r="J47" s="128">
        <f t="shared" si="16"/>
        <v>1263552</v>
      </c>
      <c r="K47" s="44">
        <f t="shared" si="17"/>
        <v>7.5401592806125385E-4</v>
      </c>
      <c r="L47" s="45">
        <f t="shared" si="18"/>
        <v>16.383535853779474</v>
      </c>
      <c r="M47" s="45">
        <f t="shared" si="19"/>
        <v>59.783718276414639</v>
      </c>
      <c r="N47" s="45">
        <f t="shared" si="20"/>
        <v>141.97725413019413</v>
      </c>
      <c r="O47" s="46">
        <f t="shared" si="21"/>
        <v>2725963.2792997272</v>
      </c>
      <c r="P47" s="47">
        <f t="shared" si="22"/>
        <v>175.31249635416668</v>
      </c>
      <c r="Q47" s="42">
        <v>3365999.93</v>
      </c>
      <c r="R47" s="48">
        <f t="shared" si="10"/>
        <v>0.80985244681800306</v>
      </c>
      <c r="S47" s="49"/>
      <c r="T47" s="157">
        <f>IFERROR(VLOOKUP(B47,[1]Todos!$A$2:$C$3021,3,FALSE),0)</f>
        <v>10.6</v>
      </c>
      <c r="U47" s="112">
        <f t="shared" si="11"/>
        <v>0.4399999999999995</v>
      </c>
      <c r="W47" s="157">
        <f>IFERROR(VLOOKUP(B47,[1]Todos!$A$2:$B$3021,2,FALSE),0)</f>
        <v>55.65</v>
      </c>
      <c r="X47" s="112">
        <f t="shared" si="12"/>
        <v>0</v>
      </c>
    </row>
    <row r="48" spans="1:24" outlineLevel="2" x14ac:dyDescent="0.3">
      <c r="A48" s="40" t="str">
        <f>VLOOKUP(B48,Grupos!$A$2:$B$619,2,FALSE)</f>
        <v>ADAPTADORES</v>
      </c>
      <c r="B48" s="41" t="s">
        <v>1049</v>
      </c>
      <c r="C48" s="41" t="s">
        <v>1050</v>
      </c>
      <c r="D48" s="42">
        <v>400500</v>
      </c>
      <c r="E48" s="43">
        <v>27.67</v>
      </c>
      <c r="F48" s="43">
        <v>6.42</v>
      </c>
      <c r="G48" s="126">
        <f t="shared" si="13"/>
        <v>34.090000000000003</v>
      </c>
      <c r="H48" s="127">
        <f t="shared" si="14"/>
        <v>11081835</v>
      </c>
      <c r="I48" s="128">
        <f t="shared" si="15"/>
        <v>2571210</v>
      </c>
      <c r="J48" s="128">
        <f t="shared" si="16"/>
        <v>13653045.000000002</v>
      </c>
      <c r="K48" s="44">
        <f t="shared" si="17"/>
        <v>8.1473602958462045E-3</v>
      </c>
      <c r="L48" s="45">
        <f t="shared" si="18"/>
        <v>8.4867761321279787</v>
      </c>
      <c r="M48" s="45">
        <f t="shared" si="19"/>
        <v>37.776719619545467</v>
      </c>
      <c r="N48" s="45">
        <f t="shared" si="20"/>
        <v>80.353495751673449</v>
      </c>
      <c r="O48" s="46">
        <f t="shared" si="21"/>
        <v>32181575.048545215</v>
      </c>
      <c r="P48" s="47">
        <f t="shared" si="22"/>
        <v>105.45843041198502</v>
      </c>
      <c r="Q48" s="42">
        <v>42236101.380000003</v>
      </c>
      <c r="R48" s="48">
        <f t="shared" si="10"/>
        <v>0.76194473441111943</v>
      </c>
      <c r="S48" s="49"/>
      <c r="T48" s="157">
        <f>IFERROR(VLOOKUP(B48,[1]Todos!$A$2:$C$3021,3,FALSE),0)</f>
        <v>5.37</v>
      </c>
      <c r="U48" s="112">
        <f t="shared" si="11"/>
        <v>-1.0499999999999998</v>
      </c>
      <c r="W48" s="157">
        <f>IFERROR(VLOOKUP(B48,[1]Todos!$A$2:$B$3021,2,FALSE),0)</f>
        <v>27.67</v>
      </c>
      <c r="X48" s="112">
        <f t="shared" si="12"/>
        <v>0</v>
      </c>
    </row>
    <row r="49" spans="1:24" outlineLevel="2" x14ac:dyDescent="0.3">
      <c r="A49" s="40" t="str">
        <f>VLOOKUP(B49,Grupos!$A$2:$B$619,2,FALSE)</f>
        <v>ADAPTADORES</v>
      </c>
      <c r="B49" s="41" t="s">
        <v>62</v>
      </c>
      <c r="C49" s="41" t="s">
        <v>63</v>
      </c>
      <c r="D49" s="42">
        <v>290400</v>
      </c>
      <c r="E49" s="43">
        <v>40.159999999999997</v>
      </c>
      <c r="F49" s="43">
        <v>11.35</v>
      </c>
      <c r="G49" s="126">
        <f t="shared" si="13"/>
        <v>51.51</v>
      </c>
      <c r="H49" s="127">
        <f t="shared" si="14"/>
        <v>11662463.999999998</v>
      </c>
      <c r="I49" s="128">
        <f t="shared" si="15"/>
        <v>3296040</v>
      </c>
      <c r="J49" s="128">
        <f t="shared" si="16"/>
        <v>14958504</v>
      </c>
      <c r="K49" s="44">
        <f t="shared" si="17"/>
        <v>8.9263839366864033E-3</v>
      </c>
      <c r="L49" s="45">
        <f t="shared" si="18"/>
        <v>12.823521225166095</v>
      </c>
      <c r="M49" s="45">
        <f t="shared" si="19"/>
        <v>66.785945121782092</v>
      </c>
      <c r="N49" s="45">
        <f t="shared" si="20"/>
        <v>131.11946634694817</v>
      </c>
      <c r="O49" s="46">
        <f t="shared" si="21"/>
        <v>38077093.027153753</v>
      </c>
      <c r="P49" s="47">
        <f t="shared" si="22"/>
        <v>143.33884669421488</v>
      </c>
      <c r="Q49" s="42">
        <v>41625601.079999998</v>
      </c>
      <c r="R49" s="48">
        <f t="shared" si="10"/>
        <v>0.91475178830387605</v>
      </c>
      <c r="S49" s="49"/>
      <c r="T49" s="157">
        <f>IFERROR(VLOOKUP(B49,[1]Todos!$A$2:$C$3021,3,FALSE),0)</f>
        <v>11.11</v>
      </c>
      <c r="U49" s="112">
        <f t="shared" si="11"/>
        <v>-0.24000000000000021</v>
      </c>
      <c r="W49" s="157">
        <f>IFERROR(VLOOKUP(B49,[1]Todos!$A$2:$B$3021,2,FALSE),0)</f>
        <v>41.81</v>
      </c>
      <c r="X49" s="112">
        <f t="shared" si="12"/>
        <v>1.6500000000000057</v>
      </c>
    </row>
    <row r="50" spans="1:24" s="93" customFormat="1" outlineLevel="1" x14ac:dyDescent="0.3">
      <c r="A50" s="50" t="s">
        <v>1018</v>
      </c>
      <c r="B50" s="129"/>
      <c r="C50" s="129"/>
      <c r="D50" s="51">
        <f>SUBTOTAL(9,D44:D49)</f>
        <v>1373894</v>
      </c>
      <c r="E50" s="52"/>
      <c r="F50" s="52"/>
      <c r="G50" s="130"/>
      <c r="H50" s="131">
        <f>SUBTOTAL(9,H44:H49)</f>
        <v>40985020.759999998</v>
      </c>
      <c r="I50" s="146">
        <f>SUBTOTAL(9,I44:I49)</f>
        <v>13255734.66</v>
      </c>
      <c r="J50" s="146">
        <f>SUBTOTAL(9,J44:J49)</f>
        <v>54240755.420000009</v>
      </c>
      <c r="K50" s="53"/>
      <c r="L50" s="54"/>
      <c r="M50" s="54"/>
      <c r="N50" s="54"/>
      <c r="O50" s="55">
        <f>SUBTOTAL(9,O44:O49)</f>
        <v>145743819.06770176</v>
      </c>
      <c r="P50" s="56"/>
      <c r="Q50" s="51">
        <f>SUBTOTAL(9,Q44:Q49)</f>
        <v>158055980.29000002</v>
      </c>
      <c r="R50" s="57">
        <f t="shared" si="10"/>
        <v>0.92210252848574281</v>
      </c>
      <c r="S50" s="58">
        <f>Q50/$Q$308</f>
        <v>3.6501668716779963E-2</v>
      </c>
      <c r="T50" s="157">
        <f>IFERROR(VLOOKUP(B50,[1]Todos!$A$2:$C$3021,3,FALSE),0)</f>
        <v>0</v>
      </c>
      <c r="U50" s="112">
        <f t="shared" si="11"/>
        <v>0</v>
      </c>
      <c r="W50" s="157">
        <f>IFERROR(VLOOKUP(B50,[1]Todos!$A$2:$B$3021,2,FALSE),0)</f>
        <v>0</v>
      </c>
      <c r="X50" s="112">
        <f t="shared" si="12"/>
        <v>0</v>
      </c>
    </row>
    <row r="51" spans="1:24" outlineLevel="2" x14ac:dyDescent="0.3">
      <c r="A51" s="40" t="str">
        <f>VLOOKUP(B51,Grupos!$A$2:$B$619,2,FALSE)</f>
        <v>CAJAS ARRANCADORAS</v>
      </c>
      <c r="B51" s="41" t="s">
        <v>64</v>
      </c>
      <c r="C51" s="41" t="s">
        <v>65</v>
      </c>
      <c r="D51" s="42">
        <v>141</v>
      </c>
      <c r="E51" s="192">
        <v>30398.83</v>
      </c>
      <c r="F51" s="192">
        <v>4472.47</v>
      </c>
      <c r="G51" s="126">
        <f t="shared" ref="G51:G56" si="23">E51+F51</f>
        <v>34871.300000000003</v>
      </c>
      <c r="H51" s="127">
        <f t="shared" ref="H51:H56" si="24">E51*D51</f>
        <v>4286235.03</v>
      </c>
      <c r="I51" s="128">
        <f t="shared" ref="I51:I56" si="25">F51*D51</f>
        <v>630618.27</v>
      </c>
      <c r="J51" s="128">
        <f t="shared" ref="J51:J56" si="26">G51*D51</f>
        <v>4916853.3000000007</v>
      </c>
      <c r="K51" s="44">
        <f t="shared" ref="K51:K56" si="27">J51/$J$308</f>
        <v>2.93409824379253E-3</v>
      </c>
      <c r="L51" s="45">
        <f t="shared" ref="L51:L56" si="28">$K$383*K51/D51</f>
        <v>8681.2823859276723</v>
      </c>
      <c r="M51" s="45">
        <f t="shared" ref="M51:M56" si="29">F51*$M$382</f>
        <v>26317.016385798837</v>
      </c>
      <c r="N51" s="45">
        <f t="shared" ref="N51:N56" si="30">G51+L51+M51</f>
        <v>69869.598771726509</v>
      </c>
      <c r="O51" s="46">
        <f t="shared" ref="O51:O56" si="31">N51*D51</f>
        <v>9851613.4268134385</v>
      </c>
      <c r="P51" s="47">
        <f t="shared" ref="P51:P56" si="32">Q51/D51</f>
        <v>107461.54163120566</v>
      </c>
      <c r="Q51" s="42">
        <v>15152077.369999999</v>
      </c>
      <c r="R51" s="48">
        <f t="shared" si="10"/>
        <v>0.65018236022995168</v>
      </c>
      <c r="S51" s="49"/>
      <c r="T51" s="157">
        <f>IFERROR(VLOOKUP(B51,[1]Todos!$A$2:$C$3021,3,FALSE),0)</f>
        <v>4472.47</v>
      </c>
      <c r="U51" s="112">
        <f t="shared" si="11"/>
        <v>0</v>
      </c>
      <c r="W51" s="157">
        <f>IFERROR(VLOOKUP(B51,[1]Todos!$A$2:$B$3021,2,FALSE),0)</f>
        <v>30398.83</v>
      </c>
      <c r="X51" s="112">
        <f t="shared" si="12"/>
        <v>0</v>
      </c>
    </row>
    <row r="52" spans="1:24" outlineLevel="2" x14ac:dyDescent="0.3">
      <c r="A52" s="40" t="str">
        <f>VLOOKUP(B52,Grupos!$A$2:$B$619,2,FALSE)</f>
        <v>CAJAS ARRANCADORAS</v>
      </c>
      <c r="B52" s="41" t="s">
        <v>66</v>
      </c>
      <c r="C52" s="41" t="s">
        <v>1054</v>
      </c>
      <c r="D52" s="42">
        <v>121</v>
      </c>
      <c r="E52" s="192">
        <v>40781.56</v>
      </c>
      <c r="F52" s="192">
        <v>5353.18</v>
      </c>
      <c r="G52" s="126">
        <f t="shared" si="23"/>
        <v>46134.74</v>
      </c>
      <c r="H52" s="127">
        <f t="shared" si="24"/>
        <v>4934568.76</v>
      </c>
      <c r="I52" s="128">
        <f t="shared" si="25"/>
        <v>647734.78</v>
      </c>
      <c r="J52" s="128">
        <f t="shared" si="26"/>
        <v>5582303.54</v>
      </c>
      <c r="K52" s="44">
        <f t="shared" si="27"/>
        <v>3.3312010779395882E-3</v>
      </c>
      <c r="L52" s="45">
        <f t="shared" si="28"/>
        <v>11485.339110998237</v>
      </c>
      <c r="M52" s="45">
        <f t="shared" si="29"/>
        <v>31499.311516037138</v>
      </c>
      <c r="N52" s="45">
        <f t="shared" si="30"/>
        <v>89119.390627035376</v>
      </c>
      <c r="O52" s="46">
        <f t="shared" si="31"/>
        <v>10783446.265871281</v>
      </c>
      <c r="P52" s="47">
        <f t="shared" si="32"/>
        <v>150275.76586776861</v>
      </c>
      <c r="Q52" s="42">
        <v>18183367.670000002</v>
      </c>
      <c r="R52" s="48">
        <f t="shared" si="10"/>
        <v>0.59303900474181415</v>
      </c>
      <c r="S52" s="49"/>
      <c r="T52" s="157">
        <f>IFERROR(VLOOKUP(B52,[1]Todos!$A$2:$C$3021,3,FALSE),0)</f>
        <v>5353.18</v>
      </c>
      <c r="U52" s="112">
        <f t="shared" si="11"/>
        <v>0</v>
      </c>
      <c r="W52" s="157">
        <f>IFERROR(VLOOKUP(B52,[1]Todos!$A$2:$B$3021,2,FALSE),0)</f>
        <v>40781.56</v>
      </c>
      <c r="X52" s="112">
        <f t="shared" si="12"/>
        <v>0</v>
      </c>
    </row>
    <row r="53" spans="1:24" outlineLevel="2" x14ac:dyDescent="0.3">
      <c r="A53" s="40" t="str">
        <f>VLOOKUP(B53,Grupos!$A$2:$B$619,2,FALSE)</f>
        <v>CAJAS ARRANCADORAS</v>
      </c>
      <c r="B53" s="41" t="s">
        <v>626</v>
      </c>
      <c r="C53" s="41" t="s">
        <v>1055</v>
      </c>
      <c r="D53" s="42">
        <v>48</v>
      </c>
      <c r="E53" s="192">
        <v>62538.51</v>
      </c>
      <c r="F53" s="192">
        <v>5265.73</v>
      </c>
      <c r="G53" s="126">
        <f t="shared" si="23"/>
        <v>67804.240000000005</v>
      </c>
      <c r="H53" s="127">
        <f t="shared" si="24"/>
        <v>3001848.48</v>
      </c>
      <c r="I53" s="128">
        <f t="shared" si="25"/>
        <v>252755.03999999998</v>
      </c>
      <c r="J53" s="128">
        <f t="shared" si="26"/>
        <v>3254603.5200000005</v>
      </c>
      <c r="K53" s="44">
        <f t="shared" si="27"/>
        <v>1.9421621695064578E-3</v>
      </c>
      <c r="L53" s="45">
        <f t="shared" si="28"/>
        <v>16880.006033707163</v>
      </c>
      <c r="M53" s="45">
        <f t="shared" si="29"/>
        <v>30984.73610626622</v>
      </c>
      <c r="N53" s="45">
        <f t="shared" si="30"/>
        <v>115668.98213997339</v>
      </c>
      <c r="O53" s="46">
        <f t="shared" si="31"/>
        <v>5552111.142718723</v>
      </c>
      <c r="P53" s="47">
        <f t="shared" si="32"/>
        <v>247574.08333333334</v>
      </c>
      <c r="Q53" s="42">
        <v>11883556</v>
      </c>
      <c r="R53" s="48">
        <f t="shared" si="10"/>
        <v>0.467209574534653</v>
      </c>
      <c r="S53" s="49"/>
      <c r="T53" s="157">
        <f>IFERROR(VLOOKUP(B53,[1]Todos!$A$2:$C$3021,3,FALSE),0)</f>
        <v>5265.73</v>
      </c>
      <c r="U53" s="112">
        <f t="shared" si="11"/>
        <v>0</v>
      </c>
      <c r="W53" s="157">
        <f>IFERROR(VLOOKUP(B53,[1]Todos!$A$2:$B$3021,2,FALSE),0)</f>
        <v>62538.51</v>
      </c>
      <c r="X53" s="112">
        <f t="shared" si="12"/>
        <v>0</v>
      </c>
    </row>
    <row r="54" spans="1:24" outlineLevel="2" x14ac:dyDescent="0.3">
      <c r="A54" s="40" t="str">
        <f>VLOOKUP(B54,Grupos!$A$2:$B$619,2,FALSE)</f>
        <v>CAJAS ARRANCADORAS</v>
      </c>
      <c r="B54" s="41" t="s">
        <v>627</v>
      </c>
      <c r="C54" s="41" t="s">
        <v>628</v>
      </c>
      <c r="D54" s="42">
        <v>20</v>
      </c>
      <c r="E54" s="192">
        <v>78390.899999999994</v>
      </c>
      <c r="F54" s="192">
        <v>7236.18</v>
      </c>
      <c r="G54" s="126">
        <f t="shared" si="23"/>
        <v>85627.079999999987</v>
      </c>
      <c r="H54" s="127">
        <f t="shared" si="24"/>
        <v>1567818</v>
      </c>
      <c r="I54" s="128">
        <f t="shared" si="25"/>
        <v>144723.6</v>
      </c>
      <c r="J54" s="128">
        <f t="shared" si="26"/>
        <v>1712541.5999999996</v>
      </c>
      <c r="K54" s="44">
        <f t="shared" si="27"/>
        <v>1.0219473704821838E-3</v>
      </c>
      <c r="L54" s="45">
        <f t="shared" si="28"/>
        <v>21317.038979401957</v>
      </c>
      <c r="M54" s="45">
        <f t="shared" si="29"/>
        <v>42579.305759589181</v>
      </c>
      <c r="N54" s="45">
        <f t="shared" si="30"/>
        <v>149523.42473899113</v>
      </c>
      <c r="O54" s="46">
        <f t="shared" si="31"/>
        <v>2990468.4947798224</v>
      </c>
      <c r="P54" s="47">
        <f t="shared" si="32"/>
        <v>302535.40099999995</v>
      </c>
      <c r="Q54" s="42">
        <v>6050708.0199999996</v>
      </c>
      <c r="R54" s="48">
        <f t="shared" si="10"/>
        <v>0.494234473865725</v>
      </c>
      <c r="S54" s="49"/>
      <c r="T54" s="157">
        <f>IFERROR(VLOOKUP(B54,[1]Todos!$A$2:$C$3021,3,FALSE),0)</f>
        <v>7236.18</v>
      </c>
      <c r="U54" s="112">
        <f t="shared" si="11"/>
        <v>0</v>
      </c>
      <c r="W54" s="157">
        <f>IFERROR(VLOOKUP(B54,[1]Todos!$A$2:$B$3021,2,FALSE),0)</f>
        <v>78390.899999999994</v>
      </c>
      <c r="X54" s="112">
        <f t="shared" si="12"/>
        <v>0</v>
      </c>
    </row>
    <row r="55" spans="1:24" outlineLevel="2" x14ac:dyDescent="0.3">
      <c r="A55" s="40" t="str">
        <f>VLOOKUP(B55,Grupos!$A$2:$B$619,2,FALSE)</f>
        <v>CAJAS ARRANCADORAS</v>
      </c>
      <c r="B55" s="41" t="s">
        <v>629</v>
      </c>
      <c r="C55" s="41" t="s">
        <v>630</v>
      </c>
      <c r="D55" s="42">
        <v>6</v>
      </c>
      <c r="E55" s="192">
        <v>84343.91</v>
      </c>
      <c r="F55" s="192">
        <v>8005.49</v>
      </c>
      <c r="G55" s="126">
        <f t="shared" si="23"/>
        <v>92349.400000000009</v>
      </c>
      <c r="H55" s="127">
        <f t="shared" si="24"/>
        <v>506063.46</v>
      </c>
      <c r="I55" s="128">
        <f t="shared" si="25"/>
        <v>48032.94</v>
      </c>
      <c r="J55" s="128">
        <f t="shared" si="26"/>
        <v>554096.4</v>
      </c>
      <c r="K55" s="44">
        <f t="shared" si="27"/>
        <v>3.306531992995933E-4</v>
      </c>
      <c r="L55" s="45">
        <f t="shared" si="28"/>
        <v>22990.574471585202</v>
      </c>
      <c r="M55" s="45">
        <f t="shared" si="29"/>
        <v>47106.098309513247</v>
      </c>
      <c r="N55" s="45">
        <f t="shared" si="30"/>
        <v>162446.07278109845</v>
      </c>
      <c r="O55" s="46">
        <f t="shared" si="31"/>
        <v>974676.43668659078</v>
      </c>
      <c r="P55" s="47">
        <f t="shared" si="32"/>
        <v>322410.995</v>
      </c>
      <c r="Q55" s="42">
        <v>1934465.97</v>
      </c>
      <c r="R55" s="48">
        <f t="shared" si="10"/>
        <v>0.50384780699274379</v>
      </c>
      <c r="S55" s="49"/>
      <c r="T55" s="157">
        <f>IFERROR(VLOOKUP(B55,[1]Todos!$A$2:$C$3021,3,FALSE),0)</f>
        <v>8005.49</v>
      </c>
      <c r="U55" s="112">
        <f t="shared" si="11"/>
        <v>0</v>
      </c>
      <c r="W55" s="157">
        <f>IFERROR(VLOOKUP(B55,[1]Todos!$A$2:$B$3021,2,FALSE),0)</f>
        <v>84343.91</v>
      </c>
      <c r="X55" s="112">
        <f t="shared" si="12"/>
        <v>0</v>
      </c>
    </row>
    <row r="56" spans="1:24" outlineLevel="2" x14ac:dyDescent="0.3">
      <c r="A56" s="40" t="str">
        <f>VLOOKUP(B56,Grupos!$A$2:$B$619,2,FALSE)</f>
        <v>CAJAS ARRANCADORAS</v>
      </c>
      <c r="B56" s="41" t="s">
        <v>68</v>
      </c>
      <c r="C56" s="41" t="s">
        <v>69</v>
      </c>
      <c r="D56" s="42">
        <v>2</v>
      </c>
      <c r="E56" s="192">
        <v>94916.92</v>
      </c>
      <c r="F56" s="192">
        <v>5465.68</v>
      </c>
      <c r="G56" s="126">
        <f t="shared" si="23"/>
        <v>100382.6</v>
      </c>
      <c r="H56" s="127">
        <f t="shared" si="24"/>
        <v>189833.84</v>
      </c>
      <c r="I56" s="128">
        <f t="shared" si="25"/>
        <v>10931.36</v>
      </c>
      <c r="J56" s="128">
        <f t="shared" si="26"/>
        <v>200765.2</v>
      </c>
      <c r="K56" s="44">
        <f t="shared" si="27"/>
        <v>1.1980524632180016E-4</v>
      </c>
      <c r="L56" s="45">
        <f t="shared" si="28"/>
        <v>24990.456255821355</v>
      </c>
      <c r="M56" s="45">
        <f t="shared" si="29"/>
        <v>32161.286743015153</v>
      </c>
      <c r="N56" s="45">
        <f t="shared" si="30"/>
        <v>157534.34299883651</v>
      </c>
      <c r="O56" s="46">
        <f t="shared" si="31"/>
        <v>315068.68599767302</v>
      </c>
      <c r="P56" s="47">
        <f t="shared" si="32"/>
        <v>320142.505</v>
      </c>
      <c r="Q56" s="42">
        <v>640285.01</v>
      </c>
      <c r="R56" s="48">
        <f t="shared" si="10"/>
        <v>0.49207568672843521</v>
      </c>
      <c r="S56" s="49"/>
      <c r="T56" s="157">
        <f>IFERROR(VLOOKUP(B56,[1]Todos!$A$2:$C$3021,3,FALSE),0)</f>
        <v>5465.68</v>
      </c>
      <c r="U56" s="112">
        <f t="shared" si="11"/>
        <v>0</v>
      </c>
      <c r="W56" s="157">
        <f>IFERROR(VLOOKUP(B56,[1]Todos!$A$2:$B$3021,2,FALSE),0)</f>
        <v>94916.92</v>
      </c>
      <c r="X56" s="112">
        <f t="shared" si="12"/>
        <v>0</v>
      </c>
    </row>
    <row r="57" spans="1:24" s="93" customFormat="1" outlineLevel="1" x14ac:dyDescent="0.3">
      <c r="A57" s="50" t="s">
        <v>1019</v>
      </c>
      <c r="B57" s="129"/>
      <c r="C57" s="129"/>
      <c r="D57" s="51">
        <f>SUBTOTAL(9,D51:D56)</f>
        <v>338</v>
      </c>
      <c r="E57" s="52"/>
      <c r="F57" s="52"/>
      <c r="G57" s="130"/>
      <c r="H57" s="131">
        <f>SUBTOTAL(9,H51:H56)</f>
        <v>14486367.57</v>
      </c>
      <c r="I57" s="146">
        <f>SUBTOTAL(9,I51:I56)</f>
        <v>1734795.9900000002</v>
      </c>
      <c r="J57" s="146">
        <f>SUBTOTAL(9,J51:J56)</f>
        <v>16221163.559999999</v>
      </c>
      <c r="K57" s="53"/>
      <c r="L57" s="54"/>
      <c r="M57" s="54"/>
      <c r="N57" s="54"/>
      <c r="O57" s="55">
        <f>SUBTOTAL(9,O51:O56)</f>
        <v>30467384.452867527</v>
      </c>
      <c r="P57" s="56"/>
      <c r="Q57" s="51">
        <f>SUBTOTAL(9,Q51:Q56)</f>
        <v>53844460.039999999</v>
      </c>
      <c r="R57" s="57">
        <f t="shared" si="10"/>
        <v>0.56584065343461332</v>
      </c>
      <c r="S57" s="58">
        <f>Q57/$Q$308</f>
        <v>1.2434914762528133E-2</v>
      </c>
      <c r="T57" s="157">
        <f>IFERROR(VLOOKUP(B57,[1]Todos!$A$2:$C$3021,3,FALSE),0)</f>
        <v>0</v>
      </c>
      <c r="U57" s="112">
        <f t="shared" si="11"/>
        <v>0</v>
      </c>
      <c r="W57" s="157">
        <f>IFERROR(VLOOKUP(B57,[1]Todos!$A$2:$B$3021,2,FALSE),0)</f>
        <v>0</v>
      </c>
      <c r="X57" s="112">
        <f t="shared" si="12"/>
        <v>0</v>
      </c>
    </row>
    <row r="58" spans="1:24" outlineLevel="2" x14ac:dyDescent="0.3">
      <c r="A58" s="40" t="str">
        <f>VLOOKUP(B58,Grupos!$A$2:$B$619,2,FALSE)</f>
        <v>CAJAS EMPALME</v>
      </c>
      <c r="B58" s="41" t="s">
        <v>70</v>
      </c>
      <c r="C58" s="41" t="s">
        <v>71</v>
      </c>
      <c r="D58" s="42">
        <v>360</v>
      </c>
      <c r="E58" s="195">
        <v>2813.7</v>
      </c>
      <c r="F58" s="192">
        <v>426.22</v>
      </c>
      <c r="G58" s="126">
        <f t="shared" ref="G58:G76" si="33">E58+F58</f>
        <v>3239.92</v>
      </c>
      <c r="H58" s="127">
        <f t="shared" ref="H58:H76" si="34">E58*D58</f>
        <v>1012931.9999999999</v>
      </c>
      <c r="I58" s="128">
        <f t="shared" ref="I58:I76" si="35">F58*D58</f>
        <v>153439.20000000001</v>
      </c>
      <c r="J58" s="128">
        <f t="shared" ref="J58:J76" si="36">G58*D58</f>
        <v>1166371.2</v>
      </c>
      <c r="K58" s="44">
        <f t="shared" ref="K58:K76" si="37">J58/$J$308</f>
        <v>6.9602395693403856E-4</v>
      </c>
      <c r="L58" s="45">
        <f t="shared" ref="L58:L76" si="38">$K$383*K58/D58</f>
        <v>806.58479689070327</v>
      </c>
      <c r="M58" s="45">
        <f t="shared" ref="M58:M76" si="39">F58*$M$382</f>
        <v>2507.9740554895125</v>
      </c>
      <c r="N58" s="45">
        <f t="shared" ref="N58:N76" si="40">G58+L58+M58</f>
        <v>6554.4788523802163</v>
      </c>
      <c r="O58" s="46">
        <f t="shared" ref="O58:O76" si="41">N58*D58</f>
        <v>2359612.3868568777</v>
      </c>
      <c r="P58" s="47">
        <f t="shared" ref="P58:P76" si="42">Q58/D58</f>
        <v>11357.549833333333</v>
      </c>
      <c r="Q58" s="42">
        <v>4088717.94</v>
      </c>
      <c r="R58" s="48">
        <f t="shared" si="10"/>
        <v>0.57710324397111079</v>
      </c>
      <c r="S58" s="49"/>
      <c r="T58" s="157">
        <f>IFERROR(VLOOKUP(B58,[1]Todos!$A$2:$C$3021,3,FALSE),0)</f>
        <v>426.22</v>
      </c>
      <c r="U58" s="112">
        <f t="shared" si="11"/>
        <v>0</v>
      </c>
      <c r="W58" s="157">
        <f>IFERROR(VLOOKUP(B58,[1]Todos!$A$2:$B$3021,2,FALSE),0)</f>
        <v>2813.7</v>
      </c>
      <c r="X58" s="112">
        <f t="shared" si="12"/>
        <v>0</v>
      </c>
    </row>
    <row r="59" spans="1:24" outlineLevel="2" x14ac:dyDescent="0.3">
      <c r="A59" s="40" t="str">
        <f>VLOOKUP(B59,Grupos!$A$2:$B$619,2,FALSE)</f>
        <v>CAJAS EMPALME</v>
      </c>
      <c r="B59" s="41" t="s">
        <v>72</v>
      </c>
      <c r="C59" s="41" t="s">
        <v>73</v>
      </c>
      <c r="D59" s="42">
        <v>1707</v>
      </c>
      <c r="E59" s="195">
        <v>3808.35</v>
      </c>
      <c r="F59" s="192">
        <v>680.53</v>
      </c>
      <c r="G59" s="126">
        <f t="shared" si="33"/>
        <v>4488.88</v>
      </c>
      <c r="H59" s="127">
        <f t="shared" si="34"/>
        <v>6500853.4500000002</v>
      </c>
      <c r="I59" s="128">
        <f t="shared" si="35"/>
        <v>1161664.71</v>
      </c>
      <c r="J59" s="128">
        <f t="shared" si="36"/>
        <v>7662518.1600000001</v>
      </c>
      <c r="K59" s="44">
        <f t="shared" si="37"/>
        <v>4.5725547834189733E-3</v>
      </c>
      <c r="L59" s="45">
        <f t="shared" si="38"/>
        <v>1117.515976649652</v>
      </c>
      <c r="M59" s="45">
        <f t="shared" si="39"/>
        <v>4004.3911219142174</v>
      </c>
      <c r="N59" s="45">
        <f t="shared" si="40"/>
        <v>9610.7870985638692</v>
      </c>
      <c r="O59" s="46">
        <f t="shared" si="41"/>
        <v>16405613.577248525</v>
      </c>
      <c r="P59" s="47">
        <f t="shared" si="42"/>
        <v>12991.44437609842</v>
      </c>
      <c r="Q59" s="42">
        <v>22176395.550000001</v>
      </c>
      <c r="R59" s="48">
        <f t="shared" si="10"/>
        <v>0.73977818172748655</v>
      </c>
      <c r="S59" s="49"/>
      <c r="T59" s="157">
        <f>IFERROR(VLOOKUP(B59,[1]Todos!$A$2:$C$3021,3,FALSE),0)</f>
        <v>680.53</v>
      </c>
      <c r="U59" s="112">
        <f t="shared" si="11"/>
        <v>0</v>
      </c>
      <c r="W59" s="157">
        <f>IFERROR(VLOOKUP(B59,[1]Todos!$A$2:$B$3021,2,FALSE),0)</f>
        <v>3808.35</v>
      </c>
      <c r="X59" s="112">
        <f t="shared" si="12"/>
        <v>0</v>
      </c>
    </row>
    <row r="60" spans="1:24" outlineLevel="2" x14ac:dyDescent="0.3">
      <c r="A60" s="40" t="str">
        <f>VLOOKUP(B60,Grupos!$A$2:$B$619,2,FALSE)</f>
        <v>CAJAS EMPALME</v>
      </c>
      <c r="B60" s="41" t="s">
        <v>74</v>
      </c>
      <c r="C60" s="41" t="s">
        <v>75</v>
      </c>
      <c r="D60" s="42">
        <v>220</v>
      </c>
      <c r="E60" s="195">
        <v>4623.5200000000004</v>
      </c>
      <c r="F60" s="192">
        <v>408.44</v>
      </c>
      <c r="G60" s="126">
        <f t="shared" si="33"/>
        <v>5031.96</v>
      </c>
      <c r="H60" s="127">
        <f t="shared" si="34"/>
        <v>1017174.4000000001</v>
      </c>
      <c r="I60" s="128">
        <f t="shared" si="35"/>
        <v>89856.8</v>
      </c>
      <c r="J60" s="128">
        <f t="shared" si="36"/>
        <v>1107031.2</v>
      </c>
      <c r="K60" s="44">
        <f t="shared" si="37"/>
        <v>6.6061322182289566E-4</v>
      </c>
      <c r="L60" s="45">
        <f t="shared" si="38"/>
        <v>1252.7168678739422</v>
      </c>
      <c r="M60" s="45">
        <f t="shared" si="39"/>
        <v>2403.3525485057867</v>
      </c>
      <c r="N60" s="45">
        <f t="shared" si="40"/>
        <v>8688.0294163797298</v>
      </c>
      <c r="O60" s="46">
        <f t="shared" si="41"/>
        <v>1911366.4716035405</v>
      </c>
      <c r="P60" s="47">
        <f t="shared" si="42"/>
        <v>16041.150090909092</v>
      </c>
      <c r="Q60" s="42">
        <v>3529053.02</v>
      </c>
      <c r="R60" s="48">
        <f t="shared" si="10"/>
        <v>0.541608885095056</v>
      </c>
      <c r="S60" s="49"/>
      <c r="T60" s="157">
        <f>IFERROR(VLOOKUP(B60,[1]Todos!$A$2:$C$3021,3,FALSE),0)</f>
        <v>408.44</v>
      </c>
      <c r="U60" s="112">
        <f t="shared" si="11"/>
        <v>0</v>
      </c>
      <c r="W60" s="157">
        <f>IFERROR(VLOOKUP(B60,[1]Todos!$A$2:$B$3021,2,FALSE),0)</f>
        <v>4623.5200000000004</v>
      </c>
      <c r="X60" s="112">
        <f t="shared" si="12"/>
        <v>0</v>
      </c>
    </row>
    <row r="61" spans="1:24" outlineLevel="2" x14ac:dyDescent="0.3">
      <c r="A61" s="40" t="str">
        <f>VLOOKUP(B61,Grupos!$A$2:$B$619,2,FALSE)</f>
        <v>CAJAS EMPALME</v>
      </c>
      <c r="B61" s="41" t="s">
        <v>76</v>
      </c>
      <c r="C61" s="41" t="s">
        <v>77</v>
      </c>
      <c r="D61" s="42">
        <v>2576</v>
      </c>
      <c r="E61" s="195">
        <v>5549.93</v>
      </c>
      <c r="F61" s="192">
        <v>701.09</v>
      </c>
      <c r="G61" s="126">
        <f t="shared" si="33"/>
        <v>6251.02</v>
      </c>
      <c r="H61" s="127">
        <f t="shared" si="34"/>
        <v>14296619.680000002</v>
      </c>
      <c r="I61" s="128">
        <f t="shared" si="35"/>
        <v>1806007.84</v>
      </c>
      <c r="J61" s="128">
        <f t="shared" si="36"/>
        <v>16102627.520000001</v>
      </c>
      <c r="K61" s="44">
        <f t="shared" si="37"/>
        <v>9.6091317442554697E-3</v>
      </c>
      <c r="L61" s="45">
        <f t="shared" si="38"/>
        <v>1556.2043806821541</v>
      </c>
      <c r="M61" s="45">
        <f t="shared" si="39"/>
        <v>4125.3707722846002</v>
      </c>
      <c r="N61" s="45">
        <f t="shared" si="40"/>
        <v>11932.595152966755</v>
      </c>
      <c r="O61" s="46">
        <f t="shared" si="41"/>
        <v>30738365.11404236</v>
      </c>
      <c r="P61" s="47">
        <f t="shared" si="42"/>
        <v>18127.310139751553</v>
      </c>
      <c r="Q61" s="42">
        <v>46695950.920000002</v>
      </c>
      <c r="R61" s="48">
        <f t="shared" si="10"/>
        <v>0.65826617744017368</v>
      </c>
      <c r="S61" s="49"/>
      <c r="T61" s="157">
        <f>IFERROR(VLOOKUP(B61,[1]Todos!$A$2:$C$3021,3,FALSE),0)</f>
        <v>701.09</v>
      </c>
      <c r="U61" s="112">
        <f t="shared" si="11"/>
        <v>0</v>
      </c>
      <c r="W61" s="157">
        <f>IFERROR(VLOOKUP(B61,[1]Todos!$A$2:$B$3021,2,FALSE),0)</f>
        <v>5549.93</v>
      </c>
      <c r="X61" s="112">
        <f t="shared" si="12"/>
        <v>0</v>
      </c>
    </row>
    <row r="62" spans="1:24" outlineLevel="2" x14ac:dyDescent="0.3">
      <c r="A62" s="40" t="str">
        <f>VLOOKUP(B62,Grupos!$A$2:$B$619,2,FALSE)</f>
        <v>CAJAS EMPALME</v>
      </c>
      <c r="B62" s="41" t="s">
        <v>78</v>
      </c>
      <c r="C62" s="41" t="s">
        <v>79</v>
      </c>
      <c r="D62" s="42">
        <v>1376</v>
      </c>
      <c r="E62" s="195">
        <v>6787.81</v>
      </c>
      <c r="F62" s="192">
        <v>539.74</v>
      </c>
      <c r="G62" s="126">
        <f t="shared" si="33"/>
        <v>7327.55</v>
      </c>
      <c r="H62" s="127">
        <f t="shared" si="34"/>
        <v>9340026.5600000005</v>
      </c>
      <c r="I62" s="128">
        <f t="shared" si="35"/>
        <v>742682.24</v>
      </c>
      <c r="J62" s="128">
        <f t="shared" si="36"/>
        <v>10082708.800000001</v>
      </c>
      <c r="K62" s="44">
        <f t="shared" si="37"/>
        <v>6.0167868304615646E-3</v>
      </c>
      <c r="L62" s="45">
        <f t="shared" si="38"/>
        <v>1824.2087546780392</v>
      </c>
      <c r="M62" s="45">
        <f t="shared" si="39"/>
        <v>3175.9511911921295</v>
      </c>
      <c r="N62" s="45">
        <f t="shared" si="40"/>
        <v>12327.709945870169</v>
      </c>
      <c r="O62" s="46">
        <f t="shared" si="41"/>
        <v>16962928.885517351</v>
      </c>
      <c r="P62" s="47">
        <f t="shared" si="42"/>
        <v>22835.900537790698</v>
      </c>
      <c r="Q62" s="42">
        <v>31422199.140000001</v>
      </c>
      <c r="R62" s="48">
        <f t="shared" si="10"/>
        <v>0.53983901031050974</v>
      </c>
      <c r="S62" s="49"/>
      <c r="T62" s="157">
        <f>IFERROR(VLOOKUP(B62,[1]Todos!$A$2:$C$3021,3,FALSE),0)</f>
        <v>539.74</v>
      </c>
      <c r="U62" s="112">
        <f t="shared" si="11"/>
        <v>0</v>
      </c>
      <c r="W62" s="157">
        <f>IFERROR(VLOOKUP(B62,[1]Todos!$A$2:$B$3021,2,FALSE),0)</f>
        <v>6787.81</v>
      </c>
      <c r="X62" s="112">
        <f t="shared" si="12"/>
        <v>0</v>
      </c>
    </row>
    <row r="63" spans="1:24" outlineLevel="2" x14ac:dyDescent="0.3">
      <c r="A63" s="40" t="str">
        <f>VLOOKUP(B63,Grupos!$A$2:$B$619,2,FALSE)</f>
        <v>CAJAS EMPALME</v>
      </c>
      <c r="B63" s="41" t="s">
        <v>80</v>
      </c>
      <c r="C63" s="41" t="s">
        <v>81</v>
      </c>
      <c r="D63" s="42">
        <v>216</v>
      </c>
      <c r="E63" s="195">
        <v>6420.01</v>
      </c>
      <c r="F63" s="192">
        <v>404.9</v>
      </c>
      <c r="G63" s="126">
        <f t="shared" si="33"/>
        <v>6824.91</v>
      </c>
      <c r="H63" s="127">
        <f t="shared" si="34"/>
        <v>1386722.1600000001</v>
      </c>
      <c r="I63" s="128">
        <f t="shared" si="35"/>
        <v>87458.4</v>
      </c>
      <c r="J63" s="128">
        <f t="shared" si="36"/>
        <v>1474180.56</v>
      </c>
      <c r="K63" s="44">
        <f t="shared" si="37"/>
        <v>8.7970706633225932E-4</v>
      </c>
      <c r="L63" s="45">
        <f t="shared" si="38"/>
        <v>1699.0754852426387</v>
      </c>
      <c r="M63" s="45">
        <f t="shared" si="39"/>
        <v>2382.5223946968786</v>
      </c>
      <c r="N63" s="45">
        <f t="shared" si="40"/>
        <v>10906.507879939516</v>
      </c>
      <c r="O63" s="46">
        <f t="shared" si="41"/>
        <v>2355805.7020669356</v>
      </c>
      <c r="P63" s="47">
        <f t="shared" si="42"/>
        <v>23023.083657407409</v>
      </c>
      <c r="Q63" s="42">
        <v>4972986.07</v>
      </c>
      <c r="R63" s="48">
        <f t="shared" si="10"/>
        <v>0.47372055117518869</v>
      </c>
      <c r="S63" s="49"/>
      <c r="T63" s="157">
        <f>IFERROR(VLOOKUP(B63,[1]Todos!$A$2:$C$3021,3,FALSE),0)</f>
        <v>404.9</v>
      </c>
      <c r="U63" s="112">
        <f t="shared" si="11"/>
        <v>0</v>
      </c>
      <c r="W63" s="157">
        <f>IFERROR(VLOOKUP(B63,[1]Todos!$A$2:$B$3021,2,FALSE),0)</f>
        <v>6420.01</v>
      </c>
      <c r="X63" s="112">
        <f t="shared" si="12"/>
        <v>0</v>
      </c>
    </row>
    <row r="64" spans="1:24" outlineLevel="2" x14ac:dyDescent="0.3">
      <c r="A64" s="40" t="str">
        <f>VLOOKUP(B64,Grupos!$A$2:$B$619,2,FALSE)</f>
        <v>CAJAS EMPALME</v>
      </c>
      <c r="B64" s="41" t="s">
        <v>82</v>
      </c>
      <c r="C64" s="41" t="s">
        <v>83</v>
      </c>
      <c r="D64" s="42">
        <v>336</v>
      </c>
      <c r="E64" s="195">
        <v>7687.44</v>
      </c>
      <c r="F64" s="192">
        <v>497.98</v>
      </c>
      <c r="G64" s="126">
        <f t="shared" si="33"/>
        <v>8185.42</v>
      </c>
      <c r="H64" s="127">
        <f t="shared" si="34"/>
        <v>2582979.84</v>
      </c>
      <c r="I64" s="128">
        <f t="shared" si="35"/>
        <v>167321.28</v>
      </c>
      <c r="J64" s="128">
        <f t="shared" si="36"/>
        <v>2750301.12</v>
      </c>
      <c r="K64" s="44">
        <f t="shared" si="37"/>
        <v>1.6412231957566494E-3</v>
      </c>
      <c r="L64" s="45">
        <f t="shared" si="38"/>
        <v>2037.7772686254909</v>
      </c>
      <c r="M64" s="45">
        <f t="shared" si="39"/>
        <v>2930.22598693789</v>
      </c>
      <c r="N64" s="45">
        <f t="shared" si="40"/>
        <v>13153.423255563381</v>
      </c>
      <c r="O64" s="46">
        <f t="shared" si="41"/>
        <v>4419550.213869296</v>
      </c>
      <c r="P64" s="47">
        <f t="shared" si="42"/>
        <v>27449.677946428568</v>
      </c>
      <c r="Q64" s="42">
        <v>9223091.7899999991</v>
      </c>
      <c r="R64" s="48">
        <f t="shared" si="10"/>
        <v>0.47918315403313322</v>
      </c>
      <c r="S64" s="49"/>
      <c r="T64" s="157">
        <f>IFERROR(VLOOKUP(B64,[1]Todos!$A$2:$C$3021,3,FALSE),0)</f>
        <v>497.98</v>
      </c>
      <c r="U64" s="112">
        <f t="shared" si="11"/>
        <v>0</v>
      </c>
      <c r="W64" s="157">
        <f>IFERROR(VLOOKUP(B64,[1]Todos!$A$2:$B$3021,2,FALSE),0)</f>
        <v>7687.44</v>
      </c>
      <c r="X64" s="112">
        <f t="shared" si="12"/>
        <v>0</v>
      </c>
    </row>
    <row r="65" spans="1:24" outlineLevel="2" x14ac:dyDescent="0.3">
      <c r="A65" s="40" t="str">
        <f>VLOOKUP(B65,Grupos!$A$2:$B$619,2,FALSE)</f>
        <v>CAJAS EMPALME</v>
      </c>
      <c r="B65" s="41" t="s">
        <v>84</v>
      </c>
      <c r="C65" s="41" t="s">
        <v>85</v>
      </c>
      <c r="D65" s="42">
        <v>312</v>
      </c>
      <c r="E65" s="195">
        <v>9070.9699999999993</v>
      </c>
      <c r="F65" s="192">
        <v>501.95</v>
      </c>
      <c r="G65" s="126">
        <f t="shared" si="33"/>
        <v>9572.92</v>
      </c>
      <c r="H65" s="127">
        <f t="shared" si="34"/>
        <v>2830142.6399999997</v>
      </c>
      <c r="I65" s="128">
        <f t="shared" si="35"/>
        <v>156608.4</v>
      </c>
      <c r="J65" s="128">
        <f t="shared" si="36"/>
        <v>2986751.04</v>
      </c>
      <c r="K65" s="44">
        <f t="shared" si="37"/>
        <v>1.7823230522475647E-3</v>
      </c>
      <c r="L65" s="45">
        <f t="shared" si="38"/>
        <v>2383.1982684297609</v>
      </c>
      <c r="M65" s="45">
        <f t="shared" si="39"/>
        <v>2953.5863571699138</v>
      </c>
      <c r="N65" s="45">
        <f t="shared" si="40"/>
        <v>14909.704625599674</v>
      </c>
      <c r="O65" s="46">
        <f t="shared" si="41"/>
        <v>4651827.8431870984</v>
      </c>
      <c r="P65" s="47">
        <f t="shared" si="42"/>
        <v>30801.057115384618</v>
      </c>
      <c r="Q65" s="42">
        <v>9609929.8200000003</v>
      </c>
      <c r="R65" s="48">
        <f t="shared" si="10"/>
        <v>0.48406470497898996</v>
      </c>
      <c r="S65" s="49"/>
      <c r="T65" s="157">
        <f>IFERROR(VLOOKUP(B65,[1]Todos!$A$2:$C$3021,3,FALSE),0)</f>
        <v>501.95</v>
      </c>
      <c r="U65" s="112">
        <f t="shared" si="11"/>
        <v>0</v>
      </c>
      <c r="W65" s="157">
        <f>IFERROR(VLOOKUP(B65,[1]Todos!$A$2:$B$3021,2,FALSE),0)</f>
        <v>9070.9699999999993</v>
      </c>
      <c r="X65" s="112">
        <f t="shared" si="12"/>
        <v>0</v>
      </c>
    </row>
    <row r="66" spans="1:24" outlineLevel="2" x14ac:dyDescent="0.3">
      <c r="A66" s="40" t="str">
        <f>VLOOKUP(B66,Grupos!$A$2:$B$619,2,FALSE)</f>
        <v>CAJAS EMPALME</v>
      </c>
      <c r="B66" s="41" t="s">
        <v>86</v>
      </c>
      <c r="C66" s="41" t="s">
        <v>87</v>
      </c>
      <c r="D66" s="42">
        <v>992</v>
      </c>
      <c r="E66" s="195">
        <v>10016.299999999999</v>
      </c>
      <c r="F66" s="192">
        <v>527.86</v>
      </c>
      <c r="G66" s="126">
        <f t="shared" si="33"/>
        <v>10544.16</v>
      </c>
      <c r="H66" s="127">
        <f t="shared" si="34"/>
        <v>9936169.5999999996</v>
      </c>
      <c r="I66" s="128">
        <f t="shared" si="35"/>
        <v>523637.12</v>
      </c>
      <c r="J66" s="128">
        <f t="shared" si="36"/>
        <v>10459806.720000001</v>
      </c>
      <c r="K66" s="44">
        <f t="shared" si="37"/>
        <v>6.2418174094316181E-3</v>
      </c>
      <c r="L66" s="45">
        <f t="shared" si="38"/>
        <v>2624.9904787720311</v>
      </c>
      <c r="M66" s="45">
        <f t="shared" si="39"/>
        <v>3106.0466072232512</v>
      </c>
      <c r="N66" s="45">
        <f t="shared" si="40"/>
        <v>16275.197085995282</v>
      </c>
      <c r="O66" s="46">
        <f t="shared" si="41"/>
        <v>16144995.509307319</v>
      </c>
      <c r="P66" s="47">
        <f t="shared" si="42"/>
        <v>33443.025221774195</v>
      </c>
      <c r="Q66" s="42">
        <v>33175481.02</v>
      </c>
      <c r="R66" s="48">
        <f t="shared" si="10"/>
        <v>0.48665445120672796</v>
      </c>
      <c r="S66" s="49"/>
      <c r="T66" s="157">
        <f>IFERROR(VLOOKUP(B66,[1]Todos!$A$2:$C$3021,3,FALSE),0)</f>
        <v>527.86</v>
      </c>
      <c r="U66" s="112">
        <f t="shared" si="11"/>
        <v>0</v>
      </c>
      <c r="W66" s="157">
        <f>IFERROR(VLOOKUP(B66,[1]Todos!$A$2:$B$3021,2,FALSE),0)</f>
        <v>10016.299999999999</v>
      </c>
      <c r="X66" s="112">
        <f t="shared" si="12"/>
        <v>0</v>
      </c>
    </row>
    <row r="67" spans="1:24" outlineLevel="2" x14ac:dyDescent="0.3">
      <c r="A67" s="40" t="str">
        <f>VLOOKUP(B67,Grupos!$A$2:$B$619,2,FALSE)</f>
        <v>CAJAS EMPALME</v>
      </c>
      <c r="B67" s="41" t="s">
        <v>88</v>
      </c>
      <c r="C67" s="41" t="s">
        <v>89</v>
      </c>
      <c r="D67" s="42">
        <v>1056</v>
      </c>
      <c r="E67" s="195">
        <v>11678.42</v>
      </c>
      <c r="F67" s="192">
        <v>664.85</v>
      </c>
      <c r="G67" s="126">
        <f t="shared" si="33"/>
        <v>12343.27</v>
      </c>
      <c r="H67" s="127">
        <f t="shared" si="34"/>
        <v>12332411.52</v>
      </c>
      <c r="I67" s="128">
        <f t="shared" si="35"/>
        <v>702081.6</v>
      </c>
      <c r="J67" s="128">
        <f t="shared" si="36"/>
        <v>13034493.120000001</v>
      </c>
      <c r="K67" s="44">
        <f t="shared" si="37"/>
        <v>7.7782437340804559E-3</v>
      </c>
      <c r="L67" s="45">
        <f t="shared" si="38"/>
        <v>3072.8826409038224</v>
      </c>
      <c r="M67" s="45">
        <f t="shared" si="39"/>
        <v>3912.1264858340819</v>
      </c>
      <c r="N67" s="45">
        <f t="shared" si="40"/>
        <v>19328.279126737907</v>
      </c>
      <c r="O67" s="46">
        <f t="shared" si="41"/>
        <v>20410662.757835232</v>
      </c>
      <c r="P67" s="47">
        <f t="shared" si="42"/>
        <v>38817.513342803031</v>
      </c>
      <c r="Q67" s="42">
        <v>40991294.090000004</v>
      </c>
      <c r="R67" s="48">
        <f t="shared" si="10"/>
        <v>0.4979267722805194</v>
      </c>
      <c r="S67" s="49"/>
      <c r="T67" s="157">
        <f>IFERROR(VLOOKUP(B67,[1]Todos!$A$2:$C$3021,3,FALSE),0)</f>
        <v>664.85</v>
      </c>
      <c r="U67" s="112">
        <f t="shared" si="11"/>
        <v>0</v>
      </c>
      <c r="W67" s="157">
        <f>IFERROR(VLOOKUP(B67,[1]Todos!$A$2:$B$3021,2,FALSE),0)</f>
        <v>11678.42</v>
      </c>
      <c r="X67" s="112">
        <f t="shared" si="12"/>
        <v>0</v>
      </c>
    </row>
    <row r="68" spans="1:24" outlineLevel="2" x14ac:dyDescent="0.3">
      <c r="A68" s="40" t="str">
        <f>VLOOKUP(B68,Grupos!$A$2:$B$619,2,FALSE)</f>
        <v>CAJAS EMPALME</v>
      </c>
      <c r="B68" s="41" t="s">
        <v>90</v>
      </c>
      <c r="C68" s="41" t="s">
        <v>91</v>
      </c>
      <c r="D68" s="42">
        <v>105</v>
      </c>
      <c r="E68" s="195">
        <v>14783.94</v>
      </c>
      <c r="F68" s="192">
        <v>656.71</v>
      </c>
      <c r="G68" s="126">
        <f t="shared" si="33"/>
        <v>15440.650000000001</v>
      </c>
      <c r="H68" s="127">
        <f t="shared" si="34"/>
        <v>1552313.7</v>
      </c>
      <c r="I68" s="128">
        <f t="shared" si="35"/>
        <v>68954.55</v>
      </c>
      <c r="J68" s="128">
        <f t="shared" si="36"/>
        <v>1621268.2500000002</v>
      </c>
      <c r="K68" s="44">
        <f t="shared" si="37"/>
        <v>9.6748062933697625E-4</v>
      </c>
      <c r="L68" s="45">
        <f t="shared" si="38"/>
        <v>3843.9818094614802</v>
      </c>
      <c r="M68" s="45">
        <f t="shared" si="39"/>
        <v>3864.2289005220728</v>
      </c>
      <c r="N68" s="45">
        <f t="shared" si="40"/>
        <v>23148.860709983557</v>
      </c>
      <c r="O68" s="46">
        <f t="shared" si="41"/>
        <v>2430630.3745482736</v>
      </c>
      <c r="P68" s="47">
        <f t="shared" si="42"/>
        <v>45713.999809523812</v>
      </c>
      <c r="Q68" s="42">
        <v>4799969.9800000004</v>
      </c>
      <c r="R68" s="48">
        <f t="shared" si="10"/>
        <v>0.50638449504391969</v>
      </c>
      <c r="S68" s="49"/>
      <c r="T68" s="157">
        <f>IFERROR(VLOOKUP(B68,[1]Todos!$A$2:$C$3021,3,FALSE),0)</f>
        <v>656.71</v>
      </c>
      <c r="U68" s="112">
        <f t="shared" si="11"/>
        <v>0</v>
      </c>
      <c r="W68" s="157">
        <f>IFERROR(VLOOKUP(B68,[1]Todos!$A$2:$B$3021,2,FALSE),0)</f>
        <v>14783.94</v>
      </c>
      <c r="X68" s="112">
        <f t="shared" si="12"/>
        <v>0</v>
      </c>
    </row>
    <row r="69" spans="1:24" outlineLevel="2" x14ac:dyDescent="0.3">
      <c r="A69" s="40" t="str">
        <f>VLOOKUP(B69,Grupos!$A$2:$B$619,2,FALSE)</f>
        <v>CAJAS EMPALME</v>
      </c>
      <c r="B69" s="41" t="s">
        <v>92</v>
      </c>
      <c r="C69" s="41" t="s">
        <v>93</v>
      </c>
      <c r="D69" s="42">
        <v>540</v>
      </c>
      <c r="E69" s="195">
        <v>18356.189999999999</v>
      </c>
      <c r="F69" s="192">
        <v>904.07</v>
      </c>
      <c r="G69" s="126">
        <f t="shared" si="33"/>
        <v>19260.259999999998</v>
      </c>
      <c r="H69" s="127">
        <f t="shared" si="34"/>
        <v>9912342.5999999996</v>
      </c>
      <c r="I69" s="128">
        <f t="shared" si="35"/>
        <v>488197.80000000005</v>
      </c>
      <c r="J69" s="128">
        <f t="shared" si="36"/>
        <v>10400540.399999999</v>
      </c>
      <c r="K69" s="44">
        <f t="shared" si="37"/>
        <v>6.2064506423515318E-3</v>
      </c>
      <c r="L69" s="45">
        <f t="shared" si="38"/>
        <v>4794.881632929867</v>
      </c>
      <c r="M69" s="45">
        <f t="shared" si="39"/>
        <v>5319.7506084801362</v>
      </c>
      <c r="N69" s="45">
        <f t="shared" si="40"/>
        <v>29374.892241410002</v>
      </c>
      <c r="O69" s="46">
        <f t="shared" si="41"/>
        <v>15862441.8103614</v>
      </c>
      <c r="P69" s="47">
        <f t="shared" si="42"/>
        <v>57736.833240740736</v>
      </c>
      <c r="Q69" s="42">
        <v>31177889.949999999</v>
      </c>
      <c r="R69" s="48">
        <f t="shared" ref="R69:R132" si="43">O69/Q69</f>
        <v>0.50877214063555964</v>
      </c>
      <c r="S69" s="49"/>
      <c r="T69" s="157">
        <f>IFERROR(VLOOKUP(B69,[1]Todos!$A$2:$C$3021,3,FALSE),0)</f>
        <v>904.07</v>
      </c>
      <c r="U69" s="112">
        <f t="shared" si="11"/>
        <v>0</v>
      </c>
      <c r="W69" s="157">
        <f>IFERROR(VLOOKUP(B69,[1]Todos!$A$2:$B$3021,2,FALSE),0)</f>
        <v>18356.189999999999</v>
      </c>
      <c r="X69" s="112">
        <f t="shared" si="12"/>
        <v>0</v>
      </c>
    </row>
    <row r="70" spans="1:24" outlineLevel="2" x14ac:dyDescent="0.3">
      <c r="A70" s="40" t="str">
        <f>VLOOKUP(B70,Grupos!$A$2:$B$619,2,FALSE)</f>
        <v>CAJAS EMPALME</v>
      </c>
      <c r="B70" s="41" t="s">
        <v>94</v>
      </c>
      <c r="C70" s="41" t="s">
        <v>95</v>
      </c>
      <c r="D70" s="42">
        <v>189</v>
      </c>
      <c r="E70" s="195">
        <v>20905.259999999998</v>
      </c>
      <c r="F70" s="192">
        <v>834.04</v>
      </c>
      <c r="G70" s="126">
        <f t="shared" si="33"/>
        <v>21739.3</v>
      </c>
      <c r="H70" s="127">
        <f t="shared" si="34"/>
        <v>3951094.1399999997</v>
      </c>
      <c r="I70" s="128">
        <f t="shared" si="35"/>
        <v>157633.56</v>
      </c>
      <c r="J70" s="128">
        <f t="shared" si="36"/>
        <v>4108727.6999999997</v>
      </c>
      <c r="K70" s="44">
        <f t="shared" si="37"/>
        <v>2.4518548740902475E-3</v>
      </c>
      <c r="L70" s="45">
        <f t="shared" si="38"/>
        <v>5412.0437773297072</v>
      </c>
      <c r="M70" s="45">
        <f t="shared" si="39"/>
        <v>4907.6783849666199</v>
      </c>
      <c r="N70" s="45">
        <f t="shared" si="40"/>
        <v>32059.022162296325</v>
      </c>
      <c r="O70" s="46">
        <f t="shared" si="41"/>
        <v>6059155.1886740057</v>
      </c>
      <c r="P70" s="47">
        <f t="shared" si="42"/>
        <v>69484.275132275128</v>
      </c>
      <c r="Q70" s="42">
        <v>13132528</v>
      </c>
      <c r="R70" s="48">
        <f t="shared" si="43"/>
        <v>0.46138528611353469</v>
      </c>
      <c r="S70" s="49"/>
      <c r="T70" s="157">
        <f>IFERROR(VLOOKUP(B70,[1]Todos!$A$2:$C$3021,3,FALSE),0)</f>
        <v>834.04</v>
      </c>
      <c r="U70" s="112">
        <f t="shared" ref="U70:U133" si="44">T70-F70</f>
        <v>0</v>
      </c>
      <c r="W70" s="157">
        <f>IFERROR(VLOOKUP(B70,[1]Todos!$A$2:$B$3021,2,FALSE),0)</f>
        <v>20905.259999999998</v>
      </c>
      <c r="X70" s="112">
        <f t="shared" ref="X70:X133" si="45">W70-E70</f>
        <v>0</v>
      </c>
    </row>
    <row r="71" spans="1:24" outlineLevel="2" x14ac:dyDescent="0.3">
      <c r="A71" s="40" t="str">
        <f>VLOOKUP(B71,Grupos!$A$2:$B$619,2,FALSE)</f>
        <v>CAJAS EMPALME</v>
      </c>
      <c r="B71" s="41" t="s">
        <v>96</v>
      </c>
      <c r="C71" s="41" t="s">
        <v>97</v>
      </c>
      <c r="D71" s="42">
        <v>294</v>
      </c>
      <c r="E71" s="195">
        <v>30303.23</v>
      </c>
      <c r="F71" s="192">
        <v>1061.76</v>
      </c>
      <c r="G71" s="126">
        <f t="shared" si="33"/>
        <v>31364.989999999998</v>
      </c>
      <c r="H71" s="127">
        <f t="shared" si="34"/>
        <v>8909149.6199999992</v>
      </c>
      <c r="I71" s="128">
        <f t="shared" si="35"/>
        <v>312157.44</v>
      </c>
      <c r="J71" s="128">
        <f t="shared" si="36"/>
        <v>9221307.0599999987</v>
      </c>
      <c r="K71" s="44">
        <f t="shared" si="37"/>
        <v>5.5027512922172497E-3</v>
      </c>
      <c r="L71" s="45">
        <f t="shared" si="38"/>
        <v>7808.3792465952665</v>
      </c>
      <c r="M71" s="45">
        <f t="shared" si="39"/>
        <v>6247.6339288549216</v>
      </c>
      <c r="N71" s="45">
        <f t="shared" si="40"/>
        <v>45421.003175450183</v>
      </c>
      <c r="O71" s="46">
        <f t="shared" si="41"/>
        <v>13353774.933582354</v>
      </c>
      <c r="P71" s="47">
        <f t="shared" si="42"/>
        <v>86463.68874149659</v>
      </c>
      <c r="Q71" s="42">
        <v>25420324.489999998</v>
      </c>
      <c r="R71" s="48">
        <f t="shared" si="43"/>
        <v>0.52531882269384655</v>
      </c>
      <c r="S71" s="49"/>
      <c r="T71" s="157">
        <f>IFERROR(VLOOKUP(B71,[1]Todos!$A$2:$C$3021,3,FALSE),0)</f>
        <v>1061.76</v>
      </c>
      <c r="U71" s="112">
        <f t="shared" si="44"/>
        <v>0</v>
      </c>
      <c r="W71" s="157">
        <f>IFERROR(VLOOKUP(B71,[1]Todos!$A$2:$B$3021,2,FALSE),0)</f>
        <v>30303.23</v>
      </c>
      <c r="X71" s="112">
        <f t="shared" si="45"/>
        <v>0</v>
      </c>
    </row>
    <row r="72" spans="1:24" outlineLevel="2" x14ac:dyDescent="0.3">
      <c r="A72" s="40" t="str">
        <f>VLOOKUP(B72,Grupos!$A$2:$B$619,2,FALSE)</f>
        <v>CAJAS EMPALME</v>
      </c>
      <c r="B72" s="41" t="s">
        <v>98</v>
      </c>
      <c r="C72" s="41" t="s">
        <v>99</v>
      </c>
      <c r="D72" s="42">
        <v>109</v>
      </c>
      <c r="E72" s="195">
        <v>35832.339999999997</v>
      </c>
      <c r="F72" s="192">
        <v>1256.9100000000001</v>
      </c>
      <c r="G72" s="126">
        <f t="shared" si="33"/>
        <v>37089.25</v>
      </c>
      <c r="H72" s="127">
        <f t="shared" si="34"/>
        <v>3905725.0599999996</v>
      </c>
      <c r="I72" s="128">
        <f t="shared" si="35"/>
        <v>137003.19</v>
      </c>
      <c r="J72" s="128">
        <f t="shared" si="36"/>
        <v>4042728.25</v>
      </c>
      <c r="K72" s="44">
        <f t="shared" si="37"/>
        <v>2.4124701581915097E-3</v>
      </c>
      <c r="L72" s="45">
        <f t="shared" si="38"/>
        <v>9233.4456338670461</v>
      </c>
      <c r="M72" s="45">
        <f t="shared" si="39"/>
        <v>7395.9402892527878</v>
      </c>
      <c r="N72" s="45">
        <f t="shared" si="40"/>
        <v>53718.635923119829</v>
      </c>
      <c r="O72" s="46">
        <f t="shared" si="41"/>
        <v>5855331.315620061</v>
      </c>
      <c r="P72" s="47">
        <f t="shared" si="42"/>
        <v>110168.39073394495</v>
      </c>
      <c r="Q72" s="42">
        <v>12008354.59</v>
      </c>
      <c r="R72" s="48">
        <f t="shared" si="43"/>
        <v>0.48760479812081076</v>
      </c>
      <c r="S72" s="49"/>
      <c r="T72" s="157">
        <f>IFERROR(VLOOKUP(B72,[1]Todos!$A$2:$C$3021,3,FALSE),0)</f>
        <v>1256.9100000000001</v>
      </c>
      <c r="U72" s="112">
        <f t="shared" si="44"/>
        <v>0</v>
      </c>
      <c r="W72" s="157">
        <f>IFERROR(VLOOKUP(B72,[1]Todos!$A$2:$B$3021,2,FALSE),0)</f>
        <v>35832.339999999997</v>
      </c>
      <c r="X72" s="112">
        <f t="shared" si="45"/>
        <v>0</v>
      </c>
    </row>
    <row r="73" spans="1:24" outlineLevel="2" x14ac:dyDescent="0.3">
      <c r="A73" s="40" t="str">
        <f>VLOOKUP(B73,Grupos!$A$2:$B$619,2,FALSE)</f>
        <v>CAJAS EMPALME</v>
      </c>
      <c r="B73" s="41" t="s">
        <v>100</v>
      </c>
      <c r="C73" s="41" t="s">
        <v>101</v>
      </c>
      <c r="D73" s="42">
        <v>11</v>
      </c>
      <c r="E73" s="195">
        <v>42663.97</v>
      </c>
      <c r="F73" s="192">
        <v>2101.35</v>
      </c>
      <c r="G73" s="126">
        <f t="shared" si="33"/>
        <v>44765.32</v>
      </c>
      <c r="H73" s="127">
        <f t="shared" si="34"/>
        <v>469303.67000000004</v>
      </c>
      <c r="I73" s="128">
        <f t="shared" si="35"/>
        <v>23114.85</v>
      </c>
      <c r="J73" s="128">
        <f t="shared" si="36"/>
        <v>492418.52</v>
      </c>
      <c r="K73" s="44">
        <f t="shared" si="37"/>
        <v>2.9384735044727013E-4</v>
      </c>
      <c r="L73" s="45">
        <f t="shared" si="38"/>
        <v>11144.419164654479</v>
      </c>
      <c r="M73" s="45">
        <f t="shared" si="39"/>
        <v>12364.814606313375</v>
      </c>
      <c r="N73" s="45">
        <f t="shared" si="40"/>
        <v>68274.553770967847</v>
      </c>
      <c r="O73" s="46">
        <f t="shared" si="41"/>
        <v>751020.09148064628</v>
      </c>
      <c r="P73" s="47">
        <f t="shared" si="42"/>
        <v>130808.49545454545</v>
      </c>
      <c r="Q73" s="42">
        <v>1438893.45</v>
      </c>
      <c r="R73" s="48">
        <f t="shared" si="43"/>
        <v>0.52194281062343173</v>
      </c>
      <c r="S73" s="49"/>
      <c r="T73" s="157">
        <f>IFERROR(VLOOKUP(B73,[1]Todos!$A$2:$C$3021,3,FALSE),0)</f>
        <v>2101.35</v>
      </c>
      <c r="U73" s="112">
        <f t="shared" si="44"/>
        <v>0</v>
      </c>
      <c r="W73" s="157">
        <f>IFERROR(VLOOKUP(B73,[1]Todos!$A$2:$B$3021,2,FALSE),0)</f>
        <v>42663.97</v>
      </c>
      <c r="X73" s="112">
        <f t="shared" si="45"/>
        <v>0</v>
      </c>
    </row>
    <row r="74" spans="1:24" outlineLevel="2" x14ac:dyDescent="0.3">
      <c r="A74" s="40" t="str">
        <f>VLOOKUP(B74,Grupos!$A$2:$B$619,2,FALSE)</f>
        <v>CAJAS EMPALME</v>
      </c>
      <c r="B74" s="41" t="s">
        <v>631</v>
      </c>
      <c r="C74" s="41" t="s">
        <v>1057</v>
      </c>
      <c r="D74" s="42">
        <v>192</v>
      </c>
      <c r="E74" s="43">
        <v>15287.999437500002</v>
      </c>
      <c r="F74" s="43">
        <v>0</v>
      </c>
      <c r="G74" s="126">
        <f t="shared" si="33"/>
        <v>15287.999437500002</v>
      </c>
      <c r="H74" s="127">
        <f t="shared" si="34"/>
        <v>2935295.8920000005</v>
      </c>
      <c r="I74" s="128">
        <f t="shared" si="35"/>
        <v>0</v>
      </c>
      <c r="J74" s="128">
        <f t="shared" si="36"/>
        <v>2935295.8920000005</v>
      </c>
      <c r="K74" s="44">
        <f t="shared" si="37"/>
        <v>1.7516175481030983E-3</v>
      </c>
      <c r="L74" s="45">
        <f t="shared" si="38"/>
        <v>3805.9791356456717</v>
      </c>
      <c r="M74" s="45">
        <f t="shared" si="39"/>
        <v>0</v>
      </c>
      <c r="N74" s="45">
        <f t="shared" si="40"/>
        <v>19093.978573145672</v>
      </c>
      <c r="O74" s="46">
        <f t="shared" si="41"/>
        <v>3666043.8860439691</v>
      </c>
      <c r="P74" s="47">
        <f t="shared" si="42"/>
        <v>38219.998593750002</v>
      </c>
      <c r="Q74" s="42">
        <v>7338239.7300000004</v>
      </c>
      <c r="R74" s="48">
        <f t="shared" si="43"/>
        <v>0.49958082877240217</v>
      </c>
      <c r="S74" s="49"/>
      <c r="T74" s="157">
        <f>IFERROR(VLOOKUP(B74,[1]Todos!$A$2:$C$3021,3,FALSE),0)</f>
        <v>0</v>
      </c>
      <c r="U74" s="112">
        <f t="shared" si="44"/>
        <v>0</v>
      </c>
      <c r="W74" s="157">
        <f>IFERROR(VLOOKUP(B74,[1]Todos!$A$2:$B$3021,2,FALSE),0)</f>
        <v>0</v>
      </c>
      <c r="X74" s="112">
        <f t="shared" si="45"/>
        <v>-15287.999437500002</v>
      </c>
    </row>
    <row r="75" spans="1:24" outlineLevel="2" x14ac:dyDescent="0.3">
      <c r="A75" s="40" t="str">
        <f>VLOOKUP(B75,Grupos!$A$2:$B$619,2,FALSE)</f>
        <v>CAJAS EMPALME</v>
      </c>
      <c r="B75" s="41" t="s">
        <v>102</v>
      </c>
      <c r="C75" s="41" t="s">
        <v>103</v>
      </c>
      <c r="D75" s="42">
        <v>174</v>
      </c>
      <c r="E75" s="43">
        <v>5582.61</v>
      </c>
      <c r="F75" s="192">
        <v>430.78</v>
      </c>
      <c r="G75" s="126">
        <f t="shared" si="33"/>
        <v>6013.3899999999994</v>
      </c>
      <c r="H75" s="127">
        <f t="shared" si="34"/>
        <v>971374.1399999999</v>
      </c>
      <c r="I75" s="128">
        <f t="shared" si="35"/>
        <v>74955.72</v>
      </c>
      <c r="J75" s="128">
        <f t="shared" si="36"/>
        <v>1046329.8599999999</v>
      </c>
      <c r="K75" s="44">
        <f t="shared" si="37"/>
        <v>6.2439011647015845E-4</v>
      </c>
      <c r="L75" s="45">
        <f t="shared" si="38"/>
        <v>1497.0458998291888</v>
      </c>
      <c r="M75" s="45">
        <f t="shared" si="39"/>
        <v>2534.8061180230211</v>
      </c>
      <c r="N75" s="45">
        <f t="shared" si="40"/>
        <v>10045.24201785221</v>
      </c>
      <c r="O75" s="46">
        <f t="shared" si="41"/>
        <v>1747872.1111062844</v>
      </c>
      <c r="P75" s="47">
        <f t="shared" si="42"/>
        <v>25925.275402298848</v>
      </c>
      <c r="Q75" s="42">
        <v>4510997.92</v>
      </c>
      <c r="R75" s="48">
        <f t="shared" si="43"/>
        <v>0.38746905720282054</v>
      </c>
      <c r="S75" s="49"/>
      <c r="T75" s="157">
        <f>IFERROR(VLOOKUP(B75,[1]Todos!$A$2:$C$3021,3,FALSE),0)</f>
        <v>430.78</v>
      </c>
      <c r="U75" s="112">
        <f t="shared" si="44"/>
        <v>0</v>
      </c>
      <c r="W75" s="157">
        <f>IFERROR(VLOOKUP(B75,[1]Todos!$A$2:$B$3021,2,FALSE),0)</f>
        <v>5462.07</v>
      </c>
      <c r="X75" s="112">
        <f t="shared" si="45"/>
        <v>-120.53999999999996</v>
      </c>
    </row>
    <row r="76" spans="1:24" outlineLevel="2" x14ac:dyDescent="0.3">
      <c r="A76" s="40" t="str">
        <f>VLOOKUP(B76,Grupos!$A$2:$B$619,2,FALSE)</f>
        <v>CAJAS EMPALME</v>
      </c>
      <c r="B76" s="41" t="s">
        <v>104</v>
      </c>
      <c r="C76" s="41" t="s">
        <v>105</v>
      </c>
      <c r="D76" s="42">
        <v>799</v>
      </c>
      <c r="E76" s="43">
        <v>9097.36</v>
      </c>
      <c r="F76" s="192">
        <v>498.29</v>
      </c>
      <c r="G76" s="126">
        <f t="shared" si="33"/>
        <v>9595.6500000000015</v>
      </c>
      <c r="H76" s="127">
        <f t="shared" si="34"/>
        <v>7268790.6400000006</v>
      </c>
      <c r="I76" s="128">
        <f t="shared" si="35"/>
        <v>398133.71</v>
      </c>
      <c r="J76" s="128">
        <f t="shared" si="36"/>
        <v>7666924.3500000015</v>
      </c>
      <c r="K76" s="44">
        <f t="shared" si="37"/>
        <v>4.5751841468658801E-3</v>
      </c>
      <c r="L76" s="45">
        <f t="shared" si="38"/>
        <v>2388.8569490247532</v>
      </c>
      <c r="M76" s="45">
        <f t="shared" si="39"/>
        <v>2932.0500964522294</v>
      </c>
      <c r="N76" s="45">
        <f t="shared" si="40"/>
        <v>14916.557045476984</v>
      </c>
      <c r="O76" s="46">
        <f t="shared" si="41"/>
        <v>11918329.079336111</v>
      </c>
      <c r="P76" s="47">
        <f t="shared" si="42"/>
        <v>38526.555957446806</v>
      </c>
      <c r="Q76" s="42">
        <v>30782718.210000001</v>
      </c>
      <c r="R76" s="48">
        <f t="shared" si="43"/>
        <v>0.38717597965290634</v>
      </c>
      <c r="S76" s="49"/>
      <c r="T76" s="157">
        <f>IFERROR(VLOOKUP(B76,[1]Todos!$A$2:$C$3021,3,FALSE),0)</f>
        <v>498.29</v>
      </c>
      <c r="U76" s="112">
        <f t="shared" si="44"/>
        <v>0</v>
      </c>
      <c r="W76" s="157">
        <f>IFERROR(VLOOKUP(B76,[1]Todos!$A$2:$B$3021,2,FALSE),0)</f>
        <v>8869.64</v>
      </c>
      <c r="X76" s="112">
        <f t="shared" si="45"/>
        <v>-227.72000000000116</v>
      </c>
    </row>
    <row r="77" spans="1:24" s="93" customFormat="1" outlineLevel="1" x14ac:dyDescent="0.3">
      <c r="A77" s="50" t="s">
        <v>1020</v>
      </c>
      <c r="B77" s="129"/>
      <c r="C77" s="129"/>
      <c r="D77" s="51">
        <f>SUBTOTAL(9,D58:D76)</f>
        <v>11564</v>
      </c>
      <c r="E77" s="52"/>
      <c r="F77" s="52"/>
      <c r="G77" s="130"/>
      <c r="H77" s="131">
        <f>SUBTOTAL(9,H58:H76)</f>
        <v>101111421.31200002</v>
      </c>
      <c r="I77" s="146">
        <f>SUBTOTAL(9,I58:I76)</f>
        <v>7250908.4099999992</v>
      </c>
      <c r="J77" s="146">
        <f>SUBTOTAL(9,J58:J76)</f>
        <v>108362329.722</v>
      </c>
      <c r="K77" s="53"/>
      <c r="L77" s="54"/>
      <c r="M77" s="54"/>
      <c r="N77" s="54"/>
      <c r="O77" s="55">
        <f>SUBTOTAL(9,O58:O76)</f>
        <v>178005327.25228763</v>
      </c>
      <c r="P77" s="56"/>
      <c r="Q77" s="51">
        <f>SUBTOTAL(9,Q58:Q76)</f>
        <v>336495015.67999995</v>
      </c>
      <c r="R77" s="57">
        <f t="shared" si="43"/>
        <v>0.52899840698254841</v>
      </c>
      <c r="S77" s="58">
        <f>Q77/$Q$308</f>
        <v>7.7710628630836706E-2</v>
      </c>
      <c r="T77" s="157">
        <f>IFERROR(VLOOKUP(B77,[1]Todos!$A$2:$C$3021,3,FALSE),0)</f>
        <v>0</v>
      </c>
      <c r="U77" s="112">
        <f t="shared" si="44"/>
        <v>0</v>
      </c>
      <c r="W77" s="157">
        <f>IFERROR(VLOOKUP(B77,[1]Todos!$A$2:$B$3021,2,FALSE),0)</f>
        <v>0</v>
      </c>
      <c r="X77" s="112">
        <f t="shared" si="45"/>
        <v>0</v>
      </c>
    </row>
    <row r="78" spans="1:24" outlineLevel="2" x14ac:dyDescent="0.3">
      <c r="A78" s="40" t="str">
        <f>VLOOKUP(B78,Grupos!$A$2:$B$619,2,FALSE)</f>
        <v>CAJAS PLASTICAS CC</v>
      </c>
      <c r="B78" s="41" t="s">
        <v>106</v>
      </c>
      <c r="C78" s="41" t="s">
        <v>107</v>
      </c>
      <c r="D78" s="42">
        <v>488160</v>
      </c>
      <c r="E78" s="43">
        <v>170.54</v>
      </c>
      <c r="F78" s="43">
        <v>7.88</v>
      </c>
      <c r="G78" s="126">
        <f>E78+F78</f>
        <v>178.42</v>
      </c>
      <c r="H78" s="127">
        <f>E78*D78</f>
        <v>83250806.399999991</v>
      </c>
      <c r="I78" s="128">
        <f>F78*D78</f>
        <v>3846700.8</v>
      </c>
      <c r="J78" s="128">
        <f>G78*D78</f>
        <v>87097507.199999988</v>
      </c>
      <c r="K78" s="44">
        <f>J78/$J$308</f>
        <v>5.1974835798787644E-2</v>
      </c>
      <c r="L78" s="45">
        <f>$K$383*K78/D78</f>
        <v>44.418028673929996</v>
      </c>
      <c r="M78" s="45">
        <f>F78*$M$382</f>
        <v>46.367687009660166</v>
      </c>
      <c r="N78" s="45">
        <f>G78+L78+M78</f>
        <v>269.20571568359014</v>
      </c>
      <c r="O78" s="46">
        <f>N78*D78</f>
        <v>131415462.16810137</v>
      </c>
      <c r="P78" s="47">
        <f>Q78/D78</f>
        <v>311.84956919862339</v>
      </c>
      <c r="Q78" s="42">
        <v>152232485.69999999</v>
      </c>
      <c r="R78" s="48">
        <f t="shared" si="43"/>
        <v>0.86325505074572517</v>
      </c>
      <c r="S78" s="49"/>
      <c r="T78" s="157">
        <f>IFERROR(VLOOKUP(B78,[1]Todos!$A$2:$C$3021,3,FALSE),0)</f>
        <v>7.55</v>
      </c>
      <c r="U78" s="112">
        <f t="shared" si="44"/>
        <v>-0.33000000000000007</v>
      </c>
      <c r="W78" s="157">
        <f>IFERROR(VLOOKUP(B78,[1]Todos!$A$2:$B$3021,2,FALSE),0)</f>
        <v>162.25</v>
      </c>
      <c r="X78" s="112">
        <f t="shared" si="45"/>
        <v>-8.289999999999992</v>
      </c>
    </row>
    <row r="79" spans="1:24" outlineLevel="2" x14ac:dyDescent="0.3">
      <c r="A79" s="40" t="str">
        <f>VLOOKUP(B79,Grupos!$A$2:$B$619,2,FALSE)</f>
        <v>CAJAS PLASTICAS CC</v>
      </c>
      <c r="B79" s="41" t="s">
        <v>108</v>
      </c>
      <c r="C79" s="41" t="s">
        <v>109</v>
      </c>
      <c r="D79" s="42">
        <v>386640</v>
      </c>
      <c r="E79" s="43">
        <v>265.37</v>
      </c>
      <c r="F79" s="43">
        <v>10.76</v>
      </c>
      <c r="G79" s="126">
        <f>E79+F79</f>
        <v>276.13</v>
      </c>
      <c r="H79" s="127">
        <f>E79*D79</f>
        <v>102602656.8</v>
      </c>
      <c r="I79" s="128">
        <f>F79*D79</f>
        <v>4160246.4</v>
      </c>
      <c r="J79" s="128">
        <f>G79*D79</f>
        <v>106762903.2</v>
      </c>
      <c r="K79" s="44">
        <f>J79/$J$308</f>
        <v>6.37100250237915E-2</v>
      </c>
      <c r="L79" s="45">
        <f>$K$383*K79/D79</f>
        <v>68.743135622308543</v>
      </c>
      <c r="M79" s="45">
        <f>F79*$M$382</f>
        <v>63.314252820297391</v>
      </c>
      <c r="N79" s="45">
        <f>G79+L79+M79</f>
        <v>408.18738844260594</v>
      </c>
      <c r="O79" s="46">
        <f>N79*D79</f>
        <v>157821571.86744916</v>
      </c>
      <c r="P79" s="47">
        <f>Q79/D79</f>
        <v>465.22452594144426</v>
      </c>
      <c r="Q79" s="42">
        <v>179874410.71000001</v>
      </c>
      <c r="R79" s="48">
        <f t="shared" si="43"/>
        <v>0.87739868747586769</v>
      </c>
      <c r="S79" s="49"/>
      <c r="T79" s="157">
        <f>IFERROR(VLOOKUP(B79,[1]Todos!$A$2:$C$3021,3,FALSE),0)</f>
        <v>10.32</v>
      </c>
      <c r="U79" s="112">
        <f t="shared" si="44"/>
        <v>-0.4399999999999995</v>
      </c>
      <c r="W79" s="157">
        <f>IFERROR(VLOOKUP(B79,[1]Todos!$A$2:$B$3021,2,FALSE),0)</f>
        <v>252.52</v>
      </c>
      <c r="X79" s="112">
        <f t="shared" si="45"/>
        <v>-12.849999999999994</v>
      </c>
    </row>
    <row r="80" spans="1:24" outlineLevel="2" x14ac:dyDescent="0.3">
      <c r="A80" s="40" t="str">
        <f>VLOOKUP(B80,Grupos!$A$2:$B$619,2,FALSE)</f>
        <v>CAJAS PLASTICAS CC</v>
      </c>
      <c r="B80" s="41" t="s">
        <v>110</v>
      </c>
      <c r="C80" s="41" t="s">
        <v>111</v>
      </c>
      <c r="D80" s="42">
        <v>180360</v>
      </c>
      <c r="E80" s="43">
        <v>214.83</v>
      </c>
      <c r="F80" s="43">
        <v>9.15</v>
      </c>
      <c r="G80" s="126">
        <f>E80+F80</f>
        <v>223.98000000000002</v>
      </c>
      <c r="H80" s="127">
        <f>E80*D80</f>
        <v>38746738.800000004</v>
      </c>
      <c r="I80" s="128">
        <f>F80*D80</f>
        <v>1650294</v>
      </c>
      <c r="J80" s="128">
        <f>G80*D80</f>
        <v>40397032.800000004</v>
      </c>
      <c r="K80" s="44">
        <f>J80/$J$308</f>
        <v>2.4106650282388786E-2</v>
      </c>
      <c r="L80" s="45">
        <f>$K$383*K80/D80</f>
        <v>55.760285071106622</v>
      </c>
      <c r="M80" s="45">
        <f>F80*$M$382</f>
        <v>53.840651794212</v>
      </c>
      <c r="N80" s="45">
        <f>G80+L80+M80</f>
        <v>333.58093686531868</v>
      </c>
      <c r="O80" s="46">
        <f>N80*D80</f>
        <v>60164657.773028873</v>
      </c>
      <c r="P80" s="47">
        <f>Q80/D80</f>
        <v>467.23504280328228</v>
      </c>
      <c r="Q80" s="42">
        <v>84270512.319999993</v>
      </c>
      <c r="R80" s="48">
        <f t="shared" si="43"/>
        <v>0.71394674265852232</v>
      </c>
      <c r="S80" s="49"/>
      <c r="T80" s="157">
        <f>IFERROR(VLOOKUP(B80,[1]Todos!$A$2:$C$3021,3,FALSE),0)</f>
        <v>8.8699999999999992</v>
      </c>
      <c r="U80" s="112">
        <f t="shared" si="44"/>
        <v>-0.28000000000000114</v>
      </c>
      <c r="W80" s="157">
        <f>IFERROR(VLOOKUP(B80,[1]Todos!$A$2:$B$3021,2,FALSE),0)</f>
        <v>204.73</v>
      </c>
      <c r="X80" s="112">
        <f t="shared" si="45"/>
        <v>-10.100000000000023</v>
      </c>
    </row>
    <row r="81" spans="1:24" s="93" customFormat="1" outlineLevel="1" x14ac:dyDescent="0.3">
      <c r="A81" s="50" t="s">
        <v>1021</v>
      </c>
      <c r="B81" s="129"/>
      <c r="C81" s="129"/>
      <c r="D81" s="51">
        <f>SUBTOTAL(9,D78:D80)</f>
        <v>1055160</v>
      </c>
      <c r="E81" s="52"/>
      <c r="F81" s="52"/>
      <c r="G81" s="130"/>
      <c r="H81" s="131">
        <f>SUBTOTAL(9,H78:H80)</f>
        <v>224600202</v>
      </c>
      <c r="I81" s="146">
        <f>SUBTOTAL(9,I78:I80)</f>
        <v>9657241.1999999993</v>
      </c>
      <c r="J81" s="146">
        <f>SUBTOTAL(9,J78:J80)</f>
        <v>234257443.19999999</v>
      </c>
      <c r="K81" s="53"/>
      <c r="L81" s="54"/>
      <c r="M81" s="54"/>
      <c r="N81" s="54"/>
      <c r="O81" s="55">
        <f>SUBTOTAL(9,O78:O80)</f>
        <v>349401691.80857939</v>
      </c>
      <c r="P81" s="56"/>
      <c r="Q81" s="51">
        <f>SUBTOTAL(9,Q78:Q80)</f>
        <v>416377408.72999996</v>
      </c>
      <c r="R81" s="57">
        <f t="shared" si="43"/>
        <v>0.83914661190263806</v>
      </c>
      <c r="S81" s="58">
        <f>Q81/$Q$308</f>
        <v>9.6158779988759019E-2</v>
      </c>
      <c r="T81" s="157">
        <f>IFERROR(VLOOKUP(B81,[1]Todos!$A$2:$C$3021,3,FALSE),0)</f>
        <v>0</v>
      </c>
      <c r="U81" s="112">
        <f t="shared" si="44"/>
        <v>0</v>
      </c>
      <c r="W81" s="157">
        <f>IFERROR(VLOOKUP(B81,[1]Todos!$A$2:$B$3021,2,FALSE),0)</f>
        <v>0</v>
      </c>
      <c r="X81" s="112">
        <f t="shared" si="45"/>
        <v>0</v>
      </c>
    </row>
    <row r="82" spans="1:24" outlineLevel="2" x14ac:dyDescent="0.3">
      <c r="A82" s="40" t="str">
        <f>VLOOKUP(B82,Grupos!$A$2:$B$619,2,FALSE)</f>
        <v>CAJAS PLASTICAS LH</v>
      </c>
      <c r="B82" s="41" t="s">
        <v>112</v>
      </c>
      <c r="C82" s="41" t="s">
        <v>113</v>
      </c>
      <c r="D82" s="42">
        <v>25920</v>
      </c>
      <c r="E82" s="43">
        <v>172.66</v>
      </c>
      <c r="F82" s="43">
        <v>8.0399999999999991</v>
      </c>
      <c r="G82" s="126">
        <f>E82+F82</f>
        <v>180.7</v>
      </c>
      <c r="H82" s="127">
        <f>E82*D82</f>
        <v>4475347.2</v>
      </c>
      <c r="I82" s="128">
        <f>F82*D82</f>
        <v>208396.79999999999</v>
      </c>
      <c r="J82" s="128">
        <f>G82*D82</f>
        <v>4683744</v>
      </c>
      <c r="K82" s="44">
        <f>J82/$J$308</f>
        <v>2.7949918792114048E-3</v>
      </c>
      <c r="L82" s="45">
        <f>$K$383*K82/D82</f>
        <v>44.985639397932687</v>
      </c>
      <c r="M82" s="45">
        <f>F82*$M$382</f>
        <v>47.309162888028901</v>
      </c>
      <c r="N82" s="45">
        <f>G82+L82+M82</f>
        <v>272.99480228596155</v>
      </c>
      <c r="O82" s="46">
        <f>N82*D82</f>
        <v>7076025.2752521234</v>
      </c>
      <c r="P82" s="47">
        <f>Q82/D82</f>
        <v>337.98334683641974</v>
      </c>
      <c r="Q82" s="42">
        <v>8760528.3499999996</v>
      </c>
      <c r="R82" s="48">
        <f t="shared" si="43"/>
        <v>0.80771672581278997</v>
      </c>
      <c r="S82" s="49"/>
      <c r="T82" s="157">
        <f>IFERROR(VLOOKUP(B82,[1]Todos!$A$2:$C$3021,3,FALSE),0)</f>
        <v>7.47</v>
      </c>
      <c r="U82" s="112">
        <f t="shared" si="44"/>
        <v>-0.5699999999999994</v>
      </c>
      <c r="W82" s="157">
        <f>IFERROR(VLOOKUP(B82,[1]Todos!$A$2:$B$3021,2,FALSE),0)</f>
        <v>192.91</v>
      </c>
      <c r="X82" s="112">
        <f t="shared" si="45"/>
        <v>20.25</v>
      </c>
    </row>
    <row r="83" spans="1:24" outlineLevel="2" x14ac:dyDescent="0.3">
      <c r="A83" s="40" t="str">
        <f>VLOOKUP(B83,Grupos!$A$2:$B$619,2,FALSE)</f>
        <v>CAJAS PLASTICAS LH</v>
      </c>
      <c r="B83" s="41" t="s">
        <v>114</v>
      </c>
      <c r="C83" s="41" t="s">
        <v>115</v>
      </c>
      <c r="D83" s="42">
        <v>51570</v>
      </c>
      <c r="E83" s="43">
        <v>265.54000000000002</v>
      </c>
      <c r="F83" s="43">
        <v>11.36</v>
      </c>
      <c r="G83" s="126">
        <f>E83+F83</f>
        <v>276.90000000000003</v>
      </c>
      <c r="H83" s="127">
        <f>E83*D83</f>
        <v>13693897.800000001</v>
      </c>
      <c r="I83" s="128">
        <f>F83*D83</f>
        <v>585835.19999999995</v>
      </c>
      <c r="J83" s="128">
        <f>G83*D83</f>
        <v>14279733.000000002</v>
      </c>
      <c r="K83" s="44">
        <f>J83/$J$308</f>
        <v>8.5213320310220022E-3</v>
      </c>
      <c r="L83" s="45">
        <f>$K$383*K83/D83</f>
        <v>68.934828717695424</v>
      </c>
      <c r="M83" s="45">
        <f>F83*$M$382</f>
        <v>66.844787364180135</v>
      </c>
      <c r="N83" s="45">
        <f>G83+L83+M83</f>
        <v>412.67961608187562</v>
      </c>
      <c r="O83" s="46">
        <f>N83*D83</f>
        <v>21281887.801342327</v>
      </c>
      <c r="P83" s="47">
        <f>Q83/D83</f>
        <v>490.71206651153773</v>
      </c>
      <c r="Q83" s="42">
        <v>25306021.27</v>
      </c>
      <c r="R83" s="48">
        <f t="shared" si="43"/>
        <v>0.84098118682021983</v>
      </c>
      <c r="S83" s="49"/>
      <c r="T83" s="157">
        <f>IFERROR(VLOOKUP(B83,[1]Todos!$A$2:$C$3021,3,FALSE),0)</f>
        <v>10.69</v>
      </c>
      <c r="U83" s="112">
        <f t="shared" si="44"/>
        <v>-0.66999999999999993</v>
      </c>
      <c r="W83" s="157">
        <f>IFERROR(VLOOKUP(B83,[1]Todos!$A$2:$B$3021,2,FALSE),0)</f>
        <v>296.54000000000002</v>
      </c>
      <c r="X83" s="112">
        <f t="shared" si="45"/>
        <v>31</v>
      </c>
    </row>
    <row r="84" spans="1:24" outlineLevel="2" x14ac:dyDescent="0.3">
      <c r="A84" s="40" t="str">
        <f>VLOOKUP(B84,Grupos!$A$2:$B$619,2,FALSE)</f>
        <v>CAJAS PLASTICAS LH</v>
      </c>
      <c r="B84" s="41" t="s">
        <v>116</v>
      </c>
      <c r="C84" s="41" t="s">
        <v>117</v>
      </c>
      <c r="D84" s="42">
        <v>33210</v>
      </c>
      <c r="E84" s="43">
        <v>224.71</v>
      </c>
      <c r="F84" s="43">
        <v>8.3699999999999992</v>
      </c>
      <c r="G84" s="126">
        <f>E84+F84</f>
        <v>233.08</v>
      </c>
      <c r="H84" s="127">
        <f>E84*D84</f>
        <v>7462619.1000000006</v>
      </c>
      <c r="I84" s="128">
        <f>F84*D84</f>
        <v>277967.69999999995</v>
      </c>
      <c r="J84" s="128">
        <f>G84*D84</f>
        <v>7740586.8000000007</v>
      </c>
      <c r="K84" s="44">
        <f>J84/$J$308</f>
        <v>4.6191417050827285E-3</v>
      </c>
      <c r="L84" s="45">
        <f>$K$383*K84/D84</f>
        <v>58.025748925678769</v>
      </c>
      <c r="M84" s="45">
        <f>F84*$M$382</f>
        <v>49.250956887164413</v>
      </c>
      <c r="N84" s="45">
        <f>G84+L84+M84</f>
        <v>340.35670581284319</v>
      </c>
      <c r="O84" s="46">
        <f>N84*D84</f>
        <v>11303246.200044522</v>
      </c>
      <c r="P84" s="47">
        <f>Q84/D84</f>
        <v>487.49594068051789</v>
      </c>
      <c r="Q84" s="42">
        <v>16189740.189999999</v>
      </c>
      <c r="R84" s="48">
        <f t="shared" si="43"/>
        <v>0.69817341522418352</v>
      </c>
      <c r="S84" s="49"/>
      <c r="T84" s="157">
        <f>IFERROR(VLOOKUP(B84,[1]Todos!$A$2:$C$3021,3,FALSE),0)</f>
        <v>8.2799999999999994</v>
      </c>
      <c r="U84" s="112">
        <f t="shared" si="44"/>
        <v>-8.9999999999999858E-2</v>
      </c>
      <c r="W84" s="157">
        <f>IFERROR(VLOOKUP(B84,[1]Todos!$A$2:$B$3021,2,FALSE),0)</f>
        <v>250.34</v>
      </c>
      <c r="X84" s="112">
        <f t="shared" si="45"/>
        <v>25.629999999999995</v>
      </c>
    </row>
    <row r="85" spans="1:24" s="93" customFormat="1" outlineLevel="1" x14ac:dyDescent="0.3">
      <c r="A85" s="50" t="s">
        <v>1022</v>
      </c>
      <c r="B85" s="129"/>
      <c r="C85" s="129"/>
      <c r="D85" s="51">
        <f>SUBTOTAL(9,D82:D84)</f>
        <v>110700</v>
      </c>
      <c r="E85" s="52"/>
      <c r="F85" s="52"/>
      <c r="G85" s="130"/>
      <c r="H85" s="131">
        <f>SUBTOTAL(9,H82:H84)</f>
        <v>25631864.100000001</v>
      </c>
      <c r="I85" s="146">
        <f>SUBTOTAL(9,I82:I84)</f>
        <v>1072199.7</v>
      </c>
      <c r="J85" s="146">
        <f>SUBTOTAL(9,J82:J84)</f>
        <v>26704063.800000001</v>
      </c>
      <c r="K85" s="53"/>
      <c r="L85" s="54"/>
      <c r="M85" s="54"/>
      <c r="N85" s="54"/>
      <c r="O85" s="55">
        <f>SUBTOTAL(9,O82:O84)</f>
        <v>39661159.27663897</v>
      </c>
      <c r="P85" s="56"/>
      <c r="Q85" s="51">
        <f>SUBTOTAL(9,Q82:Q84)</f>
        <v>50256289.809999995</v>
      </c>
      <c r="R85" s="57">
        <f t="shared" si="43"/>
        <v>0.78917801983757252</v>
      </c>
      <c r="S85" s="58">
        <f>Q85/$Q$308</f>
        <v>1.1606257720924508E-2</v>
      </c>
      <c r="T85" s="157">
        <f>IFERROR(VLOOKUP(B85,[1]Todos!$A$2:$C$3021,3,FALSE),0)</f>
        <v>0</v>
      </c>
      <c r="U85" s="112">
        <f t="shared" si="44"/>
        <v>0</v>
      </c>
      <c r="W85" s="157">
        <f>IFERROR(VLOOKUP(B85,[1]Todos!$A$2:$B$3021,2,FALSE),0)</f>
        <v>0</v>
      </c>
      <c r="X85" s="112">
        <f t="shared" si="45"/>
        <v>0</v>
      </c>
    </row>
    <row r="86" spans="1:24" outlineLevel="2" x14ac:dyDescent="0.3">
      <c r="A86" s="40" t="str">
        <f>VLOOKUP(B86,Grupos!$A$2:$B$619,2,FALSE)</f>
        <v>CAJAS TELEFONICAS</v>
      </c>
      <c r="B86" s="41" t="s">
        <v>632</v>
      </c>
      <c r="C86" s="41" t="s">
        <v>1059</v>
      </c>
      <c r="D86" s="42">
        <v>120</v>
      </c>
      <c r="E86" s="195">
        <v>4707.25</v>
      </c>
      <c r="F86" s="192">
        <v>472.02</v>
      </c>
      <c r="G86" s="126">
        <f t="shared" ref="G86:G93" si="46">E86+F86</f>
        <v>5179.2700000000004</v>
      </c>
      <c r="H86" s="127">
        <f t="shared" ref="H86:H93" si="47">E86*D86</f>
        <v>564870</v>
      </c>
      <c r="I86" s="128">
        <f t="shared" ref="I86:I93" si="48">F86*D86</f>
        <v>56642.399999999994</v>
      </c>
      <c r="J86" s="128">
        <f t="shared" ref="J86:J93" si="49">G86*D86</f>
        <v>621512.4</v>
      </c>
      <c r="K86" s="44">
        <f t="shared" ref="K86:K93" si="50">J86/$J$308</f>
        <v>3.7088323162606465E-4</v>
      </c>
      <c r="L86" s="45">
        <f t="shared" ref="L86:L93" si="51">$K$383*K86/D86</f>
        <v>1289.389997590099</v>
      </c>
      <c r="M86" s="45">
        <f t="shared" ref="M86:M93" si="52">F86*$M$382</f>
        <v>2777.4715256725626</v>
      </c>
      <c r="N86" s="45">
        <f t="shared" ref="N86:N93" si="53">G86+L86+M86</f>
        <v>9246.1315232626621</v>
      </c>
      <c r="O86" s="46">
        <f t="shared" ref="O86:O93" si="54">N86*D86</f>
        <v>1109535.7827915195</v>
      </c>
      <c r="P86" s="47">
        <f t="shared" ref="P86:P93" si="55">Q86/D86</f>
        <v>28600.125666666667</v>
      </c>
      <c r="Q86" s="42">
        <v>3432015.08</v>
      </c>
      <c r="R86" s="48">
        <f t="shared" si="43"/>
        <v>0.32328989148600112</v>
      </c>
      <c r="S86" s="49"/>
      <c r="T86" s="157">
        <f>IFERROR(VLOOKUP(B86,[1]Todos!$A$2:$C$3021,3,FALSE),0)</f>
        <v>472.02</v>
      </c>
      <c r="U86" s="112">
        <f t="shared" si="44"/>
        <v>0</v>
      </c>
      <c r="W86" s="157">
        <f>IFERROR(VLOOKUP(B86,[1]Todos!$A$2:$B$3021,2,FALSE),0)</f>
        <v>4707.25</v>
      </c>
      <c r="X86" s="112">
        <f t="shared" si="45"/>
        <v>0</v>
      </c>
    </row>
    <row r="87" spans="1:24" outlineLevel="2" x14ac:dyDescent="0.3">
      <c r="A87" s="40" t="str">
        <f>VLOOKUP(B87,Grupos!$A$2:$B$619,2,FALSE)</f>
        <v>CAJAS TELEFONICAS</v>
      </c>
      <c r="B87" s="41" t="s">
        <v>118</v>
      </c>
      <c r="C87" s="41" t="s">
        <v>119</v>
      </c>
      <c r="D87" s="42">
        <v>598</v>
      </c>
      <c r="E87" s="195">
        <v>5915.72</v>
      </c>
      <c r="F87" s="192">
        <v>572.53</v>
      </c>
      <c r="G87" s="126">
        <f t="shared" si="46"/>
        <v>6488.25</v>
      </c>
      <c r="H87" s="127">
        <f t="shared" si="47"/>
        <v>3537600.56</v>
      </c>
      <c r="I87" s="128">
        <f t="shared" si="48"/>
        <v>342372.94</v>
      </c>
      <c r="J87" s="128">
        <f t="shared" si="49"/>
        <v>3879973.5</v>
      </c>
      <c r="K87" s="44">
        <f t="shared" si="50"/>
        <v>2.315347385351431E-3</v>
      </c>
      <c r="L87" s="45">
        <f t="shared" si="51"/>
        <v>1615.2632807063464</v>
      </c>
      <c r="M87" s="45">
        <f t="shared" si="52"/>
        <v>3368.894904015322</v>
      </c>
      <c r="N87" s="45">
        <f t="shared" si="53"/>
        <v>11472.408184721669</v>
      </c>
      <c r="O87" s="46">
        <f t="shared" si="54"/>
        <v>6860500.0944635579</v>
      </c>
      <c r="P87" s="47">
        <f t="shared" si="55"/>
        <v>33254.904598662208</v>
      </c>
      <c r="Q87" s="42">
        <v>19886432.949999999</v>
      </c>
      <c r="R87" s="48">
        <f t="shared" si="43"/>
        <v>0.3449839451706978</v>
      </c>
      <c r="S87" s="49"/>
      <c r="T87" s="157">
        <f>IFERROR(VLOOKUP(B87,[1]Todos!$A$2:$C$3021,3,FALSE),0)</f>
        <v>572.53</v>
      </c>
      <c r="U87" s="112">
        <f t="shared" si="44"/>
        <v>0</v>
      </c>
      <c r="W87" s="157">
        <f>IFERROR(VLOOKUP(B87,[1]Todos!$A$2:$B$3021,2,FALSE),0)</f>
        <v>5915.72</v>
      </c>
      <c r="X87" s="112">
        <f t="shared" si="45"/>
        <v>0</v>
      </c>
    </row>
    <row r="88" spans="1:24" outlineLevel="2" x14ac:dyDescent="0.3">
      <c r="A88" s="40" t="str">
        <f>VLOOKUP(B88,Grupos!$A$2:$B$619,2,FALSE)</f>
        <v>CAJAS TELEFONICAS</v>
      </c>
      <c r="B88" s="41" t="s">
        <v>122</v>
      </c>
      <c r="C88" s="41" t="s">
        <v>123</v>
      </c>
      <c r="D88" s="42">
        <v>310</v>
      </c>
      <c r="E88" s="195">
        <v>11364.94</v>
      </c>
      <c r="F88" s="192">
        <v>524.96</v>
      </c>
      <c r="G88" s="126">
        <f t="shared" si="46"/>
        <v>11889.900000000001</v>
      </c>
      <c r="H88" s="127">
        <f t="shared" si="47"/>
        <v>3523131.4000000004</v>
      </c>
      <c r="I88" s="128">
        <f t="shared" si="48"/>
        <v>162737.60000000001</v>
      </c>
      <c r="J88" s="128">
        <f t="shared" si="49"/>
        <v>3685869.0000000005</v>
      </c>
      <c r="K88" s="44">
        <f t="shared" si="50"/>
        <v>2.1995168657460919E-3</v>
      </c>
      <c r="L88" s="45">
        <f t="shared" si="51"/>
        <v>2960.0152400524626</v>
      </c>
      <c r="M88" s="45">
        <f t="shared" si="52"/>
        <v>3088.9823569278178</v>
      </c>
      <c r="N88" s="45">
        <f t="shared" si="53"/>
        <v>17938.897596980281</v>
      </c>
      <c r="O88" s="46">
        <f t="shared" si="54"/>
        <v>5561058.2550638877</v>
      </c>
      <c r="P88" s="47">
        <f t="shared" si="55"/>
        <v>42227.741451612899</v>
      </c>
      <c r="Q88" s="42">
        <v>13090599.85</v>
      </c>
      <c r="R88" s="48">
        <f t="shared" si="43"/>
        <v>0.42481309632758257</v>
      </c>
      <c r="S88" s="49"/>
      <c r="T88" s="157">
        <f>IFERROR(VLOOKUP(B88,[1]Todos!$A$2:$C$3021,3,FALSE),0)</f>
        <v>524.96</v>
      </c>
      <c r="U88" s="112">
        <f t="shared" si="44"/>
        <v>0</v>
      </c>
      <c r="W88" s="157">
        <f>IFERROR(VLOOKUP(B88,[1]Todos!$A$2:$B$3021,2,FALSE),0)</f>
        <v>11364.94</v>
      </c>
      <c r="X88" s="112">
        <f t="shared" si="45"/>
        <v>0</v>
      </c>
    </row>
    <row r="89" spans="1:24" outlineLevel="2" x14ac:dyDescent="0.3">
      <c r="A89" s="40" t="str">
        <f>VLOOKUP(B89,Grupos!$A$2:$B$619,2,FALSE)</f>
        <v>CAJAS TELEFONICAS</v>
      </c>
      <c r="B89" s="41" t="s">
        <v>124</v>
      </c>
      <c r="C89" s="41" t="s">
        <v>1060</v>
      </c>
      <c r="D89" s="42">
        <v>54</v>
      </c>
      <c r="E89" s="195">
        <v>13220.83</v>
      </c>
      <c r="F89" s="192">
        <v>484.41</v>
      </c>
      <c r="G89" s="126">
        <f t="shared" si="46"/>
        <v>13705.24</v>
      </c>
      <c r="H89" s="127">
        <f t="shared" si="47"/>
        <v>713924.82</v>
      </c>
      <c r="I89" s="128">
        <f t="shared" si="48"/>
        <v>26158.140000000003</v>
      </c>
      <c r="J89" s="128">
        <f t="shared" si="49"/>
        <v>740082.96</v>
      </c>
      <c r="K89" s="44">
        <f t="shared" si="50"/>
        <v>4.4163939428430309E-4</v>
      </c>
      <c r="L89" s="45">
        <f t="shared" si="51"/>
        <v>3411.9478943116933</v>
      </c>
      <c r="M89" s="45">
        <f t="shared" si="52"/>
        <v>2850.3770640037415</v>
      </c>
      <c r="N89" s="45">
        <f t="shared" si="53"/>
        <v>19967.564958315434</v>
      </c>
      <c r="O89" s="46">
        <f t="shared" si="54"/>
        <v>1078248.5077490334</v>
      </c>
      <c r="P89" s="47">
        <f t="shared" si="55"/>
        <v>50331.109629629631</v>
      </c>
      <c r="Q89" s="42">
        <v>2717879.92</v>
      </c>
      <c r="R89" s="48">
        <f t="shared" si="43"/>
        <v>0.39672411566624083</v>
      </c>
      <c r="S89" s="49"/>
      <c r="T89" s="157">
        <f>IFERROR(VLOOKUP(B89,[1]Todos!$A$2:$C$3021,3,FALSE),0)</f>
        <v>484.41</v>
      </c>
      <c r="U89" s="112">
        <f t="shared" si="44"/>
        <v>0</v>
      </c>
      <c r="W89" s="157">
        <f>IFERROR(VLOOKUP(B89,[1]Todos!$A$2:$B$3021,2,FALSE),0)</f>
        <v>13220.83</v>
      </c>
      <c r="X89" s="112">
        <f t="shared" si="45"/>
        <v>0</v>
      </c>
    </row>
    <row r="90" spans="1:24" outlineLevel="2" x14ac:dyDescent="0.3">
      <c r="A90" s="40" t="str">
        <f>VLOOKUP(B90,Grupos!$A$2:$B$619,2,FALSE)</f>
        <v>CAJAS TELEFONICAS</v>
      </c>
      <c r="B90" s="41" t="s">
        <v>125</v>
      </c>
      <c r="C90" s="41" t="s">
        <v>126</v>
      </c>
      <c r="D90" s="42">
        <v>65</v>
      </c>
      <c r="E90" s="195">
        <v>20766.8</v>
      </c>
      <c r="F90" s="192">
        <v>519.24</v>
      </c>
      <c r="G90" s="126">
        <f t="shared" si="46"/>
        <v>21286.04</v>
      </c>
      <c r="H90" s="127">
        <f t="shared" si="47"/>
        <v>1349842</v>
      </c>
      <c r="I90" s="128">
        <f t="shared" si="48"/>
        <v>33750.6</v>
      </c>
      <c r="J90" s="128">
        <f t="shared" si="49"/>
        <v>1383592.6</v>
      </c>
      <c r="K90" s="44">
        <f t="shared" si="50"/>
        <v>8.2564932693524539E-4</v>
      </c>
      <c r="L90" s="45">
        <f t="shared" si="51"/>
        <v>5299.2037612062604</v>
      </c>
      <c r="M90" s="45">
        <f t="shared" si="52"/>
        <v>3055.3245942761355</v>
      </c>
      <c r="N90" s="45">
        <f t="shared" si="53"/>
        <v>29640.568355482395</v>
      </c>
      <c r="O90" s="46">
        <f t="shared" si="54"/>
        <v>1926636.9431063556</v>
      </c>
      <c r="P90" s="47">
        <f t="shared" si="55"/>
        <v>71307.153692307693</v>
      </c>
      <c r="Q90" s="42">
        <v>4634964.99</v>
      </c>
      <c r="R90" s="48">
        <f t="shared" si="43"/>
        <v>0.41567454064121323</v>
      </c>
      <c r="S90" s="49"/>
      <c r="T90" s="157">
        <f>IFERROR(VLOOKUP(B90,[1]Todos!$A$2:$C$3021,3,FALSE),0)</f>
        <v>519.24</v>
      </c>
      <c r="U90" s="112">
        <f t="shared" si="44"/>
        <v>0</v>
      </c>
      <c r="W90" s="157">
        <f>IFERROR(VLOOKUP(B90,[1]Todos!$A$2:$B$3021,2,FALSE),0)</f>
        <v>20766.8</v>
      </c>
      <c r="X90" s="112">
        <f t="shared" si="45"/>
        <v>0</v>
      </c>
    </row>
    <row r="91" spans="1:24" outlineLevel="2" x14ac:dyDescent="0.3">
      <c r="A91" s="40" t="str">
        <f>VLOOKUP(B91,Grupos!$A$2:$B$619,2,FALSE)</f>
        <v>CAJAS TELEFONICAS</v>
      </c>
      <c r="B91" s="41" t="s">
        <v>127</v>
      </c>
      <c r="C91" s="41" t="s">
        <v>128</v>
      </c>
      <c r="D91" s="42">
        <v>16</v>
      </c>
      <c r="E91" s="195">
        <v>22935.13</v>
      </c>
      <c r="F91" s="192">
        <v>503.76</v>
      </c>
      <c r="G91" s="126">
        <f t="shared" si="46"/>
        <v>23438.89</v>
      </c>
      <c r="H91" s="127">
        <f t="shared" si="47"/>
        <v>366962.08</v>
      </c>
      <c r="I91" s="128">
        <f t="shared" si="48"/>
        <v>8060.16</v>
      </c>
      <c r="J91" s="128">
        <f t="shared" si="49"/>
        <v>375022.24</v>
      </c>
      <c r="K91" s="44">
        <f t="shared" si="50"/>
        <v>2.2379193126773593E-4</v>
      </c>
      <c r="L91" s="45">
        <f t="shared" si="51"/>
        <v>5835.160229262925</v>
      </c>
      <c r="M91" s="45">
        <f t="shared" si="52"/>
        <v>2964.2368030439602</v>
      </c>
      <c r="N91" s="45">
        <f t="shared" si="53"/>
        <v>32238.287032306886</v>
      </c>
      <c r="O91" s="46">
        <f t="shared" si="54"/>
        <v>515812.59251691017</v>
      </c>
      <c r="P91" s="47">
        <f t="shared" si="55"/>
        <v>85833.128750000003</v>
      </c>
      <c r="Q91" s="42">
        <v>1373330.06</v>
      </c>
      <c r="R91" s="48">
        <f t="shared" si="43"/>
        <v>0.37559258880338653</v>
      </c>
      <c r="S91" s="49"/>
      <c r="T91" s="157">
        <f>IFERROR(VLOOKUP(B91,[1]Todos!$A$2:$C$3021,3,FALSE),0)</f>
        <v>503.76</v>
      </c>
      <c r="U91" s="112">
        <f t="shared" si="44"/>
        <v>0</v>
      </c>
      <c r="W91" s="157">
        <f>IFERROR(VLOOKUP(B91,[1]Todos!$A$2:$B$3021,2,FALSE),0)</f>
        <v>22935.13</v>
      </c>
      <c r="X91" s="112">
        <f t="shared" si="45"/>
        <v>0</v>
      </c>
    </row>
    <row r="92" spans="1:24" outlineLevel="2" x14ac:dyDescent="0.3">
      <c r="A92" s="40" t="str">
        <f>VLOOKUP(B92,Grupos!$A$2:$B$619,2,FALSE)</f>
        <v>CAJAS TELEFONICAS</v>
      </c>
      <c r="B92" s="41" t="s">
        <v>129</v>
      </c>
      <c r="C92" s="41" t="s">
        <v>1061</v>
      </c>
      <c r="D92" s="42">
        <v>18</v>
      </c>
      <c r="E92" s="195">
        <v>27365.37</v>
      </c>
      <c r="F92" s="192">
        <v>1111.33</v>
      </c>
      <c r="G92" s="126">
        <f t="shared" si="46"/>
        <v>28476.699999999997</v>
      </c>
      <c r="H92" s="127">
        <f t="shared" si="47"/>
        <v>492576.66</v>
      </c>
      <c r="I92" s="128">
        <f t="shared" si="48"/>
        <v>20003.939999999999</v>
      </c>
      <c r="J92" s="128">
        <f t="shared" si="49"/>
        <v>512580.6</v>
      </c>
      <c r="K92" s="44">
        <f t="shared" si="50"/>
        <v>3.0587893241844762E-4</v>
      </c>
      <c r="L92" s="45">
        <f t="shared" si="51"/>
        <v>7089.3334667576646</v>
      </c>
      <c r="M92" s="45">
        <f t="shared" si="52"/>
        <v>6539.3149244220349</v>
      </c>
      <c r="N92" s="45">
        <f t="shared" si="53"/>
        <v>42105.348391179694</v>
      </c>
      <c r="O92" s="46">
        <f t="shared" si="54"/>
        <v>757896.27104123449</v>
      </c>
      <c r="P92" s="47">
        <f t="shared" si="55"/>
        <v>114659.99944444445</v>
      </c>
      <c r="Q92" s="42">
        <v>2063879.99</v>
      </c>
      <c r="R92" s="48">
        <f t="shared" si="43"/>
        <v>0.36721915746721034</v>
      </c>
      <c r="S92" s="49"/>
      <c r="T92" s="157">
        <f>IFERROR(VLOOKUP(B92,[1]Todos!$A$2:$C$3021,3,FALSE),0)</f>
        <v>1111.33</v>
      </c>
      <c r="U92" s="112">
        <f t="shared" si="44"/>
        <v>0</v>
      </c>
      <c r="W92" s="157">
        <f>IFERROR(VLOOKUP(B92,[1]Todos!$A$2:$B$3021,2,FALSE),0)</f>
        <v>27365.37</v>
      </c>
      <c r="X92" s="112">
        <f t="shared" si="45"/>
        <v>0</v>
      </c>
    </row>
    <row r="93" spans="1:24" outlineLevel="2" x14ac:dyDescent="0.3">
      <c r="A93" s="40" t="str">
        <f>VLOOKUP(B93,Grupos!$A$2:$B$619,2,FALSE)</f>
        <v>CAJAS TELEFONICAS</v>
      </c>
      <c r="B93" s="41" t="s">
        <v>130</v>
      </c>
      <c r="C93" s="41" t="s">
        <v>1062</v>
      </c>
      <c r="D93" s="42">
        <v>25</v>
      </c>
      <c r="E93" s="195">
        <v>50373.89</v>
      </c>
      <c r="F93" s="192">
        <v>1363.87</v>
      </c>
      <c r="G93" s="126">
        <f t="shared" si="46"/>
        <v>51737.760000000002</v>
      </c>
      <c r="H93" s="127">
        <f t="shared" si="47"/>
        <v>1259347.25</v>
      </c>
      <c r="I93" s="128">
        <f t="shared" si="48"/>
        <v>34096.75</v>
      </c>
      <c r="J93" s="128">
        <f t="shared" si="49"/>
        <v>1293444</v>
      </c>
      <c r="K93" s="44">
        <f t="shared" si="50"/>
        <v>7.7185377258336845E-4</v>
      </c>
      <c r="L93" s="45">
        <f t="shared" si="51"/>
        <v>12880.222549069098</v>
      </c>
      <c r="M93" s="45">
        <f t="shared" si="52"/>
        <v>8025.3169139422853</v>
      </c>
      <c r="N93" s="45">
        <f t="shared" si="53"/>
        <v>72643.299463011383</v>
      </c>
      <c r="O93" s="46">
        <f t="shared" si="54"/>
        <v>1816082.4865752845</v>
      </c>
      <c r="P93" s="47">
        <f t="shared" si="55"/>
        <v>168809.25719999999</v>
      </c>
      <c r="Q93" s="42">
        <v>4220231.43</v>
      </c>
      <c r="R93" s="48">
        <f t="shared" si="43"/>
        <v>0.43032770043496987</v>
      </c>
      <c r="S93" s="49"/>
      <c r="T93" s="157">
        <f>IFERROR(VLOOKUP(B93,[1]Todos!$A$2:$C$3021,3,FALSE),0)</f>
        <v>1363.87</v>
      </c>
      <c r="U93" s="112">
        <f t="shared" si="44"/>
        <v>0</v>
      </c>
      <c r="W93" s="157">
        <f>IFERROR(VLOOKUP(B93,[1]Todos!$A$2:$B$3021,2,FALSE),0)</f>
        <v>50373.89</v>
      </c>
      <c r="X93" s="112">
        <f t="shared" si="45"/>
        <v>0</v>
      </c>
    </row>
    <row r="94" spans="1:24" s="93" customFormat="1" outlineLevel="1" x14ac:dyDescent="0.3">
      <c r="A94" s="50" t="s">
        <v>1023</v>
      </c>
      <c r="B94" s="129"/>
      <c r="C94" s="129"/>
      <c r="D94" s="51">
        <f>SUBTOTAL(9,D86:D93)</f>
        <v>1206</v>
      </c>
      <c r="E94" s="52"/>
      <c r="F94" s="52"/>
      <c r="G94" s="130"/>
      <c r="H94" s="131">
        <f>SUBTOTAL(9,H86:H93)</f>
        <v>11808254.770000001</v>
      </c>
      <c r="I94" s="146">
        <f>SUBTOTAL(9,I86:I93)</f>
        <v>683822.52999999991</v>
      </c>
      <c r="J94" s="146">
        <f>SUBTOTAL(9,J86:J93)</f>
        <v>12492077.299999999</v>
      </c>
      <c r="K94" s="53"/>
      <c r="L94" s="54"/>
      <c r="M94" s="54"/>
      <c r="N94" s="54"/>
      <c r="O94" s="55">
        <f>SUBTOTAL(9,O86:O93)</f>
        <v>19625770.933307782</v>
      </c>
      <c r="P94" s="56"/>
      <c r="Q94" s="51">
        <f>SUBTOTAL(9,Q86:Q93)</f>
        <v>51419334.270000011</v>
      </c>
      <c r="R94" s="57">
        <f t="shared" si="43"/>
        <v>0.3816807668153378</v>
      </c>
      <c r="S94" s="58">
        <f>Q94/$Q$308</f>
        <v>1.1874852831997903E-2</v>
      </c>
      <c r="T94" s="157">
        <f>IFERROR(VLOOKUP(B94,[1]Todos!$A$2:$C$3021,3,FALSE),0)</f>
        <v>0</v>
      </c>
      <c r="U94" s="112">
        <f t="shared" si="44"/>
        <v>0</v>
      </c>
      <c r="W94" s="157">
        <f>IFERROR(VLOOKUP(B94,[1]Todos!$A$2:$B$3021,2,FALSE),0)</f>
        <v>0</v>
      </c>
      <c r="X94" s="112">
        <f t="shared" si="45"/>
        <v>0</v>
      </c>
    </row>
    <row r="95" spans="1:24" outlineLevel="2" x14ac:dyDescent="0.3">
      <c r="A95" s="40" t="str">
        <f>VLOOKUP(B95,Grupos!$A$2:$B$619,2,FALSE)</f>
        <v>CE 125</v>
      </c>
      <c r="B95" s="41" t="s">
        <v>131</v>
      </c>
      <c r="C95" s="41" t="s">
        <v>132</v>
      </c>
      <c r="D95" s="42">
        <v>3240</v>
      </c>
      <c r="E95" s="195">
        <v>1987.78</v>
      </c>
      <c r="F95" s="192">
        <v>304.75</v>
      </c>
      <c r="G95" s="126">
        <f t="shared" ref="G95:G102" si="56">E95+F95</f>
        <v>2292.5299999999997</v>
      </c>
      <c r="H95" s="127">
        <f t="shared" ref="H95:H102" si="57">E95*D95</f>
        <v>6440407.2000000002</v>
      </c>
      <c r="I95" s="128">
        <f t="shared" ref="I95:I102" si="58">F95*D95</f>
        <v>987390</v>
      </c>
      <c r="J95" s="128">
        <f t="shared" ref="J95:J102" si="59">G95*D95</f>
        <v>7427797.1999999993</v>
      </c>
      <c r="K95" s="44">
        <f t="shared" ref="K95:K102" si="60">J95/$J$308</f>
        <v>4.4324866718653301E-3</v>
      </c>
      <c r="L95" s="45">
        <f t="shared" ref="L95:L102" si="61">$K$383*K95/D95</f>
        <v>570.73009346398794</v>
      </c>
      <c r="M95" s="45">
        <f t="shared" ref="M95:M102" si="62">F95*$M$382</f>
        <v>1793.2173370804487</v>
      </c>
      <c r="N95" s="45">
        <f t="shared" ref="N95:N102" si="63">G95+L95+M95</f>
        <v>4656.4774305444362</v>
      </c>
      <c r="O95" s="46">
        <f t="shared" ref="O95:O102" si="64">N95*D95</f>
        <v>15086986.874963973</v>
      </c>
      <c r="P95" s="47">
        <f t="shared" ref="P95:P102" si="65">Q95/D95</f>
        <v>4939.5555833333328</v>
      </c>
      <c r="Q95" s="42">
        <v>16004160.09</v>
      </c>
      <c r="R95" s="48">
        <f t="shared" si="43"/>
        <v>0.94269157457321917</v>
      </c>
      <c r="S95" s="49"/>
      <c r="T95" s="157">
        <f>IFERROR(VLOOKUP(B95,[1]Todos!$A$2:$C$3021,3,FALSE),0)</f>
        <v>304.75</v>
      </c>
      <c r="U95" s="112">
        <f t="shared" si="44"/>
        <v>0</v>
      </c>
      <c r="W95" s="157">
        <f>IFERROR(VLOOKUP(B95,[1]Todos!$A$2:$B$3021,2,FALSE),0)</f>
        <v>1987.78</v>
      </c>
      <c r="X95" s="112">
        <f t="shared" si="45"/>
        <v>0</v>
      </c>
    </row>
    <row r="96" spans="1:24" outlineLevel="2" x14ac:dyDescent="0.3">
      <c r="A96" s="40" t="str">
        <f>VLOOKUP(B96,Grupos!$A$2:$B$619,2,FALSE)</f>
        <v>CE 125</v>
      </c>
      <c r="B96" s="41" t="s">
        <v>133</v>
      </c>
      <c r="C96" s="41" t="s">
        <v>134</v>
      </c>
      <c r="D96" s="42">
        <v>480</v>
      </c>
      <c r="E96" s="195">
        <v>1946.49</v>
      </c>
      <c r="F96" s="192">
        <v>334.79</v>
      </c>
      <c r="G96" s="126">
        <f t="shared" si="56"/>
        <v>2281.2800000000002</v>
      </c>
      <c r="H96" s="127">
        <f t="shared" si="57"/>
        <v>934315.2</v>
      </c>
      <c r="I96" s="128">
        <f t="shared" si="58"/>
        <v>160699.20000000001</v>
      </c>
      <c r="J96" s="128">
        <f t="shared" si="59"/>
        <v>1095014.4000000001</v>
      </c>
      <c r="K96" s="44">
        <f t="shared" si="60"/>
        <v>6.5344227942849766E-4</v>
      </c>
      <c r="L96" s="45">
        <f t="shared" si="61"/>
        <v>567.92938265476425</v>
      </c>
      <c r="M96" s="45">
        <f t="shared" si="62"/>
        <v>1969.9794332441788</v>
      </c>
      <c r="N96" s="45">
        <f t="shared" si="63"/>
        <v>4819.1888158989432</v>
      </c>
      <c r="O96" s="46">
        <f t="shared" si="64"/>
        <v>2313210.6316314926</v>
      </c>
      <c r="P96" s="47">
        <f t="shared" si="65"/>
        <v>5178.5</v>
      </c>
      <c r="Q96" s="42">
        <v>2485680</v>
      </c>
      <c r="R96" s="48">
        <f t="shared" si="43"/>
        <v>0.93061481430895876</v>
      </c>
      <c r="S96" s="49"/>
      <c r="T96" s="157">
        <f>IFERROR(VLOOKUP(B96,[1]Todos!$A$2:$C$3021,3,FALSE),0)</f>
        <v>334.79</v>
      </c>
      <c r="U96" s="112">
        <f t="shared" si="44"/>
        <v>0</v>
      </c>
      <c r="W96" s="157">
        <f>IFERROR(VLOOKUP(B96,[1]Todos!$A$2:$B$3021,2,FALSE),0)</f>
        <v>1946.49</v>
      </c>
      <c r="X96" s="112">
        <f t="shared" si="45"/>
        <v>0</v>
      </c>
    </row>
    <row r="97" spans="1:24" outlineLevel="2" x14ac:dyDescent="0.3">
      <c r="A97" s="40" t="str">
        <f>VLOOKUP(B97,Grupos!$A$2:$B$619,2,FALSE)</f>
        <v>CE 125</v>
      </c>
      <c r="B97" s="41" t="s">
        <v>135</v>
      </c>
      <c r="C97" s="41" t="s">
        <v>1056</v>
      </c>
      <c r="D97" s="42">
        <v>1080</v>
      </c>
      <c r="E97" s="195">
        <v>1861.23</v>
      </c>
      <c r="F97" s="192">
        <v>369.61</v>
      </c>
      <c r="G97" s="126">
        <f t="shared" si="56"/>
        <v>2230.84</v>
      </c>
      <c r="H97" s="127">
        <f t="shared" si="57"/>
        <v>2010128.4</v>
      </c>
      <c r="I97" s="128">
        <f t="shared" si="58"/>
        <v>399178.8</v>
      </c>
      <c r="J97" s="128">
        <f t="shared" si="59"/>
        <v>2409307.2000000002</v>
      </c>
      <c r="K97" s="44">
        <f t="shared" si="60"/>
        <v>1.4377374293995506E-3</v>
      </c>
      <c r="L97" s="45">
        <f t="shared" si="61"/>
        <v>555.37224014656431</v>
      </c>
      <c r="M97" s="45">
        <f t="shared" si="62"/>
        <v>2174.8681212741744</v>
      </c>
      <c r="N97" s="45">
        <f t="shared" si="63"/>
        <v>4961.0803614207389</v>
      </c>
      <c r="O97" s="46">
        <f t="shared" si="64"/>
        <v>5357966.7903343979</v>
      </c>
      <c r="P97" s="47">
        <f t="shared" si="65"/>
        <v>5004.7777592592593</v>
      </c>
      <c r="Q97" s="42">
        <v>5405159.9800000004</v>
      </c>
      <c r="R97" s="48">
        <f t="shared" si="43"/>
        <v>0.99126886348596055</v>
      </c>
      <c r="S97" s="49"/>
      <c r="T97" s="157">
        <f>IFERROR(VLOOKUP(B97,[1]Todos!$A$2:$C$3021,3,FALSE),0)</f>
        <v>369.61</v>
      </c>
      <c r="U97" s="112">
        <f t="shared" si="44"/>
        <v>0</v>
      </c>
      <c r="W97" s="157">
        <f>IFERROR(VLOOKUP(B97,[1]Todos!$A$2:$B$3021,2,FALSE),0)</f>
        <v>1861.23</v>
      </c>
      <c r="X97" s="112">
        <f t="shared" si="45"/>
        <v>0</v>
      </c>
    </row>
    <row r="98" spans="1:24" outlineLevel="2" x14ac:dyDescent="0.3">
      <c r="A98" s="40" t="str">
        <f>VLOOKUP(B98,Grupos!$A$2:$B$619,2,FALSE)</f>
        <v>CE 125</v>
      </c>
      <c r="B98" s="41" t="s">
        <v>136</v>
      </c>
      <c r="C98" s="41" t="s">
        <v>137</v>
      </c>
      <c r="D98" s="42">
        <v>240</v>
      </c>
      <c r="E98" s="195">
        <v>1829.98</v>
      </c>
      <c r="F98" s="192">
        <v>430.92</v>
      </c>
      <c r="G98" s="126">
        <f t="shared" si="56"/>
        <v>2260.9</v>
      </c>
      <c r="H98" s="127">
        <f t="shared" si="57"/>
        <v>439195.2</v>
      </c>
      <c r="I98" s="128">
        <f t="shared" si="58"/>
        <v>103420.8</v>
      </c>
      <c r="J98" s="128">
        <f t="shared" si="59"/>
        <v>542616</v>
      </c>
      <c r="K98" s="44">
        <f t="shared" si="60"/>
        <v>3.2380234990003206E-4</v>
      </c>
      <c r="L98" s="45">
        <f t="shared" si="61"/>
        <v>562.85573942881035</v>
      </c>
      <c r="M98" s="45">
        <f t="shared" si="62"/>
        <v>2535.6299094165943</v>
      </c>
      <c r="N98" s="45">
        <f t="shared" si="63"/>
        <v>5359.3856488454048</v>
      </c>
      <c r="O98" s="46">
        <f t="shared" si="64"/>
        <v>1286252.5557228972</v>
      </c>
      <c r="P98" s="47">
        <f t="shared" si="65"/>
        <v>5582</v>
      </c>
      <c r="Q98" s="42">
        <v>1339680</v>
      </c>
      <c r="R98" s="48">
        <f t="shared" si="43"/>
        <v>0.960119249166142</v>
      </c>
      <c r="S98" s="49"/>
      <c r="T98" s="157">
        <f>IFERROR(VLOOKUP(B98,[1]Todos!$A$2:$C$3021,3,FALSE),0)</f>
        <v>430.92</v>
      </c>
      <c r="U98" s="112">
        <f t="shared" si="44"/>
        <v>0</v>
      </c>
      <c r="W98" s="157">
        <f>IFERROR(VLOOKUP(B98,[1]Todos!$A$2:$B$3021,2,FALSE),0)</f>
        <v>1829.98</v>
      </c>
      <c r="X98" s="112">
        <f t="shared" si="45"/>
        <v>0</v>
      </c>
    </row>
    <row r="99" spans="1:24" outlineLevel="2" x14ac:dyDescent="0.3">
      <c r="A99" s="40" t="str">
        <f>VLOOKUP(B99,Grupos!$A$2:$B$619,2,FALSE)</f>
        <v>CE 125</v>
      </c>
      <c r="B99" s="41" t="s">
        <v>138</v>
      </c>
      <c r="C99" s="41" t="s">
        <v>139</v>
      </c>
      <c r="D99" s="42">
        <v>11640</v>
      </c>
      <c r="E99" s="195">
        <v>1987.78</v>
      </c>
      <c r="F99" s="192">
        <v>324.11</v>
      </c>
      <c r="G99" s="126">
        <f t="shared" si="56"/>
        <v>2311.89</v>
      </c>
      <c r="H99" s="127">
        <f t="shared" si="57"/>
        <v>23137759.199999999</v>
      </c>
      <c r="I99" s="128">
        <f t="shared" si="58"/>
        <v>3772640.4000000004</v>
      </c>
      <c r="J99" s="128">
        <f t="shared" si="59"/>
        <v>26910399.599999998</v>
      </c>
      <c r="K99" s="44">
        <f t="shared" si="60"/>
        <v>1.6058595078709218E-2</v>
      </c>
      <c r="L99" s="45">
        <f t="shared" si="61"/>
        <v>575.54980557657223</v>
      </c>
      <c r="M99" s="45">
        <f t="shared" si="62"/>
        <v>1907.1359183630657</v>
      </c>
      <c r="N99" s="45">
        <f t="shared" si="63"/>
        <v>4794.575723939638</v>
      </c>
      <c r="O99" s="46">
        <f t="shared" si="64"/>
        <v>55808861.426657386</v>
      </c>
      <c r="P99" s="47">
        <f t="shared" si="65"/>
        <v>4973.4329579037803</v>
      </c>
      <c r="Q99" s="42">
        <v>57890759.630000003</v>
      </c>
      <c r="R99" s="48">
        <f t="shared" si="43"/>
        <v>0.96403746959534209</v>
      </c>
      <c r="S99" s="49"/>
      <c r="T99" s="157">
        <f>IFERROR(VLOOKUP(B99,[1]Todos!$A$2:$C$3021,3,FALSE),0)</f>
        <v>324.11</v>
      </c>
      <c r="U99" s="112">
        <f t="shared" si="44"/>
        <v>0</v>
      </c>
      <c r="W99" s="157">
        <f>IFERROR(VLOOKUP(B99,[1]Todos!$A$2:$B$3021,2,FALSE),0)</f>
        <v>1987.78</v>
      </c>
      <c r="X99" s="112">
        <f t="shared" si="45"/>
        <v>0</v>
      </c>
    </row>
    <row r="100" spans="1:24" outlineLevel="2" x14ac:dyDescent="0.3">
      <c r="A100" s="40" t="str">
        <f>VLOOKUP(B100,Grupos!$A$2:$B$619,2,FALSE)</f>
        <v>CE 125</v>
      </c>
      <c r="B100" s="41" t="s">
        <v>140</v>
      </c>
      <c r="C100" s="41" t="s">
        <v>141</v>
      </c>
      <c r="D100" s="42">
        <v>3300</v>
      </c>
      <c r="E100" s="195">
        <v>1946.49</v>
      </c>
      <c r="F100" s="192">
        <v>311.52999999999997</v>
      </c>
      <c r="G100" s="126">
        <f t="shared" si="56"/>
        <v>2258.02</v>
      </c>
      <c r="H100" s="127">
        <f t="shared" si="57"/>
        <v>6423417</v>
      </c>
      <c r="I100" s="128">
        <f t="shared" si="58"/>
        <v>1028048.9999999999</v>
      </c>
      <c r="J100" s="128">
        <f t="shared" si="59"/>
        <v>7451466</v>
      </c>
      <c r="K100" s="44">
        <f t="shared" si="60"/>
        <v>4.4466108647739696E-3</v>
      </c>
      <c r="L100" s="45">
        <f t="shared" si="61"/>
        <v>562.13875746164899</v>
      </c>
      <c r="M100" s="45">
        <f t="shared" si="62"/>
        <v>1833.1123774263237</v>
      </c>
      <c r="N100" s="45">
        <f t="shared" si="63"/>
        <v>4653.2711348879729</v>
      </c>
      <c r="O100" s="46">
        <f t="shared" si="64"/>
        <v>15355794.74513031</v>
      </c>
      <c r="P100" s="47">
        <f t="shared" si="65"/>
        <v>5082.9454969696972</v>
      </c>
      <c r="Q100" s="42">
        <v>16773720.140000001</v>
      </c>
      <c r="R100" s="48">
        <f t="shared" si="43"/>
        <v>0.9154674465154341</v>
      </c>
      <c r="S100" s="49"/>
      <c r="T100" s="157">
        <f>IFERROR(VLOOKUP(B100,[1]Todos!$A$2:$C$3021,3,FALSE),0)</f>
        <v>311.52999999999997</v>
      </c>
      <c r="U100" s="112">
        <f t="shared" si="44"/>
        <v>0</v>
      </c>
      <c r="W100" s="157">
        <f>IFERROR(VLOOKUP(B100,[1]Todos!$A$2:$B$3021,2,FALSE),0)</f>
        <v>1946.49</v>
      </c>
      <c r="X100" s="112">
        <f t="shared" si="45"/>
        <v>0</v>
      </c>
    </row>
    <row r="101" spans="1:24" outlineLevel="2" x14ac:dyDescent="0.3">
      <c r="A101" s="40" t="str">
        <f>VLOOKUP(B101,Grupos!$A$2:$B$619,2,FALSE)</f>
        <v>CE 125</v>
      </c>
      <c r="B101" s="41" t="s">
        <v>142</v>
      </c>
      <c r="C101" s="41" t="s">
        <v>143</v>
      </c>
      <c r="D101" s="42">
        <v>4560</v>
      </c>
      <c r="E101" s="195">
        <v>1984.17</v>
      </c>
      <c r="F101" s="192">
        <v>359.89</v>
      </c>
      <c r="G101" s="126">
        <f t="shared" si="56"/>
        <v>2344.06</v>
      </c>
      <c r="H101" s="127">
        <f t="shared" si="57"/>
        <v>9047815.2000000011</v>
      </c>
      <c r="I101" s="128">
        <f t="shared" si="58"/>
        <v>1641098.4</v>
      </c>
      <c r="J101" s="128">
        <f t="shared" si="59"/>
        <v>10688913.6</v>
      </c>
      <c r="K101" s="44">
        <f t="shared" si="60"/>
        <v>6.3785353575243099E-3</v>
      </c>
      <c r="L101" s="45">
        <f t="shared" si="61"/>
        <v>583.55859373059263</v>
      </c>
      <c r="M101" s="45">
        <f t="shared" si="62"/>
        <v>2117.6734616632739</v>
      </c>
      <c r="N101" s="45">
        <f t="shared" si="63"/>
        <v>5045.2920553938666</v>
      </c>
      <c r="O101" s="46">
        <f t="shared" si="64"/>
        <v>23006531.772596031</v>
      </c>
      <c r="P101" s="47">
        <f t="shared" si="65"/>
        <v>4897.4736842105267</v>
      </c>
      <c r="Q101" s="42">
        <v>22332480</v>
      </c>
      <c r="R101" s="162">
        <f t="shared" si="43"/>
        <v>1.0301825758982446</v>
      </c>
      <c r="S101" s="49"/>
      <c r="T101" s="157">
        <f>IFERROR(VLOOKUP(B101,[1]Todos!$A$2:$C$3021,3,FALSE),0)</f>
        <v>359.89</v>
      </c>
      <c r="U101" s="112">
        <f t="shared" si="44"/>
        <v>0</v>
      </c>
      <c r="W101" s="157">
        <f>IFERROR(VLOOKUP(B101,[1]Todos!$A$2:$B$3021,2,FALSE),0)</f>
        <v>1984.17</v>
      </c>
      <c r="X101" s="112">
        <f t="shared" si="45"/>
        <v>0</v>
      </c>
    </row>
    <row r="102" spans="1:24" outlineLevel="2" x14ac:dyDescent="0.3">
      <c r="A102" s="40" t="str">
        <f>VLOOKUP(B102,Grupos!$A$2:$B$619,2,FALSE)</f>
        <v>CE 125</v>
      </c>
      <c r="B102" s="41" t="s">
        <v>144</v>
      </c>
      <c r="C102" s="41" t="s">
        <v>145</v>
      </c>
      <c r="D102" s="42">
        <v>120</v>
      </c>
      <c r="E102" s="195">
        <v>1946.49</v>
      </c>
      <c r="F102" s="192">
        <v>366.71</v>
      </c>
      <c r="G102" s="126">
        <f t="shared" si="56"/>
        <v>2313.1999999999998</v>
      </c>
      <c r="H102" s="127">
        <f t="shared" si="57"/>
        <v>233578.8</v>
      </c>
      <c r="I102" s="128">
        <f t="shared" si="58"/>
        <v>44005.2</v>
      </c>
      <c r="J102" s="128">
        <f t="shared" si="59"/>
        <v>277584</v>
      </c>
      <c r="K102" s="44">
        <f t="shared" si="60"/>
        <v>1.6564633459877794E-4</v>
      </c>
      <c r="L102" s="45">
        <f t="shared" si="61"/>
        <v>575.87593279080181</v>
      </c>
      <c r="M102" s="45">
        <f t="shared" si="62"/>
        <v>2157.8038709787411</v>
      </c>
      <c r="N102" s="45">
        <f t="shared" si="63"/>
        <v>5046.8798037695433</v>
      </c>
      <c r="O102" s="46">
        <f t="shared" si="64"/>
        <v>605625.57645234524</v>
      </c>
      <c r="P102" s="47">
        <f t="shared" si="65"/>
        <v>4800</v>
      </c>
      <c r="Q102" s="42">
        <v>576000</v>
      </c>
      <c r="R102" s="162">
        <f t="shared" si="43"/>
        <v>1.0514332924519882</v>
      </c>
      <c r="S102" s="49"/>
      <c r="T102" s="157">
        <f>IFERROR(VLOOKUP(B102,[1]Todos!$A$2:$C$3021,3,FALSE),0)</f>
        <v>366.71</v>
      </c>
      <c r="U102" s="112">
        <f t="shared" si="44"/>
        <v>0</v>
      </c>
      <c r="W102" s="157">
        <f>IFERROR(VLOOKUP(B102,[1]Todos!$A$2:$B$3021,2,FALSE),0)</f>
        <v>1946.49</v>
      </c>
      <c r="X102" s="112">
        <f t="shared" si="45"/>
        <v>0</v>
      </c>
    </row>
    <row r="103" spans="1:24" s="93" customFormat="1" outlineLevel="1" x14ac:dyDescent="0.3">
      <c r="A103" s="50" t="s">
        <v>1024</v>
      </c>
      <c r="B103" s="129"/>
      <c r="C103" s="129"/>
      <c r="D103" s="51">
        <f>SUBTOTAL(9,D95:D102)</f>
        <v>24660</v>
      </c>
      <c r="E103" s="52"/>
      <c r="F103" s="52"/>
      <c r="G103" s="130"/>
      <c r="H103" s="131">
        <f>SUBTOTAL(9,H95:H102)</f>
        <v>48666616.200000003</v>
      </c>
      <c r="I103" s="146">
        <f>SUBTOTAL(9,I95:I102)</f>
        <v>8136481.7999999998</v>
      </c>
      <c r="J103" s="146">
        <f>SUBTOTAL(9,J95:J102)</f>
        <v>56803098</v>
      </c>
      <c r="K103" s="53"/>
      <c r="L103" s="54"/>
      <c r="M103" s="54"/>
      <c r="N103" s="54"/>
      <c r="O103" s="55">
        <f>SUBTOTAL(9,O95:O102)</f>
        <v>118821230.37348884</v>
      </c>
      <c r="P103" s="56"/>
      <c r="Q103" s="51">
        <f>SUBTOTAL(9,Q95:Q102)</f>
        <v>122807639.84</v>
      </c>
      <c r="R103" s="57">
        <f t="shared" si="43"/>
        <v>0.96753940168783592</v>
      </c>
      <c r="S103" s="58">
        <f>Q103/$Q$308</f>
        <v>2.836136777048557E-2</v>
      </c>
      <c r="T103" s="157">
        <f>IFERROR(VLOOKUP(B103,[1]Todos!$A$2:$C$3021,3,FALSE),0)</f>
        <v>0</v>
      </c>
      <c r="U103" s="112">
        <f t="shared" si="44"/>
        <v>0</v>
      </c>
      <c r="W103" s="157">
        <f>IFERROR(VLOOKUP(B103,[1]Todos!$A$2:$B$3021,2,FALSE),0)</f>
        <v>0</v>
      </c>
      <c r="X103" s="112">
        <f t="shared" si="45"/>
        <v>0</v>
      </c>
    </row>
    <row r="104" spans="1:24" outlineLevel="2" x14ac:dyDescent="0.3">
      <c r="A104" s="40" t="str">
        <f>VLOOKUP(B104,Grupos!$A$2:$B$619,2,FALSE)</f>
        <v>EXCEDENTES INDUSTRIALES</v>
      </c>
      <c r="B104" s="41" t="s">
        <v>739</v>
      </c>
      <c r="C104" s="41" t="s">
        <v>740</v>
      </c>
      <c r="D104" s="42">
        <v>315</v>
      </c>
      <c r="E104" s="43">
        <v>0</v>
      </c>
      <c r="F104" s="43">
        <v>0</v>
      </c>
      <c r="G104" s="126">
        <f>E104+F104</f>
        <v>0</v>
      </c>
      <c r="H104" s="127">
        <f>E104*D104</f>
        <v>0</v>
      </c>
      <c r="I104" s="128">
        <f>F104*D104</f>
        <v>0</v>
      </c>
      <c r="J104" s="128">
        <f>G104*D104</f>
        <v>0</v>
      </c>
      <c r="K104" s="44">
        <f>J104/$J$308</f>
        <v>0</v>
      </c>
      <c r="L104" s="45">
        <f>$K$383*K104/D104</f>
        <v>0</v>
      </c>
      <c r="M104" s="45">
        <f>F104*$M$382</f>
        <v>0</v>
      </c>
      <c r="N104" s="45">
        <f>G104+L104+M104</f>
        <v>0</v>
      </c>
      <c r="O104" s="46">
        <f>N104*D104</f>
        <v>0</v>
      </c>
      <c r="P104" s="47">
        <f>Q104/D104</f>
        <v>250</v>
      </c>
      <c r="Q104" s="42">
        <v>78750</v>
      </c>
      <c r="R104" s="48">
        <f t="shared" si="43"/>
        <v>0</v>
      </c>
      <c r="S104" s="49"/>
      <c r="T104" s="157">
        <f>IFERROR(VLOOKUP(B104,[1]Todos!$A$2:$C$3021,3,FALSE),0)</f>
        <v>0</v>
      </c>
      <c r="U104" s="112">
        <f t="shared" si="44"/>
        <v>0</v>
      </c>
      <c r="W104" s="157">
        <f>IFERROR(VLOOKUP(B104,[1]Todos!$A$2:$B$3021,2,FALSE),0)</f>
        <v>0</v>
      </c>
      <c r="X104" s="112">
        <f t="shared" si="45"/>
        <v>0</v>
      </c>
    </row>
    <row r="105" spans="1:24" outlineLevel="2" x14ac:dyDescent="0.3">
      <c r="A105" s="40" t="str">
        <f>VLOOKUP(B105,Grupos!$A$2:$B$619,2,FALSE)</f>
        <v>EXCEDENTES INDUSTRIALES</v>
      </c>
      <c r="B105" s="41" t="s">
        <v>682</v>
      </c>
      <c r="C105" s="41" t="s">
        <v>1063</v>
      </c>
      <c r="D105" s="42">
        <v>135.6</v>
      </c>
      <c r="E105" s="43">
        <v>0</v>
      </c>
      <c r="F105" s="43">
        <v>0</v>
      </c>
      <c r="G105" s="126">
        <f>E105+F105</f>
        <v>0</v>
      </c>
      <c r="H105" s="127">
        <f>E105*D105</f>
        <v>0</v>
      </c>
      <c r="I105" s="128">
        <f>F105*D105</f>
        <v>0</v>
      </c>
      <c r="J105" s="128">
        <f>G105*D105</f>
        <v>0</v>
      </c>
      <c r="K105" s="44">
        <f>J105/$J$308</f>
        <v>0</v>
      </c>
      <c r="L105" s="45">
        <f>$K$383*K105/D105</f>
        <v>0</v>
      </c>
      <c r="M105" s="45">
        <f>F105*$M$382</f>
        <v>0</v>
      </c>
      <c r="N105" s="45">
        <f>G105+L105+M105</f>
        <v>0</v>
      </c>
      <c r="O105" s="46">
        <f>N105*D105</f>
        <v>0</v>
      </c>
      <c r="P105" s="47">
        <f>Q105/D105</f>
        <v>6800</v>
      </c>
      <c r="Q105" s="42">
        <v>922080</v>
      </c>
      <c r="R105" s="48">
        <f t="shared" si="43"/>
        <v>0</v>
      </c>
      <c r="S105" s="49"/>
      <c r="T105" s="157">
        <f>IFERROR(VLOOKUP(B105,[1]Todos!$A$2:$C$3021,3,FALSE),0)</f>
        <v>0</v>
      </c>
      <c r="U105" s="112">
        <f t="shared" si="44"/>
        <v>0</v>
      </c>
      <c r="W105" s="157">
        <f>IFERROR(VLOOKUP(B105,[1]Todos!$A$2:$B$3021,2,FALSE),0)</f>
        <v>0</v>
      </c>
      <c r="X105" s="112">
        <f t="shared" si="45"/>
        <v>0</v>
      </c>
    </row>
    <row r="106" spans="1:24" outlineLevel="2" x14ac:dyDescent="0.3">
      <c r="A106" s="40" t="str">
        <f>VLOOKUP(B106,Grupos!$A$2:$B$619,2,FALSE)</f>
        <v>EXCEDENTES INDUSTRIALES</v>
      </c>
      <c r="B106" s="41" t="s">
        <v>703</v>
      </c>
      <c r="C106" s="41" t="s">
        <v>1064</v>
      </c>
      <c r="D106" s="42">
        <v>326.7</v>
      </c>
      <c r="E106" s="43">
        <v>0</v>
      </c>
      <c r="F106" s="43">
        <v>0</v>
      </c>
      <c r="G106" s="126">
        <f>E106+F106</f>
        <v>0</v>
      </c>
      <c r="H106" s="127">
        <f>E106*D106</f>
        <v>0</v>
      </c>
      <c r="I106" s="128">
        <f>F106*D106</f>
        <v>0</v>
      </c>
      <c r="J106" s="128">
        <f>G106*D106</f>
        <v>0</v>
      </c>
      <c r="K106" s="44">
        <f>J106/$J$308</f>
        <v>0</v>
      </c>
      <c r="L106" s="45">
        <f>$K$383*K106/D106</f>
        <v>0</v>
      </c>
      <c r="M106" s="45">
        <f>F106*$M$382</f>
        <v>0</v>
      </c>
      <c r="N106" s="45">
        <f>G106+L106+M106</f>
        <v>0</v>
      </c>
      <c r="O106" s="46">
        <f>N106*D106</f>
        <v>0</v>
      </c>
      <c r="P106" s="47">
        <f>Q106/D106</f>
        <v>38200</v>
      </c>
      <c r="Q106" s="42">
        <v>12479940</v>
      </c>
      <c r="R106" s="48">
        <f t="shared" si="43"/>
        <v>0</v>
      </c>
      <c r="S106" s="49"/>
      <c r="T106" s="157">
        <f>IFERROR(VLOOKUP(B106,[1]Todos!$A$2:$C$3021,3,FALSE),0)</f>
        <v>0</v>
      </c>
      <c r="U106" s="112">
        <f t="shared" si="44"/>
        <v>0</v>
      </c>
      <c r="W106" s="157">
        <f>IFERROR(VLOOKUP(B106,[1]Todos!$A$2:$B$3021,2,FALSE),0)</f>
        <v>0</v>
      </c>
      <c r="X106" s="112">
        <f t="shared" si="45"/>
        <v>0</v>
      </c>
    </row>
    <row r="107" spans="1:24" s="93" customFormat="1" outlineLevel="1" x14ac:dyDescent="0.3">
      <c r="A107" s="50" t="s">
        <v>1025</v>
      </c>
      <c r="B107" s="129"/>
      <c r="C107" s="129"/>
      <c r="D107" s="51">
        <f>SUBTOTAL(9,D104:D106)</f>
        <v>777.3</v>
      </c>
      <c r="E107" s="52"/>
      <c r="F107" s="52"/>
      <c r="G107" s="130"/>
      <c r="H107" s="131">
        <f>SUBTOTAL(9,H104:H106)</f>
        <v>0</v>
      </c>
      <c r="I107" s="146">
        <f>SUBTOTAL(9,I104:I106)</f>
        <v>0</v>
      </c>
      <c r="J107" s="146">
        <f>SUBTOTAL(9,J104:J106)</f>
        <v>0</v>
      </c>
      <c r="K107" s="53"/>
      <c r="L107" s="54"/>
      <c r="M107" s="54"/>
      <c r="N107" s="54"/>
      <c r="O107" s="55">
        <f>SUBTOTAL(9,O104:O106)</f>
        <v>0</v>
      </c>
      <c r="P107" s="56"/>
      <c r="Q107" s="51">
        <f>SUBTOTAL(9,Q104:Q106)</f>
        <v>13480770</v>
      </c>
      <c r="R107" s="57">
        <f t="shared" si="43"/>
        <v>0</v>
      </c>
      <c r="S107" s="58">
        <f>Q107/$Q$308</f>
        <v>3.1132678414588178E-3</v>
      </c>
      <c r="T107" s="157">
        <f>IFERROR(VLOOKUP(B107,[1]Todos!$A$2:$C$3021,3,FALSE),0)</f>
        <v>0</v>
      </c>
      <c r="U107" s="112">
        <f t="shared" si="44"/>
        <v>0</v>
      </c>
      <c r="W107" s="157">
        <f>IFERROR(VLOOKUP(B107,[1]Todos!$A$2:$B$3021,2,FALSE),0)</f>
        <v>0</v>
      </c>
      <c r="X107" s="112">
        <f t="shared" si="45"/>
        <v>0</v>
      </c>
    </row>
    <row r="108" spans="1:24" outlineLevel="2" x14ac:dyDescent="0.3">
      <c r="A108" s="40" t="str">
        <f>VLOOKUP(B108,Grupos!$A$2:$B$619,2,FALSE)</f>
        <v>INTERIORES</v>
      </c>
      <c r="B108" s="41" t="s">
        <v>633</v>
      </c>
      <c r="C108" s="41" t="s">
        <v>634</v>
      </c>
      <c r="D108" s="42">
        <v>11</v>
      </c>
      <c r="E108" s="43">
        <v>15396.14</v>
      </c>
      <c r="F108" s="43">
        <v>883.37</v>
      </c>
      <c r="G108" s="126">
        <f t="shared" ref="G108:G117" si="66">E108+F108</f>
        <v>16279.51</v>
      </c>
      <c r="H108" s="127">
        <f t="shared" ref="H108:H117" si="67">E108*D108</f>
        <v>169357.53999999998</v>
      </c>
      <c r="I108" s="128">
        <f t="shared" ref="I108:I117" si="68">F108*D108</f>
        <v>9717.07</v>
      </c>
      <c r="J108" s="128">
        <f t="shared" ref="J108:J117" si="69">G108*D108</f>
        <v>179074.61000000002</v>
      </c>
      <c r="K108" s="44">
        <f t="shared" ref="K108:K117" si="70">J108/$J$308</f>
        <v>1.0686153656624903E-4</v>
      </c>
      <c r="L108" s="45">
        <f t="shared" ref="L108:L117" si="71">$K$383*K108/D108</f>
        <v>4052.8177445215233</v>
      </c>
      <c r="M108" s="45">
        <f t="shared" ref="M108:M117" si="72">F108*$M$382</f>
        <v>5197.9471667161806</v>
      </c>
      <c r="N108" s="45">
        <f t="shared" ref="N108:N117" si="73">G108+L108+M108</f>
        <v>25530.274911237706</v>
      </c>
      <c r="O108" s="46">
        <f t="shared" ref="O108:O117" si="74">N108*D108</f>
        <v>280833.02402361477</v>
      </c>
      <c r="P108" s="47">
        <f t="shared" ref="P108:P117" si="75">Q108/D108</f>
        <v>68860.36</v>
      </c>
      <c r="Q108" s="42">
        <v>757463.96</v>
      </c>
      <c r="R108" s="48">
        <f t="shared" si="43"/>
        <v>0.37075430496206679</v>
      </c>
      <c r="S108" s="49"/>
      <c r="T108" s="157">
        <f>IFERROR(VLOOKUP(B108,[1]Todos!$A$2:$C$3021,3,FALSE),0)</f>
        <v>848.26</v>
      </c>
      <c r="U108" s="112">
        <f t="shared" si="44"/>
        <v>-35.110000000000014</v>
      </c>
      <c r="W108" s="157">
        <f>IFERROR(VLOOKUP(B108,[1]Todos!$A$2:$B$3021,2,FALSE),0)</f>
        <v>15188.54</v>
      </c>
      <c r="X108" s="112">
        <f t="shared" si="45"/>
        <v>-207.59999999999854</v>
      </c>
    </row>
    <row r="109" spans="1:24" outlineLevel="2" x14ac:dyDescent="0.3">
      <c r="A109" s="40" t="str">
        <f>VLOOKUP(B109,Grupos!$A$2:$B$619,2,FALSE)</f>
        <v>INTERIORES</v>
      </c>
      <c r="B109" s="41" t="s">
        <v>997</v>
      </c>
      <c r="C109" s="41" t="s">
        <v>1067</v>
      </c>
      <c r="D109" s="42">
        <v>-7</v>
      </c>
      <c r="E109" s="43">
        <v>8581</v>
      </c>
      <c r="F109" s="43">
        <v>1041.0899999999999</v>
      </c>
      <c r="G109" s="126">
        <f t="shared" si="66"/>
        <v>9622.09</v>
      </c>
      <c r="H109" s="127">
        <f t="shared" si="67"/>
        <v>-60067</v>
      </c>
      <c r="I109" s="128">
        <f t="shared" si="68"/>
        <v>-7287.6299999999992</v>
      </c>
      <c r="J109" s="128">
        <f t="shared" si="69"/>
        <v>-67354.63</v>
      </c>
      <c r="K109" s="44">
        <f t="shared" si="70"/>
        <v>-4.0193410202882329E-5</v>
      </c>
      <c r="L109" s="45">
        <f t="shared" si="71"/>
        <v>2395.4392418066091</v>
      </c>
      <c r="M109" s="45">
        <f t="shared" si="72"/>
        <v>6126.00701381816</v>
      </c>
      <c r="N109" s="45">
        <f t="shared" si="73"/>
        <v>18143.536255624771</v>
      </c>
      <c r="O109" s="46">
        <f t="shared" si="74"/>
        <v>-127004.7537893734</v>
      </c>
      <c r="P109" s="47">
        <f t="shared" si="75"/>
        <v>89790.005714285726</v>
      </c>
      <c r="Q109" s="42">
        <v>-628530.04</v>
      </c>
      <c r="R109" s="48">
        <f t="shared" si="43"/>
        <v>0.20206632254104098</v>
      </c>
      <c r="S109" s="49"/>
      <c r="T109" s="157">
        <f>IFERROR(VLOOKUP(B109,[1]Todos!$A$2:$C$3021,3,FALSE),0)</f>
        <v>0</v>
      </c>
      <c r="U109" s="112">
        <f t="shared" si="44"/>
        <v>-1041.0899999999999</v>
      </c>
      <c r="W109" s="157">
        <f>IFERROR(VLOOKUP(B109,[1]Todos!$A$2:$B$3021,2,FALSE),0)</f>
        <v>0</v>
      </c>
      <c r="X109" s="112">
        <f t="shared" si="45"/>
        <v>-8581</v>
      </c>
    </row>
    <row r="110" spans="1:24" outlineLevel="2" x14ac:dyDescent="0.3">
      <c r="A110" s="40" t="str">
        <f>VLOOKUP(B110,Grupos!$A$2:$B$619,2,FALSE)</f>
        <v>INTERIORES</v>
      </c>
      <c r="B110" s="41" t="s">
        <v>635</v>
      </c>
      <c r="C110" s="41" t="s">
        <v>636</v>
      </c>
      <c r="D110" s="42">
        <v>1</v>
      </c>
      <c r="E110" s="43">
        <v>40418.06</v>
      </c>
      <c r="F110" s="192">
        <v>2027.61</v>
      </c>
      <c r="G110" s="126">
        <f t="shared" si="66"/>
        <v>42445.67</v>
      </c>
      <c r="H110" s="127">
        <f t="shared" si="67"/>
        <v>40418.06</v>
      </c>
      <c r="I110" s="128">
        <f t="shared" si="68"/>
        <v>2027.61</v>
      </c>
      <c r="J110" s="128">
        <f t="shared" si="69"/>
        <v>42445.67</v>
      </c>
      <c r="K110" s="44">
        <f t="shared" si="70"/>
        <v>2.5329160380603029E-5</v>
      </c>
      <c r="L110" s="45">
        <f t="shared" si="71"/>
        <v>10566.93749099972</v>
      </c>
      <c r="M110" s="45">
        <f t="shared" si="72"/>
        <v>11930.911910870183</v>
      </c>
      <c r="N110" s="45">
        <f t="shared" si="73"/>
        <v>64943.519401869904</v>
      </c>
      <c r="O110" s="46">
        <f t="shared" si="74"/>
        <v>64943.519401869904</v>
      </c>
      <c r="P110" s="47">
        <f t="shared" si="75"/>
        <v>143963</v>
      </c>
      <c r="Q110" s="42">
        <v>143963</v>
      </c>
      <c r="R110" s="48">
        <f t="shared" si="43"/>
        <v>0.45111257338253513</v>
      </c>
      <c r="S110" s="49"/>
      <c r="T110" s="157">
        <f>IFERROR(VLOOKUP(B110,[1]Todos!$A$2:$C$3021,3,FALSE),0)</f>
        <v>2027.61</v>
      </c>
      <c r="U110" s="112">
        <f t="shared" si="44"/>
        <v>0</v>
      </c>
      <c r="W110" s="157">
        <f>IFERROR(VLOOKUP(B110,[1]Todos!$A$2:$B$3021,2,FALSE),0)</f>
        <v>40097.47</v>
      </c>
      <c r="X110" s="112">
        <f t="shared" si="45"/>
        <v>-320.58999999999651</v>
      </c>
    </row>
    <row r="111" spans="1:24" outlineLevel="2" x14ac:dyDescent="0.3">
      <c r="A111" s="40" t="str">
        <f>VLOOKUP(B111,Grupos!$A$2:$B$619,2,FALSE)</f>
        <v>INTERIORES</v>
      </c>
      <c r="B111" s="41" t="s">
        <v>637</v>
      </c>
      <c r="C111" s="41" t="s">
        <v>638</v>
      </c>
      <c r="D111" s="42">
        <v>2</v>
      </c>
      <c r="E111" s="43">
        <v>50412.3</v>
      </c>
      <c r="F111" s="192">
        <v>1981.32</v>
      </c>
      <c r="G111" s="126">
        <f t="shared" si="66"/>
        <v>52393.62</v>
      </c>
      <c r="H111" s="127">
        <f t="shared" si="67"/>
        <v>100824.6</v>
      </c>
      <c r="I111" s="128">
        <f t="shared" si="68"/>
        <v>3962.64</v>
      </c>
      <c r="J111" s="128">
        <f t="shared" si="69"/>
        <v>104787.24</v>
      </c>
      <c r="K111" s="44">
        <f t="shared" si="70"/>
        <v>6.2531061656012057E-5</v>
      </c>
      <c r="L111" s="45">
        <f t="shared" si="71"/>
        <v>13043.500254965769</v>
      </c>
      <c r="M111" s="45">
        <f t="shared" si="72"/>
        <v>11658.531170809631</v>
      </c>
      <c r="N111" s="45">
        <f t="shared" si="73"/>
        <v>77095.651425775402</v>
      </c>
      <c r="O111" s="46">
        <f t="shared" si="74"/>
        <v>154191.3028515508</v>
      </c>
      <c r="P111" s="47">
        <f t="shared" si="75"/>
        <v>189599.99</v>
      </c>
      <c r="Q111" s="42">
        <v>379199.98</v>
      </c>
      <c r="R111" s="48">
        <f t="shared" si="43"/>
        <v>0.40662265554853355</v>
      </c>
      <c r="S111" s="49"/>
      <c r="T111" s="157">
        <f>IFERROR(VLOOKUP(B111,[1]Todos!$A$2:$C$3021,3,FALSE),0)</f>
        <v>1981.32</v>
      </c>
      <c r="U111" s="112">
        <f t="shared" si="44"/>
        <v>0</v>
      </c>
      <c r="W111" s="157">
        <f>IFERROR(VLOOKUP(B111,[1]Todos!$A$2:$B$3021,2,FALSE),0)</f>
        <v>50029.84</v>
      </c>
      <c r="X111" s="112">
        <f t="shared" si="45"/>
        <v>-382.4600000000064</v>
      </c>
    </row>
    <row r="112" spans="1:24" outlineLevel="2" x14ac:dyDescent="0.3">
      <c r="A112" s="40" t="str">
        <f>VLOOKUP(B112,Grupos!$A$2:$B$619,2,FALSE)</f>
        <v>INTERIORES</v>
      </c>
      <c r="B112" s="41" t="s">
        <v>728</v>
      </c>
      <c r="C112" s="41" t="s">
        <v>1068</v>
      </c>
      <c r="D112" s="42">
        <v>4</v>
      </c>
      <c r="E112" s="43">
        <v>59241.59</v>
      </c>
      <c r="F112" s="192">
        <v>2622.81</v>
      </c>
      <c r="G112" s="126">
        <f t="shared" si="66"/>
        <v>61864.399999999994</v>
      </c>
      <c r="H112" s="127">
        <f t="shared" si="67"/>
        <v>236966.36</v>
      </c>
      <c r="I112" s="128">
        <f t="shared" si="68"/>
        <v>10491.24</v>
      </c>
      <c r="J112" s="128">
        <f t="shared" si="69"/>
        <v>247457.59999999998</v>
      </c>
      <c r="K112" s="44">
        <f t="shared" si="70"/>
        <v>1.4766861349577263E-4</v>
      </c>
      <c r="L112" s="45">
        <f t="shared" si="71"/>
        <v>15401.270558768494</v>
      </c>
      <c r="M112" s="45">
        <f t="shared" si="72"/>
        <v>15433.202178401876</v>
      </c>
      <c r="N112" s="45">
        <f t="shared" si="73"/>
        <v>92698.872737170357</v>
      </c>
      <c r="O112" s="46">
        <f t="shared" si="74"/>
        <v>370795.49094868143</v>
      </c>
      <c r="P112" s="47">
        <f t="shared" si="75"/>
        <v>200601.9975</v>
      </c>
      <c r="Q112" s="42">
        <v>802407.99</v>
      </c>
      <c r="R112" s="48">
        <f t="shared" si="43"/>
        <v>0.46210343811342336</v>
      </c>
      <c r="S112" s="49"/>
      <c r="T112" s="157">
        <f>IFERROR(VLOOKUP(B112,[1]Todos!$A$2:$C$3021,3,FALSE),0)</f>
        <v>2622.81</v>
      </c>
      <c r="U112" s="112">
        <f t="shared" si="44"/>
        <v>0</v>
      </c>
      <c r="W112" s="157">
        <f>IFERROR(VLOOKUP(B112,[1]Todos!$A$2:$B$3021,2,FALSE),0)</f>
        <v>58797.23</v>
      </c>
      <c r="X112" s="112">
        <f t="shared" si="45"/>
        <v>-444.35999999999331</v>
      </c>
    </row>
    <row r="113" spans="1:24" outlineLevel="2" x14ac:dyDescent="0.3">
      <c r="A113" s="40" t="str">
        <f>VLOOKUP(B113,Grupos!$A$2:$B$619,2,FALSE)</f>
        <v>INTERIORES</v>
      </c>
      <c r="B113" s="41" t="s">
        <v>146</v>
      </c>
      <c r="C113" s="41" t="s">
        <v>1069</v>
      </c>
      <c r="D113" s="42">
        <v>4</v>
      </c>
      <c r="E113" s="43">
        <v>20849.5</v>
      </c>
      <c r="F113" s="43">
        <v>1232.3</v>
      </c>
      <c r="G113" s="126">
        <f t="shared" si="66"/>
        <v>22081.8</v>
      </c>
      <c r="H113" s="127">
        <f t="shared" si="67"/>
        <v>83398</v>
      </c>
      <c r="I113" s="128">
        <f t="shared" si="68"/>
        <v>4929.2</v>
      </c>
      <c r="J113" s="128">
        <f t="shared" si="69"/>
        <v>88327.2</v>
      </c>
      <c r="K113" s="44">
        <f t="shared" si="70"/>
        <v>5.2708646483130074E-5</v>
      </c>
      <c r="L113" s="45">
        <f t="shared" si="71"/>
        <v>5497.3098619660768</v>
      </c>
      <c r="M113" s="45">
        <f t="shared" si="72"/>
        <v>7251.1295307111959</v>
      </c>
      <c r="N113" s="45">
        <f t="shared" si="73"/>
        <v>34830.239392677271</v>
      </c>
      <c r="O113" s="46">
        <f t="shared" si="74"/>
        <v>139320.95757070908</v>
      </c>
      <c r="P113" s="47">
        <f t="shared" si="75"/>
        <v>80926.002500000002</v>
      </c>
      <c r="Q113" s="42">
        <v>323704.01</v>
      </c>
      <c r="R113" s="48">
        <f t="shared" si="43"/>
        <v>0.43039614359645739</v>
      </c>
      <c r="S113" s="49"/>
      <c r="T113" s="157">
        <f>IFERROR(VLOOKUP(B113,[1]Todos!$A$2:$C$3021,3,FALSE),0)</f>
        <v>1215.18</v>
      </c>
      <c r="U113" s="112">
        <f t="shared" si="44"/>
        <v>-17.119999999999891</v>
      </c>
      <c r="W113" s="157">
        <f>IFERROR(VLOOKUP(B113,[1]Todos!$A$2:$B$3021,2,FALSE),0)</f>
        <v>20688.900000000001</v>
      </c>
      <c r="X113" s="112">
        <f t="shared" si="45"/>
        <v>-160.59999999999854</v>
      </c>
    </row>
    <row r="114" spans="1:24" outlineLevel="2" x14ac:dyDescent="0.3">
      <c r="A114" s="40" t="str">
        <f>VLOOKUP(B114,Grupos!$A$2:$B$619,2,FALSE)</f>
        <v>INTERIORES</v>
      </c>
      <c r="B114" s="41" t="s">
        <v>147</v>
      </c>
      <c r="C114" s="41" t="s">
        <v>148</v>
      </c>
      <c r="D114" s="42">
        <v>1</v>
      </c>
      <c r="E114" s="43">
        <v>38158.32</v>
      </c>
      <c r="F114" s="192">
        <v>1956.45</v>
      </c>
      <c r="G114" s="126">
        <f t="shared" si="66"/>
        <v>40114.769999999997</v>
      </c>
      <c r="H114" s="127">
        <f t="shared" si="67"/>
        <v>38158.32</v>
      </c>
      <c r="I114" s="128">
        <f t="shared" si="68"/>
        <v>1956.45</v>
      </c>
      <c r="J114" s="128">
        <f t="shared" si="69"/>
        <v>40114.769999999997</v>
      </c>
      <c r="K114" s="44">
        <f t="shared" si="70"/>
        <v>2.3938211906208642E-5</v>
      </c>
      <c r="L114" s="45">
        <f t="shared" si="71"/>
        <v>9986.6551065357398</v>
      </c>
      <c r="M114" s="45">
        <f t="shared" si="72"/>
        <v>11512.19051396569</v>
      </c>
      <c r="N114" s="45">
        <f t="shared" si="73"/>
        <v>61613.615620501427</v>
      </c>
      <c r="O114" s="46">
        <f t="shared" si="74"/>
        <v>61613.615620501427</v>
      </c>
      <c r="P114" s="47">
        <f t="shared" si="75"/>
        <v>119073</v>
      </c>
      <c r="Q114" s="42">
        <v>119073</v>
      </c>
      <c r="R114" s="48">
        <f t="shared" si="43"/>
        <v>0.51744405214029565</v>
      </c>
      <c r="S114" s="49"/>
      <c r="T114" s="157">
        <f>IFERROR(VLOOKUP(B114,[1]Todos!$A$2:$C$3021,3,FALSE),0)</f>
        <v>1956.45</v>
      </c>
      <c r="U114" s="112">
        <f t="shared" si="44"/>
        <v>0</v>
      </c>
      <c r="W114" s="157">
        <f>IFERROR(VLOOKUP(B114,[1]Todos!$A$2:$B$3021,2,FALSE),0)</f>
        <v>37890.61</v>
      </c>
      <c r="X114" s="112">
        <f t="shared" si="45"/>
        <v>-267.70999999999913</v>
      </c>
    </row>
    <row r="115" spans="1:24" outlineLevel="2" x14ac:dyDescent="0.3">
      <c r="A115" s="40" t="str">
        <f>VLOOKUP(B115,Grupos!$A$2:$B$619,2,FALSE)</f>
        <v>INTERIORES</v>
      </c>
      <c r="B115" s="41" t="s">
        <v>149</v>
      </c>
      <c r="C115" s="41" t="s">
        <v>150</v>
      </c>
      <c r="D115" s="42">
        <v>3</v>
      </c>
      <c r="E115" s="43">
        <v>50110.49</v>
      </c>
      <c r="F115" s="192">
        <v>2292.84</v>
      </c>
      <c r="G115" s="126">
        <f t="shared" si="66"/>
        <v>52403.33</v>
      </c>
      <c r="H115" s="127">
        <f t="shared" si="67"/>
        <v>150331.47</v>
      </c>
      <c r="I115" s="128">
        <f t="shared" si="68"/>
        <v>6878.52</v>
      </c>
      <c r="J115" s="128">
        <f t="shared" si="69"/>
        <v>157209.99</v>
      </c>
      <c r="K115" s="44">
        <f t="shared" si="70"/>
        <v>9.3813975610303676E-5</v>
      </c>
      <c r="L115" s="45">
        <f t="shared" si="71"/>
        <v>13045.917579584217</v>
      </c>
      <c r="M115" s="45">
        <f t="shared" si="72"/>
        <v>13491.584705993557</v>
      </c>
      <c r="N115" s="45">
        <f t="shared" si="73"/>
        <v>78940.832285577781</v>
      </c>
      <c r="O115" s="46">
        <f t="shared" si="74"/>
        <v>236822.49685673334</v>
      </c>
      <c r="P115" s="47">
        <f t="shared" si="75"/>
        <v>143963</v>
      </c>
      <c r="Q115" s="42">
        <v>431889</v>
      </c>
      <c r="R115" s="48">
        <f t="shared" si="43"/>
        <v>0.54834111740918001</v>
      </c>
      <c r="S115" s="49"/>
      <c r="T115" s="157">
        <f>IFERROR(VLOOKUP(B115,[1]Todos!$A$2:$C$3021,3,FALSE),0)</f>
        <v>2292.84</v>
      </c>
      <c r="U115" s="112">
        <f t="shared" si="44"/>
        <v>0</v>
      </c>
      <c r="W115" s="157">
        <f>IFERROR(VLOOKUP(B115,[1]Todos!$A$2:$B$3021,2,FALSE),0)</f>
        <v>49777.86</v>
      </c>
      <c r="X115" s="112">
        <f t="shared" si="45"/>
        <v>-332.62999999999738</v>
      </c>
    </row>
    <row r="116" spans="1:24" outlineLevel="2" x14ac:dyDescent="0.3">
      <c r="A116" s="40" t="str">
        <f>VLOOKUP(B116,Grupos!$A$2:$B$619,2,FALSE)</f>
        <v>INTERIORES</v>
      </c>
      <c r="B116" s="41" t="s">
        <v>688</v>
      </c>
      <c r="C116" s="41" t="s">
        <v>689</v>
      </c>
      <c r="D116" s="42">
        <v>5</v>
      </c>
      <c r="E116" s="43">
        <v>62015.94</v>
      </c>
      <c r="F116" s="43">
        <v>2606.2399999999998</v>
      </c>
      <c r="G116" s="126">
        <f t="shared" si="66"/>
        <v>64622.18</v>
      </c>
      <c r="H116" s="127">
        <f t="shared" si="67"/>
        <v>310079.7</v>
      </c>
      <c r="I116" s="128">
        <f t="shared" si="68"/>
        <v>13031.199999999999</v>
      </c>
      <c r="J116" s="128">
        <f t="shared" si="69"/>
        <v>323110.90000000002</v>
      </c>
      <c r="K116" s="44">
        <f t="shared" si="70"/>
        <v>1.9281419769839864E-4</v>
      </c>
      <c r="L116" s="45">
        <f t="shared" si="71"/>
        <v>16087.825603698386</v>
      </c>
      <c r="M116" s="45">
        <f t="shared" si="72"/>
        <v>15335.700582748314</v>
      </c>
      <c r="N116" s="45">
        <f t="shared" si="73"/>
        <v>96045.706186446696</v>
      </c>
      <c r="O116" s="46">
        <f t="shared" si="74"/>
        <v>480228.53093223349</v>
      </c>
      <c r="P116" s="47">
        <f t="shared" si="75"/>
        <v>182400</v>
      </c>
      <c r="Q116" s="42">
        <v>912000</v>
      </c>
      <c r="R116" s="48">
        <f t="shared" si="43"/>
        <v>0.52656637163622089</v>
      </c>
      <c r="S116" s="49"/>
      <c r="T116" s="157">
        <f>IFERROR(VLOOKUP(B116,[1]Todos!$A$2:$C$3021,3,FALSE),0)</f>
        <v>2535.17</v>
      </c>
      <c r="U116" s="112">
        <f t="shared" si="44"/>
        <v>-71.069999999999709</v>
      </c>
      <c r="W116" s="157">
        <f>IFERROR(VLOOKUP(B116,[1]Todos!$A$2:$B$3021,2,FALSE),0)</f>
        <v>61618.43</v>
      </c>
      <c r="X116" s="112">
        <f t="shared" si="45"/>
        <v>-397.51000000000204</v>
      </c>
    </row>
    <row r="117" spans="1:24" outlineLevel="2" x14ac:dyDescent="0.3">
      <c r="A117" s="40" t="str">
        <f>VLOOKUP(B117,Grupos!$A$2:$B$619,2,FALSE)</f>
        <v>INTERIORES</v>
      </c>
      <c r="B117" s="41" t="s">
        <v>736</v>
      </c>
      <c r="C117" s="41" t="s">
        <v>1070</v>
      </c>
      <c r="D117" s="42">
        <v>42</v>
      </c>
      <c r="E117" s="43">
        <v>8581</v>
      </c>
      <c r="F117" s="43">
        <v>1041.0899999999999</v>
      </c>
      <c r="G117" s="126">
        <f t="shared" si="66"/>
        <v>9622.09</v>
      </c>
      <c r="H117" s="127">
        <f t="shared" si="67"/>
        <v>360402</v>
      </c>
      <c r="I117" s="128">
        <f t="shared" si="68"/>
        <v>43725.78</v>
      </c>
      <c r="J117" s="128">
        <f t="shared" si="69"/>
        <v>404127.78</v>
      </c>
      <c r="K117" s="44">
        <f t="shared" si="70"/>
        <v>2.4116046121729396E-4</v>
      </c>
      <c r="L117" s="45">
        <f t="shared" si="71"/>
        <v>2395.4392418066086</v>
      </c>
      <c r="M117" s="45">
        <f t="shared" si="72"/>
        <v>6126.00701381816</v>
      </c>
      <c r="N117" s="45">
        <f t="shared" si="73"/>
        <v>18143.536255624771</v>
      </c>
      <c r="O117" s="46">
        <f t="shared" si="74"/>
        <v>762028.52273624041</v>
      </c>
      <c r="P117" s="47">
        <f t="shared" si="75"/>
        <v>28359.998333333333</v>
      </c>
      <c r="Q117" s="42">
        <v>1191119.93</v>
      </c>
      <c r="R117" s="48">
        <f t="shared" si="43"/>
        <v>0.6397580155813869</v>
      </c>
      <c r="S117" s="49"/>
      <c r="T117" s="157">
        <f>IFERROR(VLOOKUP(B117,[1]Todos!$A$2:$C$3021,3,FALSE),0)</f>
        <v>0</v>
      </c>
      <c r="U117" s="112">
        <f t="shared" si="44"/>
        <v>-1041.0899999999999</v>
      </c>
      <c r="W117" s="157">
        <f>IFERROR(VLOOKUP(B117,[1]Todos!$A$2:$B$3021,2,FALSE),0)</f>
        <v>0</v>
      </c>
      <c r="X117" s="112">
        <f t="shared" si="45"/>
        <v>-8581</v>
      </c>
    </row>
    <row r="118" spans="1:24" s="93" customFormat="1" outlineLevel="1" x14ac:dyDescent="0.3">
      <c r="A118" s="50" t="s">
        <v>1026</v>
      </c>
      <c r="B118" s="129"/>
      <c r="C118" s="129"/>
      <c r="D118" s="51">
        <f>SUBTOTAL(9,D108:D117)</f>
        <v>66</v>
      </c>
      <c r="E118" s="52"/>
      <c r="F118" s="52"/>
      <c r="G118" s="130"/>
      <c r="H118" s="131">
        <f>SUBTOTAL(9,H108:H117)</f>
        <v>1429869.0499999998</v>
      </c>
      <c r="I118" s="146">
        <f>SUBTOTAL(9,I108:I117)</f>
        <v>89432.08</v>
      </c>
      <c r="J118" s="146">
        <f>SUBTOTAL(9,J108:J117)</f>
        <v>1519301.1300000001</v>
      </c>
      <c r="K118" s="53"/>
      <c r="L118" s="54"/>
      <c r="M118" s="54"/>
      <c r="N118" s="54"/>
      <c r="O118" s="55">
        <f>SUBTOTAL(9,O108:O117)</f>
        <v>2423772.7071527615</v>
      </c>
      <c r="P118" s="56"/>
      <c r="Q118" s="51">
        <f>SUBTOTAL(9,Q108:Q117)</f>
        <v>4432290.83</v>
      </c>
      <c r="R118" s="57">
        <f t="shared" si="43"/>
        <v>0.54684423926955206</v>
      </c>
      <c r="S118" s="58">
        <f>Q118/$Q$308</f>
        <v>1.0235994312663011E-3</v>
      </c>
      <c r="T118" s="157">
        <f>IFERROR(VLOOKUP(B118,[1]Todos!$A$2:$C$3021,3,FALSE),0)</f>
        <v>0</v>
      </c>
      <c r="U118" s="112">
        <f t="shared" si="44"/>
        <v>0</v>
      </c>
      <c r="W118" s="157">
        <f>IFERROR(VLOOKUP(B118,[1]Todos!$A$2:$B$3021,2,FALSE),0)</f>
        <v>0</v>
      </c>
      <c r="X118" s="112">
        <f t="shared" si="45"/>
        <v>0</v>
      </c>
    </row>
    <row r="119" spans="1:24" outlineLevel="2" x14ac:dyDescent="0.3">
      <c r="A119" s="40" t="str">
        <f>VLOOKUP(B119,Grupos!$A$2:$B$619,2,FALSE)</f>
        <v>REGLETAS</v>
      </c>
      <c r="B119" s="41" t="s">
        <v>641</v>
      </c>
      <c r="C119" s="41" t="s">
        <v>642</v>
      </c>
      <c r="D119" s="42">
        <v>108</v>
      </c>
      <c r="E119" s="43">
        <v>6845.2</v>
      </c>
      <c r="F119" s="43">
        <v>695.83</v>
      </c>
      <c r="G119" s="126">
        <f>E119+F119</f>
        <v>7541.03</v>
      </c>
      <c r="H119" s="127">
        <f>E119*D119</f>
        <v>739281.6</v>
      </c>
      <c r="I119" s="128">
        <f>F119*D119</f>
        <v>75149.64</v>
      </c>
      <c r="J119" s="128">
        <f>G119*D119</f>
        <v>814431.24</v>
      </c>
      <c r="K119" s="44">
        <f>J119/$J$308</f>
        <v>4.8600621681630653E-4</v>
      </c>
      <c r="L119" s="45">
        <f>$K$383*K119/D119</f>
        <v>1877.3550429938705</v>
      </c>
      <c r="M119" s="45">
        <f>F119*$M$382</f>
        <v>4094.419752783228</v>
      </c>
      <c r="N119" s="45">
        <f>G119+L119+M119</f>
        <v>13512.804795777098</v>
      </c>
      <c r="O119" s="46">
        <f>N119*D119</f>
        <v>1459382.9179439265</v>
      </c>
      <c r="P119" s="47">
        <f>Q119/D119</f>
        <v>20918.332777777778</v>
      </c>
      <c r="Q119" s="42">
        <v>2259179.94</v>
      </c>
      <c r="R119" s="48">
        <f t="shared" si="43"/>
        <v>0.64597905288762725</v>
      </c>
      <c r="S119" s="49"/>
      <c r="T119" s="157">
        <f>IFERROR(VLOOKUP(B119,[1]Todos!$A$2:$C$3021,3,FALSE),0)</f>
        <v>0</v>
      </c>
      <c r="U119" s="112">
        <f t="shared" si="44"/>
        <v>-695.83</v>
      </c>
      <c r="W119" s="157">
        <f>IFERROR(VLOOKUP(B119,[1]Todos!$A$2:$B$3021,2,FALSE),0)</f>
        <v>0</v>
      </c>
      <c r="X119" s="112">
        <f t="shared" si="45"/>
        <v>-6845.2</v>
      </c>
    </row>
    <row r="120" spans="1:24" outlineLevel="2" x14ac:dyDescent="0.3">
      <c r="A120" s="40" t="str">
        <f>VLOOKUP(B120,Grupos!$A$2:$B$619,2,FALSE)</f>
        <v>REGLETAS</v>
      </c>
      <c r="B120" s="41" t="s">
        <v>945</v>
      </c>
      <c r="C120" s="41" t="s">
        <v>1078</v>
      </c>
      <c r="D120" s="42">
        <v>20</v>
      </c>
      <c r="E120" s="43">
        <v>9228.39</v>
      </c>
      <c r="F120" s="43">
        <v>764.91</v>
      </c>
      <c r="G120" s="126">
        <f>E120+F120</f>
        <v>9993.2999999999993</v>
      </c>
      <c r="H120" s="127">
        <f>E120*D120</f>
        <v>184567.8</v>
      </c>
      <c r="I120" s="128">
        <f>F120*D120</f>
        <v>15298.199999999999</v>
      </c>
      <c r="J120" s="128">
        <f>G120*D120</f>
        <v>199866</v>
      </c>
      <c r="K120" s="44">
        <f>J120/$J$308</f>
        <v>1.1926865493299092E-4</v>
      </c>
      <c r="L120" s="45">
        <f>$K$383*K120/D120</f>
        <v>2487.8527404281167</v>
      </c>
      <c r="M120" s="45">
        <f>F120*$M$382</f>
        <v>4500.9019632689287</v>
      </c>
      <c r="N120" s="45">
        <f>G120+L120+M120</f>
        <v>16982.054703697046</v>
      </c>
      <c r="O120" s="46">
        <f>N120*D120</f>
        <v>339641.09407394088</v>
      </c>
      <c r="P120" s="47">
        <f>Q120/D120</f>
        <v>25419.998499999998</v>
      </c>
      <c r="Q120" s="42">
        <v>508399.97</v>
      </c>
      <c r="R120" s="48">
        <f t="shared" si="43"/>
        <v>0.66805883972404823</v>
      </c>
      <c r="S120" s="49"/>
      <c r="T120" s="157">
        <f>IFERROR(VLOOKUP(B120,[1]Todos!$A$2:$C$3021,3,FALSE),0)</f>
        <v>0</v>
      </c>
      <c r="U120" s="112">
        <f t="shared" si="44"/>
        <v>-764.91</v>
      </c>
      <c r="W120" s="157">
        <f>IFERROR(VLOOKUP(B120,[1]Todos!$A$2:$B$3021,2,FALSE),0)</f>
        <v>0</v>
      </c>
      <c r="X120" s="112">
        <f t="shared" si="45"/>
        <v>-9228.39</v>
      </c>
    </row>
    <row r="121" spans="1:24" s="93" customFormat="1" outlineLevel="1" x14ac:dyDescent="0.3">
      <c r="A121" s="50" t="s">
        <v>1027</v>
      </c>
      <c r="B121" s="129"/>
      <c r="C121" s="129"/>
      <c r="D121" s="51">
        <f>SUBTOTAL(9,D119:D120)</f>
        <v>128</v>
      </c>
      <c r="E121" s="52"/>
      <c r="F121" s="52"/>
      <c r="G121" s="130"/>
      <c r="H121" s="131">
        <f>SUBTOTAL(9,H119:H120)</f>
        <v>923849.39999999991</v>
      </c>
      <c r="I121" s="146">
        <f>SUBTOTAL(9,I119:I120)</f>
        <v>90447.84</v>
      </c>
      <c r="J121" s="146">
        <f>SUBTOTAL(9,J119:J120)</f>
        <v>1014297.24</v>
      </c>
      <c r="K121" s="53"/>
      <c r="L121" s="54"/>
      <c r="M121" s="54"/>
      <c r="N121" s="54"/>
      <c r="O121" s="55">
        <f>SUBTOTAL(9,O119:O120)</f>
        <v>1799024.0120178675</v>
      </c>
      <c r="P121" s="56"/>
      <c r="Q121" s="51">
        <f>SUBTOTAL(9,Q119:Q120)</f>
        <v>2767579.91</v>
      </c>
      <c r="R121" s="57">
        <f t="shared" si="43"/>
        <v>0.65003507415179473</v>
      </c>
      <c r="S121" s="58">
        <f>Q121/$Q$308</f>
        <v>6.3914876764980708E-4</v>
      </c>
      <c r="T121" s="157">
        <f>IFERROR(VLOOKUP(B121,[1]Todos!$A$2:$C$3021,3,FALSE),0)</f>
        <v>0</v>
      </c>
      <c r="U121" s="112">
        <f t="shared" si="44"/>
        <v>0</v>
      </c>
      <c r="W121" s="157">
        <f>IFERROR(VLOOKUP(B121,[1]Todos!$A$2:$B$3021,2,FALSE),0)</f>
        <v>0</v>
      </c>
      <c r="X121" s="112">
        <f t="shared" si="45"/>
        <v>0</v>
      </c>
    </row>
    <row r="122" spans="1:24" outlineLevel="2" x14ac:dyDescent="0.3">
      <c r="A122" s="40" t="str">
        <f>VLOOKUP(B122,Grupos!$A$2:$B$619,2,FALSE)</f>
        <v>RITEL</v>
      </c>
      <c r="B122" s="41" t="s">
        <v>157</v>
      </c>
      <c r="C122" s="41" t="s">
        <v>158</v>
      </c>
      <c r="D122" s="42">
        <v>4</v>
      </c>
      <c r="E122" s="43">
        <v>21236.87</v>
      </c>
      <c r="F122" s="43">
        <v>1292.3499999999999</v>
      </c>
      <c r="G122" s="126">
        <f t="shared" ref="G122:G132" si="76">E122+F122</f>
        <v>22529.219999999998</v>
      </c>
      <c r="H122" s="127">
        <f t="shared" ref="H122:H132" si="77">E122*D122</f>
        <v>84947.48</v>
      </c>
      <c r="I122" s="128">
        <f t="shared" ref="I122:I132" si="78">F122*D122</f>
        <v>5169.3999999999996</v>
      </c>
      <c r="J122" s="128">
        <f t="shared" ref="J122:J132" si="79">G122*D122</f>
        <v>90116.87999999999</v>
      </c>
      <c r="K122" s="44">
        <f t="shared" ref="K122:K132" si="80">J122/$J$308</f>
        <v>5.3776625660981609E-5</v>
      </c>
      <c r="L122" s="45">
        <f t="shared" ref="L122:L132" si="81">$K$383*K122/D122</f>
        <v>5608.6959979894464</v>
      </c>
      <c r="M122" s="45">
        <f t="shared" ref="M122:M132" si="82">F122*$M$382</f>
        <v>7604.4771963114617</v>
      </c>
      <c r="N122" s="45">
        <f t="shared" ref="N122:N132" si="83">G122+L122+M122</f>
        <v>35742.393194300908</v>
      </c>
      <c r="O122" s="46">
        <f t="shared" ref="O122:O132" si="84">N122*D122</f>
        <v>142969.57277720363</v>
      </c>
      <c r="P122" s="47">
        <f t="shared" ref="P122:P132" si="85">Q122/D122</f>
        <v>78250</v>
      </c>
      <c r="Q122" s="42">
        <v>313000</v>
      </c>
      <c r="R122" s="48">
        <f t="shared" si="43"/>
        <v>0.45677179801023526</v>
      </c>
      <c r="S122" s="49"/>
      <c r="T122" s="157">
        <f>IFERROR(VLOOKUP(B122,[1]Todos!$A$2:$C$3021,3,FALSE),0)</f>
        <v>783.97</v>
      </c>
      <c r="U122" s="112">
        <f t="shared" si="44"/>
        <v>-508.37999999999988</v>
      </c>
      <c r="W122" s="157">
        <f>IFERROR(VLOOKUP(B122,[1]Todos!$A$2:$B$3021,2,FALSE),0)</f>
        <v>19493.64</v>
      </c>
      <c r="X122" s="112">
        <f t="shared" si="45"/>
        <v>-1743.2299999999996</v>
      </c>
    </row>
    <row r="123" spans="1:24" outlineLevel="2" x14ac:dyDescent="0.3">
      <c r="A123" s="40" t="str">
        <f>VLOOKUP(B123,Grupos!$A$2:$B$619,2,FALSE)</f>
        <v>RITEL</v>
      </c>
      <c r="B123" s="41" t="s">
        <v>645</v>
      </c>
      <c r="C123" s="41" t="s">
        <v>646</v>
      </c>
      <c r="D123" s="42">
        <v>158</v>
      </c>
      <c r="E123" s="43">
        <v>75444.36</v>
      </c>
      <c r="F123" s="43">
        <v>4984.9399999999996</v>
      </c>
      <c r="G123" s="126">
        <f t="shared" si="76"/>
        <v>80429.3</v>
      </c>
      <c r="H123" s="127">
        <f t="shared" si="77"/>
        <v>11920208.880000001</v>
      </c>
      <c r="I123" s="128">
        <f t="shared" si="78"/>
        <v>787620.5199999999</v>
      </c>
      <c r="J123" s="128">
        <f t="shared" si="79"/>
        <v>12707829.4</v>
      </c>
      <c r="K123" s="44">
        <f t="shared" si="80"/>
        <v>7.58330941558803E-3</v>
      </c>
      <c r="L123" s="45">
        <f t="shared" si="81"/>
        <v>20023.040878960419</v>
      </c>
      <c r="M123" s="45">
        <f t="shared" si="82"/>
        <v>29332.504781971489</v>
      </c>
      <c r="N123" s="45">
        <f t="shared" si="83"/>
        <v>129784.8456609319</v>
      </c>
      <c r="O123" s="46">
        <f t="shared" si="84"/>
        <v>20506005.614427239</v>
      </c>
      <c r="P123" s="47">
        <f t="shared" si="85"/>
        <v>245155.06329113923</v>
      </c>
      <c r="Q123" s="42">
        <v>38734500</v>
      </c>
      <c r="R123" s="48">
        <f t="shared" si="43"/>
        <v>0.52939900126314365</v>
      </c>
      <c r="S123" s="49"/>
      <c r="T123" s="157">
        <f>IFERROR(VLOOKUP(B123,[1]Todos!$A$2:$C$3021,3,FALSE),0)</f>
        <v>0</v>
      </c>
      <c r="U123" s="112">
        <f t="shared" si="44"/>
        <v>-4984.9399999999996</v>
      </c>
      <c r="W123" s="157">
        <f>IFERROR(VLOOKUP(B123,[1]Todos!$A$2:$B$3021,2,FALSE),0)</f>
        <v>0</v>
      </c>
      <c r="X123" s="112">
        <f t="shared" si="45"/>
        <v>-75444.36</v>
      </c>
    </row>
    <row r="124" spans="1:24" outlineLevel="2" x14ac:dyDescent="0.3">
      <c r="A124" s="40" t="str">
        <f>VLOOKUP(B124,Grupos!$A$2:$B$619,2,FALSE)</f>
        <v>RITEL</v>
      </c>
      <c r="B124" s="41" t="s">
        <v>159</v>
      </c>
      <c r="C124" s="41" t="s">
        <v>160</v>
      </c>
      <c r="D124" s="42">
        <v>198</v>
      </c>
      <c r="E124" s="195">
        <v>99648.75</v>
      </c>
      <c r="F124" s="192">
        <v>4226.8599999999997</v>
      </c>
      <c r="G124" s="126">
        <f t="shared" si="76"/>
        <v>103875.61</v>
      </c>
      <c r="H124" s="127">
        <f t="shared" si="77"/>
        <v>19730452.5</v>
      </c>
      <c r="I124" s="128">
        <f t="shared" si="78"/>
        <v>836918.27999999991</v>
      </c>
      <c r="J124" s="128">
        <f t="shared" si="79"/>
        <v>20567370.780000001</v>
      </c>
      <c r="K124" s="44">
        <f t="shared" si="80"/>
        <v>1.2273436444611393E-2</v>
      </c>
      <c r="L124" s="45">
        <f t="shared" si="81"/>
        <v>25860.048332597078</v>
      </c>
      <c r="M124" s="45">
        <f t="shared" si="82"/>
        <v>24871.792070260428</v>
      </c>
      <c r="N124" s="45">
        <f t="shared" si="83"/>
        <v>154607.4504028575</v>
      </c>
      <c r="O124" s="46">
        <f t="shared" si="84"/>
        <v>30612275.179765787</v>
      </c>
      <c r="P124" s="47">
        <f t="shared" si="85"/>
        <v>364472.22222222225</v>
      </c>
      <c r="Q124" s="42">
        <v>72165500</v>
      </c>
      <c r="R124" s="48">
        <f t="shared" si="43"/>
        <v>0.42419542828312401</v>
      </c>
      <c r="S124" s="49"/>
      <c r="T124" s="157">
        <f>IFERROR(VLOOKUP(B124,[1]Todos!$A$2:$C$3021,3,FALSE),0)</f>
        <v>4226.8599999999997</v>
      </c>
      <c r="U124" s="112">
        <f t="shared" si="44"/>
        <v>0</v>
      </c>
      <c r="W124" s="157">
        <f>IFERROR(VLOOKUP(B124,[1]Todos!$A$2:$B$3021,2,FALSE),0)</f>
        <v>99648.75</v>
      </c>
      <c r="X124" s="112">
        <f t="shared" si="45"/>
        <v>0</v>
      </c>
    </row>
    <row r="125" spans="1:24" outlineLevel="2" x14ac:dyDescent="0.3">
      <c r="A125" s="40" t="str">
        <f>VLOOKUP(B125,Grupos!$A$2:$B$619,2,FALSE)</f>
        <v>RITEL</v>
      </c>
      <c r="B125" s="41" t="s">
        <v>161</v>
      </c>
      <c r="C125" s="41" t="s">
        <v>162</v>
      </c>
      <c r="D125" s="42">
        <v>58</v>
      </c>
      <c r="E125" s="195">
        <v>70790.58</v>
      </c>
      <c r="F125" s="192">
        <v>4031.56</v>
      </c>
      <c r="G125" s="126">
        <f t="shared" si="76"/>
        <v>74822.14</v>
      </c>
      <c r="H125" s="127">
        <f t="shared" si="77"/>
        <v>4105853.64</v>
      </c>
      <c r="I125" s="128">
        <f t="shared" si="78"/>
        <v>233830.48</v>
      </c>
      <c r="J125" s="128">
        <f t="shared" si="79"/>
        <v>4339684.12</v>
      </c>
      <c r="K125" s="44">
        <f t="shared" si="80"/>
        <v>2.5896765224023115E-3</v>
      </c>
      <c r="L125" s="45">
        <f t="shared" si="81"/>
        <v>18627.126779311762</v>
      </c>
      <c r="M125" s="45">
        <f t="shared" si="82"/>
        <v>23722.603076226595</v>
      </c>
      <c r="N125" s="45">
        <f t="shared" si="83"/>
        <v>117171.86985553836</v>
      </c>
      <c r="O125" s="46">
        <f t="shared" si="84"/>
        <v>6795968.4516212251</v>
      </c>
      <c r="P125" s="47">
        <f t="shared" si="85"/>
        <v>235000</v>
      </c>
      <c r="Q125" s="42">
        <v>13630000</v>
      </c>
      <c r="R125" s="48">
        <f t="shared" si="43"/>
        <v>0.49860370151292921</v>
      </c>
      <c r="S125" s="49"/>
      <c r="T125" s="157">
        <f>IFERROR(VLOOKUP(B125,[1]Todos!$A$2:$C$3021,3,FALSE),0)</f>
        <v>4031.56</v>
      </c>
      <c r="U125" s="112">
        <f t="shared" si="44"/>
        <v>0</v>
      </c>
      <c r="W125" s="157">
        <f>IFERROR(VLOOKUP(B125,[1]Todos!$A$2:$B$3021,2,FALSE),0)</f>
        <v>70790.58</v>
      </c>
      <c r="X125" s="112">
        <f t="shared" si="45"/>
        <v>0</v>
      </c>
    </row>
    <row r="126" spans="1:24" outlineLevel="2" x14ac:dyDescent="0.3">
      <c r="A126" s="40" t="str">
        <f>VLOOKUP(B126,Grupos!$A$2:$B$619,2,FALSE)</f>
        <v>RITEL</v>
      </c>
      <c r="B126" s="41" t="s">
        <v>163</v>
      </c>
      <c r="C126" s="41" t="s">
        <v>164</v>
      </c>
      <c r="D126" s="42">
        <v>247</v>
      </c>
      <c r="E126" s="195">
        <v>71740.69</v>
      </c>
      <c r="F126" s="192">
        <v>3924.98</v>
      </c>
      <c r="G126" s="126">
        <f t="shared" si="76"/>
        <v>75665.67</v>
      </c>
      <c r="H126" s="127">
        <f t="shared" si="77"/>
        <v>17719950.43</v>
      </c>
      <c r="I126" s="128">
        <f t="shared" si="78"/>
        <v>969470.06</v>
      </c>
      <c r="J126" s="128">
        <f t="shared" si="79"/>
        <v>18689420.489999998</v>
      </c>
      <c r="K126" s="44">
        <f t="shared" si="80"/>
        <v>1.1152782580926121E-2</v>
      </c>
      <c r="L126" s="45">
        <f t="shared" si="81"/>
        <v>18837.125320547722</v>
      </c>
      <c r="M126" s="45">
        <f t="shared" si="82"/>
        <v>23095.462456748221</v>
      </c>
      <c r="N126" s="45">
        <f t="shared" si="83"/>
        <v>117598.25777729595</v>
      </c>
      <c r="O126" s="46">
        <f t="shared" si="84"/>
        <v>29046769.670992099</v>
      </c>
      <c r="P126" s="47">
        <f t="shared" si="85"/>
        <v>232018.21862348178</v>
      </c>
      <c r="Q126" s="42">
        <v>57308500</v>
      </c>
      <c r="R126" s="48">
        <f t="shared" si="43"/>
        <v>0.50684924000788889</v>
      </c>
      <c r="S126" s="49"/>
      <c r="T126" s="157">
        <f>IFERROR(VLOOKUP(B126,[1]Todos!$A$2:$C$3021,3,FALSE),0)</f>
        <v>3924.98</v>
      </c>
      <c r="U126" s="112">
        <f t="shared" si="44"/>
        <v>0</v>
      </c>
      <c r="W126" s="157">
        <f>IFERROR(VLOOKUP(B126,[1]Todos!$A$2:$B$3021,2,FALSE),0)</f>
        <v>71740.69</v>
      </c>
      <c r="X126" s="112">
        <f t="shared" si="45"/>
        <v>0</v>
      </c>
    </row>
    <row r="127" spans="1:24" outlineLevel="2" x14ac:dyDescent="0.3">
      <c r="A127" s="40" t="str">
        <f>VLOOKUP(B127,Grupos!$A$2:$B$619,2,FALSE)</f>
        <v>RITEL</v>
      </c>
      <c r="B127" s="41" t="s">
        <v>165</v>
      </c>
      <c r="C127" s="41" t="s">
        <v>1076</v>
      </c>
      <c r="D127" s="42">
        <v>144</v>
      </c>
      <c r="E127" s="43">
        <v>15362.23</v>
      </c>
      <c r="F127" s="43">
        <v>580.02</v>
      </c>
      <c r="G127" s="126">
        <f t="shared" si="76"/>
        <v>15942.25</v>
      </c>
      <c r="H127" s="127">
        <f t="shared" si="77"/>
        <v>2212161.12</v>
      </c>
      <c r="I127" s="128">
        <f t="shared" si="78"/>
        <v>83522.880000000005</v>
      </c>
      <c r="J127" s="128">
        <f t="shared" si="79"/>
        <v>2295684</v>
      </c>
      <c r="K127" s="44">
        <f t="shared" si="80"/>
        <v>1.3699335696476056E-3</v>
      </c>
      <c r="L127" s="45">
        <f t="shared" si="81"/>
        <v>3968.8561687420724</v>
      </c>
      <c r="M127" s="45">
        <f t="shared" si="82"/>
        <v>3412.9677435714584</v>
      </c>
      <c r="N127" s="45">
        <f t="shared" si="83"/>
        <v>23324.073912313532</v>
      </c>
      <c r="O127" s="46">
        <f t="shared" si="84"/>
        <v>3358666.6433731485</v>
      </c>
      <c r="P127" s="47">
        <f t="shared" si="85"/>
        <v>72900</v>
      </c>
      <c r="Q127" s="42">
        <v>10497600</v>
      </c>
      <c r="R127" s="48">
        <f t="shared" si="43"/>
        <v>0.31994614420183171</v>
      </c>
      <c r="S127" s="49"/>
      <c r="T127" s="157">
        <f>IFERROR(VLOOKUP(B127,[1]Todos!$A$2:$C$3021,3,FALSE),0)</f>
        <v>0</v>
      </c>
      <c r="U127" s="112">
        <f t="shared" si="44"/>
        <v>-580.02</v>
      </c>
      <c r="W127" s="157">
        <f>IFERROR(VLOOKUP(B127,[1]Todos!$A$2:$B$3021,2,FALSE),0)</f>
        <v>0</v>
      </c>
      <c r="X127" s="112">
        <f t="shared" si="45"/>
        <v>-15362.23</v>
      </c>
    </row>
    <row r="128" spans="1:24" outlineLevel="2" x14ac:dyDescent="0.3">
      <c r="A128" s="40" t="str">
        <f>VLOOKUP(B128,Grupos!$A$2:$B$619,2,FALSE)</f>
        <v>RITEL</v>
      </c>
      <c r="B128" s="41" t="s">
        <v>166</v>
      </c>
      <c r="C128" s="41" t="s">
        <v>167</v>
      </c>
      <c r="D128" s="42">
        <v>290</v>
      </c>
      <c r="E128" s="195">
        <v>17761.330000000002</v>
      </c>
      <c r="F128" s="43">
        <v>1105</v>
      </c>
      <c r="G128" s="126">
        <f t="shared" si="76"/>
        <v>18866.330000000002</v>
      </c>
      <c r="H128" s="127">
        <f t="shared" si="77"/>
        <v>5150785.7</v>
      </c>
      <c r="I128" s="128">
        <f t="shared" si="78"/>
        <v>320450</v>
      </c>
      <c r="J128" s="128">
        <f t="shared" si="79"/>
        <v>5471235.7000000002</v>
      </c>
      <c r="K128" s="44">
        <f t="shared" si="80"/>
        <v>3.2649221116165888E-3</v>
      </c>
      <c r="L128" s="45">
        <f t="shared" si="81"/>
        <v>4696.8119432340873</v>
      </c>
      <c r="M128" s="45">
        <f t="shared" si="82"/>
        <v>6502.0677849840722</v>
      </c>
      <c r="N128" s="45">
        <f t="shared" si="83"/>
        <v>30065.20972821816</v>
      </c>
      <c r="O128" s="46">
        <f t="shared" si="84"/>
        <v>8718910.8211832661</v>
      </c>
      <c r="P128" s="47">
        <f t="shared" si="85"/>
        <v>69599.655172413797</v>
      </c>
      <c r="Q128" s="42">
        <v>20183900</v>
      </c>
      <c r="R128" s="48">
        <f t="shared" si="43"/>
        <v>0.43197354431914875</v>
      </c>
      <c r="S128" s="49"/>
      <c r="T128" s="157">
        <f>IFERROR(VLOOKUP(B128,[1]Todos!$A$2:$C$3021,3,FALSE),0)</f>
        <v>865.24</v>
      </c>
      <c r="U128" s="112">
        <f t="shared" si="44"/>
        <v>-239.76</v>
      </c>
      <c r="W128" s="157">
        <f>IFERROR(VLOOKUP(B128,[1]Todos!$A$2:$B$3021,2,FALSE),0)</f>
        <v>17761.330000000002</v>
      </c>
      <c r="X128" s="112">
        <f t="shared" si="45"/>
        <v>0</v>
      </c>
    </row>
    <row r="129" spans="1:24" outlineLevel="2" x14ac:dyDescent="0.3">
      <c r="A129" s="40" t="str">
        <f>VLOOKUP(B129,Grupos!$A$2:$B$619,2,FALSE)</f>
        <v>RITEL</v>
      </c>
      <c r="B129" s="41" t="s">
        <v>168</v>
      </c>
      <c r="C129" s="41" t="s">
        <v>169</v>
      </c>
      <c r="D129" s="42">
        <v>3411</v>
      </c>
      <c r="E129" s="195">
        <v>13894.41</v>
      </c>
      <c r="F129" s="43">
        <v>580.02</v>
      </c>
      <c r="G129" s="126">
        <f t="shared" si="76"/>
        <v>14474.43</v>
      </c>
      <c r="H129" s="127">
        <f t="shared" si="77"/>
        <v>47393832.509999998</v>
      </c>
      <c r="I129" s="128">
        <f t="shared" si="78"/>
        <v>1978448.22</v>
      </c>
      <c r="J129" s="128">
        <f t="shared" si="79"/>
        <v>49372280.730000004</v>
      </c>
      <c r="K129" s="44">
        <f t="shared" si="80"/>
        <v>2.9462567488422884E-2</v>
      </c>
      <c r="L129" s="45">
        <f t="shared" si="81"/>
        <v>3603.4393385203043</v>
      </c>
      <c r="M129" s="45">
        <f t="shared" si="82"/>
        <v>3412.9677435714584</v>
      </c>
      <c r="N129" s="45">
        <f t="shared" si="83"/>
        <v>21490.837082091763</v>
      </c>
      <c r="O129" s="46">
        <f t="shared" si="84"/>
        <v>73305245.287015006</v>
      </c>
      <c r="P129" s="47">
        <f t="shared" si="85"/>
        <v>38659.689240691878</v>
      </c>
      <c r="Q129" s="42">
        <v>131868200</v>
      </c>
      <c r="R129" s="48">
        <f t="shared" si="43"/>
        <v>0.55589782287932199</v>
      </c>
      <c r="S129" s="49"/>
      <c r="T129" s="157">
        <f>IFERROR(VLOOKUP(B129,[1]Todos!$A$2:$C$3021,3,FALSE),0)</f>
        <v>522.83000000000004</v>
      </c>
      <c r="U129" s="112">
        <f t="shared" si="44"/>
        <v>-57.189999999999941</v>
      </c>
      <c r="W129" s="157">
        <f>IFERROR(VLOOKUP(B129,[1]Todos!$A$2:$B$3021,2,FALSE),0)</f>
        <v>13894.41</v>
      </c>
      <c r="X129" s="112">
        <f t="shared" si="45"/>
        <v>0</v>
      </c>
    </row>
    <row r="130" spans="1:24" outlineLevel="2" x14ac:dyDescent="0.3">
      <c r="A130" s="40" t="str">
        <f>VLOOKUP(B130,Grupos!$A$2:$B$619,2,FALSE)</f>
        <v>RITEL</v>
      </c>
      <c r="B130" s="41" t="s">
        <v>773</v>
      </c>
      <c r="C130" s="41" t="s">
        <v>774</v>
      </c>
      <c r="D130" s="42">
        <v>732</v>
      </c>
      <c r="E130" s="195">
        <v>12766.98</v>
      </c>
      <c r="F130" s="43">
        <v>417.95</v>
      </c>
      <c r="G130" s="126">
        <f t="shared" si="76"/>
        <v>13184.93</v>
      </c>
      <c r="H130" s="127">
        <f t="shared" si="77"/>
        <v>9345429.3599999994</v>
      </c>
      <c r="I130" s="128">
        <f t="shared" si="78"/>
        <v>305939.39999999997</v>
      </c>
      <c r="J130" s="128">
        <f t="shared" si="79"/>
        <v>9651368.7599999998</v>
      </c>
      <c r="K130" s="44">
        <f t="shared" si="80"/>
        <v>5.7593876410569509E-3</v>
      </c>
      <c r="L130" s="45">
        <f t="shared" si="81"/>
        <v>3282.4156417652725</v>
      </c>
      <c r="M130" s="45">
        <f t="shared" si="82"/>
        <v>2459.3115210263281</v>
      </c>
      <c r="N130" s="45">
        <f t="shared" si="83"/>
        <v>18926.657162791602</v>
      </c>
      <c r="O130" s="46">
        <f t="shared" si="84"/>
        <v>13854313.043163452</v>
      </c>
      <c r="P130" s="47">
        <f t="shared" si="85"/>
        <v>40263.114754098358</v>
      </c>
      <c r="Q130" s="42">
        <v>29472600</v>
      </c>
      <c r="R130" s="48">
        <f t="shared" si="43"/>
        <v>0.47007434169918677</v>
      </c>
      <c r="S130" s="49"/>
      <c r="T130" s="157">
        <f>IFERROR(VLOOKUP(B130,[1]Todos!$A$2:$C$3021,3,FALSE),0)</f>
        <v>280.39</v>
      </c>
      <c r="U130" s="112">
        <f t="shared" si="44"/>
        <v>-137.56</v>
      </c>
      <c r="W130" s="157">
        <f>IFERROR(VLOOKUP(B130,[1]Todos!$A$2:$B$3021,2,FALSE),0)</f>
        <v>12766.98</v>
      </c>
      <c r="X130" s="112">
        <f t="shared" si="45"/>
        <v>0</v>
      </c>
    </row>
    <row r="131" spans="1:24" outlineLevel="2" x14ac:dyDescent="0.3">
      <c r="A131" s="40" t="str">
        <f>VLOOKUP(B131,Grupos!$A$2:$B$619,2,FALSE)</f>
        <v>RITEL</v>
      </c>
      <c r="B131" s="41" t="s">
        <v>170</v>
      </c>
      <c r="C131" s="41" t="s">
        <v>171</v>
      </c>
      <c r="D131" s="42">
        <v>140</v>
      </c>
      <c r="E131" s="195">
        <v>14799.95</v>
      </c>
      <c r="F131" s="43">
        <v>1279.07</v>
      </c>
      <c r="G131" s="126">
        <f t="shared" si="76"/>
        <v>16079.02</v>
      </c>
      <c r="H131" s="127">
        <f t="shared" si="77"/>
        <v>2071993</v>
      </c>
      <c r="I131" s="128">
        <f t="shared" si="78"/>
        <v>179069.8</v>
      </c>
      <c r="J131" s="128">
        <f t="shared" si="79"/>
        <v>2251062.8000000003</v>
      </c>
      <c r="K131" s="44">
        <f t="shared" si="80"/>
        <v>1.3433061767668959E-3</v>
      </c>
      <c r="L131" s="45">
        <f t="shared" si="81"/>
        <v>4002.9053436200766</v>
      </c>
      <c r="M131" s="45">
        <f t="shared" si="82"/>
        <v>7526.3346984068567</v>
      </c>
      <c r="N131" s="45">
        <f t="shared" si="83"/>
        <v>27608.260042026934</v>
      </c>
      <c r="O131" s="46">
        <f t="shared" si="84"/>
        <v>3865156.4058837709</v>
      </c>
      <c r="P131" s="47">
        <f t="shared" si="85"/>
        <v>59207.142857142855</v>
      </c>
      <c r="Q131" s="42">
        <v>8289000</v>
      </c>
      <c r="R131" s="48">
        <f t="shared" si="43"/>
        <v>0.46629948195002663</v>
      </c>
      <c r="S131" s="49"/>
      <c r="T131" s="157">
        <f>IFERROR(VLOOKUP(B131,[1]Todos!$A$2:$C$3021,3,FALSE),0)</f>
        <v>1154.7</v>
      </c>
      <c r="U131" s="112">
        <f t="shared" si="44"/>
        <v>-124.36999999999989</v>
      </c>
      <c r="W131" s="157">
        <f>IFERROR(VLOOKUP(B131,[1]Todos!$A$2:$B$3021,2,FALSE),0)</f>
        <v>14799.95</v>
      </c>
      <c r="X131" s="112">
        <f t="shared" si="45"/>
        <v>0</v>
      </c>
    </row>
    <row r="132" spans="1:24" outlineLevel="2" x14ac:dyDescent="0.3">
      <c r="A132" s="40" t="str">
        <f>VLOOKUP(B132,Grupos!$A$2:$B$619,2,FALSE)</f>
        <v>RITEL</v>
      </c>
      <c r="B132" s="41" t="s">
        <v>696</v>
      </c>
      <c r="C132" s="41" t="s">
        <v>1077</v>
      </c>
      <c r="D132" s="42">
        <v>20</v>
      </c>
      <c r="E132" s="43">
        <v>15362.23</v>
      </c>
      <c r="F132" s="43">
        <v>580.02</v>
      </c>
      <c r="G132" s="126">
        <f t="shared" si="76"/>
        <v>15942.25</v>
      </c>
      <c r="H132" s="127">
        <f t="shared" si="77"/>
        <v>307244.59999999998</v>
      </c>
      <c r="I132" s="128">
        <f t="shared" si="78"/>
        <v>11600.4</v>
      </c>
      <c r="J132" s="128">
        <f t="shared" si="79"/>
        <v>318845</v>
      </c>
      <c r="K132" s="44">
        <f t="shared" si="80"/>
        <v>1.9026855133994522E-4</v>
      </c>
      <c r="L132" s="45">
        <f t="shared" si="81"/>
        <v>3968.856168742072</v>
      </c>
      <c r="M132" s="45">
        <f t="shared" si="82"/>
        <v>3412.9677435714584</v>
      </c>
      <c r="N132" s="45">
        <f t="shared" si="83"/>
        <v>23324.073912313532</v>
      </c>
      <c r="O132" s="46">
        <f t="shared" si="84"/>
        <v>466481.47824627062</v>
      </c>
      <c r="P132" s="47">
        <f t="shared" si="85"/>
        <v>48000</v>
      </c>
      <c r="Q132" s="42">
        <v>960000</v>
      </c>
      <c r="R132" s="48">
        <f t="shared" si="43"/>
        <v>0.48591820650653189</v>
      </c>
      <c r="S132" s="49"/>
      <c r="T132" s="157">
        <f>IFERROR(VLOOKUP(B132,[1]Todos!$A$2:$C$3021,3,FALSE),0)</f>
        <v>0</v>
      </c>
      <c r="U132" s="112">
        <f t="shared" si="44"/>
        <v>-580.02</v>
      </c>
      <c r="W132" s="157">
        <f>IFERROR(VLOOKUP(B132,[1]Todos!$A$2:$B$3021,2,FALSE),0)</f>
        <v>0</v>
      </c>
      <c r="X132" s="112">
        <f t="shared" si="45"/>
        <v>-15362.23</v>
      </c>
    </row>
    <row r="133" spans="1:24" s="93" customFormat="1" outlineLevel="1" x14ac:dyDescent="0.3">
      <c r="A133" s="50" t="s">
        <v>1028</v>
      </c>
      <c r="B133" s="129"/>
      <c r="C133" s="129"/>
      <c r="D133" s="51">
        <f>SUBTOTAL(9,D122:D132)</f>
        <v>5402</v>
      </c>
      <c r="E133" s="52"/>
      <c r="F133" s="52"/>
      <c r="G133" s="130"/>
      <c r="H133" s="131">
        <f>SUBTOTAL(9,H122:H132)</f>
        <v>120042859.21999998</v>
      </c>
      <c r="I133" s="146">
        <f>SUBTOTAL(9,I122:I132)</f>
        <v>5712039.4400000004</v>
      </c>
      <c r="J133" s="146">
        <f>SUBTOTAL(9,J122:J132)</f>
        <v>125754898.66000001</v>
      </c>
      <c r="K133" s="53"/>
      <c r="L133" s="54"/>
      <c r="M133" s="54"/>
      <c r="N133" s="54"/>
      <c r="O133" s="55">
        <f>SUBTOTAL(9,O122:O132)</f>
        <v>190672762.16844845</v>
      </c>
      <c r="P133" s="56"/>
      <c r="Q133" s="51">
        <f>SUBTOTAL(9,Q122:Q132)</f>
        <v>383422800</v>
      </c>
      <c r="R133" s="57">
        <f t="shared" ref="R133:R196" si="86">O133/Q133</f>
        <v>0.49729114222849669</v>
      </c>
      <c r="S133" s="58">
        <f>Q133/$Q$308</f>
        <v>8.8548196647676367E-2</v>
      </c>
      <c r="T133" s="157">
        <f>IFERROR(VLOOKUP(B133,[1]Todos!$A$2:$C$3021,3,FALSE),0)</f>
        <v>0</v>
      </c>
      <c r="U133" s="112">
        <f t="shared" si="44"/>
        <v>0</v>
      </c>
      <c r="W133" s="157">
        <f>IFERROR(VLOOKUP(B133,[1]Todos!$A$2:$B$3021,2,FALSE),0)</f>
        <v>0</v>
      </c>
      <c r="X133" s="112">
        <f t="shared" si="45"/>
        <v>0</v>
      </c>
    </row>
    <row r="134" spans="1:24" outlineLevel="2" x14ac:dyDescent="0.3">
      <c r="A134" s="40" t="str">
        <f>VLOOKUP(B134,Grupos!$A$2:$B$619,2,FALSE)</f>
        <v>TABLERO RIEL</v>
      </c>
      <c r="B134" s="41" t="s">
        <v>970</v>
      </c>
      <c r="C134" s="41" t="s">
        <v>1095</v>
      </c>
      <c r="D134" s="42">
        <v>44</v>
      </c>
      <c r="E134" s="195">
        <v>24191.14</v>
      </c>
      <c r="F134" s="43">
        <v>1150</v>
      </c>
      <c r="G134" s="126">
        <f>E134+F134</f>
        <v>25341.14</v>
      </c>
      <c r="H134" s="127">
        <f>E134*D134</f>
        <v>1064410.1599999999</v>
      </c>
      <c r="I134" s="128">
        <f>F134*D134</f>
        <v>50600</v>
      </c>
      <c r="J134" s="128">
        <f>G134*D134</f>
        <v>1115010.1599999999</v>
      </c>
      <c r="K134" s="44">
        <f>J134/$J$308</f>
        <v>6.6537461108852423E-4</v>
      </c>
      <c r="L134" s="45">
        <f>$K$383*K134/D134</f>
        <v>6308.7293080936797</v>
      </c>
      <c r="M134" s="45">
        <f>F134*$M$382</f>
        <v>6766.8578757752784</v>
      </c>
      <c r="N134" s="45">
        <f>G134+L134+M134</f>
        <v>38416.727183868956</v>
      </c>
      <c r="O134" s="46">
        <f>N134*D134</f>
        <v>1690335.996090234</v>
      </c>
      <c r="P134" s="47">
        <f>Q134/D134</f>
        <v>42540.750454545458</v>
      </c>
      <c r="Q134" s="42">
        <v>1871793.02</v>
      </c>
      <c r="R134" s="152">
        <f t="shared" si="86"/>
        <v>0.90305711049731019</v>
      </c>
      <c r="S134" s="49"/>
      <c r="T134" s="157">
        <f>IFERROR(VLOOKUP(B134,[1]Todos!$A$2:$C$3021,3,FALSE),0)</f>
        <v>355.08</v>
      </c>
      <c r="U134" s="112">
        <f t="shared" ref="U134:U197" si="87">T134-F134</f>
        <v>-794.92000000000007</v>
      </c>
      <c r="W134" s="157">
        <f>IFERROR(VLOOKUP(B134,[1]Todos!$A$2:$B$3021,2,FALSE),0)</f>
        <v>24191.14</v>
      </c>
      <c r="X134" s="112">
        <f t="shared" ref="X134:X197" si="88">W134-E134</f>
        <v>0</v>
      </c>
    </row>
    <row r="135" spans="1:24" outlineLevel="2" x14ac:dyDescent="0.3">
      <c r="A135" s="40" t="str">
        <f>VLOOKUP(B135,Grupos!$A$2:$B$619,2,FALSE)</f>
        <v>TABLERO RIEL</v>
      </c>
      <c r="B135" s="41" t="s">
        <v>965</v>
      </c>
      <c r="C135" s="41" t="s">
        <v>1096</v>
      </c>
      <c r="D135" s="42">
        <v>15</v>
      </c>
      <c r="E135" s="195">
        <v>17256.47</v>
      </c>
      <c r="F135" s="43">
        <f>VLOOKUP(B135,[4]Hoja1!$A$2:$C$31,3,FALSE)</f>
        <v>1805.9888000000001</v>
      </c>
      <c r="G135" s="126">
        <f>E135+F135</f>
        <v>19062.4588</v>
      </c>
      <c r="H135" s="127">
        <f>E135*D135</f>
        <v>258847.05000000002</v>
      </c>
      <c r="I135" s="128">
        <f>F135*D135</f>
        <v>27089.832000000002</v>
      </c>
      <c r="J135" s="128">
        <f>G135*D135</f>
        <v>285936.88199999998</v>
      </c>
      <c r="K135" s="44">
        <f>J135/$J$308</f>
        <v>1.7063085923505421E-4</v>
      </c>
      <c r="L135" s="45">
        <f>$K$383*K135/D135</f>
        <v>4745.6386143594282</v>
      </c>
      <c r="M135" s="45">
        <f>F135*$M$382</f>
        <v>10626.843073775604</v>
      </c>
      <c r="N135" s="45">
        <f>G135+L135+M135</f>
        <v>34434.940488135035</v>
      </c>
      <c r="O135" s="46">
        <f>N135*D135</f>
        <v>516524.10732202552</v>
      </c>
      <c r="P135" s="47">
        <f>Q135/D135</f>
        <v>38603.250666666667</v>
      </c>
      <c r="Q135" s="42">
        <v>579048.76</v>
      </c>
      <c r="R135" s="152">
        <f t="shared" si="86"/>
        <v>0.89202178297044543</v>
      </c>
      <c r="S135" s="49"/>
      <c r="T135" s="157">
        <f>IFERROR(VLOOKUP(B135,[1]Todos!$A$2:$C$3021,3,FALSE),0)</f>
        <v>74.239999999999995</v>
      </c>
      <c r="U135" s="112">
        <f t="shared" si="87"/>
        <v>-1731.7488000000001</v>
      </c>
      <c r="W135" s="157">
        <f>IFERROR(VLOOKUP(B135,[1]Todos!$A$2:$B$3021,2,FALSE),0)</f>
        <v>17256.47</v>
      </c>
      <c r="X135" s="112">
        <f t="shared" si="88"/>
        <v>0</v>
      </c>
    </row>
    <row r="136" spans="1:24" outlineLevel="2" x14ac:dyDescent="0.3">
      <c r="A136" s="40" t="str">
        <f>VLOOKUP(B136,Grupos!$A$2:$B$619,2,FALSE)</f>
        <v>TABLERO RIEL</v>
      </c>
      <c r="B136" s="41" t="s">
        <v>1097</v>
      </c>
      <c r="C136" s="41" t="s">
        <v>1098</v>
      </c>
      <c r="D136" s="42">
        <v>200</v>
      </c>
      <c r="E136" s="43">
        <v>13796.36</v>
      </c>
      <c r="F136" s="43">
        <f>VLOOKUP(B136,[4]Hoja1!$A$2:$C$31,3,FALSE)</f>
        <v>1725.3488000000002</v>
      </c>
      <c r="G136" s="126">
        <f>E136+F136</f>
        <v>15521.7088</v>
      </c>
      <c r="H136" s="127">
        <f>E136*D136</f>
        <v>2759272</v>
      </c>
      <c r="I136" s="128">
        <f>F136*D136</f>
        <v>345069.76000000007</v>
      </c>
      <c r="J136" s="128">
        <f>G136*D136</f>
        <v>3104341.7600000002</v>
      </c>
      <c r="K136" s="44">
        <f>J136/$J$308</f>
        <v>1.8524945021540121E-3</v>
      </c>
      <c r="L136" s="45">
        <f>$K$383*K136/D136</f>
        <v>3864.1615656697213</v>
      </c>
      <c r="M136" s="45">
        <f>F136*$M$382</f>
        <v>10152.339231077764</v>
      </c>
      <c r="N136" s="45">
        <f>G136+L136+M136</f>
        <v>29538.209596747485</v>
      </c>
      <c r="O136" s="46">
        <f>N136*D136</f>
        <v>5907641.9193494972</v>
      </c>
      <c r="P136" s="47">
        <f>Q136/D136</f>
        <v>35721.001400000001</v>
      </c>
      <c r="Q136" s="42">
        <v>7144200.2800000003</v>
      </c>
      <c r="R136" s="152">
        <f t="shared" si="86"/>
        <v>0.82691437639112453</v>
      </c>
      <c r="S136" s="49"/>
      <c r="T136" s="157">
        <f>IFERROR(VLOOKUP(B136,[1]Todos!$A$2:$C$3021,3,FALSE),0)</f>
        <v>74.239999999999995</v>
      </c>
      <c r="U136" s="112">
        <f t="shared" si="87"/>
        <v>-1651.1088000000002</v>
      </c>
      <c r="W136" s="157">
        <f>IFERROR(VLOOKUP(B136,[1]Todos!$A$2:$B$3021,2,FALSE),0)</f>
        <v>13478.15</v>
      </c>
      <c r="X136" s="112">
        <f t="shared" si="88"/>
        <v>-318.21000000000095</v>
      </c>
    </row>
    <row r="137" spans="1:24" s="93" customFormat="1" outlineLevel="1" x14ac:dyDescent="0.3">
      <c r="A137" s="50" t="s">
        <v>1029</v>
      </c>
      <c r="B137" s="129"/>
      <c r="C137" s="129"/>
      <c r="D137" s="51">
        <f>SUBTOTAL(9,D134:D136)</f>
        <v>259</v>
      </c>
      <c r="E137" s="52"/>
      <c r="F137" s="52"/>
      <c r="G137" s="130"/>
      <c r="H137" s="131">
        <f>SUBTOTAL(9,H134:H136)</f>
        <v>4082529.21</v>
      </c>
      <c r="I137" s="146">
        <f>SUBTOTAL(9,I134:I136)</f>
        <v>422759.59200000006</v>
      </c>
      <c r="J137" s="146">
        <f>SUBTOTAL(9,J134:J136)</f>
        <v>4505288.8020000001</v>
      </c>
      <c r="K137" s="53"/>
      <c r="L137" s="54"/>
      <c r="M137" s="54"/>
      <c r="N137" s="54"/>
      <c r="O137" s="55">
        <f>SUBTOTAL(9,O134:O136)</f>
        <v>8114502.0227617566</v>
      </c>
      <c r="P137" s="56"/>
      <c r="Q137" s="51">
        <f>SUBTOTAL(9,Q134:Q136)</f>
        <v>9595042.0600000005</v>
      </c>
      <c r="R137" s="57">
        <f t="shared" si="86"/>
        <v>0.84569738954971874</v>
      </c>
      <c r="S137" s="58">
        <f>Q137/$Q$308</f>
        <v>2.2158924069502536E-3</v>
      </c>
      <c r="T137" s="157">
        <f>IFERROR(VLOOKUP(B137,[1]Todos!$A$2:$C$3021,3,FALSE),0)</f>
        <v>0</v>
      </c>
      <c r="U137" s="112">
        <f t="shared" si="87"/>
        <v>0</v>
      </c>
      <c r="W137" s="157">
        <f>IFERROR(VLOOKUP(B137,[1]Todos!$A$2:$B$3021,2,FALSE),0)</f>
        <v>0</v>
      </c>
      <c r="X137" s="112">
        <f t="shared" si="88"/>
        <v>0</v>
      </c>
    </row>
    <row r="138" spans="1:24" outlineLevel="2" x14ac:dyDescent="0.3">
      <c r="A138" s="40" t="str">
        <f>VLOOKUP(B138,Grupos!$A$2:$B$619,2,FALSE)</f>
        <v>TABLEROS 100 AMP BIMETALICO 2 FASES</v>
      </c>
      <c r="B138" s="41" t="s">
        <v>173</v>
      </c>
      <c r="C138" s="41" t="s">
        <v>1083</v>
      </c>
      <c r="D138" s="42">
        <v>7</v>
      </c>
      <c r="E138" s="195">
        <v>21984.82</v>
      </c>
      <c r="F138" s="192">
        <v>1017.37</v>
      </c>
      <c r="G138" s="126">
        <f t="shared" ref="G138:G147" si="89">E138+F138</f>
        <v>23002.19</v>
      </c>
      <c r="H138" s="127">
        <f t="shared" ref="H138:H147" si="90">E138*D138</f>
        <v>153893.74</v>
      </c>
      <c r="I138" s="128">
        <f t="shared" ref="I138:I147" si="91">F138*D138</f>
        <v>7121.59</v>
      </c>
      <c r="J138" s="128">
        <f t="shared" ref="J138:J147" si="92">G138*D138</f>
        <v>161015.32999999999</v>
      </c>
      <c r="K138" s="44">
        <f t="shared" ref="K138:K147" si="93">J138/$J$308</f>
        <v>9.6084785970058239E-5</v>
      </c>
      <c r="L138" s="45">
        <f t="shared" ref="L138:L147" si="94">$K$383*K138/D138</f>
        <v>5726.4428594506544</v>
      </c>
      <c r="M138" s="45">
        <f t="shared" ref="M138:M147" si="95">F138*$M$382</f>
        <v>5986.4332148499961</v>
      </c>
      <c r="N138" s="45">
        <f t="shared" ref="N138:N147" si="96">G138+L138+M138</f>
        <v>34715.066074300645</v>
      </c>
      <c r="O138" s="46">
        <f t="shared" ref="O138:O147" si="97">N138*D138</f>
        <v>243005.46252010451</v>
      </c>
      <c r="P138" s="47">
        <f t="shared" ref="P138:P147" si="98">Q138/D138</f>
        <v>80164.497142857144</v>
      </c>
      <c r="Q138" s="42">
        <v>561151.48</v>
      </c>
      <c r="R138" s="48">
        <f t="shared" si="86"/>
        <v>0.43304788667777283</v>
      </c>
      <c r="S138" s="49"/>
      <c r="T138" s="157">
        <f>IFERROR(VLOOKUP(B138,[1]Todos!$A$2:$C$3021,3,FALSE),0)</f>
        <v>1017.37</v>
      </c>
      <c r="U138" s="112">
        <f t="shared" si="87"/>
        <v>0</v>
      </c>
      <c r="W138" s="157">
        <f>IFERROR(VLOOKUP(B138,[1]Todos!$A$2:$B$3021,2,FALSE),0)</f>
        <v>21984.82</v>
      </c>
      <c r="X138" s="112">
        <f t="shared" si="88"/>
        <v>0</v>
      </c>
    </row>
    <row r="139" spans="1:24" outlineLevel="2" x14ac:dyDescent="0.3">
      <c r="A139" s="40" t="str">
        <f>VLOOKUP(B139,Grupos!$A$2:$B$619,2,FALSE)</f>
        <v>TABLEROS 100 AMP BIMETALICO 2 FASES</v>
      </c>
      <c r="B139" s="41" t="s">
        <v>174</v>
      </c>
      <c r="C139" s="41" t="s">
        <v>175</v>
      </c>
      <c r="D139" s="42">
        <v>49</v>
      </c>
      <c r="E139" s="195">
        <v>25688.959999999999</v>
      </c>
      <c r="F139" s="192">
        <v>1640.66</v>
      </c>
      <c r="G139" s="126">
        <f t="shared" si="89"/>
        <v>27329.62</v>
      </c>
      <c r="H139" s="127">
        <f t="shared" si="90"/>
        <v>1258759.04</v>
      </c>
      <c r="I139" s="128">
        <f t="shared" si="91"/>
        <v>80392.340000000011</v>
      </c>
      <c r="J139" s="128">
        <f t="shared" si="92"/>
        <v>1339151.3799999999</v>
      </c>
      <c r="K139" s="44">
        <f t="shared" si="93"/>
        <v>7.991293358763301E-4</v>
      </c>
      <c r="L139" s="45">
        <f t="shared" si="94"/>
        <v>6803.7655240870445</v>
      </c>
      <c r="M139" s="45">
        <f t="shared" si="95"/>
        <v>9654.0113412777991</v>
      </c>
      <c r="N139" s="45">
        <f t="shared" si="96"/>
        <v>43787.396865364848</v>
      </c>
      <c r="O139" s="46">
        <f t="shared" si="97"/>
        <v>2145582.4464028776</v>
      </c>
      <c r="P139" s="47">
        <f t="shared" si="98"/>
        <v>84784.325306122453</v>
      </c>
      <c r="Q139" s="42">
        <v>4154431.94</v>
      </c>
      <c r="R139" s="48">
        <f t="shared" si="86"/>
        <v>0.51645627546443273</v>
      </c>
      <c r="S139" s="49"/>
      <c r="T139" s="157">
        <f>IFERROR(VLOOKUP(B139,[1]Todos!$A$2:$C$3021,3,FALSE),0)</f>
        <v>1640.66</v>
      </c>
      <c r="U139" s="112">
        <f t="shared" si="87"/>
        <v>0</v>
      </c>
      <c r="W139" s="157">
        <f>IFERROR(VLOOKUP(B139,[1]Todos!$A$2:$B$3021,2,FALSE),0)</f>
        <v>25688.959999999999</v>
      </c>
      <c r="X139" s="112">
        <f t="shared" si="88"/>
        <v>0</v>
      </c>
    </row>
    <row r="140" spans="1:24" outlineLevel="2" x14ac:dyDescent="0.3">
      <c r="A140" s="40" t="str">
        <f>VLOOKUP(B140,Grupos!$A$2:$B$619,2,FALSE)</f>
        <v>TABLEROS 100 AMP BIMETALICO 2 FASES</v>
      </c>
      <c r="B140" s="41" t="s">
        <v>176</v>
      </c>
      <c r="C140" s="41" t="s">
        <v>177</v>
      </c>
      <c r="D140" s="42">
        <v>816</v>
      </c>
      <c r="E140" s="195">
        <v>25601.09</v>
      </c>
      <c r="F140" s="192">
        <v>1609.68</v>
      </c>
      <c r="G140" s="126">
        <f t="shared" si="89"/>
        <v>27210.77</v>
      </c>
      <c r="H140" s="127">
        <f t="shared" si="90"/>
        <v>20890489.440000001</v>
      </c>
      <c r="I140" s="128">
        <f t="shared" si="91"/>
        <v>1313498.8800000001</v>
      </c>
      <c r="J140" s="128">
        <f t="shared" si="92"/>
        <v>22203988.32</v>
      </c>
      <c r="K140" s="44">
        <f t="shared" si="93"/>
        <v>1.3250076656731214E-2</v>
      </c>
      <c r="L140" s="45">
        <f t="shared" si="94"/>
        <v>6774.1775703380463</v>
      </c>
      <c r="M140" s="45">
        <f t="shared" si="95"/>
        <v>9471.7180743286535</v>
      </c>
      <c r="N140" s="45">
        <f t="shared" si="96"/>
        <v>43456.665644666697</v>
      </c>
      <c r="O140" s="46">
        <f t="shared" si="97"/>
        <v>35460639.166048028</v>
      </c>
      <c r="P140" s="47">
        <f t="shared" si="98"/>
        <v>85642.439963235302</v>
      </c>
      <c r="Q140" s="42">
        <v>69884231.010000005</v>
      </c>
      <c r="R140" s="48">
        <f t="shared" si="86"/>
        <v>0.50741975197486011</v>
      </c>
      <c r="S140" s="49"/>
      <c r="T140" s="157">
        <f>IFERROR(VLOOKUP(B140,[1]Todos!$A$2:$C$3021,3,FALSE),0)</f>
        <v>1609.68</v>
      </c>
      <c r="U140" s="112">
        <f t="shared" si="87"/>
        <v>0</v>
      </c>
      <c r="W140" s="157">
        <f>IFERROR(VLOOKUP(B140,[1]Todos!$A$2:$B$3021,2,FALSE),0)</f>
        <v>25601.09</v>
      </c>
      <c r="X140" s="112">
        <f t="shared" si="88"/>
        <v>0</v>
      </c>
    </row>
    <row r="141" spans="1:24" outlineLevel="2" x14ac:dyDescent="0.3">
      <c r="A141" s="40" t="str">
        <f>VLOOKUP(B141,Grupos!$A$2:$B$619,2,FALSE)</f>
        <v>TABLEROS 100 AMP BIMETALICO 2 FASES</v>
      </c>
      <c r="B141" s="41" t="s">
        <v>178</v>
      </c>
      <c r="C141" s="41" t="s">
        <v>179</v>
      </c>
      <c r="D141" s="42">
        <v>135</v>
      </c>
      <c r="E141" s="195">
        <v>32009.93</v>
      </c>
      <c r="F141" s="192">
        <v>1698.91</v>
      </c>
      <c r="G141" s="126">
        <f t="shared" si="89"/>
        <v>33708.840000000004</v>
      </c>
      <c r="H141" s="127">
        <f t="shared" si="90"/>
        <v>4321340.55</v>
      </c>
      <c r="I141" s="128">
        <f t="shared" si="91"/>
        <v>229352.85</v>
      </c>
      <c r="J141" s="128">
        <f t="shared" si="92"/>
        <v>4550693.4000000004</v>
      </c>
      <c r="K141" s="44">
        <f t="shared" si="93"/>
        <v>2.7155948527035081E-3</v>
      </c>
      <c r="L141" s="45">
        <f t="shared" si="94"/>
        <v>8391.8855603907559</v>
      </c>
      <c r="M141" s="45">
        <f t="shared" si="95"/>
        <v>9996.7674032464165</v>
      </c>
      <c r="N141" s="45">
        <f t="shared" si="96"/>
        <v>52097.492963637182</v>
      </c>
      <c r="O141" s="46">
        <f t="shared" si="97"/>
        <v>7033161.5500910198</v>
      </c>
      <c r="P141" s="47">
        <f t="shared" si="98"/>
        <v>110335.33022222223</v>
      </c>
      <c r="Q141" s="42">
        <v>14895269.58</v>
      </c>
      <c r="R141" s="48">
        <f t="shared" si="86"/>
        <v>0.47217416994818967</v>
      </c>
      <c r="S141" s="49"/>
      <c r="T141" s="157">
        <f>IFERROR(VLOOKUP(B141,[1]Todos!$A$2:$C$3021,3,FALSE),0)</f>
        <v>1698.91</v>
      </c>
      <c r="U141" s="112">
        <f t="shared" si="87"/>
        <v>0</v>
      </c>
      <c r="W141" s="157">
        <f>IFERROR(VLOOKUP(B141,[1]Todos!$A$2:$B$3021,2,FALSE),0)</f>
        <v>32009.93</v>
      </c>
      <c r="X141" s="112">
        <f t="shared" si="88"/>
        <v>0</v>
      </c>
    </row>
    <row r="142" spans="1:24" outlineLevel="2" x14ac:dyDescent="0.3">
      <c r="A142" s="40" t="str">
        <f>VLOOKUP(B142,Grupos!$A$2:$B$619,2,FALSE)</f>
        <v>TABLEROS 100 AMP BIMETALICO 2 FASES</v>
      </c>
      <c r="B142" s="41" t="s">
        <v>180</v>
      </c>
      <c r="C142" s="41" t="s">
        <v>181</v>
      </c>
      <c r="D142" s="42">
        <v>917</v>
      </c>
      <c r="E142" s="195">
        <v>31952.29</v>
      </c>
      <c r="F142" s="192">
        <v>1583.35</v>
      </c>
      <c r="G142" s="126">
        <f t="shared" si="89"/>
        <v>33535.64</v>
      </c>
      <c r="H142" s="127">
        <f t="shared" si="90"/>
        <v>29300249.93</v>
      </c>
      <c r="I142" s="128">
        <f t="shared" si="91"/>
        <v>1451931.95</v>
      </c>
      <c r="J142" s="128">
        <f t="shared" si="92"/>
        <v>30752181.879999999</v>
      </c>
      <c r="K142" s="44">
        <f t="shared" si="93"/>
        <v>1.8351152117330093E-2</v>
      </c>
      <c r="L142" s="45">
        <f t="shared" si="94"/>
        <v>8348.7670615323059</v>
      </c>
      <c r="M142" s="45">
        <f t="shared" si="95"/>
        <v>9316.786450094598</v>
      </c>
      <c r="N142" s="45">
        <f t="shared" si="96"/>
        <v>51201.193511626901</v>
      </c>
      <c r="O142" s="46">
        <f t="shared" si="97"/>
        <v>46951494.450161867</v>
      </c>
      <c r="P142" s="47">
        <f t="shared" si="98"/>
        <v>106187.11384950927</v>
      </c>
      <c r="Q142" s="42">
        <v>97373583.400000006</v>
      </c>
      <c r="R142" s="48">
        <f t="shared" si="86"/>
        <v>0.48217897309263308</v>
      </c>
      <c r="S142" s="49"/>
      <c r="T142" s="157">
        <f>IFERROR(VLOOKUP(B142,[1]Todos!$A$2:$C$3021,3,FALSE),0)</f>
        <v>1583.35</v>
      </c>
      <c r="U142" s="112">
        <f t="shared" si="87"/>
        <v>0</v>
      </c>
      <c r="W142" s="157">
        <f>IFERROR(VLOOKUP(B142,[1]Todos!$A$2:$B$3021,2,FALSE),0)</f>
        <v>31952.29</v>
      </c>
      <c r="X142" s="112">
        <f t="shared" si="88"/>
        <v>0</v>
      </c>
    </row>
    <row r="143" spans="1:24" outlineLevel="2" x14ac:dyDescent="0.3">
      <c r="A143" s="40" t="str">
        <f>VLOOKUP(B143,Grupos!$A$2:$B$619,2,FALSE)</f>
        <v>TABLEROS 100 AMP BIMETALICO 2 FASES</v>
      </c>
      <c r="B143" s="41" t="s">
        <v>182</v>
      </c>
      <c r="C143" s="41" t="s">
        <v>183</v>
      </c>
      <c r="D143" s="42">
        <v>18</v>
      </c>
      <c r="E143" s="195">
        <v>20127.689999999999</v>
      </c>
      <c r="F143" s="192">
        <v>1132.23</v>
      </c>
      <c r="G143" s="126">
        <f t="shared" si="89"/>
        <v>21259.919999999998</v>
      </c>
      <c r="H143" s="127">
        <f t="shared" si="90"/>
        <v>362298.42</v>
      </c>
      <c r="I143" s="128">
        <f t="shared" si="91"/>
        <v>20380.14</v>
      </c>
      <c r="J143" s="128">
        <f t="shared" si="92"/>
        <v>382678.55999999994</v>
      </c>
      <c r="K143" s="44">
        <f t="shared" si="93"/>
        <v>2.2836078734198842E-4</v>
      </c>
      <c r="L143" s="45">
        <f t="shared" si="94"/>
        <v>5292.7011330874211</v>
      </c>
      <c r="M143" s="45">
        <f t="shared" si="95"/>
        <v>6662.2952110339511</v>
      </c>
      <c r="N143" s="45">
        <f t="shared" si="96"/>
        <v>33214.916344121375</v>
      </c>
      <c r="O143" s="46">
        <f t="shared" si="97"/>
        <v>597868.49419418478</v>
      </c>
      <c r="P143" s="47">
        <f t="shared" si="98"/>
        <v>57841.728888888887</v>
      </c>
      <c r="Q143" s="42">
        <v>1041151.12</v>
      </c>
      <c r="R143" s="48">
        <f t="shared" si="86"/>
        <v>0.57423795903344443</v>
      </c>
      <c r="S143" s="49"/>
      <c r="T143" s="157">
        <f>IFERROR(VLOOKUP(B143,[1]Todos!$A$2:$C$3021,3,FALSE),0)</f>
        <v>1132.23</v>
      </c>
      <c r="U143" s="112">
        <f t="shared" si="87"/>
        <v>0</v>
      </c>
      <c r="W143" s="157">
        <f>IFERROR(VLOOKUP(B143,[1]Todos!$A$2:$B$3021,2,FALSE),0)</f>
        <v>20127.689999999999</v>
      </c>
      <c r="X143" s="112">
        <f t="shared" si="88"/>
        <v>0</v>
      </c>
    </row>
    <row r="144" spans="1:24" outlineLevel="2" x14ac:dyDescent="0.3">
      <c r="A144" s="40" t="str">
        <f>VLOOKUP(B144,Grupos!$A$2:$B$619,2,FALSE)</f>
        <v>TABLEROS 100 AMP BIMETALICO 2 FASES</v>
      </c>
      <c r="B144" s="41" t="s">
        <v>184</v>
      </c>
      <c r="C144" s="41" t="s">
        <v>1084</v>
      </c>
      <c r="D144" s="42">
        <v>8</v>
      </c>
      <c r="E144" s="195">
        <v>18702.21</v>
      </c>
      <c r="F144" s="43">
        <v>694.68</v>
      </c>
      <c r="G144" s="126">
        <f t="shared" si="89"/>
        <v>19396.89</v>
      </c>
      <c r="H144" s="127">
        <f t="shared" si="90"/>
        <v>149617.68</v>
      </c>
      <c r="I144" s="128">
        <f t="shared" si="91"/>
        <v>5557.44</v>
      </c>
      <c r="J144" s="128">
        <f t="shared" si="92"/>
        <v>155175.12</v>
      </c>
      <c r="K144" s="44">
        <f t="shared" si="93"/>
        <v>9.2599680993593004E-5</v>
      </c>
      <c r="L144" s="45">
        <f t="shared" si="94"/>
        <v>4828.8959545178013</v>
      </c>
      <c r="M144" s="45">
        <f t="shared" si="95"/>
        <v>4087.6528949074523</v>
      </c>
      <c r="N144" s="45">
        <f t="shared" si="96"/>
        <v>28313.438849425253</v>
      </c>
      <c r="O144" s="46">
        <f t="shared" si="97"/>
        <v>226507.51079540202</v>
      </c>
      <c r="P144" s="47">
        <f t="shared" si="98"/>
        <v>57147.001250000001</v>
      </c>
      <c r="Q144" s="42">
        <v>457176.01</v>
      </c>
      <c r="R144" s="48">
        <f t="shared" si="86"/>
        <v>0.49544924895644027</v>
      </c>
      <c r="S144" s="49"/>
      <c r="T144" s="157">
        <f>IFERROR(VLOOKUP(B144,[1]Todos!$A$2:$C$3021,3,FALSE),0)</f>
        <v>663.69</v>
      </c>
      <c r="U144" s="112">
        <f t="shared" si="87"/>
        <v>-30.989999999999895</v>
      </c>
      <c r="W144" s="157">
        <f>IFERROR(VLOOKUP(B144,[1]Todos!$A$2:$B$3021,2,FALSE),0)</f>
        <v>18702.21</v>
      </c>
      <c r="X144" s="112">
        <f t="shared" si="88"/>
        <v>0</v>
      </c>
    </row>
    <row r="145" spans="1:24" outlineLevel="2" x14ac:dyDescent="0.3">
      <c r="A145" s="40" t="str">
        <f>VLOOKUP(B145,Grupos!$A$2:$B$619,2,FALSE)</f>
        <v>TABLEROS 100 AMP BIMETALICO 2 FASES</v>
      </c>
      <c r="B145" s="41" t="s">
        <v>185</v>
      </c>
      <c r="C145" s="41" t="s">
        <v>186</v>
      </c>
      <c r="D145" s="42">
        <v>111</v>
      </c>
      <c r="E145" s="195">
        <v>18754.66</v>
      </c>
      <c r="F145" s="192">
        <v>852.63</v>
      </c>
      <c r="G145" s="126">
        <f t="shared" si="89"/>
        <v>19607.29</v>
      </c>
      <c r="H145" s="127">
        <f t="shared" si="90"/>
        <v>2081767.26</v>
      </c>
      <c r="I145" s="128">
        <f t="shared" si="91"/>
        <v>94641.93</v>
      </c>
      <c r="J145" s="128">
        <f t="shared" si="92"/>
        <v>2176409.19</v>
      </c>
      <c r="K145" s="44">
        <f t="shared" si="93"/>
        <v>1.2987571506664478E-3</v>
      </c>
      <c r="L145" s="45">
        <f t="shared" si="94"/>
        <v>4881.2754704520839</v>
      </c>
      <c r="M145" s="45">
        <f t="shared" si="95"/>
        <v>5017.0661135845876</v>
      </c>
      <c r="N145" s="45">
        <f t="shared" si="96"/>
        <v>29505.631584036673</v>
      </c>
      <c r="O145" s="46">
        <f t="shared" si="97"/>
        <v>3275125.1058280705</v>
      </c>
      <c r="P145" s="47">
        <f t="shared" si="98"/>
        <v>54193.118918918917</v>
      </c>
      <c r="Q145" s="42">
        <v>6015436.2000000002</v>
      </c>
      <c r="R145" s="48">
        <f t="shared" si="86"/>
        <v>0.54445346886532853</v>
      </c>
      <c r="S145" s="49"/>
      <c r="T145" s="157">
        <f>IFERROR(VLOOKUP(B145,[1]Todos!$A$2:$C$3021,3,FALSE),0)</f>
        <v>852.63</v>
      </c>
      <c r="U145" s="112">
        <f t="shared" si="87"/>
        <v>0</v>
      </c>
      <c r="W145" s="157">
        <f>IFERROR(VLOOKUP(B145,[1]Todos!$A$2:$B$3021,2,FALSE),0)</f>
        <v>18754.66</v>
      </c>
      <c r="X145" s="112">
        <f t="shared" si="88"/>
        <v>0</v>
      </c>
    </row>
    <row r="146" spans="1:24" outlineLevel="2" x14ac:dyDescent="0.3">
      <c r="A146" s="40" t="str">
        <f>VLOOKUP(B146,Grupos!$A$2:$B$619,2,FALSE)</f>
        <v>TABLEROS 100 AMP BIMETALICO 2 FASES</v>
      </c>
      <c r="B146" s="41" t="s">
        <v>187</v>
      </c>
      <c r="C146" s="41" t="s">
        <v>188</v>
      </c>
      <c r="D146" s="42">
        <v>78</v>
      </c>
      <c r="E146" s="195">
        <v>21991.71</v>
      </c>
      <c r="F146" s="192">
        <v>1510.93</v>
      </c>
      <c r="G146" s="126">
        <f t="shared" si="89"/>
        <v>23502.639999999999</v>
      </c>
      <c r="H146" s="127">
        <f t="shared" si="90"/>
        <v>1715353.38</v>
      </c>
      <c r="I146" s="128">
        <f t="shared" si="91"/>
        <v>117852.54000000001</v>
      </c>
      <c r="J146" s="128">
        <f t="shared" si="92"/>
        <v>1833205.92</v>
      </c>
      <c r="K146" s="44">
        <f t="shared" si="93"/>
        <v>1.0939529699578526E-3</v>
      </c>
      <c r="L146" s="45">
        <f t="shared" si="94"/>
        <v>5851.0309238485261</v>
      </c>
      <c r="M146" s="45">
        <f t="shared" si="95"/>
        <v>8890.6509306479493</v>
      </c>
      <c r="N146" s="45">
        <f t="shared" si="96"/>
        <v>38244.321854496477</v>
      </c>
      <c r="O146" s="46">
        <f t="shared" si="97"/>
        <v>2983057.1046507251</v>
      </c>
      <c r="P146" s="47">
        <f t="shared" si="98"/>
        <v>68288.460641025638</v>
      </c>
      <c r="Q146" s="42">
        <v>5326499.93</v>
      </c>
      <c r="R146" s="48">
        <f t="shared" si="86"/>
        <v>0.56004076670488667</v>
      </c>
      <c r="S146" s="49"/>
      <c r="T146" s="157">
        <f>IFERROR(VLOOKUP(B146,[1]Todos!$A$2:$C$3021,3,FALSE),0)</f>
        <v>1510.93</v>
      </c>
      <c r="U146" s="112">
        <f t="shared" si="87"/>
        <v>0</v>
      </c>
      <c r="W146" s="157">
        <f>IFERROR(VLOOKUP(B146,[1]Todos!$A$2:$B$3021,2,FALSE),0)</f>
        <v>21991.71</v>
      </c>
      <c r="X146" s="112">
        <f t="shared" si="88"/>
        <v>0</v>
      </c>
    </row>
    <row r="147" spans="1:24" outlineLevel="2" x14ac:dyDescent="0.3">
      <c r="A147" s="40" t="str">
        <f>VLOOKUP(B147,Grupos!$A$2:$B$619,2,FALSE)</f>
        <v>TABLEROS 100 AMP BIMETALICO 2 FASES</v>
      </c>
      <c r="B147" s="41" t="s">
        <v>189</v>
      </c>
      <c r="C147" s="41" t="s">
        <v>190</v>
      </c>
      <c r="D147" s="42">
        <v>1236</v>
      </c>
      <c r="E147" s="195">
        <v>21996.36</v>
      </c>
      <c r="F147" s="192">
        <v>1450.08</v>
      </c>
      <c r="G147" s="126">
        <f t="shared" si="89"/>
        <v>23446.440000000002</v>
      </c>
      <c r="H147" s="127">
        <f t="shared" si="90"/>
        <v>27187500.960000001</v>
      </c>
      <c r="I147" s="128">
        <f t="shared" si="91"/>
        <v>1792298.88</v>
      </c>
      <c r="J147" s="128">
        <f t="shared" si="92"/>
        <v>28979799.840000004</v>
      </c>
      <c r="K147" s="44">
        <f t="shared" si="93"/>
        <v>1.7293495377623539E-2</v>
      </c>
      <c r="L147" s="45">
        <f t="shared" si="94"/>
        <v>5837.0398174060056</v>
      </c>
      <c r="M147" s="45">
        <f t="shared" si="95"/>
        <v>8532.5958856558391</v>
      </c>
      <c r="N147" s="45">
        <f t="shared" si="96"/>
        <v>37816.075703061848</v>
      </c>
      <c r="O147" s="46">
        <f t="shared" si="97"/>
        <v>46740669.568984441</v>
      </c>
      <c r="P147" s="47">
        <f t="shared" si="98"/>
        <v>65317.092621359225</v>
      </c>
      <c r="Q147" s="42">
        <v>80731926.480000004</v>
      </c>
      <c r="R147" s="48">
        <f t="shared" si="86"/>
        <v>0.57896140482369962</v>
      </c>
      <c r="S147" s="49"/>
      <c r="T147" s="157">
        <f>IFERROR(VLOOKUP(B147,[1]Todos!$A$2:$C$3021,3,FALSE),0)</f>
        <v>1450.08</v>
      </c>
      <c r="U147" s="112">
        <f t="shared" si="87"/>
        <v>0</v>
      </c>
      <c r="W147" s="157">
        <f>IFERROR(VLOOKUP(B147,[1]Todos!$A$2:$B$3021,2,FALSE),0)</f>
        <v>21996.36</v>
      </c>
      <c r="X147" s="112">
        <f t="shared" si="88"/>
        <v>0</v>
      </c>
    </row>
    <row r="148" spans="1:24" s="93" customFormat="1" outlineLevel="1" x14ac:dyDescent="0.3">
      <c r="A148" s="50" t="s">
        <v>1030</v>
      </c>
      <c r="B148" s="129"/>
      <c r="C148" s="129"/>
      <c r="D148" s="51">
        <f>SUBTOTAL(9,D138:D147)</f>
        <v>3375</v>
      </c>
      <c r="E148" s="52"/>
      <c r="F148" s="52"/>
      <c r="G148" s="130"/>
      <c r="H148" s="131">
        <f>SUBTOTAL(9,H138:H147)</f>
        <v>87421270.400000006</v>
      </c>
      <c r="I148" s="146">
        <f>SUBTOTAL(9,I138:I147)</f>
        <v>5113028.540000001</v>
      </c>
      <c r="J148" s="146">
        <f>SUBTOTAL(9,J138:J147)</f>
        <v>92534298.939999998</v>
      </c>
      <c r="K148" s="53"/>
      <c r="L148" s="54"/>
      <c r="M148" s="54"/>
      <c r="N148" s="54"/>
      <c r="O148" s="55">
        <f>SUBTOTAL(9,O138:O147)</f>
        <v>145657110.85967672</v>
      </c>
      <c r="P148" s="56"/>
      <c r="Q148" s="51">
        <f>SUBTOTAL(9,Q138:Q147)</f>
        <v>280440857.15000004</v>
      </c>
      <c r="R148" s="57">
        <f t="shared" si="86"/>
        <v>0.51938619907215866</v>
      </c>
      <c r="S148" s="58">
        <f>Q148/$Q$308</f>
        <v>6.4765403014534137E-2</v>
      </c>
      <c r="T148" s="157">
        <f>IFERROR(VLOOKUP(B148,[1]Todos!$A$2:$C$3021,3,FALSE),0)</f>
        <v>0</v>
      </c>
      <c r="U148" s="112">
        <f t="shared" si="87"/>
        <v>0</v>
      </c>
      <c r="W148" s="157">
        <f>IFERROR(VLOOKUP(B148,[1]Todos!$A$2:$B$3021,2,FALSE),0)</f>
        <v>0</v>
      </c>
      <c r="X148" s="112">
        <f t="shared" si="88"/>
        <v>0</v>
      </c>
    </row>
    <row r="149" spans="1:24" outlineLevel="2" x14ac:dyDescent="0.3">
      <c r="A149" s="40" t="str">
        <f>VLOOKUP(B149,Grupos!$A$2:$B$619,2,FALSE)</f>
        <v>TABLEROS 100 AMP BIMETALICO 3 FASES</v>
      </c>
      <c r="B149" s="41" t="s">
        <v>191</v>
      </c>
      <c r="C149" s="41" t="s">
        <v>192</v>
      </c>
      <c r="D149" s="42">
        <v>54</v>
      </c>
      <c r="E149" s="195">
        <v>22436.84</v>
      </c>
      <c r="F149" s="192">
        <v>1909.9</v>
      </c>
      <c r="G149" s="126">
        <f>E149+F149</f>
        <v>24346.74</v>
      </c>
      <c r="H149" s="127">
        <f>E149*D149</f>
        <v>1211589.3600000001</v>
      </c>
      <c r="I149" s="128">
        <f>F149*D149</f>
        <v>103134.6</v>
      </c>
      <c r="J149" s="128">
        <f>G149*D149</f>
        <v>1314723.9600000002</v>
      </c>
      <c r="K149" s="44">
        <f>J149/$J$308</f>
        <v>7.8455244172283127E-4</v>
      </c>
      <c r="L149" s="45">
        <f>$K$383*K149/D149</f>
        <v>6061.1713677654898</v>
      </c>
      <c r="M149" s="45">
        <f>F149*$M$382</f>
        <v>11238.279875602788</v>
      </c>
      <c r="N149" s="45">
        <f>G149+L149+M149</f>
        <v>41646.191243368274</v>
      </c>
      <c r="O149" s="46">
        <f>N149*D149</f>
        <v>2248894.3271418866</v>
      </c>
      <c r="P149" s="47">
        <f>Q149/D149</f>
        <v>70839.99555555555</v>
      </c>
      <c r="Q149" s="42">
        <v>3825359.76</v>
      </c>
      <c r="R149" s="48">
        <f t="shared" si="86"/>
        <v>0.58789093529385761</v>
      </c>
      <c r="S149" s="49"/>
      <c r="T149" s="157">
        <f>IFERROR(VLOOKUP(B149,[1]Todos!$A$2:$C$3021,3,FALSE),0)</f>
        <v>1909.9</v>
      </c>
      <c r="U149" s="112">
        <f t="shared" si="87"/>
        <v>0</v>
      </c>
      <c r="W149" s="157">
        <f>IFERROR(VLOOKUP(B149,[1]Todos!$A$2:$B$3021,2,FALSE),0)</f>
        <v>22436.84</v>
      </c>
      <c r="X149" s="112">
        <f t="shared" si="88"/>
        <v>0</v>
      </c>
    </row>
    <row r="150" spans="1:24" outlineLevel="2" x14ac:dyDescent="0.3">
      <c r="A150" s="40" t="str">
        <f>VLOOKUP(B150,Grupos!$A$2:$B$619,2,FALSE)</f>
        <v>TABLEROS 100 AMP BIMETALICO 3 FASES</v>
      </c>
      <c r="B150" s="41" t="s">
        <v>193</v>
      </c>
      <c r="C150" s="41" t="s">
        <v>194</v>
      </c>
      <c r="D150" s="42">
        <v>221</v>
      </c>
      <c r="E150" s="195">
        <v>22441.5</v>
      </c>
      <c r="F150" s="192">
        <v>1629.32</v>
      </c>
      <c r="G150" s="126">
        <f>E150+F150</f>
        <v>24070.82</v>
      </c>
      <c r="H150" s="127">
        <f>E150*D150</f>
        <v>4959571.5</v>
      </c>
      <c r="I150" s="128">
        <f>F150*D150</f>
        <v>360079.72</v>
      </c>
      <c r="J150" s="128">
        <f>G150*D150</f>
        <v>5319651.22</v>
      </c>
      <c r="K150" s="44">
        <f>J150/$J$308</f>
        <v>3.1744651202407822E-3</v>
      </c>
      <c r="L150" s="45">
        <f>$K$383*K150/D150</f>
        <v>5992.4805120782848</v>
      </c>
      <c r="M150" s="45">
        <f>F150*$M$382</f>
        <v>9587.2842383984134</v>
      </c>
      <c r="N150" s="45">
        <f>G150+L150+M150</f>
        <v>39650.584750476701</v>
      </c>
      <c r="O150" s="46">
        <f>N150*D150</f>
        <v>8762779.2298553512</v>
      </c>
      <c r="P150" s="47">
        <f>Q150/D150</f>
        <v>65450.210723981902</v>
      </c>
      <c r="Q150" s="42">
        <v>14464496.57</v>
      </c>
      <c r="R150" s="48">
        <f t="shared" si="86"/>
        <v>0.60581294256930718</v>
      </c>
      <c r="S150" s="49"/>
      <c r="T150" s="157">
        <f>IFERROR(VLOOKUP(B150,[1]Todos!$A$2:$C$3021,3,FALSE),0)</f>
        <v>1629.32</v>
      </c>
      <c r="U150" s="112">
        <f t="shared" si="87"/>
        <v>0</v>
      </c>
      <c r="W150" s="157">
        <f>IFERROR(VLOOKUP(B150,[1]Todos!$A$2:$B$3021,2,FALSE),0)</f>
        <v>22441.5</v>
      </c>
      <c r="X150" s="112">
        <f t="shared" si="88"/>
        <v>0</v>
      </c>
    </row>
    <row r="151" spans="1:24" outlineLevel="2" x14ac:dyDescent="0.3">
      <c r="A151" s="40" t="str">
        <f>VLOOKUP(B151,Grupos!$A$2:$B$619,2,FALSE)</f>
        <v>TABLEROS 100 AMP BIMETALICO 3 FASES</v>
      </c>
      <c r="B151" s="41" t="s">
        <v>195</v>
      </c>
      <c r="C151" s="41" t="s">
        <v>196</v>
      </c>
      <c r="D151" s="42">
        <v>6</v>
      </c>
      <c r="E151" s="195">
        <v>27361.759999999998</v>
      </c>
      <c r="F151" s="192">
        <v>1717.81</v>
      </c>
      <c r="G151" s="126">
        <f>E151+F151</f>
        <v>29079.57</v>
      </c>
      <c r="H151" s="127">
        <f>E151*D151</f>
        <v>164170.56</v>
      </c>
      <c r="I151" s="128">
        <f>F151*D151</f>
        <v>10306.86</v>
      </c>
      <c r="J151" s="128">
        <f>G151*D151</f>
        <v>174477.41999999998</v>
      </c>
      <c r="K151" s="44">
        <f>J151/$J$308</f>
        <v>1.0411819518866904E-4</v>
      </c>
      <c r="L151" s="45">
        <f>$K$383*K151/D151</f>
        <v>7239.4192023627083</v>
      </c>
      <c r="M151" s="45">
        <f>F151*$M$382</f>
        <v>10107.979241378722</v>
      </c>
      <c r="N151" s="45">
        <f>G151+L151+M151</f>
        <v>46426.968443741433</v>
      </c>
      <c r="O151" s="46">
        <f>N151*D151</f>
        <v>278561.81066244858</v>
      </c>
      <c r="P151" s="47">
        <f>Q151/D151</f>
        <v>99919.993333333332</v>
      </c>
      <c r="Q151" s="42">
        <v>599519.96</v>
      </c>
      <c r="R151" s="48">
        <f t="shared" si="86"/>
        <v>0.46464142855635465</v>
      </c>
      <c r="S151" s="49"/>
      <c r="T151" s="157">
        <f>IFERROR(VLOOKUP(B151,[1]Todos!$A$2:$C$3021,3,FALSE),0)</f>
        <v>1717.81</v>
      </c>
      <c r="U151" s="112">
        <f t="shared" si="87"/>
        <v>0</v>
      </c>
      <c r="W151" s="157">
        <f>IFERROR(VLOOKUP(B151,[1]Todos!$A$2:$B$3021,2,FALSE),0)</f>
        <v>27361.759999999998</v>
      </c>
      <c r="X151" s="112">
        <f t="shared" si="88"/>
        <v>0</v>
      </c>
    </row>
    <row r="152" spans="1:24" outlineLevel="2" x14ac:dyDescent="0.3">
      <c r="A152" s="40" t="str">
        <f>VLOOKUP(B152,Grupos!$A$2:$B$619,2,FALSE)</f>
        <v>TABLEROS 100 AMP BIMETALICO 3 FASES</v>
      </c>
      <c r="B152" s="41" t="s">
        <v>197</v>
      </c>
      <c r="C152" s="41" t="s">
        <v>198</v>
      </c>
      <c r="D152" s="42">
        <v>705</v>
      </c>
      <c r="E152" s="195">
        <v>27273.89</v>
      </c>
      <c r="F152" s="192">
        <v>1685.22</v>
      </c>
      <c r="G152" s="126">
        <f>E152+F152</f>
        <v>28959.11</v>
      </c>
      <c r="H152" s="127">
        <f>E152*D152</f>
        <v>19228092.449999999</v>
      </c>
      <c r="I152" s="128">
        <f>F152*D152</f>
        <v>1188080.1000000001</v>
      </c>
      <c r="J152" s="128">
        <f>G152*D152</f>
        <v>20416172.550000001</v>
      </c>
      <c r="K152" s="44">
        <f>J152/$J$308</f>
        <v>1.2183209945255079E-2</v>
      </c>
      <c r="L152" s="45">
        <f>$K$383*K152/D152</f>
        <v>7209.430435777901</v>
      </c>
      <c r="M152" s="45">
        <f>F152*$M$382</f>
        <v>9916.2123734034922</v>
      </c>
      <c r="N152" s="45">
        <f>G152+L152+M152</f>
        <v>46084.752809181395</v>
      </c>
      <c r="O152" s="46">
        <f>N152*D152</f>
        <v>32489750.730472885</v>
      </c>
      <c r="P152" s="47">
        <f>Q152/D152</f>
        <v>96496.152411347517</v>
      </c>
      <c r="Q152" s="42">
        <v>68029787.450000003</v>
      </c>
      <c r="R152" s="48">
        <f t="shared" si="86"/>
        <v>0.47758124710226307</v>
      </c>
      <c r="S152" s="49"/>
      <c r="T152" s="157">
        <f>IFERROR(VLOOKUP(B152,[1]Todos!$A$2:$C$3021,3,FALSE),0)</f>
        <v>1685.22</v>
      </c>
      <c r="U152" s="112">
        <f t="shared" si="87"/>
        <v>0</v>
      </c>
      <c r="W152" s="157">
        <f>IFERROR(VLOOKUP(B152,[1]Todos!$A$2:$B$3021,2,FALSE),0)</f>
        <v>27273.89</v>
      </c>
      <c r="X152" s="112">
        <f t="shared" si="88"/>
        <v>0</v>
      </c>
    </row>
    <row r="153" spans="1:24" outlineLevel="2" x14ac:dyDescent="0.3">
      <c r="A153" s="40" t="str">
        <f>VLOOKUP(B153,Grupos!$A$2:$B$619,2,FALSE)</f>
        <v>TABLEROS 100 AMP BIMETALICO 3 FASES</v>
      </c>
      <c r="B153" s="41" t="s">
        <v>199</v>
      </c>
      <c r="C153" s="41" t="s">
        <v>200</v>
      </c>
      <c r="D153" s="42">
        <v>198</v>
      </c>
      <c r="E153" s="195">
        <v>34056.449999999997</v>
      </c>
      <c r="F153" s="192">
        <v>1967.09</v>
      </c>
      <c r="G153" s="126">
        <f>E153+F153</f>
        <v>36023.539999999994</v>
      </c>
      <c r="H153" s="127">
        <f>E153*D153</f>
        <v>6743177.0999999996</v>
      </c>
      <c r="I153" s="128">
        <f>F153*D153</f>
        <v>389483.82</v>
      </c>
      <c r="J153" s="128">
        <f>G153*D153</f>
        <v>7132660.919999999</v>
      </c>
      <c r="K153" s="44">
        <f>J153/$J$308</f>
        <v>4.2563661354182774E-3</v>
      </c>
      <c r="L153" s="45">
        <f>$K$383*K153/D153</f>
        <v>8968.1349212894511</v>
      </c>
      <c r="M153" s="45">
        <f>F153*$M$382</f>
        <v>11574.798659877211</v>
      </c>
      <c r="N153" s="45">
        <f>G153+L153+M153</f>
        <v>56566.473581166654</v>
      </c>
      <c r="O153" s="46">
        <f>N153*D153</f>
        <v>11200161.769070998</v>
      </c>
      <c r="P153" s="47">
        <f>Q153/D153</f>
        <v>118573.93863636364</v>
      </c>
      <c r="Q153" s="42">
        <v>23477639.850000001</v>
      </c>
      <c r="R153" s="48">
        <f t="shared" si="86"/>
        <v>0.47705654574435413</v>
      </c>
      <c r="S153" s="49"/>
      <c r="T153" s="157">
        <f>IFERROR(VLOOKUP(B153,[1]Todos!$A$2:$C$3021,3,FALSE),0)</f>
        <v>1967.09</v>
      </c>
      <c r="U153" s="112">
        <f t="shared" si="87"/>
        <v>0</v>
      </c>
      <c r="W153" s="157">
        <f>IFERROR(VLOOKUP(B153,[1]Todos!$A$2:$B$3021,2,FALSE),0)</f>
        <v>34056.449999999997</v>
      </c>
      <c r="X153" s="112">
        <f t="shared" si="88"/>
        <v>0</v>
      </c>
    </row>
    <row r="154" spans="1:24" s="93" customFormat="1" outlineLevel="1" x14ac:dyDescent="0.3">
      <c r="A154" s="50" t="s">
        <v>1031</v>
      </c>
      <c r="B154" s="129"/>
      <c r="C154" s="129"/>
      <c r="D154" s="51">
        <f>SUBTOTAL(9,D149:D153)</f>
        <v>1184</v>
      </c>
      <c r="E154" s="52"/>
      <c r="F154" s="52"/>
      <c r="G154" s="130"/>
      <c r="H154" s="131">
        <f>SUBTOTAL(9,H149:H153)</f>
        <v>32306600.969999999</v>
      </c>
      <c r="I154" s="146">
        <f>SUBTOTAL(9,I149:I153)</f>
        <v>2051085.1</v>
      </c>
      <c r="J154" s="146">
        <f>SUBTOTAL(9,J149:J153)</f>
        <v>34357686.07</v>
      </c>
      <c r="K154" s="53"/>
      <c r="L154" s="54"/>
      <c r="M154" s="54"/>
      <c r="N154" s="54"/>
      <c r="O154" s="55">
        <f>SUBTOTAL(9,O149:O153)</f>
        <v>54980147.867203571</v>
      </c>
      <c r="P154" s="56"/>
      <c r="Q154" s="51">
        <f>SUBTOTAL(9,Q149:Q153)</f>
        <v>110396803.59</v>
      </c>
      <c r="R154" s="57">
        <f t="shared" si="86"/>
        <v>0.49802300500830621</v>
      </c>
      <c r="S154" s="58">
        <f>Q154/$Q$308</f>
        <v>2.5495191922760525E-2</v>
      </c>
      <c r="T154" s="157">
        <f>IFERROR(VLOOKUP(B154,[1]Todos!$A$2:$C$3021,3,FALSE),0)</f>
        <v>0</v>
      </c>
      <c r="U154" s="112">
        <f t="shared" si="87"/>
        <v>0</v>
      </c>
      <c r="W154" s="157">
        <f>IFERROR(VLOOKUP(B154,[1]Todos!$A$2:$B$3021,2,FALSE),0)</f>
        <v>0</v>
      </c>
      <c r="X154" s="112">
        <f t="shared" si="88"/>
        <v>0</v>
      </c>
    </row>
    <row r="155" spans="1:24" outlineLevel="2" x14ac:dyDescent="0.3">
      <c r="A155" s="40" t="str">
        <f>VLOOKUP(B155,Grupos!$A$2:$B$619,2,FALSE)</f>
        <v>TABLEROS 125 AMP COBRE 2 FASES</v>
      </c>
      <c r="B155" s="41" t="s">
        <v>201</v>
      </c>
      <c r="C155" s="41" t="s">
        <v>202</v>
      </c>
      <c r="D155" s="42">
        <v>1064</v>
      </c>
      <c r="E155" s="43">
        <v>35359.94</v>
      </c>
      <c r="F155" s="192">
        <v>1602.34</v>
      </c>
      <c r="G155" s="126">
        <f t="shared" ref="G155:G160" si="99">E155+F155</f>
        <v>36962.28</v>
      </c>
      <c r="H155" s="127">
        <f t="shared" ref="H155:H160" si="100">E155*D155</f>
        <v>37622976.160000004</v>
      </c>
      <c r="I155" s="128">
        <f t="shared" ref="I155:I160" si="101">F155*D155</f>
        <v>1704889.76</v>
      </c>
      <c r="J155" s="128">
        <f t="shared" ref="J155:J160" si="102">G155*D155</f>
        <v>39327865.920000002</v>
      </c>
      <c r="K155" s="44">
        <f t="shared" ref="K155:K160" si="103">J155/$J$308</f>
        <v>2.3468632331979496E-2</v>
      </c>
      <c r="L155" s="45">
        <f t="shared" ref="L155:L160" si="104">$K$383*K155/D155</f>
        <v>9201.8361892939665</v>
      </c>
      <c r="M155" s="45">
        <f t="shared" ref="M155:M160" si="105">F155*$M$382</f>
        <v>9428.527868408486</v>
      </c>
      <c r="N155" s="45">
        <f t="shared" ref="N155:N160" si="106">G155+L155+M155</f>
        <v>55592.644057702448</v>
      </c>
      <c r="O155" s="46">
        <f t="shared" ref="O155:O160" si="107">N155*D155</f>
        <v>59150573.277395405</v>
      </c>
      <c r="P155" s="47">
        <f t="shared" ref="P155:P160" si="108">Q155/D155</f>
        <v>96317.037030075197</v>
      </c>
      <c r="Q155" s="42">
        <v>102481327.40000001</v>
      </c>
      <c r="R155" s="48">
        <f t="shared" si="86"/>
        <v>0.57718391026027438</v>
      </c>
      <c r="S155" s="49"/>
      <c r="T155" s="157">
        <f>IFERROR(VLOOKUP(B155,[1]Todos!$A$2:$C$3021,3,FALSE),0)</f>
        <v>1602.34</v>
      </c>
      <c r="U155" s="112">
        <f t="shared" si="87"/>
        <v>0</v>
      </c>
      <c r="W155" s="157">
        <f>IFERROR(VLOOKUP(B155,[1]Todos!$A$2:$B$3021,2,FALSE),0)</f>
        <v>35359.94</v>
      </c>
      <c r="X155" s="112">
        <f t="shared" si="88"/>
        <v>0</v>
      </c>
    </row>
    <row r="156" spans="1:24" outlineLevel="2" x14ac:dyDescent="0.3">
      <c r="A156" s="40" t="str">
        <f>VLOOKUP(B156,Grupos!$A$2:$B$619,2,FALSE)</f>
        <v>TABLEROS 125 AMP COBRE 2 FASES</v>
      </c>
      <c r="B156" s="41" t="s">
        <v>203</v>
      </c>
      <c r="C156" s="41" t="s">
        <v>204</v>
      </c>
      <c r="D156" s="42">
        <v>1428</v>
      </c>
      <c r="E156" s="43">
        <v>35272.07</v>
      </c>
      <c r="F156" s="192">
        <v>1537.24</v>
      </c>
      <c r="G156" s="126">
        <f t="shared" si="99"/>
        <v>36809.31</v>
      </c>
      <c r="H156" s="127">
        <f t="shared" si="100"/>
        <v>50368515.960000001</v>
      </c>
      <c r="I156" s="128">
        <f t="shared" si="101"/>
        <v>2195178.7200000002</v>
      </c>
      <c r="J156" s="128">
        <f t="shared" si="102"/>
        <v>52563694.68</v>
      </c>
      <c r="K156" s="44">
        <f t="shared" si="103"/>
        <v>3.1367021718511461E-2</v>
      </c>
      <c r="L156" s="45">
        <f t="shared" si="104"/>
        <v>9163.7539908506806</v>
      </c>
      <c r="M156" s="45">
        <f t="shared" si="105"/>
        <v>9045.4648703972089</v>
      </c>
      <c r="N156" s="45">
        <f t="shared" si="106"/>
        <v>55018.528861247891</v>
      </c>
      <c r="O156" s="46">
        <f t="shared" si="107"/>
        <v>78566459.213861987</v>
      </c>
      <c r="P156" s="47">
        <f t="shared" si="108"/>
        <v>93606.654355742299</v>
      </c>
      <c r="Q156" s="42">
        <v>133670302.42</v>
      </c>
      <c r="R156" s="48">
        <f t="shared" si="86"/>
        <v>0.5877630093706343</v>
      </c>
      <c r="S156" s="49"/>
      <c r="T156" s="157">
        <f>IFERROR(VLOOKUP(B156,[1]Todos!$A$2:$C$3021,3,FALSE),0)</f>
        <v>1537.24</v>
      </c>
      <c r="U156" s="112">
        <f t="shared" si="87"/>
        <v>0</v>
      </c>
      <c r="W156" s="157">
        <f>IFERROR(VLOOKUP(B156,[1]Todos!$A$2:$B$3021,2,FALSE),0)</f>
        <v>35272.07</v>
      </c>
      <c r="X156" s="112">
        <f t="shared" si="88"/>
        <v>0</v>
      </c>
    </row>
    <row r="157" spans="1:24" outlineLevel="2" x14ac:dyDescent="0.3">
      <c r="A157" s="40" t="str">
        <f>VLOOKUP(B157,Grupos!$A$2:$B$619,2,FALSE)</f>
        <v>TABLEROS 125 AMP COBRE 2 FASES</v>
      </c>
      <c r="B157" s="41" t="s">
        <v>205</v>
      </c>
      <c r="C157" s="41" t="s">
        <v>206</v>
      </c>
      <c r="D157" s="42">
        <v>263</v>
      </c>
      <c r="E157" s="43">
        <v>46968.33</v>
      </c>
      <c r="F157" s="192">
        <v>1816.87</v>
      </c>
      <c r="G157" s="126">
        <f t="shared" si="99"/>
        <v>48785.200000000004</v>
      </c>
      <c r="H157" s="127">
        <f t="shared" si="100"/>
        <v>12352670.790000001</v>
      </c>
      <c r="I157" s="128">
        <f t="shared" si="101"/>
        <v>477836.81</v>
      </c>
      <c r="J157" s="128">
        <f t="shared" si="102"/>
        <v>12830507.600000001</v>
      </c>
      <c r="K157" s="44">
        <f t="shared" si="103"/>
        <v>7.6565167840428978E-3</v>
      </c>
      <c r="L157" s="45">
        <f t="shared" si="104"/>
        <v>12145.17661956849</v>
      </c>
      <c r="M157" s="45">
        <f t="shared" si="105"/>
        <v>10690.870494573765</v>
      </c>
      <c r="N157" s="45">
        <f t="shared" si="106"/>
        <v>71621.247114142257</v>
      </c>
      <c r="O157" s="46">
        <f t="shared" si="107"/>
        <v>18836387.991019413</v>
      </c>
      <c r="P157" s="47">
        <f t="shared" si="108"/>
        <v>129267.48334600759</v>
      </c>
      <c r="Q157" s="42">
        <v>33997348.119999997</v>
      </c>
      <c r="R157" s="48">
        <f t="shared" si="86"/>
        <v>0.55405462580589693</v>
      </c>
      <c r="S157" s="49"/>
      <c r="T157" s="157">
        <f>IFERROR(VLOOKUP(B157,[1]Todos!$A$2:$C$3021,3,FALSE),0)</f>
        <v>1816.87</v>
      </c>
      <c r="U157" s="112">
        <f t="shared" si="87"/>
        <v>0</v>
      </c>
      <c r="W157" s="157">
        <f>IFERROR(VLOOKUP(B157,[1]Todos!$A$2:$B$3021,2,FALSE),0)</f>
        <v>46968.33</v>
      </c>
      <c r="X157" s="112">
        <f t="shared" si="88"/>
        <v>0</v>
      </c>
    </row>
    <row r="158" spans="1:24" outlineLevel="2" x14ac:dyDescent="0.3">
      <c r="A158" s="40" t="str">
        <f>VLOOKUP(B158,Grupos!$A$2:$B$619,2,FALSE)</f>
        <v>TABLEROS 125 AMP COBRE 2 FASES</v>
      </c>
      <c r="B158" s="41" t="s">
        <v>207</v>
      </c>
      <c r="C158" s="41" t="s">
        <v>208</v>
      </c>
      <c r="D158" s="42">
        <v>612</v>
      </c>
      <c r="E158" s="43">
        <v>46910.7</v>
      </c>
      <c r="F158" s="192">
        <v>1689.18</v>
      </c>
      <c r="G158" s="126">
        <f t="shared" si="99"/>
        <v>48599.88</v>
      </c>
      <c r="H158" s="127">
        <f t="shared" si="100"/>
        <v>28709348.399999999</v>
      </c>
      <c r="I158" s="128">
        <f t="shared" si="101"/>
        <v>1033778.16</v>
      </c>
      <c r="J158" s="128">
        <f t="shared" si="102"/>
        <v>29743126.559999999</v>
      </c>
      <c r="K158" s="44">
        <f t="shared" si="103"/>
        <v>1.7749005325132426E-2</v>
      </c>
      <c r="L158" s="45">
        <f t="shared" si="104"/>
        <v>12099.040821598235</v>
      </c>
      <c r="M158" s="45">
        <f t="shared" si="105"/>
        <v>9939.5139013931184</v>
      </c>
      <c r="N158" s="45">
        <f t="shared" si="106"/>
        <v>70638.434722991355</v>
      </c>
      <c r="O158" s="46">
        <f t="shared" si="107"/>
        <v>43230722.05047071</v>
      </c>
      <c r="P158" s="47">
        <f t="shared" si="108"/>
        <v>123304.7364379085</v>
      </c>
      <c r="Q158" s="42">
        <v>75462498.700000003</v>
      </c>
      <c r="R158" s="48">
        <f t="shared" si="86"/>
        <v>0.5728768964082912</v>
      </c>
      <c r="S158" s="49"/>
      <c r="T158" s="157">
        <f>IFERROR(VLOOKUP(B158,[1]Todos!$A$2:$C$3021,3,FALSE),0)</f>
        <v>1689.18</v>
      </c>
      <c r="U158" s="112">
        <f t="shared" si="87"/>
        <v>0</v>
      </c>
      <c r="W158" s="157">
        <f>IFERROR(VLOOKUP(B158,[1]Todos!$A$2:$B$3021,2,FALSE),0)</f>
        <v>46910.7</v>
      </c>
      <c r="X158" s="112">
        <f t="shared" si="88"/>
        <v>0</v>
      </c>
    </row>
    <row r="159" spans="1:24" outlineLevel="2" x14ac:dyDescent="0.3">
      <c r="A159" s="40" t="str">
        <f>VLOOKUP(B159,Grupos!$A$2:$B$619,2,FALSE)</f>
        <v>TABLEROS 125 AMP COBRE 2 FASES</v>
      </c>
      <c r="B159" s="41" t="s">
        <v>211</v>
      </c>
      <c r="C159" s="41" t="s">
        <v>212</v>
      </c>
      <c r="D159" s="42">
        <v>714</v>
      </c>
      <c r="E159" s="43">
        <v>28638.38</v>
      </c>
      <c r="F159" s="192">
        <v>1449.17</v>
      </c>
      <c r="G159" s="126">
        <f t="shared" si="99"/>
        <v>30087.550000000003</v>
      </c>
      <c r="H159" s="127">
        <f t="shared" si="100"/>
        <v>20447803.32</v>
      </c>
      <c r="I159" s="128">
        <f t="shared" si="101"/>
        <v>1034707.38</v>
      </c>
      <c r="J159" s="128">
        <f t="shared" si="102"/>
        <v>21482510.700000003</v>
      </c>
      <c r="K159" s="44">
        <f t="shared" si="103"/>
        <v>1.2819539870576215E-2</v>
      </c>
      <c r="L159" s="45">
        <f t="shared" si="104"/>
        <v>7490.3579118277248</v>
      </c>
      <c r="M159" s="45">
        <f t="shared" si="105"/>
        <v>8527.2412415976178</v>
      </c>
      <c r="N159" s="45">
        <f t="shared" si="106"/>
        <v>46105.149153425344</v>
      </c>
      <c r="O159" s="46">
        <f t="shared" si="107"/>
        <v>32919076.495545696</v>
      </c>
      <c r="P159" s="47">
        <f t="shared" si="108"/>
        <v>79801.284173669468</v>
      </c>
      <c r="Q159" s="42">
        <v>56978116.899999999</v>
      </c>
      <c r="R159" s="48">
        <f t="shared" si="86"/>
        <v>0.57774946394456395</v>
      </c>
      <c r="S159" s="49"/>
      <c r="T159" s="157">
        <f>IFERROR(VLOOKUP(B159,[1]Todos!$A$2:$C$3021,3,FALSE),0)</f>
        <v>1449.17</v>
      </c>
      <c r="U159" s="112">
        <f t="shared" si="87"/>
        <v>0</v>
      </c>
      <c r="W159" s="157">
        <f>IFERROR(VLOOKUP(B159,[1]Todos!$A$2:$B$3021,2,FALSE),0)</f>
        <v>28638.38</v>
      </c>
      <c r="X159" s="112">
        <f t="shared" si="88"/>
        <v>0</v>
      </c>
    </row>
    <row r="160" spans="1:24" outlineLevel="2" x14ac:dyDescent="0.3">
      <c r="A160" s="40" t="str">
        <f>VLOOKUP(B160,Grupos!$A$2:$B$619,2,FALSE)</f>
        <v>TABLEROS 125 AMP COBRE 2 FASES</v>
      </c>
      <c r="B160" s="41" t="s">
        <v>213</v>
      </c>
      <c r="C160" s="41" t="s">
        <v>214</v>
      </c>
      <c r="D160" s="42">
        <v>780</v>
      </c>
      <c r="E160" s="43">
        <v>28643.040000000001</v>
      </c>
      <c r="F160" s="192">
        <v>1417.78</v>
      </c>
      <c r="G160" s="126">
        <f t="shared" si="99"/>
        <v>30060.82</v>
      </c>
      <c r="H160" s="127">
        <f t="shared" si="100"/>
        <v>22341571.199999999</v>
      </c>
      <c r="I160" s="128">
        <f t="shared" si="101"/>
        <v>1105868.3999999999</v>
      </c>
      <c r="J160" s="128">
        <f t="shared" si="102"/>
        <v>23447439.600000001</v>
      </c>
      <c r="K160" s="44">
        <f t="shared" si="103"/>
        <v>1.3992097618977449E-2</v>
      </c>
      <c r="L160" s="45">
        <f t="shared" si="104"/>
        <v>7483.7034229450082</v>
      </c>
      <c r="M160" s="45">
        <f t="shared" si="105"/>
        <v>8342.535442710152</v>
      </c>
      <c r="N160" s="45">
        <f t="shared" si="106"/>
        <v>45887.058865655155</v>
      </c>
      <c r="O160" s="46">
        <f t="shared" si="107"/>
        <v>35791905.915211022</v>
      </c>
      <c r="P160" s="47">
        <f t="shared" si="108"/>
        <v>78079.394794871798</v>
      </c>
      <c r="Q160" s="42">
        <v>60901927.939999998</v>
      </c>
      <c r="R160" s="48">
        <f t="shared" si="86"/>
        <v>0.58769741986613078</v>
      </c>
      <c r="S160" s="49"/>
      <c r="T160" s="157">
        <f>IFERROR(VLOOKUP(B160,[1]Todos!$A$2:$C$3021,3,FALSE),0)</f>
        <v>1417.78</v>
      </c>
      <c r="U160" s="112">
        <f t="shared" si="87"/>
        <v>0</v>
      </c>
      <c r="W160" s="157">
        <f>IFERROR(VLOOKUP(B160,[1]Todos!$A$2:$B$3021,2,FALSE),0)</f>
        <v>28643.040000000001</v>
      </c>
      <c r="X160" s="112">
        <f t="shared" si="88"/>
        <v>0</v>
      </c>
    </row>
    <row r="161" spans="1:24" s="93" customFormat="1" outlineLevel="1" x14ac:dyDescent="0.3">
      <c r="A161" s="50" t="s">
        <v>1032</v>
      </c>
      <c r="B161" s="129"/>
      <c r="C161" s="129"/>
      <c r="D161" s="51">
        <f>SUBTOTAL(9,D155:D160)</f>
        <v>4861</v>
      </c>
      <c r="E161" s="52"/>
      <c r="F161" s="52"/>
      <c r="G161" s="130"/>
      <c r="H161" s="131">
        <f>SUBTOTAL(9,H155:H160)</f>
        <v>171842885.82999998</v>
      </c>
      <c r="I161" s="146">
        <f>SUBTOTAL(9,I155:I160)</f>
        <v>7552259.2300000004</v>
      </c>
      <c r="J161" s="146">
        <f>SUBTOTAL(9,J155:J160)</f>
        <v>179395145.05999997</v>
      </c>
      <c r="K161" s="53"/>
      <c r="L161" s="54"/>
      <c r="M161" s="54"/>
      <c r="N161" s="54"/>
      <c r="O161" s="55">
        <f>SUBTOTAL(9,O155:O160)</f>
        <v>268495124.94350421</v>
      </c>
      <c r="P161" s="56"/>
      <c r="Q161" s="51">
        <f>SUBTOTAL(9,Q155:Q160)</f>
        <v>463491521.47999996</v>
      </c>
      <c r="R161" s="57">
        <f t="shared" si="86"/>
        <v>0.5792881045292001</v>
      </c>
      <c r="S161" s="58">
        <f>Q161/$Q$308</f>
        <v>0.10703937895331668</v>
      </c>
      <c r="T161" s="157">
        <f>IFERROR(VLOOKUP(B161,[1]Todos!$A$2:$C$3021,3,FALSE),0)</f>
        <v>0</v>
      </c>
      <c r="U161" s="112">
        <f t="shared" si="87"/>
        <v>0</v>
      </c>
      <c r="W161" s="157">
        <f>IFERROR(VLOOKUP(B161,[1]Todos!$A$2:$B$3021,2,FALSE),0)</f>
        <v>0</v>
      </c>
      <c r="X161" s="112">
        <f t="shared" si="88"/>
        <v>0</v>
      </c>
    </row>
    <row r="162" spans="1:24" outlineLevel="2" x14ac:dyDescent="0.3">
      <c r="A162" s="40" t="str">
        <f>VLOOKUP(B162,Grupos!$A$2:$B$619,2,FALSE)</f>
        <v>TABLEROS 125 AMP COBRE 3 FASES</v>
      </c>
      <c r="B162" s="41" t="s">
        <v>215</v>
      </c>
      <c r="C162" s="41" t="s">
        <v>216</v>
      </c>
      <c r="D162" s="42">
        <v>67</v>
      </c>
      <c r="E162" s="43">
        <v>29799.21</v>
      </c>
      <c r="F162" s="192">
        <v>1504.23</v>
      </c>
      <c r="G162" s="126">
        <f>E162+F162</f>
        <v>31303.439999999999</v>
      </c>
      <c r="H162" s="127">
        <f>E162*D162</f>
        <v>1996547.0699999998</v>
      </c>
      <c r="I162" s="128">
        <f>F162*D162</f>
        <v>100783.41</v>
      </c>
      <c r="J162" s="128">
        <f>G162*D162</f>
        <v>2097330.48</v>
      </c>
      <c r="K162" s="44">
        <f>J162/$J$308</f>
        <v>1.251567476707215E-3</v>
      </c>
      <c r="L162" s="45">
        <f>$K$383*K162/D162</f>
        <v>7793.056246567915</v>
      </c>
      <c r="M162" s="45">
        <f>F162*$M$382</f>
        <v>8851.2266282412584</v>
      </c>
      <c r="N162" s="45">
        <f>G162+L162+M162</f>
        <v>47947.722874809173</v>
      </c>
      <c r="O162" s="46">
        <f>N162*D162</f>
        <v>3212497.4326122147</v>
      </c>
      <c r="P162" s="47">
        <f>Q162/D162</f>
        <v>78254.461044776108</v>
      </c>
      <c r="Q162" s="42">
        <v>5243048.8899999997</v>
      </c>
      <c r="R162" s="48">
        <f t="shared" si="86"/>
        <v>0.61271552106625782</v>
      </c>
      <c r="S162" s="49"/>
      <c r="T162" s="157">
        <f>IFERROR(VLOOKUP(B162,[1]Todos!$A$2:$C$3021,3,FALSE),0)</f>
        <v>1504.23</v>
      </c>
      <c r="U162" s="112">
        <f t="shared" si="87"/>
        <v>0</v>
      </c>
      <c r="W162" s="157">
        <f>IFERROR(VLOOKUP(B162,[1]Todos!$A$2:$B$3021,2,FALSE),0)</f>
        <v>29799.21</v>
      </c>
      <c r="X162" s="112">
        <f t="shared" si="88"/>
        <v>0</v>
      </c>
    </row>
    <row r="163" spans="1:24" outlineLevel="2" x14ac:dyDescent="0.3">
      <c r="A163" s="40" t="str">
        <f>VLOOKUP(B163,Grupos!$A$2:$B$619,2,FALSE)</f>
        <v>TABLEROS 125 AMP COBRE 3 FASES</v>
      </c>
      <c r="B163" s="41" t="s">
        <v>217</v>
      </c>
      <c r="C163" s="41" t="s">
        <v>218</v>
      </c>
      <c r="D163" s="42">
        <v>42</v>
      </c>
      <c r="E163" s="43">
        <v>29765.91</v>
      </c>
      <c r="F163" s="192">
        <v>1465.03</v>
      </c>
      <c r="G163" s="126">
        <f>E163+F163</f>
        <v>31230.94</v>
      </c>
      <c r="H163" s="127">
        <f>E163*D163</f>
        <v>1250168.22</v>
      </c>
      <c r="I163" s="128">
        <f>F163*D163</f>
        <v>61531.26</v>
      </c>
      <c r="J163" s="128">
        <f>G163*D163</f>
        <v>1311699.48</v>
      </c>
      <c r="K163" s="44">
        <f>J163/$J$308</f>
        <v>7.8274760417431494E-4</v>
      </c>
      <c r="L163" s="45">
        <f>$K$383*K163/D163</f>
        <v>7775.0072213529156</v>
      </c>
      <c r="M163" s="45">
        <f>F163*$M$382</f>
        <v>8620.5650380409188</v>
      </c>
      <c r="N163" s="45">
        <f>G163+L163+M163</f>
        <v>47626.512259393836</v>
      </c>
      <c r="O163" s="46">
        <f>N163*D163</f>
        <v>2000313.5148945411</v>
      </c>
      <c r="P163" s="47">
        <f>Q163/D163</f>
        <v>79027.285000000003</v>
      </c>
      <c r="Q163" s="42">
        <v>3319145.97</v>
      </c>
      <c r="R163" s="48">
        <f t="shared" si="86"/>
        <v>0.60265909754325775</v>
      </c>
      <c r="S163" s="49"/>
      <c r="T163" s="157">
        <f>IFERROR(VLOOKUP(B163,[1]Todos!$A$2:$C$3021,3,FALSE),0)</f>
        <v>1465.03</v>
      </c>
      <c r="U163" s="112">
        <f t="shared" si="87"/>
        <v>0</v>
      </c>
      <c r="W163" s="157">
        <f>IFERROR(VLOOKUP(B163,[1]Todos!$A$2:$B$3021,2,FALSE),0)</f>
        <v>29765.91</v>
      </c>
      <c r="X163" s="112">
        <f t="shared" si="88"/>
        <v>0</v>
      </c>
    </row>
    <row r="164" spans="1:24" outlineLevel="2" x14ac:dyDescent="0.3">
      <c r="A164" s="40" t="str">
        <f>VLOOKUP(B164,Grupos!$A$2:$B$619,2,FALSE)</f>
        <v>TABLEROS 125 AMP COBRE 3 FASES</v>
      </c>
      <c r="B164" s="41" t="s">
        <v>219</v>
      </c>
      <c r="C164" s="41" t="s">
        <v>220</v>
      </c>
      <c r="D164" s="42">
        <v>132</v>
      </c>
      <c r="E164" s="43">
        <v>40812.980000000003</v>
      </c>
      <c r="F164" s="192">
        <v>1915.8</v>
      </c>
      <c r="G164" s="126">
        <f>E164+F164</f>
        <v>42728.780000000006</v>
      </c>
      <c r="H164" s="127">
        <f>E164*D164</f>
        <v>5387313.3600000003</v>
      </c>
      <c r="I164" s="128">
        <f>F164*D164</f>
        <v>252885.6</v>
      </c>
      <c r="J164" s="128">
        <f>G164*D164</f>
        <v>5640198.9600000009</v>
      </c>
      <c r="K164" s="44">
        <f>J164/$J$308</f>
        <v>3.3657497699141146E-3</v>
      </c>
      <c r="L164" s="45">
        <f>$K$383*K164/D164</f>
        <v>10637.41831208411</v>
      </c>
      <c r="M164" s="45">
        <f>F164*$M$382</f>
        <v>11272.996798617633</v>
      </c>
      <c r="N164" s="45">
        <f>G164+L164+M164</f>
        <v>64639.195110701752</v>
      </c>
      <c r="O164" s="46">
        <f>N164*D164</f>
        <v>8532373.7546126321</v>
      </c>
      <c r="P164" s="47">
        <f>Q164/D164</f>
        <v>108455.26984848484</v>
      </c>
      <c r="Q164" s="42">
        <v>14316095.619999999</v>
      </c>
      <c r="R164" s="48">
        <f t="shared" si="86"/>
        <v>0.59599865641388006</v>
      </c>
      <c r="S164" s="49"/>
      <c r="T164" s="157">
        <f>IFERROR(VLOOKUP(B164,[1]Todos!$A$2:$C$3021,3,FALSE),0)</f>
        <v>1915.8</v>
      </c>
      <c r="U164" s="112">
        <f t="shared" si="87"/>
        <v>0</v>
      </c>
      <c r="W164" s="157">
        <f>IFERROR(VLOOKUP(B164,[1]Todos!$A$2:$B$3021,2,FALSE),0)</f>
        <v>40812.980000000003</v>
      </c>
      <c r="X164" s="112">
        <f t="shared" si="88"/>
        <v>0</v>
      </c>
    </row>
    <row r="165" spans="1:24" outlineLevel="2" x14ac:dyDescent="0.3">
      <c r="A165" s="40" t="str">
        <f>VLOOKUP(B165,Grupos!$A$2:$B$619,2,FALSE)</f>
        <v>TABLEROS 125 AMP COBRE 3 FASES</v>
      </c>
      <c r="B165" s="41" t="s">
        <v>221</v>
      </c>
      <c r="C165" s="41" t="s">
        <v>222</v>
      </c>
      <c r="D165" s="42">
        <v>360</v>
      </c>
      <c r="E165" s="43">
        <v>40772.43</v>
      </c>
      <c r="F165" s="192">
        <v>1719.23</v>
      </c>
      <c r="G165" s="126">
        <f>E165+F165</f>
        <v>42491.66</v>
      </c>
      <c r="H165" s="127">
        <f>E165*D165</f>
        <v>14678074.800000001</v>
      </c>
      <c r="I165" s="128">
        <f>F165*D165</f>
        <v>618922.80000000005</v>
      </c>
      <c r="J165" s="128">
        <f>G165*D165</f>
        <v>15296997.600000001</v>
      </c>
      <c r="K165" s="44">
        <f>J165/$J$308</f>
        <v>9.1283776543543711E-3</v>
      </c>
      <c r="L165" s="45">
        <f>$K$383*K165/D165</f>
        <v>10578.38679678783</v>
      </c>
      <c r="M165" s="45">
        <f>F165*$M$382</f>
        <v>10116.334839799245</v>
      </c>
      <c r="N165" s="45">
        <f>G165+L165+M165</f>
        <v>63186.381636587081</v>
      </c>
      <c r="O165" s="46">
        <f>N165*D165</f>
        <v>22747097.389171351</v>
      </c>
      <c r="P165" s="47">
        <f>Q165/D165</f>
        <v>108244.49713888888</v>
      </c>
      <c r="Q165" s="42">
        <v>38968018.969999999</v>
      </c>
      <c r="R165" s="48">
        <f t="shared" si="86"/>
        <v>0.58373758765318506</v>
      </c>
      <c r="S165" s="49"/>
      <c r="T165" s="157">
        <f>IFERROR(VLOOKUP(B165,[1]Todos!$A$2:$C$3021,3,FALSE),0)</f>
        <v>1719.23</v>
      </c>
      <c r="U165" s="112">
        <f t="shared" si="87"/>
        <v>0</v>
      </c>
      <c r="W165" s="157">
        <f>IFERROR(VLOOKUP(B165,[1]Todos!$A$2:$B$3021,2,FALSE),0)</f>
        <v>40772.43</v>
      </c>
      <c r="X165" s="112">
        <f t="shared" si="88"/>
        <v>0</v>
      </c>
    </row>
    <row r="166" spans="1:24" outlineLevel="2" x14ac:dyDescent="0.3">
      <c r="A166" s="40" t="str">
        <f>VLOOKUP(B166,Grupos!$A$2:$B$619,2,FALSE)</f>
        <v>TABLEROS 125 AMP COBRE 3 FASES</v>
      </c>
      <c r="B166" s="41" t="s">
        <v>223</v>
      </c>
      <c r="C166" s="41" t="s">
        <v>224</v>
      </c>
      <c r="D166" s="42">
        <v>145</v>
      </c>
      <c r="E166" s="43">
        <v>55138.91</v>
      </c>
      <c r="F166" s="192">
        <v>2162.14</v>
      </c>
      <c r="G166" s="126">
        <f>E166+F166</f>
        <v>57301.05</v>
      </c>
      <c r="H166" s="127">
        <f>E166*D166</f>
        <v>7995141.9500000002</v>
      </c>
      <c r="I166" s="128">
        <f>F166*D166</f>
        <v>313510.3</v>
      </c>
      <c r="J166" s="128">
        <f>G166*D166</f>
        <v>8308652.25</v>
      </c>
      <c r="K166" s="44">
        <f>J166/$J$308</f>
        <v>4.9581308384791245E-3</v>
      </c>
      <c r="L166" s="45">
        <f>$K$383*K166/D166</f>
        <v>14265.215121322142</v>
      </c>
      <c r="M166" s="45">
        <f>F166*$M$382</f>
        <v>12722.516597851096</v>
      </c>
      <c r="N166" s="45">
        <f>G166+L166+M166</f>
        <v>84288.781719173232</v>
      </c>
      <c r="O166" s="46">
        <f>N166*D166</f>
        <v>12221873.349280119</v>
      </c>
      <c r="P166" s="47">
        <f>Q166/D166</f>
        <v>146075.99268965519</v>
      </c>
      <c r="Q166" s="42">
        <v>21181018.940000001</v>
      </c>
      <c r="R166" s="48">
        <f t="shared" si="86"/>
        <v>0.57702008500635982</v>
      </c>
      <c r="S166" s="49"/>
      <c r="T166" s="157">
        <f>IFERROR(VLOOKUP(B166,[1]Todos!$A$2:$C$3021,3,FALSE),0)</f>
        <v>2162.14</v>
      </c>
      <c r="U166" s="112">
        <f t="shared" si="87"/>
        <v>0</v>
      </c>
      <c r="W166" s="157">
        <f>IFERROR(VLOOKUP(B166,[1]Todos!$A$2:$B$3021,2,FALSE),0)</f>
        <v>55138.91</v>
      </c>
      <c r="X166" s="112">
        <f t="shared" si="88"/>
        <v>0</v>
      </c>
    </row>
    <row r="167" spans="1:24" s="93" customFormat="1" outlineLevel="1" x14ac:dyDescent="0.3">
      <c r="A167" s="50" t="s">
        <v>1033</v>
      </c>
      <c r="B167" s="129"/>
      <c r="C167" s="129"/>
      <c r="D167" s="51">
        <f>SUBTOTAL(9,D162:D166)</f>
        <v>746</v>
      </c>
      <c r="E167" s="52"/>
      <c r="F167" s="52"/>
      <c r="G167" s="130"/>
      <c r="H167" s="131">
        <f>SUBTOTAL(9,H162:H166)</f>
        <v>31307245.400000002</v>
      </c>
      <c r="I167" s="146">
        <f>SUBTOTAL(9,I162:I166)</f>
        <v>1347633.37</v>
      </c>
      <c r="J167" s="146">
        <f>SUBTOTAL(9,J162:J166)</f>
        <v>32654878.770000003</v>
      </c>
      <c r="K167" s="53"/>
      <c r="L167" s="54"/>
      <c r="M167" s="54"/>
      <c r="N167" s="54"/>
      <c r="O167" s="55">
        <f>SUBTOTAL(9,O162:O166)</f>
        <v>48714155.440570861</v>
      </c>
      <c r="P167" s="56"/>
      <c r="Q167" s="51">
        <f>SUBTOTAL(9,Q162:Q166)</f>
        <v>83027328.390000001</v>
      </c>
      <c r="R167" s="57">
        <f t="shared" si="86"/>
        <v>0.58672435191155814</v>
      </c>
      <c r="S167" s="58">
        <f>Q167/$Q$308</f>
        <v>1.9174447115322624E-2</v>
      </c>
      <c r="T167" s="157">
        <f>IFERROR(VLOOKUP(B167,[1]Todos!$A$2:$C$3021,3,FALSE),0)</f>
        <v>0</v>
      </c>
      <c r="U167" s="112">
        <f t="shared" si="87"/>
        <v>0</v>
      </c>
      <c r="W167" s="157">
        <f>IFERROR(VLOOKUP(B167,[1]Todos!$A$2:$B$3021,2,FALSE),0)</f>
        <v>0</v>
      </c>
      <c r="X167" s="112">
        <f t="shared" si="88"/>
        <v>0</v>
      </c>
    </row>
    <row r="168" spans="1:24" outlineLevel="2" x14ac:dyDescent="0.3">
      <c r="A168" s="40" t="str">
        <f>VLOOKUP(B168,Grupos!$A$2:$B$619,2,FALSE)</f>
        <v>TABLEROS 175 AMP BIMETALICO</v>
      </c>
      <c r="B168" s="41" t="s">
        <v>225</v>
      </c>
      <c r="C168" s="41" t="s">
        <v>226</v>
      </c>
      <c r="D168" s="42">
        <v>61</v>
      </c>
      <c r="E168" s="43">
        <v>40891.46</v>
      </c>
      <c r="F168" s="192">
        <v>6319.71</v>
      </c>
      <c r="G168" s="126">
        <f t="shared" ref="G168:G179" si="109">E168+F168</f>
        <v>47211.17</v>
      </c>
      <c r="H168" s="127">
        <f t="shared" ref="H168:H179" si="110">E168*D168</f>
        <v>2494379.06</v>
      </c>
      <c r="I168" s="128">
        <f t="shared" ref="I168:I179" si="111">F168*D168</f>
        <v>385502.31</v>
      </c>
      <c r="J168" s="128">
        <f t="shared" ref="J168:J179" si="112">G168*D168</f>
        <v>2879881.37</v>
      </c>
      <c r="K168" s="44">
        <f t="shared" ref="K168:K179" si="113">J168/$J$308</f>
        <v>1.7185493148733611E-3</v>
      </c>
      <c r="L168" s="45">
        <f t="shared" ref="L168:L179" si="114">$K$383*K168/D168</f>
        <v>11753.318589786928</v>
      </c>
      <c r="M168" s="45">
        <f t="shared" ref="M168:M179" si="115">F168*$M$382</f>
        <v>37186.590770535469</v>
      </c>
      <c r="N168" s="45">
        <f t="shared" ref="N168:N179" si="116">G168+L168+M168</f>
        <v>96151.079360322386</v>
      </c>
      <c r="O168" s="46">
        <f t="shared" ref="O168:O179" si="117">N168*D168</f>
        <v>5865215.8409796655</v>
      </c>
      <c r="P168" s="47">
        <f t="shared" ref="P168:P179" si="118">Q168/D168</f>
        <v>115057.02770491804</v>
      </c>
      <c r="Q168" s="42">
        <v>7018478.6900000004</v>
      </c>
      <c r="R168" s="48">
        <f t="shared" si="86"/>
        <v>0.83568193337061558</v>
      </c>
      <c r="S168" s="49"/>
      <c r="T168" s="157">
        <f>IFERROR(VLOOKUP(B168,[1]Todos!$A$2:$C$3021,3,FALSE),0)</f>
        <v>6319.71</v>
      </c>
      <c r="U168" s="112">
        <f t="shared" si="87"/>
        <v>0</v>
      </c>
      <c r="W168" s="157">
        <f>IFERROR(VLOOKUP(B168,[1]Todos!$A$2:$B$3021,2,FALSE),0)</f>
        <v>40891.46</v>
      </c>
      <c r="X168" s="112">
        <f t="shared" si="88"/>
        <v>0</v>
      </c>
    </row>
    <row r="169" spans="1:24" outlineLevel="2" x14ac:dyDescent="0.3">
      <c r="A169" s="40" t="str">
        <f>VLOOKUP(B169,Grupos!$A$2:$B$619,2,FALSE)</f>
        <v>TABLEROS 175 AMP BIMETALICO</v>
      </c>
      <c r="B169" s="41" t="s">
        <v>227</v>
      </c>
      <c r="C169" s="41" t="s">
        <v>228</v>
      </c>
      <c r="D169" s="42">
        <v>146</v>
      </c>
      <c r="E169" s="43">
        <v>54850.44</v>
      </c>
      <c r="F169" s="192">
        <v>7019.5</v>
      </c>
      <c r="G169" s="126">
        <f t="shared" si="109"/>
        <v>61869.94</v>
      </c>
      <c r="H169" s="127">
        <f t="shared" si="110"/>
        <v>8008164.2400000002</v>
      </c>
      <c r="I169" s="128">
        <f t="shared" si="111"/>
        <v>1024847</v>
      </c>
      <c r="J169" s="128">
        <f t="shared" si="112"/>
        <v>9033011.2400000002</v>
      </c>
      <c r="K169" s="44">
        <f t="shared" si="113"/>
        <v>5.3903870622786692E-3</v>
      </c>
      <c r="L169" s="45">
        <f t="shared" si="114"/>
        <v>15402.649753246993</v>
      </c>
      <c r="M169" s="45">
        <f t="shared" si="115"/>
        <v>41304.312051308319</v>
      </c>
      <c r="N169" s="45">
        <f t="shared" si="116"/>
        <v>118576.90180455532</v>
      </c>
      <c r="O169" s="46">
        <f t="shared" si="117"/>
        <v>17312227.663465079</v>
      </c>
      <c r="P169" s="47">
        <f t="shared" si="118"/>
        <v>207869.36842465753</v>
      </c>
      <c r="Q169" s="42">
        <v>30348927.789999999</v>
      </c>
      <c r="R169" s="48">
        <f t="shared" si="86"/>
        <v>0.57043951546681904</v>
      </c>
      <c r="S169" s="49"/>
      <c r="T169" s="157">
        <f>IFERROR(VLOOKUP(B169,[1]Todos!$A$2:$C$3021,3,FALSE),0)</f>
        <v>7019.5</v>
      </c>
      <c r="U169" s="112">
        <f t="shared" si="87"/>
        <v>0</v>
      </c>
      <c r="W169" s="157">
        <f>IFERROR(VLOOKUP(B169,[1]Todos!$A$2:$B$3021,2,FALSE),0)</f>
        <v>54850.44</v>
      </c>
      <c r="X169" s="112">
        <f t="shared" si="88"/>
        <v>0</v>
      </c>
    </row>
    <row r="170" spans="1:24" outlineLevel="2" x14ac:dyDescent="0.3">
      <c r="A170" s="40" t="str">
        <f>VLOOKUP(B170,Grupos!$A$2:$B$619,2,FALSE)</f>
        <v>TABLEROS 175 AMP BIMETALICO</v>
      </c>
      <c r="B170" s="41" t="s">
        <v>229</v>
      </c>
      <c r="C170" s="41" t="s">
        <v>230</v>
      </c>
      <c r="D170" s="42">
        <v>138</v>
      </c>
      <c r="E170" s="43">
        <v>49897.08</v>
      </c>
      <c r="F170" s="192">
        <v>6824.13</v>
      </c>
      <c r="G170" s="126">
        <f t="shared" si="109"/>
        <v>56721.21</v>
      </c>
      <c r="H170" s="127">
        <f t="shared" si="110"/>
        <v>6885797.04</v>
      </c>
      <c r="I170" s="128">
        <f t="shared" si="111"/>
        <v>941729.94000000006</v>
      </c>
      <c r="J170" s="128">
        <f t="shared" si="112"/>
        <v>7827526.9799999995</v>
      </c>
      <c r="K170" s="44">
        <f t="shared" si="113"/>
        <v>4.6710226569616469E-3</v>
      </c>
      <c r="L170" s="45">
        <f t="shared" si="114"/>
        <v>14120.862751933666</v>
      </c>
      <c r="M170" s="45">
        <f t="shared" si="115"/>
        <v>40154.711161577696</v>
      </c>
      <c r="N170" s="45">
        <f t="shared" si="116"/>
        <v>110996.78391351136</v>
      </c>
      <c r="O170" s="46">
        <f t="shared" si="117"/>
        <v>15317556.180064568</v>
      </c>
      <c r="P170" s="47">
        <f t="shared" si="118"/>
        <v>150284.15420289856</v>
      </c>
      <c r="Q170" s="42">
        <v>20739213.280000001</v>
      </c>
      <c r="R170" s="48">
        <f t="shared" si="86"/>
        <v>0.73857942310840474</v>
      </c>
      <c r="S170" s="49"/>
      <c r="T170" s="157">
        <f>IFERROR(VLOOKUP(B170,[1]Todos!$A$2:$C$3021,3,FALSE),0)</f>
        <v>6824.13</v>
      </c>
      <c r="U170" s="112">
        <f t="shared" si="87"/>
        <v>0</v>
      </c>
      <c r="W170" s="157">
        <f>IFERROR(VLOOKUP(B170,[1]Todos!$A$2:$B$3021,2,FALSE),0)</f>
        <v>49897.08</v>
      </c>
      <c r="X170" s="112">
        <f t="shared" si="88"/>
        <v>0</v>
      </c>
    </row>
    <row r="171" spans="1:24" outlineLevel="2" x14ac:dyDescent="0.3">
      <c r="A171" s="40" t="str">
        <f>VLOOKUP(B171,Grupos!$A$2:$B$619,2,FALSE)</f>
        <v>TABLEROS 175 AMP BIMETALICO</v>
      </c>
      <c r="B171" s="41" t="s">
        <v>231</v>
      </c>
      <c r="C171" s="41" t="s">
        <v>232</v>
      </c>
      <c r="D171" s="42">
        <v>142</v>
      </c>
      <c r="E171" s="43">
        <v>64153.43</v>
      </c>
      <c r="F171" s="192">
        <v>7523.99</v>
      </c>
      <c r="G171" s="126">
        <f t="shared" si="109"/>
        <v>71677.42</v>
      </c>
      <c r="H171" s="127">
        <f t="shared" si="110"/>
        <v>9109787.0600000005</v>
      </c>
      <c r="I171" s="128">
        <f t="shared" si="111"/>
        <v>1068406.58</v>
      </c>
      <c r="J171" s="128">
        <f t="shared" si="112"/>
        <v>10178193.640000001</v>
      </c>
      <c r="K171" s="44">
        <f t="shared" si="113"/>
        <v>6.0737667491735613E-3</v>
      </c>
      <c r="L171" s="45">
        <f t="shared" si="114"/>
        <v>17844.242219668893</v>
      </c>
      <c r="M171" s="45">
        <f t="shared" si="115"/>
        <v>44272.84433804734</v>
      </c>
      <c r="N171" s="45">
        <f t="shared" si="116"/>
        <v>133794.50655771623</v>
      </c>
      <c r="O171" s="46">
        <f t="shared" si="117"/>
        <v>18998819.931195706</v>
      </c>
      <c r="P171" s="47">
        <f t="shared" si="118"/>
        <v>243133.57161971834</v>
      </c>
      <c r="Q171" s="42">
        <v>34524967.170000002</v>
      </c>
      <c r="R171" s="48">
        <f t="shared" si="86"/>
        <v>0.55029219398373452</v>
      </c>
      <c r="S171" s="49"/>
      <c r="T171" s="157">
        <f>IFERROR(VLOOKUP(B171,[1]Todos!$A$2:$C$3021,3,FALSE),0)</f>
        <v>7523.99</v>
      </c>
      <c r="U171" s="112">
        <f t="shared" si="87"/>
        <v>0</v>
      </c>
      <c r="W171" s="157">
        <f>IFERROR(VLOOKUP(B171,[1]Todos!$A$2:$B$3021,2,FALSE),0)</f>
        <v>64153.43</v>
      </c>
      <c r="X171" s="112">
        <f t="shared" si="88"/>
        <v>0</v>
      </c>
    </row>
    <row r="172" spans="1:24" outlineLevel="2" x14ac:dyDescent="0.3">
      <c r="A172" s="40" t="str">
        <f>VLOOKUP(B172,Grupos!$A$2:$B$619,2,FALSE)</f>
        <v>TABLEROS 175 AMP BIMETALICO</v>
      </c>
      <c r="B172" s="41" t="s">
        <v>233</v>
      </c>
      <c r="C172" s="41" t="s">
        <v>234</v>
      </c>
      <c r="D172" s="42">
        <v>213</v>
      </c>
      <c r="E172" s="43">
        <v>58255.02</v>
      </c>
      <c r="F172" s="192">
        <v>6733.26</v>
      </c>
      <c r="G172" s="126">
        <f t="shared" si="109"/>
        <v>64988.28</v>
      </c>
      <c r="H172" s="127">
        <f t="shared" si="110"/>
        <v>12408319.26</v>
      </c>
      <c r="I172" s="128">
        <f t="shared" si="111"/>
        <v>1434184.3800000001</v>
      </c>
      <c r="J172" s="128">
        <f t="shared" si="112"/>
        <v>13842503.640000001</v>
      </c>
      <c r="K172" s="44">
        <f t="shared" si="113"/>
        <v>8.2604184305876491E-3</v>
      </c>
      <c r="L172" s="45">
        <f t="shared" si="114"/>
        <v>16178.966957232327</v>
      </c>
      <c r="M172" s="45">
        <f t="shared" si="115"/>
        <v>39620.011704906654</v>
      </c>
      <c r="N172" s="45">
        <f t="shared" si="116"/>
        <v>120787.25866213898</v>
      </c>
      <c r="O172" s="46">
        <f t="shared" si="117"/>
        <v>25727686.095035601</v>
      </c>
      <c r="P172" s="47">
        <f t="shared" si="118"/>
        <v>170801.95591549296</v>
      </c>
      <c r="Q172" s="42">
        <v>36380816.609999999</v>
      </c>
      <c r="R172" s="48">
        <f t="shared" si="86"/>
        <v>0.70717725692731781</v>
      </c>
      <c r="S172" s="49"/>
      <c r="T172" s="157">
        <f>IFERROR(VLOOKUP(B172,[1]Todos!$A$2:$C$3021,3,FALSE),0)</f>
        <v>6733.26</v>
      </c>
      <c r="U172" s="112">
        <f t="shared" si="87"/>
        <v>0</v>
      </c>
      <c r="W172" s="157">
        <f>IFERROR(VLOOKUP(B172,[1]Todos!$A$2:$B$3021,2,FALSE),0)</f>
        <v>58255.02</v>
      </c>
      <c r="X172" s="112">
        <f t="shared" si="88"/>
        <v>0</v>
      </c>
    </row>
    <row r="173" spans="1:24" outlineLevel="2" x14ac:dyDescent="0.3">
      <c r="A173" s="40" t="str">
        <f>VLOOKUP(B173,Grupos!$A$2:$B$619,2,FALSE)</f>
        <v>TABLEROS 175 AMP BIMETALICO</v>
      </c>
      <c r="B173" s="41" t="s">
        <v>235</v>
      </c>
      <c r="C173" s="41" t="s">
        <v>236</v>
      </c>
      <c r="D173" s="42">
        <v>103</v>
      </c>
      <c r="E173" s="43">
        <v>63662.01</v>
      </c>
      <c r="F173" s="192">
        <v>7772.76</v>
      </c>
      <c r="G173" s="126">
        <f t="shared" si="109"/>
        <v>71434.77</v>
      </c>
      <c r="H173" s="127">
        <f t="shared" si="110"/>
        <v>6557187.0300000003</v>
      </c>
      <c r="I173" s="128">
        <f t="shared" si="111"/>
        <v>800594.28</v>
      </c>
      <c r="J173" s="128">
        <f t="shared" si="112"/>
        <v>7357781.3100000005</v>
      </c>
      <c r="K173" s="44">
        <f t="shared" si="113"/>
        <v>4.390705173140004E-3</v>
      </c>
      <c r="L173" s="45">
        <f t="shared" si="114"/>
        <v>17783.833999414837</v>
      </c>
      <c r="M173" s="45">
        <f t="shared" si="115"/>
        <v>45736.662802183528</v>
      </c>
      <c r="N173" s="45">
        <f t="shared" si="116"/>
        <v>134955.26680159837</v>
      </c>
      <c r="O173" s="46">
        <f t="shared" si="117"/>
        <v>13900392.480564632</v>
      </c>
      <c r="P173" s="47">
        <f t="shared" si="118"/>
        <v>280608.79640776699</v>
      </c>
      <c r="Q173" s="42">
        <v>28902706.030000001</v>
      </c>
      <c r="R173" s="48">
        <f t="shared" si="86"/>
        <v>0.48093740655759043</v>
      </c>
      <c r="S173" s="49"/>
      <c r="T173" s="157">
        <f>IFERROR(VLOOKUP(B173,[1]Todos!$A$2:$C$3021,3,FALSE),0)</f>
        <v>7772.76</v>
      </c>
      <c r="U173" s="112">
        <f t="shared" si="87"/>
        <v>0</v>
      </c>
      <c r="W173" s="157">
        <f>IFERROR(VLOOKUP(B173,[1]Todos!$A$2:$B$3021,2,FALSE),0)</f>
        <v>63662.01</v>
      </c>
      <c r="X173" s="112">
        <f t="shared" si="88"/>
        <v>0</v>
      </c>
    </row>
    <row r="174" spans="1:24" outlineLevel="2" x14ac:dyDescent="0.3">
      <c r="A174" s="40" t="str">
        <f>VLOOKUP(B174,Grupos!$A$2:$B$619,2,FALSE)</f>
        <v>TABLEROS 175 AMP BIMETALICO</v>
      </c>
      <c r="B174" s="41" t="s">
        <v>237</v>
      </c>
      <c r="C174" s="41" t="s">
        <v>238</v>
      </c>
      <c r="D174" s="42">
        <v>4</v>
      </c>
      <c r="E174" s="43">
        <v>59420.81</v>
      </c>
      <c r="F174" s="192">
        <v>11113.38</v>
      </c>
      <c r="G174" s="126">
        <f t="shared" si="109"/>
        <v>70534.19</v>
      </c>
      <c r="H174" s="127">
        <f t="shared" si="110"/>
        <v>237683.24</v>
      </c>
      <c r="I174" s="128">
        <f t="shared" si="111"/>
        <v>44453.52</v>
      </c>
      <c r="J174" s="128">
        <f t="shared" si="112"/>
        <v>282136.76</v>
      </c>
      <c r="K174" s="44">
        <f t="shared" si="113"/>
        <v>1.6836316268075649E-4</v>
      </c>
      <c r="L174" s="45">
        <f t="shared" si="114"/>
        <v>17559.632742475209</v>
      </c>
      <c r="M174" s="45">
        <f t="shared" si="115"/>
        <v>65393.619982159529</v>
      </c>
      <c r="N174" s="45">
        <f t="shared" si="116"/>
        <v>153487.44272463475</v>
      </c>
      <c r="O174" s="46">
        <f t="shared" si="117"/>
        <v>613949.77089853899</v>
      </c>
      <c r="P174" s="47">
        <f t="shared" si="118"/>
        <v>176104.495</v>
      </c>
      <c r="Q174" s="42">
        <v>704417.98</v>
      </c>
      <c r="R174" s="48">
        <f t="shared" si="86"/>
        <v>0.87157027266473097</v>
      </c>
      <c r="S174" s="49"/>
      <c r="T174" s="157">
        <f>IFERROR(VLOOKUP(B174,[1]Todos!$A$2:$C$3021,3,FALSE),0)</f>
        <v>11113.38</v>
      </c>
      <c r="U174" s="112">
        <f t="shared" si="87"/>
        <v>0</v>
      </c>
      <c r="W174" s="157">
        <f>IFERROR(VLOOKUP(B174,[1]Todos!$A$2:$B$3021,2,FALSE),0)</f>
        <v>59420.81</v>
      </c>
      <c r="X174" s="112">
        <f t="shared" si="88"/>
        <v>0</v>
      </c>
    </row>
    <row r="175" spans="1:24" outlineLevel="2" x14ac:dyDescent="0.3">
      <c r="A175" s="40" t="str">
        <f>VLOOKUP(B175,Grupos!$A$2:$B$619,2,FALSE)</f>
        <v>TABLEROS 175 AMP BIMETALICO</v>
      </c>
      <c r="B175" s="41" t="s">
        <v>239</v>
      </c>
      <c r="C175" s="41" t="s">
        <v>240</v>
      </c>
      <c r="D175" s="42">
        <v>11</v>
      </c>
      <c r="E175" s="43">
        <v>74705.16</v>
      </c>
      <c r="F175" s="192">
        <v>11694.84</v>
      </c>
      <c r="G175" s="126">
        <f t="shared" si="109"/>
        <v>86400</v>
      </c>
      <c r="H175" s="127">
        <f t="shared" si="110"/>
        <v>821756.76</v>
      </c>
      <c r="I175" s="128">
        <f t="shared" si="111"/>
        <v>128643.24</v>
      </c>
      <c r="J175" s="128">
        <f t="shared" si="112"/>
        <v>950400</v>
      </c>
      <c r="K175" s="44">
        <f t="shared" si="113"/>
        <v>5.6714463514712142E-4</v>
      </c>
      <c r="L175" s="45">
        <f t="shared" si="114"/>
        <v>21509.459014838874</v>
      </c>
      <c r="M175" s="45">
        <f t="shared" si="115"/>
        <v>68815.061008636316</v>
      </c>
      <c r="N175" s="45">
        <f t="shared" si="116"/>
        <v>176724.5200234752</v>
      </c>
      <c r="O175" s="46">
        <f t="shared" si="117"/>
        <v>1943969.7202582271</v>
      </c>
      <c r="P175" s="47">
        <f t="shared" si="118"/>
        <v>340837.00545454543</v>
      </c>
      <c r="Q175" s="42">
        <v>3749207.06</v>
      </c>
      <c r="R175" s="48">
        <f t="shared" si="86"/>
        <v>0.51850156290333749</v>
      </c>
      <c r="S175" s="49"/>
      <c r="T175" s="157">
        <f>IFERROR(VLOOKUP(B175,[1]Todos!$A$2:$C$3021,3,FALSE),0)</f>
        <v>11694.84</v>
      </c>
      <c r="U175" s="112">
        <f t="shared" si="87"/>
        <v>0</v>
      </c>
      <c r="W175" s="157">
        <f>IFERROR(VLOOKUP(B175,[1]Todos!$A$2:$B$3021,2,FALSE),0)</f>
        <v>74705.16</v>
      </c>
      <c r="X175" s="112">
        <f t="shared" si="88"/>
        <v>0</v>
      </c>
    </row>
    <row r="176" spans="1:24" outlineLevel="2" x14ac:dyDescent="0.3">
      <c r="A176" s="40" t="str">
        <f>VLOOKUP(B176,Grupos!$A$2:$B$619,2,FALSE)</f>
        <v>TABLEROS 175 AMP BIMETALICO</v>
      </c>
      <c r="B176" s="41" t="s">
        <v>241</v>
      </c>
      <c r="C176" s="41" t="s">
        <v>242</v>
      </c>
      <c r="D176" s="42">
        <v>31</v>
      </c>
      <c r="E176" s="43">
        <v>76519.41</v>
      </c>
      <c r="F176" s="192">
        <v>7722.66</v>
      </c>
      <c r="G176" s="126">
        <f t="shared" si="109"/>
        <v>84242.07</v>
      </c>
      <c r="H176" s="127">
        <f t="shared" si="110"/>
        <v>2372101.71</v>
      </c>
      <c r="I176" s="128">
        <f t="shared" si="111"/>
        <v>239402.46</v>
      </c>
      <c r="J176" s="128">
        <f t="shared" si="112"/>
        <v>2611504.1700000004</v>
      </c>
      <c r="K176" s="44">
        <f t="shared" si="113"/>
        <v>1.5583970745789526E-3</v>
      </c>
      <c r="L176" s="45">
        <f t="shared" si="114"/>
        <v>20972.237870256802</v>
      </c>
      <c r="M176" s="45">
        <f t="shared" si="115"/>
        <v>45441.863167769312</v>
      </c>
      <c r="N176" s="45">
        <f t="shared" si="116"/>
        <v>150656.17103802611</v>
      </c>
      <c r="O176" s="46">
        <f t="shared" si="117"/>
        <v>4670341.3021788094</v>
      </c>
      <c r="P176" s="47">
        <f t="shared" si="118"/>
        <v>249486.39322580647</v>
      </c>
      <c r="Q176" s="42">
        <v>7734078.1900000004</v>
      </c>
      <c r="R176" s="48">
        <f t="shared" si="86"/>
        <v>0.60386528134890882</v>
      </c>
      <c r="S176" s="49"/>
      <c r="T176" s="157">
        <f>IFERROR(VLOOKUP(B176,[1]Todos!$A$2:$C$3021,3,FALSE),0)</f>
        <v>7722.66</v>
      </c>
      <c r="U176" s="112">
        <f t="shared" si="87"/>
        <v>0</v>
      </c>
      <c r="W176" s="157">
        <f>IFERROR(VLOOKUP(B176,[1]Todos!$A$2:$B$3021,2,FALSE),0)</f>
        <v>76519.41</v>
      </c>
      <c r="X176" s="112">
        <f t="shared" si="88"/>
        <v>0</v>
      </c>
    </row>
    <row r="177" spans="1:24" outlineLevel="2" x14ac:dyDescent="0.3">
      <c r="A177" s="40" t="str">
        <f>VLOOKUP(B177,Grupos!$A$2:$B$619,2,FALSE)</f>
        <v>TABLEROS 175 AMP BIMETALICO</v>
      </c>
      <c r="B177" s="41" t="s">
        <v>243</v>
      </c>
      <c r="C177" s="41" t="s">
        <v>244</v>
      </c>
      <c r="D177" s="42">
        <v>34</v>
      </c>
      <c r="E177" s="43">
        <v>91575.06</v>
      </c>
      <c r="F177" s="192">
        <v>8673.58</v>
      </c>
      <c r="G177" s="126">
        <f t="shared" si="109"/>
        <v>100248.64</v>
      </c>
      <c r="H177" s="127">
        <f t="shared" si="110"/>
        <v>3113552.04</v>
      </c>
      <c r="I177" s="128">
        <f t="shared" si="111"/>
        <v>294901.71999999997</v>
      </c>
      <c r="J177" s="128">
        <f t="shared" si="112"/>
        <v>3408453.76</v>
      </c>
      <c r="K177" s="44">
        <f t="shared" si="113"/>
        <v>2.0339712375116101E-3</v>
      </c>
      <c r="L177" s="45">
        <f t="shared" si="114"/>
        <v>24957.106636265475</v>
      </c>
      <c r="M177" s="45">
        <f t="shared" si="115"/>
        <v>51037.289681884293</v>
      </c>
      <c r="N177" s="45">
        <f t="shared" si="116"/>
        <v>176243.03631814977</v>
      </c>
      <c r="O177" s="46">
        <f t="shared" si="117"/>
        <v>5992263.2348170923</v>
      </c>
      <c r="P177" s="47">
        <f t="shared" si="118"/>
        <v>369241.01088235294</v>
      </c>
      <c r="Q177" s="42">
        <v>12554194.369999999</v>
      </c>
      <c r="R177" s="48">
        <f t="shared" si="86"/>
        <v>0.47731165045018281</v>
      </c>
      <c r="S177" s="49"/>
      <c r="T177" s="157">
        <f>IFERROR(VLOOKUP(B177,[1]Todos!$A$2:$C$3021,3,FALSE),0)</f>
        <v>8673.58</v>
      </c>
      <c r="U177" s="112">
        <f t="shared" si="87"/>
        <v>0</v>
      </c>
      <c r="W177" s="157">
        <f>IFERROR(VLOOKUP(B177,[1]Todos!$A$2:$B$3021,2,FALSE),0)</f>
        <v>91575.06</v>
      </c>
      <c r="X177" s="112">
        <f t="shared" si="88"/>
        <v>0</v>
      </c>
    </row>
    <row r="178" spans="1:24" outlineLevel="2" x14ac:dyDescent="0.3">
      <c r="A178" s="40" t="str">
        <f>VLOOKUP(B178,Grupos!$A$2:$B$619,2,FALSE)</f>
        <v>TABLEROS 175 AMP BIMETALICO</v>
      </c>
      <c r="B178" s="41" t="s">
        <v>647</v>
      </c>
      <c r="C178" s="41" t="s">
        <v>648</v>
      </c>
      <c r="D178" s="42">
        <v>4</v>
      </c>
      <c r="E178" s="43">
        <v>65667.759999999995</v>
      </c>
      <c r="F178" s="192">
        <v>6260.94</v>
      </c>
      <c r="G178" s="126">
        <f t="shared" si="109"/>
        <v>71928.7</v>
      </c>
      <c r="H178" s="127">
        <f t="shared" si="110"/>
        <v>262671.03999999998</v>
      </c>
      <c r="I178" s="128">
        <f t="shared" si="111"/>
        <v>25043.759999999998</v>
      </c>
      <c r="J178" s="128">
        <f t="shared" si="112"/>
        <v>287714.8</v>
      </c>
      <c r="K178" s="44">
        <f t="shared" si="113"/>
        <v>1.7169181952065131E-4</v>
      </c>
      <c r="L178" s="45">
        <f t="shared" si="114"/>
        <v>17906.798896303713</v>
      </c>
      <c r="M178" s="45">
        <f t="shared" si="115"/>
        <v>36840.774911962151</v>
      </c>
      <c r="N178" s="45">
        <f t="shared" si="116"/>
        <v>126676.27380826586</v>
      </c>
      <c r="O178" s="46">
        <f t="shared" si="117"/>
        <v>506705.09523306345</v>
      </c>
      <c r="P178" s="47">
        <f t="shared" si="118"/>
        <v>325657.75750000001</v>
      </c>
      <c r="Q178" s="42">
        <v>1302631.03</v>
      </c>
      <c r="R178" s="48">
        <f t="shared" si="86"/>
        <v>0.38898589359802327</v>
      </c>
      <c r="S178" s="49"/>
      <c r="T178" s="157">
        <f>IFERROR(VLOOKUP(B178,[1]Todos!$A$2:$C$3021,3,FALSE),0)</f>
        <v>6260.94</v>
      </c>
      <c r="U178" s="112">
        <f t="shared" si="87"/>
        <v>0</v>
      </c>
      <c r="W178" s="157">
        <f>IFERROR(VLOOKUP(B178,[1]Todos!$A$2:$B$3021,2,FALSE),0)</f>
        <v>65667.759999999995</v>
      </c>
      <c r="X178" s="112">
        <f t="shared" si="88"/>
        <v>0</v>
      </c>
    </row>
    <row r="179" spans="1:24" outlineLevel="2" x14ac:dyDescent="0.3">
      <c r="A179" s="40" t="str">
        <f>VLOOKUP(B179,Grupos!$A$2:$B$619,2,FALSE)</f>
        <v>TABLEROS 175 AMP BIMETALICO</v>
      </c>
      <c r="B179" s="41" t="s">
        <v>245</v>
      </c>
      <c r="C179" s="41" t="s">
        <v>246</v>
      </c>
      <c r="D179" s="42">
        <v>12</v>
      </c>
      <c r="E179" s="43">
        <v>88270.33</v>
      </c>
      <c r="F179" s="192">
        <v>7852.52</v>
      </c>
      <c r="G179" s="126">
        <f t="shared" si="109"/>
        <v>96122.85</v>
      </c>
      <c r="H179" s="127">
        <f t="shared" si="110"/>
        <v>1059243.96</v>
      </c>
      <c r="I179" s="128">
        <f t="shared" si="111"/>
        <v>94230.24</v>
      </c>
      <c r="J179" s="128">
        <f t="shared" si="112"/>
        <v>1153474.2000000002</v>
      </c>
      <c r="K179" s="44">
        <f t="shared" si="113"/>
        <v>6.8832776126958955E-4</v>
      </c>
      <c r="L179" s="45">
        <f t="shared" si="114"/>
        <v>23929.982667413253</v>
      </c>
      <c r="M179" s="45">
        <f t="shared" si="115"/>
        <v>46205.98852755034</v>
      </c>
      <c r="N179" s="45">
        <f t="shared" si="116"/>
        <v>166258.82119496359</v>
      </c>
      <c r="O179" s="46">
        <f t="shared" si="117"/>
        <v>1995105.8543395631</v>
      </c>
      <c r="P179" s="47">
        <f t="shared" si="118"/>
        <v>408733.51333333337</v>
      </c>
      <c r="Q179" s="42">
        <v>4904802.16</v>
      </c>
      <c r="R179" s="48">
        <f t="shared" si="86"/>
        <v>0.406765816287188</v>
      </c>
      <c r="S179" s="49"/>
      <c r="T179" s="157">
        <f>IFERROR(VLOOKUP(B179,[1]Todos!$A$2:$C$3021,3,FALSE),0)</f>
        <v>7852.52</v>
      </c>
      <c r="U179" s="112">
        <f t="shared" si="87"/>
        <v>0</v>
      </c>
      <c r="W179" s="157">
        <f>IFERROR(VLOOKUP(B179,[1]Todos!$A$2:$B$3021,2,FALSE),0)</f>
        <v>88270.33</v>
      </c>
      <c r="X179" s="112">
        <f t="shared" si="88"/>
        <v>0</v>
      </c>
    </row>
    <row r="180" spans="1:24" s="93" customFormat="1" outlineLevel="1" x14ac:dyDescent="0.3">
      <c r="A180" s="50" t="s">
        <v>1034</v>
      </c>
      <c r="B180" s="129"/>
      <c r="C180" s="129"/>
      <c r="D180" s="51">
        <f>SUBTOTAL(9,D168:D179)</f>
        <v>899</v>
      </c>
      <c r="E180" s="52"/>
      <c r="F180" s="52"/>
      <c r="G180" s="130"/>
      <c r="H180" s="131">
        <f>SUBTOTAL(9,H168:H179)</f>
        <v>53330642.439999998</v>
      </c>
      <c r="I180" s="146">
        <f>SUBTOTAL(9,I168:I179)</f>
        <v>6481939.4299999997</v>
      </c>
      <c r="J180" s="146">
        <f>SUBTOTAL(9,J168:J179)</f>
        <v>59812581.870000005</v>
      </c>
      <c r="K180" s="53"/>
      <c r="L180" s="54"/>
      <c r="M180" s="54"/>
      <c r="N180" s="54"/>
      <c r="O180" s="55">
        <f>SUBTOTAL(9,O168:O179)</f>
        <v>112844233.16903055</v>
      </c>
      <c r="P180" s="56"/>
      <c r="Q180" s="51">
        <f>SUBTOTAL(9,Q168:Q179)</f>
        <v>188864440.35999998</v>
      </c>
      <c r="R180" s="57">
        <f t="shared" si="86"/>
        <v>0.59748798108280676</v>
      </c>
      <c r="S180" s="58">
        <f>Q180/$Q$308</f>
        <v>4.3616617490536878E-2</v>
      </c>
      <c r="T180" s="157">
        <f>IFERROR(VLOOKUP(B180,[1]Todos!$A$2:$C$3021,3,FALSE),0)</f>
        <v>0</v>
      </c>
      <c r="U180" s="112">
        <f t="shared" si="87"/>
        <v>0</v>
      </c>
      <c r="W180" s="157">
        <f>IFERROR(VLOOKUP(B180,[1]Todos!$A$2:$B$3021,2,FALSE),0)</f>
        <v>0</v>
      </c>
      <c r="X180" s="112">
        <f t="shared" si="88"/>
        <v>0</v>
      </c>
    </row>
    <row r="181" spans="1:24" outlineLevel="2" x14ac:dyDescent="0.3">
      <c r="A181" s="40" t="str">
        <f>VLOOKUP(B181,Grupos!$A$2:$B$619,2,FALSE)</f>
        <v>TABLEROS 225 AMP COBRE</v>
      </c>
      <c r="B181" s="41" t="s">
        <v>247</v>
      </c>
      <c r="C181" s="41" t="s">
        <v>248</v>
      </c>
      <c r="D181" s="42">
        <v>76</v>
      </c>
      <c r="E181" s="195">
        <v>71237.61</v>
      </c>
      <c r="F181" s="192">
        <v>2824.89</v>
      </c>
      <c r="G181" s="126">
        <f t="shared" ref="G181:G222" si="119">E181+F181</f>
        <v>74062.5</v>
      </c>
      <c r="H181" s="127">
        <f t="shared" ref="H181:H222" si="120">E181*D181</f>
        <v>5414058.3600000003</v>
      </c>
      <c r="I181" s="128">
        <f t="shared" ref="I181:I222" si="121">F181*D181</f>
        <v>214691.63999999998</v>
      </c>
      <c r="J181" s="128">
        <f t="shared" ref="J181:J222" si="122">G181*D181</f>
        <v>5628750</v>
      </c>
      <c r="K181" s="44">
        <f t="shared" ref="K181:K222" si="123">J181/$J$308</f>
        <v>3.358917682117382E-3</v>
      </c>
      <c r="L181" s="45">
        <f t="shared" ref="L181:L222" si="124">$K$383*K181/D181</f>
        <v>18438.012827390095</v>
      </c>
      <c r="M181" s="45">
        <f t="shared" ref="M181:M222" si="125">F181*$M$382</f>
        <v>16622.286212781586</v>
      </c>
      <c r="N181" s="45">
        <f t="shared" ref="N181:N222" si="126">G181+L181+M181</f>
        <v>109122.79904017168</v>
      </c>
      <c r="O181" s="46">
        <f t="shared" ref="O181:O222" si="127">N181*D181</f>
        <v>8293332.7270530481</v>
      </c>
      <c r="P181" s="47">
        <f t="shared" ref="P181:P222" si="128">Q181/D181</f>
        <v>236082.3614473684</v>
      </c>
      <c r="Q181" s="42">
        <v>17942259.469999999</v>
      </c>
      <c r="R181" s="48">
        <f t="shared" si="86"/>
        <v>0.46222343071783972</v>
      </c>
      <c r="S181" s="49"/>
      <c r="T181" s="157">
        <f>IFERROR(VLOOKUP(B181,[1]Todos!$A$2:$C$3021,3,FALSE),0)</f>
        <v>2824.89</v>
      </c>
      <c r="U181" s="112">
        <f t="shared" si="87"/>
        <v>0</v>
      </c>
      <c r="W181" s="157">
        <f>IFERROR(VLOOKUP(B181,[1]Todos!$A$2:$B$3021,2,FALSE),0)</f>
        <v>71237.61</v>
      </c>
      <c r="X181" s="112">
        <f t="shared" si="88"/>
        <v>0</v>
      </c>
    </row>
    <row r="182" spans="1:24" outlineLevel="2" x14ac:dyDescent="0.3">
      <c r="A182" s="40" t="str">
        <f>VLOOKUP(B182,Grupos!$A$2:$B$619,2,FALSE)</f>
        <v>TABLEROS 225 AMP COBRE</v>
      </c>
      <c r="B182" s="41" t="s">
        <v>249</v>
      </c>
      <c r="C182" s="41" t="s">
        <v>250</v>
      </c>
      <c r="D182" s="42">
        <v>108</v>
      </c>
      <c r="E182" s="195">
        <v>72361.87</v>
      </c>
      <c r="F182" s="192">
        <v>7005.76</v>
      </c>
      <c r="G182" s="126">
        <f t="shared" si="119"/>
        <v>79367.62999999999</v>
      </c>
      <c r="H182" s="127">
        <f t="shared" si="120"/>
        <v>7815081.959999999</v>
      </c>
      <c r="I182" s="128">
        <f t="shared" si="121"/>
        <v>756622.08000000007</v>
      </c>
      <c r="J182" s="128">
        <f t="shared" si="122"/>
        <v>8571704.0399999991</v>
      </c>
      <c r="K182" s="44">
        <f t="shared" si="123"/>
        <v>5.1151051771411056E-3</v>
      </c>
      <c r="L182" s="45">
        <f t="shared" si="124"/>
        <v>19758.735932753429</v>
      </c>
      <c r="M182" s="45">
        <f t="shared" si="125"/>
        <v>41223.462810253404</v>
      </c>
      <c r="N182" s="45">
        <f t="shared" si="126"/>
        <v>140349.82874300683</v>
      </c>
      <c r="O182" s="46">
        <f t="shared" si="127"/>
        <v>15157781.504244737</v>
      </c>
      <c r="P182" s="47">
        <f t="shared" si="128"/>
        <v>223937.45712962965</v>
      </c>
      <c r="Q182" s="42">
        <v>24185245.370000001</v>
      </c>
      <c r="R182" s="48">
        <f t="shared" si="86"/>
        <v>0.62673672614654707</v>
      </c>
      <c r="S182" s="49"/>
      <c r="T182" s="157">
        <f>IFERROR(VLOOKUP(B182,[1]Todos!$A$2:$C$3021,3,FALSE),0)</f>
        <v>7005.76</v>
      </c>
      <c r="U182" s="112">
        <f t="shared" si="87"/>
        <v>0</v>
      </c>
      <c r="W182" s="157">
        <f>IFERROR(VLOOKUP(B182,[1]Todos!$A$2:$B$3021,2,FALSE),0)</f>
        <v>72361.87</v>
      </c>
      <c r="X182" s="112">
        <f t="shared" si="88"/>
        <v>0</v>
      </c>
    </row>
    <row r="183" spans="1:24" outlineLevel="2" x14ac:dyDescent="0.3">
      <c r="A183" s="40" t="str">
        <f>VLOOKUP(B183,Grupos!$A$2:$B$619,2,FALSE)</f>
        <v>TABLEROS 225 AMP COBRE</v>
      </c>
      <c r="B183" s="41" t="s">
        <v>251</v>
      </c>
      <c r="C183" s="41" t="s">
        <v>252</v>
      </c>
      <c r="D183" s="42">
        <v>43</v>
      </c>
      <c r="E183" s="195">
        <v>74286.210000000006</v>
      </c>
      <c r="F183" s="192">
        <v>2151.94</v>
      </c>
      <c r="G183" s="126">
        <f t="shared" si="119"/>
        <v>76438.150000000009</v>
      </c>
      <c r="H183" s="127">
        <f t="shared" si="120"/>
        <v>3194307.0300000003</v>
      </c>
      <c r="I183" s="128">
        <f t="shared" si="121"/>
        <v>92533.42</v>
      </c>
      <c r="J183" s="128">
        <f t="shared" si="122"/>
        <v>3286840.45</v>
      </c>
      <c r="K183" s="44">
        <f t="shared" si="123"/>
        <v>1.961399334808555E-3</v>
      </c>
      <c r="L183" s="45">
        <f t="shared" si="124"/>
        <v>19029.435817072987</v>
      </c>
      <c r="M183" s="45">
        <f t="shared" si="125"/>
        <v>12662.49751060509</v>
      </c>
      <c r="N183" s="45">
        <f t="shared" si="126"/>
        <v>108130.08332767808</v>
      </c>
      <c r="O183" s="46">
        <f t="shared" si="127"/>
        <v>4649593.5830901572</v>
      </c>
      <c r="P183" s="47">
        <f t="shared" si="128"/>
        <v>170729.81116279069</v>
      </c>
      <c r="Q183" s="42">
        <v>7341381.8799999999</v>
      </c>
      <c r="R183" s="48">
        <f t="shared" si="86"/>
        <v>0.63334037911267971</v>
      </c>
      <c r="S183" s="49"/>
      <c r="T183" s="157">
        <f>IFERROR(VLOOKUP(B183,[1]Todos!$A$2:$C$3021,3,FALSE),0)</f>
        <v>2151.94</v>
      </c>
      <c r="U183" s="112">
        <f t="shared" si="87"/>
        <v>0</v>
      </c>
      <c r="W183" s="157">
        <f>IFERROR(VLOOKUP(B183,[1]Todos!$A$2:$B$3021,2,FALSE),0)</f>
        <v>74286.210000000006</v>
      </c>
      <c r="X183" s="112">
        <f t="shared" si="88"/>
        <v>0</v>
      </c>
    </row>
    <row r="184" spans="1:24" outlineLevel="2" x14ac:dyDescent="0.3">
      <c r="A184" s="40" t="str">
        <f>VLOOKUP(B184,Grupos!$A$2:$B$619,2,FALSE)</f>
        <v>TABLEROS 225 AMP COBRE</v>
      </c>
      <c r="B184" s="41" t="s">
        <v>253</v>
      </c>
      <c r="C184" s="41" t="s">
        <v>254</v>
      </c>
      <c r="D184" s="42">
        <v>15</v>
      </c>
      <c r="E184" s="195">
        <v>75188.23</v>
      </c>
      <c r="F184" s="192">
        <v>6485.47</v>
      </c>
      <c r="G184" s="126">
        <f t="shared" si="119"/>
        <v>81673.7</v>
      </c>
      <c r="H184" s="127">
        <f t="shared" si="120"/>
        <v>1127823.45</v>
      </c>
      <c r="I184" s="128">
        <f t="shared" si="121"/>
        <v>97282.05</v>
      </c>
      <c r="J184" s="128">
        <f t="shared" si="122"/>
        <v>1225105.5</v>
      </c>
      <c r="K184" s="44">
        <f t="shared" si="123"/>
        <v>7.3107324475403176E-4</v>
      </c>
      <c r="L184" s="45">
        <f t="shared" si="124"/>
        <v>20332.836837271359</v>
      </c>
      <c r="M184" s="45">
        <f t="shared" si="125"/>
        <v>38161.959780525474</v>
      </c>
      <c r="N184" s="45">
        <f t="shared" si="126"/>
        <v>140168.49661779683</v>
      </c>
      <c r="O184" s="46">
        <f t="shared" si="127"/>
        <v>2102527.4492669525</v>
      </c>
      <c r="P184" s="47">
        <f t="shared" si="128"/>
        <v>171705.59533333333</v>
      </c>
      <c r="Q184" s="42">
        <v>2575583.9300000002</v>
      </c>
      <c r="R184" s="48">
        <f t="shared" si="86"/>
        <v>0.81633039590635759</v>
      </c>
      <c r="S184" s="49"/>
      <c r="T184" s="157">
        <f>IFERROR(VLOOKUP(B184,[1]Todos!$A$2:$C$3021,3,FALSE),0)</f>
        <v>6485.47</v>
      </c>
      <c r="U184" s="112">
        <f t="shared" si="87"/>
        <v>0</v>
      </c>
      <c r="W184" s="157">
        <f>IFERROR(VLOOKUP(B184,[1]Todos!$A$2:$B$3021,2,FALSE),0)</f>
        <v>75188.23</v>
      </c>
      <c r="X184" s="112">
        <f t="shared" si="88"/>
        <v>0</v>
      </c>
    </row>
    <row r="185" spans="1:24" outlineLevel="2" x14ac:dyDescent="0.3">
      <c r="A185" s="40" t="str">
        <f>VLOOKUP(B185,Grupos!$A$2:$B$619,2,FALSE)</f>
        <v>TABLEROS 225 AMP COBRE</v>
      </c>
      <c r="B185" s="41" t="s">
        <v>255</v>
      </c>
      <c r="C185" s="41" t="s">
        <v>256</v>
      </c>
      <c r="D185" s="42">
        <v>48</v>
      </c>
      <c r="E185" s="195">
        <v>88227.96</v>
      </c>
      <c r="F185" s="192">
        <v>3428.16</v>
      </c>
      <c r="G185" s="126">
        <f t="shared" si="119"/>
        <v>91656.12000000001</v>
      </c>
      <c r="H185" s="127">
        <f t="shared" si="120"/>
        <v>4234942.08</v>
      </c>
      <c r="I185" s="128">
        <f t="shared" si="121"/>
        <v>164551.67999999999</v>
      </c>
      <c r="J185" s="128">
        <f t="shared" si="122"/>
        <v>4399493.7600000007</v>
      </c>
      <c r="K185" s="44">
        <f t="shared" si="123"/>
        <v>2.625367511939434E-3</v>
      </c>
      <c r="L185" s="45">
        <f t="shared" si="124"/>
        <v>22817.980979156873</v>
      </c>
      <c r="M185" s="45">
        <f t="shared" si="125"/>
        <v>20172.062169928504</v>
      </c>
      <c r="N185" s="45">
        <f t="shared" si="126"/>
        <v>134646.16314908539</v>
      </c>
      <c r="O185" s="46">
        <f t="shared" si="127"/>
        <v>6463015.8311560992</v>
      </c>
      <c r="P185" s="47">
        <f t="shared" si="128"/>
        <v>285495.3222916667</v>
      </c>
      <c r="Q185" s="42">
        <v>13703775.470000001</v>
      </c>
      <c r="R185" s="48">
        <f t="shared" si="86"/>
        <v>0.47162300968114879</v>
      </c>
      <c r="S185" s="49"/>
      <c r="T185" s="157">
        <f>IFERROR(VLOOKUP(B185,[1]Todos!$A$2:$C$3021,3,FALSE),0)</f>
        <v>3428.16</v>
      </c>
      <c r="U185" s="112">
        <f t="shared" si="87"/>
        <v>0</v>
      </c>
      <c r="W185" s="157">
        <f>IFERROR(VLOOKUP(B185,[1]Todos!$A$2:$B$3021,2,FALSE),0)</f>
        <v>88227.96</v>
      </c>
      <c r="X185" s="112">
        <f t="shared" si="88"/>
        <v>0</v>
      </c>
    </row>
    <row r="186" spans="1:24" outlineLevel="2" x14ac:dyDescent="0.3">
      <c r="A186" s="40" t="str">
        <f>VLOOKUP(B186,Grupos!$A$2:$B$619,2,FALSE)</f>
        <v>TABLEROS 225 AMP COBRE</v>
      </c>
      <c r="B186" s="41" t="s">
        <v>257</v>
      </c>
      <c r="C186" s="41" t="s">
        <v>258</v>
      </c>
      <c r="D186" s="42">
        <v>84</v>
      </c>
      <c r="E186" s="195">
        <v>89418.63</v>
      </c>
      <c r="F186" s="192">
        <v>7164.73</v>
      </c>
      <c r="G186" s="126">
        <f t="shared" si="119"/>
        <v>96583.360000000001</v>
      </c>
      <c r="H186" s="127">
        <f t="shared" si="120"/>
        <v>7511164.9199999999</v>
      </c>
      <c r="I186" s="128">
        <f t="shared" si="121"/>
        <v>601837.31999999995</v>
      </c>
      <c r="J186" s="128">
        <f t="shared" si="122"/>
        <v>8113002.2400000002</v>
      </c>
      <c r="K186" s="44">
        <f t="shared" si="123"/>
        <v>4.8413780464568387E-3</v>
      </c>
      <c r="L186" s="45">
        <f t="shared" si="124"/>
        <v>24044.627586058199</v>
      </c>
      <c r="M186" s="45">
        <f t="shared" si="125"/>
        <v>42158.877937655139</v>
      </c>
      <c r="N186" s="45">
        <f t="shared" si="126"/>
        <v>162786.86552371335</v>
      </c>
      <c r="O186" s="46">
        <f t="shared" si="127"/>
        <v>13674096.703991922</v>
      </c>
      <c r="P186" s="47">
        <f t="shared" si="128"/>
        <v>275828.96630952385</v>
      </c>
      <c r="Q186" s="42">
        <v>23169633.170000002</v>
      </c>
      <c r="R186" s="48">
        <f t="shared" si="86"/>
        <v>0.590173206613263</v>
      </c>
      <c r="S186" s="49"/>
      <c r="T186" s="157">
        <f>IFERROR(VLOOKUP(B186,[1]Todos!$A$2:$C$3021,3,FALSE),0)</f>
        <v>7164.73</v>
      </c>
      <c r="U186" s="112">
        <f t="shared" si="87"/>
        <v>0</v>
      </c>
      <c r="W186" s="157">
        <f>IFERROR(VLOOKUP(B186,[1]Todos!$A$2:$B$3021,2,FALSE),0)</f>
        <v>89418.63</v>
      </c>
      <c r="X186" s="112">
        <f t="shared" si="88"/>
        <v>0</v>
      </c>
    </row>
    <row r="187" spans="1:24" outlineLevel="2" x14ac:dyDescent="0.3">
      <c r="A187" s="40" t="str">
        <f>VLOOKUP(B187,Grupos!$A$2:$B$619,2,FALSE)</f>
        <v>TABLEROS 225 AMP COBRE</v>
      </c>
      <c r="B187" s="41" t="s">
        <v>259</v>
      </c>
      <c r="C187" s="41" t="s">
        <v>260</v>
      </c>
      <c r="D187" s="42">
        <v>113</v>
      </c>
      <c r="E187" s="195">
        <v>90103.98</v>
      </c>
      <c r="F187" s="192">
        <v>2457.17</v>
      </c>
      <c r="G187" s="126">
        <f t="shared" si="119"/>
        <v>92561.15</v>
      </c>
      <c r="H187" s="127">
        <f t="shared" si="120"/>
        <v>10181749.74</v>
      </c>
      <c r="I187" s="128">
        <f t="shared" si="121"/>
        <v>277660.21000000002</v>
      </c>
      <c r="J187" s="128">
        <f t="shared" si="122"/>
        <v>10459409.949999999</v>
      </c>
      <c r="K187" s="44">
        <f t="shared" si="123"/>
        <v>6.2415806396747915E-3</v>
      </c>
      <c r="L187" s="45">
        <f t="shared" si="124"/>
        <v>23043.290072816588</v>
      </c>
      <c r="M187" s="45">
        <f t="shared" si="125"/>
        <v>14458.539275320645</v>
      </c>
      <c r="N187" s="45">
        <f t="shared" si="126"/>
        <v>130062.97934813722</v>
      </c>
      <c r="O187" s="46">
        <f t="shared" si="127"/>
        <v>14697116.666339505</v>
      </c>
      <c r="P187" s="47">
        <f t="shared" si="128"/>
        <v>217204.03353982299</v>
      </c>
      <c r="Q187" s="42">
        <v>24544055.789999999</v>
      </c>
      <c r="R187" s="48">
        <f t="shared" si="86"/>
        <v>0.59880554347205983</v>
      </c>
      <c r="S187" s="49"/>
      <c r="T187" s="157">
        <f>IFERROR(VLOOKUP(B187,[1]Todos!$A$2:$C$3021,3,FALSE),0)</f>
        <v>2457.17</v>
      </c>
      <c r="U187" s="112">
        <f t="shared" si="87"/>
        <v>0</v>
      </c>
      <c r="W187" s="157">
        <f>IFERROR(VLOOKUP(B187,[1]Todos!$A$2:$B$3021,2,FALSE),0)</f>
        <v>90103.98</v>
      </c>
      <c r="X187" s="112">
        <f t="shared" si="88"/>
        <v>0</v>
      </c>
    </row>
    <row r="188" spans="1:24" outlineLevel="2" x14ac:dyDescent="0.3">
      <c r="A188" s="40" t="str">
        <f>VLOOKUP(B188,Grupos!$A$2:$B$619,2,FALSE)</f>
        <v>TABLEROS 225 AMP COBRE</v>
      </c>
      <c r="B188" s="41" t="s">
        <v>261</v>
      </c>
      <c r="C188" s="41" t="s">
        <v>262</v>
      </c>
      <c r="D188" s="42">
        <v>150</v>
      </c>
      <c r="E188" s="195">
        <v>91072.39</v>
      </c>
      <c r="F188" s="192">
        <v>6673.61</v>
      </c>
      <c r="G188" s="126">
        <f t="shared" si="119"/>
        <v>97746</v>
      </c>
      <c r="H188" s="127">
        <f t="shared" si="120"/>
        <v>13660858.5</v>
      </c>
      <c r="I188" s="128">
        <f t="shared" si="121"/>
        <v>1001041.5</v>
      </c>
      <c r="J188" s="128">
        <f t="shared" si="122"/>
        <v>14661900</v>
      </c>
      <c r="K188" s="44">
        <f t="shared" si="123"/>
        <v>8.7493875484675708E-3</v>
      </c>
      <c r="L188" s="45">
        <f t="shared" si="124"/>
        <v>24334.069222968061</v>
      </c>
      <c r="M188" s="45">
        <f t="shared" si="125"/>
        <v>39269.017729002306</v>
      </c>
      <c r="N188" s="45">
        <f t="shared" si="126"/>
        <v>161349.08695197036</v>
      </c>
      <c r="O188" s="46">
        <f t="shared" si="127"/>
        <v>24202363.042795554</v>
      </c>
      <c r="P188" s="47">
        <f t="shared" si="128"/>
        <v>207228.43953333332</v>
      </c>
      <c r="Q188" s="42">
        <v>31084265.93</v>
      </c>
      <c r="R188" s="48">
        <f t="shared" si="86"/>
        <v>0.77860494107526623</v>
      </c>
      <c r="S188" s="49"/>
      <c r="T188" s="157">
        <f>IFERROR(VLOOKUP(B188,[1]Todos!$A$2:$C$3021,3,FALSE),0)</f>
        <v>6673.61</v>
      </c>
      <c r="U188" s="112">
        <f t="shared" si="87"/>
        <v>0</v>
      </c>
      <c r="W188" s="157">
        <f>IFERROR(VLOOKUP(B188,[1]Todos!$A$2:$B$3021,2,FALSE),0)</f>
        <v>91072.39</v>
      </c>
      <c r="X188" s="112">
        <f t="shared" si="88"/>
        <v>0</v>
      </c>
    </row>
    <row r="189" spans="1:24" outlineLevel="2" x14ac:dyDescent="0.3">
      <c r="A189" s="40" t="str">
        <f>VLOOKUP(B189,Grupos!$A$2:$B$619,2,FALSE)</f>
        <v>TABLEROS 225 AMP COBRE</v>
      </c>
      <c r="B189" s="41" t="s">
        <v>263</v>
      </c>
      <c r="C189" s="41" t="s">
        <v>264</v>
      </c>
      <c r="D189" s="42">
        <v>36</v>
      </c>
      <c r="E189" s="195">
        <v>95392.05</v>
      </c>
      <c r="F189" s="192">
        <v>2988.43</v>
      </c>
      <c r="G189" s="126">
        <f t="shared" si="119"/>
        <v>98380.479999999996</v>
      </c>
      <c r="H189" s="127">
        <f t="shared" si="120"/>
        <v>3434113.8000000003</v>
      </c>
      <c r="I189" s="128">
        <f t="shared" si="121"/>
        <v>107583.48</v>
      </c>
      <c r="J189" s="128">
        <f t="shared" si="122"/>
        <v>3541697.28</v>
      </c>
      <c r="K189" s="44">
        <f t="shared" si="123"/>
        <v>2.1134833876969195E-3</v>
      </c>
      <c r="L189" s="45">
        <f t="shared" si="124"/>
        <v>24492.024333566846</v>
      </c>
      <c r="M189" s="45">
        <f t="shared" si="125"/>
        <v>17584.592244959229</v>
      </c>
      <c r="N189" s="45">
        <f t="shared" si="126"/>
        <v>140457.09657852608</v>
      </c>
      <c r="O189" s="46">
        <f t="shared" si="127"/>
        <v>5056455.4768269388</v>
      </c>
      <c r="P189" s="47">
        <f t="shared" si="128"/>
        <v>326802.81972222222</v>
      </c>
      <c r="Q189" s="42">
        <v>11764901.51</v>
      </c>
      <c r="R189" s="48">
        <f t="shared" si="86"/>
        <v>0.42979156880565667</v>
      </c>
      <c r="S189" s="49"/>
      <c r="T189" s="157">
        <f>IFERROR(VLOOKUP(B189,[1]Todos!$A$2:$C$3021,3,FALSE),0)</f>
        <v>2988.43</v>
      </c>
      <c r="U189" s="112">
        <f t="shared" si="87"/>
        <v>0</v>
      </c>
      <c r="W189" s="157">
        <f>IFERROR(VLOOKUP(B189,[1]Todos!$A$2:$B$3021,2,FALSE),0)</f>
        <v>95392.05</v>
      </c>
      <c r="X189" s="112">
        <f t="shared" si="88"/>
        <v>0</v>
      </c>
    </row>
    <row r="190" spans="1:24" outlineLevel="2" x14ac:dyDescent="0.3">
      <c r="A190" s="40" t="str">
        <f>VLOOKUP(B190,Grupos!$A$2:$B$619,2,FALSE)</f>
        <v>TABLEROS 225 AMP COBRE</v>
      </c>
      <c r="B190" s="41" t="s">
        <v>265</v>
      </c>
      <c r="C190" s="41" t="s">
        <v>266</v>
      </c>
      <c r="D190" s="42">
        <v>77</v>
      </c>
      <c r="E190" s="195">
        <v>96649.13</v>
      </c>
      <c r="F190" s="192">
        <v>7390.11</v>
      </c>
      <c r="G190" s="126">
        <f t="shared" si="119"/>
        <v>104039.24</v>
      </c>
      <c r="H190" s="127">
        <f t="shared" si="120"/>
        <v>7441983.0100000007</v>
      </c>
      <c r="I190" s="128">
        <f t="shared" si="121"/>
        <v>569038.47</v>
      </c>
      <c r="J190" s="128">
        <f t="shared" si="122"/>
        <v>8011021.4800000004</v>
      </c>
      <c r="K190" s="44">
        <f t="shared" si="123"/>
        <v>4.7805217323551698E-3</v>
      </c>
      <c r="L190" s="45">
        <f t="shared" si="124"/>
        <v>25900.784360127145</v>
      </c>
      <c r="M190" s="45">
        <f t="shared" si="125"/>
        <v>43485.064396822294</v>
      </c>
      <c r="N190" s="45">
        <f t="shared" si="126"/>
        <v>173425.08875694944</v>
      </c>
      <c r="O190" s="46">
        <f t="shared" si="127"/>
        <v>13353731.834285107</v>
      </c>
      <c r="P190" s="47">
        <f t="shared" si="128"/>
        <v>316418.48038961034</v>
      </c>
      <c r="Q190" s="42">
        <v>24364222.989999998</v>
      </c>
      <c r="R190" s="48">
        <f t="shared" si="86"/>
        <v>0.54808773666888477</v>
      </c>
      <c r="S190" s="49"/>
      <c r="T190" s="157">
        <f>IFERROR(VLOOKUP(B190,[1]Todos!$A$2:$C$3021,3,FALSE),0)</f>
        <v>7390.11</v>
      </c>
      <c r="U190" s="112">
        <f t="shared" si="87"/>
        <v>0</v>
      </c>
      <c r="W190" s="157">
        <f>IFERROR(VLOOKUP(B190,[1]Todos!$A$2:$B$3021,2,FALSE),0)</f>
        <v>96649.13</v>
      </c>
      <c r="X190" s="112">
        <f t="shared" si="88"/>
        <v>0</v>
      </c>
    </row>
    <row r="191" spans="1:24" outlineLevel="2" x14ac:dyDescent="0.3">
      <c r="A191" s="40" t="str">
        <f>VLOOKUP(B191,Grupos!$A$2:$B$619,2,FALSE)</f>
        <v>TABLEROS 225 AMP COBRE</v>
      </c>
      <c r="B191" s="41" t="s">
        <v>267</v>
      </c>
      <c r="C191" s="41" t="s">
        <v>268</v>
      </c>
      <c r="D191" s="42">
        <v>9</v>
      </c>
      <c r="E191" s="195">
        <v>123613.93</v>
      </c>
      <c r="F191" s="192">
        <v>2726.25</v>
      </c>
      <c r="G191" s="126">
        <f t="shared" si="119"/>
        <v>126340.18</v>
      </c>
      <c r="H191" s="127">
        <f t="shared" si="120"/>
        <v>1112525.3699999999</v>
      </c>
      <c r="I191" s="128">
        <f t="shared" si="121"/>
        <v>24536.25</v>
      </c>
      <c r="J191" s="128">
        <f t="shared" si="122"/>
        <v>1137061.6199999999</v>
      </c>
      <c r="K191" s="44">
        <f t="shared" si="123"/>
        <v>6.7853366752387921E-4</v>
      </c>
      <c r="L191" s="45">
        <f t="shared" si="124"/>
        <v>31452.649579136181</v>
      </c>
      <c r="M191" s="45">
        <f t="shared" si="125"/>
        <v>16041.866333767264</v>
      </c>
      <c r="N191" s="45">
        <f t="shared" si="126"/>
        <v>173834.69591290344</v>
      </c>
      <c r="O191" s="46">
        <f t="shared" si="127"/>
        <v>1564512.2632161309</v>
      </c>
      <c r="P191" s="47">
        <f t="shared" si="128"/>
        <v>403626.06444444443</v>
      </c>
      <c r="Q191" s="42">
        <v>3632634.58</v>
      </c>
      <c r="R191" s="48">
        <f t="shared" si="86"/>
        <v>0.4306825332307801</v>
      </c>
      <c r="S191" s="49"/>
      <c r="T191" s="157">
        <f>IFERROR(VLOOKUP(B191,[1]Todos!$A$2:$C$3021,3,FALSE),0)</f>
        <v>2726.25</v>
      </c>
      <c r="U191" s="112">
        <f t="shared" si="87"/>
        <v>0</v>
      </c>
      <c r="W191" s="157">
        <f>IFERROR(VLOOKUP(B191,[1]Todos!$A$2:$B$3021,2,FALSE),0)</f>
        <v>123613.93</v>
      </c>
      <c r="X191" s="112">
        <f t="shared" si="88"/>
        <v>0</v>
      </c>
    </row>
    <row r="192" spans="1:24" outlineLevel="2" x14ac:dyDescent="0.3">
      <c r="A192" s="40" t="str">
        <f>VLOOKUP(B192,Grupos!$A$2:$B$619,2,FALSE)</f>
        <v>TABLEROS 225 AMP COBRE</v>
      </c>
      <c r="B192" s="41" t="s">
        <v>269</v>
      </c>
      <c r="C192" s="41" t="s">
        <v>270</v>
      </c>
      <c r="D192" s="42">
        <v>11</v>
      </c>
      <c r="E192" s="195">
        <v>124936.02</v>
      </c>
      <c r="F192" s="192">
        <v>6937.78</v>
      </c>
      <c r="G192" s="126">
        <f t="shared" si="119"/>
        <v>131873.80000000002</v>
      </c>
      <c r="H192" s="127">
        <f t="shared" si="120"/>
        <v>1374296.22</v>
      </c>
      <c r="I192" s="128">
        <f t="shared" si="121"/>
        <v>76315.58</v>
      </c>
      <c r="J192" s="128">
        <f t="shared" si="122"/>
        <v>1450611.8000000003</v>
      </c>
      <c r="K192" s="44">
        <f t="shared" si="123"/>
        <v>8.6564257160259817E-4</v>
      </c>
      <c r="L192" s="45">
        <f t="shared" si="124"/>
        <v>32830.255743415037</v>
      </c>
      <c r="M192" s="45">
        <f t="shared" si="125"/>
        <v>40823.453246431491</v>
      </c>
      <c r="N192" s="45">
        <f t="shared" si="126"/>
        <v>205527.50898984654</v>
      </c>
      <c r="O192" s="46">
        <f t="shared" si="127"/>
        <v>2260802.598888312</v>
      </c>
      <c r="P192" s="47">
        <f t="shared" si="128"/>
        <v>372598.63181818184</v>
      </c>
      <c r="Q192" s="42">
        <v>4098584.95</v>
      </c>
      <c r="R192" s="48">
        <f t="shared" si="86"/>
        <v>0.55160564596527684</v>
      </c>
      <c r="S192" s="49"/>
      <c r="T192" s="157">
        <f>IFERROR(VLOOKUP(B192,[1]Todos!$A$2:$C$3021,3,FALSE),0)</f>
        <v>6937.78</v>
      </c>
      <c r="U192" s="112">
        <f t="shared" si="87"/>
        <v>0</v>
      </c>
      <c r="W192" s="157">
        <f>IFERROR(VLOOKUP(B192,[1]Todos!$A$2:$B$3021,2,FALSE),0)</f>
        <v>124936.02</v>
      </c>
      <c r="X192" s="112">
        <f t="shared" si="88"/>
        <v>0</v>
      </c>
    </row>
    <row r="193" spans="1:24" outlineLevel="2" x14ac:dyDescent="0.3">
      <c r="A193" s="40" t="str">
        <f>VLOOKUP(B193,Grupos!$A$2:$B$619,2,FALSE)</f>
        <v>TABLEROS 225 AMP COBRE</v>
      </c>
      <c r="B193" s="41" t="s">
        <v>271</v>
      </c>
      <c r="C193" s="41" t="s">
        <v>272</v>
      </c>
      <c r="D193" s="42">
        <v>44</v>
      </c>
      <c r="E193" s="195">
        <v>124679.23</v>
      </c>
      <c r="F193" s="192">
        <v>3578.98</v>
      </c>
      <c r="G193" s="126">
        <f t="shared" si="119"/>
        <v>128258.20999999999</v>
      </c>
      <c r="H193" s="127">
        <f t="shared" si="120"/>
        <v>5485886.1200000001</v>
      </c>
      <c r="I193" s="128">
        <f t="shared" si="121"/>
        <v>157475.12</v>
      </c>
      <c r="J193" s="128">
        <f t="shared" si="122"/>
        <v>5643361.2399999993</v>
      </c>
      <c r="K193" s="44">
        <f t="shared" si="123"/>
        <v>3.3676368386607813E-3</v>
      </c>
      <c r="L193" s="45">
        <f t="shared" si="124"/>
        <v>31930.147121662005</v>
      </c>
      <c r="M193" s="45">
        <f t="shared" si="125"/>
        <v>21059.520869775832</v>
      </c>
      <c r="N193" s="45">
        <f t="shared" si="126"/>
        <v>181247.87799143782</v>
      </c>
      <c r="O193" s="46">
        <f t="shared" si="127"/>
        <v>7974906.6316232644</v>
      </c>
      <c r="P193" s="47">
        <f t="shared" si="128"/>
        <v>294483.52863636363</v>
      </c>
      <c r="Q193" s="42">
        <v>12957275.26</v>
      </c>
      <c r="R193" s="48">
        <f t="shared" si="86"/>
        <v>0.61547713323975994</v>
      </c>
      <c r="S193" s="49"/>
      <c r="T193" s="157">
        <f>IFERROR(VLOOKUP(B193,[1]Todos!$A$2:$C$3021,3,FALSE),0)</f>
        <v>3578.98</v>
      </c>
      <c r="U193" s="112">
        <f t="shared" si="87"/>
        <v>0</v>
      </c>
      <c r="W193" s="157">
        <f>IFERROR(VLOOKUP(B193,[1]Todos!$A$2:$B$3021,2,FALSE),0)</f>
        <v>124679.23</v>
      </c>
      <c r="X193" s="112">
        <f t="shared" si="88"/>
        <v>0</v>
      </c>
    </row>
    <row r="194" spans="1:24" outlineLevel="2" x14ac:dyDescent="0.3">
      <c r="A194" s="40" t="str">
        <f>VLOOKUP(B194,Grupos!$A$2:$B$619,2,FALSE)</f>
        <v>TABLEROS 225 AMP COBRE</v>
      </c>
      <c r="B194" s="41" t="s">
        <v>273</v>
      </c>
      <c r="C194" s="41" t="s">
        <v>274</v>
      </c>
      <c r="D194" s="42">
        <v>30</v>
      </c>
      <c r="E194" s="195">
        <v>125800.77</v>
      </c>
      <c r="F194" s="192">
        <v>7605.78</v>
      </c>
      <c r="G194" s="126">
        <f t="shared" si="119"/>
        <v>133406.55000000002</v>
      </c>
      <c r="H194" s="127">
        <f t="shared" si="120"/>
        <v>3774023.1</v>
      </c>
      <c r="I194" s="128">
        <f t="shared" si="121"/>
        <v>228173.4</v>
      </c>
      <c r="J194" s="128">
        <f t="shared" si="122"/>
        <v>4002196.5000000005</v>
      </c>
      <c r="K194" s="44">
        <f t="shared" si="123"/>
        <v>2.3882831163505752E-3</v>
      </c>
      <c r="L194" s="45">
        <f t="shared" si="124"/>
        <v>33211.837031667281</v>
      </c>
      <c r="M194" s="45">
        <f t="shared" si="125"/>
        <v>44754.115038620956</v>
      </c>
      <c r="N194" s="45">
        <f t="shared" si="126"/>
        <v>211372.50207028823</v>
      </c>
      <c r="O194" s="46">
        <f t="shared" si="127"/>
        <v>6341175.0621086471</v>
      </c>
      <c r="P194" s="47">
        <f t="shared" si="128"/>
        <v>306900.11466666666</v>
      </c>
      <c r="Q194" s="42">
        <v>9207003.4399999995</v>
      </c>
      <c r="R194" s="48">
        <f t="shared" si="86"/>
        <v>0.68873386476204546</v>
      </c>
      <c r="S194" s="49"/>
      <c r="T194" s="157">
        <f>IFERROR(VLOOKUP(B194,[1]Todos!$A$2:$C$3021,3,FALSE),0)</f>
        <v>7605.78</v>
      </c>
      <c r="U194" s="112">
        <f t="shared" si="87"/>
        <v>0</v>
      </c>
      <c r="W194" s="157">
        <f>IFERROR(VLOOKUP(B194,[1]Todos!$A$2:$B$3021,2,FALSE),0)</f>
        <v>125800.77</v>
      </c>
      <c r="X194" s="112">
        <f t="shared" si="88"/>
        <v>0</v>
      </c>
    </row>
    <row r="195" spans="1:24" outlineLevel="2" x14ac:dyDescent="0.3">
      <c r="A195" s="40" t="str">
        <f>VLOOKUP(B195,Grupos!$A$2:$B$619,2,FALSE)</f>
        <v>TABLEROS 225 AMP COBRE</v>
      </c>
      <c r="B195" s="41" t="s">
        <v>275</v>
      </c>
      <c r="C195" s="41" t="s">
        <v>276</v>
      </c>
      <c r="D195" s="42">
        <v>31</v>
      </c>
      <c r="E195" s="195">
        <v>139324.10999999999</v>
      </c>
      <c r="F195" s="192">
        <v>4163.6099999999997</v>
      </c>
      <c r="G195" s="126">
        <f t="shared" si="119"/>
        <v>143487.71999999997</v>
      </c>
      <c r="H195" s="127">
        <f t="shared" si="120"/>
        <v>4319047.4099999992</v>
      </c>
      <c r="I195" s="128">
        <f t="shared" si="121"/>
        <v>129071.90999999999</v>
      </c>
      <c r="J195" s="128">
        <f t="shared" si="122"/>
        <v>4448119.3199999994</v>
      </c>
      <c r="K195" s="44">
        <f t="shared" si="123"/>
        <v>2.6543844789901744E-3</v>
      </c>
      <c r="L195" s="45">
        <f t="shared" si="124"/>
        <v>35721.565190655965</v>
      </c>
      <c r="M195" s="45">
        <f t="shared" si="125"/>
        <v>24499.614887092786</v>
      </c>
      <c r="N195" s="45">
        <f t="shared" si="126"/>
        <v>203708.90007774872</v>
      </c>
      <c r="O195" s="46">
        <f t="shared" si="127"/>
        <v>6314975.9024102101</v>
      </c>
      <c r="P195" s="47">
        <f t="shared" si="128"/>
        <v>410282.65935483872</v>
      </c>
      <c r="Q195" s="42">
        <v>12718762.439999999</v>
      </c>
      <c r="R195" s="48">
        <f t="shared" si="86"/>
        <v>0.49650867623329953</v>
      </c>
      <c r="S195" s="49"/>
      <c r="T195" s="157">
        <f>IFERROR(VLOOKUP(B195,[1]Todos!$A$2:$C$3021,3,FALSE),0)</f>
        <v>4163.6099999999997</v>
      </c>
      <c r="U195" s="112">
        <f t="shared" si="87"/>
        <v>0</v>
      </c>
      <c r="W195" s="157">
        <f>IFERROR(VLOOKUP(B195,[1]Todos!$A$2:$B$3021,2,FALSE),0)</f>
        <v>139324.10999999999</v>
      </c>
      <c r="X195" s="112">
        <f t="shared" si="88"/>
        <v>0</v>
      </c>
    </row>
    <row r="196" spans="1:24" outlineLevel="2" x14ac:dyDescent="0.3">
      <c r="A196" s="40" t="str">
        <f>VLOOKUP(B196,Grupos!$A$2:$B$619,2,FALSE)</f>
        <v>TABLEROS 225 AMP COBRE</v>
      </c>
      <c r="B196" s="41" t="s">
        <v>277</v>
      </c>
      <c r="C196" s="41" t="s">
        <v>278</v>
      </c>
      <c r="D196" s="42">
        <v>22</v>
      </c>
      <c r="E196" s="195">
        <v>140712.60999999999</v>
      </c>
      <c r="F196" s="192">
        <v>8455.7000000000007</v>
      </c>
      <c r="G196" s="126">
        <f t="shared" si="119"/>
        <v>149168.31</v>
      </c>
      <c r="H196" s="127">
        <f t="shared" si="120"/>
        <v>3095677.42</v>
      </c>
      <c r="I196" s="128">
        <f t="shared" si="121"/>
        <v>186025.40000000002</v>
      </c>
      <c r="J196" s="128">
        <f t="shared" si="122"/>
        <v>3281702.82</v>
      </c>
      <c r="K196" s="44">
        <f t="shared" si="123"/>
        <v>1.9583334895940442E-3</v>
      </c>
      <c r="L196" s="45">
        <f t="shared" si="124"/>
        <v>37135.759840946521</v>
      </c>
      <c r="M196" s="45">
        <f t="shared" si="125"/>
        <v>49755.234904515673</v>
      </c>
      <c r="N196" s="45">
        <f t="shared" si="126"/>
        <v>236059.3047454622</v>
      </c>
      <c r="O196" s="46">
        <f t="shared" si="127"/>
        <v>5193304.7044001687</v>
      </c>
      <c r="P196" s="47">
        <f t="shared" si="128"/>
        <v>406941.8163636364</v>
      </c>
      <c r="Q196" s="42">
        <v>8952719.9600000009</v>
      </c>
      <c r="R196" s="48">
        <f t="shared" si="86"/>
        <v>0.58008121862444229</v>
      </c>
      <c r="S196" s="49"/>
      <c r="T196" s="157">
        <f>IFERROR(VLOOKUP(B196,[1]Todos!$A$2:$C$3021,3,FALSE),0)</f>
        <v>8455.7000000000007</v>
      </c>
      <c r="U196" s="112">
        <f t="shared" si="87"/>
        <v>0</v>
      </c>
      <c r="W196" s="157">
        <f>IFERROR(VLOOKUP(B196,[1]Todos!$A$2:$B$3021,2,FALSE),0)</f>
        <v>140712.60999999999</v>
      </c>
      <c r="X196" s="112">
        <f t="shared" si="88"/>
        <v>0</v>
      </c>
    </row>
    <row r="197" spans="1:24" outlineLevel="2" x14ac:dyDescent="0.3">
      <c r="A197" s="40" t="str">
        <f>VLOOKUP(B197,Grupos!$A$2:$B$619,2,FALSE)</f>
        <v>TABLEROS 225 AMP COBRE</v>
      </c>
      <c r="B197" s="41" t="s">
        <v>279</v>
      </c>
      <c r="C197" s="41" t="s">
        <v>280</v>
      </c>
      <c r="D197" s="42">
        <v>42</v>
      </c>
      <c r="E197" s="195">
        <v>40485.870000000003</v>
      </c>
      <c r="F197" s="192">
        <v>2069.3000000000002</v>
      </c>
      <c r="G197" s="126">
        <f t="shared" si="119"/>
        <v>42555.170000000006</v>
      </c>
      <c r="H197" s="127">
        <f t="shared" si="120"/>
        <v>1700406.54</v>
      </c>
      <c r="I197" s="128">
        <f t="shared" si="121"/>
        <v>86910.6</v>
      </c>
      <c r="J197" s="128">
        <f t="shared" si="122"/>
        <v>1787317.1400000001</v>
      </c>
      <c r="K197" s="44">
        <f t="shared" si="123"/>
        <v>1.0665691574679047E-3</v>
      </c>
      <c r="L197" s="45">
        <f t="shared" si="124"/>
        <v>10594.197742876167</v>
      </c>
      <c r="M197" s="45">
        <f t="shared" si="125"/>
        <v>12176.225219427639</v>
      </c>
      <c r="N197" s="45">
        <f t="shared" si="126"/>
        <v>65325.59296230381</v>
      </c>
      <c r="O197" s="46">
        <f t="shared" si="127"/>
        <v>2743674.90441676</v>
      </c>
      <c r="P197" s="47">
        <f t="shared" si="128"/>
        <v>100200.85380952382</v>
      </c>
      <c r="Q197" s="42">
        <v>4208435.8600000003</v>
      </c>
      <c r="R197" s="48">
        <f t="shared" ref="R197:R260" si="129">O197/Q197</f>
        <v>0.65194647030138175</v>
      </c>
      <c r="S197" s="49"/>
      <c r="T197" s="157">
        <f>IFERROR(VLOOKUP(B197,[1]Todos!$A$2:$C$3021,3,FALSE),0)</f>
        <v>2069.3000000000002</v>
      </c>
      <c r="U197" s="112">
        <f t="shared" si="87"/>
        <v>0</v>
      </c>
      <c r="W197" s="157">
        <f>IFERROR(VLOOKUP(B197,[1]Todos!$A$2:$B$3021,2,FALSE),0)</f>
        <v>40485.870000000003</v>
      </c>
      <c r="X197" s="112">
        <f t="shared" si="88"/>
        <v>0</v>
      </c>
    </row>
    <row r="198" spans="1:24" outlineLevel="2" x14ac:dyDescent="0.3">
      <c r="A198" s="40" t="str">
        <f>VLOOKUP(B198,Grupos!$A$2:$B$619,2,FALSE)</f>
        <v>TABLEROS 225 AMP COBRE</v>
      </c>
      <c r="B198" s="41" t="s">
        <v>281</v>
      </c>
      <c r="C198" s="41" t="s">
        <v>282</v>
      </c>
      <c r="D198" s="42">
        <v>32</v>
      </c>
      <c r="E198" s="195">
        <v>41191.58</v>
      </c>
      <c r="F198" s="192">
        <v>1977.41</v>
      </c>
      <c r="G198" s="126">
        <f t="shared" si="119"/>
        <v>43168.990000000005</v>
      </c>
      <c r="H198" s="127">
        <f t="shared" si="120"/>
        <v>1318130.56</v>
      </c>
      <c r="I198" s="128">
        <f t="shared" si="121"/>
        <v>63277.120000000003</v>
      </c>
      <c r="J198" s="128">
        <f t="shared" si="122"/>
        <v>1381407.6800000002</v>
      </c>
      <c r="K198" s="44">
        <f t="shared" si="123"/>
        <v>8.2434549101749954E-4</v>
      </c>
      <c r="L198" s="45">
        <f t="shared" si="124"/>
        <v>10747.009503668856</v>
      </c>
      <c r="M198" s="45">
        <f t="shared" si="125"/>
        <v>11635.523854031995</v>
      </c>
      <c r="N198" s="45">
        <f t="shared" si="126"/>
        <v>65551.523357700862</v>
      </c>
      <c r="O198" s="46">
        <f t="shared" si="127"/>
        <v>2097648.7474464276</v>
      </c>
      <c r="P198" s="47">
        <f t="shared" si="128"/>
        <v>100519.878125</v>
      </c>
      <c r="Q198" s="42">
        <v>3216636.1</v>
      </c>
      <c r="R198" s="48">
        <f t="shared" si="129"/>
        <v>0.65212497846630135</v>
      </c>
      <c r="S198" s="49"/>
      <c r="T198" s="157">
        <f>IFERROR(VLOOKUP(B198,[1]Todos!$A$2:$C$3021,3,FALSE),0)</f>
        <v>1977.41</v>
      </c>
      <c r="U198" s="112">
        <f t="shared" ref="U198:U261" si="130">T198-F198</f>
        <v>0</v>
      </c>
      <c r="W198" s="157">
        <f>IFERROR(VLOOKUP(B198,[1]Todos!$A$2:$B$3021,2,FALSE),0)</f>
        <v>41191.58</v>
      </c>
      <c r="X198" s="112">
        <f t="shared" ref="X198:X261" si="131">W198-E198</f>
        <v>0</v>
      </c>
    </row>
    <row r="199" spans="1:24" outlineLevel="2" x14ac:dyDescent="0.3">
      <c r="A199" s="40" t="str">
        <f>VLOOKUP(B199,Grupos!$A$2:$B$619,2,FALSE)</f>
        <v>TABLEROS 225 AMP COBRE</v>
      </c>
      <c r="B199" s="41" t="s">
        <v>283</v>
      </c>
      <c r="C199" s="41" t="s">
        <v>284</v>
      </c>
      <c r="D199" s="42">
        <v>216</v>
      </c>
      <c r="E199" s="195">
        <v>61935.58</v>
      </c>
      <c r="F199" s="192">
        <v>2093.4899999999998</v>
      </c>
      <c r="G199" s="126">
        <f t="shared" si="119"/>
        <v>64029.07</v>
      </c>
      <c r="H199" s="127">
        <f t="shared" si="120"/>
        <v>13378085.280000001</v>
      </c>
      <c r="I199" s="128">
        <f t="shared" si="121"/>
        <v>452193.83999999997</v>
      </c>
      <c r="J199" s="128">
        <f t="shared" si="122"/>
        <v>13830279.119999999</v>
      </c>
      <c r="K199" s="44">
        <f t="shared" si="123"/>
        <v>8.2531235327180669E-3</v>
      </c>
      <c r="L199" s="45">
        <f t="shared" si="124"/>
        <v>15940.169640315384</v>
      </c>
      <c r="M199" s="45">
        <f t="shared" si="125"/>
        <v>12318.564603788511</v>
      </c>
      <c r="N199" s="45">
        <f t="shared" si="126"/>
        <v>92287.8042441039</v>
      </c>
      <c r="O199" s="46">
        <f t="shared" si="127"/>
        <v>19934165.716726441</v>
      </c>
      <c r="P199" s="47">
        <f t="shared" si="128"/>
        <v>142463.25115740742</v>
      </c>
      <c r="Q199" s="42">
        <v>30772062.25</v>
      </c>
      <c r="R199" s="48">
        <f t="shared" si="129"/>
        <v>0.64780077314208739</v>
      </c>
      <c r="S199" s="49"/>
      <c r="T199" s="157">
        <f>IFERROR(VLOOKUP(B199,[1]Todos!$A$2:$C$3021,3,FALSE),0)</f>
        <v>2093.4899999999998</v>
      </c>
      <c r="U199" s="112">
        <f t="shared" si="130"/>
        <v>0</v>
      </c>
      <c r="W199" s="157">
        <f>IFERROR(VLOOKUP(B199,[1]Todos!$A$2:$B$3021,2,FALSE),0)</f>
        <v>61935.58</v>
      </c>
      <c r="X199" s="112">
        <f t="shared" si="131"/>
        <v>0</v>
      </c>
    </row>
    <row r="200" spans="1:24" outlineLevel="2" x14ac:dyDescent="0.3">
      <c r="A200" s="40" t="str">
        <f>VLOOKUP(B200,Grupos!$A$2:$B$619,2,FALSE)</f>
        <v>TABLEROS 225 AMP COBRE</v>
      </c>
      <c r="B200" s="41" t="s">
        <v>285</v>
      </c>
      <c r="C200" s="41" t="s">
        <v>286</v>
      </c>
      <c r="D200" s="42">
        <v>164</v>
      </c>
      <c r="E200" s="195">
        <v>62772.55</v>
      </c>
      <c r="F200" s="192">
        <v>6390.55</v>
      </c>
      <c r="G200" s="126">
        <f t="shared" si="119"/>
        <v>69163.100000000006</v>
      </c>
      <c r="H200" s="127">
        <f t="shared" si="120"/>
        <v>10294698.200000001</v>
      </c>
      <c r="I200" s="128">
        <f t="shared" si="121"/>
        <v>1048050.2000000001</v>
      </c>
      <c r="J200" s="128">
        <f t="shared" si="122"/>
        <v>11342748.4</v>
      </c>
      <c r="K200" s="44">
        <f t="shared" si="123"/>
        <v>6.7687067580845918E-3</v>
      </c>
      <c r="L200" s="45">
        <f t="shared" si="124"/>
        <v>17218.297046171327</v>
      </c>
      <c r="M200" s="45">
        <f t="shared" si="125"/>
        <v>37603.429215683223</v>
      </c>
      <c r="N200" s="45">
        <f t="shared" si="126"/>
        <v>123984.82626185456</v>
      </c>
      <c r="O200" s="46">
        <f t="shared" si="127"/>
        <v>20333511.506944146</v>
      </c>
      <c r="P200" s="47">
        <f t="shared" si="128"/>
        <v>138812.92024390245</v>
      </c>
      <c r="Q200" s="42">
        <v>22765318.920000002</v>
      </c>
      <c r="R200" s="48">
        <f t="shared" si="129"/>
        <v>0.89317929515498939</v>
      </c>
      <c r="S200" s="49"/>
      <c r="T200" s="157">
        <f>IFERROR(VLOOKUP(B200,[1]Todos!$A$2:$C$3021,3,FALSE),0)</f>
        <v>6390.55</v>
      </c>
      <c r="U200" s="112">
        <f t="shared" si="130"/>
        <v>0</v>
      </c>
      <c r="W200" s="157">
        <f>IFERROR(VLOOKUP(B200,[1]Todos!$A$2:$B$3021,2,FALSE),0)</f>
        <v>62772.55</v>
      </c>
      <c r="X200" s="112">
        <f t="shared" si="131"/>
        <v>0</v>
      </c>
    </row>
    <row r="201" spans="1:24" outlineLevel="2" x14ac:dyDescent="0.3">
      <c r="A201" s="40" t="str">
        <f>VLOOKUP(B201,Grupos!$A$2:$B$619,2,FALSE)</f>
        <v>TABLEROS 225 AMP COBRE</v>
      </c>
      <c r="B201" s="41" t="s">
        <v>287</v>
      </c>
      <c r="C201" s="41" t="s">
        <v>288</v>
      </c>
      <c r="D201" s="42">
        <v>140</v>
      </c>
      <c r="E201" s="195">
        <v>75607.27</v>
      </c>
      <c r="F201" s="192">
        <v>2765.52</v>
      </c>
      <c r="G201" s="126">
        <f t="shared" si="119"/>
        <v>78372.790000000008</v>
      </c>
      <c r="H201" s="127">
        <f t="shared" si="120"/>
        <v>10585017.800000001</v>
      </c>
      <c r="I201" s="128">
        <f t="shared" si="121"/>
        <v>387172.8</v>
      </c>
      <c r="J201" s="128">
        <f t="shared" si="122"/>
        <v>10972190.600000001</v>
      </c>
      <c r="K201" s="44">
        <f t="shared" si="123"/>
        <v>6.5475789505489018E-3</v>
      </c>
      <c r="L201" s="45">
        <f t="shared" si="124"/>
        <v>19511.068453513588</v>
      </c>
      <c r="M201" s="45">
        <f t="shared" si="125"/>
        <v>16272.939819664391</v>
      </c>
      <c r="N201" s="45">
        <f t="shared" si="126"/>
        <v>114156.79827317798</v>
      </c>
      <c r="O201" s="46">
        <f t="shared" si="127"/>
        <v>15981951.758244917</v>
      </c>
      <c r="P201" s="47">
        <f t="shared" si="128"/>
        <v>238694.55628571426</v>
      </c>
      <c r="Q201" s="42">
        <v>33417237.879999999</v>
      </c>
      <c r="R201" s="48">
        <f t="shared" si="129"/>
        <v>0.47825472038220168</v>
      </c>
      <c r="S201" s="49"/>
      <c r="T201" s="157">
        <f>IFERROR(VLOOKUP(B201,[1]Todos!$A$2:$C$3021,3,FALSE),0)</f>
        <v>2765.52</v>
      </c>
      <c r="U201" s="112">
        <f t="shared" si="130"/>
        <v>0</v>
      </c>
      <c r="W201" s="157">
        <f>IFERROR(VLOOKUP(B201,[1]Todos!$A$2:$B$3021,2,FALSE),0)</f>
        <v>75607.27</v>
      </c>
      <c r="X201" s="112">
        <f t="shared" si="131"/>
        <v>0</v>
      </c>
    </row>
    <row r="202" spans="1:24" outlineLevel="2" x14ac:dyDescent="0.3">
      <c r="A202" s="40" t="str">
        <f>VLOOKUP(B202,Grupos!$A$2:$B$619,2,FALSE)</f>
        <v>TABLEROS 225 AMP COBRE</v>
      </c>
      <c r="B202" s="41" t="s">
        <v>289</v>
      </c>
      <c r="C202" s="41" t="s">
        <v>290</v>
      </c>
      <c r="D202" s="42">
        <v>112</v>
      </c>
      <c r="E202" s="195">
        <v>76731.53</v>
      </c>
      <c r="F202" s="192">
        <v>6731.65</v>
      </c>
      <c r="G202" s="126">
        <f t="shared" si="119"/>
        <v>83463.179999999993</v>
      </c>
      <c r="H202" s="127">
        <f t="shared" si="120"/>
        <v>8593931.3599999994</v>
      </c>
      <c r="I202" s="128">
        <f t="shared" si="121"/>
        <v>753944.79999999993</v>
      </c>
      <c r="J202" s="128">
        <f t="shared" si="122"/>
        <v>9347876.1600000001</v>
      </c>
      <c r="K202" s="44">
        <f t="shared" si="123"/>
        <v>5.5782805283708702E-3</v>
      </c>
      <c r="L202" s="45">
        <f t="shared" si="124"/>
        <v>20778.33159095046</v>
      </c>
      <c r="M202" s="45">
        <f t="shared" si="125"/>
        <v>39610.538103880564</v>
      </c>
      <c r="N202" s="45">
        <f t="shared" si="126"/>
        <v>143852.04969483102</v>
      </c>
      <c r="O202" s="46">
        <f t="shared" si="127"/>
        <v>16111429.565821074</v>
      </c>
      <c r="P202" s="47">
        <f t="shared" si="128"/>
        <v>227162.63866071429</v>
      </c>
      <c r="Q202" s="42">
        <v>25442215.530000001</v>
      </c>
      <c r="R202" s="48">
        <f t="shared" si="129"/>
        <v>0.63325576134764683</v>
      </c>
      <c r="S202" s="49"/>
      <c r="T202" s="157">
        <f>IFERROR(VLOOKUP(B202,[1]Todos!$A$2:$C$3021,3,FALSE),0)</f>
        <v>6731.65</v>
      </c>
      <c r="U202" s="112">
        <f t="shared" si="130"/>
        <v>0</v>
      </c>
      <c r="W202" s="157">
        <f>IFERROR(VLOOKUP(B202,[1]Todos!$A$2:$B$3021,2,FALSE),0)</f>
        <v>76731.53</v>
      </c>
      <c r="X202" s="112">
        <f t="shared" si="131"/>
        <v>0</v>
      </c>
    </row>
    <row r="203" spans="1:24" outlineLevel="2" x14ac:dyDescent="0.3">
      <c r="A203" s="40" t="str">
        <f>VLOOKUP(B203,Grupos!$A$2:$B$619,2,FALSE)</f>
        <v>TABLEROS 225 AMP COBRE</v>
      </c>
      <c r="B203" s="41" t="s">
        <v>291</v>
      </c>
      <c r="C203" s="41" t="s">
        <v>292</v>
      </c>
      <c r="D203" s="42">
        <v>99</v>
      </c>
      <c r="E203" s="195">
        <v>80539.5</v>
      </c>
      <c r="F203" s="192">
        <v>2445.36</v>
      </c>
      <c r="G203" s="126">
        <f t="shared" si="119"/>
        <v>82984.86</v>
      </c>
      <c r="H203" s="127">
        <f t="shared" si="120"/>
        <v>7973410.5</v>
      </c>
      <c r="I203" s="128">
        <f t="shared" si="121"/>
        <v>242090.64</v>
      </c>
      <c r="J203" s="128">
        <f t="shared" si="122"/>
        <v>8215501.1399999997</v>
      </c>
      <c r="K203" s="44">
        <f t="shared" si="123"/>
        <v>4.9025435570244739E-3</v>
      </c>
      <c r="L203" s="45">
        <f t="shared" si="124"/>
        <v>20659.252835904419</v>
      </c>
      <c r="M203" s="45">
        <f t="shared" si="125"/>
        <v>14389.046587048553</v>
      </c>
      <c r="N203" s="45">
        <f t="shared" si="126"/>
        <v>118033.15942295297</v>
      </c>
      <c r="O203" s="46">
        <f t="shared" si="127"/>
        <v>11685282.782872343</v>
      </c>
      <c r="P203" s="47">
        <f t="shared" si="128"/>
        <v>181055.99676767676</v>
      </c>
      <c r="Q203" s="42">
        <v>17924543.68</v>
      </c>
      <c r="R203" s="48">
        <f t="shared" si="129"/>
        <v>0.65191521700553234</v>
      </c>
      <c r="S203" s="49"/>
      <c r="T203" s="157">
        <f>IFERROR(VLOOKUP(B203,[1]Todos!$A$2:$C$3021,3,FALSE),0)</f>
        <v>2445.36</v>
      </c>
      <c r="U203" s="112">
        <f t="shared" si="130"/>
        <v>0</v>
      </c>
      <c r="W203" s="157">
        <f>IFERROR(VLOOKUP(B203,[1]Todos!$A$2:$B$3021,2,FALSE),0)</f>
        <v>80539.5</v>
      </c>
      <c r="X203" s="112">
        <f t="shared" si="131"/>
        <v>0</v>
      </c>
    </row>
    <row r="204" spans="1:24" outlineLevel="2" x14ac:dyDescent="0.3">
      <c r="A204" s="40" t="str">
        <f>VLOOKUP(B204,Grupos!$A$2:$B$619,2,FALSE)</f>
        <v>TABLEROS 225 AMP COBRE</v>
      </c>
      <c r="B204" s="41" t="s">
        <v>293</v>
      </c>
      <c r="C204" s="41" t="s">
        <v>294</v>
      </c>
      <c r="D204" s="42">
        <v>86</v>
      </c>
      <c r="E204" s="195">
        <v>81441.52</v>
      </c>
      <c r="F204" s="192">
        <v>6711.62</v>
      </c>
      <c r="G204" s="126">
        <f t="shared" si="119"/>
        <v>88153.14</v>
      </c>
      <c r="H204" s="127">
        <f t="shared" si="120"/>
        <v>7003970.7200000007</v>
      </c>
      <c r="I204" s="128">
        <f t="shared" si="121"/>
        <v>577199.31999999995</v>
      </c>
      <c r="J204" s="128">
        <f t="shared" si="122"/>
        <v>7581170.04</v>
      </c>
      <c r="K204" s="44">
        <f t="shared" si="123"/>
        <v>4.5240108547181064E-3</v>
      </c>
      <c r="L204" s="45">
        <f t="shared" si="124"/>
        <v>21945.906850223997</v>
      </c>
      <c r="M204" s="45">
        <f t="shared" si="125"/>
        <v>39492.677092357284</v>
      </c>
      <c r="N204" s="45">
        <f t="shared" si="126"/>
        <v>149591.72394258127</v>
      </c>
      <c r="O204" s="46">
        <f t="shared" si="127"/>
        <v>12864888.25906199</v>
      </c>
      <c r="P204" s="47">
        <f t="shared" si="128"/>
        <v>172834.97848837209</v>
      </c>
      <c r="Q204" s="42">
        <v>14863808.15</v>
      </c>
      <c r="R204" s="48">
        <f t="shared" si="129"/>
        <v>0.86551764724317903</v>
      </c>
      <c r="S204" s="49"/>
      <c r="T204" s="157">
        <f>IFERROR(VLOOKUP(B204,[1]Todos!$A$2:$C$3021,3,FALSE),0)</f>
        <v>6711.62</v>
      </c>
      <c r="U204" s="112">
        <f t="shared" si="130"/>
        <v>0</v>
      </c>
      <c r="W204" s="157">
        <f>IFERROR(VLOOKUP(B204,[1]Todos!$A$2:$B$3021,2,FALSE),0)</f>
        <v>81441.52</v>
      </c>
      <c r="X204" s="112">
        <f t="shared" si="131"/>
        <v>0</v>
      </c>
    </row>
    <row r="205" spans="1:24" outlineLevel="2" x14ac:dyDescent="0.3">
      <c r="A205" s="40" t="str">
        <f>VLOOKUP(B205,Grupos!$A$2:$B$619,2,FALSE)</f>
        <v>TABLEROS 225 AMP COBRE</v>
      </c>
      <c r="B205" s="41" t="s">
        <v>295</v>
      </c>
      <c r="C205" s="41" t="s">
        <v>296</v>
      </c>
      <c r="D205" s="42">
        <v>88</v>
      </c>
      <c r="E205" s="195">
        <v>94507.21</v>
      </c>
      <c r="F205" s="192">
        <v>3461.64</v>
      </c>
      <c r="G205" s="126">
        <f t="shared" si="119"/>
        <v>97968.85</v>
      </c>
      <c r="H205" s="127">
        <f t="shared" si="120"/>
        <v>8316634.4800000004</v>
      </c>
      <c r="I205" s="128">
        <f t="shared" si="121"/>
        <v>304624.32</v>
      </c>
      <c r="J205" s="128">
        <f t="shared" si="122"/>
        <v>8621258.8000000007</v>
      </c>
      <c r="K205" s="44">
        <f t="shared" si="123"/>
        <v>5.1446766378734328E-3</v>
      </c>
      <c r="L205" s="45">
        <f t="shared" si="124"/>
        <v>24389.54819219789</v>
      </c>
      <c r="M205" s="45">
        <f t="shared" si="125"/>
        <v>20369.065997477159</v>
      </c>
      <c r="N205" s="45">
        <f t="shared" si="126"/>
        <v>142727.46418967505</v>
      </c>
      <c r="O205" s="46">
        <f t="shared" si="127"/>
        <v>12560016.848691404</v>
      </c>
      <c r="P205" s="47">
        <f t="shared" si="128"/>
        <v>290365.96522727277</v>
      </c>
      <c r="Q205" s="42">
        <v>25552204.940000001</v>
      </c>
      <c r="R205" s="48">
        <f t="shared" si="129"/>
        <v>0.49154336692993833</v>
      </c>
      <c r="S205" s="49"/>
      <c r="T205" s="157">
        <f>IFERROR(VLOOKUP(B205,[1]Todos!$A$2:$C$3021,3,FALSE),0)</f>
        <v>3461.64</v>
      </c>
      <c r="U205" s="112">
        <f t="shared" si="130"/>
        <v>0</v>
      </c>
      <c r="W205" s="157">
        <f>IFERROR(VLOOKUP(B205,[1]Todos!$A$2:$B$3021,2,FALSE),0)</f>
        <v>94507.21</v>
      </c>
      <c r="X205" s="112">
        <f t="shared" si="131"/>
        <v>0</v>
      </c>
    </row>
    <row r="206" spans="1:24" outlineLevel="2" x14ac:dyDescent="0.3">
      <c r="A206" s="40" t="str">
        <f>VLOOKUP(B206,Grupos!$A$2:$B$619,2,FALSE)</f>
        <v>TABLEROS 225 AMP COBRE</v>
      </c>
      <c r="B206" s="41" t="s">
        <v>297</v>
      </c>
      <c r="C206" s="41" t="s">
        <v>298</v>
      </c>
      <c r="D206" s="42">
        <v>125</v>
      </c>
      <c r="E206" s="195">
        <v>95697.87</v>
      </c>
      <c r="F206" s="192">
        <v>7317.32</v>
      </c>
      <c r="G206" s="126">
        <f t="shared" si="119"/>
        <v>103015.19</v>
      </c>
      <c r="H206" s="127">
        <f t="shared" si="120"/>
        <v>11962233.75</v>
      </c>
      <c r="I206" s="128">
        <f t="shared" si="121"/>
        <v>914665</v>
      </c>
      <c r="J206" s="128">
        <f t="shared" si="122"/>
        <v>12876898.75</v>
      </c>
      <c r="K206" s="44">
        <f t="shared" si="123"/>
        <v>7.684200382360242E-3</v>
      </c>
      <c r="L206" s="45">
        <f t="shared" si="124"/>
        <v>25645.844990866197</v>
      </c>
      <c r="M206" s="45">
        <f t="shared" si="125"/>
        <v>43056.751714406921</v>
      </c>
      <c r="N206" s="45">
        <f t="shared" si="126"/>
        <v>171717.78670527312</v>
      </c>
      <c r="O206" s="46">
        <f t="shared" si="127"/>
        <v>21464723.33815914</v>
      </c>
      <c r="P206" s="47">
        <f t="shared" si="128"/>
        <v>278146.78783999995</v>
      </c>
      <c r="Q206" s="42">
        <v>34768348.479999997</v>
      </c>
      <c r="R206" s="48">
        <f t="shared" si="129"/>
        <v>0.61736390356609605</v>
      </c>
      <c r="S206" s="49"/>
      <c r="T206" s="157">
        <f>IFERROR(VLOOKUP(B206,[1]Todos!$A$2:$C$3021,3,FALSE),0)</f>
        <v>7317.32</v>
      </c>
      <c r="U206" s="112">
        <f t="shared" si="130"/>
        <v>0</v>
      </c>
      <c r="W206" s="157">
        <f>IFERROR(VLOOKUP(B206,[1]Todos!$A$2:$B$3021,2,FALSE),0)</f>
        <v>95697.87</v>
      </c>
      <c r="X206" s="112">
        <f t="shared" si="131"/>
        <v>0</v>
      </c>
    </row>
    <row r="207" spans="1:24" outlineLevel="2" x14ac:dyDescent="0.3">
      <c r="A207" s="40" t="str">
        <f>VLOOKUP(B207,Grupos!$A$2:$B$619,2,FALSE)</f>
        <v>TABLEROS 225 AMP COBRE</v>
      </c>
      <c r="B207" s="41" t="s">
        <v>299</v>
      </c>
      <c r="C207" s="41" t="s">
        <v>300</v>
      </c>
      <c r="D207" s="42">
        <v>65</v>
      </c>
      <c r="E207" s="195">
        <v>99954.11</v>
      </c>
      <c r="F207" s="192">
        <v>2850.14</v>
      </c>
      <c r="G207" s="126">
        <f t="shared" si="119"/>
        <v>102804.25</v>
      </c>
      <c r="H207" s="127">
        <f t="shared" si="120"/>
        <v>6497017.1500000004</v>
      </c>
      <c r="I207" s="128">
        <f t="shared" si="121"/>
        <v>185259.1</v>
      </c>
      <c r="J207" s="128">
        <f t="shared" si="122"/>
        <v>6682276.25</v>
      </c>
      <c r="K207" s="44">
        <f t="shared" si="123"/>
        <v>3.9876021946112427E-3</v>
      </c>
      <c r="L207" s="45">
        <f t="shared" si="124"/>
        <v>25593.331040813071</v>
      </c>
      <c r="M207" s="45">
        <f t="shared" si="125"/>
        <v>16770.862874836654</v>
      </c>
      <c r="N207" s="45">
        <f t="shared" si="126"/>
        <v>145168.44391564972</v>
      </c>
      <c r="O207" s="46">
        <f t="shared" si="127"/>
        <v>9435948.8545172326</v>
      </c>
      <c r="P207" s="47">
        <f t="shared" si="128"/>
        <v>219172.07723076921</v>
      </c>
      <c r="Q207" s="42">
        <v>14246185.02</v>
      </c>
      <c r="R207" s="48">
        <f t="shared" si="129"/>
        <v>0.66234917216575873</v>
      </c>
      <c r="S207" s="49"/>
      <c r="T207" s="157">
        <f>IFERROR(VLOOKUP(B207,[1]Todos!$A$2:$C$3021,3,FALSE),0)</f>
        <v>2850.14</v>
      </c>
      <c r="U207" s="112">
        <f t="shared" si="130"/>
        <v>0</v>
      </c>
      <c r="W207" s="157">
        <f>IFERROR(VLOOKUP(B207,[1]Todos!$A$2:$B$3021,2,FALSE),0)</f>
        <v>99954.11</v>
      </c>
      <c r="X207" s="112">
        <f t="shared" si="131"/>
        <v>0</v>
      </c>
    </row>
    <row r="208" spans="1:24" outlineLevel="2" x14ac:dyDescent="0.3">
      <c r="A208" s="40" t="str">
        <f>VLOOKUP(B208,Grupos!$A$2:$B$619,2,FALSE)</f>
        <v>TABLEROS 225 AMP COBRE</v>
      </c>
      <c r="B208" s="41" t="s">
        <v>301</v>
      </c>
      <c r="C208" s="41" t="s">
        <v>302</v>
      </c>
      <c r="D208" s="42">
        <v>104</v>
      </c>
      <c r="E208" s="195">
        <v>100922.53</v>
      </c>
      <c r="F208" s="192">
        <v>6892.31</v>
      </c>
      <c r="G208" s="126">
        <f t="shared" si="119"/>
        <v>107814.84</v>
      </c>
      <c r="H208" s="127">
        <f t="shared" si="120"/>
        <v>10495943.119999999</v>
      </c>
      <c r="I208" s="128">
        <f t="shared" si="121"/>
        <v>716800.24</v>
      </c>
      <c r="J208" s="128">
        <f t="shared" si="122"/>
        <v>11212743.359999999</v>
      </c>
      <c r="K208" s="44">
        <f t="shared" si="123"/>
        <v>6.691127148469601E-3</v>
      </c>
      <c r="L208" s="45">
        <f t="shared" si="124"/>
        <v>26840.727802909849</v>
      </c>
      <c r="M208" s="45">
        <f t="shared" si="125"/>
        <v>40555.89757024758</v>
      </c>
      <c r="N208" s="45">
        <f t="shared" si="126"/>
        <v>175211.46537315744</v>
      </c>
      <c r="O208" s="46">
        <f t="shared" si="127"/>
        <v>18221992.398808375</v>
      </c>
      <c r="P208" s="47">
        <f t="shared" si="128"/>
        <v>212169.11067307694</v>
      </c>
      <c r="Q208" s="42">
        <v>22065587.510000002</v>
      </c>
      <c r="R208" s="48">
        <f t="shared" si="129"/>
        <v>0.82581043403219012</v>
      </c>
      <c r="S208" s="49"/>
      <c r="T208" s="157">
        <f>IFERROR(VLOOKUP(B208,[1]Todos!$A$2:$C$3021,3,FALSE),0)</f>
        <v>6892.31</v>
      </c>
      <c r="U208" s="112">
        <f t="shared" si="130"/>
        <v>0</v>
      </c>
      <c r="W208" s="157">
        <f>IFERROR(VLOOKUP(B208,[1]Todos!$A$2:$B$3021,2,FALSE),0)</f>
        <v>100922.53</v>
      </c>
      <c r="X208" s="112">
        <f t="shared" si="131"/>
        <v>0</v>
      </c>
    </row>
    <row r="209" spans="1:24" outlineLevel="2" x14ac:dyDescent="0.3">
      <c r="A209" s="40" t="str">
        <f>VLOOKUP(B209,Grupos!$A$2:$B$619,2,FALSE)</f>
        <v>TABLEROS 225 AMP COBRE</v>
      </c>
      <c r="B209" s="41" t="s">
        <v>303</v>
      </c>
      <c r="C209" s="41" t="s">
        <v>304</v>
      </c>
      <c r="D209" s="42">
        <v>96</v>
      </c>
      <c r="E209" s="195">
        <v>105072.44</v>
      </c>
      <c r="F209" s="192">
        <v>3539.41</v>
      </c>
      <c r="G209" s="126">
        <f t="shared" si="119"/>
        <v>108611.85</v>
      </c>
      <c r="H209" s="127">
        <f t="shared" si="120"/>
        <v>10086954.24</v>
      </c>
      <c r="I209" s="128">
        <f t="shared" si="121"/>
        <v>339783.36</v>
      </c>
      <c r="J209" s="128">
        <f t="shared" si="122"/>
        <v>10426737.600000001</v>
      </c>
      <c r="K209" s="44">
        <f t="shared" si="123"/>
        <v>6.2220836404953423E-3</v>
      </c>
      <c r="L209" s="45">
        <f t="shared" si="124"/>
        <v>27039.14509375958</v>
      </c>
      <c r="M209" s="45">
        <f t="shared" si="125"/>
        <v>20826.682116606764</v>
      </c>
      <c r="N209" s="45">
        <f t="shared" si="126"/>
        <v>156477.67721036635</v>
      </c>
      <c r="O209" s="46">
        <f t="shared" si="127"/>
        <v>15021857.01219517</v>
      </c>
      <c r="P209" s="47">
        <f t="shared" si="128"/>
        <v>316525.8389583333</v>
      </c>
      <c r="Q209" s="42">
        <v>30386480.539999999</v>
      </c>
      <c r="R209" s="48">
        <f t="shared" si="129"/>
        <v>0.49435988456842755</v>
      </c>
      <c r="S209" s="49"/>
      <c r="T209" s="157">
        <f>IFERROR(VLOOKUP(B209,[1]Todos!$A$2:$C$3021,3,FALSE),0)</f>
        <v>3539.41</v>
      </c>
      <c r="U209" s="112">
        <f t="shared" si="130"/>
        <v>0</v>
      </c>
      <c r="W209" s="157">
        <f>IFERROR(VLOOKUP(B209,[1]Todos!$A$2:$B$3021,2,FALSE),0)</f>
        <v>105072.44</v>
      </c>
      <c r="X209" s="112">
        <f t="shared" si="131"/>
        <v>0</v>
      </c>
    </row>
    <row r="210" spans="1:24" outlineLevel="2" x14ac:dyDescent="0.3">
      <c r="A210" s="40" t="str">
        <f>VLOOKUP(B210,Grupos!$A$2:$B$619,2,FALSE)</f>
        <v>TABLEROS 225 AMP COBRE</v>
      </c>
      <c r="B210" s="41" t="s">
        <v>305</v>
      </c>
      <c r="C210" s="41" t="s">
        <v>306</v>
      </c>
      <c r="D210" s="42">
        <v>88</v>
      </c>
      <c r="E210" s="195">
        <v>106329.52</v>
      </c>
      <c r="F210" s="192">
        <v>7569.93</v>
      </c>
      <c r="G210" s="126">
        <f t="shared" si="119"/>
        <v>113899.45000000001</v>
      </c>
      <c r="H210" s="127">
        <f t="shared" si="120"/>
        <v>9356997.7599999998</v>
      </c>
      <c r="I210" s="128">
        <f t="shared" si="121"/>
        <v>666153.84000000008</v>
      </c>
      <c r="J210" s="128">
        <f t="shared" si="122"/>
        <v>10023151.600000001</v>
      </c>
      <c r="K210" s="44">
        <f t="shared" si="123"/>
        <v>5.981246482750723E-3</v>
      </c>
      <c r="L210" s="45">
        <f t="shared" si="124"/>
        <v>28355.504069301966</v>
      </c>
      <c r="M210" s="45">
        <f t="shared" si="125"/>
        <v>44543.165599623964</v>
      </c>
      <c r="N210" s="45">
        <f t="shared" si="126"/>
        <v>186798.11966892594</v>
      </c>
      <c r="O210" s="46">
        <f t="shared" si="127"/>
        <v>16438234.530865483</v>
      </c>
      <c r="P210" s="47">
        <f t="shared" si="128"/>
        <v>323323.21670454548</v>
      </c>
      <c r="Q210" s="42">
        <v>28452443.07</v>
      </c>
      <c r="R210" s="48">
        <f t="shared" si="129"/>
        <v>0.57774422008062321</v>
      </c>
      <c r="S210" s="49"/>
      <c r="T210" s="157">
        <f>IFERROR(VLOOKUP(B210,[1]Todos!$A$2:$C$3021,3,FALSE),0)</f>
        <v>7569.93</v>
      </c>
      <c r="U210" s="112">
        <f t="shared" si="130"/>
        <v>0</v>
      </c>
      <c r="W210" s="157">
        <f>IFERROR(VLOOKUP(B210,[1]Todos!$A$2:$B$3021,2,FALSE),0)</f>
        <v>106329.52</v>
      </c>
      <c r="X210" s="112">
        <f t="shared" si="131"/>
        <v>0</v>
      </c>
    </row>
    <row r="211" spans="1:24" outlineLevel="2" x14ac:dyDescent="0.3">
      <c r="A211" s="40" t="str">
        <f>VLOOKUP(B211,Grupos!$A$2:$B$619,2,FALSE)</f>
        <v>TABLEROS 225 AMP COBRE</v>
      </c>
      <c r="B211" s="41" t="s">
        <v>307</v>
      </c>
      <c r="C211" s="41" t="s">
        <v>308</v>
      </c>
      <c r="D211" s="42">
        <v>20</v>
      </c>
      <c r="E211" s="195">
        <v>120185.12</v>
      </c>
      <c r="F211" s="192">
        <v>2948.41</v>
      </c>
      <c r="G211" s="126">
        <f t="shared" si="119"/>
        <v>123133.53</v>
      </c>
      <c r="H211" s="127">
        <f t="shared" si="120"/>
        <v>2403702.4</v>
      </c>
      <c r="I211" s="128">
        <f t="shared" si="121"/>
        <v>58968.2</v>
      </c>
      <c r="J211" s="128">
        <f t="shared" si="122"/>
        <v>2462670.6</v>
      </c>
      <c r="K211" s="44">
        <f t="shared" si="123"/>
        <v>1.469581669743837E-3</v>
      </c>
      <c r="L211" s="45">
        <f t="shared" si="124"/>
        <v>30654.347417678619</v>
      </c>
      <c r="M211" s="45">
        <f t="shared" si="125"/>
        <v>17349.105590882249</v>
      </c>
      <c r="N211" s="45">
        <f t="shared" si="126"/>
        <v>171136.98300856087</v>
      </c>
      <c r="O211" s="46">
        <f t="shared" si="127"/>
        <v>3422739.6601712173</v>
      </c>
      <c r="P211" s="47">
        <f t="shared" si="128"/>
        <v>264584.24</v>
      </c>
      <c r="Q211" s="42">
        <v>5291684.8</v>
      </c>
      <c r="R211" s="48">
        <f t="shared" si="129"/>
        <v>0.64681472716803112</v>
      </c>
      <c r="S211" s="49"/>
      <c r="T211" s="157">
        <f>IFERROR(VLOOKUP(B211,[1]Todos!$A$2:$C$3021,3,FALSE),0)</f>
        <v>2948.41</v>
      </c>
      <c r="U211" s="112">
        <f t="shared" si="130"/>
        <v>0</v>
      </c>
      <c r="W211" s="157">
        <f>IFERROR(VLOOKUP(B211,[1]Todos!$A$2:$B$3021,2,FALSE),0)</f>
        <v>120185.12</v>
      </c>
      <c r="X211" s="112">
        <f t="shared" si="131"/>
        <v>0</v>
      </c>
    </row>
    <row r="212" spans="1:24" outlineLevel="2" x14ac:dyDescent="0.3">
      <c r="A212" s="40" t="str">
        <f>VLOOKUP(B212,Grupos!$A$2:$B$619,2,FALSE)</f>
        <v>TABLEROS 225 AMP COBRE</v>
      </c>
      <c r="B212" s="41" t="s">
        <v>309</v>
      </c>
      <c r="C212" s="41" t="s">
        <v>310</v>
      </c>
      <c r="D212" s="42">
        <v>11</v>
      </c>
      <c r="E212" s="195">
        <v>121240.25</v>
      </c>
      <c r="F212" s="192">
        <v>7224.29</v>
      </c>
      <c r="G212" s="126">
        <f t="shared" si="119"/>
        <v>128464.54</v>
      </c>
      <c r="H212" s="127">
        <f t="shared" si="120"/>
        <v>1333642.75</v>
      </c>
      <c r="I212" s="128">
        <f t="shared" si="121"/>
        <v>79467.19</v>
      </c>
      <c r="J212" s="128">
        <f t="shared" si="122"/>
        <v>1413109.94</v>
      </c>
      <c r="K212" s="44">
        <f t="shared" si="123"/>
        <v>8.4326359569031003E-4</v>
      </c>
      <c r="L212" s="45">
        <f t="shared" si="124"/>
        <v>31981.513402663531</v>
      </c>
      <c r="M212" s="45">
        <f t="shared" si="125"/>
        <v>42509.342333377899</v>
      </c>
      <c r="N212" s="45">
        <f t="shared" si="126"/>
        <v>202955.39573604142</v>
      </c>
      <c r="O212" s="46">
        <f t="shared" si="127"/>
        <v>2232509.3530964558</v>
      </c>
      <c r="P212" s="47">
        <f t="shared" si="128"/>
        <v>274645.82727272727</v>
      </c>
      <c r="Q212" s="42">
        <v>3021104.1</v>
      </c>
      <c r="R212" s="48">
        <f t="shared" si="129"/>
        <v>0.73897134266126607</v>
      </c>
      <c r="S212" s="49"/>
      <c r="T212" s="157">
        <f>IFERROR(VLOOKUP(B212,[1]Todos!$A$2:$C$3021,3,FALSE),0)</f>
        <v>7224.29</v>
      </c>
      <c r="U212" s="112">
        <f t="shared" si="130"/>
        <v>0</v>
      </c>
      <c r="W212" s="157">
        <f>IFERROR(VLOOKUP(B212,[1]Todos!$A$2:$B$3021,2,FALSE),0)</f>
        <v>121240.25</v>
      </c>
      <c r="X212" s="112">
        <f t="shared" si="131"/>
        <v>0</v>
      </c>
    </row>
    <row r="213" spans="1:24" outlineLevel="2" x14ac:dyDescent="0.3">
      <c r="A213" s="40" t="str">
        <f>VLOOKUP(B213,Grupos!$A$2:$B$619,2,FALSE)</f>
        <v>TABLEROS 225 AMP COBRE</v>
      </c>
      <c r="B213" s="41" t="s">
        <v>311</v>
      </c>
      <c r="C213" s="41" t="s">
        <v>312</v>
      </c>
      <c r="D213" s="42">
        <v>12</v>
      </c>
      <c r="E213" s="195">
        <v>135202.51999999999</v>
      </c>
      <c r="F213" s="192">
        <v>3402.52</v>
      </c>
      <c r="G213" s="126">
        <f t="shared" si="119"/>
        <v>138605.03999999998</v>
      </c>
      <c r="H213" s="127">
        <f t="shared" si="120"/>
        <v>1622430.2399999998</v>
      </c>
      <c r="I213" s="128">
        <f t="shared" si="121"/>
        <v>40830.239999999998</v>
      </c>
      <c r="J213" s="128">
        <f t="shared" si="122"/>
        <v>1663260.4799999997</v>
      </c>
      <c r="K213" s="44">
        <f t="shared" si="123"/>
        <v>9.9253920252969914E-4</v>
      </c>
      <c r="L213" s="45">
        <f t="shared" si="124"/>
        <v>34506.011888079891</v>
      </c>
      <c r="M213" s="45">
        <f t="shared" si="125"/>
        <v>20021.190660419914</v>
      </c>
      <c r="N213" s="45">
        <f t="shared" si="126"/>
        <v>193132.24254849978</v>
      </c>
      <c r="O213" s="46">
        <f t="shared" si="127"/>
        <v>2317586.9105819976</v>
      </c>
      <c r="P213" s="47">
        <f t="shared" si="128"/>
        <v>381234.24083333329</v>
      </c>
      <c r="Q213" s="42">
        <v>4574810.8899999997</v>
      </c>
      <c r="R213" s="48">
        <f t="shared" si="129"/>
        <v>0.50659731436068123</v>
      </c>
      <c r="S213" s="49"/>
      <c r="T213" s="157">
        <f>IFERROR(VLOOKUP(B213,[1]Todos!$A$2:$C$3021,3,FALSE),0)</f>
        <v>3402.52</v>
      </c>
      <c r="U213" s="112">
        <f t="shared" si="130"/>
        <v>0</v>
      </c>
      <c r="W213" s="157">
        <f>IFERROR(VLOOKUP(B213,[1]Todos!$A$2:$B$3021,2,FALSE),0)</f>
        <v>135202.51999999999</v>
      </c>
      <c r="X213" s="112">
        <f t="shared" si="131"/>
        <v>0</v>
      </c>
    </row>
    <row r="214" spans="1:24" outlineLevel="2" x14ac:dyDescent="0.3">
      <c r="A214" s="40" t="str">
        <f>VLOOKUP(B214,Grupos!$A$2:$B$619,2,FALSE)</f>
        <v>TABLEROS 225 AMP COBRE</v>
      </c>
      <c r="B214" s="41" t="s">
        <v>313</v>
      </c>
      <c r="C214" s="41" t="s">
        <v>314</v>
      </c>
      <c r="D214" s="42">
        <v>30</v>
      </c>
      <c r="E214" s="195">
        <v>136524.6</v>
      </c>
      <c r="F214" s="192">
        <v>7621.55</v>
      </c>
      <c r="G214" s="126">
        <f t="shared" si="119"/>
        <v>144146.15</v>
      </c>
      <c r="H214" s="127">
        <f t="shared" si="120"/>
        <v>4095738</v>
      </c>
      <c r="I214" s="128">
        <f t="shared" si="121"/>
        <v>228646.5</v>
      </c>
      <c r="J214" s="128">
        <f t="shared" si="122"/>
        <v>4324384.5</v>
      </c>
      <c r="K214" s="44">
        <f t="shared" si="123"/>
        <v>2.5805465798488711E-3</v>
      </c>
      <c r="L214" s="45">
        <f t="shared" si="124"/>
        <v>35885.482703377507</v>
      </c>
      <c r="M214" s="45">
        <f t="shared" si="125"/>
        <v>44846.909254882674</v>
      </c>
      <c r="N214" s="45">
        <f t="shared" si="126"/>
        <v>224878.54195826018</v>
      </c>
      <c r="O214" s="46">
        <f t="shared" si="127"/>
        <v>6746356.2587478049</v>
      </c>
      <c r="P214" s="47">
        <f t="shared" si="128"/>
        <v>371637.79166666669</v>
      </c>
      <c r="Q214" s="42">
        <v>11149133.75</v>
      </c>
      <c r="R214" s="48">
        <f t="shared" si="129"/>
        <v>0.60510138366111221</v>
      </c>
      <c r="S214" s="49"/>
      <c r="T214" s="157">
        <f>IFERROR(VLOOKUP(B214,[1]Todos!$A$2:$C$3021,3,FALSE),0)</f>
        <v>7621.55</v>
      </c>
      <c r="U214" s="112">
        <f t="shared" si="130"/>
        <v>0</v>
      </c>
      <c r="W214" s="157">
        <f>IFERROR(VLOOKUP(B214,[1]Todos!$A$2:$B$3021,2,FALSE),0)</f>
        <v>136524.6</v>
      </c>
      <c r="X214" s="112">
        <f t="shared" si="131"/>
        <v>0</v>
      </c>
    </row>
    <row r="215" spans="1:24" outlineLevel="2" x14ac:dyDescent="0.3">
      <c r="A215" s="40" t="str">
        <f>VLOOKUP(B215,Grupos!$A$2:$B$619,2,FALSE)</f>
        <v>TABLEROS 225 AMP COBRE</v>
      </c>
      <c r="B215" s="41" t="s">
        <v>315</v>
      </c>
      <c r="C215" s="41" t="s">
        <v>316</v>
      </c>
      <c r="D215" s="42">
        <v>53</v>
      </c>
      <c r="E215" s="195">
        <v>139692.1</v>
      </c>
      <c r="F215" s="192">
        <v>3665.93</v>
      </c>
      <c r="G215" s="126">
        <f t="shared" si="119"/>
        <v>143358.03</v>
      </c>
      <c r="H215" s="127">
        <f t="shared" si="120"/>
        <v>7403681.3000000007</v>
      </c>
      <c r="I215" s="128">
        <f t="shared" si="121"/>
        <v>194294.28999999998</v>
      </c>
      <c r="J215" s="128">
        <f t="shared" si="122"/>
        <v>7597975.5899999999</v>
      </c>
      <c r="K215" s="44">
        <f t="shared" si="123"/>
        <v>4.5340394505968907E-3</v>
      </c>
      <c r="L215" s="45">
        <f t="shared" si="124"/>
        <v>35689.278596447242</v>
      </c>
      <c r="M215" s="45">
        <f t="shared" si="125"/>
        <v>21571.154167426841</v>
      </c>
      <c r="N215" s="45">
        <f t="shared" si="126"/>
        <v>200618.46276387406</v>
      </c>
      <c r="O215" s="46">
        <f t="shared" si="127"/>
        <v>10632778.526485326</v>
      </c>
      <c r="P215" s="47">
        <f t="shared" si="128"/>
        <v>311149.7316981132</v>
      </c>
      <c r="Q215" s="42">
        <v>16490935.779999999</v>
      </c>
      <c r="R215" s="48">
        <f t="shared" si="129"/>
        <v>0.64476501930112584</v>
      </c>
      <c r="S215" s="49"/>
      <c r="T215" s="157">
        <f>IFERROR(VLOOKUP(B215,[1]Todos!$A$2:$C$3021,3,FALSE),0)</f>
        <v>3665.93</v>
      </c>
      <c r="U215" s="112">
        <f t="shared" si="130"/>
        <v>0</v>
      </c>
      <c r="W215" s="157">
        <f>IFERROR(VLOOKUP(B215,[1]Todos!$A$2:$B$3021,2,FALSE),0)</f>
        <v>139692.1</v>
      </c>
      <c r="X215" s="112">
        <f t="shared" si="131"/>
        <v>0</v>
      </c>
    </row>
    <row r="216" spans="1:24" outlineLevel="2" x14ac:dyDescent="0.3">
      <c r="A216" s="40" t="str">
        <f>VLOOKUP(B216,Grupos!$A$2:$B$619,2,FALSE)</f>
        <v>TABLEROS 225 AMP COBRE</v>
      </c>
      <c r="B216" s="41" t="s">
        <v>317</v>
      </c>
      <c r="C216" s="41" t="s">
        <v>318</v>
      </c>
      <c r="D216" s="42">
        <v>42</v>
      </c>
      <c r="E216" s="195">
        <v>140771.03</v>
      </c>
      <c r="F216" s="192">
        <v>7561.91</v>
      </c>
      <c r="G216" s="126">
        <f t="shared" si="119"/>
        <v>148332.94</v>
      </c>
      <c r="H216" s="127">
        <f t="shared" si="120"/>
        <v>5912383.2599999998</v>
      </c>
      <c r="I216" s="128">
        <f t="shared" si="121"/>
        <v>317600.21999999997</v>
      </c>
      <c r="J216" s="128">
        <f t="shared" si="122"/>
        <v>6229983.4800000004</v>
      </c>
      <c r="K216" s="44">
        <f t="shared" si="123"/>
        <v>3.7176996083093375E-3</v>
      </c>
      <c r="L216" s="45">
        <f t="shared" si="124"/>
        <v>36927.792748617525</v>
      </c>
      <c r="M216" s="45">
        <f t="shared" si="125"/>
        <v>44495.97412122073</v>
      </c>
      <c r="N216" s="45">
        <f t="shared" si="126"/>
        <v>229756.70686983826</v>
      </c>
      <c r="O216" s="46">
        <f t="shared" si="127"/>
        <v>9649781.6885332074</v>
      </c>
      <c r="P216" s="47">
        <f t="shared" si="128"/>
        <v>290998.73761904764</v>
      </c>
      <c r="Q216" s="42">
        <v>12221946.98</v>
      </c>
      <c r="R216" s="48">
        <f t="shared" si="129"/>
        <v>0.78954537311642037</v>
      </c>
      <c r="S216" s="49"/>
      <c r="T216" s="157">
        <f>IFERROR(VLOOKUP(B216,[1]Todos!$A$2:$C$3021,3,FALSE),0)</f>
        <v>7561.91</v>
      </c>
      <c r="U216" s="112">
        <f t="shared" si="130"/>
        <v>0</v>
      </c>
      <c r="W216" s="157">
        <f>IFERROR(VLOOKUP(B216,[1]Todos!$A$2:$B$3021,2,FALSE),0)</f>
        <v>140771.03</v>
      </c>
      <c r="X216" s="112">
        <f t="shared" si="131"/>
        <v>0</v>
      </c>
    </row>
    <row r="217" spans="1:24" outlineLevel="2" x14ac:dyDescent="0.3">
      <c r="A217" s="40" t="str">
        <f>VLOOKUP(B217,Grupos!$A$2:$B$619,2,FALSE)</f>
        <v>TABLEROS 225 AMP COBRE</v>
      </c>
      <c r="B217" s="41" t="s">
        <v>319</v>
      </c>
      <c r="C217" s="41" t="s">
        <v>320</v>
      </c>
      <c r="D217" s="42">
        <v>49</v>
      </c>
      <c r="E217" s="195">
        <v>154336.97</v>
      </c>
      <c r="F217" s="192">
        <v>4491.3900000000003</v>
      </c>
      <c r="G217" s="126">
        <f t="shared" si="119"/>
        <v>158828.36000000002</v>
      </c>
      <c r="H217" s="127">
        <f t="shared" si="120"/>
        <v>7562511.5300000003</v>
      </c>
      <c r="I217" s="128">
        <f t="shared" si="121"/>
        <v>220078.11000000002</v>
      </c>
      <c r="J217" s="128">
        <f t="shared" si="122"/>
        <v>7782589.6400000006</v>
      </c>
      <c r="K217" s="44">
        <f t="shared" si="123"/>
        <v>4.6442066097196633E-3</v>
      </c>
      <c r="L217" s="45">
        <f t="shared" si="124"/>
        <v>39540.649303403639</v>
      </c>
      <c r="M217" s="45">
        <f t="shared" si="125"/>
        <v>26428.34590841594</v>
      </c>
      <c r="N217" s="45">
        <f t="shared" si="126"/>
        <v>224797.35521181961</v>
      </c>
      <c r="O217" s="46">
        <f t="shared" si="127"/>
        <v>11015070.405379161</v>
      </c>
      <c r="P217" s="47">
        <f t="shared" si="128"/>
        <v>418919.37204081635</v>
      </c>
      <c r="Q217" s="42">
        <v>20527049.23</v>
      </c>
      <c r="R217" s="48">
        <f t="shared" si="129"/>
        <v>0.5366124610487506</v>
      </c>
      <c r="S217" s="49"/>
      <c r="T217" s="157">
        <f>IFERROR(VLOOKUP(B217,[1]Todos!$A$2:$C$3021,3,FALSE),0)</f>
        <v>4491.3900000000003</v>
      </c>
      <c r="U217" s="112">
        <f t="shared" si="130"/>
        <v>0</v>
      </c>
      <c r="W217" s="157">
        <f>IFERROR(VLOOKUP(B217,[1]Todos!$A$2:$B$3021,2,FALSE),0)</f>
        <v>154336.97</v>
      </c>
      <c r="X217" s="112">
        <f t="shared" si="131"/>
        <v>0</v>
      </c>
    </row>
    <row r="218" spans="1:24" outlineLevel="2" x14ac:dyDescent="0.3">
      <c r="A218" s="40" t="str">
        <f>VLOOKUP(B218,Grupos!$A$2:$B$619,2,FALSE)</f>
        <v>TABLEROS 225 AMP COBRE</v>
      </c>
      <c r="B218" s="41" t="s">
        <v>321</v>
      </c>
      <c r="C218" s="41" t="s">
        <v>322</v>
      </c>
      <c r="D218" s="42">
        <v>88</v>
      </c>
      <c r="E218" s="195">
        <v>155725.47</v>
      </c>
      <c r="F218" s="192">
        <v>9184.11</v>
      </c>
      <c r="G218" s="126">
        <f t="shared" si="119"/>
        <v>164909.58000000002</v>
      </c>
      <c r="H218" s="127">
        <f t="shared" si="120"/>
        <v>13703841.359999999</v>
      </c>
      <c r="I218" s="128">
        <f t="shared" si="121"/>
        <v>808201.68</v>
      </c>
      <c r="J218" s="128">
        <f t="shared" si="122"/>
        <v>14512043.040000001</v>
      </c>
      <c r="K218" s="44">
        <f t="shared" si="123"/>
        <v>8.6599614427189855E-3</v>
      </c>
      <c r="L218" s="45">
        <f t="shared" si="124"/>
        <v>41054.581622271908</v>
      </c>
      <c r="M218" s="45">
        <f t="shared" si="125"/>
        <v>54041.362683031737</v>
      </c>
      <c r="N218" s="45">
        <f t="shared" si="126"/>
        <v>260005.52430530367</v>
      </c>
      <c r="O218" s="46">
        <f t="shared" si="127"/>
        <v>22880486.138866723</v>
      </c>
      <c r="P218" s="47">
        <f t="shared" si="128"/>
        <v>406376.01931818185</v>
      </c>
      <c r="Q218" s="42">
        <v>35761089.700000003</v>
      </c>
      <c r="R218" s="48">
        <f t="shared" si="129"/>
        <v>0.63981512674281626</v>
      </c>
      <c r="S218" s="49"/>
      <c r="T218" s="157">
        <f>IFERROR(VLOOKUP(B218,[1]Todos!$A$2:$C$3021,3,FALSE),0)</f>
        <v>9184.11</v>
      </c>
      <c r="U218" s="112">
        <f t="shared" si="130"/>
        <v>0</v>
      </c>
      <c r="W218" s="157">
        <f>IFERROR(VLOOKUP(B218,[1]Todos!$A$2:$B$3021,2,FALSE),0)</f>
        <v>155725.47</v>
      </c>
      <c r="X218" s="112">
        <f t="shared" si="131"/>
        <v>0</v>
      </c>
    </row>
    <row r="219" spans="1:24" outlineLevel="2" x14ac:dyDescent="0.3">
      <c r="A219" s="40" t="str">
        <f>VLOOKUP(B219,Grupos!$A$2:$B$619,2,FALSE)</f>
        <v>TABLEROS 225 AMP COBRE</v>
      </c>
      <c r="B219" s="41" t="s">
        <v>323</v>
      </c>
      <c r="C219" s="41" t="s">
        <v>324</v>
      </c>
      <c r="D219" s="42">
        <v>20</v>
      </c>
      <c r="E219" s="195">
        <v>150708.57</v>
      </c>
      <c r="F219" s="192">
        <v>3953.93</v>
      </c>
      <c r="G219" s="126">
        <f t="shared" si="119"/>
        <v>154662.5</v>
      </c>
      <c r="H219" s="127">
        <f t="shared" si="120"/>
        <v>3014171.4000000004</v>
      </c>
      <c r="I219" s="128">
        <f t="shared" si="121"/>
        <v>79078.599999999991</v>
      </c>
      <c r="J219" s="128">
        <f t="shared" si="122"/>
        <v>3093250</v>
      </c>
      <c r="K219" s="44">
        <f t="shared" si="123"/>
        <v>1.8458755709899342E-3</v>
      </c>
      <c r="L219" s="45">
        <f t="shared" si="124"/>
        <v>38503.549825029142</v>
      </c>
      <c r="M219" s="45">
        <f t="shared" si="125"/>
        <v>23265.810748490563</v>
      </c>
      <c r="N219" s="45">
        <f t="shared" si="126"/>
        <v>216431.86057351972</v>
      </c>
      <c r="O219" s="46">
        <f t="shared" si="127"/>
        <v>4328637.2114703944</v>
      </c>
      <c r="P219" s="47">
        <f t="shared" si="128"/>
        <v>347507.99100000004</v>
      </c>
      <c r="Q219" s="42">
        <v>6950159.8200000003</v>
      </c>
      <c r="R219" s="48">
        <f t="shared" si="129"/>
        <v>0.62281117608463776</v>
      </c>
      <c r="S219" s="49"/>
      <c r="T219" s="157">
        <f>IFERROR(VLOOKUP(B219,[1]Todos!$A$2:$C$3021,3,FALSE),0)</f>
        <v>3953.93</v>
      </c>
      <c r="U219" s="112">
        <f t="shared" si="130"/>
        <v>0</v>
      </c>
      <c r="W219" s="157">
        <f>IFERROR(VLOOKUP(B219,[1]Todos!$A$2:$B$3021,2,FALSE),0)</f>
        <v>150708.57</v>
      </c>
      <c r="X219" s="112">
        <f t="shared" si="131"/>
        <v>0</v>
      </c>
    </row>
    <row r="220" spans="1:24" outlineLevel="2" x14ac:dyDescent="0.3">
      <c r="A220" s="40" t="str">
        <f>VLOOKUP(B220,Grupos!$A$2:$B$619,2,FALSE)</f>
        <v>TABLEROS 225 AMP COBRE</v>
      </c>
      <c r="B220" s="41" t="s">
        <v>325</v>
      </c>
      <c r="C220" s="41" t="s">
        <v>326</v>
      </c>
      <c r="D220" s="42">
        <v>22</v>
      </c>
      <c r="E220" s="195">
        <v>151896.51999999999</v>
      </c>
      <c r="F220" s="192">
        <v>8243.17</v>
      </c>
      <c r="G220" s="126">
        <f t="shared" si="119"/>
        <v>160139.69</v>
      </c>
      <c r="H220" s="127">
        <f t="shared" si="120"/>
        <v>3341723.44</v>
      </c>
      <c r="I220" s="128">
        <f t="shared" si="121"/>
        <v>181349.74</v>
      </c>
      <c r="J220" s="128">
        <f t="shared" si="122"/>
        <v>3523073.18</v>
      </c>
      <c r="K220" s="44">
        <f t="shared" si="123"/>
        <v>2.1023695846672024E-3</v>
      </c>
      <c r="L220" s="45">
        <f t="shared" si="124"/>
        <v>39867.107623888929</v>
      </c>
      <c r="M220" s="45">
        <f t="shared" si="125"/>
        <v>48504.660726830007</v>
      </c>
      <c r="N220" s="45">
        <f t="shared" si="126"/>
        <v>248511.45835071895</v>
      </c>
      <c r="O220" s="46">
        <f t="shared" si="127"/>
        <v>5467252.083715817</v>
      </c>
      <c r="P220" s="47">
        <f t="shared" si="128"/>
        <v>329516.81181818183</v>
      </c>
      <c r="Q220" s="42">
        <v>7249369.8600000003</v>
      </c>
      <c r="R220" s="48">
        <f t="shared" si="129"/>
        <v>0.75416928495848834</v>
      </c>
      <c r="S220" s="49"/>
      <c r="T220" s="157">
        <f>IFERROR(VLOOKUP(B220,[1]Todos!$A$2:$C$3021,3,FALSE),0)</f>
        <v>8243.17</v>
      </c>
      <c r="U220" s="112">
        <f t="shared" si="130"/>
        <v>0</v>
      </c>
      <c r="W220" s="157">
        <f>IFERROR(VLOOKUP(B220,[1]Todos!$A$2:$B$3021,2,FALSE),0)</f>
        <v>151896.51999999999</v>
      </c>
      <c r="X220" s="112">
        <f t="shared" si="131"/>
        <v>0</v>
      </c>
    </row>
    <row r="221" spans="1:24" outlineLevel="2" x14ac:dyDescent="0.3">
      <c r="A221" s="40" t="str">
        <f>VLOOKUP(B221,Grupos!$A$2:$B$619,2,FALSE)</f>
        <v>TABLEROS 225 AMP COBRE</v>
      </c>
      <c r="B221" s="41" t="s">
        <v>327</v>
      </c>
      <c r="C221" s="41" t="s">
        <v>328</v>
      </c>
      <c r="D221" s="42">
        <v>64</v>
      </c>
      <c r="E221" s="195">
        <v>173057.75</v>
      </c>
      <c r="F221" s="192">
        <v>4724.13</v>
      </c>
      <c r="G221" s="126">
        <f t="shared" si="119"/>
        <v>177781.88</v>
      </c>
      <c r="H221" s="127">
        <f t="shared" si="120"/>
        <v>11075696</v>
      </c>
      <c r="I221" s="128">
        <f t="shared" si="121"/>
        <v>302344.32000000001</v>
      </c>
      <c r="J221" s="128">
        <f t="shared" si="122"/>
        <v>11378040.32</v>
      </c>
      <c r="K221" s="44">
        <f t="shared" si="123"/>
        <v>6.789766967566958E-3</v>
      </c>
      <c r="L221" s="45">
        <f t="shared" si="124"/>
        <v>44259.167377789381</v>
      </c>
      <c r="M221" s="45">
        <f t="shared" si="125"/>
        <v>27797.84025798806</v>
      </c>
      <c r="N221" s="45">
        <f t="shared" si="126"/>
        <v>249838.88763577744</v>
      </c>
      <c r="O221" s="46">
        <f t="shared" si="127"/>
        <v>15989688.808689756</v>
      </c>
      <c r="P221" s="47">
        <f t="shared" si="128"/>
        <v>458661.33140625001</v>
      </c>
      <c r="Q221" s="42">
        <v>29354325.210000001</v>
      </c>
      <c r="R221" s="48">
        <f t="shared" si="129"/>
        <v>0.54471321327606681</v>
      </c>
      <c r="S221" s="49"/>
      <c r="T221" s="157">
        <f>IFERROR(VLOOKUP(B221,[1]Todos!$A$2:$C$3021,3,FALSE),0)</f>
        <v>4724.13</v>
      </c>
      <c r="U221" s="112">
        <f t="shared" si="130"/>
        <v>0</v>
      </c>
      <c r="W221" s="157">
        <f>IFERROR(VLOOKUP(B221,[1]Todos!$A$2:$B$3021,2,FALSE),0)</f>
        <v>173057.75</v>
      </c>
      <c r="X221" s="112">
        <f t="shared" si="131"/>
        <v>0</v>
      </c>
    </row>
    <row r="222" spans="1:24" outlineLevel="2" x14ac:dyDescent="0.3">
      <c r="A222" s="40" t="str">
        <f>VLOOKUP(B222,Grupos!$A$2:$B$619,2,FALSE)</f>
        <v>TABLEROS 225 AMP COBRE</v>
      </c>
      <c r="B222" s="41" t="s">
        <v>329</v>
      </c>
      <c r="C222" s="41" t="s">
        <v>330</v>
      </c>
      <c r="D222" s="42">
        <v>44</v>
      </c>
      <c r="E222" s="195">
        <v>174499.09</v>
      </c>
      <c r="F222" s="192">
        <v>9084.8799999999992</v>
      </c>
      <c r="G222" s="126">
        <f t="shared" si="119"/>
        <v>183583.97</v>
      </c>
      <c r="H222" s="127">
        <f t="shared" si="120"/>
        <v>7677959.96</v>
      </c>
      <c r="I222" s="128">
        <f t="shared" si="121"/>
        <v>399734.72</v>
      </c>
      <c r="J222" s="128">
        <f t="shared" si="122"/>
        <v>8077694.6799999997</v>
      </c>
      <c r="K222" s="44">
        <f t="shared" si="123"/>
        <v>4.8203085039125043E-3</v>
      </c>
      <c r="L222" s="45">
        <f t="shared" si="124"/>
        <v>45703.609704819559</v>
      </c>
      <c r="M222" s="45">
        <f t="shared" si="125"/>
        <v>53457.471111715917</v>
      </c>
      <c r="N222" s="45">
        <f t="shared" si="126"/>
        <v>282745.05081653548</v>
      </c>
      <c r="O222" s="46">
        <f t="shared" si="127"/>
        <v>12440782.235927561</v>
      </c>
      <c r="P222" s="47">
        <f t="shared" si="128"/>
        <v>448251.85409090907</v>
      </c>
      <c r="Q222" s="42">
        <v>19723081.579999998</v>
      </c>
      <c r="R222" s="48">
        <f t="shared" si="129"/>
        <v>0.63077274134195227</v>
      </c>
      <c r="S222" s="49"/>
      <c r="T222" s="157">
        <f>IFERROR(VLOOKUP(B222,[1]Todos!$A$2:$C$3021,3,FALSE),0)</f>
        <v>9084.8799999999992</v>
      </c>
      <c r="U222" s="112">
        <f t="shared" si="130"/>
        <v>0</v>
      </c>
      <c r="W222" s="157">
        <f>IFERROR(VLOOKUP(B222,[1]Todos!$A$2:$B$3021,2,FALSE),0)</f>
        <v>174499.09</v>
      </c>
      <c r="X222" s="112">
        <f t="shared" si="131"/>
        <v>0</v>
      </c>
    </row>
    <row r="223" spans="1:24" s="93" customFormat="1" outlineLevel="1" x14ac:dyDescent="0.3">
      <c r="A223" s="50" t="s">
        <v>1035</v>
      </c>
      <c r="B223" s="129"/>
      <c r="C223" s="129"/>
      <c r="D223" s="51">
        <f>SUBTOTAL(9,D181:D222)</f>
        <v>2809</v>
      </c>
      <c r="E223" s="52"/>
      <c r="F223" s="52"/>
      <c r="G223" s="130"/>
      <c r="H223" s="131">
        <f>SUBTOTAL(9,H181:H222)</f>
        <v>269888451.59000003</v>
      </c>
      <c r="I223" s="146">
        <f>SUBTOTAL(9,I181:I222)</f>
        <v>14333158.499999998</v>
      </c>
      <c r="J223" s="146">
        <f>SUBTOTAL(9,J181:J222)</f>
        <v>284221610.08999997</v>
      </c>
      <c r="K223" s="53"/>
      <c r="L223" s="54"/>
      <c r="M223" s="54"/>
      <c r="N223" s="54"/>
      <c r="O223" s="55">
        <f>SUBTOTAL(9,O181:O222)</f>
        <v>439318687.48813313</v>
      </c>
      <c r="P223" s="56"/>
      <c r="Q223" s="51">
        <f>SUBTOTAL(9,Q181:Q222)</f>
        <v>712638505.77000022</v>
      </c>
      <c r="R223" s="57">
        <f t="shared" si="129"/>
        <v>0.61646779388303297</v>
      </c>
      <c r="S223" s="58">
        <f>Q223/$Q$308</f>
        <v>0.16457773128678896</v>
      </c>
      <c r="T223" s="157">
        <f>IFERROR(VLOOKUP(B223,[1]Todos!$A$2:$C$3021,3,FALSE),0)</f>
        <v>0</v>
      </c>
      <c r="U223" s="112">
        <f t="shared" si="130"/>
        <v>0</v>
      </c>
      <c r="W223" s="157">
        <f>IFERROR(VLOOKUP(B223,[1]Todos!$A$2:$B$3021,2,FALSE),0)</f>
        <v>0</v>
      </c>
      <c r="X223" s="112">
        <f t="shared" si="131"/>
        <v>0</v>
      </c>
    </row>
    <row r="224" spans="1:24" outlineLevel="2" x14ac:dyDescent="0.3">
      <c r="A224" s="40" t="str">
        <f>VLOOKUP(B224,Grupos!$A$2:$B$619,2,FALSE)</f>
        <v>TABLEROS 75 AMP BIMETALICO CON PUERTA</v>
      </c>
      <c r="B224" s="41" t="s">
        <v>649</v>
      </c>
      <c r="C224" s="41" t="s">
        <v>650</v>
      </c>
      <c r="D224" s="42">
        <v>35</v>
      </c>
      <c r="E224" s="43">
        <v>18443.48</v>
      </c>
      <c r="F224" s="192">
        <v>1356.88</v>
      </c>
      <c r="G224" s="126">
        <f t="shared" ref="G224:G230" si="132">E224+F224</f>
        <v>19800.36</v>
      </c>
      <c r="H224" s="127">
        <f t="shared" ref="H224:H230" si="133">E224*D224</f>
        <v>645521.79999999993</v>
      </c>
      <c r="I224" s="128">
        <f t="shared" ref="I224:I230" si="134">F224*D224</f>
        <v>47490.8</v>
      </c>
      <c r="J224" s="128">
        <f t="shared" ref="J224:J230" si="135">G224*D224</f>
        <v>693012.6</v>
      </c>
      <c r="K224" s="44">
        <f t="shared" ref="K224:K230" si="136">J224/$J$308</f>
        <v>4.1355048209107534E-4</v>
      </c>
      <c r="L224" s="45">
        <f t="shared" ref="L224:L230" si="137">$K$383*K224/D224</f>
        <v>4929.3406469798028</v>
      </c>
      <c r="M224" s="45">
        <f t="shared" ref="M224:M230" si="138">F224*$M$382</f>
        <v>7984.1861865060528</v>
      </c>
      <c r="N224" s="45">
        <f t="shared" ref="N224:N230" si="139">G224+L224+M224</f>
        <v>32713.886833485856</v>
      </c>
      <c r="O224" s="46">
        <f t="shared" ref="O224:O230" si="140">N224*D224</f>
        <v>1144986.0391720049</v>
      </c>
      <c r="P224" s="47">
        <f t="shared" ref="P224:P230" si="141">Q224/D224</f>
        <v>63957.428</v>
      </c>
      <c r="Q224" s="42">
        <v>2238509.98</v>
      </c>
      <c r="R224" s="48">
        <f t="shared" si="129"/>
        <v>0.51149472166838628</v>
      </c>
      <c r="S224" s="49"/>
      <c r="T224" s="157">
        <f>IFERROR(VLOOKUP(B224,[1]Todos!$A$2:$C$3021,3,FALSE),0)</f>
        <v>1356.88</v>
      </c>
      <c r="U224" s="112">
        <f t="shared" si="130"/>
        <v>0</v>
      </c>
      <c r="W224" s="157">
        <f>IFERROR(VLOOKUP(B224,[1]Todos!$A$2:$B$3021,2,FALSE),0)</f>
        <v>17545.580000000002</v>
      </c>
      <c r="X224" s="112">
        <f t="shared" si="131"/>
        <v>-897.89999999999782</v>
      </c>
    </row>
    <row r="225" spans="1:24" outlineLevel="2" x14ac:dyDescent="0.3">
      <c r="A225" s="40" t="str">
        <f>VLOOKUP(B225,Grupos!$A$2:$B$619,2,FALSE)</f>
        <v>TABLEROS 75 AMP BIMETALICO CON PUERTA</v>
      </c>
      <c r="B225" s="41" t="s">
        <v>331</v>
      </c>
      <c r="C225" s="41" t="s">
        <v>332</v>
      </c>
      <c r="D225" s="42">
        <v>54</v>
      </c>
      <c r="E225" s="43">
        <v>8876.32</v>
      </c>
      <c r="F225" s="192">
        <v>881.25</v>
      </c>
      <c r="G225" s="126">
        <f t="shared" si="132"/>
        <v>9757.57</v>
      </c>
      <c r="H225" s="127">
        <f t="shared" si="133"/>
        <v>479321.27999999997</v>
      </c>
      <c r="I225" s="128">
        <f t="shared" si="134"/>
        <v>47587.5</v>
      </c>
      <c r="J225" s="128">
        <f t="shared" si="135"/>
        <v>526908.78</v>
      </c>
      <c r="K225" s="44">
        <f t="shared" si="136"/>
        <v>3.1442917486207379E-4</v>
      </c>
      <c r="L225" s="45">
        <f t="shared" si="137"/>
        <v>2429.1672685118215</v>
      </c>
      <c r="M225" s="45">
        <f t="shared" si="138"/>
        <v>5185.4726113277948</v>
      </c>
      <c r="N225" s="45">
        <f t="shared" si="139"/>
        <v>17372.209879839615</v>
      </c>
      <c r="O225" s="46">
        <f t="shared" si="140"/>
        <v>938099.33351133915</v>
      </c>
      <c r="P225" s="47">
        <f t="shared" si="141"/>
        <v>29016.165185185182</v>
      </c>
      <c r="Q225" s="42">
        <v>1566872.92</v>
      </c>
      <c r="R225" s="48">
        <f t="shared" si="129"/>
        <v>0.5987079880807048</v>
      </c>
      <c r="S225" s="49"/>
      <c r="T225" s="157">
        <f>IFERROR(VLOOKUP(B225,[1]Todos!$A$2:$C$3021,3,FALSE),0)</f>
        <v>881.25</v>
      </c>
      <c r="U225" s="112">
        <f t="shared" si="130"/>
        <v>0</v>
      </c>
      <c r="W225" s="157">
        <f>IFERROR(VLOOKUP(B225,[1]Todos!$A$2:$B$3021,2,FALSE),0)</f>
        <v>8388.35</v>
      </c>
      <c r="X225" s="112">
        <f t="shared" si="131"/>
        <v>-487.96999999999935</v>
      </c>
    </row>
    <row r="226" spans="1:24" outlineLevel="2" x14ac:dyDescent="0.3">
      <c r="A226" s="40" t="str">
        <f>VLOOKUP(B226,Grupos!$A$2:$B$619,2,FALSE)</f>
        <v>TABLEROS 75 AMP BIMETALICO CON PUERTA</v>
      </c>
      <c r="B226" s="41" t="s">
        <v>333</v>
      </c>
      <c r="C226" s="41" t="s">
        <v>334</v>
      </c>
      <c r="D226" s="42">
        <v>216</v>
      </c>
      <c r="E226" s="43">
        <v>9206.84</v>
      </c>
      <c r="F226" s="192">
        <v>986.4</v>
      </c>
      <c r="G226" s="126">
        <f t="shared" si="132"/>
        <v>10193.24</v>
      </c>
      <c r="H226" s="127">
        <f t="shared" si="133"/>
        <v>1988677.44</v>
      </c>
      <c r="I226" s="128">
        <f t="shared" si="134"/>
        <v>213062.39999999999</v>
      </c>
      <c r="J226" s="128">
        <f t="shared" si="135"/>
        <v>2201739.84</v>
      </c>
      <c r="K226" s="44">
        <f t="shared" si="136"/>
        <v>1.3138730410834191E-3</v>
      </c>
      <c r="L226" s="45">
        <f t="shared" si="137"/>
        <v>2537.6282176900022</v>
      </c>
      <c r="M226" s="45">
        <f t="shared" si="138"/>
        <v>5804.1987901432476</v>
      </c>
      <c r="N226" s="45">
        <f t="shared" si="139"/>
        <v>18535.067007833248</v>
      </c>
      <c r="O226" s="46">
        <f t="shared" si="140"/>
        <v>4003574.4736919813</v>
      </c>
      <c r="P226" s="47">
        <f t="shared" si="141"/>
        <v>28894.250416666666</v>
      </c>
      <c r="Q226" s="42">
        <v>6241158.0899999999</v>
      </c>
      <c r="R226" s="48">
        <f t="shared" si="129"/>
        <v>0.64147942031892691</v>
      </c>
      <c r="S226" s="49"/>
      <c r="T226" s="157">
        <f>IFERROR(VLOOKUP(B226,[1]Todos!$A$2:$C$3021,3,FALSE),0)</f>
        <v>986.4</v>
      </c>
      <c r="U226" s="112">
        <f t="shared" si="130"/>
        <v>0</v>
      </c>
      <c r="W226" s="157">
        <f>IFERROR(VLOOKUP(B226,[1]Todos!$A$2:$B$3021,2,FALSE),0)</f>
        <v>8718.8700000000008</v>
      </c>
      <c r="X226" s="112">
        <f t="shared" si="131"/>
        <v>-487.96999999999935</v>
      </c>
    </row>
    <row r="227" spans="1:24" outlineLevel="2" x14ac:dyDescent="0.3">
      <c r="A227" s="40" t="str">
        <f>VLOOKUP(B227,Grupos!$A$2:$B$619,2,FALSE)</f>
        <v>TABLEROS 75 AMP BIMETALICO CON PUERTA</v>
      </c>
      <c r="B227" s="41" t="s">
        <v>335</v>
      </c>
      <c r="C227" s="41" t="s">
        <v>336</v>
      </c>
      <c r="D227" s="42">
        <v>200</v>
      </c>
      <c r="E227" s="43">
        <v>10810.75</v>
      </c>
      <c r="F227" s="192">
        <v>1096.9000000000001</v>
      </c>
      <c r="G227" s="126">
        <f t="shared" si="132"/>
        <v>11907.65</v>
      </c>
      <c r="H227" s="127">
        <f t="shared" si="133"/>
        <v>2162150</v>
      </c>
      <c r="I227" s="128">
        <f t="shared" si="134"/>
        <v>219380.00000000003</v>
      </c>
      <c r="J227" s="128">
        <f t="shared" si="135"/>
        <v>2381530</v>
      </c>
      <c r="K227" s="44">
        <f t="shared" si="136"/>
        <v>1.4211615771695331E-3</v>
      </c>
      <c r="L227" s="45">
        <f t="shared" si="137"/>
        <v>2964.4341393292375</v>
      </c>
      <c r="M227" s="45">
        <f t="shared" si="138"/>
        <v>6454.405568641655</v>
      </c>
      <c r="N227" s="45">
        <f t="shared" si="139"/>
        <v>21326.489707970894</v>
      </c>
      <c r="O227" s="46">
        <f t="shared" si="140"/>
        <v>4265297.9415941788</v>
      </c>
      <c r="P227" s="47">
        <f t="shared" si="141"/>
        <v>33044.92035</v>
      </c>
      <c r="Q227" s="42">
        <v>6608984.0700000003</v>
      </c>
      <c r="R227" s="48">
        <f t="shared" si="129"/>
        <v>0.64537875964258129</v>
      </c>
      <c r="S227" s="49"/>
      <c r="T227" s="157">
        <f>IFERROR(VLOOKUP(B227,[1]Todos!$A$2:$C$3021,3,FALSE),0)</f>
        <v>1096.9000000000001</v>
      </c>
      <c r="U227" s="112">
        <f t="shared" si="130"/>
        <v>0</v>
      </c>
      <c r="W227" s="157">
        <f>IFERROR(VLOOKUP(B227,[1]Todos!$A$2:$B$3021,2,FALSE),0)</f>
        <v>10223.36</v>
      </c>
      <c r="X227" s="112">
        <f t="shared" si="131"/>
        <v>-587.38999999999942</v>
      </c>
    </row>
    <row r="228" spans="1:24" outlineLevel="2" x14ac:dyDescent="0.3">
      <c r="A228" s="40" t="str">
        <f>VLOOKUP(B228,Grupos!$A$2:$B$619,2,FALSE)</f>
        <v>TABLEROS 75 AMP BIMETALICO CON PUERTA</v>
      </c>
      <c r="B228" s="41" t="s">
        <v>337</v>
      </c>
      <c r="C228" s="41" t="s">
        <v>338</v>
      </c>
      <c r="D228" s="42">
        <v>96</v>
      </c>
      <c r="E228" s="43">
        <v>11130.54</v>
      </c>
      <c r="F228" s="192">
        <v>1154.1300000000001</v>
      </c>
      <c r="G228" s="126">
        <f t="shared" si="132"/>
        <v>12284.670000000002</v>
      </c>
      <c r="H228" s="127">
        <f t="shared" si="133"/>
        <v>1068531.8400000001</v>
      </c>
      <c r="I228" s="128">
        <f t="shared" si="134"/>
        <v>110796.48000000001</v>
      </c>
      <c r="J228" s="128">
        <f t="shared" si="135"/>
        <v>1179328.3200000003</v>
      </c>
      <c r="K228" s="44">
        <f t="shared" si="136"/>
        <v>7.0375602879321113E-4</v>
      </c>
      <c r="L228" s="45">
        <f t="shared" si="137"/>
        <v>3058.2940494886661</v>
      </c>
      <c r="M228" s="45">
        <f t="shared" si="138"/>
        <v>6791.1597218856723</v>
      </c>
      <c r="N228" s="45">
        <f t="shared" si="139"/>
        <v>22134.123771374339</v>
      </c>
      <c r="O228" s="46">
        <f t="shared" si="140"/>
        <v>2124875.8820519364</v>
      </c>
      <c r="P228" s="47">
        <f t="shared" si="141"/>
        <v>35822.250104166662</v>
      </c>
      <c r="Q228" s="42">
        <v>3438936.01</v>
      </c>
      <c r="R228" s="48">
        <f t="shared" si="129"/>
        <v>0.61788758961290946</v>
      </c>
      <c r="S228" s="49"/>
      <c r="T228" s="157">
        <f>IFERROR(VLOOKUP(B228,[1]Todos!$A$2:$C$3021,3,FALSE),0)</f>
        <v>1154.1300000000001</v>
      </c>
      <c r="U228" s="112">
        <f t="shared" si="130"/>
        <v>0</v>
      </c>
      <c r="W228" s="157">
        <f>IFERROR(VLOOKUP(B228,[1]Todos!$A$2:$B$3021,2,FALSE),0)</f>
        <v>10543.15</v>
      </c>
      <c r="X228" s="112">
        <f t="shared" si="131"/>
        <v>-587.39000000000124</v>
      </c>
    </row>
    <row r="229" spans="1:24" outlineLevel="2" x14ac:dyDescent="0.3">
      <c r="A229" s="40" t="str">
        <f>VLOOKUP(B229,Grupos!$A$2:$B$619,2,FALSE)</f>
        <v>TABLEROS 75 AMP BIMETALICO CON PUERTA</v>
      </c>
      <c r="B229" s="41" t="s">
        <v>339</v>
      </c>
      <c r="C229" s="41" t="s">
        <v>340</v>
      </c>
      <c r="D229" s="42">
        <v>120</v>
      </c>
      <c r="E229" s="43">
        <v>13571.65</v>
      </c>
      <c r="F229" s="192">
        <v>1557.61</v>
      </c>
      <c r="G229" s="126">
        <f t="shared" si="132"/>
        <v>15129.26</v>
      </c>
      <c r="H229" s="127">
        <f t="shared" si="133"/>
        <v>1628598</v>
      </c>
      <c r="I229" s="128">
        <f t="shared" si="134"/>
        <v>186913.19999999998</v>
      </c>
      <c r="J229" s="128">
        <f t="shared" si="135"/>
        <v>1815511.2</v>
      </c>
      <c r="K229" s="44">
        <f t="shared" si="136"/>
        <v>1.0833937680234771E-3</v>
      </c>
      <c r="L229" s="45">
        <f t="shared" si="137"/>
        <v>3766.4606237828839</v>
      </c>
      <c r="M229" s="45">
        <f t="shared" si="138"/>
        <v>9165.3265181620263</v>
      </c>
      <c r="N229" s="45">
        <f t="shared" si="139"/>
        <v>28061.04714194491</v>
      </c>
      <c r="O229" s="46">
        <f t="shared" si="140"/>
        <v>3367325.657033389</v>
      </c>
      <c r="P229" s="47">
        <f t="shared" si="141"/>
        <v>59251.501833333328</v>
      </c>
      <c r="Q229" s="42">
        <v>7110180.2199999997</v>
      </c>
      <c r="R229" s="48">
        <f t="shared" si="129"/>
        <v>0.47359216684290867</v>
      </c>
      <c r="S229" s="49"/>
      <c r="T229" s="157">
        <f>IFERROR(VLOOKUP(B229,[1]Todos!$A$2:$C$3021,3,FALSE),0)</f>
        <v>1557.61</v>
      </c>
      <c r="U229" s="112">
        <f t="shared" si="130"/>
        <v>0</v>
      </c>
      <c r="W229" s="157">
        <f>IFERROR(VLOOKUP(B229,[1]Todos!$A$2:$B$3021,2,FALSE),0)</f>
        <v>12844.46</v>
      </c>
      <c r="X229" s="112">
        <f t="shared" si="131"/>
        <v>-727.19000000000051</v>
      </c>
    </row>
    <row r="230" spans="1:24" outlineLevel="2" x14ac:dyDescent="0.3">
      <c r="A230" s="40" t="str">
        <f>VLOOKUP(B230,Grupos!$A$2:$B$619,2,FALSE)</f>
        <v>TABLEROS 75 AMP BIMETALICO CON PUERTA</v>
      </c>
      <c r="B230" s="41" t="s">
        <v>341</v>
      </c>
      <c r="C230" s="41" t="s">
        <v>342</v>
      </c>
      <c r="D230" s="42">
        <v>48</v>
      </c>
      <c r="E230" s="43">
        <v>13917.35</v>
      </c>
      <c r="F230" s="43">
        <v>1704.21</v>
      </c>
      <c r="G230" s="126">
        <f t="shared" si="132"/>
        <v>15621.560000000001</v>
      </c>
      <c r="H230" s="127">
        <f t="shared" si="133"/>
        <v>668032.80000000005</v>
      </c>
      <c r="I230" s="128">
        <f t="shared" si="134"/>
        <v>81802.080000000002</v>
      </c>
      <c r="J230" s="128">
        <f t="shared" si="135"/>
        <v>749834.88000000012</v>
      </c>
      <c r="K230" s="44">
        <f t="shared" si="136"/>
        <v>4.4745878518327617E-4</v>
      </c>
      <c r="L230" s="45">
        <f t="shared" si="137"/>
        <v>3889.0197287945189</v>
      </c>
      <c r="M230" s="45">
        <f t="shared" si="138"/>
        <v>10027.95379171738</v>
      </c>
      <c r="N230" s="45">
        <f t="shared" si="139"/>
        <v>29538.533520511901</v>
      </c>
      <c r="O230" s="46">
        <f t="shared" si="140"/>
        <v>1417849.6089845712</v>
      </c>
      <c r="P230" s="47">
        <f t="shared" si="141"/>
        <v>60142.500208333331</v>
      </c>
      <c r="Q230" s="42">
        <v>2886840.01</v>
      </c>
      <c r="R230" s="48">
        <f t="shared" si="129"/>
        <v>0.4911424270389585</v>
      </c>
      <c r="S230" s="49"/>
      <c r="T230" s="157">
        <f>IFERROR(VLOOKUP(B230,[1]Todos!$A$2:$C$3021,3,FALSE),0)</f>
        <v>1626.88</v>
      </c>
      <c r="U230" s="112">
        <f t="shared" si="130"/>
        <v>-77.329999999999927</v>
      </c>
      <c r="W230" s="157">
        <f>IFERROR(VLOOKUP(B230,[1]Todos!$A$2:$B$3021,2,FALSE),0)</f>
        <v>13190.16</v>
      </c>
      <c r="X230" s="112">
        <f t="shared" si="131"/>
        <v>-727.19000000000051</v>
      </c>
    </row>
    <row r="231" spans="1:24" s="93" customFormat="1" outlineLevel="1" x14ac:dyDescent="0.3">
      <c r="A231" s="50" t="s">
        <v>1036</v>
      </c>
      <c r="B231" s="129"/>
      <c r="C231" s="129"/>
      <c r="D231" s="51">
        <f>SUBTOTAL(9,D224:D230)</f>
        <v>769</v>
      </c>
      <c r="E231" s="52"/>
      <c r="F231" s="52"/>
      <c r="G231" s="130"/>
      <c r="H231" s="131">
        <f>SUBTOTAL(9,H224:H230)</f>
        <v>8640833.1600000001</v>
      </c>
      <c r="I231" s="146">
        <f>SUBTOTAL(9,I224:I230)</f>
        <v>907032.46</v>
      </c>
      <c r="J231" s="146">
        <f>SUBTOTAL(9,J224:J230)</f>
        <v>9547865.620000001</v>
      </c>
      <c r="K231" s="53"/>
      <c r="L231" s="54"/>
      <c r="M231" s="54"/>
      <c r="N231" s="54"/>
      <c r="O231" s="55">
        <f>SUBTOTAL(9,O224:O230)</f>
        <v>17262008.936039403</v>
      </c>
      <c r="P231" s="56"/>
      <c r="Q231" s="51">
        <f>SUBTOTAL(9,Q224:Q230)</f>
        <v>30091481.299999997</v>
      </c>
      <c r="R231" s="57">
        <f t="shared" si="129"/>
        <v>0.57365101983329103</v>
      </c>
      <c r="S231" s="58">
        <f>Q231/$Q$308</f>
        <v>6.9493686957903282E-3</v>
      </c>
      <c r="T231" s="157">
        <f>IFERROR(VLOOKUP(B231,[1]Todos!$A$2:$C$3021,3,FALSE),0)</f>
        <v>0</v>
      </c>
      <c r="U231" s="112">
        <f t="shared" si="130"/>
        <v>0</v>
      </c>
      <c r="W231" s="157">
        <f>IFERROR(VLOOKUP(B231,[1]Todos!$A$2:$B$3021,2,FALSE),0)</f>
        <v>0</v>
      </c>
      <c r="X231" s="112">
        <f t="shared" si="131"/>
        <v>0</v>
      </c>
    </row>
    <row r="232" spans="1:24" outlineLevel="2" x14ac:dyDescent="0.3">
      <c r="A232" s="40" t="str">
        <f>VLOOKUP(B232,Grupos!$A$2:$B$619,2,FALSE)</f>
        <v>TABLEROS 75 AMP BIMETALICO TAPA LISA</v>
      </c>
      <c r="B232" s="41" t="s">
        <v>343</v>
      </c>
      <c r="C232" s="41" t="s">
        <v>1086</v>
      </c>
      <c r="D232" s="42">
        <v>312</v>
      </c>
      <c r="E232" s="43">
        <v>6438.41</v>
      </c>
      <c r="F232" s="192">
        <v>461.27</v>
      </c>
      <c r="G232" s="126">
        <f t="shared" ref="G232:G243" si="142">E232+F232</f>
        <v>6899.68</v>
      </c>
      <c r="H232" s="127">
        <f t="shared" ref="H232:H243" si="143">E232*D232</f>
        <v>2008783.92</v>
      </c>
      <c r="I232" s="128">
        <f t="shared" ref="I232:I243" si="144">F232*D232</f>
        <v>143916.24</v>
      </c>
      <c r="J232" s="128">
        <f t="shared" ref="J232:J243" si="145">G232*D232</f>
        <v>2152700.16</v>
      </c>
      <c r="K232" s="44">
        <f t="shared" ref="K232:K243" si="146">J232/$J$308</f>
        <v>1.2846089507831965E-3</v>
      </c>
      <c r="L232" s="45">
        <f t="shared" ref="L232:L243" si="147">$K$383*K232/D232</f>
        <v>1717.68963166092</v>
      </c>
      <c r="M232" s="45">
        <f t="shared" ref="M232:M243" si="148">F232*$M$382</f>
        <v>2714.2161150946631</v>
      </c>
      <c r="N232" s="45">
        <f t="shared" ref="N232:N243" si="149">G232+L232+M232</f>
        <v>11331.585746755583</v>
      </c>
      <c r="O232" s="46">
        <f t="shared" ref="O232:O243" si="150">N232*D232</f>
        <v>3535454.752987742</v>
      </c>
      <c r="P232" s="47">
        <f t="shared" ref="P232:P243" si="151">Q232/D232</f>
        <v>15373.038717948719</v>
      </c>
      <c r="Q232" s="42">
        <v>4796388.08</v>
      </c>
      <c r="R232" s="152">
        <f t="shared" si="129"/>
        <v>0.73710773482443936</v>
      </c>
      <c r="S232" s="49"/>
      <c r="T232" s="157">
        <f>IFERROR(VLOOKUP(B232,[1]Todos!$A$2:$C$3021,3,FALSE),0)</f>
        <v>461.27</v>
      </c>
      <c r="U232" s="112">
        <f t="shared" si="130"/>
        <v>0</v>
      </c>
      <c r="W232" s="157">
        <f>IFERROR(VLOOKUP(B232,[1]Todos!$A$2:$B$3021,2,FALSE),0)</f>
        <v>6098.85</v>
      </c>
      <c r="X232" s="112">
        <f t="shared" si="131"/>
        <v>-339.55999999999949</v>
      </c>
    </row>
    <row r="233" spans="1:24" outlineLevel="2" x14ac:dyDescent="0.3">
      <c r="A233" s="40" t="str">
        <f>VLOOKUP(B233,Grupos!$A$2:$B$619,2,FALSE)</f>
        <v>TABLEROS 75 AMP BIMETALICO TAPA LISA</v>
      </c>
      <c r="B233" s="41" t="s">
        <v>346</v>
      </c>
      <c r="C233" s="41" t="s">
        <v>347</v>
      </c>
      <c r="D233" s="42">
        <v>480</v>
      </c>
      <c r="E233" s="43">
        <v>5640.71</v>
      </c>
      <c r="F233" s="192">
        <v>428.72</v>
      </c>
      <c r="G233" s="126">
        <f t="shared" si="142"/>
        <v>6069.43</v>
      </c>
      <c r="H233" s="127">
        <f t="shared" si="143"/>
        <v>2707540.8</v>
      </c>
      <c r="I233" s="128">
        <f t="shared" si="144"/>
        <v>205785.60000000001</v>
      </c>
      <c r="J233" s="128">
        <f t="shared" si="145"/>
        <v>2913326.4000000004</v>
      </c>
      <c r="K233" s="44">
        <f t="shared" si="146"/>
        <v>1.7385074055055523E-3</v>
      </c>
      <c r="L233" s="45">
        <f t="shared" si="147"/>
        <v>1510.9971739402026</v>
      </c>
      <c r="M233" s="45">
        <f t="shared" si="148"/>
        <v>2522.6846160890241</v>
      </c>
      <c r="N233" s="45">
        <f t="shared" si="149"/>
        <v>10103.111790029227</v>
      </c>
      <c r="O233" s="46">
        <f t="shared" si="150"/>
        <v>4849493.6592140291</v>
      </c>
      <c r="P233" s="47">
        <f t="shared" si="151"/>
        <v>16080.075229166667</v>
      </c>
      <c r="Q233" s="42">
        <v>7718436.1100000003</v>
      </c>
      <c r="R233" s="152">
        <f t="shared" si="129"/>
        <v>0.62830003255854239</v>
      </c>
      <c r="S233" s="49"/>
      <c r="T233" s="157">
        <f>IFERROR(VLOOKUP(B233,[1]Todos!$A$2:$C$3021,3,FALSE),0)</f>
        <v>428.72</v>
      </c>
      <c r="U233" s="112">
        <f t="shared" si="130"/>
        <v>0</v>
      </c>
      <c r="W233" s="157">
        <f>IFERROR(VLOOKUP(B233,[1]Todos!$A$2:$B$3021,2,FALSE),0)</f>
        <v>5399.91</v>
      </c>
      <c r="X233" s="112">
        <f t="shared" si="131"/>
        <v>-240.80000000000018</v>
      </c>
    </row>
    <row r="234" spans="1:24" outlineLevel="2" x14ac:dyDescent="0.3">
      <c r="A234" s="40" t="str">
        <f>VLOOKUP(B234,Grupos!$A$2:$B$619,2,FALSE)</f>
        <v>TABLEROS 75 AMP BIMETALICO TAPA LISA</v>
      </c>
      <c r="B234" s="41" t="s">
        <v>350</v>
      </c>
      <c r="C234" s="41" t="s">
        <v>351</v>
      </c>
      <c r="D234" s="42">
        <v>360</v>
      </c>
      <c r="E234" s="43">
        <v>7743.55</v>
      </c>
      <c r="F234" s="192">
        <v>724.35</v>
      </c>
      <c r="G234" s="126">
        <f t="shared" si="142"/>
        <v>8467.9</v>
      </c>
      <c r="H234" s="127">
        <f t="shared" si="143"/>
        <v>2787678</v>
      </c>
      <c r="I234" s="128">
        <f t="shared" si="144"/>
        <v>260766</v>
      </c>
      <c r="J234" s="128">
        <f t="shared" si="145"/>
        <v>3048444</v>
      </c>
      <c r="K234" s="44">
        <f t="shared" si="146"/>
        <v>1.8191378999857235E-3</v>
      </c>
      <c r="L234" s="45">
        <f t="shared" si="147"/>
        <v>2108.1012499045614</v>
      </c>
      <c r="M234" s="45">
        <f t="shared" si="148"/>
        <v>4262.2378281024548</v>
      </c>
      <c r="N234" s="45">
        <f t="shared" si="149"/>
        <v>14838.239078007016</v>
      </c>
      <c r="O234" s="46">
        <f t="shared" si="150"/>
        <v>5341766.0680825263</v>
      </c>
      <c r="P234" s="47">
        <f t="shared" si="151"/>
        <v>18422.444083333332</v>
      </c>
      <c r="Q234" s="42">
        <v>6632079.8700000001</v>
      </c>
      <c r="R234" s="152">
        <f t="shared" si="129"/>
        <v>0.80544356714487608</v>
      </c>
      <c r="S234" s="49"/>
      <c r="T234" s="157">
        <f>IFERROR(VLOOKUP(B234,[1]Todos!$A$2:$C$3021,3,FALSE),0)</f>
        <v>724.35</v>
      </c>
      <c r="U234" s="112">
        <f t="shared" si="130"/>
        <v>0</v>
      </c>
      <c r="W234" s="157">
        <f>IFERROR(VLOOKUP(B234,[1]Todos!$A$2:$B$3021,2,FALSE),0)</f>
        <v>7325.64</v>
      </c>
      <c r="X234" s="112">
        <f t="shared" si="131"/>
        <v>-417.90999999999985</v>
      </c>
    </row>
    <row r="235" spans="1:24" outlineLevel="2" x14ac:dyDescent="0.3">
      <c r="A235" s="40" t="str">
        <f>VLOOKUP(B235,Grupos!$A$2:$B$619,2,FALSE)</f>
        <v>TABLEROS 75 AMP BIMETALICO TAPA LISA</v>
      </c>
      <c r="B235" s="41" t="s">
        <v>352</v>
      </c>
      <c r="C235" s="41" t="s">
        <v>353</v>
      </c>
      <c r="D235" s="42">
        <v>20</v>
      </c>
      <c r="E235" s="43">
        <v>8255.1</v>
      </c>
      <c r="F235" s="192">
        <v>900.79</v>
      </c>
      <c r="G235" s="126">
        <f t="shared" si="142"/>
        <v>9155.89</v>
      </c>
      <c r="H235" s="127">
        <f t="shared" si="143"/>
        <v>165102</v>
      </c>
      <c r="I235" s="128">
        <f t="shared" si="144"/>
        <v>18015.8</v>
      </c>
      <c r="J235" s="128">
        <f t="shared" si="145"/>
        <v>183117.8</v>
      </c>
      <c r="K235" s="44">
        <f t="shared" si="146"/>
        <v>1.092742822705635E-4</v>
      </c>
      <c r="L235" s="45">
        <f t="shared" si="147"/>
        <v>2279.3777858723738</v>
      </c>
      <c r="M235" s="45">
        <f t="shared" si="148"/>
        <v>5300.4503529735766</v>
      </c>
      <c r="N235" s="45">
        <f t="shared" si="149"/>
        <v>16735.71813884595</v>
      </c>
      <c r="O235" s="46">
        <f t="shared" si="150"/>
        <v>334714.36277691904</v>
      </c>
      <c r="P235" s="47">
        <f t="shared" si="151"/>
        <v>23859.998499999998</v>
      </c>
      <c r="Q235" s="42">
        <v>477199.97</v>
      </c>
      <c r="R235" s="48">
        <f t="shared" si="129"/>
        <v>0.70141321001532975</v>
      </c>
      <c r="S235" s="49"/>
      <c r="T235" s="157">
        <f>IFERROR(VLOOKUP(B235,[1]Todos!$A$2:$C$3021,3,FALSE),0)</f>
        <v>900.79</v>
      </c>
      <c r="U235" s="112">
        <f t="shared" si="130"/>
        <v>0</v>
      </c>
      <c r="W235" s="157">
        <f>IFERROR(VLOOKUP(B235,[1]Todos!$A$2:$B$3021,2,FALSE),0)</f>
        <v>7779.89</v>
      </c>
      <c r="X235" s="112">
        <f t="shared" si="131"/>
        <v>-475.21000000000004</v>
      </c>
    </row>
    <row r="236" spans="1:24" outlineLevel="2" x14ac:dyDescent="0.3">
      <c r="A236" s="40" t="str">
        <f>VLOOKUP(B236,Grupos!$A$2:$B$619,2,FALSE)</f>
        <v>TABLEROS 75 AMP BIMETALICO TAPA LISA</v>
      </c>
      <c r="B236" s="41" t="s">
        <v>354</v>
      </c>
      <c r="C236" s="41" t="s">
        <v>355</v>
      </c>
      <c r="D236" s="42">
        <v>617</v>
      </c>
      <c r="E236" s="43">
        <v>8171.51</v>
      </c>
      <c r="F236" s="192">
        <v>806.59</v>
      </c>
      <c r="G236" s="126">
        <f t="shared" si="142"/>
        <v>8978.1</v>
      </c>
      <c r="H236" s="127">
        <f t="shared" si="143"/>
        <v>5041821.67</v>
      </c>
      <c r="I236" s="128">
        <f t="shared" si="144"/>
        <v>497666.03</v>
      </c>
      <c r="J236" s="128">
        <f t="shared" si="145"/>
        <v>5539487.7000000002</v>
      </c>
      <c r="K236" s="44">
        <f t="shared" si="146"/>
        <v>3.3056510211684209E-3</v>
      </c>
      <c r="L236" s="45">
        <f t="shared" si="147"/>
        <v>2235.1165970037605</v>
      </c>
      <c r="M236" s="45">
        <f t="shared" si="148"/>
        <v>4746.1564295839844</v>
      </c>
      <c r="N236" s="45">
        <f t="shared" si="149"/>
        <v>15959.373026587746</v>
      </c>
      <c r="O236" s="46">
        <f t="shared" si="150"/>
        <v>9846933.1574046388</v>
      </c>
      <c r="P236" s="47">
        <f t="shared" si="151"/>
        <v>22303.12495948136</v>
      </c>
      <c r="Q236" s="42">
        <v>13761028.1</v>
      </c>
      <c r="R236" s="152">
        <f t="shared" si="129"/>
        <v>0.71556667756565651</v>
      </c>
      <c r="S236" s="49"/>
      <c r="T236" s="157">
        <f>IFERROR(VLOOKUP(B236,[1]Todos!$A$2:$C$3021,3,FALSE),0)</f>
        <v>806.59</v>
      </c>
      <c r="U236" s="112">
        <f t="shared" si="130"/>
        <v>0</v>
      </c>
      <c r="W236" s="157">
        <f>IFERROR(VLOOKUP(B236,[1]Todos!$A$2:$B$3021,2,FALSE),0)</f>
        <v>7768.74</v>
      </c>
      <c r="X236" s="112">
        <f t="shared" si="131"/>
        <v>-402.77000000000044</v>
      </c>
    </row>
    <row r="237" spans="1:24" outlineLevel="2" x14ac:dyDescent="0.3">
      <c r="A237" s="40" t="str">
        <f>VLOOKUP(B237,Grupos!$A$2:$B$619,2,FALSE)</f>
        <v>TABLEROS 75 AMP BIMETALICO TAPA LISA</v>
      </c>
      <c r="B237" s="41" t="s">
        <v>356</v>
      </c>
      <c r="C237" s="41" t="s">
        <v>357</v>
      </c>
      <c r="D237" s="42">
        <v>120</v>
      </c>
      <c r="E237" s="43">
        <v>7954.55</v>
      </c>
      <c r="F237" s="192">
        <v>823.37</v>
      </c>
      <c r="G237" s="126">
        <f t="shared" si="142"/>
        <v>8777.92</v>
      </c>
      <c r="H237" s="127">
        <f t="shared" si="143"/>
        <v>954546</v>
      </c>
      <c r="I237" s="128">
        <f t="shared" si="144"/>
        <v>98804.4</v>
      </c>
      <c r="J237" s="128">
        <f t="shared" si="145"/>
        <v>1053350.3999999999</v>
      </c>
      <c r="K237" s="44">
        <f t="shared" si="146"/>
        <v>6.2857957522103789E-4</v>
      </c>
      <c r="L237" s="45">
        <f t="shared" si="147"/>
        <v>2185.2813712446118</v>
      </c>
      <c r="M237" s="45">
        <f t="shared" si="148"/>
        <v>4844.8937123279056</v>
      </c>
      <c r="N237" s="45">
        <f t="shared" si="149"/>
        <v>15808.095083572516</v>
      </c>
      <c r="O237" s="46">
        <f t="shared" si="150"/>
        <v>1896971.4100287019</v>
      </c>
      <c r="P237" s="47">
        <f t="shared" si="151"/>
        <v>23859.998583333334</v>
      </c>
      <c r="Q237" s="42">
        <v>2863199.83</v>
      </c>
      <c r="R237" s="48">
        <f t="shared" si="129"/>
        <v>0.66253545776045319</v>
      </c>
      <c r="S237" s="49"/>
      <c r="T237" s="157">
        <f>IFERROR(VLOOKUP(B237,[1]Todos!$A$2:$C$3021,3,FALSE),0)</f>
        <v>823.37</v>
      </c>
      <c r="U237" s="112">
        <f t="shared" si="130"/>
        <v>0</v>
      </c>
      <c r="W237" s="157">
        <f>IFERROR(VLOOKUP(B237,[1]Todos!$A$2:$B$3021,2,FALSE),0)</f>
        <v>7472.13</v>
      </c>
      <c r="X237" s="112">
        <f t="shared" si="131"/>
        <v>-482.42000000000007</v>
      </c>
    </row>
    <row r="238" spans="1:24" outlineLevel="2" x14ac:dyDescent="0.3">
      <c r="A238" s="40" t="str">
        <f>VLOOKUP(B238,Grupos!$A$2:$B$619,2,FALSE)</f>
        <v>TABLEROS 75 AMP BIMETALICO TAPA LISA</v>
      </c>
      <c r="B238" s="41" t="s">
        <v>358</v>
      </c>
      <c r="C238" s="41" t="s">
        <v>359</v>
      </c>
      <c r="D238" s="42">
        <v>1880</v>
      </c>
      <c r="E238" s="43">
        <v>7840.99</v>
      </c>
      <c r="F238" s="192">
        <v>779.32</v>
      </c>
      <c r="G238" s="126">
        <f t="shared" si="142"/>
        <v>8620.31</v>
      </c>
      <c r="H238" s="127">
        <f t="shared" si="143"/>
        <v>14741061.199999999</v>
      </c>
      <c r="I238" s="128">
        <f t="shared" si="144"/>
        <v>1465121.6</v>
      </c>
      <c r="J238" s="128">
        <f t="shared" si="145"/>
        <v>16206182.799999999</v>
      </c>
      <c r="K238" s="44">
        <f t="shared" si="146"/>
        <v>9.6709276422911987E-3</v>
      </c>
      <c r="L238" s="45">
        <f t="shared" si="147"/>
        <v>2146.0440351875659</v>
      </c>
      <c r="M238" s="45">
        <f t="shared" si="148"/>
        <v>4585.6936345645136</v>
      </c>
      <c r="N238" s="45">
        <f t="shared" si="149"/>
        <v>15352.047669752079</v>
      </c>
      <c r="O238" s="46">
        <f t="shared" si="150"/>
        <v>28861849.619133908</v>
      </c>
      <c r="P238" s="47">
        <f t="shared" si="151"/>
        <v>21878.122978723404</v>
      </c>
      <c r="Q238" s="42">
        <v>41130871.200000003</v>
      </c>
      <c r="R238" s="152">
        <f t="shared" si="129"/>
        <v>0.70170771435383328</v>
      </c>
      <c r="S238" s="49"/>
      <c r="T238" s="157">
        <f>IFERROR(VLOOKUP(B238,[1]Todos!$A$2:$C$3021,3,FALSE),0)</f>
        <v>779.32</v>
      </c>
      <c r="U238" s="112">
        <f t="shared" si="130"/>
        <v>0</v>
      </c>
      <c r="W238" s="157">
        <f>IFERROR(VLOOKUP(B238,[1]Todos!$A$2:$B$3021,2,FALSE),0)</f>
        <v>7438.22</v>
      </c>
      <c r="X238" s="112">
        <f t="shared" si="131"/>
        <v>-402.76999999999953</v>
      </c>
    </row>
    <row r="239" spans="1:24" outlineLevel="2" x14ac:dyDescent="0.3">
      <c r="A239" s="40" t="str">
        <f>VLOOKUP(B239,Grupos!$A$2:$B$619,2,FALSE)</f>
        <v>TABLEROS 75 AMP BIMETALICO TAPA LISA</v>
      </c>
      <c r="B239" s="41" t="s">
        <v>362</v>
      </c>
      <c r="C239" s="41" t="s">
        <v>363</v>
      </c>
      <c r="D239" s="42">
        <v>460</v>
      </c>
      <c r="E239" s="43">
        <v>9901.58</v>
      </c>
      <c r="F239" s="192">
        <v>985.89</v>
      </c>
      <c r="G239" s="126">
        <f t="shared" si="142"/>
        <v>10887.47</v>
      </c>
      <c r="H239" s="127">
        <f t="shared" si="143"/>
        <v>4554726.8</v>
      </c>
      <c r="I239" s="128">
        <f t="shared" si="144"/>
        <v>453509.39999999997</v>
      </c>
      <c r="J239" s="128">
        <f t="shared" si="145"/>
        <v>5008236.1999999993</v>
      </c>
      <c r="K239" s="44">
        <f t="shared" si="146"/>
        <v>2.9886303581435243E-3</v>
      </c>
      <c r="L239" s="45">
        <f t="shared" si="147"/>
        <v>2710.4582145866639</v>
      </c>
      <c r="M239" s="45">
        <f t="shared" si="148"/>
        <v>5801.1978357809476</v>
      </c>
      <c r="N239" s="45">
        <f t="shared" si="149"/>
        <v>19399.126050367609</v>
      </c>
      <c r="O239" s="46">
        <f t="shared" si="150"/>
        <v>8923597.9831691012</v>
      </c>
      <c r="P239" s="47">
        <f t="shared" si="151"/>
        <v>25611.522369565217</v>
      </c>
      <c r="Q239" s="42">
        <v>11781300.289999999</v>
      </c>
      <c r="R239" s="152">
        <f t="shared" si="129"/>
        <v>0.75743744438323812</v>
      </c>
      <c r="S239" s="49"/>
      <c r="T239" s="157">
        <f>IFERROR(VLOOKUP(B239,[1]Todos!$A$2:$C$3021,3,FALSE),0)</f>
        <v>985.89</v>
      </c>
      <c r="U239" s="112">
        <f t="shared" si="130"/>
        <v>0</v>
      </c>
      <c r="W239" s="157">
        <f>IFERROR(VLOOKUP(B239,[1]Todos!$A$2:$B$3021,2,FALSE),0)</f>
        <v>9403.61</v>
      </c>
      <c r="X239" s="112">
        <f t="shared" si="131"/>
        <v>-497.96999999999935</v>
      </c>
    </row>
    <row r="240" spans="1:24" outlineLevel="2" x14ac:dyDescent="0.3">
      <c r="A240" s="40" t="str">
        <f>VLOOKUP(B240,Grupos!$A$2:$B$619,2,FALSE)</f>
        <v>TABLEROS 75 AMP BIMETALICO TAPA LISA</v>
      </c>
      <c r="B240" s="41" t="s">
        <v>364</v>
      </c>
      <c r="C240" s="41" t="s">
        <v>1089</v>
      </c>
      <c r="D240" s="42">
        <v>20</v>
      </c>
      <c r="E240" s="43">
        <v>9662.25</v>
      </c>
      <c r="F240" s="192">
        <v>974.85</v>
      </c>
      <c r="G240" s="126">
        <f t="shared" si="142"/>
        <v>10637.1</v>
      </c>
      <c r="H240" s="127">
        <f t="shared" si="143"/>
        <v>193245</v>
      </c>
      <c r="I240" s="128">
        <f t="shared" si="144"/>
        <v>19497</v>
      </c>
      <c r="J240" s="128">
        <f t="shared" si="145"/>
        <v>212742</v>
      </c>
      <c r="K240" s="44">
        <f t="shared" si="146"/>
        <v>1.2695231899249675E-4</v>
      </c>
      <c r="L240" s="45">
        <f t="shared" si="147"/>
        <v>2648.1280843372983</v>
      </c>
      <c r="M240" s="45">
        <f t="shared" si="148"/>
        <v>5736.2360001735051</v>
      </c>
      <c r="N240" s="45">
        <f t="shared" si="149"/>
        <v>19021.464084510804</v>
      </c>
      <c r="O240" s="46">
        <f t="shared" si="150"/>
        <v>380429.2816902161</v>
      </c>
      <c r="P240" s="47">
        <f t="shared" si="151"/>
        <v>31038.001</v>
      </c>
      <c r="Q240" s="42">
        <v>620760.02</v>
      </c>
      <c r="R240" s="48">
        <f t="shared" si="129"/>
        <v>0.61284436728096003</v>
      </c>
      <c r="S240" s="49"/>
      <c r="T240" s="157">
        <f>IFERROR(VLOOKUP(B240,[1]Todos!$A$2:$C$3021,3,FALSE),0)</f>
        <v>974.85</v>
      </c>
      <c r="U240" s="112">
        <f t="shared" si="130"/>
        <v>0</v>
      </c>
      <c r="W240" s="157">
        <f>IFERROR(VLOOKUP(B240,[1]Todos!$A$2:$B$3021,2,FALSE),0)</f>
        <v>9084.16</v>
      </c>
      <c r="X240" s="112">
        <f t="shared" si="131"/>
        <v>-578.09000000000015</v>
      </c>
    </row>
    <row r="241" spans="1:24" outlineLevel="2" x14ac:dyDescent="0.3">
      <c r="A241" s="40" t="str">
        <f>VLOOKUP(B241,Grupos!$A$2:$B$619,2,FALSE)</f>
        <v>TABLEROS 75 AMP BIMETALICO TAPA LISA</v>
      </c>
      <c r="B241" s="41" t="s">
        <v>365</v>
      </c>
      <c r="C241" s="41" t="s">
        <v>366</v>
      </c>
      <c r="D241" s="42">
        <v>874</v>
      </c>
      <c r="E241" s="43">
        <v>9581.7900000000009</v>
      </c>
      <c r="F241" s="192">
        <v>959.53</v>
      </c>
      <c r="G241" s="126">
        <f t="shared" si="142"/>
        <v>10541.320000000002</v>
      </c>
      <c r="H241" s="127">
        <f t="shared" si="143"/>
        <v>8374484.4600000009</v>
      </c>
      <c r="I241" s="128">
        <f t="shared" si="144"/>
        <v>838629.22</v>
      </c>
      <c r="J241" s="128">
        <f t="shared" si="145"/>
        <v>9213113.6800000016</v>
      </c>
      <c r="K241" s="44">
        <f t="shared" si="146"/>
        <v>5.4978619492977217E-3</v>
      </c>
      <c r="L241" s="45">
        <f t="shared" si="147"/>
        <v>2624.2834548877472</v>
      </c>
      <c r="M241" s="45">
        <f t="shared" si="148"/>
        <v>5646.089684819698</v>
      </c>
      <c r="N241" s="45">
        <f t="shared" si="149"/>
        <v>18811.693139707448</v>
      </c>
      <c r="O241" s="46">
        <f t="shared" si="150"/>
        <v>16441419.80410431</v>
      </c>
      <c r="P241" s="47">
        <f t="shared" si="151"/>
        <v>27230.65032036613</v>
      </c>
      <c r="Q241" s="42">
        <v>23799588.379999999</v>
      </c>
      <c r="R241" s="152">
        <f t="shared" si="129"/>
        <v>0.69082790599525112</v>
      </c>
      <c r="S241" s="49"/>
      <c r="T241" s="157">
        <f>IFERROR(VLOOKUP(B241,[1]Todos!$A$2:$C$3021,3,FALSE),0)</f>
        <v>959.53</v>
      </c>
      <c r="U241" s="112">
        <f t="shared" si="130"/>
        <v>0</v>
      </c>
      <c r="W241" s="157">
        <f>IFERROR(VLOOKUP(B241,[1]Todos!$A$2:$B$3021,2,FALSE),0)</f>
        <v>9083.82</v>
      </c>
      <c r="X241" s="112">
        <f t="shared" si="131"/>
        <v>-497.97000000000116</v>
      </c>
    </row>
    <row r="242" spans="1:24" outlineLevel="2" x14ac:dyDescent="0.3">
      <c r="A242" s="40" t="str">
        <f>VLOOKUP(B242,Grupos!$A$2:$B$619,2,FALSE)</f>
        <v>TABLEROS 75 AMP BIMETALICO TAPA LISA</v>
      </c>
      <c r="B242" s="41" t="s">
        <v>651</v>
      </c>
      <c r="C242" s="41" t="s">
        <v>652</v>
      </c>
      <c r="D242" s="42">
        <v>105</v>
      </c>
      <c r="E242" s="43">
        <v>11762.2</v>
      </c>
      <c r="F242" s="192">
        <v>887.05</v>
      </c>
      <c r="G242" s="126">
        <f t="shared" si="142"/>
        <v>12649.25</v>
      </c>
      <c r="H242" s="127">
        <f t="shared" si="143"/>
        <v>1235031</v>
      </c>
      <c r="I242" s="128">
        <f t="shared" si="144"/>
        <v>93140.25</v>
      </c>
      <c r="J242" s="128">
        <f t="shared" si="145"/>
        <v>1328171.25</v>
      </c>
      <c r="K242" s="44">
        <f t="shared" si="146"/>
        <v>7.9257701914367236E-4</v>
      </c>
      <c r="L242" s="45">
        <f t="shared" si="147"/>
        <v>3149.0569958732713</v>
      </c>
      <c r="M242" s="45">
        <f t="shared" si="148"/>
        <v>5219.6011119186614</v>
      </c>
      <c r="N242" s="45">
        <f t="shared" si="149"/>
        <v>21017.908107791933</v>
      </c>
      <c r="O242" s="46">
        <f t="shared" si="150"/>
        <v>2206880.3513181531</v>
      </c>
      <c r="P242" s="47">
        <f t="shared" si="151"/>
        <v>32726.501142857145</v>
      </c>
      <c r="Q242" s="42">
        <v>3436282.62</v>
      </c>
      <c r="R242" s="152">
        <f t="shared" si="129"/>
        <v>0.64222900016243512</v>
      </c>
      <c r="S242" s="49"/>
      <c r="T242" s="157">
        <f>IFERROR(VLOOKUP(B242,[1]Todos!$A$2:$C$3021,3,FALSE),0)</f>
        <v>887.05</v>
      </c>
      <c r="U242" s="112">
        <f t="shared" si="130"/>
        <v>0</v>
      </c>
      <c r="W242" s="157">
        <f>IFERROR(VLOOKUP(B242,[1]Todos!$A$2:$B$3021,2,FALSE),0)</f>
        <v>11201.28</v>
      </c>
      <c r="X242" s="112">
        <f t="shared" si="131"/>
        <v>-560.92000000000007</v>
      </c>
    </row>
    <row r="243" spans="1:24" outlineLevel="2" x14ac:dyDescent="0.3">
      <c r="A243" s="40" t="str">
        <f>VLOOKUP(B243,Grupos!$A$2:$B$619,2,FALSE)</f>
        <v>TABLEROS 75 AMP BIMETALICO TAPA LISA</v>
      </c>
      <c r="B243" s="41" t="s">
        <v>367</v>
      </c>
      <c r="C243" s="41" t="s">
        <v>368</v>
      </c>
      <c r="D243" s="42">
        <v>465</v>
      </c>
      <c r="E243" s="43">
        <v>11416.31</v>
      </c>
      <c r="F243" s="192">
        <v>972.71</v>
      </c>
      <c r="G243" s="126">
        <f t="shared" si="142"/>
        <v>12389.02</v>
      </c>
      <c r="H243" s="127">
        <f t="shared" si="143"/>
        <v>5308584.1499999994</v>
      </c>
      <c r="I243" s="128">
        <f t="shared" si="144"/>
        <v>452310.15</v>
      </c>
      <c r="J243" s="128">
        <f t="shared" si="145"/>
        <v>5760894.2999999998</v>
      </c>
      <c r="K243" s="44">
        <f t="shared" si="146"/>
        <v>3.4377738803605131E-3</v>
      </c>
      <c r="L243" s="45">
        <f t="shared" si="147"/>
        <v>3084.2721981946656</v>
      </c>
      <c r="M243" s="45">
        <f t="shared" si="148"/>
        <v>5723.6437603003233</v>
      </c>
      <c r="N243" s="45">
        <f t="shared" si="149"/>
        <v>21196.935958494989</v>
      </c>
      <c r="O243" s="46">
        <f t="shared" si="150"/>
        <v>9856575.220700169</v>
      </c>
      <c r="P243" s="47">
        <f t="shared" si="151"/>
        <v>34228.160774193551</v>
      </c>
      <c r="Q243" s="42">
        <v>15916094.76</v>
      </c>
      <c r="R243" s="152">
        <f t="shared" si="129"/>
        <v>0.61928352207801063</v>
      </c>
      <c r="S243" s="49"/>
      <c r="T243" s="157">
        <f>IFERROR(VLOOKUP(B243,[1]Todos!$A$2:$C$3021,3,FALSE),0)</f>
        <v>972.71</v>
      </c>
      <c r="U243" s="112">
        <f t="shared" si="130"/>
        <v>0</v>
      </c>
      <c r="W243" s="157">
        <f>IFERROR(VLOOKUP(B243,[1]Todos!$A$2:$B$3021,2,FALSE),0)</f>
        <v>10855.39</v>
      </c>
      <c r="X243" s="112">
        <f t="shared" si="131"/>
        <v>-560.92000000000007</v>
      </c>
    </row>
    <row r="244" spans="1:24" s="93" customFormat="1" outlineLevel="1" x14ac:dyDescent="0.3">
      <c r="A244" s="50" t="s">
        <v>1037</v>
      </c>
      <c r="B244" s="129"/>
      <c r="C244" s="129"/>
      <c r="D244" s="51">
        <f>SUBTOTAL(9,D232:D243)</f>
        <v>5713</v>
      </c>
      <c r="E244" s="52"/>
      <c r="F244" s="52"/>
      <c r="G244" s="130"/>
      <c r="H244" s="131">
        <f>SUBTOTAL(9,H232:H243)</f>
        <v>48072605</v>
      </c>
      <c r="I244" s="146">
        <f>SUBTOTAL(9,I232:I243)</f>
        <v>4547161.6900000004</v>
      </c>
      <c r="J244" s="146">
        <f>SUBTOTAL(9,J232:J243)</f>
        <v>52619766.68999999</v>
      </c>
      <c r="K244" s="53"/>
      <c r="L244" s="54"/>
      <c r="M244" s="54"/>
      <c r="N244" s="54"/>
      <c r="O244" s="55">
        <f>SUBTOTAL(9,O232:O243)</f>
        <v>92476085.670610428</v>
      </c>
      <c r="P244" s="56"/>
      <c r="Q244" s="51">
        <f>SUBTOTAL(9,Q232:Q243)</f>
        <v>132933229.22999999</v>
      </c>
      <c r="R244" s="57">
        <f t="shared" si="129"/>
        <v>0.69565816016256599</v>
      </c>
      <c r="S244" s="58">
        <f>Q244/$Q$308</f>
        <v>3.0699785518411214E-2</v>
      </c>
      <c r="T244" s="157">
        <f>IFERROR(VLOOKUP(B244,[1]Todos!$A$2:$C$3021,3,FALSE),0)</f>
        <v>0</v>
      </c>
      <c r="U244" s="112">
        <f t="shared" si="130"/>
        <v>0</v>
      </c>
      <c r="W244" s="157">
        <f>IFERROR(VLOOKUP(B244,[1]Todos!$A$2:$B$3021,2,FALSE),0)</f>
        <v>0</v>
      </c>
      <c r="X244" s="112">
        <f t="shared" si="131"/>
        <v>0</v>
      </c>
    </row>
    <row r="245" spans="1:24" outlineLevel="2" x14ac:dyDescent="0.3">
      <c r="A245" s="40" t="str">
        <f>VLOOKUP(B245,Grupos!$A$2:$B$619,2,FALSE)</f>
        <v>TABLEROS 75 AMP BIMETALICO TAPA PLASTICA</v>
      </c>
      <c r="B245" s="41" t="s">
        <v>369</v>
      </c>
      <c r="C245" s="41" t="s">
        <v>370</v>
      </c>
      <c r="D245" s="42">
        <v>399</v>
      </c>
      <c r="E245" s="43">
        <v>8139.61</v>
      </c>
      <c r="F245" s="192">
        <v>859.56</v>
      </c>
      <c r="G245" s="126">
        <f>E245+F245</f>
        <v>8999.17</v>
      </c>
      <c r="H245" s="127">
        <f>E245*D245</f>
        <v>3247704.3899999997</v>
      </c>
      <c r="I245" s="128">
        <f>F245*D245</f>
        <v>342964.44</v>
      </c>
      <c r="J245" s="128">
        <f>G245*D245</f>
        <v>3590668.83</v>
      </c>
      <c r="K245" s="44">
        <f>J245/$J$308</f>
        <v>2.142706821890248E-3</v>
      </c>
      <c r="L245" s="45">
        <f>$K$383*K245/D245</f>
        <v>2240.362017159347</v>
      </c>
      <c r="M245" s="45">
        <f>F245*$M$382</f>
        <v>5057.8437875664331</v>
      </c>
      <c r="N245" s="45">
        <f>G245+L245+M245</f>
        <v>16297.37580472578</v>
      </c>
      <c r="O245" s="46">
        <f>N245*D245</f>
        <v>6502652.9460855862</v>
      </c>
      <c r="P245" s="47">
        <f>Q245/D245</f>
        <v>21433.860626566417</v>
      </c>
      <c r="Q245" s="42">
        <v>8552110.3900000006</v>
      </c>
      <c r="R245" s="152">
        <f t="shared" si="129"/>
        <v>0.76035652599727321</v>
      </c>
      <c r="S245" s="49"/>
      <c r="T245" s="157">
        <f>IFERROR(VLOOKUP(B245,[1]Todos!$A$2:$C$3021,3,FALSE),0)</f>
        <v>859.56</v>
      </c>
      <c r="U245" s="112">
        <f t="shared" si="130"/>
        <v>0</v>
      </c>
      <c r="W245" s="157">
        <f>IFERROR(VLOOKUP(B245,[1]Todos!$A$2:$B$3021,2,FALSE),0)</f>
        <v>7871.02</v>
      </c>
      <c r="X245" s="112">
        <f t="shared" si="131"/>
        <v>-268.58999999999924</v>
      </c>
    </row>
    <row r="246" spans="1:24" outlineLevel="2" x14ac:dyDescent="0.3">
      <c r="A246" s="40" t="str">
        <f>VLOOKUP(B246,Grupos!$A$2:$B$619,2,FALSE)</f>
        <v>TABLEROS 75 AMP BIMETALICO TAPA PLASTICA</v>
      </c>
      <c r="B246" s="41" t="s">
        <v>371</v>
      </c>
      <c r="C246" s="41" t="s">
        <v>372</v>
      </c>
      <c r="D246" s="42">
        <v>105</v>
      </c>
      <c r="E246" s="43">
        <v>7809.09</v>
      </c>
      <c r="F246" s="192">
        <v>749.32</v>
      </c>
      <c r="G246" s="126">
        <f>E246+F246</f>
        <v>8558.41</v>
      </c>
      <c r="H246" s="127">
        <f>E246*D246</f>
        <v>819954.45000000007</v>
      </c>
      <c r="I246" s="128">
        <f>F246*D246</f>
        <v>78678.600000000006</v>
      </c>
      <c r="J246" s="128">
        <f>G246*D246</f>
        <v>898633.04999999993</v>
      </c>
      <c r="K246" s="44">
        <f>J246/$J$308</f>
        <v>5.3625306531291555E-4</v>
      </c>
      <c r="L246" s="45">
        <f>$K$383*K246/D246</f>
        <v>2130.6339019350366</v>
      </c>
      <c r="M246" s="45">
        <f>F246*$M$382</f>
        <v>4409.1669073703761</v>
      </c>
      <c r="N246" s="45">
        <f>G246+L246+M246</f>
        <v>15098.210809305412</v>
      </c>
      <c r="O246" s="46">
        <f>N246*D246</f>
        <v>1585312.1349770683</v>
      </c>
      <c r="P246" s="47">
        <f>Q246/D246</f>
        <v>20169.14333333333</v>
      </c>
      <c r="Q246" s="42">
        <v>2117760.0499999998</v>
      </c>
      <c r="R246" s="152">
        <f t="shared" si="129"/>
        <v>0.74857967737046904</v>
      </c>
      <c r="S246" s="49"/>
      <c r="T246" s="157">
        <f>IFERROR(VLOOKUP(B246,[1]Todos!$A$2:$C$3021,3,FALSE),0)</f>
        <v>749.32</v>
      </c>
      <c r="U246" s="112">
        <f t="shared" si="130"/>
        <v>0</v>
      </c>
      <c r="W246" s="157">
        <f>IFERROR(VLOOKUP(B246,[1]Todos!$A$2:$B$3021,2,FALSE),0)</f>
        <v>7540.5</v>
      </c>
      <c r="X246" s="112">
        <f t="shared" si="131"/>
        <v>-268.59000000000015</v>
      </c>
    </row>
    <row r="247" spans="1:24" outlineLevel="2" x14ac:dyDescent="0.3">
      <c r="A247" s="40" t="str">
        <f>VLOOKUP(B247,Grupos!$A$2:$B$619,2,FALSE)</f>
        <v>TABLEROS 75 AMP BIMETALICO TAPA PLASTICA</v>
      </c>
      <c r="B247" s="41" t="s">
        <v>373</v>
      </c>
      <c r="C247" s="41" t="s">
        <v>374</v>
      </c>
      <c r="D247" s="42">
        <v>390</v>
      </c>
      <c r="E247" s="43">
        <v>9661.75</v>
      </c>
      <c r="F247" s="192">
        <v>917.82</v>
      </c>
      <c r="G247" s="126">
        <f>E247+F247</f>
        <v>10579.57</v>
      </c>
      <c r="H247" s="127">
        <f>E247*D247</f>
        <v>3768082.5</v>
      </c>
      <c r="I247" s="128">
        <f>F247*D247</f>
        <v>357949.80000000005</v>
      </c>
      <c r="J247" s="128">
        <f>G247*D247</f>
        <v>4126032.3</v>
      </c>
      <c r="K247" s="44">
        <f>J247/$J$308</f>
        <v>2.4621812746093625E-3</v>
      </c>
      <c r="L247" s="45">
        <f>$K$383*K247/D247</f>
        <v>2633.8058716391074</v>
      </c>
      <c r="M247" s="45">
        <f>F247*$M$382</f>
        <v>5400.6586917774493</v>
      </c>
      <c r="N247" s="45">
        <f>G247+L247+M247</f>
        <v>18614.034563416557</v>
      </c>
      <c r="O247" s="46">
        <f>N247*D247</f>
        <v>7259473.4797324575</v>
      </c>
      <c r="P247" s="47">
        <f>Q247/D247</f>
        <v>26663.769461538461</v>
      </c>
      <c r="Q247" s="42">
        <v>10398870.09</v>
      </c>
      <c r="R247" s="152">
        <f t="shared" si="129"/>
        <v>0.6981021415695422</v>
      </c>
      <c r="S247" s="49"/>
      <c r="T247" s="157">
        <f>IFERROR(VLOOKUP(B247,[1]Todos!$A$2:$C$3021,3,FALSE),0)</f>
        <v>917.82</v>
      </c>
      <c r="U247" s="112">
        <f t="shared" si="130"/>
        <v>0</v>
      </c>
      <c r="W247" s="157">
        <f>IFERROR(VLOOKUP(B247,[1]Todos!$A$2:$B$3021,2,FALSE),0)</f>
        <v>9378.31</v>
      </c>
      <c r="X247" s="112">
        <f t="shared" si="131"/>
        <v>-283.44000000000051</v>
      </c>
    </row>
    <row r="248" spans="1:24" outlineLevel="2" x14ac:dyDescent="0.3">
      <c r="A248" s="40" t="str">
        <f>VLOOKUP(B248,Grupos!$A$2:$B$619,2,FALSE)</f>
        <v>TABLEROS 75 AMP BIMETALICO TAPA PLASTICA</v>
      </c>
      <c r="B248" s="41" t="s">
        <v>375</v>
      </c>
      <c r="C248" s="41" t="s">
        <v>376</v>
      </c>
      <c r="D248" s="42">
        <v>480</v>
      </c>
      <c r="E248" s="43">
        <v>9346.18</v>
      </c>
      <c r="F248" s="192">
        <v>875.23</v>
      </c>
      <c r="G248" s="126">
        <f>E248+F248</f>
        <v>10221.41</v>
      </c>
      <c r="H248" s="127">
        <f>E248*D248</f>
        <v>4486166.4000000004</v>
      </c>
      <c r="I248" s="128">
        <f>F248*D248</f>
        <v>420110.4</v>
      </c>
      <c r="J248" s="128">
        <f>G248*D248</f>
        <v>4906276.8</v>
      </c>
      <c r="K248" s="44">
        <f>J248/$J$308</f>
        <v>2.9277867904743122E-3</v>
      </c>
      <c r="L248" s="45">
        <f>$K$383*K248/D248</f>
        <v>2544.6411975562983</v>
      </c>
      <c r="M248" s="45">
        <f>F248*$M$382</f>
        <v>5150.0495814041715</v>
      </c>
      <c r="N248" s="45">
        <f>G248+L248+M248</f>
        <v>17916.10077896047</v>
      </c>
      <c r="O248" s="46">
        <f>N248*D248</f>
        <v>8599728.3739010263</v>
      </c>
      <c r="P248" s="47">
        <f>Q248/D248</f>
        <v>25175.719354166664</v>
      </c>
      <c r="Q248" s="42">
        <v>12084345.289999999</v>
      </c>
      <c r="R248" s="152">
        <f t="shared" si="129"/>
        <v>0.71164205983235584</v>
      </c>
      <c r="S248" s="49"/>
      <c r="T248" s="157">
        <f>IFERROR(VLOOKUP(B248,[1]Todos!$A$2:$C$3021,3,FALSE),0)</f>
        <v>875.23</v>
      </c>
      <c r="U248" s="112">
        <f t="shared" si="130"/>
        <v>0</v>
      </c>
      <c r="W248" s="157">
        <f>IFERROR(VLOOKUP(B248,[1]Todos!$A$2:$B$3021,2,FALSE),0)</f>
        <v>9062.74</v>
      </c>
      <c r="X248" s="112">
        <f t="shared" si="131"/>
        <v>-283.44000000000051</v>
      </c>
    </row>
    <row r="249" spans="1:24" s="93" customFormat="1" outlineLevel="1" x14ac:dyDescent="0.3">
      <c r="A249" s="50" t="s">
        <v>1038</v>
      </c>
      <c r="B249" s="129"/>
      <c r="C249" s="129"/>
      <c r="D249" s="51">
        <f>SUBTOTAL(9,D245:D248)</f>
        <v>1374</v>
      </c>
      <c r="E249" s="52"/>
      <c r="F249" s="52"/>
      <c r="G249" s="130"/>
      <c r="H249" s="131">
        <f>SUBTOTAL(9,H245:H248)</f>
        <v>12321907.74</v>
      </c>
      <c r="I249" s="146">
        <f>SUBTOTAL(9,I245:I248)</f>
        <v>1199703.2400000002</v>
      </c>
      <c r="J249" s="146">
        <f>SUBTOTAL(9,J245:J248)</f>
        <v>13521610.98</v>
      </c>
      <c r="K249" s="53"/>
      <c r="L249" s="54"/>
      <c r="M249" s="54"/>
      <c r="N249" s="54"/>
      <c r="O249" s="55">
        <f>SUBTOTAL(9,O245:O248)</f>
        <v>23947166.934696138</v>
      </c>
      <c r="P249" s="56"/>
      <c r="Q249" s="51">
        <f>SUBTOTAL(9,Q245:Q248)</f>
        <v>33153085.82</v>
      </c>
      <c r="R249" s="57">
        <f t="shared" si="129"/>
        <v>0.72232090444653929</v>
      </c>
      <c r="S249" s="58">
        <f>Q249/$Q$308</f>
        <v>7.6564199172992602E-3</v>
      </c>
      <c r="T249" s="157">
        <f>IFERROR(VLOOKUP(B249,[1]Todos!$A$2:$C$3021,3,FALSE),0)</f>
        <v>0</v>
      </c>
      <c r="U249" s="112">
        <f t="shared" si="130"/>
        <v>0</v>
      </c>
      <c r="W249" s="157">
        <f>IFERROR(VLOOKUP(B249,[1]Todos!$A$2:$B$3021,2,FALSE),0)</f>
        <v>0</v>
      </c>
      <c r="X249" s="112">
        <f t="shared" si="131"/>
        <v>0</v>
      </c>
    </row>
    <row r="250" spans="1:24" outlineLevel="2" x14ac:dyDescent="0.3">
      <c r="A250" s="40" t="str">
        <f>VLOOKUP(B250,Grupos!$A$2:$B$619,2,FALSE)</f>
        <v>TABLEROS 75 AMP COBRE CON PUERTA</v>
      </c>
      <c r="B250" s="41" t="s">
        <v>377</v>
      </c>
      <c r="C250" s="41" t="s">
        <v>1088</v>
      </c>
      <c r="D250" s="42">
        <v>306</v>
      </c>
      <c r="E250" s="195">
        <v>10726.54</v>
      </c>
      <c r="F250" s="192">
        <v>1041.76</v>
      </c>
      <c r="G250" s="126">
        <f t="shared" ref="G250:G255" si="152">E250+F250</f>
        <v>11768.300000000001</v>
      </c>
      <c r="H250" s="127">
        <f t="shared" ref="H250:H255" si="153">E250*D250</f>
        <v>3282321.24</v>
      </c>
      <c r="I250" s="128">
        <f t="shared" ref="I250:I255" si="154">F250*D250</f>
        <v>318778.56</v>
      </c>
      <c r="J250" s="128">
        <f t="shared" ref="J250:J255" si="155">G250*D250</f>
        <v>3601099.8000000003</v>
      </c>
      <c r="K250" s="44">
        <f t="shared" ref="K250:K255" si="156">J250/$J$308</f>
        <v>2.148931431186208E-3</v>
      </c>
      <c r="L250" s="45">
        <f t="shared" ref="L250:L255" si="157">$K$383*K250/D250</f>
        <v>2929.7426681056518</v>
      </c>
      <c r="M250" s="45">
        <f t="shared" ref="M250:M255" si="158">F250*$M$382</f>
        <v>6129.9494440588296</v>
      </c>
      <c r="N250" s="45">
        <f t="shared" ref="N250:N255" si="159">G250+L250+M250</f>
        <v>20827.99211216448</v>
      </c>
      <c r="O250" s="46">
        <f t="shared" ref="O250:O255" si="160">N250*D250</f>
        <v>6373365.5863223309</v>
      </c>
      <c r="P250" s="47">
        <f t="shared" ref="P250:P255" si="161">Q250/D250</f>
        <v>31785.882254901964</v>
      </c>
      <c r="Q250" s="42">
        <v>9726479.9700000007</v>
      </c>
      <c r="R250" s="48">
        <f t="shared" si="129"/>
        <v>0.6552592105242705</v>
      </c>
      <c r="S250" s="49"/>
      <c r="T250" s="157">
        <f>IFERROR(VLOOKUP(B250,[1]Todos!$A$2:$C$3021,3,FALSE),0)</f>
        <v>1041.76</v>
      </c>
      <c r="U250" s="112">
        <f t="shared" si="130"/>
        <v>0</v>
      </c>
      <c r="W250" s="157">
        <f>IFERROR(VLOOKUP(B250,[1]Todos!$A$2:$B$3021,2,FALSE),0)</f>
        <v>10726.54</v>
      </c>
      <c r="X250" s="112">
        <f t="shared" si="131"/>
        <v>0</v>
      </c>
    </row>
    <row r="251" spans="1:24" outlineLevel="2" x14ac:dyDescent="0.3">
      <c r="A251" s="40" t="str">
        <f>VLOOKUP(B251,Grupos!$A$2:$B$619,2,FALSE)</f>
        <v>TABLEROS 75 AMP COBRE CON PUERTA</v>
      </c>
      <c r="B251" s="41" t="s">
        <v>378</v>
      </c>
      <c r="C251" s="41" t="s">
        <v>379</v>
      </c>
      <c r="D251" s="42">
        <v>623</v>
      </c>
      <c r="E251" s="195">
        <v>10980.11</v>
      </c>
      <c r="F251" s="192">
        <v>1067.55</v>
      </c>
      <c r="G251" s="126">
        <f t="shared" si="152"/>
        <v>12047.66</v>
      </c>
      <c r="H251" s="127">
        <f t="shared" si="153"/>
        <v>6840608.5300000003</v>
      </c>
      <c r="I251" s="128">
        <f t="shared" si="154"/>
        <v>665083.65</v>
      </c>
      <c r="J251" s="128">
        <f t="shared" si="155"/>
        <v>7505692.1799999997</v>
      </c>
      <c r="K251" s="44">
        <f t="shared" si="156"/>
        <v>4.4789699631236348E-3</v>
      </c>
      <c r="L251" s="45">
        <f t="shared" si="157"/>
        <v>2999.2899189202972</v>
      </c>
      <c r="M251" s="45">
        <f t="shared" si="158"/>
        <v>6281.7035872033903</v>
      </c>
      <c r="N251" s="45">
        <f t="shared" si="159"/>
        <v>21328.653506123686</v>
      </c>
      <c r="O251" s="46">
        <f t="shared" si="160"/>
        <v>13287751.134315057</v>
      </c>
      <c r="P251" s="47">
        <f t="shared" si="161"/>
        <v>34662.163515248794</v>
      </c>
      <c r="Q251" s="42">
        <v>21594527.870000001</v>
      </c>
      <c r="R251" s="48">
        <f t="shared" si="129"/>
        <v>0.61532955081527585</v>
      </c>
      <c r="S251" s="49"/>
      <c r="T251" s="157">
        <f>IFERROR(VLOOKUP(B251,[1]Todos!$A$2:$C$3021,3,FALSE),0)</f>
        <v>1067.55</v>
      </c>
      <c r="U251" s="112">
        <f t="shared" si="130"/>
        <v>0</v>
      </c>
      <c r="W251" s="157">
        <f>IFERROR(VLOOKUP(B251,[1]Todos!$A$2:$B$3021,2,FALSE),0)</f>
        <v>10980.11</v>
      </c>
      <c r="X251" s="112">
        <f t="shared" si="131"/>
        <v>0</v>
      </c>
    </row>
    <row r="252" spans="1:24" outlineLevel="2" x14ac:dyDescent="0.3">
      <c r="A252" s="40" t="str">
        <f>VLOOKUP(B252,Grupos!$A$2:$B$619,2,FALSE)</f>
        <v>TABLEROS 75 AMP COBRE CON PUERTA</v>
      </c>
      <c r="B252" s="41" t="s">
        <v>380</v>
      </c>
      <c r="C252" s="41" t="s">
        <v>381</v>
      </c>
      <c r="D252" s="42">
        <v>1138</v>
      </c>
      <c r="E252" s="195">
        <v>10984.02</v>
      </c>
      <c r="F252" s="192">
        <v>1048.3900000000001</v>
      </c>
      <c r="G252" s="126">
        <f t="shared" si="152"/>
        <v>12032.41</v>
      </c>
      <c r="H252" s="127">
        <f t="shared" si="153"/>
        <v>12499814.76</v>
      </c>
      <c r="I252" s="128">
        <f t="shared" si="154"/>
        <v>1193067.82</v>
      </c>
      <c r="J252" s="128">
        <f t="shared" si="155"/>
        <v>13692882.58</v>
      </c>
      <c r="K252" s="44">
        <f t="shared" si="156"/>
        <v>8.1711330965345916E-3</v>
      </c>
      <c r="L252" s="45">
        <f t="shared" si="157"/>
        <v>2995.49339982335</v>
      </c>
      <c r="M252" s="45">
        <f t="shared" si="158"/>
        <v>6168.9618507687346</v>
      </c>
      <c r="N252" s="45">
        <f t="shared" si="159"/>
        <v>21196.865250592084</v>
      </c>
      <c r="O252" s="46">
        <f t="shared" si="160"/>
        <v>24122032.65517379</v>
      </c>
      <c r="P252" s="47">
        <f t="shared" si="161"/>
        <v>31866.323181019332</v>
      </c>
      <c r="Q252" s="42">
        <v>36263875.780000001</v>
      </c>
      <c r="R252" s="48">
        <f t="shared" si="129"/>
        <v>0.66518076560579342</v>
      </c>
      <c r="S252" s="49"/>
      <c r="T252" s="157">
        <f>IFERROR(VLOOKUP(B252,[1]Todos!$A$2:$C$3021,3,FALSE),0)</f>
        <v>1048.3900000000001</v>
      </c>
      <c r="U252" s="112">
        <f t="shared" si="130"/>
        <v>0</v>
      </c>
      <c r="W252" s="157">
        <f>IFERROR(VLOOKUP(B252,[1]Todos!$A$2:$B$3021,2,FALSE),0)</f>
        <v>10984.02</v>
      </c>
      <c r="X252" s="112">
        <f t="shared" si="131"/>
        <v>0</v>
      </c>
    </row>
    <row r="253" spans="1:24" outlineLevel="2" x14ac:dyDescent="0.3">
      <c r="A253" s="40" t="str">
        <f>VLOOKUP(B253,Grupos!$A$2:$B$619,2,FALSE)</f>
        <v>TABLEROS 75 AMP COBRE CON PUERTA</v>
      </c>
      <c r="B253" s="41" t="s">
        <v>382</v>
      </c>
      <c r="C253" s="41" t="s">
        <v>383</v>
      </c>
      <c r="D253" s="42">
        <v>80</v>
      </c>
      <c r="E253" s="195">
        <v>13616.87</v>
      </c>
      <c r="F253" s="192">
        <v>1289.9000000000001</v>
      </c>
      <c r="G253" s="126">
        <f t="shared" si="152"/>
        <v>14906.77</v>
      </c>
      <c r="H253" s="127">
        <f t="shared" si="153"/>
        <v>1089349.6000000001</v>
      </c>
      <c r="I253" s="128">
        <f t="shared" si="154"/>
        <v>103192</v>
      </c>
      <c r="J253" s="128">
        <f t="shared" si="155"/>
        <v>1192541.6000000001</v>
      </c>
      <c r="K253" s="44">
        <f t="shared" si="156"/>
        <v>7.1164096236296767E-4</v>
      </c>
      <c r="L253" s="45">
        <f t="shared" si="157"/>
        <v>3711.0712772989546</v>
      </c>
      <c r="M253" s="45">
        <f t="shared" si="158"/>
        <v>7590.0608469239414</v>
      </c>
      <c r="N253" s="45">
        <f t="shared" si="159"/>
        <v>26207.902124222896</v>
      </c>
      <c r="O253" s="46">
        <f t="shared" si="160"/>
        <v>2096632.1699378316</v>
      </c>
      <c r="P253" s="47">
        <f t="shared" si="161"/>
        <v>43055.701500000003</v>
      </c>
      <c r="Q253" s="42">
        <v>3444456.12</v>
      </c>
      <c r="R253" s="48">
        <f t="shared" si="129"/>
        <v>0.60869759895150921</v>
      </c>
      <c r="S253" s="49"/>
      <c r="T253" s="157">
        <f>IFERROR(VLOOKUP(B253,[1]Todos!$A$2:$C$3021,3,FALSE),0)</f>
        <v>1289.9000000000001</v>
      </c>
      <c r="U253" s="112">
        <f t="shared" si="130"/>
        <v>0</v>
      </c>
      <c r="W253" s="157">
        <f>IFERROR(VLOOKUP(B253,[1]Todos!$A$2:$B$3021,2,FALSE),0)</f>
        <v>13616.87</v>
      </c>
      <c r="X253" s="112">
        <f t="shared" si="131"/>
        <v>0</v>
      </c>
    </row>
    <row r="254" spans="1:24" outlineLevel="2" x14ac:dyDescent="0.3">
      <c r="A254" s="40" t="str">
        <f>VLOOKUP(B254,Grupos!$A$2:$B$619,2,FALSE)</f>
        <v>TABLEROS 75 AMP COBRE CON PUERTA</v>
      </c>
      <c r="B254" s="41" t="s">
        <v>386</v>
      </c>
      <c r="C254" s="41" t="s">
        <v>387</v>
      </c>
      <c r="D254" s="42">
        <v>623</v>
      </c>
      <c r="E254" s="195">
        <v>13794.44</v>
      </c>
      <c r="F254" s="192">
        <v>1354.08</v>
      </c>
      <c r="G254" s="126">
        <f t="shared" si="152"/>
        <v>15148.52</v>
      </c>
      <c r="H254" s="127">
        <f t="shared" si="153"/>
        <v>8593936.120000001</v>
      </c>
      <c r="I254" s="128">
        <f t="shared" si="154"/>
        <v>843591.84</v>
      </c>
      <c r="J254" s="128">
        <f t="shared" si="155"/>
        <v>9437527.9600000009</v>
      </c>
      <c r="K254" s="44">
        <f t="shared" si="156"/>
        <v>5.6317796207543749E-3</v>
      </c>
      <c r="L254" s="45">
        <f t="shared" si="157"/>
        <v>3771.2554406882755</v>
      </c>
      <c r="M254" s="45">
        <f t="shared" si="158"/>
        <v>7967.7103586345993</v>
      </c>
      <c r="N254" s="45">
        <f t="shared" si="159"/>
        <v>26887.485799322872</v>
      </c>
      <c r="O254" s="46">
        <f t="shared" si="160"/>
        <v>16750903.65297815</v>
      </c>
      <c r="P254" s="47">
        <f t="shared" si="161"/>
        <v>42644.893980738365</v>
      </c>
      <c r="Q254" s="42">
        <v>26567768.949999999</v>
      </c>
      <c r="R254" s="48">
        <f t="shared" si="129"/>
        <v>0.63049718945173794</v>
      </c>
      <c r="S254" s="49"/>
      <c r="T254" s="157">
        <f>IFERROR(VLOOKUP(B254,[1]Todos!$A$2:$C$3021,3,FALSE),0)</f>
        <v>1354.08</v>
      </c>
      <c r="U254" s="112">
        <f t="shared" si="130"/>
        <v>0</v>
      </c>
      <c r="W254" s="157">
        <f>IFERROR(VLOOKUP(B254,[1]Todos!$A$2:$B$3021,2,FALSE),0)</f>
        <v>13794.44</v>
      </c>
      <c r="X254" s="112">
        <f t="shared" si="131"/>
        <v>0</v>
      </c>
    </row>
    <row r="255" spans="1:24" outlineLevel="2" x14ac:dyDescent="0.3">
      <c r="A255" s="40" t="str">
        <f>VLOOKUP(B255,Grupos!$A$2:$B$619,2,FALSE)</f>
        <v>TABLEROS 75 AMP COBRE CON PUERTA</v>
      </c>
      <c r="B255" s="41" t="s">
        <v>388</v>
      </c>
      <c r="C255" s="41" t="s">
        <v>1090</v>
      </c>
      <c r="D255" s="42">
        <v>1486</v>
      </c>
      <c r="E255" s="195">
        <v>13781.43</v>
      </c>
      <c r="F255" s="192">
        <v>1373.63</v>
      </c>
      <c r="G255" s="126">
        <f t="shared" si="152"/>
        <v>15155.060000000001</v>
      </c>
      <c r="H255" s="127">
        <f t="shared" si="153"/>
        <v>20479204.98</v>
      </c>
      <c r="I255" s="128">
        <f t="shared" si="154"/>
        <v>2041214.1800000002</v>
      </c>
      <c r="J255" s="128">
        <f t="shared" si="155"/>
        <v>22520419.16</v>
      </c>
      <c r="K255" s="44">
        <f t="shared" si="156"/>
        <v>1.3438904574766881E-2</v>
      </c>
      <c r="L255" s="45">
        <f t="shared" si="157"/>
        <v>3772.883587238704</v>
      </c>
      <c r="M255" s="45">
        <f t="shared" si="158"/>
        <v>8082.74694252278</v>
      </c>
      <c r="N255" s="45">
        <f t="shared" si="159"/>
        <v>27010.690529761483</v>
      </c>
      <c r="O255" s="46">
        <f t="shared" si="160"/>
        <v>40137886.127225563</v>
      </c>
      <c r="P255" s="47">
        <f t="shared" si="161"/>
        <v>39204.350053835798</v>
      </c>
      <c r="Q255" s="42">
        <v>58257664.18</v>
      </c>
      <c r="R255" s="48">
        <f t="shared" si="129"/>
        <v>0.6889717720781019</v>
      </c>
      <c r="S255" s="49"/>
      <c r="T255" s="157">
        <f>IFERROR(VLOOKUP(B255,[1]Todos!$A$2:$C$3021,3,FALSE),0)</f>
        <v>1373.63</v>
      </c>
      <c r="U255" s="112">
        <f t="shared" si="130"/>
        <v>0</v>
      </c>
      <c r="W255" s="157">
        <f>IFERROR(VLOOKUP(B255,[1]Todos!$A$2:$B$3021,2,FALSE),0)</f>
        <v>13781.43</v>
      </c>
      <c r="X255" s="112">
        <f t="shared" si="131"/>
        <v>0</v>
      </c>
    </row>
    <row r="256" spans="1:24" s="93" customFormat="1" outlineLevel="1" x14ac:dyDescent="0.3">
      <c r="A256" s="50" t="s">
        <v>1039</v>
      </c>
      <c r="B256" s="129"/>
      <c r="C256" s="129"/>
      <c r="D256" s="51">
        <f>SUBTOTAL(9,D250:D255)</f>
        <v>4256</v>
      </c>
      <c r="E256" s="52"/>
      <c r="F256" s="52"/>
      <c r="G256" s="130"/>
      <c r="H256" s="131">
        <f>SUBTOTAL(9,H250:H255)</f>
        <v>52785235.230000004</v>
      </c>
      <c r="I256" s="146">
        <f>SUBTOTAL(9,I250:I255)</f>
        <v>5164928.0500000007</v>
      </c>
      <c r="J256" s="146">
        <f>SUBTOTAL(9,J250:J255)</f>
        <v>57950163.280000001</v>
      </c>
      <c r="K256" s="53"/>
      <c r="L256" s="54"/>
      <c r="M256" s="54"/>
      <c r="N256" s="54"/>
      <c r="O256" s="55">
        <f>SUBTOTAL(9,O250:O255)</f>
        <v>102768571.32595272</v>
      </c>
      <c r="P256" s="56"/>
      <c r="Q256" s="51">
        <f>SUBTOTAL(9,Q250:Q255)</f>
        <v>155854772.87</v>
      </c>
      <c r="R256" s="57">
        <f t="shared" si="129"/>
        <v>0.65938674468232683</v>
      </c>
      <c r="S256" s="58">
        <f>Q256/$Q$308</f>
        <v>3.5993318802563894E-2</v>
      </c>
      <c r="T256" s="157">
        <f>IFERROR(VLOOKUP(B256,[1]Todos!$A$2:$C$3021,3,FALSE),0)</f>
        <v>0</v>
      </c>
      <c r="U256" s="112">
        <f t="shared" si="130"/>
        <v>0</v>
      </c>
      <c r="W256" s="157">
        <f>IFERROR(VLOOKUP(B256,[1]Todos!$A$2:$B$3021,2,FALSE),0)</f>
        <v>0</v>
      </c>
      <c r="X256" s="112">
        <f t="shared" si="131"/>
        <v>0</v>
      </c>
    </row>
    <row r="257" spans="1:24" outlineLevel="2" x14ac:dyDescent="0.3">
      <c r="A257" s="40" t="str">
        <f>VLOOKUP(B257,Grupos!$A$2:$B$619,2,FALSE)</f>
        <v>TABLEROS 75 AMP COBRE TAPA LISA</v>
      </c>
      <c r="B257" s="41" t="s">
        <v>389</v>
      </c>
      <c r="C257" s="41" t="s">
        <v>390</v>
      </c>
      <c r="D257" s="42">
        <v>888</v>
      </c>
      <c r="E257" s="195">
        <v>7156.82</v>
      </c>
      <c r="F257" s="192">
        <v>440.07</v>
      </c>
      <c r="G257" s="126">
        <f t="shared" ref="G257:G274" si="162">E257+F257</f>
        <v>7596.8899999999994</v>
      </c>
      <c r="H257" s="127">
        <f t="shared" ref="H257:H274" si="163">E257*D257</f>
        <v>6355256.1600000001</v>
      </c>
      <c r="I257" s="128">
        <f t="shared" ref="I257:I274" si="164">F257*D257</f>
        <v>390782.16</v>
      </c>
      <c r="J257" s="128">
        <f t="shared" ref="J257:J274" si="165">G257*D257</f>
        <v>6746038.3199999994</v>
      </c>
      <c r="K257" s="44">
        <f t="shared" ref="K257:K274" si="166">J257/$J$308</f>
        <v>4.0256517694496003E-3</v>
      </c>
      <c r="L257" s="45">
        <f t="shared" ref="L257:L274" si="167">$K$383*K257/D257</f>
        <v>1891.2615057319363</v>
      </c>
      <c r="M257" s="45">
        <f t="shared" ref="M257:M274" si="168">F257*$M$382</f>
        <v>2589.470561210806</v>
      </c>
      <c r="N257" s="45">
        <f t="shared" ref="N257:N274" si="169">G257+L257+M257</f>
        <v>12077.622066942742</v>
      </c>
      <c r="O257" s="46">
        <f t="shared" ref="O257:O274" si="170">N257*D257</f>
        <v>10724928.395445155</v>
      </c>
      <c r="P257" s="47">
        <f t="shared" ref="P257:P274" si="171">Q257/D257</f>
        <v>18486.756306306306</v>
      </c>
      <c r="Q257" s="42">
        <v>16416239.6</v>
      </c>
      <c r="R257" s="48">
        <f t="shared" si="129"/>
        <v>0.65331212608794742</v>
      </c>
      <c r="S257" s="49"/>
      <c r="T257" s="157">
        <f>IFERROR(VLOOKUP(B257,[1]Todos!$A$2:$C$3021,3,FALSE),0)</f>
        <v>440.07</v>
      </c>
      <c r="U257" s="112">
        <f t="shared" si="130"/>
        <v>0</v>
      </c>
      <c r="W257" s="157">
        <f>IFERROR(VLOOKUP(B257,[1]Todos!$A$2:$B$3021,2,FALSE),0)</f>
        <v>7156.82</v>
      </c>
      <c r="X257" s="112">
        <f t="shared" si="131"/>
        <v>0</v>
      </c>
    </row>
    <row r="258" spans="1:24" outlineLevel="2" x14ac:dyDescent="0.3">
      <c r="A258" s="40" t="str">
        <f>VLOOKUP(B258,Grupos!$A$2:$B$619,2,FALSE)</f>
        <v>TABLEROS 75 AMP COBRE TAPA LISA</v>
      </c>
      <c r="B258" s="41" t="s">
        <v>391</v>
      </c>
      <c r="C258" s="41" t="s">
        <v>392</v>
      </c>
      <c r="D258" s="42">
        <v>1988</v>
      </c>
      <c r="E258" s="195">
        <v>7184.37</v>
      </c>
      <c r="F258" s="192">
        <v>420.86</v>
      </c>
      <c r="G258" s="126">
        <f t="shared" si="162"/>
        <v>7605.23</v>
      </c>
      <c r="H258" s="127">
        <f t="shared" si="163"/>
        <v>14282527.560000001</v>
      </c>
      <c r="I258" s="128">
        <f t="shared" si="164"/>
        <v>836669.68</v>
      </c>
      <c r="J258" s="128">
        <f t="shared" si="165"/>
        <v>15119197.239999998</v>
      </c>
      <c r="K258" s="44">
        <f t="shared" si="166"/>
        <v>9.022276517673785E-3</v>
      </c>
      <c r="L258" s="45">
        <f t="shared" si="167"/>
        <v>1893.3377660118408</v>
      </c>
      <c r="M258" s="45">
        <f t="shared" si="168"/>
        <v>2476.4346135641599</v>
      </c>
      <c r="N258" s="45">
        <f t="shared" si="169"/>
        <v>11975.002379575999</v>
      </c>
      <c r="O258" s="46">
        <f t="shared" si="170"/>
        <v>23806304.730597086</v>
      </c>
      <c r="P258" s="47">
        <f t="shared" si="171"/>
        <v>17716.020160965792</v>
      </c>
      <c r="Q258" s="42">
        <v>35219448.079999998</v>
      </c>
      <c r="R258" s="152">
        <f t="shared" si="129"/>
        <v>0.6759420158010917</v>
      </c>
      <c r="S258" s="49"/>
      <c r="T258" s="157">
        <f>IFERROR(VLOOKUP(B258,[1]Todos!$A$2:$C$3021,3,FALSE),0)</f>
        <v>420.86</v>
      </c>
      <c r="U258" s="112">
        <f t="shared" si="130"/>
        <v>0</v>
      </c>
      <c r="W258" s="157">
        <f>IFERROR(VLOOKUP(B258,[1]Todos!$A$2:$B$3021,2,FALSE),0)</f>
        <v>7184.37</v>
      </c>
      <c r="X258" s="112">
        <f t="shared" si="131"/>
        <v>0</v>
      </c>
    </row>
    <row r="259" spans="1:24" outlineLevel="2" x14ac:dyDescent="0.3">
      <c r="A259" s="40" t="str">
        <f>VLOOKUP(B259,Grupos!$A$2:$B$619,2,FALSE)</f>
        <v>TABLEROS 75 AMP COBRE TAPA LISA</v>
      </c>
      <c r="B259" s="41" t="s">
        <v>393</v>
      </c>
      <c r="C259" s="41" t="s">
        <v>1087</v>
      </c>
      <c r="D259" s="42">
        <v>144</v>
      </c>
      <c r="E259" s="195">
        <v>6870.72</v>
      </c>
      <c r="F259" s="192">
        <v>537.73</v>
      </c>
      <c r="G259" s="126">
        <f t="shared" si="162"/>
        <v>7408.4500000000007</v>
      </c>
      <c r="H259" s="127">
        <f t="shared" si="163"/>
        <v>989383.68000000005</v>
      </c>
      <c r="I259" s="128">
        <f t="shared" si="164"/>
        <v>77433.119999999995</v>
      </c>
      <c r="J259" s="128">
        <f t="shared" si="165"/>
        <v>1066816.8</v>
      </c>
      <c r="K259" s="44">
        <f t="shared" si="166"/>
        <v>6.3661555640237761E-4</v>
      </c>
      <c r="L259" s="45">
        <f t="shared" si="167"/>
        <v>1844.348977297258</v>
      </c>
      <c r="M259" s="45">
        <f t="shared" si="168"/>
        <v>3164.1239004701224</v>
      </c>
      <c r="N259" s="45">
        <f t="shared" si="169"/>
        <v>12416.92287776738</v>
      </c>
      <c r="O259" s="46">
        <f t="shared" si="170"/>
        <v>1788036.8943985028</v>
      </c>
      <c r="P259" s="47">
        <f t="shared" si="171"/>
        <v>18271.499305555553</v>
      </c>
      <c r="Q259" s="42">
        <v>2631095.9</v>
      </c>
      <c r="R259" s="48">
        <f t="shared" si="129"/>
        <v>0.67957876198982436</v>
      </c>
      <c r="S259" s="49"/>
      <c r="T259" s="157">
        <f>IFERROR(VLOOKUP(B259,[1]Todos!$A$2:$C$3021,3,FALSE),0)</f>
        <v>537.73</v>
      </c>
      <c r="U259" s="112">
        <f t="shared" si="130"/>
        <v>0</v>
      </c>
      <c r="W259" s="157">
        <f>IFERROR(VLOOKUP(B259,[1]Todos!$A$2:$B$3021,2,FALSE),0)</f>
        <v>6870.72</v>
      </c>
      <c r="X259" s="112">
        <f t="shared" si="131"/>
        <v>0</v>
      </c>
    </row>
    <row r="260" spans="1:24" outlineLevel="2" x14ac:dyDescent="0.3">
      <c r="A260" s="40" t="str">
        <f>VLOOKUP(B260,Grupos!$A$2:$B$619,2,FALSE)</f>
        <v>TABLEROS 75 AMP COBRE TAPA LISA</v>
      </c>
      <c r="B260" s="41" t="s">
        <v>394</v>
      </c>
      <c r="C260" s="41" t="s">
        <v>395</v>
      </c>
      <c r="D260" s="42">
        <v>261</v>
      </c>
      <c r="E260" s="195">
        <v>7209.97</v>
      </c>
      <c r="F260" s="192">
        <v>493.13</v>
      </c>
      <c r="G260" s="126">
        <f t="shared" si="162"/>
        <v>7703.1</v>
      </c>
      <c r="H260" s="127">
        <f t="shared" si="163"/>
        <v>1881802.1700000002</v>
      </c>
      <c r="I260" s="128">
        <f t="shared" si="164"/>
        <v>128706.93</v>
      </c>
      <c r="J260" s="128">
        <f t="shared" si="165"/>
        <v>2010509.1</v>
      </c>
      <c r="K260" s="44">
        <f t="shared" si="166"/>
        <v>1.199757417907689E-3</v>
      </c>
      <c r="L260" s="45">
        <f t="shared" si="167"/>
        <v>1917.7027052917285</v>
      </c>
      <c r="M260" s="45">
        <f t="shared" si="168"/>
        <v>2901.6874993748374</v>
      </c>
      <c r="N260" s="45">
        <f t="shared" si="169"/>
        <v>12522.490204666567</v>
      </c>
      <c r="O260" s="46">
        <f t="shared" si="170"/>
        <v>3268369.9434179738</v>
      </c>
      <c r="P260" s="47">
        <f t="shared" si="171"/>
        <v>17024.430153256704</v>
      </c>
      <c r="Q260" s="42">
        <v>4443376.2699999996</v>
      </c>
      <c r="R260" s="152">
        <f t="shared" si="129"/>
        <v>0.73556002121287245</v>
      </c>
      <c r="S260" s="49"/>
      <c r="T260" s="157">
        <f>IFERROR(VLOOKUP(B260,[1]Todos!$A$2:$C$3021,3,FALSE),0)</f>
        <v>493.13</v>
      </c>
      <c r="U260" s="112">
        <f t="shared" si="130"/>
        <v>0</v>
      </c>
      <c r="W260" s="157">
        <f>IFERROR(VLOOKUP(B260,[1]Todos!$A$2:$B$3021,2,FALSE),0)</f>
        <v>7209.97</v>
      </c>
      <c r="X260" s="112">
        <f t="shared" si="131"/>
        <v>0</v>
      </c>
    </row>
    <row r="261" spans="1:24" outlineLevel="2" x14ac:dyDescent="0.3">
      <c r="A261" s="40" t="str">
        <f>VLOOKUP(B261,Grupos!$A$2:$B$619,2,FALSE)</f>
        <v>TABLEROS 75 AMP COBRE TAPA LISA</v>
      </c>
      <c r="B261" s="41" t="s">
        <v>396</v>
      </c>
      <c r="C261" s="41" t="s">
        <v>397</v>
      </c>
      <c r="D261" s="42">
        <v>20</v>
      </c>
      <c r="E261" s="195">
        <v>10195.9</v>
      </c>
      <c r="F261" s="192">
        <v>709.86</v>
      </c>
      <c r="G261" s="126">
        <f t="shared" si="162"/>
        <v>10905.76</v>
      </c>
      <c r="H261" s="127">
        <f t="shared" si="163"/>
        <v>203918</v>
      </c>
      <c r="I261" s="128">
        <f t="shared" si="164"/>
        <v>14197.2</v>
      </c>
      <c r="J261" s="128">
        <f t="shared" si="165"/>
        <v>218115.20000000001</v>
      </c>
      <c r="K261" s="44">
        <f t="shared" si="166"/>
        <v>1.3015873897731633E-4</v>
      </c>
      <c r="L261" s="45">
        <f t="shared" si="167"/>
        <v>2715.0115479822825</v>
      </c>
      <c r="M261" s="45">
        <f t="shared" si="168"/>
        <v>4176.9754188676861</v>
      </c>
      <c r="N261" s="45">
        <f t="shared" si="169"/>
        <v>17797.746966849969</v>
      </c>
      <c r="O261" s="46">
        <f t="shared" si="170"/>
        <v>355954.93933699938</v>
      </c>
      <c r="P261" s="47">
        <f t="shared" si="171"/>
        <v>23657.001500000002</v>
      </c>
      <c r="Q261" s="42">
        <v>473140.03</v>
      </c>
      <c r="R261" s="48">
        <f t="shared" ref="R261:R306" si="172">O261/Q261</f>
        <v>0.75232471735058937</v>
      </c>
      <c r="S261" s="49"/>
      <c r="T261" s="157">
        <f>IFERROR(VLOOKUP(B261,[1]Todos!$A$2:$C$3021,3,FALSE),0)</f>
        <v>709.86</v>
      </c>
      <c r="U261" s="112">
        <f t="shared" si="130"/>
        <v>0</v>
      </c>
      <c r="W261" s="157">
        <f>IFERROR(VLOOKUP(B261,[1]Todos!$A$2:$B$3021,2,FALSE),0)</f>
        <v>10195.9</v>
      </c>
      <c r="X261" s="112">
        <f t="shared" si="131"/>
        <v>0</v>
      </c>
    </row>
    <row r="262" spans="1:24" outlineLevel="2" x14ac:dyDescent="0.3">
      <c r="A262" s="40" t="str">
        <f>VLOOKUP(B262,Grupos!$A$2:$B$619,2,FALSE)</f>
        <v>TABLEROS 75 AMP COBRE TAPA LISA</v>
      </c>
      <c r="B262" s="41" t="s">
        <v>398</v>
      </c>
      <c r="C262" s="41" t="s">
        <v>399</v>
      </c>
      <c r="D262" s="42">
        <v>40</v>
      </c>
      <c r="E262" s="195">
        <v>9253.9599999999991</v>
      </c>
      <c r="F262" s="192">
        <v>1009.13</v>
      </c>
      <c r="G262" s="126">
        <f t="shared" si="162"/>
        <v>10263.089999999998</v>
      </c>
      <c r="H262" s="127">
        <f t="shared" si="163"/>
        <v>370158.39999999997</v>
      </c>
      <c r="I262" s="128">
        <f t="shared" si="164"/>
        <v>40365.199999999997</v>
      </c>
      <c r="J262" s="128">
        <f t="shared" si="165"/>
        <v>410523.59999999992</v>
      </c>
      <c r="K262" s="44">
        <f t="shared" si="166"/>
        <v>2.4497712262340363E-4</v>
      </c>
      <c r="L262" s="45">
        <f t="shared" si="167"/>
        <v>2555.0175199143828</v>
      </c>
      <c r="M262" s="45">
        <f t="shared" si="168"/>
        <v>5937.9472071140062</v>
      </c>
      <c r="N262" s="45">
        <f t="shared" si="169"/>
        <v>18756.054727028386</v>
      </c>
      <c r="O262" s="46">
        <f t="shared" si="170"/>
        <v>750242.18908113544</v>
      </c>
      <c r="P262" s="47">
        <f t="shared" si="171"/>
        <v>21349.000250000001</v>
      </c>
      <c r="Q262" s="42">
        <v>853960.01</v>
      </c>
      <c r="R262" s="48">
        <f t="shared" si="172"/>
        <v>0.87854487364242673</v>
      </c>
      <c r="S262" s="49"/>
      <c r="T262" s="157">
        <f>IFERROR(VLOOKUP(B262,[1]Todos!$A$2:$C$3021,3,FALSE),0)</f>
        <v>1009.13</v>
      </c>
      <c r="U262" s="112">
        <f t="shared" ref="U262:U305" si="173">T262-F262</f>
        <v>0</v>
      </c>
      <c r="W262" s="157">
        <f>IFERROR(VLOOKUP(B262,[1]Todos!$A$2:$B$3021,2,FALSE),0)</f>
        <v>9253.9599999999991</v>
      </c>
      <c r="X262" s="112">
        <f t="shared" ref="X262:X305" si="174">W262-E262</f>
        <v>0</v>
      </c>
    </row>
    <row r="263" spans="1:24" outlineLevel="2" x14ac:dyDescent="0.3">
      <c r="A263" s="40" t="str">
        <f>VLOOKUP(B263,Grupos!$A$2:$B$619,2,FALSE)</f>
        <v>TABLEROS 75 AMP COBRE TAPA LISA</v>
      </c>
      <c r="B263" s="41" t="s">
        <v>400</v>
      </c>
      <c r="C263" s="41" t="s">
        <v>401</v>
      </c>
      <c r="D263" s="42">
        <v>160</v>
      </c>
      <c r="E263" s="195">
        <v>9151.7999999999993</v>
      </c>
      <c r="F263" s="192">
        <v>808.54</v>
      </c>
      <c r="G263" s="126">
        <f t="shared" si="162"/>
        <v>9960.34</v>
      </c>
      <c r="H263" s="127">
        <f t="shared" si="163"/>
        <v>1464288</v>
      </c>
      <c r="I263" s="128">
        <f t="shared" si="164"/>
        <v>129366.39999999999</v>
      </c>
      <c r="J263" s="128">
        <f t="shared" si="165"/>
        <v>1593654.4</v>
      </c>
      <c r="K263" s="44">
        <f t="shared" si="166"/>
        <v>9.5100225509112449E-4</v>
      </c>
      <c r="L263" s="45">
        <f t="shared" si="167"/>
        <v>2479.6472801372711</v>
      </c>
      <c r="M263" s="45">
        <f t="shared" si="168"/>
        <v>4757.6306668516027</v>
      </c>
      <c r="N263" s="45">
        <f t="shared" si="169"/>
        <v>17197.617946988874</v>
      </c>
      <c r="O263" s="46">
        <f t="shared" si="170"/>
        <v>2751618.8715182198</v>
      </c>
      <c r="P263" s="47">
        <f t="shared" si="171"/>
        <v>20939.999562500001</v>
      </c>
      <c r="Q263" s="42">
        <v>3350399.93</v>
      </c>
      <c r="R263" s="48">
        <f t="shared" si="172"/>
        <v>0.8212807214087483</v>
      </c>
      <c r="S263" s="49"/>
      <c r="T263" s="157">
        <f>IFERROR(VLOOKUP(B263,[1]Todos!$A$2:$C$3021,3,FALSE),0)</f>
        <v>808.54</v>
      </c>
      <c r="U263" s="112">
        <f t="shared" si="173"/>
        <v>0</v>
      </c>
      <c r="W263" s="157">
        <f>IFERROR(VLOOKUP(B263,[1]Todos!$A$2:$B$3021,2,FALSE),0)</f>
        <v>9151.7999999999993</v>
      </c>
      <c r="X263" s="112">
        <f t="shared" si="174"/>
        <v>0</v>
      </c>
    </row>
    <row r="264" spans="1:24" outlineLevel="2" x14ac:dyDescent="0.3">
      <c r="A264" s="40" t="str">
        <f>VLOOKUP(B264,Grupos!$A$2:$B$619,2,FALSE)</f>
        <v>TABLEROS 75 AMP COBRE TAPA LISA</v>
      </c>
      <c r="B264" s="41" t="s">
        <v>402</v>
      </c>
      <c r="C264" s="41" t="s">
        <v>403</v>
      </c>
      <c r="D264" s="42">
        <v>540</v>
      </c>
      <c r="E264" s="195">
        <v>10183.83</v>
      </c>
      <c r="F264" s="192">
        <v>1004.85</v>
      </c>
      <c r="G264" s="126">
        <f t="shared" si="162"/>
        <v>11188.68</v>
      </c>
      <c r="H264" s="127">
        <f t="shared" si="163"/>
        <v>5499268.2000000002</v>
      </c>
      <c r="I264" s="128">
        <f t="shared" si="164"/>
        <v>542619</v>
      </c>
      <c r="J264" s="128">
        <f t="shared" si="165"/>
        <v>6041887.2000000002</v>
      </c>
      <c r="K264" s="44">
        <f t="shared" si="166"/>
        <v>3.6054544524874404E-3</v>
      </c>
      <c r="L264" s="45">
        <f t="shared" si="167"/>
        <v>2785.4450681730027</v>
      </c>
      <c r="M264" s="45">
        <f t="shared" si="168"/>
        <v>5912.7627273676426</v>
      </c>
      <c r="N264" s="45">
        <f t="shared" si="169"/>
        <v>19886.887795540646</v>
      </c>
      <c r="O264" s="46">
        <f t="shared" si="170"/>
        <v>10738919.409591949</v>
      </c>
      <c r="P264" s="47">
        <f t="shared" si="171"/>
        <v>25512.592814814812</v>
      </c>
      <c r="Q264" s="42">
        <v>13776800.119999999</v>
      </c>
      <c r="R264" s="48">
        <f t="shared" si="172"/>
        <v>0.77949301115300995</v>
      </c>
      <c r="S264" s="49"/>
      <c r="T264" s="157">
        <f>IFERROR(VLOOKUP(B264,[1]Todos!$A$2:$C$3021,3,FALSE),0)</f>
        <v>1004.85</v>
      </c>
      <c r="U264" s="112">
        <f t="shared" si="173"/>
        <v>0</v>
      </c>
      <c r="W264" s="157">
        <f>IFERROR(VLOOKUP(B264,[1]Todos!$A$2:$B$3021,2,FALSE),0)</f>
        <v>10183.83</v>
      </c>
      <c r="X264" s="112">
        <f t="shared" si="174"/>
        <v>0</v>
      </c>
    </row>
    <row r="265" spans="1:24" outlineLevel="2" x14ac:dyDescent="0.3">
      <c r="A265" s="40" t="str">
        <f>VLOOKUP(B265,Grupos!$A$2:$B$619,2,FALSE)</f>
        <v>TABLEROS 75 AMP COBRE TAPA LISA</v>
      </c>
      <c r="B265" s="41" t="s">
        <v>404</v>
      </c>
      <c r="C265" s="41" t="s">
        <v>405</v>
      </c>
      <c r="D265" s="42">
        <v>1080</v>
      </c>
      <c r="E265" s="195">
        <v>10081.67</v>
      </c>
      <c r="F265" s="192">
        <v>944.2</v>
      </c>
      <c r="G265" s="126">
        <f t="shared" si="162"/>
        <v>11025.87</v>
      </c>
      <c r="H265" s="127">
        <f t="shared" si="163"/>
        <v>10888203.6</v>
      </c>
      <c r="I265" s="128">
        <f t="shared" si="164"/>
        <v>1019736</v>
      </c>
      <c r="J265" s="128">
        <f t="shared" si="165"/>
        <v>11907939.600000001</v>
      </c>
      <c r="K265" s="44">
        <f t="shared" si="166"/>
        <v>7.1059807026472646E-3</v>
      </c>
      <c r="L265" s="45">
        <f t="shared" si="167"/>
        <v>2744.9131813419158</v>
      </c>
      <c r="M265" s="45">
        <f t="shared" si="168"/>
        <v>5555.8845272234939</v>
      </c>
      <c r="N265" s="45">
        <f t="shared" si="169"/>
        <v>19326.667708565408</v>
      </c>
      <c r="O265" s="46">
        <f t="shared" si="170"/>
        <v>20872801.125250641</v>
      </c>
      <c r="P265" s="47">
        <f t="shared" si="171"/>
        <v>24157.000018518516</v>
      </c>
      <c r="Q265" s="42">
        <v>26089560.02</v>
      </c>
      <c r="R265" s="48">
        <f t="shared" si="172"/>
        <v>0.80004419811026928</v>
      </c>
      <c r="S265" s="49"/>
      <c r="T265" s="157">
        <f>IFERROR(VLOOKUP(B265,[1]Todos!$A$2:$C$3021,3,FALSE),0)</f>
        <v>944.2</v>
      </c>
      <c r="U265" s="112">
        <f t="shared" si="173"/>
        <v>0</v>
      </c>
      <c r="W265" s="157">
        <f>IFERROR(VLOOKUP(B265,[1]Todos!$A$2:$B$3021,2,FALSE),0)</f>
        <v>10081.67</v>
      </c>
      <c r="X265" s="112">
        <f t="shared" si="174"/>
        <v>0</v>
      </c>
    </row>
    <row r="266" spans="1:24" outlineLevel="2" x14ac:dyDescent="0.3">
      <c r="A266" s="40" t="str">
        <f>VLOOKUP(B266,Grupos!$A$2:$B$619,2,FALSE)</f>
        <v>TABLEROS 75 AMP COBRE TAPA LISA</v>
      </c>
      <c r="B266" s="41" t="s">
        <v>406</v>
      </c>
      <c r="C266" s="41" t="s">
        <v>407</v>
      </c>
      <c r="D266" s="42">
        <v>480</v>
      </c>
      <c r="E266" s="195">
        <v>9810.1</v>
      </c>
      <c r="F266" s="192">
        <v>1027.1600000000001</v>
      </c>
      <c r="G266" s="126">
        <f t="shared" si="162"/>
        <v>10837.26</v>
      </c>
      <c r="H266" s="127">
        <f t="shared" si="163"/>
        <v>4708848</v>
      </c>
      <c r="I266" s="128">
        <f t="shared" si="164"/>
        <v>493036.80000000005</v>
      </c>
      <c r="J266" s="128">
        <f t="shared" si="165"/>
        <v>5201884.8</v>
      </c>
      <c r="K266" s="44">
        <f t="shared" si="166"/>
        <v>3.1041888225729762E-3</v>
      </c>
      <c r="L266" s="45">
        <f t="shared" si="167"/>
        <v>2697.9583310550083</v>
      </c>
      <c r="M266" s="45">
        <f t="shared" si="168"/>
        <v>6044.0397701576831</v>
      </c>
      <c r="N266" s="45">
        <f t="shared" si="169"/>
        <v>19579.25810121269</v>
      </c>
      <c r="O266" s="46">
        <f t="shared" si="170"/>
        <v>9398043.8885820918</v>
      </c>
      <c r="P266" s="47">
        <f t="shared" si="171"/>
        <v>26855.811999999998</v>
      </c>
      <c r="Q266" s="42">
        <v>12890789.76</v>
      </c>
      <c r="R266" s="48">
        <f t="shared" si="172"/>
        <v>0.72905105610706133</v>
      </c>
      <c r="S266" s="49"/>
      <c r="T266" s="157">
        <f>IFERROR(VLOOKUP(B266,[1]Todos!$A$2:$C$3021,3,FALSE),0)</f>
        <v>1027.1600000000001</v>
      </c>
      <c r="U266" s="112">
        <f t="shared" si="173"/>
        <v>0</v>
      </c>
      <c r="W266" s="157">
        <f>IFERROR(VLOOKUP(B266,[1]Todos!$A$2:$B$3021,2,FALSE),0)</f>
        <v>9810.1</v>
      </c>
      <c r="X266" s="112">
        <f t="shared" si="174"/>
        <v>0</v>
      </c>
    </row>
    <row r="267" spans="1:24" outlineLevel="2" x14ac:dyDescent="0.3">
      <c r="A267" s="40" t="str">
        <f>VLOOKUP(B267,Grupos!$A$2:$B$619,2,FALSE)</f>
        <v>TABLEROS 75 AMP COBRE TAPA LISA</v>
      </c>
      <c r="B267" s="41" t="s">
        <v>408</v>
      </c>
      <c r="C267" s="41" t="s">
        <v>409</v>
      </c>
      <c r="D267" s="42">
        <v>620</v>
      </c>
      <c r="E267" s="195">
        <v>9776.19</v>
      </c>
      <c r="F267" s="192">
        <v>906.96</v>
      </c>
      <c r="G267" s="126">
        <f t="shared" si="162"/>
        <v>10683.150000000001</v>
      </c>
      <c r="H267" s="127">
        <f t="shared" si="163"/>
        <v>6061237.8000000007</v>
      </c>
      <c r="I267" s="128">
        <f t="shared" si="164"/>
        <v>562315.20000000007</v>
      </c>
      <c r="J267" s="128">
        <f t="shared" si="165"/>
        <v>6623553.0000000009</v>
      </c>
      <c r="K267" s="44">
        <f t="shared" si="166"/>
        <v>3.9525595008024226E-3</v>
      </c>
      <c r="L267" s="45">
        <f t="shared" si="167"/>
        <v>2659.5923272497216</v>
      </c>
      <c r="M267" s="45">
        <f t="shared" si="168"/>
        <v>5336.7560165331715</v>
      </c>
      <c r="N267" s="45">
        <f t="shared" si="169"/>
        <v>18679.498343782896</v>
      </c>
      <c r="O267" s="46">
        <f t="shared" si="170"/>
        <v>11581288.973145396</v>
      </c>
      <c r="P267" s="47">
        <f t="shared" si="171"/>
        <v>24379.644887096776</v>
      </c>
      <c r="Q267" s="42">
        <v>15115379.83</v>
      </c>
      <c r="R267" s="48">
        <f t="shared" si="172"/>
        <v>0.76619238837515835</v>
      </c>
      <c r="S267" s="49"/>
      <c r="T267" s="157">
        <f>IFERROR(VLOOKUP(B267,[1]Todos!$A$2:$C$3021,3,FALSE),0)</f>
        <v>906.96</v>
      </c>
      <c r="U267" s="112">
        <f t="shared" si="173"/>
        <v>0</v>
      </c>
      <c r="W267" s="157">
        <f>IFERROR(VLOOKUP(B267,[1]Todos!$A$2:$B$3021,2,FALSE),0)</f>
        <v>9776.19</v>
      </c>
      <c r="X267" s="112">
        <f t="shared" si="174"/>
        <v>0</v>
      </c>
    </row>
    <row r="268" spans="1:24" outlineLevel="2" x14ac:dyDescent="0.3">
      <c r="A268" s="40" t="str">
        <f>VLOOKUP(B268,Grupos!$A$2:$B$619,2,FALSE)</f>
        <v>TABLEROS 75 AMP COBRE TAPA LISA</v>
      </c>
      <c r="B268" s="41" t="s">
        <v>410</v>
      </c>
      <c r="C268" s="41" t="s">
        <v>411</v>
      </c>
      <c r="D268" s="42">
        <v>220</v>
      </c>
      <c r="E268" s="195">
        <v>12642.23</v>
      </c>
      <c r="F268" s="192">
        <v>1259.55</v>
      </c>
      <c r="G268" s="126">
        <f t="shared" si="162"/>
        <v>13901.779999999999</v>
      </c>
      <c r="H268" s="127">
        <f t="shared" si="163"/>
        <v>2781290.6</v>
      </c>
      <c r="I268" s="128">
        <f t="shared" si="164"/>
        <v>277101</v>
      </c>
      <c r="J268" s="128">
        <f t="shared" si="165"/>
        <v>3058391.5999999996</v>
      </c>
      <c r="K268" s="44">
        <f t="shared" si="166"/>
        <v>1.8250740615730439E-3</v>
      </c>
      <c r="L268" s="45">
        <f t="shared" si="167"/>
        <v>3460.8769345290134</v>
      </c>
      <c r="M268" s="45">
        <f t="shared" si="168"/>
        <v>7411.4746412458708</v>
      </c>
      <c r="N268" s="45">
        <f t="shared" si="169"/>
        <v>24774.131575774882</v>
      </c>
      <c r="O268" s="46">
        <f t="shared" si="170"/>
        <v>5450308.9466704736</v>
      </c>
      <c r="P268" s="47">
        <f t="shared" si="171"/>
        <v>33159.998909090908</v>
      </c>
      <c r="Q268" s="42">
        <v>7295199.7599999998</v>
      </c>
      <c r="R268" s="48">
        <f t="shared" si="172"/>
        <v>0.7471089382027386</v>
      </c>
      <c r="S268" s="49"/>
      <c r="T268" s="157">
        <f>IFERROR(VLOOKUP(B268,[1]Todos!$A$2:$C$3021,3,FALSE),0)</f>
        <v>1259.55</v>
      </c>
      <c r="U268" s="112">
        <f t="shared" si="173"/>
        <v>0</v>
      </c>
      <c r="W268" s="157">
        <f>IFERROR(VLOOKUP(B268,[1]Todos!$A$2:$B$3021,2,FALSE),0)</f>
        <v>12642.23</v>
      </c>
      <c r="X268" s="112">
        <f t="shared" si="174"/>
        <v>0</v>
      </c>
    </row>
    <row r="269" spans="1:24" outlineLevel="2" x14ac:dyDescent="0.3">
      <c r="A269" s="40" t="str">
        <f>VLOOKUP(B269,Grupos!$A$2:$B$619,2,FALSE)</f>
        <v>TABLEROS 75 AMP COBRE TAPA LISA</v>
      </c>
      <c r="B269" s="41" t="s">
        <v>412</v>
      </c>
      <c r="C269" s="41" t="s">
        <v>413</v>
      </c>
      <c r="D269" s="42">
        <v>340</v>
      </c>
      <c r="E269" s="195">
        <v>12641.9</v>
      </c>
      <c r="F269" s="192">
        <v>1201.76</v>
      </c>
      <c r="G269" s="126">
        <f t="shared" si="162"/>
        <v>13843.66</v>
      </c>
      <c r="H269" s="127">
        <f t="shared" si="163"/>
        <v>4298246</v>
      </c>
      <c r="I269" s="128">
        <f t="shared" si="164"/>
        <v>408598.4</v>
      </c>
      <c r="J269" s="128">
        <f t="shared" si="165"/>
        <v>4706844.4000000004</v>
      </c>
      <c r="K269" s="44">
        <f t="shared" si="166"/>
        <v>2.8087768833462458E-3</v>
      </c>
      <c r="L269" s="45">
        <f t="shared" si="167"/>
        <v>3446.4078401083839</v>
      </c>
      <c r="M269" s="45">
        <f t="shared" si="168"/>
        <v>7071.4253224275644</v>
      </c>
      <c r="N269" s="45">
        <f t="shared" si="169"/>
        <v>24361.493162535946</v>
      </c>
      <c r="O269" s="46">
        <f t="shared" si="170"/>
        <v>8282907.6752622221</v>
      </c>
      <c r="P269" s="47">
        <f t="shared" si="171"/>
        <v>31343.529499999997</v>
      </c>
      <c r="Q269" s="42">
        <v>10656800.029999999</v>
      </c>
      <c r="R269" s="48">
        <f t="shared" si="172"/>
        <v>0.77724154079507701</v>
      </c>
      <c r="S269" s="49"/>
      <c r="T269" s="157">
        <f>IFERROR(VLOOKUP(B269,[1]Todos!$A$2:$C$3021,3,FALSE),0)</f>
        <v>1201.76</v>
      </c>
      <c r="U269" s="112">
        <f t="shared" si="173"/>
        <v>0</v>
      </c>
      <c r="W269" s="157">
        <f>IFERROR(VLOOKUP(B269,[1]Todos!$A$2:$B$3021,2,FALSE),0)</f>
        <v>12641.9</v>
      </c>
      <c r="X269" s="112">
        <f t="shared" si="174"/>
        <v>0</v>
      </c>
    </row>
    <row r="270" spans="1:24" outlineLevel="2" x14ac:dyDescent="0.3">
      <c r="A270" s="40" t="str">
        <f>VLOOKUP(B270,Grupos!$A$2:$B$619,2,FALSE)</f>
        <v>TABLEROS 75 AMP COBRE TAPA LISA</v>
      </c>
      <c r="B270" s="41" t="s">
        <v>416</v>
      </c>
      <c r="C270" s="41" t="s">
        <v>417</v>
      </c>
      <c r="D270" s="42">
        <v>620</v>
      </c>
      <c r="E270" s="195">
        <v>12464.32</v>
      </c>
      <c r="F270" s="192">
        <v>1121.73</v>
      </c>
      <c r="G270" s="126">
        <f t="shared" si="162"/>
        <v>13586.05</v>
      </c>
      <c r="H270" s="127">
        <f t="shared" si="163"/>
        <v>7727878.3999999994</v>
      </c>
      <c r="I270" s="128">
        <f t="shared" si="164"/>
        <v>695472.6</v>
      </c>
      <c r="J270" s="128">
        <f t="shared" si="165"/>
        <v>8423351</v>
      </c>
      <c r="K270" s="44">
        <f t="shared" si="166"/>
        <v>5.0265765252642475E-3</v>
      </c>
      <c r="L270" s="45">
        <f t="shared" si="167"/>
        <v>3382.2752968582372</v>
      </c>
      <c r="M270" s="45">
        <f t="shared" si="168"/>
        <v>6600.5108565160026</v>
      </c>
      <c r="N270" s="45">
        <f t="shared" si="169"/>
        <v>23568.836153374243</v>
      </c>
      <c r="O270" s="46">
        <f t="shared" si="170"/>
        <v>14612678.415092031</v>
      </c>
      <c r="P270" s="47">
        <f t="shared" si="171"/>
        <v>30526.772774193549</v>
      </c>
      <c r="Q270" s="42">
        <v>18926599.120000001</v>
      </c>
      <c r="R270" s="48">
        <f t="shared" si="172"/>
        <v>0.77207100559606667</v>
      </c>
      <c r="S270" s="49"/>
      <c r="T270" s="157">
        <f>IFERROR(VLOOKUP(B270,[1]Todos!$A$2:$C$3021,3,FALSE),0)</f>
        <v>1121.73</v>
      </c>
      <c r="U270" s="112">
        <f t="shared" si="173"/>
        <v>0</v>
      </c>
      <c r="W270" s="157">
        <f>IFERROR(VLOOKUP(B270,[1]Todos!$A$2:$B$3021,2,FALSE),0)</f>
        <v>12464.32</v>
      </c>
      <c r="X270" s="112">
        <f t="shared" si="174"/>
        <v>0</v>
      </c>
    </row>
    <row r="271" spans="1:24" outlineLevel="2" x14ac:dyDescent="0.3">
      <c r="A271" s="40" t="str">
        <f>VLOOKUP(B271,Grupos!$A$2:$B$619,2,FALSE)</f>
        <v>TABLEROS 75 AMP COBRE TAPA LISA</v>
      </c>
      <c r="B271" s="41" t="s">
        <v>418</v>
      </c>
      <c r="C271" s="41" t="s">
        <v>1091</v>
      </c>
      <c r="D271" s="42">
        <v>60</v>
      </c>
      <c r="E271" s="195">
        <v>15672.92</v>
      </c>
      <c r="F271" s="192">
        <v>1183.22</v>
      </c>
      <c r="G271" s="126">
        <f t="shared" si="162"/>
        <v>16856.14</v>
      </c>
      <c r="H271" s="127">
        <f t="shared" si="163"/>
        <v>940375.2</v>
      </c>
      <c r="I271" s="128">
        <f t="shared" si="164"/>
        <v>70993.2</v>
      </c>
      <c r="J271" s="128">
        <f t="shared" si="165"/>
        <v>1011368.3999999999</v>
      </c>
      <c r="K271" s="44">
        <f t="shared" si="166"/>
        <v>6.0352710671015143E-4</v>
      </c>
      <c r="L271" s="45">
        <f t="shared" si="167"/>
        <v>4196.3709777590984</v>
      </c>
      <c r="M271" s="45">
        <f t="shared" si="168"/>
        <v>6962.3318050215876</v>
      </c>
      <c r="N271" s="45">
        <f t="shared" si="169"/>
        <v>28014.842782780688</v>
      </c>
      <c r="O271" s="46">
        <f t="shared" si="170"/>
        <v>1680890.5669668412</v>
      </c>
      <c r="P271" s="47">
        <f t="shared" si="171"/>
        <v>43291.874333333333</v>
      </c>
      <c r="Q271" s="42">
        <v>2597512.46</v>
      </c>
      <c r="R271" s="48">
        <f t="shared" si="172"/>
        <v>0.64711549717333838</v>
      </c>
      <c r="S271" s="49"/>
      <c r="T271" s="157">
        <f>IFERROR(VLOOKUP(B271,[1]Todos!$A$2:$C$3021,3,FALSE),0)</f>
        <v>1183.22</v>
      </c>
      <c r="U271" s="112">
        <f t="shared" si="173"/>
        <v>0</v>
      </c>
      <c r="W271" s="157">
        <f>IFERROR(VLOOKUP(B271,[1]Todos!$A$2:$B$3021,2,FALSE),0)</f>
        <v>15672.92</v>
      </c>
      <c r="X271" s="112">
        <f t="shared" si="174"/>
        <v>0</v>
      </c>
    </row>
    <row r="272" spans="1:24" outlineLevel="2" x14ac:dyDescent="0.3">
      <c r="A272" s="40" t="str">
        <f>VLOOKUP(B272,Grupos!$A$2:$B$619,2,FALSE)</f>
        <v>TABLEROS 75 AMP COBRE TAPA LISA</v>
      </c>
      <c r="B272" s="41" t="s">
        <v>419</v>
      </c>
      <c r="C272" s="41" t="s">
        <v>1092</v>
      </c>
      <c r="D272" s="42">
        <v>360</v>
      </c>
      <c r="E272" s="195">
        <v>15656.21</v>
      </c>
      <c r="F272" s="192">
        <v>1193.02</v>
      </c>
      <c r="G272" s="126">
        <f t="shared" si="162"/>
        <v>16849.23</v>
      </c>
      <c r="H272" s="127">
        <f t="shared" si="163"/>
        <v>5636235.5999999996</v>
      </c>
      <c r="I272" s="128">
        <f t="shared" si="164"/>
        <v>429487.2</v>
      </c>
      <c r="J272" s="128">
        <f t="shared" si="165"/>
        <v>6065722.7999999998</v>
      </c>
      <c r="K272" s="44">
        <f t="shared" si="166"/>
        <v>3.619678182143914E-3</v>
      </c>
      <c r="L272" s="45">
        <f t="shared" si="167"/>
        <v>4194.6507189420554</v>
      </c>
      <c r="M272" s="45">
        <f t="shared" si="168"/>
        <v>7019.9972025716716</v>
      </c>
      <c r="N272" s="45">
        <f t="shared" si="169"/>
        <v>28063.877921513726</v>
      </c>
      <c r="O272" s="46">
        <f t="shared" si="170"/>
        <v>10102996.051744942</v>
      </c>
      <c r="P272" s="47">
        <f t="shared" si="171"/>
        <v>38120.499388888886</v>
      </c>
      <c r="Q272" s="42">
        <v>13723379.779999999</v>
      </c>
      <c r="R272" s="152">
        <f t="shared" si="172"/>
        <v>0.73618862216935177</v>
      </c>
      <c r="S272" s="49"/>
      <c r="T272" s="157">
        <f>IFERROR(VLOOKUP(B272,[1]Todos!$A$2:$C$3021,3,FALSE),0)</f>
        <v>1193.02</v>
      </c>
      <c r="U272" s="112">
        <f t="shared" si="173"/>
        <v>0</v>
      </c>
      <c r="W272" s="157">
        <f>IFERROR(VLOOKUP(B272,[1]Todos!$A$2:$B$3021,2,FALSE),0)</f>
        <v>15656.21</v>
      </c>
      <c r="X272" s="112">
        <f t="shared" si="174"/>
        <v>0</v>
      </c>
    </row>
    <row r="273" spans="1:24" outlineLevel="2" x14ac:dyDescent="0.3">
      <c r="A273" s="40" t="str">
        <f>VLOOKUP(B273,Grupos!$A$2:$B$619,2,FALSE)</f>
        <v>TABLEROS 75 AMP COBRE TAPA LISA</v>
      </c>
      <c r="B273" s="41" t="s">
        <v>420</v>
      </c>
      <c r="C273" s="41" t="s">
        <v>1093</v>
      </c>
      <c r="D273" s="42">
        <v>120</v>
      </c>
      <c r="E273" s="195">
        <v>15456.56</v>
      </c>
      <c r="F273" s="192">
        <v>1159.3900000000001</v>
      </c>
      <c r="G273" s="126">
        <f t="shared" si="162"/>
        <v>16615.95</v>
      </c>
      <c r="H273" s="127">
        <f t="shared" si="163"/>
        <v>1854787.2</v>
      </c>
      <c r="I273" s="128">
        <f t="shared" si="164"/>
        <v>139126.80000000002</v>
      </c>
      <c r="J273" s="128">
        <f t="shared" si="165"/>
        <v>1993914</v>
      </c>
      <c r="K273" s="44">
        <f t="shared" si="166"/>
        <v>1.1898544066127289E-3</v>
      </c>
      <c r="L273" s="45">
        <f t="shared" si="167"/>
        <v>4136.5751796019913</v>
      </c>
      <c r="M273" s="45">
        <f t="shared" si="168"/>
        <v>6822.1107413870441</v>
      </c>
      <c r="N273" s="45">
        <f t="shared" si="169"/>
        <v>27574.635920989036</v>
      </c>
      <c r="O273" s="46">
        <f t="shared" si="170"/>
        <v>3308956.3105186843</v>
      </c>
      <c r="P273" s="47">
        <f t="shared" si="171"/>
        <v>42242.373749999999</v>
      </c>
      <c r="Q273" s="42">
        <v>5069084.8499999996</v>
      </c>
      <c r="R273" s="48">
        <f t="shared" si="172"/>
        <v>0.65277193190378036</v>
      </c>
      <c r="S273" s="49"/>
      <c r="T273" s="157">
        <f>IFERROR(VLOOKUP(B273,[1]Todos!$A$2:$C$3021,3,FALSE),0)</f>
        <v>1159.3900000000001</v>
      </c>
      <c r="U273" s="112">
        <f t="shared" si="173"/>
        <v>0</v>
      </c>
      <c r="W273" s="157">
        <f>IFERROR(VLOOKUP(B273,[1]Todos!$A$2:$B$3021,2,FALSE),0)</f>
        <v>15456.56</v>
      </c>
      <c r="X273" s="112">
        <f t="shared" si="174"/>
        <v>0</v>
      </c>
    </row>
    <row r="274" spans="1:24" outlineLevel="2" x14ac:dyDescent="0.3">
      <c r="A274" s="40" t="str">
        <f>VLOOKUP(B274,Grupos!$A$2:$B$619,2,FALSE)</f>
        <v>TABLEROS 75 AMP COBRE TAPA LISA</v>
      </c>
      <c r="B274" s="41" t="s">
        <v>421</v>
      </c>
      <c r="C274" s="41" t="s">
        <v>1094</v>
      </c>
      <c r="D274" s="42">
        <v>60</v>
      </c>
      <c r="E274" s="195">
        <v>15439.85</v>
      </c>
      <c r="F274" s="192">
        <v>1034.33</v>
      </c>
      <c r="G274" s="126">
        <f t="shared" si="162"/>
        <v>16474.18</v>
      </c>
      <c r="H274" s="127">
        <f t="shared" si="163"/>
        <v>926391</v>
      </c>
      <c r="I274" s="128">
        <f t="shared" si="164"/>
        <v>62059.799999999996</v>
      </c>
      <c r="J274" s="128">
        <f t="shared" si="165"/>
        <v>988450.8</v>
      </c>
      <c r="K274" s="44">
        <f t="shared" si="166"/>
        <v>5.8985118721262665E-4</v>
      </c>
      <c r="L274" s="45">
        <f t="shared" si="167"/>
        <v>4101.2812443643325</v>
      </c>
      <c r="M274" s="45">
        <f t="shared" si="168"/>
        <v>6086.2296579570811</v>
      </c>
      <c r="N274" s="45">
        <f t="shared" si="169"/>
        <v>26661.690902321418</v>
      </c>
      <c r="O274" s="46">
        <f t="shared" si="170"/>
        <v>1599701.454139285</v>
      </c>
      <c r="P274" s="47">
        <f t="shared" si="171"/>
        <v>37322.998666666666</v>
      </c>
      <c r="Q274" s="42">
        <v>2239379.92</v>
      </c>
      <c r="R274" s="48">
        <f t="shared" si="172"/>
        <v>0.71435018232157987</v>
      </c>
      <c r="S274" s="49"/>
      <c r="T274" s="157">
        <f>IFERROR(VLOOKUP(B274,[1]Todos!$A$2:$C$3021,3,FALSE),0)</f>
        <v>1034.33</v>
      </c>
      <c r="U274" s="112">
        <f t="shared" si="173"/>
        <v>0</v>
      </c>
      <c r="W274" s="157">
        <f>IFERROR(VLOOKUP(B274,[1]Todos!$A$2:$B$3021,2,FALSE),0)</f>
        <v>15439.85</v>
      </c>
      <c r="X274" s="112">
        <f t="shared" si="174"/>
        <v>0</v>
      </c>
    </row>
    <row r="275" spans="1:24" s="93" customFormat="1" outlineLevel="1" x14ac:dyDescent="0.3">
      <c r="A275" s="50" t="s">
        <v>1040</v>
      </c>
      <c r="B275" s="129"/>
      <c r="C275" s="129"/>
      <c r="D275" s="51">
        <f>SUBTOTAL(9,D257:D274)</f>
        <v>8001</v>
      </c>
      <c r="E275" s="52"/>
      <c r="F275" s="52"/>
      <c r="G275" s="130"/>
      <c r="H275" s="131">
        <f>SUBTOTAL(9,H257:H274)</f>
        <v>76870095.569999993</v>
      </c>
      <c r="I275" s="146">
        <f>SUBTOTAL(9,I257:I274)</f>
        <v>6318066.6899999995</v>
      </c>
      <c r="J275" s="146">
        <f>SUBTOTAL(9,J257:J274)</f>
        <v>83188162.25999999</v>
      </c>
      <c r="K275" s="53"/>
      <c r="L275" s="54"/>
      <c r="M275" s="54"/>
      <c r="N275" s="54"/>
      <c r="O275" s="55">
        <f>SUBTOTAL(9,O257:O274)</f>
        <v>141074948.78075966</v>
      </c>
      <c r="P275" s="56"/>
      <c r="Q275" s="51">
        <f>SUBTOTAL(9,Q257:Q274)</f>
        <v>191768145.47</v>
      </c>
      <c r="R275" s="57">
        <f t="shared" si="172"/>
        <v>0.73565371576703953</v>
      </c>
      <c r="S275" s="58">
        <f>Q275/$Q$308</f>
        <v>4.4287203201890363E-2</v>
      </c>
      <c r="T275" s="157">
        <f>IFERROR(VLOOKUP(B275,[1]Todos!$A$2:$C$3021,3,FALSE),0)</f>
        <v>0</v>
      </c>
      <c r="U275" s="112">
        <f t="shared" si="173"/>
        <v>0</v>
      </c>
      <c r="W275" s="157">
        <f>IFERROR(VLOOKUP(B275,[1]Todos!$A$2:$B$3021,2,FALSE),0)</f>
        <v>0</v>
      </c>
      <c r="X275" s="112">
        <f t="shared" si="174"/>
        <v>0</v>
      </c>
    </row>
    <row r="276" spans="1:24" outlineLevel="2" x14ac:dyDescent="0.3">
      <c r="A276" s="40" t="str">
        <f>VLOOKUP(B276,Grupos!$A$2:$B$619,2,FALSE)</f>
        <v>TABLEROS 75 AMP COBRE TAPA PLASTICA</v>
      </c>
      <c r="B276" s="41" t="s">
        <v>422</v>
      </c>
      <c r="C276" s="41" t="s">
        <v>423</v>
      </c>
      <c r="D276" s="42">
        <v>180</v>
      </c>
      <c r="E276" s="195">
        <v>9419.26</v>
      </c>
      <c r="F276" s="192">
        <v>1028.3900000000001</v>
      </c>
      <c r="G276" s="126">
        <f t="shared" ref="G276:G281" si="175">E276+F276</f>
        <v>10447.65</v>
      </c>
      <c r="H276" s="127">
        <f t="shared" ref="H276:H281" si="176">E276*D276</f>
        <v>1695466.8</v>
      </c>
      <c r="I276" s="128">
        <f t="shared" ref="I276:I281" si="177">F276*D276</f>
        <v>185110.2</v>
      </c>
      <c r="J276" s="128">
        <f t="shared" ref="J276:J281" si="178">G276*D276</f>
        <v>1880577</v>
      </c>
      <c r="K276" s="44">
        <f t="shared" ref="K276:K281" si="179">J276/$J$308</f>
        <v>1.1222213347338681E-3</v>
      </c>
      <c r="L276" s="45">
        <f t="shared" ref="L276:L281" si="180">$K$383*K276/D276</f>
        <v>2600.9641143099698</v>
      </c>
      <c r="M276" s="45">
        <f t="shared" ref="M276:M281" si="181">F276*$M$382</f>
        <v>6051.2773659726427</v>
      </c>
      <c r="N276" s="45">
        <f t="shared" ref="N276:N281" si="182">G276+L276+M276</f>
        <v>19099.891480282611</v>
      </c>
      <c r="O276" s="46">
        <f t="shared" ref="O276:O281" si="183">N276*D276</f>
        <v>3437980.46645087</v>
      </c>
      <c r="P276" s="47">
        <f t="shared" ref="P276:P281" si="184">Q276/D276</f>
        <v>27199.998500000002</v>
      </c>
      <c r="Q276" s="42">
        <v>4895999.7300000004</v>
      </c>
      <c r="R276" s="48">
        <f t="shared" si="172"/>
        <v>0.70220193138182008</v>
      </c>
      <c r="S276" s="49"/>
      <c r="T276" s="157">
        <f>IFERROR(VLOOKUP(B276,[1]Todos!$A$2:$C$3021,3,FALSE),0)</f>
        <v>1028.3900000000001</v>
      </c>
      <c r="U276" s="112">
        <f t="shared" si="173"/>
        <v>0</v>
      </c>
      <c r="W276" s="157">
        <f>IFERROR(VLOOKUP(B276,[1]Todos!$A$2:$B$3021,2,FALSE),0)</f>
        <v>9419.26</v>
      </c>
      <c r="X276" s="112">
        <f t="shared" si="174"/>
        <v>0</v>
      </c>
    </row>
    <row r="277" spans="1:24" outlineLevel="2" x14ac:dyDescent="0.3">
      <c r="A277" s="40" t="str">
        <f>VLOOKUP(B277,Grupos!$A$2:$B$619,2,FALSE)</f>
        <v>TABLEROS 75 AMP COBRE TAPA PLASTICA</v>
      </c>
      <c r="B277" s="41" t="s">
        <v>424</v>
      </c>
      <c r="C277" s="41" t="s">
        <v>425</v>
      </c>
      <c r="D277" s="42">
        <v>1275</v>
      </c>
      <c r="E277" s="195">
        <v>10136.17</v>
      </c>
      <c r="F277" s="192">
        <v>933.55</v>
      </c>
      <c r="G277" s="126">
        <f t="shared" si="175"/>
        <v>11069.72</v>
      </c>
      <c r="H277" s="127">
        <f t="shared" si="176"/>
        <v>12923616.75</v>
      </c>
      <c r="I277" s="128">
        <f t="shared" si="177"/>
        <v>1190276.25</v>
      </c>
      <c r="J277" s="128">
        <f t="shared" si="178"/>
        <v>14113893</v>
      </c>
      <c r="K277" s="44">
        <f t="shared" si="179"/>
        <v>8.4223681565556725E-3</v>
      </c>
      <c r="L277" s="45">
        <f t="shared" si="180"/>
        <v>2755.82972969609</v>
      </c>
      <c r="M277" s="45">
        <f t="shared" si="181"/>
        <v>5493.2175390695747</v>
      </c>
      <c r="N277" s="45">
        <f t="shared" si="182"/>
        <v>19318.767268765663</v>
      </c>
      <c r="O277" s="46">
        <f t="shared" si="183"/>
        <v>24631428.267676219</v>
      </c>
      <c r="P277" s="47">
        <f t="shared" si="184"/>
        <v>24453.141066666667</v>
      </c>
      <c r="Q277" s="42">
        <v>31177754.859999999</v>
      </c>
      <c r="R277" s="152">
        <f t="shared" si="172"/>
        <v>0.79003213599826927</v>
      </c>
      <c r="S277" s="49"/>
      <c r="T277" s="157">
        <f>IFERROR(VLOOKUP(B277,[1]Todos!$A$2:$C$3021,3,FALSE),0)</f>
        <v>933.55</v>
      </c>
      <c r="U277" s="112">
        <f t="shared" si="173"/>
        <v>0</v>
      </c>
      <c r="W277" s="157">
        <f>IFERROR(VLOOKUP(B277,[1]Todos!$A$2:$B$3021,2,FALSE),0)</f>
        <v>10136.17</v>
      </c>
      <c r="X277" s="112">
        <f t="shared" si="174"/>
        <v>0</v>
      </c>
    </row>
    <row r="278" spans="1:24" outlineLevel="2" x14ac:dyDescent="0.3">
      <c r="A278" s="40" t="str">
        <f>VLOOKUP(B278,Grupos!$A$2:$B$619,2,FALSE)</f>
        <v>TABLEROS 75 AMP COBRE TAPA PLASTICA</v>
      </c>
      <c r="B278" s="41" t="s">
        <v>426</v>
      </c>
      <c r="C278" s="41" t="s">
        <v>427</v>
      </c>
      <c r="D278" s="42">
        <v>180</v>
      </c>
      <c r="E278" s="195">
        <v>9878.4599999999991</v>
      </c>
      <c r="F278" s="192">
        <v>893.04</v>
      </c>
      <c r="G278" s="126">
        <f t="shared" si="175"/>
        <v>10771.5</v>
      </c>
      <c r="H278" s="127">
        <f t="shared" si="176"/>
        <v>1778122.7999999998</v>
      </c>
      <c r="I278" s="128">
        <f t="shared" si="177"/>
        <v>160747.19999999998</v>
      </c>
      <c r="J278" s="128">
        <f t="shared" si="178"/>
        <v>1938870</v>
      </c>
      <c r="K278" s="44">
        <f t="shared" si="179"/>
        <v>1.1570072798271248E-3</v>
      </c>
      <c r="L278" s="45">
        <f t="shared" si="180"/>
        <v>2681.5872428048256</v>
      </c>
      <c r="M278" s="45">
        <f t="shared" si="181"/>
        <v>5254.8476151150908</v>
      </c>
      <c r="N278" s="45">
        <f t="shared" si="182"/>
        <v>18707.934857919918</v>
      </c>
      <c r="O278" s="46">
        <f t="shared" si="183"/>
        <v>3367428.2744255853</v>
      </c>
      <c r="P278" s="47">
        <f t="shared" si="184"/>
        <v>24563.000499999998</v>
      </c>
      <c r="Q278" s="42">
        <v>4421340.09</v>
      </c>
      <c r="R278" s="152">
        <f t="shared" si="172"/>
        <v>0.76163068343054907</v>
      </c>
      <c r="S278" s="49"/>
      <c r="T278" s="157">
        <f>IFERROR(VLOOKUP(B278,[1]Todos!$A$2:$C$3021,3,FALSE),0)</f>
        <v>893.04</v>
      </c>
      <c r="U278" s="112">
        <f t="shared" si="173"/>
        <v>0</v>
      </c>
      <c r="W278" s="157">
        <f>IFERROR(VLOOKUP(B278,[1]Todos!$A$2:$B$3021,2,FALSE),0)</f>
        <v>9878.4599999999991</v>
      </c>
      <c r="X278" s="112">
        <f t="shared" si="174"/>
        <v>0</v>
      </c>
    </row>
    <row r="279" spans="1:24" outlineLevel="2" x14ac:dyDescent="0.3">
      <c r="A279" s="40" t="str">
        <f>VLOOKUP(B279,Grupos!$A$2:$B$619,2,FALSE)</f>
        <v>TABLEROS 75 AMP COBRE TAPA PLASTICA</v>
      </c>
      <c r="B279" s="41" t="s">
        <v>428</v>
      </c>
      <c r="C279" s="41" t="s">
        <v>429</v>
      </c>
      <c r="D279" s="42">
        <v>164</v>
      </c>
      <c r="E279" s="195">
        <v>12642.23</v>
      </c>
      <c r="F279" s="192">
        <v>1210.44</v>
      </c>
      <c r="G279" s="126">
        <f t="shared" si="175"/>
        <v>13852.67</v>
      </c>
      <c r="H279" s="127">
        <f t="shared" si="176"/>
        <v>2073325.72</v>
      </c>
      <c r="I279" s="128">
        <f t="shared" si="177"/>
        <v>198512.16</v>
      </c>
      <c r="J279" s="128">
        <f t="shared" si="178"/>
        <v>2271837.88</v>
      </c>
      <c r="K279" s="44">
        <f t="shared" si="179"/>
        <v>1.3557035622537982E-3</v>
      </c>
      <c r="L279" s="45">
        <f t="shared" si="180"/>
        <v>3448.6508982764817</v>
      </c>
      <c r="M279" s="45">
        <f t="shared" si="181"/>
        <v>7122.5003888290685</v>
      </c>
      <c r="N279" s="45">
        <f t="shared" si="182"/>
        <v>24423.821287105551</v>
      </c>
      <c r="O279" s="46">
        <f t="shared" si="183"/>
        <v>4005506.6910853102</v>
      </c>
      <c r="P279" s="47">
        <f t="shared" si="184"/>
        <v>33230.766646341464</v>
      </c>
      <c r="Q279" s="42">
        <v>5449845.7300000004</v>
      </c>
      <c r="R279" s="48">
        <f t="shared" si="172"/>
        <v>0.73497616070782057</v>
      </c>
      <c r="S279" s="49"/>
      <c r="T279" s="157">
        <f>IFERROR(VLOOKUP(B279,[1]Todos!$A$2:$C$3021,3,FALSE),0)</f>
        <v>1210.44</v>
      </c>
      <c r="U279" s="112">
        <f t="shared" si="173"/>
        <v>0</v>
      </c>
      <c r="W279" s="157">
        <f>IFERROR(VLOOKUP(B279,[1]Todos!$A$2:$B$3021,2,FALSE),0)</f>
        <v>12642.23</v>
      </c>
      <c r="X279" s="112">
        <f t="shared" si="174"/>
        <v>0</v>
      </c>
    </row>
    <row r="280" spans="1:24" outlineLevel="2" x14ac:dyDescent="0.3">
      <c r="A280" s="40" t="str">
        <f>VLOOKUP(B280,Grupos!$A$2:$B$619,2,FALSE)</f>
        <v>TABLEROS 75 AMP COBRE TAPA PLASTICA</v>
      </c>
      <c r="B280" s="41" t="s">
        <v>430</v>
      </c>
      <c r="C280" s="41" t="s">
        <v>431</v>
      </c>
      <c r="D280" s="42">
        <v>899</v>
      </c>
      <c r="E280" s="195">
        <v>12616.59</v>
      </c>
      <c r="F280" s="192">
        <v>1124.95</v>
      </c>
      <c r="G280" s="126">
        <f t="shared" si="175"/>
        <v>13741.54</v>
      </c>
      <c r="H280" s="127">
        <f t="shared" si="176"/>
        <v>11342314.41</v>
      </c>
      <c r="I280" s="128">
        <f t="shared" si="177"/>
        <v>1011330.05</v>
      </c>
      <c r="J280" s="128">
        <f t="shared" si="178"/>
        <v>12353644.460000001</v>
      </c>
      <c r="K280" s="44">
        <f t="shared" si="179"/>
        <v>7.371951999162415E-3</v>
      </c>
      <c r="L280" s="45">
        <f t="shared" si="180"/>
        <v>3420.9848545227896</v>
      </c>
      <c r="M280" s="45">
        <f t="shared" si="181"/>
        <v>6619.4580585681742</v>
      </c>
      <c r="N280" s="45">
        <f t="shared" si="182"/>
        <v>23781.982913090964</v>
      </c>
      <c r="O280" s="46">
        <f t="shared" si="183"/>
        <v>21380002.638868775</v>
      </c>
      <c r="P280" s="47">
        <f t="shared" si="184"/>
        <v>31364.438342602891</v>
      </c>
      <c r="Q280" s="42">
        <v>28196630.07</v>
      </c>
      <c r="R280" s="152">
        <f t="shared" si="172"/>
        <v>0.75824673323696856</v>
      </c>
      <c r="S280" s="49"/>
      <c r="T280" s="157">
        <f>IFERROR(VLOOKUP(B280,[1]Todos!$A$2:$C$3021,3,FALSE),0)</f>
        <v>1124.95</v>
      </c>
      <c r="U280" s="112">
        <f t="shared" si="173"/>
        <v>0</v>
      </c>
      <c r="W280" s="157">
        <f>IFERROR(VLOOKUP(B280,[1]Todos!$A$2:$B$3021,2,FALSE),0)</f>
        <v>12616.59</v>
      </c>
      <c r="X280" s="112">
        <f t="shared" si="174"/>
        <v>0</v>
      </c>
    </row>
    <row r="281" spans="1:24" outlineLevel="2" x14ac:dyDescent="0.3">
      <c r="A281" s="40" t="str">
        <f>VLOOKUP(B281,Grupos!$A$2:$B$619,2,FALSE)</f>
        <v>TABLEROS 75 AMP COBRE TAPA PLASTICA</v>
      </c>
      <c r="B281" s="41" t="s">
        <v>432</v>
      </c>
      <c r="C281" s="41" t="s">
        <v>433</v>
      </c>
      <c r="D281" s="42">
        <v>103</v>
      </c>
      <c r="E281" s="195">
        <v>12443.23</v>
      </c>
      <c r="F281" s="192">
        <v>1073.3599999999999</v>
      </c>
      <c r="G281" s="126">
        <f t="shared" si="175"/>
        <v>13516.59</v>
      </c>
      <c r="H281" s="127">
        <f t="shared" si="176"/>
        <v>1281652.69</v>
      </c>
      <c r="I281" s="128">
        <f t="shared" si="177"/>
        <v>110556.07999999999</v>
      </c>
      <c r="J281" s="128">
        <f t="shared" si="178"/>
        <v>1392208.77</v>
      </c>
      <c r="K281" s="44">
        <f t="shared" si="179"/>
        <v>8.3079096686686942E-4</v>
      </c>
      <c r="L281" s="45">
        <f t="shared" si="180"/>
        <v>3364.9830859419094</v>
      </c>
      <c r="M281" s="45">
        <f t="shared" si="181"/>
        <v>6315.890930036654</v>
      </c>
      <c r="N281" s="45">
        <f t="shared" si="182"/>
        <v>23197.464015978563</v>
      </c>
      <c r="O281" s="46">
        <f t="shared" si="183"/>
        <v>2389338.7936457922</v>
      </c>
      <c r="P281" s="47">
        <f t="shared" si="184"/>
        <v>30785.047281553398</v>
      </c>
      <c r="Q281" s="42">
        <v>3170859.87</v>
      </c>
      <c r="R281" s="152">
        <f t="shared" si="172"/>
        <v>0.75353023835953747</v>
      </c>
      <c r="S281" s="49"/>
      <c r="T281" s="157">
        <f>IFERROR(VLOOKUP(B281,[1]Todos!$A$2:$C$3021,3,FALSE),0)</f>
        <v>1073.3599999999999</v>
      </c>
      <c r="U281" s="112">
        <f t="shared" si="173"/>
        <v>0</v>
      </c>
      <c r="W281" s="157">
        <f>IFERROR(VLOOKUP(B281,[1]Todos!$A$2:$B$3021,2,FALSE),0)</f>
        <v>12443.23</v>
      </c>
      <c r="X281" s="112">
        <f t="shared" si="174"/>
        <v>0</v>
      </c>
    </row>
    <row r="282" spans="1:24" s="93" customFormat="1" outlineLevel="1" x14ac:dyDescent="0.3">
      <c r="A282" s="50" t="s">
        <v>1041</v>
      </c>
      <c r="B282" s="129"/>
      <c r="C282" s="129"/>
      <c r="D282" s="51">
        <f>SUBTOTAL(9,D276:D281)</f>
        <v>2801</v>
      </c>
      <c r="E282" s="52"/>
      <c r="F282" s="52"/>
      <c r="G282" s="130"/>
      <c r="H282" s="131">
        <f>SUBTOTAL(9,H276:H281)</f>
        <v>31094499.170000002</v>
      </c>
      <c r="I282" s="146">
        <f>SUBTOTAL(9,I276:I281)</f>
        <v>2856531.94</v>
      </c>
      <c r="J282" s="146">
        <f>SUBTOTAL(9,J276:J281)</f>
        <v>33951031.109999999</v>
      </c>
      <c r="K282" s="53"/>
      <c r="L282" s="54"/>
      <c r="M282" s="54"/>
      <c r="N282" s="54"/>
      <c r="O282" s="55">
        <f>SUBTOTAL(9,O276:O281)</f>
        <v>59211685.13215255</v>
      </c>
      <c r="P282" s="56"/>
      <c r="Q282" s="51">
        <f>SUBTOTAL(9,Q276:Q281)</f>
        <v>77312430.350000024</v>
      </c>
      <c r="R282" s="57">
        <f t="shared" si="172"/>
        <v>0.76587535618911673</v>
      </c>
      <c r="S282" s="58">
        <f>Q282/$Q$308</f>
        <v>1.7854640584601605E-2</v>
      </c>
      <c r="T282" s="157">
        <f>IFERROR(VLOOKUP(B282,[1]Todos!$A$2:$C$3021,3,FALSE),0)</f>
        <v>0</v>
      </c>
      <c r="U282" s="112">
        <f t="shared" si="173"/>
        <v>0</v>
      </c>
      <c r="W282" s="157">
        <f>IFERROR(VLOOKUP(B282,[1]Todos!$A$2:$B$3021,2,FALSE),0)</f>
        <v>0</v>
      </c>
      <c r="X282" s="112">
        <f t="shared" si="174"/>
        <v>0</v>
      </c>
    </row>
    <row r="283" spans="1:24" outlineLevel="2" x14ac:dyDescent="0.3">
      <c r="A283" s="40" t="str">
        <f>VLOOKUP(B283,Grupos!$A$2:$B$619,2,FALSE)</f>
        <v>TABLEROS 85 AMP BIMETALICO</v>
      </c>
      <c r="B283" s="41" t="s">
        <v>436</v>
      </c>
      <c r="C283" s="41" t="s">
        <v>437</v>
      </c>
      <c r="D283" s="42">
        <v>300</v>
      </c>
      <c r="E283" s="43">
        <v>15210.25</v>
      </c>
      <c r="F283" s="192">
        <v>873.49</v>
      </c>
      <c r="G283" s="126">
        <f>E283+F283</f>
        <v>16083.74</v>
      </c>
      <c r="H283" s="127">
        <f>E283*D283</f>
        <v>4563075</v>
      </c>
      <c r="I283" s="128">
        <f>F283*D283</f>
        <v>262047</v>
      </c>
      <c r="J283" s="128">
        <f>G283*D283</f>
        <v>4825122</v>
      </c>
      <c r="K283" s="44">
        <f>J283/$J$308</f>
        <v>2.8793582241480944E-3</v>
      </c>
      <c r="L283" s="45">
        <f>$K$383*K283/D283</f>
        <v>4004.0803973995903</v>
      </c>
      <c r="M283" s="45">
        <f>F283*$M$382</f>
        <v>5139.8110312269118</v>
      </c>
      <c r="N283" s="45">
        <f>G283+L283+M283</f>
        <v>25227.631428626504</v>
      </c>
      <c r="O283" s="46">
        <f>N283*D283</f>
        <v>7568289.4285879517</v>
      </c>
      <c r="P283" s="47">
        <f>Q283/D283</f>
        <v>46474.401966666665</v>
      </c>
      <c r="Q283" s="42">
        <v>13942320.59</v>
      </c>
      <c r="R283" s="48">
        <f t="shared" si="172"/>
        <v>0.5428285327204595</v>
      </c>
      <c r="S283" s="49"/>
      <c r="T283" s="157">
        <f>IFERROR(VLOOKUP(B283,[1]Todos!$A$2:$C$3021,3,FALSE),0)</f>
        <v>873.49</v>
      </c>
      <c r="U283" s="112">
        <f t="shared" si="173"/>
        <v>0</v>
      </c>
      <c r="W283" s="157">
        <f>IFERROR(VLOOKUP(B283,[1]Todos!$A$2:$B$3021,2,FALSE),0)</f>
        <v>14942.96</v>
      </c>
      <c r="X283" s="112">
        <f t="shared" si="174"/>
        <v>-267.29000000000087</v>
      </c>
    </row>
    <row r="284" spans="1:24" outlineLevel="2" x14ac:dyDescent="0.3">
      <c r="A284" s="40" t="str">
        <f>VLOOKUP(B284,Grupos!$A$2:$B$619,2,FALSE)</f>
        <v>TABLEROS 85 AMP BIMETALICO</v>
      </c>
      <c r="B284" s="41" t="s">
        <v>438</v>
      </c>
      <c r="C284" s="41" t="s">
        <v>439</v>
      </c>
      <c r="D284" s="42">
        <v>1008</v>
      </c>
      <c r="E284" s="43">
        <v>11982.53</v>
      </c>
      <c r="F284" s="192">
        <v>823.91</v>
      </c>
      <c r="G284" s="126">
        <f>E284+F284</f>
        <v>12806.44</v>
      </c>
      <c r="H284" s="127">
        <f>E284*D284</f>
        <v>12078390.24</v>
      </c>
      <c r="I284" s="128">
        <f>F284*D284</f>
        <v>830501.27999999991</v>
      </c>
      <c r="J284" s="128">
        <f>G284*D284</f>
        <v>12908891.520000001</v>
      </c>
      <c r="K284" s="44">
        <f>J284/$J$308</f>
        <v>7.7032918468688668E-3</v>
      </c>
      <c r="L284" s="45">
        <f>$K$383*K284/D284</f>
        <v>3188.1897720601064</v>
      </c>
      <c r="M284" s="45">
        <f>F284*$M$382</f>
        <v>4848.0711934173996</v>
      </c>
      <c r="N284" s="45">
        <f>G284+L284+M284</f>
        <v>20842.700965477507</v>
      </c>
      <c r="O284" s="46">
        <f>N284*D284</f>
        <v>21009442.573201325</v>
      </c>
      <c r="P284" s="47">
        <f>Q284/D284</f>
        <v>37787.89261904762</v>
      </c>
      <c r="Q284" s="42">
        <v>38090195.759999998</v>
      </c>
      <c r="R284" s="48">
        <f t="shared" si="172"/>
        <v>0.55157087418448403</v>
      </c>
      <c r="S284" s="49"/>
      <c r="T284" s="157">
        <f>IFERROR(VLOOKUP(B284,[1]Todos!$A$2:$C$3021,3,FALSE),0)</f>
        <v>823.91</v>
      </c>
      <c r="U284" s="112">
        <f t="shared" si="173"/>
        <v>0</v>
      </c>
      <c r="W284" s="157">
        <f>IFERROR(VLOOKUP(B284,[1]Todos!$A$2:$B$3021,2,FALSE),0)</f>
        <v>11715.37</v>
      </c>
      <c r="X284" s="112">
        <f t="shared" si="174"/>
        <v>-267.15999999999985</v>
      </c>
    </row>
    <row r="285" spans="1:24" outlineLevel="2" x14ac:dyDescent="0.3">
      <c r="A285" s="40" t="str">
        <f>VLOOKUP(B285,Grupos!$A$2:$B$619,2,FALSE)</f>
        <v>TABLEROS 85 AMP BIMETALICO</v>
      </c>
      <c r="B285" s="41" t="s">
        <v>440</v>
      </c>
      <c r="C285" s="41" t="s">
        <v>441</v>
      </c>
      <c r="D285" s="42">
        <v>70</v>
      </c>
      <c r="E285" s="43">
        <v>10896.33</v>
      </c>
      <c r="F285" s="192">
        <v>698.92</v>
      </c>
      <c r="G285" s="126">
        <f>E285+F285</f>
        <v>11595.25</v>
      </c>
      <c r="H285" s="127">
        <f>E285*D285</f>
        <v>762743.1</v>
      </c>
      <c r="I285" s="128">
        <f>F285*D285</f>
        <v>48924.399999999994</v>
      </c>
      <c r="J285" s="128">
        <f>G285*D285</f>
        <v>811667.5</v>
      </c>
      <c r="K285" s="44">
        <f>J285/$J$308</f>
        <v>4.8435697406173841E-4</v>
      </c>
      <c r="L285" s="45">
        <f>$K$383*K285/D285</f>
        <v>2886.6615120579913</v>
      </c>
      <c r="M285" s="45">
        <f>F285*$M$382</f>
        <v>4112.6020056842235</v>
      </c>
      <c r="N285" s="45">
        <f>G285+L285+M285</f>
        <v>18594.513517742216</v>
      </c>
      <c r="O285" s="46">
        <f>N285*D285</f>
        <v>1301615.946241955</v>
      </c>
      <c r="P285" s="47">
        <f>Q285/D285</f>
        <v>36737.657285714282</v>
      </c>
      <c r="Q285" s="42">
        <v>2571636.0099999998</v>
      </c>
      <c r="R285" s="152">
        <f t="shared" si="172"/>
        <v>0.50614314824513407</v>
      </c>
      <c r="S285" s="49"/>
      <c r="T285" s="157">
        <f>IFERROR(VLOOKUP(B285,[1]Todos!$A$2:$C$3021,3,FALSE),0)</f>
        <v>698.92</v>
      </c>
      <c r="U285" s="112">
        <f t="shared" si="173"/>
        <v>0</v>
      </c>
      <c r="W285" s="157">
        <f>IFERROR(VLOOKUP(B285,[1]Todos!$A$2:$B$3021,2,FALSE),0)</f>
        <v>10652.97</v>
      </c>
      <c r="X285" s="112">
        <f t="shared" si="174"/>
        <v>-243.36000000000058</v>
      </c>
    </row>
    <row r="286" spans="1:24" outlineLevel="2" x14ac:dyDescent="0.3">
      <c r="A286" s="40" t="str">
        <f>VLOOKUP(B286,Grupos!$A$2:$B$619,2,FALSE)</f>
        <v>TABLEROS 85 AMP BIMETALICO</v>
      </c>
      <c r="B286" s="41" t="s">
        <v>653</v>
      </c>
      <c r="C286" s="41" t="s">
        <v>654</v>
      </c>
      <c r="D286" s="42">
        <v>60</v>
      </c>
      <c r="E286" s="43">
        <v>14118.64</v>
      </c>
      <c r="F286" s="43">
        <v>827.17</v>
      </c>
      <c r="G286" s="126">
        <f>E286+F286</f>
        <v>14945.81</v>
      </c>
      <c r="H286" s="127">
        <f>E286*D286</f>
        <v>847118.39999999991</v>
      </c>
      <c r="I286" s="128">
        <f>F286*D286</f>
        <v>49630.2</v>
      </c>
      <c r="J286" s="128">
        <f>G286*D286</f>
        <v>896748.6</v>
      </c>
      <c r="K286" s="44">
        <f>J286/$J$308</f>
        <v>5.3512853279218424E-4</v>
      </c>
      <c r="L286" s="45">
        <f>$K$383*K286/D286</f>
        <v>3720.7903661871405</v>
      </c>
      <c r="M286" s="45">
        <f>F286*$M$382</f>
        <v>4867.2537644391623</v>
      </c>
      <c r="N286" s="45">
        <f>G286+L286+M286</f>
        <v>23533.854130626303</v>
      </c>
      <c r="O286" s="46">
        <f>N286*D286</f>
        <v>1412031.2478375782</v>
      </c>
      <c r="P286" s="47">
        <f>Q286/D286</f>
        <v>44004.000499999995</v>
      </c>
      <c r="Q286" s="42">
        <v>2640240.0299999998</v>
      </c>
      <c r="R286" s="48">
        <f t="shared" si="172"/>
        <v>0.53481169582811694</v>
      </c>
      <c r="S286" s="49"/>
      <c r="T286" s="157">
        <f>IFERROR(VLOOKUP(B286,[1]Todos!$A$2:$C$3021,3,FALSE),0)</f>
        <v>834.13</v>
      </c>
      <c r="U286" s="112">
        <f t="shared" si="173"/>
        <v>6.9600000000000364</v>
      </c>
      <c r="W286" s="157">
        <f>IFERROR(VLOOKUP(B286,[1]Todos!$A$2:$B$3021,2,FALSE),0)</f>
        <v>13859.75</v>
      </c>
      <c r="X286" s="112">
        <f t="shared" si="174"/>
        <v>-258.88999999999942</v>
      </c>
    </row>
    <row r="287" spans="1:24" s="93" customFormat="1" outlineLevel="1" x14ac:dyDescent="0.3">
      <c r="A287" s="50" t="s">
        <v>1042</v>
      </c>
      <c r="B287" s="129"/>
      <c r="C287" s="129"/>
      <c r="D287" s="51">
        <f>SUBTOTAL(9,D283:D286)</f>
        <v>1438</v>
      </c>
      <c r="E287" s="52"/>
      <c r="F287" s="52"/>
      <c r="G287" s="130"/>
      <c r="H287" s="131">
        <f>SUBTOTAL(9,H283:H286)</f>
        <v>18251326.739999998</v>
      </c>
      <c r="I287" s="146">
        <f>SUBTOTAL(9,I283:I286)</f>
        <v>1191102.8799999997</v>
      </c>
      <c r="J287" s="146">
        <f>SUBTOTAL(9,J283:J286)</f>
        <v>19442429.620000005</v>
      </c>
      <c r="K287" s="53"/>
      <c r="L287" s="54"/>
      <c r="M287" s="54"/>
      <c r="N287" s="54"/>
      <c r="O287" s="55">
        <f>SUBTOTAL(9,O283:O286)</f>
        <v>31291379.195868809</v>
      </c>
      <c r="P287" s="56"/>
      <c r="Q287" s="51">
        <f>SUBTOTAL(9,Q283:Q286)</f>
        <v>57244392.389999993</v>
      </c>
      <c r="R287" s="57">
        <f t="shared" si="172"/>
        <v>0.54662785103358158</v>
      </c>
      <c r="S287" s="58">
        <f>Q287/$Q$308</f>
        <v>1.3220099885365367E-2</v>
      </c>
      <c r="T287" s="157">
        <f>IFERROR(VLOOKUP(B287,[1]Todos!$A$2:$C$3021,3,FALSE),0)</f>
        <v>0</v>
      </c>
      <c r="U287" s="112">
        <f t="shared" si="173"/>
        <v>0</v>
      </c>
      <c r="W287" s="157">
        <f>IFERROR(VLOOKUP(B287,[1]Todos!$A$2:$B$3021,2,FALSE),0)</f>
        <v>0</v>
      </c>
      <c r="X287" s="112">
        <f t="shared" si="174"/>
        <v>0</v>
      </c>
    </row>
    <row r="288" spans="1:24" outlineLevel="2" x14ac:dyDescent="0.3">
      <c r="A288" s="40" t="str">
        <f>VLOOKUP(B288,Grupos!$A$2:$B$619,2,FALSE)</f>
        <v>TABLEROS 95 AMP COBRE</v>
      </c>
      <c r="B288" s="41" t="s">
        <v>442</v>
      </c>
      <c r="C288" s="41" t="s">
        <v>443</v>
      </c>
      <c r="D288" s="42">
        <v>360</v>
      </c>
      <c r="E288" s="43">
        <v>23477.53</v>
      </c>
      <c r="F288" s="192">
        <v>885.23</v>
      </c>
      <c r="G288" s="126">
        <f t="shared" ref="G288:G293" si="185">E288+F288</f>
        <v>24362.76</v>
      </c>
      <c r="H288" s="127">
        <f t="shared" ref="H288:H293" si="186">E288*D288</f>
        <v>8451910.7999999989</v>
      </c>
      <c r="I288" s="128">
        <f t="shared" ref="I288:I293" si="187">F288*D288</f>
        <v>318682.8</v>
      </c>
      <c r="J288" s="128">
        <f t="shared" ref="J288:J293" si="188">G288*D288</f>
        <v>8770593.5999999996</v>
      </c>
      <c r="K288" s="44">
        <f t="shared" ref="K288:K293" si="189">J288/$J$308</f>
        <v>5.2337911482488201E-3</v>
      </c>
      <c r="L288" s="45">
        <f t="shared" ref="L288:L293" si="190">$K$383*K288/D288</f>
        <v>6065.1595799578236</v>
      </c>
      <c r="M288" s="45">
        <f t="shared" ref="M288:M293" si="191">F288*$M$382</f>
        <v>5208.891823802217</v>
      </c>
      <c r="N288" s="45">
        <f t="shared" ref="N288:N293" si="192">G288+L288+M288</f>
        <v>35636.811403760039</v>
      </c>
      <c r="O288" s="46">
        <f t="shared" ref="O288:O293" si="193">N288*D288</f>
        <v>12829252.105353614</v>
      </c>
      <c r="P288" s="47">
        <f t="shared" ref="P288:P293" si="194">Q288/D288</f>
        <v>60210.204888888897</v>
      </c>
      <c r="Q288" s="42">
        <v>21675673.760000002</v>
      </c>
      <c r="R288" s="48">
        <f t="shared" si="172"/>
        <v>0.59187327911479015</v>
      </c>
      <c r="S288" s="49"/>
      <c r="T288" s="157">
        <f>IFERROR(VLOOKUP(B288,[1]Todos!$A$2:$C$3021,3,FALSE),0)</f>
        <v>885.23</v>
      </c>
      <c r="U288" s="112">
        <f t="shared" si="173"/>
        <v>0</v>
      </c>
      <c r="W288" s="157">
        <f>IFERROR(VLOOKUP(B288,[1]Todos!$A$2:$B$3021,2,FALSE),0)</f>
        <v>23092.76</v>
      </c>
      <c r="X288" s="112">
        <f t="shared" si="174"/>
        <v>-384.77000000000044</v>
      </c>
    </row>
    <row r="289" spans="1:24" outlineLevel="2" x14ac:dyDescent="0.3">
      <c r="A289" s="40" t="str">
        <f>VLOOKUP(B289,Grupos!$A$2:$B$619,2,FALSE)</f>
        <v>TABLEROS 95 AMP COBRE</v>
      </c>
      <c r="B289" s="41" t="s">
        <v>444</v>
      </c>
      <c r="C289" s="41" t="s">
        <v>445</v>
      </c>
      <c r="D289" s="42">
        <v>400</v>
      </c>
      <c r="E289" s="43">
        <v>23339.05</v>
      </c>
      <c r="F289" s="192">
        <v>765.65</v>
      </c>
      <c r="G289" s="126">
        <f t="shared" si="185"/>
        <v>24104.7</v>
      </c>
      <c r="H289" s="127">
        <f t="shared" si="186"/>
        <v>9335620</v>
      </c>
      <c r="I289" s="128">
        <f t="shared" si="187"/>
        <v>306260</v>
      </c>
      <c r="J289" s="128">
        <f t="shared" si="188"/>
        <v>9641880</v>
      </c>
      <c r="K289" s="44">
        <f t="shared" si="189"/>
        <v>5.7537252890702099E-3</v>
      </c>
      <c r="L289" s="45">
        <f t="shared" si="190"/>
        <v>6000.9150082753076</v>
      </c>
      <c r="M289" s="45">
        <f t="shared" si="191"/>
        <v>4505.2562892063843</v>
      </c>
      <c r="N289" s="45">
        <f t="shared" si="192"/>
        <v>34610.871297481695</v>
      </c>
      <c r="O289" s="46">
        <f t="shared" si="193"/>
        <v>13844348.518992677</v>
      </c>
      <c r="P289" s="47">
        <f t="shared" si="194"/>
        <v>59788.737850000005</v>
      </c>
      <c r="Q289" s="42">
        <v>23915495.140000001</v>
      </c>
      <c r="R289" s="48">
        <f t="shared" si="172"/>
        <v>0.57888613377848208</v>
      </c>
      <c r="S289" s="49"/>
      <c r="T289" s="157">
        <f>IFERROR(VLOOKUP(B289,[1]Todos!$A$2:$C$3021,3,FALSE),0)</f>
        <v>765.65</v>
      </c>
      <c r="U289" s="112">
        <f t="shared" si="173"/>
        <v>0</v>
      </c>
      <c r="W289" s="157">
        <f>IFERROR(VLOOKUP(B289,[1]Todos!$A$2:$B$3021,2,FALSE),0)</f>
        <v>23071.759999999998</v>
      </c>
      <c r="X289" s="112">
        <f t="shared" si="174"/>
        <v>-267.29000000000087</v>
      </c>
    </row>
    <row r="290" spans="1:24" outlineLevel="2" x14ac:dyDescent="0.3">
      <c r="A290" s="40" t="str">
        <f>VLOOKUP(B290,Grupos!$A$2:$B$619,2,FALSE)</f>
        <v>TABLEROS 95 AMP COBRE</v>
      </c>
      <c r="B290" s="41" t="s">
        <v>448</v>
      </c>
      <c r="C290" s="41" t="s">
        <v>449</v>
      </c>
      <c r="D290" s="42">
        <v>588</v>
      </c>
      <c r="E290" s="43">
        <v>17752.2</v>
      </c>
      <c r="F290" s="192">
        <v>842.36</v>
      </c>
      <c r="G290" s="126">
        <f t="shared" si="185"/>
        <v>18594.560000000001</v>
      </c>
      <c r="H290" s="127">
        <f t="shared" si="186"/>
        <v>10438293.6</v>
      </c>
      <c r="I290" s="128">
        <f t="shared" si="187"/>
        <v>495307.68</v>
      </c>
      <c r="J290" s="128">
        <f t="shared" si="188"/>
        <v>10933601.280000001</v>
      </c>
      <c r="K290" s="44">
        <f t="shared" si="189"/>
        <v>6.5245510403932035E-3</v>
      </c>
      <c r="L290" s="45">
        <f t="shared" si="190"/>
        <v>4629.1542386453975</v>
      </c>
      <c r="M290" s="45">
        <f t="shared" si="191"/>
        <v>4956.6351306417946</v>
      </c>
      <c r="N290" s="45">
        <f t="shared" si="192"/>
        <v>28180.349369287193</v>
      </c>
      <c r="O290" s="46">
        <f t="shared" si="193"/>
        <v>16570045.42914087</v>
      </c>
      <c r="P290" s="47">
        <f t="shared" si="194"/>
        <v>45035.723656462585</v>
      </c>
      <c r="Q290" s="42">
        <v>26481005.510000002</v>
      </c>
      <c r="R290" s="48">
        <f t="shared" si="172"/>
        <v>0.62573324199806291</v>
      </c>
      <c r="S290" s="49"/>
      <c r="T290" s="157">
        <f>IFERROR(VLOOKUP(B290,[1]Todos!$A$2:$C$3021,3,FALSE),0)</f>
        <v>842.36</v>
      </c>
      <c r="U290" s="112">
        <f t="shared" si="173"/>
        <v>0</v>
      </c>
      <c r="W290" s="157">
        <f>IFERROR(VLOOKUP(B290,[1]Todos!$A$2:$B$3021,2,FALSE),0)</f>
        <v>17391</v>
      </c>
      <c r="X290" s="112">
        <f t="shared" si="174"/>
        <v>-361.20000000000073</v>
      </c>
    </row>
    <row r="291" spans="1:24" outlineLevel="2" x14ac:dyDescent="0.3">
      <c r="A291" s="40" t="str">
        <f>VLOOKUP(B291,Grupos!$A$2:$B$619,2,FALSE)</f>
        <v>TABLEROS 95 AMP COBRE</v>
      </c>
      <c r="B291" s="41" t="s">
        <v>450</v>
      </c>
      <c r="C291" s="41" t="s">
        <v>451</v>
      </c>
      <c r="D291" s="42">
        <v>912</v>
      </c>
      <c r="E291" s="43">
        <v>17554.54</v>
      </c>
      <c r="F291" s="192">
        <v>789.26</v>
      </c>
      <c r="G291" s="126">
        <f t="shared" si="185"/>
        <v>18343.8</v>
      </c>
      <c r="H291" s="127">
        <f t="shared" si="186"/>
        <v>16009740.48</v>
      </c>
      <c r="I291" s="128">
        <f t="shared" si="187"/>
        <v>719805.12</v>
      </c>
      <c r="J291" s="128">
        <f t="shared" si="188"/>
        <v>16729545.6</v>
      </c>
      <c r="K291" s="44">
        <f t="shared" si="189"/>
        <v>9.9832407780819973E-3</v>
      </c>
      <c r="L291" s="45">
        <f t="shared" si="190"/>
        <v>4566.7270170879774</v>
      </c>
      <c r="M291" s="45">
        <f t="shared" si="191"/>
        <v>4644.1828235081712</v>
      </c>
      <c r="N291" s="45">
        <f t="shared" si="192"/>
        <v>27554.709840596148</v>
      </c>
      <c r="O291" s="46">
        <f t="shared" si="193"/>
        <v>25129895.374623686</v>
      </c>
      <c r="P291" s="47">
        <f t="shared" si="194"/>
        <v>44489.092390350874</v>
      </c>
      <c r="Q291" s="42">
        <v>40574052.259999998</v>
      </c>
      <c r="R291" s="48">
        <f t="shared" si="172"/>
        <v>0.61935877672731343</v>
      </c>
      <c r="S291" s="49"/>
      <c r="T291" s="157">
        <f>IFERROR(VLOOKUP(B291,[1]Todos!$A$2:$C$3021,3,FALSE),0)</f>
        <v>789.26</v>
      </c>
      <c r="U291" s="112">
        <f t="shared" si="173"/>
        <v>0</v>
      </c>
      <c r="W291" s="157">
        <f>IFERROR(VLOOKUP(B291,[1]Todos!$A$2:$B$3021,2,FALSE),0)</f>
        <v>17287.38</v>
      </c>
      <c r="X291" s="112">
        <f t="shared" si="174"/>
        <v>-267.15999999999985</v>
      </c>
    </row>
    <row r="292" spans="1:24" outlineLevel="2" x14ac:dyDescent="0.3">
      <c r="A292" s="40" t="str">
        <f>VLOOKUP(B292,Grupos!$A$2:$B$619,2,FALSE)</f>
        <v>TABLEROS 95 AMP COBRE</v>
      </c>
      <c r="B292" s="41" t="s">
        <v>452</v>
      </c>
      <c r="C292" s="41" t="s">
        <v>453</v>
      </c>
      <c r="D292" s="42">
        <v>75</v>
      </c>
      <c r="E292" s="43">
        <v>14814.34</v>
      </c>
      <c r="F292" s="192">
        <v>748.48</v>
      </c>
      <c r="G292" s="126">
        <f t="shared" si="185"/>
        <v>15562.82</v>
      </c>
      <c r="H292" s="127">
        <f t="shared" si="186"/>
        <v>1111075.5</v>
      </c>
      <c r="I292" s="128">
        <f t="shared" si="187"/>
        <v>56136</v>
      </c>
      <c r="J292" s="128">
        <f t="shared" si="188"/>
        <v>1167211.5</v>
      </c>
      <c r="K292" s="44">
        <f t="shared" si="189"/>
        <v>6.9652540015469739E-4</v>
      </c>
      <c r="L292" s="45">
        <f t="shared" si="190"/>
        <v>3874.3962840892909</v>
      </c>
      <c r="M292" s="45">
        <f t="shared" si="191"/>
        <v>4404.2241590089398</v>
      </c>
      <c r="N292" s="45">
        <f t="shared" si="192"/>
        <v>23841.440443098232</v>
      </c>
      <c r="O292" s="46">
        <f t="shared" si="193"/>
        <v>1788108.0332323674</v>
      </c>
      <c r="P292" s="47">
        <f t="shared" si="194"/>
        <v>38748.818399999996</v>
      </c>
      <c r="Q292" s="42">
        <v>2906161.38</v>
      </c>
      <c r="R292" s="48">
        <f t="shared" si="172"/>
        <v>0.61528174090331056</v>
      </c>
      <c r="S292" s="49"/>
      <c r="T292" s="157">
        <f>IFERROR(VLOOKUP(B292,[1]Todos!$A$2:$C$3021,3,FALSE),0)</f>
        <v>748.48</v>
      </c>
      <c r="U292" s="112">
        <f t="shared" si="173"/>
        <v>0</v>
      </c>
      <c r="W292" s="157">
        <f>IFERROR(VLOOKUP(B292,[1]Todos!$A$2:$B$3021,2,FALSE),0)</f>
        <v>14552.77</v>
      </c>
      <c r="X292" s="112">
        <f t="shared" si="174"/>
        <v>-261.56999999999971</v>
      </c>
    </row>
    <row r="293" spans="1:24" outlineLevel="2" x14ac:dyDescent="0.3">
      <c r="A293" s="40" t="str">
        <f>VLOOKUP(B293,Grupos!$A$2:$B$619,2,FALSE)</f>
        <v>TABLEROS 95 AMP COBRE</v>
      </c>
      <c r="B293" s="41" t="s">
        <v>446</v>
      </c>
      <c r="C293" s="41" t="s">
        <v>447</v>
      </c>
      <c r="D293" s="42">
        <v>30</v>
      </c>
      <c r="E293" s="43">
        <v>19134.75</v>
      </c>
      <c r="F293" s="43">
        <v>841.01</v>
      </c>
      <c r="G293" s="126">
        <f t="shared" si="185"/>
        <v>19975.759999999998</v>
      </c>
      <c r="H293" s="127">
        <f t="shared" si="186"/>
        <v>574042.5</v>
      </c>
      <c r="I293" s="128">
        <f t="shared" si="187"/>
        <v>25230.3</v>
      </c>
      <c r="J293" s="128">
        <f t="shared" si="188"/>
        <v>599272.79999999993</v>
      </c>
      <c r="K293" s="44">
        <f t="shared" si="189"/>
        <v>3.5761190394527971E-4</v>
      </c>
      <c r="L293" s="45">
        <f t="shared" si="190"/>
        <v>4973.0068403965015</v>
      </c>
      <c r="M293" s="45">
        <f t="shared" si="191"/>
        <v>4948.6914279180583</v>
      </c>
      <c r="N293" s="45">
        <f t="shared" si="192"/>
        <v>29897.458268314556</v>
      </c>
      <c r="O293" s="46">
        <f t="shared" si="193"/>
        <v>896923.74804943672</v>
      </c>
      <c r="P293" s="47">
        <f t="shared" si="194"/>
        <v>51178.998666666666</v>
      </c>
      <c r="Q293" s="42">
        <v>1535369.96</v>
      </c>
      <c r="R293" s="48">
        <f t="shared" si="172"/>
        <v>0.58417434977654292</v>
      </c>
      <c r="S293" s="49"/>
      <c r="T293" s="157">
        <f>IFERROR(VLOOKUP(B293,[1]Todos!$A$2:$C$3021,3,FALSE),0)</f>
        <v>789.51</v>
      </c>
      <c r="U293" s="112">
        <f t="shared" si="173"/>
        <v>-51.5</v>
      </c>
      <c r="W293" s="157">
        <f>IFERROR(VLOOKUP(B293,[1]Todos!$A$2:$B$3021,2,FALSE),0)</f>
        <v>18875.86</v>
      </c>
      <c r="X293" s="112">
        <f t="shared" si="174"/>
        <v>-258.88999999999942</v>
      </c>
    </row>
    <row r="294" spans="1:24" s="93" customFormat="1" outlineLevel="1" x14ac:dyDescent="0.3">
      <c r="A294" s="50" t="s">
        <v>1043</v>
      </c>
      <c r="B294" s="129"/>
      <c r="C294" s="129"/>
      <c r="D294" s="51">
        <f>SUBTOTAL(9,D288:D293)</f>
        <v>2365</v>
      </c>
      <c r="E294" s="52"/>
      <c r="F294" s="52"/>
      <c r="G294" s="130"/>
      <c r="H294" s="131">
        <f>SUBTOTAL(9,H288:H293)</f>
        <v>45920682.879999995</v>
      </c>
      <c r="I294" s="146">
        <f>SUBTOTAL(9,I288:I293)</f>
        <v>1921421.9000000001</v>
      </c>
      <c r="J294" s="146">
        <f>SUBTOTAL(9,J288:J293)</f>
        <v>47842104.780000001</v>
      </c>
      <c r="K294" s="53"/>
      <c r="L294" s="54"/>
      <c r="M294" s="54"/>
      <c r="N294" s="54"/>
      <c r="O294" s="55">
        <f>SUBTOTAL(9,O288:O293)</f>
        <v>71058573.209392652</v>
      </c>
      <c r="P294" s="56"/>
      <c r="Q294" s="51">
        <f>SUBTOTAL(9,Q288:Q293)</f>
        <v>117087758.01000001</v>
      </c>
      <c r="R294" s="57">
        <f t="shared" si="172"/>
        <v>0.60688302873921129</v>
      </c>
      <c r="S294" s="58">
        <f>Q294/$Q$308</f>
        <v>2.7040410276345132E-2</v>
      </c>
      <c r="T294" s="157">
        <f>IFERROR(VLOOKUP(B294,[1]Todos!$A$2:$C$3021,3,FALSE),0)</f>
        <v>0</v>
      </c>
      <c r="U294" s="112">
        <f t="shared" si="173"/>
        <v>0</v>
      </c>
      <c r="W294" s="157">
        <f>IFERROR(VLOOKUP(B294,[1]Todos!$A$2:$B$3021,2,FALSE),0)</f>
        <v>0</v>
      </c>
      <c r="X294" s="112">
        <f t="shared" si="174"/>
        <v>0</v>
      </c>
    </row>
    <row r="295" spans="1:24" outlineLevel="2" x14ac:dyDescent="0.3">
      <c r="A295" s="40" t="str">
        <f>VLOOKUP(B295,Grupos!$A$2:$B$619,2,FALSE)</f>
        <v>TAPAS PLASTICAS</v>
      </c>
      <c r="B295" s="41" t="s">
        <v>454</v>
      </c>
      <c r="C295" s="41" t="s">
        <v>455</v>
      </c>
      <c r="D295" s="42">
        <v>35</v>
      </c>
      <c r="E295" s="196">
        <v>1629.99</v>
      </c>
      <c r="F295" s="43">
        <v>67</v>
      </c>
      <c r="G295" s="126">
        <f t="shared" ref="G295:G305" si="195">E295+F295</f>
        <v>1696.99</v>
      </c>
      <c r="H295" s="127">
        <f t="shared" ref="H295:H305" si="196">E295*D295</f>
        <v>57049.65</v>
      </c>
      <c r="I295" s="128">
        <f t="shared" ref="I295:I305" si="197">F295*D295</f>
        <v>2345</v>
      </c>
      <c r="J295" s="128">
        <f t="shared" ref="J295:J305" si="198">G295*D295</f>
        <v>59394.65</v>
      </c>
      <c r="K295" s="44">
        <f t="shared" ref="K295:K305" si="199">J295/$J$308</f>
        <v>3.544334712115002E-5</v>
      </c>
      <c r="L295" s="45">
        <f t="shared" ref="L295:L305" si="200">$K$383*K295/D295</f>
        <v>422.46917654619705</v>
      </c>
      <c r="M295" s="45">
        <f t="shared" ref="M295:M305" si="201">F295*$M$382</f>
        <v>394.24302406690754</v>
      </c>
      <c r="N295" s="45">
        <f t="shared" ref="N295:N305" si="202">G295+L295+M295</f>
        <v>2513.7022006131047</v>
      </c>
      <c r="O295" s="46">
        <f t="shared" ref="O295:O305" si="203">N295*D295</f>
        <v>87979.577021458666</v>
      </c>
      <c r="P295" s="47">
        <f t="shared" ref="P295:P305" si="204">Q295/D295</f>
        <v>10940.714285714286</v>
      </c>
      <c r="Q295" s="42">
        <v>382925</v>
      </c>
      <c r="R295" s="48">
        <f t="shared" si="172"/>
        <v>0.2297566808682083</v>
      </c>
      <c r="S295" s="49"/>
      <c r="T295" s="157">
        <f>IFERROR(VLOOKUP(B295,[1]Todos!$A$2:$C$3021,3,FALSE),0)</f>
        <v>66.239999999999995</v>
      </c>
      <c r="U295" s="112">
        <f t="shared" si="173"/>
        <v>-0.76000000000000512</v>
      </c>
      <c r="W295" s="157">
        <f>IFERROR(VLOOKUP(B295,[1]Todos!$A$2:$B$3021,2,FALSE),0)</f>
        <v>1629.99</v>
      </c>
      <c r="X295" s="112">
        <f t="shared" si="174"/>
        <v>0</v>
      </c>
    </row>
    <row r="296" spans="1:24" outlineLevel="2" x14ac:dyDescent="0.3">
      <c r="A296" s="40" t="str">
        <f>VLOOKUP(B296,Grupos!$A$2:$B$619,2,FALSE)</f>
        <v>TAPAS PLASTICAS</v>
      </c>
      <c r="B296" s="41" t="s">
        <v>456</v>
      </c>
      <c r="C296" s="41" t="s">
        <v>457</v>
      </c>
      <c r="D296" s="42">
        <v>5</v>
      </c>
      <c r="E296" s="43">
        <v>1067.4000000000001</v>
      </c>
      <c r="F296" s="43">
        <v>55.24</v>
      </c>
      <c r="G296" s="126">
        <f t="shared" si="195"/>
        <v>1122.6400000000001</v>
      </c>
      <c r="H296" s="127">
        <f t="shared" si="196"/>
        <v>5337</v>
      </c>
      <c r="I296" s="128">
        <f t="shared" si="197"/>
        <v>276.2</v>
      </c>
      <c r="J296" s="128">
        <f t="shared" si="198"/>
        <v>5613.2000000000007</v>
      </c>
      <c r="K296" s="44">
        <f t="shared" si="199"/>
        <v>3.3496383270284327E-6</v>
      </c>
      <c r="L296" s="45">
        <f t="shared" si="200"/>
        <v>279.48355403262406</v>
      </c>
      <c r="M296" s="45">
        <f t="shared" si="201"/>
        <v>325.04454700680554</v>
      </c>
      <c r="N296" s="45">
        <f t="shared" si="202"/>
        <v>1727.1681010394298</v>
      </c>
      <c r="O296" s="46">
        <f t="shared" si="203"/>
        <v>8635.8405051971495</v>
      </c>
      <c r="P296" s="47">
        <f t="shared" si="204"/>
        <v>4322.5</v>
      </c>
      <c r="Q296" s="42">
        <v>21612.5</v>
      </c>
      <c r="R296" s="48">
        <f t="shared" si="172"/>
        <v>0.39957619457245341</v>
      </c>
      <c r="S296" s="49"/>
      <c r="T296" s="157">
        <f>IFERROR(VLOOKUP(B296,[1]Todos!$A$2:$C$3021,3,FALSE),0)</f>
        <v>0</v>
      </c>
      <c r="U296" s="112">
        <f t="shared" si="173"/>
        <v>-55.24</v>
      </c>
      <c r="W296" s="157">
        <f>IFERROR(VLOOKUP(B296,[1]Todos!$A$2:$B$3021,2,FALSE),0)</f>
        <v>0</v>
      </c>
      <c r="X296" s="112">
        <f t="shared" si="174"/>
        <v>-1067.4000000000001</v>
      </c>
    </row>
    <row r="297" spans="1:24" outlineLevel="2" x14ac:dyDescent="0.3">
      <c r="A297" s="40" t="str">
        <f>VLOOKUP(B297,Grupos!$A$2:$B$619,2,FALSE)</f>
        <v>TAPAS PLASTICAS</v>
      </c>
      <c r="B297" s="41" t="s">
        <v>459</v>
      </c>
      <c r="C297" s="41" t="s">
        <v>460</v>
      </c>
      <c r="D297" s="42">
        <v>125</v>
      </c>
      <c r="E297" s="43">
        <v>1183.82</v>
      </c>
      <c r="F297" s="43">
        <v>60.43</v>
      </c>
      <c r="G297" s="126">
        <f t="shared" si="195"/>
        <v>1244.25</v>
      </c>
      <c r="H297" s="127">
        <f t="shared" si="196"/>
        <v>147977.5</v>
      </c>
      <c r="I297" s="128">
        <f t="shared" si="197"/>
        <v>7553.75</v>
      </c>
      <c r="J297" s="128">
        <f t="shared" si="198"/>
        <v>155531.25</v>
      </c>
      <c r="K297" s="44">
        <f t="shared" si="199"/>
        <v>9.2812199111138186E-5</v>
      </c>
      <c r="L297" s="45">
        <f t="shared" si="200"/>
        <v>309.75861550015355</v>
      </c>
      <c r="M297" s="45">
        <f t="shared" si="201"/>
        <v>355.58367081139136</v>
      </c>
      <c r="N297" s="45">
        <f t="shared" si="202"/>
        <v>1909.592286311545</v>
      </c>
      <c r="O297" s="46">
        <f t="shared" si="203"/>
        <v>238699.03578894312</v>
      </c>
      <c r="P297" s="47">
        <f t="shared" si="204"/>
        <v>5448.1000800000002</v>
      </c>
      <c r="Q297" s="42">
        <v>681012.51</v>
      </c>
      <c r="R297" s="48">
        <f t="shared" si="172"/>
        <v>0.35050609538574135</v>
      </c>
      <c r="S297" s="49"/>
      <c r="T297" s="157">
        <f>IFERROR(VLOOKUP(B297,[1]Todos!$A$2:$C$3021,3,FALSE),0)</f>
        <v>0</v>
      </c>
      <c r="U297" s="112">
        <f t="shared" si="173"/>
        <v>-60.43</v>
      </c>
      <c r="W297" s="157">
        <f>IFERROR(VLOOKUP(B297,[1]Todos!$A$2:$B$3021,2,FALSE),0)</f>
        <v>0</v>
      </c>
      <c r="X297" s="112">
        <f t="shared" si="174"/>
        <v>-1183.82</v>
      </c>
    </row>
    <row r="298" spans="1:24" outlineLevel="2" x14ac:dyDescent="0.3">
      <c r="A298" s="40" t="str">
        <f>VLOOKUP(B298,Grupos!$A$2:$B$619,2,FALSE)</f>
        <v>TAPAS PLASTICAS</v>
      </c>
      <c r="B298" s="41" t="s">
        <v>461</v>
      </c>
      <c r="C298" s="41" t="s">
        <v>462</v>
      </c>
      <c r="D298" s="42">
        <v>129</v>
      </c>
      <c r="E298" s="196">
        <v>1496.86</v>
      </c>
      <c r="F298" s="43">
        <v>57.16</v>
      </c>
      <c r="G298" s="126">
        <f t="shared" si="195"/>
        <v>1554.02</v>
      </c>
      <c r="H298" s="127">
        <f t="shared" si="196"/>
        <v>193094.93999999997</v>
      </c>
      <c r="I298" s="128">
        <f t="shared" si="197"/>
        <v>7373.6399999999994</v>
      </c>
      <c r="J298" s="128">
        <f t="shared" si="198"/>
        <v>200468.58</v>
      </c>
      <c r="K298" s="44">
        <f t="shared" si="199"/>
        <v>1.1962824038569183E-4</v>
      </c>
      <c r="L298" s="45">
        <f t="shared" si="200"/>
        <v>386.87649882222109</v>
      </c>
      <c r="M298" s="45">
        <f t="shared" si="201"/>
        <v>336.34225754723036</v>
      </c>
      <c r="N298" s="45">
        <f t="shared" si="202"/>
        <v>2277.2387563694515</v>
      </c>
      <c r="O298" s="46">
        <f t="shared" si="203"/>
        <v>293763.79957165924</v>
      </c>
      <c r="P298" s="47">
        <f t="shared" si="204"/>
        <v>7971.3645736434109</v>
      </c>
      <c r="Q298" s="42">
        <v>1028306.03</v>
      </c>
      <c r="R298" s="48">
        <f t="shared" si="172"/>
        <v>0.28567740633754646</v>
      </c>
      <c r="S298" s="49"/>
      <c r="T298" s="157">
        <f>IFERROR(VLOOKUP(B298,[1]Todos!$A$2:$C$3021,3,FALSE),0)</f>
        <v>56.49</v>
      </c>
      <c r="U298" s="112">
        <f t="shared" si="173"/>
        <v>-0.6699999999999946</v>
      </c>
      <c r="W298" s="157">
        <f>IFERROR(VLOOKUP(B298,[1]Todos!$A$2:$B$3021,2,FALSE),0)</f>
        <v>1496.86</v>
      </c>
      <c r="X298" s="112">
        <f t="shared" si="174"/>
        <v>0</v>
      </c>
    </row>
    <row r="299" spans="1:24" outlineLevel="2" x14ac:dyDescent="0.3">
      <c r="A299" s="40" t="str">
        <f>VLOOKUP(B299,Grupos!$A$2:$B$619,2,FALSE)</f>
        <v>TAPAS PLASTICAS</v>
      </c>
      <c r="B299" s="41" t="s">
        <v>463</v>
      </c>
      <c r="C299" s="41" t="s">
        <v>464</v>
      </c>
      <c r="D299" s="42">
        <v>3900</v>
      </c>
      <c r="E299" s="196">
        <v>21.3</v>
      </c>
      <c r="F299" s="43">
        <v>9.09</v>
      </c>
      <c r="G299" s="126">
        <f t="shared" si="195"/>
        <v>30.39</v>
      </c>
      <c r="H299" s="127">
        <f t="shared" si="196"/>
        <v>83070</v>
      </c>
      <c r="I299" s="128">
        <f t="shared" si="197"/>
        <v>35451</v>
      </c>
      <c r="J299" s="128">
        <f t="shared" si="198"/>
        <v>118521</v>
      </c>
      <c r="K299" s="44">
        <f t="shared" si="199"/>
        <v>7.0726588070572368E-5</v>
      </c>
      <c r="L299" s="45">
        <f t="shared" si="200"/>
        <v>7.5656534659832566</v>
      </c>
      <c r="M299" s="45">
        <f t="shared" si="201"/>
        <v>53.48759833982372</v>
      </c>
      <c r="N299" s="45">
        <f t="shared" si="202"/>
        <v>91.44325180580698</v>
      </c>
      <c r="O299" s="46">
        <f t="shared" si="203"/>
        <v>356628.68204264721</v>
      </c>
      <c r="P299" s="47">
        <f t="shared" si="204"/>
        <v>374.5</v>
      </c>
      <c r="Q299" s="42">
        <v>1460550</v>
      </c>
      <c r="R299" s="48">
        <f t="shared" si="172"/>
        <v>0.24417423713166081</v>
      </c>
      <c r="S299" s="49"/>
      <c r="T299" s="157">
        <f>IFERROR(VLOOKUP(B299,[1]Todos!$A$2:$C$3021,3,FALSE),0)</f>
        <v>9.2200000000000006</v>
      </c>
      <c r="U299" s="112">
        <f t="shared" si="173"/>
        <v>0.13000000000000078</v>
      </c>
      <c r="W299" s="157">
        <f>IFERROR(VLOOKUP(B299,[1]Todos!$A$2:$B$3021,2,FALSE),0)</f>
        <v>21.3</v>
      </c>
      <c r="X299" s="112">
        <f t="shared" si="174"/>
        <v>0</v>
      </c>
    </row>
    <row r="300" spans="1:24" outlineLevel="2" x14ac:dyDescent="0.3">
      <c r="A300" s="40" t="str">
        <f>VLOOKUP(B300,Grupos!$A$2:$B$619,2,FALSE)</f>
        <v>TAPAS PLASTICAS</v>
      </c>
      <c r="B300" s="41" t="s">
        <v>465</v>
      </c>
      <c r="C300" s="41" t="s">
        <v>466</v>
      </c>
      <c r="D300" s="42">
        <v>270000</v>
      </c>
      <c r="E300" s="196">
        <v>74.7</v>
      </c>
      <c r="F300" s="43">
        <v>8.14</v>
      </c>
      <c r="G300" s="126">
        <f t="shared" si="195"/>
        <v>82.84</v>
      </c>
      <c r="H300" s="127">
        <f t="shared" si="196"/>
        <v>20169000</v>
      </c>
      <c r="I300" s="128">
        <f t="shared" si="197"/>
        <v>2197800</v>
      </c>
      <c r="J300" s="128">
        <f t="shared" si="198"/>
        <v>22366800</v>
      </c>
      <c r="K300" s="44">
        <f t="shared" si="199"/>
        <v>1.3347233402155552E-2</v>
      </c>
      <c r="L300" s="45">
        <f t="shared" si="200"/>
        <v>20.623189638764494</v>
      </c>
      <c r="M300" s="45">
        <f t="shared" si="201"/>
        <v>47.897585312009369</v>
      </c>
      <c r="N300" s="45">
        <f t="shared" si="202"/>
        <v>151.36077495077387</v>
      </c>
      <c r="O300" s="46">
        <f t="shared" si="203"/>
        <v>40867409.236708947</v>
      </c>
      <c r="P300" s="47">
        <f t="shared" si="204"/>
        <v>230.53067874074074</v>
      </c>
      <c r="Q300" s="42">
        <v>62243283.259999998</v>
      </c>
      <c r="R300" s="48">
        <f t="shared" si="172"/>
        <v>0.65657541016914778</v>
      </c>
      <c r="S300" s="49"/>
      <c r="T300" s="157">
        <f>IFERROR(VLOOKUP(B300,[1]Todos!$A$2:$C$3021,3,FALSE),0)</f>
        <v>7.69</v>
      </c>
      <c r="U300" s="112">
        <f t="shared" si="173"/>
        <v>-0.45000000000000018</v>
      </c>
      <c r="W300" s="157">
        <f>IFERROR(VLOOKUP(B300,[1]Todos!$A$2:$B$3021,2,FALSE),0)</f>
        <v>74.7</v>
      </c>
      <c r="X300" s="112">
        <f t="shared" si="174"/>
        <v>0</v>
      </c>
    </row>
    <row r="301" spans="1:24" outlineLevel="2" x14ac:dyDescent="0.3">
      <c r="A301" s="40" t="str">
        <f>VLOOKUP(B301,Grupos!$A$2:$B$619,2,FALSE)</f>
        <v>TAPAS PLASTICAS</v>
      </c>
      <c r="B301" s="41" t="s">
        <v>467</v>
      </c>
      <c r="C301" s="41" t="s">
        <v>468</v>
      </c>
      <c r="D301" s="42">
        <v>16200</v>
      </c>
      <c r="E301" s="196">
        <v>77.11</v>
      </c>
      <c r="F301" s="192">
        <v>9.11</v>
      </c>
      <c r="G301" s="126">
        <f t="shared" si="195"/>
        <v>86.22</v>
      </c>
      <c r="H301" s="127">
        <f t="shared" si="196"/>
        <v>1249182</v>
      </c>
      <c r="I301" s="128">
        <f t="shared" si="197"/>
        <v>147582</v>
      </c>
      <c r="J301" s="128">
        <f t="shared" si="198"/>
        <v>1396764</v>
      </c>
      <c r="K301" s="44">
        <f t="shared" si="199"/>
        <v>8.3350926890428661E-4</v>
      </c>
      <c r="L301" s="45">
        <f t="shared" si="200"/>
        <v>21.464647641891293</v>
      </c>
      <c r="M301" s="45">
        <f t="shared" si="201"/>
        <v>53.605282824619813</v>
      </c>
      <c r="N301" s="45">
        <f t="shared" si="202"/>
        <v>161.28993046651109</v>
      </c>
      <c r="O301" s="46">
        <f t="shared" si="203"/>
        <v>2612896.8735574796</v>
      </c>
      <c r="P301" s="47">
        <f t="shared" si="204"/>
        <v>226.92222777777778</v>
      </c>
      <c r="Q301" s="42">
        <v>3676140.09</v>
      </c>
      <c r="R301" s="48">
        <f t="shared" si="172"/>
        <v>0.71077184481222522</v>
      </c>
      <c r="S301" s="49"/>
      <c r="T301" s="157">
        <f>IFERROR(VLOOKUP(B301,[1]Todos!$A$2:$C$3021,3,FALSE),0)</f>
        <v>9.11</v>
      </c>
      <c r="U301" s="112">
        <f t="shared" si="173"/>
        <v>0</v>
      </c>
      <c r="W301" s="157">
        <f>IFERROR(VLOOKUP(B301,[1]Todos!$A$2:$B$3021,2,FALSE),0)</f>
        <v>77.11</v>
      </c>
      <c r="X301" s="112">
        <f t="shared" si="174"/>
        <v>0</v>
      </c>
    </row>
    <row r="302" spans="1:24" outlineLevel="2" x14ac:dyDescent="0.3">
      <c r="A302" s="40" t="str">
        <f>VLOOKUP(B302,Grupos!$A$2:$B$619,2,FALSE)</f>
        <v>TAPAS PLASTICAS</v>
      </c>
      <c r="B302" s="41" t="s">
        <v>469</v>
      </c>
      <c r="C302" s="41" t="s">
        <v>470</v>
      </c>
      <c r="D302" s="42">
        <v>17000</v>
      </c>
      <c r="E302" s="196">
        <v>65.040000000000006</v>
      </c>
      <c r="F302" s="192">
        <v>19.579999999999998</v>
      </c>
      <c r="G302" s="126">
        <f t="shared" si="195"/>
        <v>84.62</v>
      </c>
      <c r="H302" s="127">
        <f t="shared" si="196"/>
        <v>1105680</v>
      </c>
      <c r="I302" s="128">
        <f t="shared" si="197"/>
        <v>332860</v>
      </c>
      <c r="J302" s="128">
        <f t="shared" si="198"/>
        <v>1438540</v>
      </c>
      <c r="K302" s="44">
        <f t="shared" si="199"/>
        <v>8.5843880833811042E-4</v>
      </c>
      <c r="L302" s="45">
        <f t="shared" si="200"/>
        <v>21.066324326801684</v>
      </c>
      <c r="M302" s="45">
        <f t="shared" si="201"/>
        <v>115.21311061537386</v>
      </c>
      <c r="N302" s="45">
        <f t="shared" si="202"/>
        <v>220.89943494217556</v>
      </c>
      <c r="O302" s="46">
        <f t="shared" si="203"/>
        <v>3755290.3940169844</v>
      </c>
      <c r="P302" s="47">
        <f t="shared" si="204"/>
        <v>229.57353117647057</v>
      </c>
      <c r="Q302" s="42">
        <v>3902750.03</v>
      </c>
      <c r="R302" s="48">
        <f t="shared" si="172"/>
        <v>0.96221647944410738</v>
      </c>
      <c r="S302" s="49"/>
      <c r="T302" s="157">
        <f>IFERROR(VLOOKUP(B302,[1]Todos!$A$2:$C$3021,3,FALSE),0)</f>
        <v>19.579999999999998</v>
      </c>
      <c r="U302" s="112">
        <f t="shared" si="173"/>
        <v>0</v>
      </c>
      <c r="W302" s="157">
        <f>IFERROR(VLOOKUP(B302,[1]Todos!$A$2:$B$3021,2,FALSE),0)</f>
        <v>65.040000000000006</v>
      </c>
      <c r="X302" s="112">
        <f t="shared" si="174"/>
        <v>0</v>
      </c>
    </row>
    <row r="303" spans="1:24" outlineLevel="2" x14ac:dyDescent="0.3">
      <c r="A303" s="40" t="str">
        <f>VLOOKUP(B303,Grupos!$A$2:$B$619,2,FALSE)</f>
        <v>TAPAS PLASTICAS</v>
      </c>
      <c r="B303" s="41" t="s">
        <v>471</v>
      </c>
      <c r="C303" s="41" t="s">
        <v>472</v>
      </c>
      <c r="D303" s="42">
        <v>1500</v>
      </c>
      <c r="E303" s="196">
        <v>62.15</v>
      </c>
      <c r="F303" s="43">
        <v>20.05</v>
      </c>
      <c r="G303" s="126">
        <f t="shared" si="195"/>
        <v>82.2</v>
      </c>
      <c r="H303" s="127">
        <f t="shared" si="196"/>
        <v>93225</v>
      </c>
      <c r="I303" s="128">
        <f t="shared" si="197"/>
        <v>30075</v>
      </c>
      <c r="J303" s="128">
        <f t="shared" si="198"/>
        <v>123300</v>
      </c>
      <c r="K303" s="44">
        <f t="shared" si="199"/>
        <v>7.3578423309806471E-5</v>
      </c>
      <c r="L303" s="45">
        <f t="shared" si="200"/>
        <v>20.463860312728649</v>
      </c>
      <c r="M303" s="45">
        <f t="shared" si="201"/>
        <v>117.97869600808204</v>
      </c>
      <c r="N303" s="45">
        <f t="shared" si="202"/>
        <v>220.64255632081068</v>
      </c>
      <c r="O303" s="46">
        <f t="shared" si="203"/>
        <v>330963.83448121604</v>
      </c>
      <c r="P303" s="47">
        <f t="shared" si="204"/>
        <v>227.50002000000001</v>
      </c>
      <c r="Q303" s="42">
        <v>341250.03</v>
      </c>
      <c r="R303" s="48">
        <f t="shared" si="172"/>
        <v>0.96985730515896518</v>
      </c>
      <c r="S303" s="49"/>
      <c r="T303" s="157">
        <f>IFERROR(VLOOKUP(B303,[1]Todos!$A$2:$C$3021,3,FALSE),0)</f>
        <v>19.79</v>
      </c>
      <c r="U303" s="112">
        <f t="shared" si="173"/>
        <v>-0.26000000000000156</v>
      </c>
      <c r="W303" s="157">
        <f>IFERROR(VLOOKUP(B303,[1]Todos!$A$2:$B$3021,2,FALSE),0)</f>
        <v>62.15</v>
      </c>
      <c r="X303" s="112">
        <f t="shared" si="174"/>
        <v>0</v>
      </c>
    </row>
    <row r="304" spans="1:24" outlineLevel="2" x14ac:dyDescent="0.3">
      <c r="A304" s="40" t="str">
        <f>VLOOKUP(B304,Grupos!$A$2:$B$619,2,FALSE)</f>
        <v>TAPAS PLASTICAS</v>
      </c>
      <c r="B304" s="41" t="s">
        <v>473</v>
      </c>
      <c r="C304" s="41" t="s">
        <v>474</v>
      </c>
      <c r="D304" s="42">
        <v>3990</v>
      </c>
      <c r="E304" s="196">
        <v>91.58</v>
      </c>
      <c r="F304" s="192">
        <v>20.57</v>
      </c>
      <c r="G304" s="126">
        <f t="shared" si="195"/>
        <v>112.15</v>
      </c>
      <c r="H304" s="127">
        <f t="shared" si="196"/>
        <v>365404.2</v>
      </c>
      <c r="I304" s="128">
        <f t="shared" si="197"/>
        <v>82074.3</v>
      </c>
      <c r="J304" s="128">
        <f t="shared" si="198"/>
        <v>447478.5</v>
      </c>
      <c r="K304" s="44">
        <f t="shared" si="199"/>
        <v>2.6702970393379754E-4</v>
      </c>
      <c r="L304" s="45">
        <f t="shared" si="200"/>
        <v>27.919974867062265</v>
      </c>
      <c r="M304" s="45">
        <f t="shared" si="201"/>
        <v>121.03849261278042</v>
      </c>
      <c r="N304" s="45">
        <f t="shared" si="202"/>
        <v>261.10846747984272</v>
      </c>
      <c r="O304" s="46">
        <f t="shared" si="203"/>
        <v>1041822.7852445724</v>
      </c>
      <c r="P304" s="47">
        <f t="shared" si="204"/>
        <v>261.42858395989975</v>
      </c>
      <c r="Q304" s="42">
        <v>1043100.05</v>
      </c>
      <c r="R304" s="48">
        <f t="shared" si="172"/>
        <v>0.99877551079071691</v>
      </c>
      <c r="S304" s="49"/>
      <c r="T304" s="157">
        <f>IFERROR(VLOOKUP(B304,[1]Todos!$A$2:$C$3021,3,FALSE),0)</f>
        <v>20.57</v>
      </c>
      <c r="U304" s="112">
        <f t="shared" si="173"/>
        <v>0</v>
      </c>
      <c r="W304" s="157">
        <f>IFERROR(VLOOKUP(B304,[1]Todos!$A$2:$B$3021,2,FALSE),0)</f>
        <v>91.58</v>
      </c>
      <c r="X304" s="112">
        <f t="shared" si="174"/>
        <v>0</v>
      </c>
    </row>
    <row r="305" spans="1:24" outlineLevel="2" x14ac:dyDescent="0.3">
      <c r="A305" s="40" t="str">
        <f>VLOOKUP(B305,Grupos!$A$2:$B$619,2,FALSE)</f>
        <v>TAPAS PLASTICAS</v>
      </c>
      <c r="B305" s="41" t="s">
        <v>475</v>
      </c>
      <c r="C305" s="41" t="s">
        <v>476</v>
      </c>
      <c r="D305" s="42">
        <v>33630</v>
      </c>
      <c r="E305" s="196">
        <v>96.41</v>
      </c>
      <c r="F305" s="192">
        <v>21.71</v>
      </c>
      <c r="G305" s="126">
        <f t="shared" si="195"/>
        <v>118.12</v>
      </c>
      <c r="H305" s="127">
        <f t="shared" si="196"/>
        <v>3242268.3</v>
      </c>
      <c r="I305" s="128">
        <f t="shared" si="197"/>
        <v>730107.3</v>
      </c>
      <c r="J305" s="128">
        <f t="shared" si="198"/>
        <v>3972375.6</v>
      </c>
      <c r="K305" s="44">
        <f t="shared" si="199"/>
        <v>2.37048770026234E-3</v>
      </c>
      <c r="L305" s="45">
        <f t="shared" si="200"/>
        <v>29.40621873649037</v>
      </c>
      <c r="M305" s="45">
        <f t="shared" si="201"/>
        <v>127.74650824615766</v>
      </c>
      <c r="N305" s="45">
        <f t="shared" si="202"/>
        <v>275.27272698264801</v>
      </c>
      <c r="O305" s="46">
        <f t="shared" si="203"/>
        <v>9257421.8084264528</v>
      </c>
      <c r="P305" s="47">
        <f t="shared" si="204"/>
        <v>278.77967082961641</v>
      </c>
      <c r="Q305" s="42">
        <v>9375360.3300000001</v>
      </c>
      <c r="R305" s="48">
        <f t="shared" si="172"/>
        <v>0.9874203745325757</v>
      </c>
      <c r="S305" s="49"/>
      <c r="T305" s="157">
        <f>IFERROR(VLOOKUP(B305,[1]Todos!$A$2:$C$3021,3,FALSE),0)</f>
        <v>21.71</v>
      </c>
      <c r="U305" s="112">
        <f t="shared" si="173"/>
        <v>0</v>
      </c>
      <c r="W305" s="157">
        <f>IFERROR(VLOOKUP(B305,[1]Todos!$A$2:$B$3021,2,FALSE),0)</f>
        <v>96.41</v>
      </c>
      <c r="X305" s="112">
        <f t="shared" si="174"/>
        <v>0</v>
      </c>
    </row>
    <row r="306" spans="1:24" s="93" customFormat="1" outlineLevel="1" x14ac:dyDescent="0.3">
      <c r="A306" s="50" t="s">
        <v>1044</v>
      </c>
      <c r="B306" s="129"/>
      <c r="C306" s="129"/>
      <c r="D306" s="51">
        <f>SUBTOTAL(9,D295:D305)</f>
        <v>346514</v>
      </c>
      <c r="E306" s="52"/>
      <c r="F306" s="52"/>
      <c r="G306" s="130"/>
      <c r="H306" s="131">
        <f>SUBTOTAL(9,H295:H305)</f>
        <v>26711288.59</v>
      </c>
      <c r="I306" s="146">
        <f>SUBTOTAL(9,I295:I305)</f>
        <v>3573498.1899999995</v>
      </c>
      <c r="J306" s="146">
        <f>SUBTOTAL(9,J295:J305)</f>
        <v>30284786.780000001</v>
      </c>
      <c r="K306" s="53"/>
      <c r="L306" s="54"/>
      <c r="M306" s="54"/>
      <c r="N306" s="54"/>
      <c r="O306" s="55">
        <f>SUBTOTAL(9,O295:O305)</f>
        <v>58851511.867365554</v>
      </c>
      <c r="P306" s="56"/>
      <c r="Q306" s="51">
        <f>SUBTOTAL(9,Q295:Q305)</f>
        <v>84156289.829999998</v>
      </c>
      <c r="R306" s="57">
        <f t="shared" si="172"/>
        <v>0.69931210116615894</v>
      </c>
      <c r="S306" s="58">
        <f>Q306/$Q$308</f>
        <v>1.9435171046181098E-2</v>
      </c>
      <c r="T306" s="158"/>
      <c r="U306" s="112"/>
    </row>
    <row r="307" spans="1:24" x14ac:dyDescent="0.3">
      <c r="A307" s="50" t="s">
        <v>477</v>
      </c>
      <c r="B307" s="41"/>
      <c r="C307" s="41"/>
      <c r="D307" s="42">
        <f>SUBTOTAL(9,D5:D305)</f>
        <v>2984608.3000000003</v>
      </c>
      <c r="E307" s="43"/>
      <c r="F307" s="43"/>
      <c r="G307" s="126"/>
      <c r="H307" s="127">
        <f>SUBTOTAL(9,H5:H305)</f>
        <v>1562680285.4920001</v>
      </c>
      <c r="I307" s="128">
        <f>SUBTOTAL(9,I5:I305)</f>
        <v>113082722.92200001</v>
      </c>
      <c r="J307" s="128">
        <f>SUBTOTAL(9,J5:J305)</f>
        <v>1675763008.4139988</v>
      </c>
      <c r="K307" s="44"/>
      <c r="L307" s="45"/>
      <c r="M307" s="45"/>
      <c r="N307" s="45"/>
      <c r="O307" s="46">
        <f>SUBTOTAL(9,O5:O305)</f>
        <v>2758351780.7447395</v>
      </c>
      <c r="P307" s="47"/>
      <c r="Q307" s="42">
        <f>SUBTOTAL(9,Q5:Q305)</f>
        <v>4330102865.0600033</v>
      </c>
      <c r="R307" s="48"/>
      <c r="S307" s="49"/>
      <c r="U307" s="112"/>
      <c r="V307" s="112"/>
    </row>
    <row r="308" spans="1:24" s="93" customFormat="1" x14ac:dyDescent="0.3">
      <c r="A308" s="50" t="s">
        <v>1011</v>
      </c>
      <c r="B308" s="129"/>
      <c r="C308" s="129"/>
      <c r="D308" s="51">
        <v>2984608.3000000003</v>
      </c>
      <c r="E308" s="52"/>
      <c r="F308" s="52"/>
      <c r="G308" s="130"/>
      <c r="H308" s="51">
        <v>1630374018.0520003</v>
      </c>
      <c r="I308" s="51">
        <f>I307</f>
        <v>113082722.92200001</v>
      </c>
      <c r="J308" s="51">
        <f>J307</f>
        <v>1675763008.4139988</v>
      </c>
      <c r="K308" s="53">
        <v>1</v>
      </c>
      <c r="L308" s="54"/>
      <c r="M308" s="54"/>
      <c r="N308" s="54"/>
      <c r="O308" s="51">
        <f>O307</f>
        <v>2758351780.7447395</v>
      </c>
      <c r="P308" s="56"/>
      <c r="Q308" s="51">
        <v>4330102865.0600033</v>
      </c>
      <c r="R308" s="57">
        <f t="shared" ref="R308:R339" si="205">O308/Q308</f>
        <v>0.63701761059815298</v>
      </c>
      <c r="S308" s="58">
        <f>Q308/$Q$377</f>
        <v>0.83497530976049317</v>
      </c>
      <c r="T308" s="157"/>
      <c r="U308" s="112"/>
    </row>
    <row r="309" spans="1:24" x14ac:dyDescent="0.3">
      <c r="A309" s="40" t="str">
        <f>VLOOKUP(B309,Grupos!$A$2:$B$619,2,FALSE)</f>
        <v>SETI</v>
      </c>
      <c r="B309" s="41" t="s">
        <v>480</v>
      </c>
      <c r="C309" s="41" t="s">
        <v>1065</v>
      </c>
      <c r="D309" s="42">
        <v>2</v>
      </c>
      <c r="E309" s="43">
        <v>2550000</v>
      </c>
      <c r="F309" s="43">
        <v>0</v>
      </c>
      <c r="G309" s="126">
        <f>E309+F309</f>
        <v>2550000</v>
      </c>
      <c r="H309" s="127">
        <f>E309*D309</f>
        <v>5100000</v>
      </c>
      <c r="I309" s="128">
        <f>F309*D309</f>
        <v>0</v>
      </c>
      <c r="J309" s="128">
        <f>G309*D309</f>
        <v>5100000</v>
      </c>
      <c r="K309" s="44">
        <f>J309/J311</f>
        <v>0.67819148936170215</v>
      </c>
      <c r="L309" s="45"/>
      <c r="M309" s="45">
        <f>F309*$M$382</f>
        <v>0</v>
      </c>
      <c r="N309" s="45">
        <f>G309+L309+M309</f>
        <v>2550000</v>
      </c>
      <c r="O309" s="46">
        <f>N309*D309</f>
        <v>5100000</v>
      </c>
      <c r="P309" s="47">
        <f>Q309/D309</f>
        <v>4100000</v>
      </c>
      <c r="Q309" s="42">
        <v>8200000</v>
      </c>
      <c r="R309" s="48">
        <f t="shared" si="205"/>
        <v>0.62195121951219512</v>
      </c>
      <c r="S309" s="49"/>
      <c r="U309" s="112"/>
    </row>
    <row r="310" spans="1:24" x14ac:dyDescent="0.3">
      <c r="A310" s="40" t="str">
        <f>VLOOKUP(B310,Grupos!$A$2:$B$619,2,FALSE)</f>
        <v>SETI</v>
      </c>
      <c r="B310" s="41" t="s">
        <v>656</v>
      </c>
      <c r="C310" s="41" t="s">
        <v>1066</v>
      </c>
      <c r="D310" s="42">
        <v>1</v>
      </c>
      <c r="E310" s="43">
        <v>2420000</v>
      </c>
      <c r="F310" s="43">
        <v>0</v>
      </c>
      <c r="G310" s="126">
        <f>E310+F310</f>
        <v>2420000</v>
      </c>
      <c r="H310" s="127">
        <f>E310*D310</f>
        <v>2420000</v>
      </c>
      <c r="I310" s="128">
        <f>F310*D310</f>
        <v>0</v>
      </c>
      <c r="J310" s="128">
        <f>G310*D310</f>
        <v>2420000</v>
      </c>
      <c r="K310" s="44">
        <f>J310/J311</f>
        <v>0.32180851063829785</v>
      </c>
      <c r="L310" s="45"/>
      <c r="M310" s="45">
        <f>F310*$M$382</f>
        <v>0</v>
      </c>
      <c r="N310" s="45">
        <f>G310+L310+M310</f>
        <v>2420000</v>
      </c>
      <c r="O310" s="46">
        <f>N310*D310</f>
        <v>2420000</v>
      </c>
      <c r="P310" s="47">
        <f>Q310/D310</f>
        <v>2970000</v>
      </c>
      <c r="Q310" s="42">
        <v>2970000</v>
      </c>
      <c r="R310" s="48">
        <f t="shared" si="205"/>
        <v>0.81481481481481477</v>
      </c>
      <c r="S310" s="49"/>
      <c r="U310" s="112"/>
    </row>
    <row r="311" spans="1:24" x14ac:dyDescent="0.3">
      <c r="A311" s="50" t="s">
        <v>1104</v>
      </c>
      <c r="B311" s="41"/>
      <c r="C311" s="41"/>
      <c r="D311" s="51">
        <f>SUM(D309:D310)</f>
        <v>3</v>
      </c>
      <c r="E311" s="43"/>
      <c r="F311" s="43"/>
      <c r="G311" s="126"/>
      <c r="H311" s="131">
        <f>SUM(H309:H310)</f>
        <v>7520000</v>
      </c>
      <c r="I311" s="131">
        <f>SUM(I309:I310)</f>
        <v>0</v>
      </c>
      <c r="J311" s="131">
        <f>SUM(J309:J310)</f>
        <v>7520000</v>
      </c>
      <c r="K311" s="150">
        <v>1</v>
      </c>
      <c r="L311" s="45"/>
      <c r="M311" s="45"/>
      <c r="N311" s="45"/>
      <c r="O311" s="55">
        <f>SUM(O309:O310)</f>
        <v>7520000</v>
      </c>
      <c r="P311" s="47"/>
      <c r="Q311" s="51">
        <f>SUM(Q309:Q310)</f>
        <v>11170000</v>
      </c>
      <c r="R311" s="57">
        <f t="shared" si="205"/>
        <v>0.67323187108325877</v>
      </c>
      <c r="S311" s="58">
        <f>Q311/$Q$377</f>
        <v>2.1539151610652247E-3</v>
      </c>
      <c r="U311" s="112"/>
    </row>
    <row r="312" spans="1:24" x14ac:dyDescent="0.3">
      <c r="A312" s="40" t="str">
        <f>VLOOKUP(B312,Grupos!$A$2:$B$619,2,FALSE)</f>
        <v>BREAKERS</v>
      </c>
      <c r="B312" s="41" t="s">
        <v>481</v>
      </c>
      <c r="C312" s="41" t="s">
        <v>482</v>
      </c>
      <c r="D312" s="42">
        <v>1272</v>
      </c>
      <c r="E312" s="43">
        <v>5808.8315907531278</v>
      </c>
      <c r="F312" s="43"/>
      <c r="G312" s="126">
        <f t="shared" ref="G312:G343" si="206">E312+F312</f>
        <v>5808.8315907531278</v>
      </c>
      <c r="H312" s="127">
        <f t="shared" ref="H312:H343" si="207">E312*D312</f>
        <v>7388833.7834379785</v>
      </c>
      <c r="I312" s="128">
        <f t="shared" ref="I312:I343" si="208">F312*D312</f>
        <v>0</v>
      </c>
      <c r="J312" s="128">
        <f t="shared" ref="J312:J343" si="209">G312*D312</f>
        <v>7388833.7834379785</v>
      </c>
      <c r="K312" s="44">
        <f t="shared" ref="K312:K343" si="210">J312/$J$363</f>
        <v>2.4320058369815149E-2</v>
      </c>
      <c r="L312" s="45"/>
      <c r="M312" s="45">
        <f t="shared" ref="M312:M343" si="211">F312*$M$382</f>
        <v>0</v>
      </c>
      <c r="N312" s="45">
        <f t="shared" ref="N312:N343" si="212">G312+L312+M312</f>
        <v>5808.8315907531278</v>
      </c>
      <c r="O312" s="46">
        <f t="shared" ref="O312:O343" si="213">N312*D312</f>
        <v>7388833.7834379785</v>
      </c>
      <c r="P312" s="47">
        <f t="shared" ref="P312:P343" si="214">Q312/D312</f>
        <v>7016.0377279874219</v>
      </c>
      <c r="Q312" s="42">
        <v>8924399.9900000002</v>
      </c>
      <c r="R312" s="48">
        <f t="shared" si="205"/>
        <v>0.82793619646332972</v>
      </c>
      <c r="S312" s="49"/>
      <c r="U312" s="112"/>
    </row>
    <row r="313" spans="1:24" x14ac:dyDescent="0.3">
      <c r="A313" s="40" t="str">
        <f>VLOOKUP(B313,Grupos!$A$2:$B$619,2,FALSE)</f>
        <v>BREAKERS</v>
      </c>
      <c r="B313" s="41" t="s">
        <v>483</v>
      </c>
      <c r="C313" s="41" t="s">
        <v>484</v>
      </c>
      <c r="D313" s="42">
        <v>1632</v>
      </c>
      <c r="E313" s="43">
        <v>5815.0243200861933</v>
      </c>
      <c r="F313" s="43"/>
      <c r="G313" s="126">
        <f t="shared" si="206"/>
        <v>5815.0243200861933</v>
      </c>
      <c r="H313" s="127">
        <f t="shared" si="207"/>
        <v>9490119.6903806683</v>
      </c>
      <c r="I313" s="128">
        <f t="shared" si="208"/>
        <v>0</v>
      </c>
      <c r="J313" s="128">
        <f t="shared" si="209"/>
        <v>9490119.6903806683</v>
      </c>
      <c r="K313" s="44">
        <f t="shared" si="210"/>
        <v>3.1236359021084924E-2</v>
      </c>
      <c r="L313" s="45"/>
      <c r="M313" s="45">
        <f t="shared" si="211"/>
        <v>0</v>
      </c>
      <c r="N313" s="45">
        <f t="shared" si="212"/>
        <v>5815.0243200861933</v>
      </c>
      <c r="O313" s="46">
        <f t="shared" si="213"/>
        <v>9490119.6903806683</v>
      </c>
      <c r="P313" s="47">
        <f t="shared" si="214"/>
        <v>6932.3529411764703</v>
      </c>
      <c r="Q313" s="42">
        <v>11313600</v>
      </c>
      <c r="R313" s="48">
        <f t="shared" si="205"/>
        <v>0.83882404277866185</v>
      </c>
      <c r="S313" s="49"/>
      <c r="U313" s="112"/>
    </row>
    <row r="314" spans="1:24" x14ac:dyDescent="0.3">
      <c r="A314" s="40" t="str">
        <f>VLOOKUP(B314,Grupos!$A$2:$B$619,2,FALSE)</f>
        <v>BREAKERS</v>
      </c>
      <c r="B314" s="41" t="s">
        <v>485</v>
      </c>
      <c r="C314" s="41" t="s">
        <v>486</v>
      </c>
      <c r="D314" s="42">
        <v>20208</v>
      </c>
      <c r="E314" s="43">
        <v>5145.9468164016371</v>
      </c>
      <c r="F314" s="43"/>
      <c r="G314" s="126">
        <f t="shared" si="206"/>
        <v>5145.9468164016371</v>
      </c>
      <c r="H314" s="127">
        <f t="shared" si="207"/>
        <v>103989293.26584429</v>
      </c>
      <c r="I314" s="128">
        <f t="shared" si="208"/>
        <v>0</v>
      </c>
      <c r="J314" s="128">
        <f t="shared" si="209"/>
        <v>103989293.26584429</v>
      </c>
      <c r="K314" s="44">
        <f t="shared" si="210"/>
        <v>0.34227670511819508</v>
      </c>
      <c r="L314" s="45"/>
      <c r="M314" s="45">
        <f t="shared" si="211"/>
        <v>0</v>
      </c>
      <c r="N314" s="45">
        <f t="shared" si="212"/>
        <v>5145.9468164016371</v>
      </c>
      <c r="O314" s="46">
        <f t="shared" si="213"/>
        <v>103989293.26584429</v>
      </c>
      <c r="P314" s="47">
        <f t="shared" si="214"/>
        <v>6950.5047505938246</v>
      </c>
      <c r="Q314" s="42">
        <v>140455800</v>
      </c>
      <c r="R314" s="48">
        <f t="shared" si="205"/>
        <v>0.74037023224277165</v>
      </c>
      <c r="S314" s="49"/>
      <c r="U314" s="112"/>
    </row>
    <row r="315" spans="1:24" x14ac:dyDescent="0.3">
      <c r="A315" s="40" t="str">
        <f>VLOOKUP(B315,Grupos!$A$2:$B$619,2,FALSE)</f>
        <v>BREAKERS</v>
      </c>
      <c r="B315" s="41" t="s">
        <v>487</v>
      </c>
      <c r="C315" s="41" t="s">
        <v>488</v>
      </c>
      <c r="D315" s="42">
        <v>7380</v>
      </c>
      <c r="E315" s="43">
        <v>5145.9468164016371</v>
      </c>
      <c r="F315" s="43"/>
      <c r="G315" s="126">
        <f t="shared" si="206"/>
        <v>5145.9468164016371</v>
      </c>
      <c r="H315" s="127">
        <f t="shared" si="207"/>
        <v>37977087.50504408</v>
      </c>
      <c r="I315" s="128">
        <f t="shared" si="208"/>
        <v>0</v>
      </c>
      <c r="J315" s="128">
        <f t="shared" si="209"/>
        <v>37977087.50504408</v>
      </c>
      <c r="K315" s="44">
        <f t="shared" si="210"/>
        <v>0.12500010311620544</v>
      </c>
      <c r="L315" s="45"/>
      <c r="M315" s="45">
        <f t="shared" si="211"/>
        <v>0</v>
      </c>
      <c r="N315" s="45">
        <f t="shared" si="212"/>
        <v>5145.9468164016371</v>
      </c>
      <c r="O315" s="46">
        <f t="shared" si="213"/>
        <v>37977087.50504408</v>
      </c>
      <c r="P315" s="47">
        <f t="shared" si="214"/>
        <v>6949.4308943089427</v>
      </c>
      <c r="Q315" s="42">
        <v>51286800</v>
      </c>
      <c r="R315" s="48">
        <f t="shared" si="205"/>
        <v>0.74048463747092974</v>
      </c>
      <c r="S315" s="49"/>
      <c r="U315" s="112"/>
    </row>
    <row r="316" spans="1:24" x14ac:dyDescent="0.3">
      <c r="A316" s="40" t="str">
        <f>VLOOKUP(B316,Grupos!$A$2:$B$619,2,FALSE)</f>
        <v>BREAKERS</v>
      </c>
      <c r="B316" s="41" t="s">
        <v>489</v>
      </c>
      <c r="C316" s="41" t="s">
        <v>490</v>
      </c>
      <c r="D316" s="42">
        <v>1416</v>
      </c>
      <c r="E316" s="43">
        <v>5145.9468164016371</v>
      </c>
      <c r="F316" s="43"/>
      <c r="G316" s="126">
        <f t="shared" si="206"/>
        <v>5145.9468164016371</v>
      </c>
      <c r="H316" s="127">
        <f t="shared" si="207"/>
        <v>7286660.692024718</v>
      </c>
      <c r="I316" s="128">
        <f t="shared" si="208"/>
        <v>0</v>
      </c>
      <c r="J316" s="128">
        <f t="shared" si="209"/>
        <v>7286660.692024718</v>
      </c>
      <c r="K316" s="44">
        <f t="shared" si="210"/>
        <v>2.3983759622296329E-2</v>
      </c>
      <c r="L316" s="45"/>
      <c r="M316" s="45">
        <f t="shared" si="211"/>
        <v>0</v>
      </c>
      <c r="N316" s="45">
        <f t="shared" si="212"/>
        <v>5145.9468164016371</v>
      </c>
      <c r="O316" s="46">
        <f t="shared" si="213"/>
        <v>7286660.692024718</v>
      </c>
      <c r="P316" s="47">
        <f t="shared" si="214"/>
        <v>6947.4576271186443</v>
      </c>
      <c r="Q316" s="42">
        <v>9837600</v>
      </c>
      <c r="R316" s="48">
        <f t="shared" si="205"/>
        <v>0.74069495527615659</v>
      </c>
      <c r="S316" s="49"/>
      <c r="U316" s="112"/>
    </row>
    <row r="317" spans="1:24" x14ac:dyDescent="0.3">
      <c r="A317" s="40" t="str">
        <f>VLOOKUP(B317,Grupos!$A$2:$B$619,2,FALSE)</f>
        <v>BREAKERS</v>
      </c>
      <c r="B317" s="41" t="s">
        <v>491</v>
      </c>
      <c r="C317" s="41" t="s">
        <v>492</v>
      </c>
      <c r="D317" s="42">
        <v>1980</v>
      </c>
      <c r="E317" s="43">
        <v>5212.9901566926656</v>
      </c>
      <c r="F317" s="43"/>
      <c r="G317" s="126">
        <f t="shared" si="206"/>
        <v>5212.9901566926656</v>
      </c>
      <c r="H317" s="127">
        <f t="shared" si="207"/>
        <v>10321720.510251477</v>
      </c>
      <c r="I317" s="128">
        <f t="shared" si="208"/>
        <v>0</v>
      </c>
      <c r="J317" s="128">
        <f t="shared" si="209"/>
        <v>10321720.510251477</v>
      </c>
      <c r="K317" s="44">
        <f t="shared" si="210"/>
        <v>3.3973540702580789E-2</v>
      </c>
      <c r="L317" s="45"/>
      <c r="M317" s="45">
        <f t="shared" si="211"/>
        <v>0</v>
      </c>
      <c r="N317" s="45">
        <f t="shared" si="212"/>
        <v>5212.9901566926656</v>
      </c>
      <c r="O317" s="46">
        <f t="shared" si="213"/>
        <v>10321720.510251477</v>
      </c>
      <c r="P317" s="47">
        <f t="shared" si="214"/>
        <v>6948.484848484848</v>
      </c>
      <c r="Q317" s="42">
        <v>13758000</v>
      </c>
      <c r="R317" s="48">
        <f t="shared" si="205"/>
        <v>0.75023408273378955</v>
      </c>
      <c r="S317" s="49"/>
      <c r="U317" s="112"/>
    </row>
    <row r="318" spans="1:24" x14ac:dyDescent="0.3">
      <c r="A318" s="40" t="str">
        <f>VLOOKUP(B318,Grupos!$A$2:$B$619,2,FALSE)</f>
        <v>BREAKERS</v>
      </c>
      <c r="B318" s="41" t="s">
        <v>493</v>
      </c>
      <c r="C318" s="41" t="s">
        <v>494</v>
      </c>
      <c r="D318" s="42">
        <v>1440</v>
      </c>
      <c r="E318" s="43">
        <v>5470.1009465686693</v>
      </c>
      <c r="F318" s="43"/>
      <c r="G318" s="126">
        <f t="shared" si="206"/>
        <v>5470.1009465686693</v>
      </c>
      <c r="H318" s="127">
        <f t="shared" si="207"/>
        <v>7876945.3630588837</v>
      </c>
      <c r="I318" s="128">
        <f t="shared" si="208"/>
        <v>0</v>
      </c>
      <c r="J318" s="128">
        <f t="shared" si="209"/>
        <v>7876945.3630588837</v>
      </c>
      <c r="K318" s="44">
        <f t="shared" si="210"/>
        <v>2.5926658606779694E-2</v>
      </c>
      <c r="L318" s="45"/>
      <c r="M318" s="45">
        <f t="shared" si="211"/>
        <v>0</v>
      </c>
      <c r="N318" s="45">
        <f t="shared" si="212"/>
        <v>5470.1009465686693</v>
      </c>
      <c r="O318" s="46">
        <f t="shared" si="213"/>
        <v>7876945.3630588837</v>
      </c>
      <c r="P318" s="47">
        <f t="shared" si="214"/>
        <v>6975.416666666667</v>
      </c>
      <c r="Q318" s="42">
        <v>10044600</v>
      </c>
      <c r="R318" s="48">
        <f t="shared" si="205"/>
        <v>0.78419701760735949</v>
      </c>
      <c r="S318" s="49"/>
      <c r="U318" s="112"/>
    </row>
    <row r="319" spans="1:24" x14ac:dyDescent="0.3">
      <c r="A319" s="40" t="str">
        <f>VLOOKUP(B319,Grupos!$A$2:$B$619,2,FALSE)</f>
        <v>BREAKERS</v>
      </c>
      <c r="B319" s="41" t="s">
        <v>495</v>
      </c>
      <c r="C319" s="41" t="s">
        <v>496</v>
      </c>
      <c r="D319" s="42">
        <v>1128</v>
      </c>
      <c r="E319" s="43">
        <v>5541.3674893977159</v>
      </c>
      <c r="F319" s="43"/>
      <c r="G319" s="126">
        <f t="shared" si="206"/>
        <v>5541.3674893977159</v>
      </c>
      <c r="H319" s="127">
        <f t="shared" si="207"/>
        <v>6250662.5280406233</v>
      </c>
      <c r="I319" s="128">
        <f t="shared" si="208"/>
        <v>0</v>
      </c>
      <c r="J319" s="128">
        <f t="shared" si="209"/>
        <v>6250662.5280406233</v>
      </c>
      <c r="K319" s="44">
        <f t="shared" si="210"/>
        <v>2.0573812050381782E-2</v>
      </c>
      <c r="L319" s="45"/>
      <c r="M319" s="45">
        <f t="shared" si="211"/>
        <v>0</v>
      </c>
      <c r="N319" s="45">
        <f t="shared" si="212"/>
        <v>5541.3674893977159</v>
      </c>
      <c r="O319" s="46">
        <f t="shared" si="213"/>
        <v>6250662.5280406233</v>
      </c>
      <c r="P319" s="47">
        <f t="shared" si="214"/>
        <v>6934.5744680851067</v>
      </c>
      <c r="Q319" s="42">
        <v>7822200</v>
      </c>
      <c r="R319" s="48">
        <f t="shared" si="205"/>
        <v>0.7990926501547676</v>
      </c>
      <c r="S319" s="49"/>
      <c r="U319" s="112"/>
    </row>
    <row r="320" spans="1:24" x14ac:dyDescent="0.3">
      <c r="A320" s="40" t="str">
        <f>VLOOKUP(B320,Grupos!$A$2:$B$619,2,FALSE)</f>
        <v>BREAKERS</v>
      </c>
      <c r="B320" s="41" t="s">
        <v>497</v>
      </c>
      <c r="C320" s="41" t="s">
        <v>498</v>
      </c>
      <c r="D320" s="42">
        <v>312</v>
      </c>
      <c r="E320" s="43">
        <v>6052.9657142857141</v>
      </c>
      <c r="F320" s="43"/>
      <c r="G320" s="126">
        <f t="shared" si="206"/>
        <v>6052.9657142857141</v>
      </c>
      <c r="H320" s="127">
        <f t="shared" si="207"/>
        <v>1888525.3028571429</v>
      </c>
      <c r="I320" s="128">
        <f t="shared" si="208"/>
        <v>0</v>
      </c>
      <c r="J320" s="128">
        <f t="shared" si="209"/>
        <v>1888525.3028571429</v>
      </c>
      <c r="K320" s="44">
        <f t="shared" si="210"/>
        <v>6.2160074166654278E-3</v>
      </c>
      <c r="L320" s="45"/>
      <c r="M320" s="45">
        <f t="shared" si="211"/>
        <v>0</v>
      </c>
      <c r="N320" s="45">
        <f t="shared" si="212"/>
        <v>6052.9657142857141</v>
      </c>
      <c r="O320" s="46">
        <f t="shared" si="213"/>
        <v>1888525.3028571429</v>
      </c>
      <c r="P320" s="47">
        <f t="shared" si="214"/>
        <v>6990.3846153846152</v>
      </c>
      <c r="Q320" s="42">
        <v>2181000</v>
      </c>
      <c r="R320" s="48">
        <f t="shared" si="205"/>
        <v>0.8658988091963058</v>
      </c>
      <c r="S320" s="49"/>
      <c r="U320" s="112"/>
    </row>
    <row r="321" spans="1:21" x14ac:dyDescent="0.3">
      <c r="A321" s="40" t="str">
        <f>VLOOKUP(B321,Grupos!$A$2:$B$619,2,FALSE)</f>
        <v>BREAKERS</v>
      </c>
      <c r="B321" s="41" t="s">
        <v>499</v>
      </c>
      <c r="C321" s="41" t="s">
        <v>500</v>
      </c>
      <c r="D321" s="42">
        <v>252</v>
      </c>
      <c r="E321" s="43">
        <v>5541.367489397715</v>
      </c>
      <c r="F321" s="43"/>
      <c r="G321" s="126">
        <f t="shared" si="206"/>
        <v>5541.367489397715</v>
      </c>
      <c r="H321" s="127">
        <f t="shared" si="207"/>
        <v>1396424.6073282242</v>
      </c>
      <c r="I321" s="128">
        <f t="shared" si="208"/>
        <v>0</v>
      </c>
      <c r="J321" s="128">
        <f t="shared" si="209"/>
        <v>1396424.6073282242</v>
      </c>
      <c r="K321" s="44">
        <f t="shared" si="210"/>
        <v>4.5962771601916743E-3</v>
      </c>
      <c r="L321" s="45"/>
      <c r="M321" s="45">
        <f t="shared" si="211"/>
        <v>0</v>
      </c>
      <c r="N321" s="45">
        <f t="shared" si="212"/>
        <v>5541.367489397715</v>
      </c>
      <c r="O321" s="46">
        <f t="shared" si="213"/>
        <v>1396424.6073282242</v>
      </c>
      <c r="P321" s="47">
        <f t="shared" si="214"/>
        <v>6916.666666666667</v>
      </c>
      <c r="Q321" s="42">
        <v>1743000</v>
      </c>
      <c r="R321" s="48">
        <f t="shared" si="205"/>
        <v>0.80116156473219979</v>
      </c>
      <c r="S321" s="49"/>
      <c r="U321" s="112"/>
    </row>
    <row r="322" spans="1:21" x14ac:dyDescent="0.3">
      <c r="A322" s="40" t="str">
        <f>VLOOKUP(B322,Grupos!$A$2:$B$619,2,FALSE)</f>
        <v>BREAKERS</v>
      </c>
      <c r="B322" s="41" t="s">
        <v>501</v>
      </c>
      <c r="C322" s="41" t="s">
        <v>502</v>
      </c>
      <c r="D322" s="42">
        <v>96</v>
      </c>
      <c r="E322" s="43">
        <v>6066.47</v>
      </c>
      <c r="F322" s="43"/>
      <c r="G322" s="126">
        <f t="shared" si="206"/>
        <v>6066.47</v>
      </c>
      <c r="H322" s="127">
        <f t="shared" si="207"/>
        <v>582381.12</v>
      </c>
      <c r="I322" s="128">
        <f t="shared" si="208"/>
        <v>0</v>
      </c>
      <c r="J322" s="128">
        <f t="shared" si="209"/>
        <v>582381.12</v>
      </c>
      <c r="K322" s="44">
        <f t="shared" si="210"/>
        <v>1.9168847543472704E-3</v>
      </c>
      <c r="L322" s="45"/>
      <c r="M322" s="45">
        <f t="shared" si="211"/>
        <v>0</v>
      </c>
      <c r="N322" s="45">
        <f t="shared" si="212"/>
        <v>6066.47</v>
      </c>
      <c r="O322" s="46">
        <f t="shared" si="213"/>
        <v>582381.12</v>
      </c>
      <c r="P322" s="47">
        <f t="shared" si="214"/>
        <v>7143.75</v>
      </c>
      <c r="Q322" s="42">
        <v>685800</v>
      </c>
      <c r="R322" s="48">
        <f t="shared" si="205"/>
        <v>0.84919965004374454</v>
      </c>
      <c r="S322" s="49"/>
      <c r="U322" s="112"/>
    </row>
    <row r="323" spans="1:21" x14ac:dyDescent="0.3">
      <c r="A323" s="40" t="str">
        <f>VLOOKUP(B323,Grupos!$A$2:$B$619,2,FALSE)</f>
        <v>BREAKERS</v>
      </c>
      <c r="B323" s="41" t="s">
        <v>503</v>
      </c>
      <c r="C323" s="41" t="s">
        <v>504</v>
      </c>
      <c r="D323" s="42">
        <v>156</v>
      </c>
      <c r="E323" s="43">
        <v>6093.0433333333331</v>
      </c>
      <c r="F323" s="43"/>
      <c r="G323" s="126">
        <f t="shared" si="206"/>
        <v>6093.0433333333331</v>
      </c>
      <c r="H323" s="127">
        <f t="shared" si="207"/>
        <v>950514.76</v>
      </c>
      <c r="I323" s="128">
        <f t="shared" si="208"/>
        <v>0</v>
      </c>
      <c r="J323" s="128">
        <f t="shared" si="209"/>
        <v>950514.76</v>
      </c>
      <c r="K323" s="44">
        <f t="shared" si="210"/>
        <v>3.1285822799785382E-3</v>
      </c>
      <c r="L323" s="45"/>
      <c r="M323" s="45">
        <f t="shared" si="211"/>
        <v>0</v>
      </c>
      <c r="N323" s="45">
        <f t="shared" si="212"/>
        <v>6093.0433333333331</v>
      </c>
      <c r="O323" s="46">
        <f t="shared" si="213"/>
        <v>950514.76</v>
      </c>
      <c r="P323" s="47">
        <f t="shared" si="214"/>
        <v>6950</v>
      </c>
      <c r="Q323" s="42">
        <v>1084200</v>
      </c>
      <c r="R323" s="48">
        <f t="shared" si="205"/>
        <v>0.87669688249400479</v>
      </c>
      <c r="S323" s="49"/>
      <c r="U323" s="112"/>
    </row>
    <row r="324" spans="1:21" x14ac:dyDescent="0.3">
      <c r="A324" s="40" t="str">
        <f>VLOOKUP(B324,Grupos!$A$2:$B$619,2,FALSE)</f>
        <v>BREAKERS</v>
      </c>
      <c r="B324" s="41" t="s">
        <v>505</v>
      </c>
      <c r="C324" s="41" t="s">
        <v>506</v>
      </c>
      <c r="D324" s="42">
        <v>54</v>
      </c>
      <c r="E324" s="43">
        <v>11626.752</v>
      </c>
      <c r="F324" s="43"/>
      <c r="G324" s="126">
        <f t="shared" si="206"/>
        <v>11626.752</v>
      </c>
      <c r="H324" s="127">
        <f t="shared" si="207"/>
        <v>627844.60800000001</v>
      </c>
      <c r="I324" s="128">
        <f t="shared" si="208"/>
        <v>0</v>
      </c>
      <c r="J324" s="128">
        <f t="shared" si="209"/>
        <v>627844.60800000001</v>
      </c>
      <c r="K324" s="44">
        <f t="shared" si="210"/>
        <v>2.0665260528609482E-3</v>
      </c>
      <c r="L324" s="45"/>
      <c r="M324" s="45">
        <f t="shared" si="211"/>
        <v>0</v>
      </c>
      <c r="N324" s="45">
        <f t="shared" si="212"/>
        <v>11626.752</v>
      </c>
      <c r="O324" s="46">
        <f t="shared" si="213"/>
        <v>627844.60800000001</v>
      </c>
      <c r="P324" s="47">
        <f t="shared" si="214"/>
        <v>15222.222222222223</v>
      </c>
      <c r="Q324" s="42">
        <v>822000</v>
      </c>
      <c r="R324" s="48">
        <f t="shared" si="205"/>
        <v>0.76380122627737224</v>
      </c>
      <c r="S324" s="49"/>
      <c r="U324" s="112"/>
    </row>
    <row r="325" spans="1:21" x14ac:dyDescent="0.3">
      <c r="A325" s="40" t="str">
        <f>VLOOKUP(B325,Grupos!$A$2:$B$619,2,FALSE)</f>
        <v>BREAKERS</v>
      </c>
      <c r="B325" s="41" t="s">
        <v>507</v>
      </c>
      <c r="C325" s="41" t="s">
        <v>1071</v>
      </c>
      <c r="D325" s="42">
        <v>12</v>
      </c>
      <c r="E325" s="43">
        <v>11648.010689655173</v>
      </c>
      <c r="F325" s="43"/>
      <c r="G325" s="126">
        <f t="shared" si="206"/>
        <v>11648.010689655173</v>
      </c>
      <c r="H325" s="127">
        <f t="shared" si="207"/>
        <v>139776.12827586208</v>
      </c>
      <c r="I325" s="128">
        <f t="shared" si="208"/>
        <v>0</v>
      </c>
      <c r="J325" s="128">
        <f t="shared" si="209"/>
        <v>139776.12827586208</v>
      </c>
      <c r="K325" s="44">
        <f t="shared" si="210"/>
        <v>4.6006767752651122E-4</v>
      </c>
      <c r="L325" s="45"/>
      <c r="M325" s="45">
        <f t="shared" si="211"/>
        <v>0</v>
      </c>
      <c r="N325" s="45">
        <f t="shared" si="212"/>
        <v>11648.010689655173</v>
      </c>
      <c r="O325" s="46">
        <f t="shared" si="213"/>
        <v>139776.12827586208</v>
      </c>
      <c r="P325" s="47">
        <f t="shared" si="214"/>
        <v>15500</v>
      </c>
      <c r="Q325" s="42">
        <v>186000</v>
      </c>
      <c r="R325" s="48">
        <f t="shared" si="205"/>
        <v>0.75148456062291435</v>
      </c>
      <c r="S325" s="49"/>
      <c r="U325" s="112"/>
    </row>
    <row r="326" spans="1:21" x14ac:dyDescent="0.3">
      <c r="A326" s="40" t="str">
        <f>VLOOKUP(B326,Grupos!$A$2:$B$619,2,FALSE)</f>
        <v>BREAKERS</v>
      </c>
      <c r="B326" s="41" t="s">
        <v>508</v>
      </c>
      <c r="C326" s="41" t="s">
        <v>509</v>
      </c>
      <c r="D326" s="42">
        <v>2040</v>
      </c>
      <c r="E326" s="43">
        <v>10291.893632803274</v>
      </c>
      <c r="F326" s="43"/>
      <c r="G326" s="126">
        <f t="shared" si="206"/>
        <v>10291.893632803274</v>
      </c>
      <c r="H326" s="127">
        <f t="shared" si="207"/>
        <v>20995463.010918681</v>
      </c>
      <c r="I326" s="128">
        <f t="shared" si="208"/>
        <v>0</v>
      </c>
      <c r="J326" s="128">
        <f t="shared" si="209"/>
        <v>20995463.010918681</v>
      </c>
      <c r="K326" s="44">
        <f t="shared" si="210"/>
        <v>6.9105748064243661E-2</v>
      </c>
      <c r="L326" s="45"/>
      <c r="M326" s="45">
        <f t="shared" si="211"/>
        <v>0</v>
      </c>
      <c r="N326" s="45">
        <f t="shared" si="212"/>
        <v>10291.893632803274</v>
      </c>
      <c r="O326" s="46">
        <f t="shared" si="213"/>
        <v>20995463.010918681</v>
      </c>
      <c r="P326" s="47">
        <f t="shared" si="214"/>
        <v>15068.970588235294</v>
      </c>
      <c r="Q326" s="42">
        <v>30740700</v>
      </c>
      <c r="R326" s="48">
        <f t="shared" si="205"/>
        <v>0.68298584648100669</v>
      </c>
      <c r="S326" s="49"/>
      <c r="U326" s="112"/>
    </row>
    <row r="327" spans="1:21" x14ac:dyDescent="0.3">
      <c r="A327" s="40" t="str">
        <f>VLOOKUP(B327,Grupos!$A$2:$B$619,2,FALSE)</f>
        <v>BREAKERS</v>
      </c>
      <c r="B327" s="41" t="s">
        <v>510</v>
      </c>
      <c r="C327" s="41" t="s">
        <v>511</v>
      </c>
      <c r="D327" s="42">
        <v>1410</v>
      </c>
      <c r="E327" s="43">
        <v>10425.980313385331</v>
      </c>
      <c r="F327" s="43"/>
      <c r="G327" s="126">
        <f t="shared" si="206"/>
        <v>10425.980313385331</v>
      </c>
      <c r="H327" s="127">
        <f t="shared" si="207"/>
        <v>14700632.241873316</v>
      </c>
      <c r="I327" s="128">
        <f t="shared" si="208"/>
        <v>0</v>
      </c>
      <c r="J327" s="128">
        <f t="shared" si="209"/>
        <v>14700632.241873316</v>
      </c>
      <c r="K327" s="44">
        <f t="shared" si="210"/>
        <v>4.8386557970342331E-2</v>
      </c>
      <c r="L327" s="45"/>
      <c r="M327" s="45">
        <f t="shared" si="211"/>
        <v>0</v>
      </c>
      <c r="N327" s="45">
        <f t="shared" si="212"/>
        <v>10425.980313385331</v>
      </c>
      <c r="O327" s="46">
        <f t="shared" si="213"/>
        <v>14700632.241873316</v>
      </c>
      <c r="P327" s="47">
        <f t="shared" si="214"/>
        <v>14643.829787234043</v>
      </c>
      <c r="Q327" s="42">
        <v>20647800</v>
      </c>
      <c r="R327" s="48">
        <f t="shared" si="205"/>
        <v>0.7119708754382218</v>
      </c>
      <c r="S327" s="49"/>
      <c r="U327" s="112"/>
    </row>
    <row r="328" spans="1:21" x14ac:dyDescent="0.3">
      <c r="A328" s="40" t="str">
        <f>VLOOKUP(B328,Grupos!$A$2:$B$619,2,FALSE)</f>
        <v>BREAKERS</v>
      </c>
      <c r="B328" s="41" t="s">
        <v>512</v>
      </c>
      <c r="C328" s="41" t="s">
        <v>513</v>
      </c>
      <c r="D328" s="42">
        <v>738</v>
      </c>
      <c r="E328" s="43">
        <v>10291.893632803274</v>
      </c>
      <c r="F328" s="43"/>
      <c r="G328" s="126">
        <f t="shared" si="206"/>
        <v>10291.893632803274</v>
      </c>
      <c r="H328" s="127">
        <f t="shared" si="207"/>
        <v>7595417.5010088161</v>
      </c>
      <c r="I328" s="128">
        <f t="shared" si="208"/>
        <v>0</v>
      </c>
      <c r="J328" s="128">
        <f t="shared" si="209"/>
        <v>7595417.5010088161</v>
      </c>
      <c r="K328" s="44">
        <f t="shared" si="210"/>
        <v>2.5000020623241088E-2</v>
      </c>
      <c r="L328" s="45"/>
      <c r="M328" s="45">
        <f t="shared" si="211"/>
        <v>0</v>
      </c>
      <c r="N328" s="45">
        <f t="shared" si="212"/>
        <v>10291.893632803274</v>
      </c>
      <c r="O328" s="46">
        <f t="shared" si="213"/>
        <v>7595417.5010088161</v>
      </c>
      <c r="P328" s="47">
        <f t="shared" si="214"/>
        <v>14685.772357723577</v>
      </c>
      <c r="Q328" s="42">
        <v>10838100</v>
      </c>
      <c r="R328" s="48">
        <f t="shared" si="205"/>
        <v>0.70080710650472089</v>
      </c>
      <c r="S328" s="49"/>
      <c r="U328" s="112"/>
    </row>
    <row r="329" spans="1:21" x14ac:dyDescent="0.3">
      <c r="A329" s="40" t="str">
        <f>VLOOKUP(B329,Grupos!$A$2:$B$619,2,FALSE)</f>
        <v>BREAKERS</v>
      </c>
      <c r="B329" s="41" t="s">
        <v>514</v>
      </c>
      <c r="C329" s="41" t="s">
        <v>515</v>
      </c>
      <c r="D329" s="42">
        <v>582</v>
      </c>
      <c r="E329" s="43">
        <v>10425.980313385331</v>
      </c>
      <c r="F329" s="43"/>
      <c r="G329" s="126">
        <f t="shared" si="206"/>
        <v>10425.980313385331</v>
      </c>
      <c r="H329" s="127">
        <f t="shared" si="207"/>
        <v>6067920.5423902627</v>
      </c>
      <c r="I329" s="128">
        <f t="shared" si="208"/>
        <v>0</v>
      </c>
      <c r="J329" s="128">
        <f t="shared" si="209"/>
        <v>6067920.5423902627</v>
      </c>
      <c r="K329" s="44">
        <f t="shared" si="210"/>
        <v>1.9972323928183856E-2</v>
      </c>
      <c r="L329" s="45"/>
      <c r="M329" s="45">
        <f t="shared" si="211"/>
        <v>0</v>
      </c>
      <c r="N329" s="45">
        <f t="shared" si="212"/>
        <v>10425.980313385331</v>
      </c>
      <c r="O329" s="46">
        <f t="shared" si="213"/>
        <v>6067920.5423902627</v>
      </c>
      <c r="P329" s="47">
        <f t="shared" si="214"/>
        <v>14671.134020618556</v>
      </c>
      <c r="Q329" s="42">
        <v>8538600</v>
      </c>
      <c r="R329" s="48">
        <f t="shared" si="205"/>
        <v>0.710645836833938</v>
      </c>
      <c r="S329" s="49"/>
      <c r="U329" s="112"/>
    </row>
    <row r="330" spans="1:21" x14ac:dyDescent="0.3">
      <c r="A330" s="40" t="str">
        <f>VLOOKUP(B330,Grupos!$A$2:$B$619,2,FALSE)</f>
        <v>BREAKERS</v>
      </c>
      <c r="B330" s="41" t="s">
        <v>516</v>
      </c>
      <c r="C330" s="41" t="s">
        <v>517</v>
      </c>
      <c r="D330" s="42">
        <v>720</v>
      </c>
      <c r="E330" s="43">
        <v>10940.201893137339</v>
      </c>
      <c r="F330" s="43"/>
      <c r="G330" s="126">
        <f t="shared" si="206"/>
        <v>10940.201893137339</v>
      </c>
      <c r="H330" s="127">
        <f t="shared" si="207"/>
        <v>7876945.3630588837</v>
      </c>
      <c r="I330" s="128">
        <f t="shared" si="208"/>
        <v>0</v>
      </c>
      <c r="J330" s="128">
        <f t="shared" si="209"/>
        <v>7876945.3630588837</v>
      </c>
      <c r="K330" s="44">
        <f t="shared" si="210"/>
        <v>2.5926658606779694E-2</v>
      </c>
      <c r="L330" s="45"/>
      <c r="M330" s="45">
        <f t="shared" si="211"/>
        <v>0</v>
      </c>
      <c r="N330" s="45">
        <f t="shared" si="212"/>
        <v>10940.201893137339</v>
      </c>
      <c r="O330" s="46">
        <f t="shared" si="213"/>
        <v>7876945.3630588837</v>
      </c>
      <c r="P330" s="47">
        <f t="shared" si="214"/>
        <v>14556.666666666666</v>
      </c>
      <c r="Q330" s="42">
        <v>10480800</v>
      </c>
      <c r="R330" s="48">
        <f t="shared" si="205"/>
        <v>0.75155955299775623</v>
      </c>
      <c r="S330" s="49"/>
      <c r="U330" s="112"/>
    </row>
    <row r="331" spans="1:21" x14ac:dyDescent="0.3">
      <c r="A331" s="40" t="str">
        <f>VLOOKUP(B331,Grupos!$A$2:$B$619,2,FALSE)</f>
        <v>BREAKERS</v>
      </c>
      <c r="B331" s="41" t="s">
        <v>518</v>
      </c>
      <c r="C331" s="41" t="s">
        <v>519</v>
      </c>
      <c r="D331" s="42">
        <v>1236</v>
      </c>
      <c r="E331" s="43">
        <v>12071.710467310158</v>
      </c>
      <c r="F331" s="43"/>
      <c r="G331" s="126">
        <f t="shared" si="206"/>
        <v>12071.710467310158</v>
      </c>
      <c r="H331" s="127">
        <f t="shared" si="207"/>
        <v>14920634.137595356</v>
      </c>
      <c r="I331" s="128">
        <f t="shared" si="208"/>
        <v>0</v>
      </c>
      <c r="J331" s="128">
        <f t="shared" si="209"/>
        <v>14920634.137595356</v>
      </c>
      <c r="K331" s="44">
        <f t="shared" si="210"/>
        <v>4.9110685634091246E-2</v>
      </c>
      <c r="L331" s="45"/>
      <c r="M331" s="45">
        <f t="shared" si="211"/>
        <v>0</v>
      </c>
      <c r="N331" s="45">
        <f t="shared" si="212"/>
        <v>12071.710467310158</v>
      </c>
      <c r="O331" s="46">
        <f t="shared" si="213"/>
        <v>14920634.137595356</v>
      </c>
      <c r="P331" s="47">
        <f t="shared" si="214"/>
        <v>14666.26213592233</v>
      </c>
      <c r="Q331" s="42">
        <v>18127500</v>
      </c>
      <c r="R331" s="48">
        <f t="shared" si="205"/>
        <v>0.8230938705058809</v>
      </c>
      <c r="S331" s="49"/>
      <c r="U331" s="112"/>
    </row>
    <row r="332" spans="1:21" x14ac:dyDescent="0.3">
      <c r="A332" s="40" t="str">
        <f>VLOOKUP(B332,Grupos!$A$2:$B$619,2,FALSE)</f>
        <v>BREAKERS</v>
      </c>
      <c r="B332" s="41" t="s">
        <v>520</v>
      </c>
      <c r="C332" s="41" t="s">
        <v>521</v>
      </c>
      <c r="D332" s="42">
        <v>252</v>
      </c>
      <c r="E332" s="43">
        <v>11981.988311688312</v>
      </c>
      <c r="F332" s="43"/>
      <c r="G332" s="126">
        <f t="shared" si="206"/>
        <v>11981.988311688312</v>
      </c>
      <c r="H332" s="127">
        <f t="shared" si="207"/>
        <v>3019461.0545454547</v>
      </c>
      <c r="I332" s="128">
        <f t="shared" si="208"/>
        <v>0</v>
      </c>
      <c r="J332" s="128">
        <f t="shared" si="209"/>
        <v>3019461.0545454547</v>
      </c>
      <c r="K332" s="44">
        <f t="shared" si="210"/>
        <v>9.9384383576918041E-3</v>
      </c>
      <c r="L332" s="45"/>
      <c r="M332" s="45">
        <f t="shared" si="211"/>
        <v>0</v>
      </c>
      <c r="N332" s="45">
        <f t="shared" si="212"/>
        <v>11981.988311688312</v>
      </c>
      <c r="O332" s="46">
        <f t="shared" si="213"/>
        <v>3019461.0545454547</v>
      </c>
      <c r="P332" s="47">
        <f t="shared" si="214"/>
        <v>14990.476190476191</v>
      </c>
      <c r="Q332" s="42">
        <v>3777600</v>
      </c>
      <c r="R332" s="48">
        <f t="shared" si="205"/>
        <v>0.79930671710754309</v>
      </c>
      <c r="S332" s="49"/>
      <c r="U332" s="112"/>
    </row>
    <row r="333" spans="1:21" x14ac:dyDescent="0.3">
      <c r="A333" s="40" t="str">
        <f>VLOOKUP(B333,Grupos!$A$2:$B$619,2,FALSE)</f>
        <v>BREAKERS</v>
      </c>
      <c r="B333" s="41" t="s">
        <v>522</v>
      </c>
      <c r="C333" s="41" t="s">
        <v>523</v>
      </c>
      <c r="D333" s="42">
        <v>156</v>
      </c>
      <c r="E333" s="43">
        <v>10940.201893137339</v>
      </c>
      <c r="F333" s="43"/>
      <c r="G333" s="126">
        <f t="shared" si="206"/>
        <v>10940.201893137339</v>
      </c>
      <c r="H333" s="127">
        <f t="shared" si="207"/>
        <v>1706671.4953294247</v>
      </c>
      <c r="I333" s="128">
        <f t="shared" si="208"/>
        <v>0</v>
      </c>
      <c r="J333" s="128">
        <f t="shared" si="209"/>
        <v>1706671.4953294247</v>
      </c>
      <c r="K333" s="44">
        <f t="shared" si="210"/>
        <v>5.6174426981356008E-3</v>
      </c>
      <c r="L333" s="45"/>
      <c r="M333" s="45">
        <f t="shared" si="211"/>
        <v>0</v>
      </c>
      <c r="N333" s="45">
        <f t="shared" si="212"/>
        <v>10940.201893137339</v>
      </c>
      <c r="O333" s="46">
        <f t="shared" si="213"/>
        <v>1706671.4953294247</v>
      </c>
      <c r="P333" s="47">
        <f t="shared" si="214"/>
        <v>14857.692307692309</v>
      </c>
      <c r="Q333" s="42">
        <v>2317800</v>
      </c>
      <c r="R333" s="48">
        <f t="shared" si="205"/>
        <v>0.73633251157538382</v>
      </c>
      <c r="S333" s="49"/>
      <c r="U333" s="112"/>
    </row>
    <row r="334" spans="1:21" x14ac:dyDescent="0.3">
      <c r="A334" s="40" t="str">
        <f>VLOOKUP(B334,Grupos!$A$2:$B$619,2,FALSE)</f>
        <v>BREAKERS</v>
      </c>
      <c r="B334" s="41" t="s">
        <v>524</v>
      </c>
      <c r="C334" s="41" t="s">
        <v>525</v>
      </c>
      <c r="D334" s="42">
        <v>42</v>
      </c>
      <c r="E334" s="43">
        <v>12107.165217391304</v>
      </c>
      <c r="F334" s="43"/>
      <c r="G334" s="126">
        <f t="shared" si="206"/>
        <v>12107.165217391304</v>
      </c>
      <c r="H334" s="127">
        <f t="shared" si="207"/>
        <v>508500.93913043477</v>
      </c>
      <c r="I334" s="128">
        <f t="shared" si="208"/>
        <v>0</v>
      </c>
      <c r="J334" s="128">
        <f t="shared" si="209"/>
        <v>508500.93913043477</v>
      </c>
      <c r="K334" s="44">
        <f t="shared" si="210"/>
        <v>1.6737110189808345E-3</v>
      </c>
      <c r="L334" s="45"/>
      <c r="M334" s="45">
        <f t="shared" si="211"/>
        <v>0</v>
      </c>
      <c r="N334" s="45">
        <f t="shared" si="212"/>
        <v>12107.165217391304</v>
      </c>
      <c r="O334" s="46">
        <f t="shared" si="213"/>
        <v>508500.93913043477</v>
      </c>
      <c r="P334" s="47">
        <f t="shared" si="214"/>
        <v>15042.857142857143</v>
      </c>
      <c r="Q334" s="42">
        <v>631800</v>
      </c>
      <c r="R334" s="48">
        <f t="shared" si="205"/>
        <v>0.80484479127957387</v>
      </c>
      <c r="S334" s="49"/>
      <c r="U334" s="112"/>
    </row>
    <row r="335" spans="1:21" x14ac:dyDescent="0.3">
      <c r="A335" s="40" t="str">
        <f>VLOOKUP(B335,Grupos!$A$2:$B$619,2,FALSE)</f>
        <v>BREAKERS</v>
      </c>
      <c r="B335" s="41" t="s">
        <v>526</v>
      </c>
      <c r="C335" s="41" t="s">
        <v>527</v>
      </c>
      <c r="D335" s="42">
        <v>216</v>
      </c>
      <c r="E335" s="43">
        <v>10940.201893137339</v>
      </c>
      <c r="F335" s="43"/>
      <c r="G335" s="126">
        <f t="shared" si="206"/>
        <v>10940.201893137339</v>
      </c>
      <c r="H335" s="127">
        <f t="shared" si="207"/>
        <v>2363083.6089176652</v>
      </c>
      <c r="I335" s="128">
        <f t="shared" si="208"/>
        <v>0</v>
      </c>
      <c r="J335" s="128">
        <f t="shared" si="209"/>
        <v>2363083.6089176652</v>
      </c>
      <c r="K335" s="44">
        <f t="shared" si="210"/>
        <v>7.777997582033909E-3</v>
      </c>
      <c r="L335" s="45"/>
      <c r="M335" s="45">
        <f t="shared" si="211"/>
        <v>0</v>
      </c>
      <c r="N335" s="45">
        <f t="shared" si="212"/>
        <v>10940.201893137339</v>
      </c>
      <c r="O335" s="46">
        <f t="shared" si="213"/>
        <v>2363083.6089176652</v>
      </c>
      <c r="P335" s="47">
        <f t="shared" si="214"/>
        <v>14956.944444444445</v>
      </c>
      <c r="Q335" s="42">
        <v>3230700</v>
      </c>
      <c r="R335" s="48">
        <f t="shared" si="205"/>
        <v>0.7314463147050686</v>
      </c>
      <c r="S335" s="49"/>
      <c r="U335" s="112"/>
    </row>
    <row r="336" spans="1:21" x14ac:dyDescent="0.3">
      <c r="A336" s="40" t="str">
        <f>VLOOKUP(B336,Grupos!$A$2:$B$619,2,FALSE)</f>
        <v>BREAKERS</v>
      </c>
      <c r="B336" s="41" t="s">
        <v>528</v>
      </c>
      <c r="C336" s="41" t="s">
        <v>529</v>
      </c>
      <c r="D336" s="42">
        <v>8</v>
      </c>
      <c r="E336" s="43">
        <v>17348.938399999999</v>
      </c>
      <c r="F336" s="43"/>
      <c r="G336" s="126">
        <f t="shared" si="206"/>
        <v>17348.938399999999</v>
      </c>
      <c r="H336" s="127">
        <f t="shared" si="207"/>
        <v>138791.50719999999</v>
      </c>
      <c r="I336" s="128">
        <f t="shared" si="208"/>
        <v>0</v>
      </c>
      <c r="J336" s="128">
        <f t="shared" si="209"/>
        <v>138791.50719999999</v>
      </c>
      <c r="K336" s="44">
        <f t="shared" si="210"/>
        <v>4.5682683563739047E-4</v>
      </c>
      <c r="L336" s="45"/>
      <c r="M336" s="45">
        <f t="shared" si="211"/>
        <v>0</v>
      </c>
      <c r="N336" s="45">
        <f t="shared" si="212"/>
        <v>17348.938399999999</v>
      </c>
      <c r="O336" s="46">
        <f t="shared" si="213"/>
        <v>138791.50719999999</v>
      </c>
      <c r="P336" s="47">
        <f t="shared" si="214"/>
        <v>23900</v>
      </c>
      <c r="Q336" s="42">
        <v>191200</v>
      </c>
      <c r="R336" s="48">
        <f t="shared" si="205"/>
        <v>0.72589700418410041</v>
      </c>
      <c r="S336" s="49"/>
      <c r="U336" s="112"/>
    </row>
    <row r="337" spans="1:21" x14ac:dyDescent="0.3">
      <c r="A337" s="40" t="str">
        <f>VLOOKUP(B337,Grupos!$A$2:$B$619,2,FALSE)</f>
        <v>BREAKERS</v>
      </c>
      <c r="B337" s="41" t="s">
        <v>530</v>
      </c>
      <c r="C337" s="41" t="s">
        <v>531</v>
      </c>
      <c r="D337" s="42">
        <v>176</v>
      </c>
      <c r="E337" s="43">
        <v>15437.840449204912</v>
      </c>
      <c r="F337" s="43"/>
      <c r="G337" s="126">
        <f t="shared" si="206"/>
        <v>15437.840449204912</v>
      </c>
      <c r="H337" s="127">
        <f t="shared" si="207"/>
        <v>2717059.9190600645</v>
      </c>
      <c r="I337" s="128">
        <f t="shared" si="208"/>
        <v>0</v>
      </c>
      <c r="J337" s="128">
        <f t="shared" si="209"/>
        <v>2717059.9190600645</v>
      </c>
      <c r="K337" s="44">
        <f t="shared" si="210"/>
        <v>8.9430968083138856E-3</v>
      </c>
      <c r="L337" s="45"/>
      <c r="M337" s="45">
        <f t="shared" si="211"/>
        <v>0</v>
      </c>
      <c r="N337" s="45">
        <f t="shared" si="212"/>
        <v>15437.840449204912</v>
      </c>
      <c r="O337" s="46">
        <f t="shared" si="213"/>
        <v>2717059.9190600645</v>
      </c>
      <c r="P337" s="47">
        <f t="shared" si="214"/>
        <v>24136.363636363636</v>
      </c>
      <c r="Q337" s="42">
        <v>4248000</v>
      </c>
      <c r="R337" s="48">
        <f t="shared" si="205"/>
        <v>0.63960920881828265</v>
      </c>
      <c r="S337" s="49"/>
      <c r="U337" s="112"/>
    </row>
    <row r="338" spans="1:21" x14ac:dyDescent="0.3">
      <c r="A338" s="40" t="str">
        <f>VLOOKUP(B338,Grupos!$A$2:$B$619,2,FALSE)</f>
        <v>BREAKERS</v>
      </c>
      <c r="B338" s="41" t="s">
        <v>532</v>
      </c>
      <c r="C338" s="41" t="s">
        <v>533</v>
      </c>
      <c r="D338" s="42">
        <v>16</v>
      </c>
      <c r="E338" s="43">
        <v>15638.970470077995</v>
      </c>
      <c r="F338" s="43"/>
      <c r="G338" s="126">
        <f t="shared" si="206"/>
        <v>15638.970470077995</v>
      </c>
      <c r="H338" s="127">
        <f t="shared" si="207"/>
        <v>250223.52752124792</v>
      </c>
      <c r="I338" s="128">
        <f t="shared" si="208"/>
        <v>0</v>
      </c>
      <c r="J338" s="128">
        <f t="shared" si="209"/>
        <v>250223.52752124792</v>
      </c>
      <c r="K338" s="44">
        <f t="shared" si="210"/>
        <v>8.2360098672923116E-4</v>
      </c>
      <c r="L338" s="45"/>
      <c r="M338" s="45">
        <f t="shared" si="211"/>
        <v>0</v>
      </c>
      <c r="N338" s="45">
        <f t="shared" si="212"/>
        <v>15638.970470077995</v>
      </c>
      <c r="O338" s="46">
        <f t="shared" si="213"/>
        <v>250223.52752124792</v>
      </c>
      <c r="P338" s="47">
        <f t="shared" si="214"/>
        <v>23000</v>
      </c>
      <c r="Q338" s="42">
        <v>368000</v>
      </c>
      <c r="R338" s="48">
        <f t="shared" si="205"/>
        <v>0.67995523782947809</v>
      </c>
      <c r="S338" s="49"/>
      <c r="U338" s="112"/>
    </row>
    <row r="339" spans="1:21" x14ac:dyDescent="0.3">
      <c r="A339" s="40" t="str">
        <f>VLOOKUP(B339,Grupos!$A$2:$B$619,2,FALSE)</f>
        <v>BREAKERS</v>
      </c>
      <c r="B339" s="41" t="s">
        <v>534</v>
      </c>
      <c r="C339" s="41" t="s">
        <v>535</v>
      </c>
      <c r="D339" s="42">
        <v>320</v>
      </c>
      <c r="E339" s="43">
        <v>15638.970470077995</v>
      </c>
      <c r="F339" s="43"/>
      <c r="G339" s="126">
        <f t="shared" si="206"/>
        <v>15638.970470077995</v>
      </c>
      <c r="H339" s="127">
        <f t="shared" si="207"/>
        <v>5004470.5504249586</v>
      </c>
      <c r="I339" s="128">
        <f t="shared" si="208"/>
        <v>0</v>
      </c>
      <c r="J339" s="128">
        <f t="shared" si="209"/>
        <v>5004470.5504249586</v>
      </c>
      <c r="K339" s="44">
        <f t="shared" si="210"/>
        <v>1.6472019734584623E-2</v>
      </c>
      <c r="L339" s="45"/>
      <c r="M339" s="45">
        <f t="shared" si="211"/>
        <v>0</v>
      </c>
      <c r="N339" s="45">
        <f t="shared" si="212"/>
        <v>15638.970470077995</v>
      </c>
      <c r="O339" s="46">
        <f t="shared" si="213"/>
        <v>5004470.5504249586</v>
      </c>
      <c r="P339" s="47">
        <f t="shared" si="214"/>
        <v>23966.25</v>
      </c>
      <c r="Q339" s="42">
        <v>7669200</v>
      </c>
      <c r="R339" s="48">
        <f t="shared" si="205"/>
        <v>0.65254140593868437</v>
      </c>
      <c r="S339" s="49"/>
      <c r="U339" s="112"/>
    </row>
    <row r="340" spans="1:21" x14ac:dyDescent="0.3">
      <c r="A340" s="40" t="str">
        <f>VLOOKUP(B340,Grupos!$A$2:$B$619,2,FALSE)</f>
        <v>BREAKERS</v>
      </c>
      <c r="B340" s="41" t="s">
        <v>536</v>
      </c>
      <c r="C340" s="41" t="s">
        <v>537</v>
      </c>
      <c r="D340" s="42">
        <v>20</v>
      </c>
      <c r="E340" s="43">
        <v>15638.970470077995</v>
      </c>
      <c r="F340" s="43"/>
      <c r="G340" s="126">
        <f t="shared" si="206"/>
        <v>15638.970470077995</v>
      </c>
      <c r="H340" s="127">
        <f t="shared" si="207"/>
        <v>312779.40940155991</v>
      </c>
      <c r="I340" s="128">
        <f t="shared" si="208"/>
        <v>0</v>
      </c>
      <c r="J340" s="128">
        <f t="shared" si="209"/>
        <v>312779.40940155991</v>
      </c>
      <c r="K340" s="44">
        <f t="shared" si="210"/>
        <v>1.029501233411539E-3</v>
      </c>
      <c r="L340" s="45"/>
      <c r="M340" s="45">
        <f t="shared" si="211"/>
        <v>0</v>
      </c>
      <c r="N340" s="45">
        <f t="shared" si="212"/>
        <v>15638.970470077995</v>
      </c>
      <c r="O340" s="46">
        <f t="shared" si="213"/>
        <v>312779.40940155991</v>
      </c>
      <c r="P340" s="47">
        <f t="shared" si="214"/>
        <v>23960</v>
      </c>
      <c r="Q340" s="42">
        <v>479200</v>
      </c>
      <c r="R340" s="48">
        <f t="shared" ref="R340:R371" si="215">O340/Q340</f>
        <v>0.65271162229040047</v>
      </c>
      <c r="S340" s="49"/>
      <c r="U340" s="112"/>
    </row>
    <row r="341" spans="1:21" x14ac:dyDescent="0.3">
      <c r="A341" s="40" t="str">
        <f>VLOOKUP(B341,Grupos!$A$2:$B$619,2,FALSE)</f>
        <v>BREAKERS</v>
      </c>
      <c r="B341" s="41" t="s">
        <v>538</v>
      </c>
      <c r="C341" s="41" t="s">
        <v>539</v>
      </c>
      <c r="D341" s="42">
        <v>112</v>
      </c>
      <c r="E341" s="43">
        <v>16410.302839706008</v>
      </c>
      <c r="F341" s="43"/>
      <c r="G341" s="126">
        <f t="shared" si="206"/>
        <v>16410.302839706008</v>
      </c>
      <c r="H341" s="127">
        <f t="shared" si="207"/>
        <v>1837953.9180470728</v>
      </c>
      <c r="I341" s="128">
        <f t="shared" si="208"/>
        <v>0</v>
      </c>
      <c r="J341" s="128">
        <f t="shared" si="209"/>
        <v>1837953.9180470728</v>
      </c>
      <c r="K341" s="44">
        <f t="shared" si="210"/>
        <v>6.0495536749152617E-3</v>
      </c>
      <c r="L341" s="45"/>
      <c r="M341" s="45">
        <f t="shared" si="211"/>
        <v>0</v>
      </c>
      <c r="N341" s="45">
        <f t="shared" si="212"/>
        <v>16410.302839706008</v>
      </c>
      <c r="O341" s="46">
        <f t="shared" si="213"/>
        <v>1837953.9180470728</v>
      </c>
      <c r="P341" s="47">
        <f t="shared" si="214"/>
        <v>24235.714285714286</v>
      </c>
      <c r="Q341" s="42">
        <v>2714400</v>
      </c>
      <c r="R341" s="48">
        <f t="shared" si="215"/>
        <v>0.67711240717914556</v>
      </c>
      <c r="S341" s="49"/>
      <c r="U341" s="112"/>
    </row>
    <row r="342" spans="1:21" x14ac:dyDescent="0.3">
      <c r="A342" s="40" t="str">
        <f>VLOOKUP(B342,Grupos!$A$2:$B$619,2,FALSE)</f>
        <v>BREAKERS</v>
      </c>
      <c r="B342" s="41" t="s">
        <v>540</v>
      </c>
      <c r="C342" s="41" t="s">
        <v>541</v>
      </c>
      <c r="D342" s="42">
        <v>96</v>
      </c>
      <c r="E342" s="43">
        <v>16410.302839706008</v>
      </c>
      <c r="F342" s="43"/>
      <c r="G342" s="126">
        <f t="shared" si="206"/>
        <v>16410.302839706008</v>
      </c>
      <c r="H342" s="127">
        <f t="shared" si="207"/>
        <v>1575389.0726117766</v>
      </c>
      <c r="I342" s="128">
        <f t="shared" si="208"/>
        <v>0</v>
      </c>
      <c r="J342" s="128">
        <f t="shared" si="209"/>
        <v>1575389.0726117766</v>
      </c>
      <c r="K342" s="44">
        <f t="shared" si="210"/>
        <v>5.185331721355939E-3</v>
      </c>
      <c r="L342" s="45"/>
      <c r="M342" s="45">
        <f t="shared" si="211"/>
        <v>0</v>
      </c>
      <c r="N342" s="45">
        <f t="shared" si="212"/>
        <v>16410.302839706008</v>
      </c>
      <c r="O342" s="46">
        <f t="shared" si="213"/>
        <v>1575389.0726117766</v>
      </c>
      <c r="P342" s="47">
        <f t="shared" si="214"/>
        <v>24450</v>
      </c>
      <c r="Q342" s="42">
        <v>2347200</v>
      </c>
      <c r="R342" s="48">
        <f t="shared" si="215"/>
        <v>0.67117803025382439</v>
      </c>
      <c r="S342" s="49"/>
      <c r="U342" s="112"/>
    </row>
    <row r="343" spans="1:21" x14ac:dyDescent="0.3">
      <c r="A343" s="40" t="str">
        <f>VLOOKUP(B343,Grupos!$A$2:$B$619,2,FALSE)</f>
        <v>BREAKERS</v>
      </c>
      <c r="B343" s="41" t="s">
        <v>542</v>
      </c>
      <c r="C343" s="41" t="s">
        <v>543</v>
      </c>
      <c r="D343" s="42">
        <v>124</v>
      </c>
      <c r="E343" s="43">
        <v>16410.302839706012</v>
      </c>
      <c r="F343" s="43"/>
      <c r="G343" s="126">
        <f t="shared" si="206"/>
        <v>16410.302839706012</v>
      </c>
      <c r="H343" s="127">
        <f t="shared" si="207"/>
        <v>2034877.5521235454</v>
      </c>
      <c r="I343" s="128">
        <f t="shared" si="208"/>
        <v>0</v>
      </c>
      <c r="J343" s="128">
        <f t="shared" si="209"/>
        <v>2034877.5521235454</v>
      </c>
      <c r="K343" s="44">
        <f t="shared" si="210"/>
        <v>6.6977201400847562E-3</v>
      </c>
      <c r="L343" s="45"/>
      <c r="M343" s="45">
        <f t="shared" si="211"/>
        <v>0</v>
      </c>
      <c r="N343" s="45">
        <f t="shared" si="212"/>
        <v>16410.302839706012</v>
      </c>
      <c r="O343" s="46">
        <f t="shared" si="213"/>
        <v>2034877.5521235454</v>
      </c>
      <c r="P343" s="47">
        <f t="shared" si="214"/>
        <v>24145.16129032258</v>
      </c>
      <c r="Q343" s="42">
        <v>2994000</v>
      </c>
      <c r="R343" s="48">
        <f t="shared" si="215"/>
        <v>0.6796518210165482</v>
      </c>
      <c r="S343" s="49"/>
      <c r="U343" s="112"/>
    </row>
    <row r="344" spans="1:21" x14ac:dyDescent="0.3">
      <c r="A344" s="40" t="str">
        <f>VLOOKUP(B344,Grupos!$A$2:$B$619,2,FALSE)</f>
        <v>BREAKERS</v>
      </c>
      <c r="B344" s="41" t="s">
        <v>544</v>
      </c>
      <c r="C344" s="41" t="s">
        <v>545</v>
      </c>
      <c r="D344" s="42">
        <v>28</v>
      </c>
      <c r="E344" s="43">
        <v>17765.919433427869</v>
      </c>
      <c r="F344" s="43"/>
      <c r="G344" s="126">
        <f t="shared" ref="G344:G362" si="216">E344+F344</f>
        <v>17765.919433427869</v>
      </c>
      <c r="H344" s="127">
        <f t="shared" ref="H344:H362" si="217">E344*D344</f>
        <v>497445.74413598032</v>
      </c>
      <c r="I344" s="128">
        <f t="shared" ref="I344:I361" si="218">F344*D344</f>
        <v>0</v>
      </c>
      <c r="J344" s="128">
        <f t="shared" ref="J344:J362" si="219">G344*D344</f>
        <v>497445.74413598032</v>
      </c>
      <c r="K344" s="44">
        <f t="shared" ref="K344:K363" si="220">J344/$J$363</f>
        <v>1.6373232756054896E-3</v>
      </c>
      <c r="L344" s="45"/>
      <c r="M344" s="45">
        <f t="shared" ref="M344:M361" si="221">F344*$M$382</f>
        <v>0</v>
      </c>
      <c r="N344" s="45">
        <f t="shared" ref="N344:N362" si="222">G344+L344+M344</f>
        <v>17765.919433427869</v>
      </c>
      <c r="O344" s="46">
        <f t="shared" ref="O344:O362" si="223">N344*D344</f>
        <v>497445.74413598032</v>
      </c>
      <c r="P344" s="47">
        <f t="shared" ref="P344:P361" si="224">Q344/D344</f>
        <v>23285.714285714286</v>
      </c>
      <c r="Q344" s="42">
        <v>652000</v>
      </c>
      <c r="R344" s="48">
        <f t="shared" si="215"/>
        <v>0.76295359530058326</v>
      </c>
      <c r="S344" s="49"/>
      <c r="U344" s="112"/>
    </row>
    <row r="345" spans="1:21" x14ac:dyDescent="0.3">
      <c r="A345" s="40" t="str">
        <f>VLOOKUP(B345,Grupos!$A$2:$B$619,2,FALSE)</f>
        <v>BREAKERS</v>
      </c>
      <c r="B345" s="41" t="s">
        <v>546</v>
      </c>
      <c r="C345" s="41" t="s">
        <v>1072</v>
      </c>
      <c r="D345" s="42">
        <v>68</v>
      </c>
      <c r="E345" s="43">
        <v>16624.102468193145</v>
      </c>
      <c r="F345" s="43"/>
      <c r="G345" s="126">
        <f t="shared" si="216"/>
        <v>16624.102468193145</v>
      </c>
      <c r="H345" s="127">
        <f t="shared" si="217"/>
        <v>1130438.9678371339</v>
      </c>
      <c r="I345" s="128">
        <f t="shared" si="218"/>
        <v>0</v>
      </c>
      <c r="J345" s="128">
        <f t="shared" si="219"/>
        <v>1130438.9678371339</v>
      </c>
      <c r="K345" s="44">
        <f t="shared" si="220"/>
        <v>3.7207957963456407E-3</v>
      </c>
      <c r="L345" s="45"/>
      <c r="M345" s="45">
        <f t="shared" si="221"/>
        <v>0</v>
      </c>
      <c r="N345" s="45">
        <f t="shared" si="222"/>
        <v>16624.102468193145</v>
      </c>
      <c r="O345" s="46">
        <f t="shared" si="223"/>
        <v>1130438.9678371339</v>
      </c>
      <c r="P345" s="47">
        <f t="shared" si="224"/>
        <v>24329.411764705881</v>
      </c>
      <c r="Q345" s="42">
        <v>1654400</v>
      </c>
      <c r="R345" s="48">
        <f t="shared" si="215"/>
        <v>0.68329241286093689</v>
      </c>
      <c r="S345" s="49"/>
      <c r="U345" s="112"/>
    </row>
    <row r="346" spans="1:21" x14ac:dyDescent="0.3">
      <c r="A346" s="40" t="str">
        <f>VLOOKUP(B346,Grupos!$A$2:$B$619,2,FALSE)</f>
        <v>BREAKERS</v>
      </c>
      <c r="B346" s="41" t="s">
        <v>547</v>
      </c>
      <c r="C346" s="41" t="s">
        <v>548</v>
      </c>
      <c r="D346" s="42">
        <v>12</v>
      </c>
      <c r="E346" s="43">
        <v>16624.102468193145</v>
      </c>
      <c r="F346" s="43"/>
      <c r="G346" s="126">
        <f t="shared" si="216"/>
        <v>16624.102468193145</v>
      </c>
      <c r="H346" s="127">
        <f t="shared" si="217"/>
        <v>199489.22961831774</v>
      </c>
      <c r="I346" s="128">
        <f t="shared" si="218"/>
        <v>0</v>
      </c>
      <c r="J346" s="128">
        <f t="shared" si="219"/>
        <v>199489.22961831774</v>
      </c>
      <c r="K346" s="44">
        <f t="shared" si="220"/>
        <v>6.5661102288452487E-4</v>
      </c>
      <c r="L346" s="45"/>
      <c r="M346" s="45">
        <f t="shared" si="221"/>
        <v>0</v>
      </c>
      <c r="N346" s="45">
        <f t="shared" si="222"/>
        <v>16624.102468193145</v>
      </c>
      <c r="O346" s="46">
        <f t="shared" si="223"/>
        <v>199489.22961831774</v>
      </c>
      <c r="P346" s="47">
        <f t="shared" si="224"/>
        <v>25000</v>
      </c>
      <c r="Q346" s="42">
        <v>300000</v>
      </c>
      <c r="R346" s="48">
        <f t="shared" si="215"/>
        <v>0.66496409872772577</v>
      </c>
      <c r="S346" s="49"/>
      <c r="U346" s="112"/>
    </row>
    <row r="347" spans="1:21" x14ac:dyDescent="0.3">
      <c r="A347" s="40" t="str">
        <f>VLOOKUP(B347,Grupos!$A$2:$B$619,2,FALSE)</f>
        <v>BREAKERS</v>
      </c>
      <c r="B347" s="41" t="s">
        <v>779</v>
      </c>
      <c r="C347" s="41" t="s">
        <v>780</v>
      </c>
      <c r="D347" s="42">
        <v>24</v>
      </c>
      <c r="E347" s="43">
        <v>5166.3998982748089</v>
      </c>
      <c r="F347" s="43"/>
      <c r="G347" s="126">
        <f t="shared" si="216"/>
        <v>5166.3998982748089</v>
      </c>
      <c r="H347" s="127">
        <f t="shared" si="217"/>
        <v>123993.59755859541</v>
      </c>
      <c r="I347" s="128">
        <f t="shared" si="218"/>
        <v>0</v>
      </c>
      <c r="J347" s="128">
        <f t="shared" si="219"/>
        <v>123993.59755859541</v>
      </c>
      <c r="K347" s="44">
        <f t="shared" si="220"/>
        <v>4.0812009289851716E-4</v>
      </c>
      <c r="L347" s="45"/>
      <c r="M347" s="45">
        <f t="shared" si="221"/>
        <v>0</v>
      </c>
      <c r="N347" s="45">
        <f t="shared" si="222"/>
        <v>5166.3998982748089</v>
      </c>
      <c r="O347" s="46">
        <f t="shared" si="223"/>
        <v>123993.59755859541</v>
      </c>
      <c r="P347" s="47">
        <f t="shared" si="224"/>
        <v>6700</v>
      </c>
      <c r="Q347" s="42">
        <v>160800</v>
      </c>
      <c r="R347" s="48">
        <f t="shared" si="215"/>
        <v>0.77110446242907593</v>
      </c>
      <c r="S347" s="49"/>
      <c r="U347" s="112"/>
    </row>
    <row r="348" spans="1:21" x14ac:dyDescent="0.3">
      <c r="A348" s="40" t="str">
        <f>VLOOKUP(B348,Grupos!$A$2:$B$619,2,FALSE)</f>
        <v>BREAKERS</v>
      </c>
      <c r="B348" s="41" t="s">
        <v>781</v>
      </c>
      <c r="C348" s="41" t="s">
        <v>782</v>
      </c>
      <c r="D348" s="42">
        <v>336</v>
      </c>
      <c r="E348" s="43">
        <v>5166.3998982748089</v>
      </c>
      <c r="F348" s="43"/>
      <c r="G348" s="126">
        <f t="shared" si="216"/>
        <v>5166.3998982748089</v>
      </c>
      <c r="H348" s="127">
        <f t="shared" si="217"/>
        <v>1735910.3658203357</v>
      </c>
      <c r="I348" s="128">
        <f t="shared" si="218"/>
        <v>0</v>
      </c>
      <c r="J348" s="128">
        <f t="shared" si="219"/>
        <v>1735910.3658203357</v>
      </c>
      <c r="K348" s="44">
        <f t="shared" si="220"/>
        <v>5.7136813005792403E-3</v>
      </c>
      <c r="L348" s="45"/>
      <c r="M348" s="45">
        <f t="shared" si="221"/>
        <v>0</v>
      </c>
      <c r="N348" s="45">
        <f t="shared" si="222"/>
        <v>5166.3998982748089</v>
      </c>
      <c r="O348" s="46">
        <f t="shared" si="223"/>
        <v>1735910.3658203357</v>
      </c>
      <c r="P348" s="47">
        <f t="shared" si="224"/>
        <v>7144.6428571428569</v>
      </c>
      <c r="Q348" s="42">
        <v>2400600</v>
      </c>
      <c r="R348" s="48">
        <f t="shared" si="215"/>
        <v>0.72311520695673404</v>
      </c>
      <c r="S348" s="49"/>
      <c r="U348" s="112"/>
    </row>
    <row r="349" spans="1:21" x14ac:dyDescent="0.3">
      <c r="A349" s="40" t="str">
        <f>VLOOKUP(B349,Grupos!$A$2:$B$619,2,FALSE)</f>
        <v>BREAKERS</v>
      </c>
      <c r="B349" s="41" t="s">
        <v>783</v>
      </c>
      <c r="C349" s="41" t="s">
        <v>784</v>
      </c>
      <c r="D349" s="42">
        <v>72</v>
      </c>
      <c r="E349" s="43">
        <v>5166.3998982748089</v>
      </c>
      <c r="F349" s="43"/>
      <c r="G349" s="126">
        <f t="shared" si="216"/>
        <v>5166.3998982748089</v>
      </c>
      <c r="H349" s="127">
        <f t="shared" si="217"/>
        <v>371980.79267578624</v>
      </c>
      <c r="I349" s="128">
        <f t="shared" si="218"/>
        <v>0</v>
      </c>
      <c r="J349" s="128">
        <f t="shared" si="219"/>
        <v>371980.79267578624</v>
      </c>
      <c r="K349" s="44">
        <f t="shared" si="220"/>
        <v>1.2243602786955515E-3</v>
      </c>
      <c r="L349" s="45"/>
      <c r="M349" s="45">
        <f t="shared" si="221"/>
        <v>0</v>
      </c>
      <c r="N349" s="45">
        <f t="shared" si="222"/>
        <v>5166.3998982748089</v>
      </c>
      <c r="O349" s="46">
        <f t="shared" si="223"/>
        <v>371980.79267578624</v>
      </c>
      <c r="P349" s="47">
        <f t="shared" si="224"/>
        <v>6600</v>
      </c>
      <c r="Q349" s="42">
        <v>475200</v>
      </c>
      <c r="R349" s="48">
        <f t="shared" si="215"/>
        <v>0.78278786337497108</v>
      </c>
      <c r="S349" s="49"/>
      <c r="U349" s="112"/>
    </row>
    <row r="350" spans="1:21" x14ac:dyDescent="0.3">
      <c r="A350" s="40" t="str">
        <f>VLOOKUP(B350,Grupos!$A$2:$B$619,2,FALSE)</f>
        <v>BREAKERS</v>
      </c>
      <c r="B350" s="41" t="s">
        <v>785</v>
      </c>
      <c r="C350" s="41" t="s">
        <v>786</v>
      </c>
      <c r="D350" s="42">
        <v>24</v>
      </c>
      <c r="E350" s="43">
        <v>5579.7118901367921</v>
      </c>
      <c r="F350" s="43"/>
      <c r="G350" s="126">
        <f t="shared" si="216"/>
        <v>5579.7118901367921</v>
      </c>
      <c r="H350" s="127">
        <f t="shared" si="217"/>
        <v>133913.085363283</v>
      </c>
      <c r="I350" s="128">
        <f t="shared" si="218"/>
        <v>0</v>
      </c>
      <c r="J350" s="128">
        <f t="shared" si="219"/>
        <v>133913.085363283</v>
      </c>
      <c r="K350" s="44">
        <f t="shared" si="220"/>
        <v>4.4076970033039836E-4</v>
      </c>
      <c r="L350" s="45"/>
      <c r="M350" s="45">
        <f t="shared" si="221"/>
        <v>0</v>
      </c>
      <c r="N350" s="45">
        <f t="shared" si="222"/>
        <v>5579.7118901367921</v>
      </c>
      <c r="O350" s="46">
        <f t="shared" si="223"/>
        <v>133913.085363283</v>
      </c>
      <c r="P350" s="47">
        <f t="shared" si="224"/>
        <v>6575</v>
      </c>
      <c r="Q350" s="42">
        <v>157800</v>
      </c>
      <c r="R350" s="48">
        <f t="shared" si="215"/>
        <v>0.8486253825303105</v>
      </c>
      <c r="S350" s="49"/>
      <c r="U350" s="112"/>
    </row>
    <row r="351" spans="1:21" x14ac:dyDescent="0.3">
      <c r="A351" s="40" t="str">
        <f>VLOOKUP(B351,Grupos!$A$2:$B$619,2,FALSE)</f>
        <v>BREAKERS</v>
      </c>
      <c r="B351" s="41" t="s">
        <v>998</v>
      </c>
      <c r="C351" s="41" t="s">
        <v>999</v>
      </c>
      <c r="D351" s="42">
        <v>12</v>
      </c>
      <c r="E351" s="43">
        <v>5579.7118901367921</v>
      </c>
      <c r="F351" s="43"/>
      <c r="G351" s="126">
        <f t="shared" si="216"/>
        <v>5579.7118901367921</v>
      </c>
      <c r="H351" s="127">
        <f t="shared" si="217"/>
        <v>66956.542681641498</v>
      </c>
      <c r="I351" s="128">
        <f t="shared" si="218"/>
        <v>0</v>
      </c>
      <c r="J351" s="128">
        <f t="shared" si="219"/>
        <v>66956.542681641498</v>
      </c>
      <c r="K351" s="44">
        <f t="shared" si="220"/>
        <v>2.2038485016519918E-4</v>
      </c>
      <c r="L351" s="45"/>
      <c r="M351" s="45">
        <f t="shared" si="221"/>
        <v>0</v>
      </c>
      <c r="N351" s="45">
        <f t="shared" si="222"/>
        <v>5579.7118901367921</v>
      </c>
      <c r="O351" s="46">
        <f t="shared" si="223"/>
        <v>66956.542681641498</v>
      </c>
      <c r="P351" s="47">
        <f t="shared" si="224"/>
        <v>6650</v>
      </c>
      <c r="Q351" s="42">
        <v>79800</v>
      </c>
      <c r="R351" s="48">
        <f t="shared" si="215"/>
        <v>0.83905441956944238</v>
      </c>
      <c r="S351" s="49"/>
      <c r="U351" s="112"/>
    </row>
    <row r="352" spans="1:21" x14ac:dyDescent="0.3">
      <c r="A352" s="40" t="str">
        <f>VLOOKUP(B352,Grupos!$A$2:$B$619,2,FALSE)</f>
        <v>BREAKERS</v>
      </c>
      <c r="B352" s="41" t="s">
        <v>790</v>
      </c>
      <c r="C352" s="41" t="s">
        <v>791</v>
      </c>
      <c r="D352" s="42">
        <v>12</v>
      </c>
      <c r="E352" s="43">
        <v>10332.799796549618</v>
      </c>
      <c r="F352" s="43"/>
      <c r="G352" s="126">
        <f t="shared" si="216"/>
        <v>10332.799796549618</v>
      </c>
      <c r="H352" s="127">
        <f t="shared" si="217"/>
        <v>123993.59755859541</v>
      </c>
      <c r="I352" s="128">
        <f t="shared" si="218"/>
        <v>0</v>
      </c>
      <c r="J352" s="128">
        <f t="shared" si="219"/>
        <v>123993.59755859541</v>
      </c>
      <c r="K352" s="44">
        <f t="shared" si="220"/>
        <v>4.0812009289851716E-4</v>
      </c>
      <c r="L352" s="45"/>
      <c r="M352" s="45">
        <f t="shared" si="221"/>
        <v>0</v>
      </c>
      <c r="N352" s="45">
        <f t="shared" si="222"/>
        <v>10332.799796549618</v>
      </c>
      <c r="O352" s="46">
        <f t="shared" si="223"/>
        <v>123993.59755859541</v>
      </c>
      <c r="P352" s="47">
        <f t="shared" si="224"/>
        <v>13050</v>
      </c>
      <c r="Q352" s="42">
        <v>156600</v>
      </c>
      <c r="R352" s="48">
        <f t="shared" si="215"/>
        <v>0.79178542502295923</v>
      </c>
      <c r="S352" s="49"/>
      <c r="U352" s="112"/>
    </row>
    <row r="353" spans="1:21" x14ac:dyDescent="0.3">
      <c r="A353" s="40" t="str">
        <f>VLOOKUP(B353,Grupos!$A$2:$B$619,2,FALSE)</f>
        <v>BREAKERS</v>
      </c>
      <c r="B353" s="41" t="s">
        <v>792</v>
      </c>
      <c r="C353" s="41" t="s">
        <v>793</v>
      </c>
      <c r="D353" s="42">
        <v>204</v>
      </c>
      <c r="E353" s="43">
        <v>10332.799796549618</v>
      </c>
      <c r="F353" s="43"/>
      <c r="G353" s="126">
        <f t="shared" si="216"/>
        <v>10332.799796549618</v>
      </c>
      <c r="H353" s="127">
        <f t="shared" si="217"/>
        <v>2107891.1584961219</v>
      </c>
      <c r="I353" s="128">
        <f t="shared" si="218"/>
        <v>0</v>
      </c>
      <c r="J353" s="128">
        <f t="shared" si="219"/>
        <v>2107891.1584961219</v>
      </c>
      <c r="K353" s="44">
        <f t="shared" si="220"/>
        <v>6.9380415792747912E-3</v>
      </c>
      <c r="L353" s="45"/>
      <c r="M353" s="45">
        <f t="shared" si="221"/>
        <v>0</v>
      </c>
      <c r="N353" s="45">
        <f t="shared" si="222"/>
        <v>10332.799796549618</v>
      </c>
      <c r="O353" s="46">
        <f t="shared" si="223"/>
        <v>2107891.1584961219</v>
      </c>
      <c r="P353" s="47">
        <f t="shared" si="224"/>
        <v>13305.882352941177</v>
      </c>
      <c r="Q353" s="42">
        <v>2714400</v>
      </c>
      <c r="R353" s="48">
        <f t="shared" si="215"/>
        <v>0.77655878223405606</v>
      </c>
      <c r="S353" s="49"/>
      <c r="U353" s="112"/>
    </row>
    <row r="354" spans="1:21" x14ac:dyDescent="0.3">
      <c r="A354" s="40" t="str">
        <f>VLOOKUP(B354,Grupos!$A$2:$B$619,2,FALSE)</f>
        <v>BREAKERS</v>
      </c>
      <c r="B354" s="41" t="s">
        <v>794</v>
      </c>
      <c r="C354" s="41" t="s">
        <v>795</v>
      </c>
      <c r="D354" s="42">
        <v>36</v>
      </c>
      <c r="E354" s="43">
        <v>10332.799796549618</v>
      </c>
      <c r="F354" s="43"/>
      <c r="G354" s="126">
        <f t="shared" si="216"/>
        <v>10332.799796549618</v>
      </c>
      <c r="H354" s="127">
        <f t="shared" si="217"/>
        <v>371980.79267578624</v>
      </c>
      <c r="I354" s="128">
        <f t="shared" si="218"/>
        <v>0</v>
      </c>
      <c r="J354" s="128">
        <f t="shared" si="219"/>
        <v>371980.79267578624</v>
      </c>
      <c r="K354" s="44">
        <f t="shared" si="220"/>
        <v>1.2243602786955515E-3</v>
      </c>
      <c r="L354" s="45"/>
      <c r="M354" s="45">
        <f t="shared" si="221"/>
        <v>0</v>
      </c>
      <c r="N354" s="45">
        <f t="shared" si="222"/>
        <v>10332.799796549618</v>
      </c>
      <c r="O354" s="46">
        <f t="shared" si="223"/>
        <v>371980.79267578624</v>
      </c>
      <c r="P354" s="47">
        <f t="shared" si="224"/>
        <v>13133.333333333334</v>
      </c>
      <c r="Q354" s="42">
        <v>472800</v>
      </c>
      <c r="R354" s="48">
        <f t="shared" si="215"/>
        <v>0.78676140582865106</v>
      </c>
      <c r="S354" s="49"/>
      <c r="U354" s="112"/>
    </row>
    <row r="355" spans="1:21" x14ac:dyDescent="0.3">
      <c r="A355" s="40" t="str">
        <f>VLOOKUP(B355,Grupos!$A$2:$B$619,2,FALSE)</f>
        <v>BREAKERS</v>
      </c>
      <c r="B355" s="41" t="s">
        <v>796</v>
      </c>
      <c r="C355" s="41" t="s">
        <v>797</v>
      </c>
      <c r="D355" s="42">
        <v>504</v>
      </c>
      <c r="E355" s="43">
        <v>11159.423780273586</v>
      </c>
      <c r="F355" s="43"/>
      <c r="G355" s="126">
        <f t="shared" si="216"/>
        <v>11159.423780273586</v>
      </c>
      <c r="H355" s="127">
        <f t="shared" si="217"/>
        <v>5624349.5852578878</v>
      </c>
      <c r="I355" s="128">
        <f t="shared" si="218"/>
        <v>0</v>
      </c>
      <c r="J355" s="128">
        <f t="shared" si="219"/>
        <v>5624349.5852578878</v>
      </c>
      <c r="K355" s="44">
        <f t="shared" si="220"/>
        <v>1.8512327413876737E-2</v>
      </c>
      <c r="L355" s="45"/>
      <c r="M355" s="45">
        <f t="shared" si="221"/>
        <v>0</v>
      </c>
      <c r="N355" s="45">
        <f t="shared" si="222"/>
        <v>11159.423780273586</v>
      </c>
      <c r="O355" s="46">
        <f t="shared" si="223"/>
        <v>5624349.5852578878</v>
      </c>
      <c r="P355" s="47">
        <f t="shared" si="224"/>
        <v>12990</v>
      </c>
      <c r="Q355" s="42">
        <v>6546960</v>
      </c>
      <c r="R355" s="48">
        <f t="shared" si="215"/>
        <v>0.859078043131146</v>
      </c>
      <c r="S355" s="49"/>
      <c r="U355" s="112"/>
    </row>
    <row r="356" spans="1:21" x14ac:dyDescent="0.3">
      <c r="A356" s="40" t="str">
        <f>VLOOKUP(B356,Grupos!$A$2:$B$619,2,FALSE)</f>
        <v>BREAKERS</v>
      </c>
      <c r="B356" s="41" t="s">
        <v>798</v>
      </c>
      <c r="C356" s="41" t="s">
        <v>799</v>
      </c>
      <c r="D356" s="42">
        <v>18</v>
      </c>
      <c r="E356" s="43">
        <v>11159.423780273586</v>
      </c>
      <c r="F356" s="43"/>
      <c r="G356" s="126">
        <f t="shared" si="216"/>
        <v>11159.423780273586</v>
      </c>
      <c r="H356" s="127">
        <f t="shared" si="217"/>
        <v>200869.62804492455</v>
      </c>
      <c r="I356" s="128">
        <f t="shared" si="218"/>
        <v>0</v>
      </c>
      <c r="J356" s="128">
        <f t="shared" si="219"/>
        <v>200869.62804492455</v>
      </c>
      <c r="K356" s="44">
        <f t="shared" si="220"/>
        <v>6.6115455049559773E-4</v>
      </c>
      <c r="L356" s="45"/>
      <c r="M356" s="45">
        <f t="shared" si="221"/>
        <v>0</v>
      </c>
      <c r="N356" s="45">
        <f t="shared" si="222"/>
        <v>11159.423780273586</v>
      </c>
      <c r="O356" s="46">
        <f t="shared" si="223"/>
        <v>200869.62804492455</v>
      </c>
      <c r="P356" s="47">
        <f t="shared" si="224"/>
        <v>13533.333333333334</v>
      </c>
      <c r="Q356" s="42">
        <v>243600</v>
      </c>
      <c r="R356" s="48">
        <f t="shared" si="215"/>
        <v>0.82458796405962465</v>
      </c>
      <c r="S356" s="49"/>
      <c r="U356" s="112"/>
    </row>
    <row r="357" spans="1:21" x14ac:dyDescent="0.3">
      <c r="A357" s="40" t="str">
        <f>VLOOKUP(B357,Grupos!$A$2:$B$619,2,FALSE)</f>
        <v>BREAKERS</v>
      </c>
      <c r="B357" s="41" t="s">
        <v>800</v>
      </c>
      <c r="C357" s="41" t="s">
        <v>801</v>
      </c>
      <c r="D357" s="42">
        <v>30</v>
      </c>
      <c r="E357" s="43">
        <v>11159.423780273586</v>
      </c>
      <c r="F357" s="43"/>
      <c r="G357" s="126">
        <f t="shared" si="216"/>
        <v>11159.423780273586</v>
      </c>
      <c r="H357" s="127">
        <f t="shared" si="217"/>
        <v>334782.71340820758</v>
      </c>
      <c r="I357" s="128">
        <f t="shared" si="218"/>
        <v>0</v>
      </c>
      <c r="J357" s="128">
        <f t="shared" si="219"/>
        <v>334782.71340820758</v>
      </c>
      <c r="K357" s="44">
        <f t="shared" si="220"/>
        <v>1.1019242508259963E-3</v>
      </c>
      <c r="L357" s="45"/>
      <c r="M357" s="45">
        <f t="shared" si="221"/>
        <v>0</v>
      </c>
      <c r="N357" s="45">
        <f t="shared" si="222"/>
        <v>11159.423780273586</v>
      </c>
      <c r="O357" s="46">
        <f t="shared" si="223"/>
        <v>334782.71340820758</v>
      </c>
      <c r="P357" s="47">
        <f t="shared" si="224"/>
        <v>13500</v>
      </c>
      <c r="Q357" s="42">
        <v>405000</v>
      </c>
      <c r="R357" s="48">
        <f t="shared" si="215"/>
        <v>0.82662398372396928</v>
      </c>
      <c r="S357" s="49"/>
      <c r="U357" s="112"/>
    </row>
    <row r="358" spans="1:21" x14ac:dyDescent="0.3">
      <c r="A358" s="40" t="str">
        <f>VLOOKUP(B358,Grupos!$A$2:$B$619,2,FALSE)</f>
        <v>BREAKERS</v>
      </c>
      <c r="B358" s="41" t="s">
        <v>806</v>
      </c>
      <c r="C358" s="41" t="s">
        <v>807</v>
      </c>
      <c r="D358" s="42">
        <v>4</v>
      </c>
      <c r="E358" s="43">
        <v>15499.199694824423</v>
      </c>
      <c r="F358" s="43"/>
      <c r="G358" s="126">
        <f t="shared" si="216"/>
        <v>15499.199694824423</v>
      </c>
      <c r="H358" s="127">
        <f t="shared" si="217"/>
        <v>61996.798779297693</v>
      </c>
      <c r="I358" s="128">
        <f t="shared" si="218"/>
        <v>0</v>
      </c>
      <c r="J358" s="128">
        <f t="shared" si="219"/>
        <v>61996.798779297693</v>
      </c>
      <c r="K358" s="44">
        <f t="shared" si="220"/>
        <v>2.0406004644925852E-4</v>
      </c>
      <c r="L358" s="45"/>
      <c r="M358" s="45">
        <f t="shared" si="221"/>
        <v>0</v>
      </c>
      <c r="N358" s="45">
        <f t="shared" si="222"/>
        <v>15499.199694824423</v>
      </c>
      <c r="O358" s="46">
        <f t="shared" si="223"/>
        <v>61996.798779297693</v>
      </c>
      <c r="P358" s="47">
        <f t="shared" si="224"/>
        <v>20150</v>
      </c>
      <c r="Q358" s="42">
        <v>80600</v>
      </c>
      <c r="R358" s="48">
        <f t="shared" si="215"/>
        <v>0.76919105185232872</v>
      </c>
      <c r="S358" s="49"/>
      <c r="U358" s="112"/>
    </row>
    <row r="359" spans="1:21" x14ac:dyDescent="0.3">
      <c r="A359" s="40" t="str">
        <f>VLOOKUP(B359,Grupos!$A$2:$B$619,2,FALSE)</f>
        <v>BREAKERS</v>
      </c>
      <c r="B359" s="41" t="s">
        <v>808</v>
      </c>
      <c r="C359" s="41" t="s">
        <v>809</v>
      </c>
      <c r="D359" s="42">
        <v>24</v>
      </c>
      <c r="E359" s="43">
        <v>16739.135670410382</v>
      </c>
      <c r="F359" s="43"/>
      <c r="G359" s="126">
        <f t="shared" si="216"/>
        <v>16739.135670410382</v>
      </c>
      <c r="H359" s="127">
        <f t="shared" si="217"/>
        <v>401739.25608984916</v>
      </c>
      <c r="I359" s="128">
        <f t="shared" si="218"/>
        <v>0</v>
      </c>
      <c r="J359" s="128">
        <f t="shared" si="219"/>
        <v>401739.25608984916</v>
      </c>
      <c r="K359" s="44">
        <f t="shared" si="220"/>
        <v>1.3223091009911957E-3</v>
      </c>
      <c r="L359" s="45"/>
      <c r="M359" s="45">
        <f t="shared" si="221"/>
        <v>0</v>
      </c>
      <c r="N359" s="45">
        <f t="shared" si="222"/>
        <v>16739.135670410382</v>
      </c>
      <c r="O359" s="46">
        <f t="shared" si="223"/>
        <v>401739.25608984916</v>
      </c>
      <c r="P359" s="47">
        <f t="shared" si="224"/>
        <v>19566.666666666668</v>
      </c>
      <c r="Q359" s="42">
        <v>469600</v>
      </c>
      <c r="R359" s="48">
        <f t="shared" si="215"/>
        <v>0.85549245334294965</v>
      </c>
      <c r="S359" s="49"/>
      <c r="U359" s="112"/>
    </row>
    <row r="360" spans="1:21" x14ac:dyDescent="0.3">
      <c r="A360" s="40" t="str">
        <f>VLOOKUP(B360,Grupos!$A$2:$B$619,2,FALSE)</f>
        <v>BREAKERS</v>
      </c>
      <c r="B360" s="41" t="s">
        <v>810</v>
      </c>
      <c r="C360" s="41" t="s">
        <v>811</v>
      </c>
      <c r="D360" s="42">
        <v>12</v>
      </c>
      <c r="E360" s="43">
        <v>16739.135670410382</v>
      </c>
      <c r="F360" s="43"/>
      <c r="G360" s="126">
        <f t="shared" si="216"/>
        <v>16739.135670410382</v>
      </c>
      <c r="H360" s="127">
        <f t="shared" si="217"/>
        <v>200869.62804492458</v>
      </c>
      <c r="I360" s="128">
        <f t="shared" si="218"/>
        <v>0</v>
      </c>
      <c r="J360" s="128">
        <f t="shared" si="219"/>
        <v>200869.62804492458</v>
      </c>
      <c r="K360" s="44">
        <f t="shared" si="220"/>
        <v>6.6115455049559784E-4</v>
      </c>
      <c r="L360" s="45"/>
      <c r="M360" s="45">
        <f t="shared" si="221"/>
        <v>0</v>
      </c>
      <c r="N360" s="45">
        <f t="shared" si="222"/>
        <v>16739.135670410382</v>
      </c>
      <c r="O360" s="46">
        <f t="shared" si="223"/>
        <v>200869.62804492458</v>
      </c>
      <c r="P360" s="47">
        <f t="shared" si="224"/>
        <v>19850</v>
      </c>
      <c r="Q360" s="42">
        <v>238200</v>
      </c>
      <c r="R360" s="48">
        <f t="shared" si="215"/>
        <v>0.84328139397533408</v>
      </c>
      <c r="S360" s="49"/>
      <c r="U360" s="112"/>
    </row>
    <row r="361" spans="1:21" x14ac:dyDescent="0.3">
      <c r="A361" s="40" t="str">
        <f>VLOOKUP(B361,Grupos!$A$2:$B$619,2,FALSE)</f>
        <v>BREAKERS</v>
      </c>
      <c r="B361" s="41" t="s">
        <v>812</v>
      </c>
      <c r="C361" s="41" t="s">
        <v>813</v>
      </c>
      <c r="D361" s="42">
        <v>8</v>
      </c>
      <c r="E361" s="43">
        <v>16739.135670410382</v>
      </c>
      <c r="F361" s="43"/>
      <c r="G361" s="126">
        <f t="shared" si="216"/>
        <v>16739.135670410382</v>
      </c>
      <c r="H361" s="127">
        <f t="shared" si="217"/>
        <v>133913.08536328305</v>
      </c>
      <c r="I361" s="128">
        <f t="shared" si="218"/>
        <v>0</v>
      </c>
      <c r="J361" s="128">
        <f t="shared" si="219"/>
        <v>133913.08536328305</v>
      </c>
      <c r="K361" s="44">
        <f t="shared" si="220"/>
        <v>4.4076970033039858E-4</v>
      </c>
      <c r="L361" s="45"/>
      <c r="M361" s="45">
        <f t="shared" si="221"/>
        <v>0</v>
      </c>
      <c r="N361" s="45">
        <f t="shared" si="222"/>
        <v>16739.135670410382</v>
      </c>
      <c r="O361" s="46">
        <f t="shared" si="223"/>
        <v>133913.08536328305</v>
      </c>
      <c r="P361" s="47">
        <f t="shared" si="224"/>
        <v>19500</v>
      </c>
      <c r="Q361" s="42">
        <v>156000</v>
      </c>
      <c r="R361" s="48">
        <f t="shared" si="215"/>
        <v>0.85841721386719905</v>
      </c>
      <c r="S361" s="49"/>
      <c r="U361" s="112"/>
    </row>
    <row r="362" spans="1:21" x14ac:dyDescent="0.3">
      <c r="A362" s="40" t="str">
        <f>VLOOKUP(B362,Grupos!$A$2:$B$619,2,FALSE)</f>
        <v>BREAKERS</v>
      </c>
      <c r="B362" s="41" t="s">
        <v>787</v>
      </c>
      <c r="C362" s="41" t="s">
        <v>788</v>
      </c>
      <c r="D362" s="42">
        <v>36</v>
      </c>
      <c r="E362" s="43">
        <v>5579.711890136793</v>
      </c>
      <c r="F362" s="43"/>
      <c r="G362" s="126">
        <f t="shared" si="216"/>
        <v>5579.711890136793</v>
      </c>
      <c r="H362" s="127">
        <f t="shared" si="217"/>
        <v>200869.62804492455</v>
      </c>
      <c r="I362" s="128"/>
      <c r="J362" s="128">
        <f t="shared" si="219"/>
        <v>200869.62804492455</v>
      </c>
      <c r="K362" s="44">
        <f t="shared" si="220"/>
        <v>6.6115455049559773E-4</v>
      </c>
      <c r="L362" s="45"/>
      <c r="M362" s="45"/>
      <c r="N362" s="45">
        <f t="shared" si="222"/>
        <v>5579.711890136793</v>
      </c>
      <c r="O362" s="46">
        <f t="shared" si="223"/>
        <v>200869.62804492455</v>
      </c>
      <c r="P362" s="47"/>
      <c r="Q362" s="42">
        <v>238800</v>
      </c>
      <c r="R362" s="48">
        <f t="shared" si="215"/>
        <v>0.84116259650303415</v>
      </c>
      <c r="S362" s="49"/>
      <c r="U362" s="112"/>
    </row>
    <row r="363" spans="1:21" x14ac:dyDescent="0.3">
      <c r="A363" s="50" t="s">
        <v>1012</v>
      </c>
      <c r="B363" s="41"/>
      <c r="C363" s="41"/>
      <c r="D363" s="51">
        <f>SUM(D312:D362)</f>
        <v>47066</v>
      </c>
      <c r="E363" s="43"/>
      <c r="F363" s="43"/>
      <c r="G363" s="126"/>
      <c r="H363" s="131">
        <f>SUM(H312:H362)</f>
        <v>303816449.41315734</v>
      </c>
      <c r="I363" s="131">
        <f>SUM(I312:I362)</f>
        <v>0</v>
      </c>
      <c r="J363" s="131">
        <f>SUM(J312:J362)</f>
        <v>303816449.41315734</v>
      </c>
      <c r="K363" s="150">
        <f t="shared" si="220"/>
        <v>1</v>
      </c>
      <c r="L363" s="45"/>
      <c r="M363" s="45"/>
      <c r="N363" s="45"/>
      <c r="O363" s="55">
        <f>SUM(O312:O362)</f>
        <v>303816449.41315734</v>
      </c>
      <c r="P363" s="47"/>
      <c r="Q363" s="51">
        <f>SUM(Q312:Q362)</f>
        <v>408090759.99000001</v>
      </c>
      <c r="R363" s="57">
        <f t="shared" si="215"/>
        <v>0.74448254947159831</v>
      </c>
      <c r="S363" s="58">
        <f>Q363/$Q$377</f>
        <v>7.8692289618002759E-2</v>
      </c>
      <c r="U363" s="112"/>
    </row>
    <row r="364" spans="1:21" x14ac:dyDescent="0.3">
      <c r="A364" s="40" t="str">
        <f>VLOOKUP(B364,Grupos!$A$2:$B$619,2,FALSE)</f>
        <v>VARILLAS</v>
      </c>
      <c r="B364" s="41" t="s">
        <v>549</v>
      </c>
      <c r="C364" s="41" t="s">
        <v>550</v>
      </c>
      <c r="D364" s="42">
        <v>218</v>
      </c>
      <c r="E364" s="43">
        <v>95000</v>
      </c>
      <c r="F364" s="43">
        <v>111.24</v>
      </c>
      <c r="G364" s="126">
        <f t="shared" ref="G364:G375" si="225">E364+F364</f>
        <v>95111.24</v>
      </c>
      <c r="H364" s="127">
        <f t="shared" ref="H364:H375" si="226">E364*D364</f>
        <v>20710000</v>
      </c>
      <c r="I364" s="128">
        <f t="shared" ref="I364:I375" si="227">F364*D364</f>
        <v>24250.32</v>
      </c>
      <c r="J364" s="128">
        <f t="shared" ref="J364:J375" si="228">G364*D364</f>
        <v>20734250.32</v>
      </c>
      <c r="K364" s="44">
        <f t="shared" ref="K364:K376" si="229">J364/$J$376</f>
        <v>5.1560882725273004E-2</v>
      </c>
      <c r="L364" s="45"/>
      <c r="M364" s="45">
        <f t="shared" ref="M364:M375" si="230">F364*$M$382</f>
        <v>654.5611044358626</v>
      </c>
      <c r="N364" s="45">
        <f t="shared" ref="N364:N375" si="231">G364+L364+M364</f>
        <v>95765.801104435872</v>
      </c>
      <c r="O364" s="46">
        <f t="shared" ref="O364:O375" si="232">N364*D364</f>
        <v>20876944.640767019</v>
      </c>
      <c r="P364" s="47">
        <f t="shared" ref="P364:P375" si="233">Q364/D364</f>
        <v>104094.95412844037</v>
      </c>
      <c r="Q364" s="42">
        <v>22692700</v>
      </c>
      <c r="R364" s="48">
        <f t="shared" si="215"/>
        <v>0.91998504544487958</v>
      </c>
      <c r="S364" s="49"/>
      <c r="U364" s="112"/>
    </row>
    <row r="365" spans="1:21" x14ac:dyDescent="0.3">
      <c r="A365" s="40" t="str">
        <f>VLOOKUP(B365,Grupos!$A$2:$B$619,2,FALSE)</f>
        <v>VARILLAS</v>
      </c>
      <c r="B365" s="41" t="s">
        <v>551</v>
      </c>
      <c r="C365" s="41" t="s">
        <v>552</v>
      </c>
      <c r="D365" s="42">
        <v>225</v>
      </c>
      <c r="E365" s="43">
        <v>118600</v>
      </c>
      <c r="F365" s="43">
        <v>159.59</v>
      </c>
      <c r="G365" s="126">
        <f t="shared" si="225"/>
        <v>118759.59</v>
      </c>
      <c r="H365" s="127">
        <f t="shared" si="226"/>
        <v>26685000</v>
      </c>
      <c r="I365" s="128">
        <f t="shared" si="227"/>
        <v>35907.75</v>
      </c>
      <c r="J365" s="128">
        <f t="shared" si="228"/>
        <v>26720907.75</v>
      </c>
      <c r="K365" s="44">
        <f t="shared" si="229"/>
        <v>6.6448198972577491E-2</v>
      </c>
      <c r="L365" s="45"/>
      <c r="M365" s="45">
        <f t="shared" si="230"/>
        <v>939.06334643041453</v>
      </c>
      <c r="N365" s="45">
        <f t="shared" si="231"/>
        <v>119698.65334643041</v>
      </c>
      <c r="O365" s="46">
        <f t="shared" si="232"/>
        <v>26932197.002946842</v>
      </c>
      <c r="P365" s="47">
        <f t="shared" si="233"/>
        <v>128978.44444444444</v>
      </c>
      <c r="Q365" s="42">
        <v>29020150</v>
      </c>
      <c r="R365" s="48">
        <f t="shared" si="215"/>
        <v>0.92805161251567769</v>
      </c>
      <c r="S365" s="49"/>
      <c r="U365" s="112"/>
    </row>
    <row r="366" spans="1:21" x14ac:dyDescent="0.3">
      <c r="A366" s="40" t="str">
        <f>VLOOKUP(B366,Grupos!$A$2:$B$619,2,FALSE)</f>
        <v>VARILLAS</v>
      </c>
      <c r="B366" s="41" t="s">
        <v>553</v>
      </c>
      <c r="C366" s="41" t="s">
        <v>554</v>
      </c>
      <c r="D366" s="42">
        <v>236</v>
      </c>
      <c r="E366" s="43">
        <v>141854.26666666666</v>
      </c>
      <c r="F366" s="43">
        <v>161.63999999999999</v>
      </c>
      <c r="G366" s="126">
        <f t="shared" si="225"/>
        <v>142015.90666666668</v>
      </c>
      <c r="H366" s="127">
        <f t="shared" si="226"/>
        <v>33477606.933333334</v>
      </c>
      <c r="I366" s="128">
        <f t="shared" si="227"/>
        <v>38147.039999999994</v>
      </c>
      <c r="J366" s="128">
        <f t="shared" si="228"/>
        <v>33515753.973333336</v>
      </c>
      <c r="K366" s="44">
        <f t="shared" si="229"/>
        <v>8.3345278145949525E-2</v>
      </c>
      <c r="L366" s="45"/>
      <c r="M366" s="45">
        <f t="shared" si="230"/>
        <v>951.12600612201391</v>
      </c>
      <c r="N366" s="45">
        <f t="shared" si="231"/>
        <v>142967.03267278869</v>
      </c>
      <c r="O366" s="46">
        <f t="shared" si="232"/>
        <v>33740219.710778132</v>
      </c>
      <c r="P366" s="47">
        <f t="shared" si="233"/>
        <v>154385.16949152542</v>
      </c>
      <c r="Q366" s="42">
        <v>36434900</v>
      </c>
      <c r="R366" s="48">
        <f t="shared" si="215"/>
        <v>0.9260412327405354</v>
      </c>
      <c r="S366" s="49"/>
      <c r="U366" s="112"/>
    </row>
    <row r="367" spans="1:21" x14ac:dyDescent="0.3">
      <c r="A367" s="40" t="str">
        <f>VLOOKUP(B367,Grupos!$A$2:$B$619,2,FALSE)</f>
        <v>VARILLAS</v>
      </c>
      <c r="B367" s="41" t="s">
        <v>555</v>
      </c>
      <c r="C367" s="41" t="s">
        <v>556</v>
      </c>
      <c r="D367" s="42">
        <v>1004</v>
      </c>
      <c r="E367" s="43">
        <v>189454.06578947368</v>
      </c>
      <c r="F367" s="43">
        <v>98.86</v>
      </c>
      <c r="G367" s="126">
        <f t="shared" si="225"/>
        <v>189552.92578947367</v>
      </c>
      <c r="H367" s="127">
        <f t="shared" si="226"/>
        <v>190211882.05263159</v>
      </c>
      <c r="I367" s="128">
        <f t="shared" si="227"/>
        <v>99255.44</v>
      </c>
      <c r="J367" s="128">
        <f t="shared" si="228"/>
        <v>190311137.49263155</v>
      </c>
      <c r="K367" s="44">
        <f t="shared" si="229"/>
        <v>0.47325609029161569</v>
      </c>
      <c r="L367" s="45"/>
      <c r="M367" s="45">
        <f t="shared" si="230"/>
        <v>581.71440834708176</v>
      </c>
      <c r="N367" s="45">
        <f t="shared" si="231"/>
        <v>190134.64019782076</v>
      </c>
      <c r="O367" s="46">
        <f t="shared" si="232"/>
        <v>190895178.75861204</v>
      </c>
      <c r="P367" s="47">
        <f t="shared" si="233"/>
        <v>203147.41035856574</v>
      </c>
      <c r="Q367" s="42">
        <v>203960000</v>
      </c>
      <c r="R367" s="48">
        <f t="shared" si="215"/>
        <v>0.9359441986596001</v>
      </c>
      <c r="S367" s="49"/>
      <c r="U367" s="112"/>
    </row>
    <row r="368" spans="1:21" x14ac:dyDescent="0.3">
      <c r="A368" s="40" t="str">
        <f>VLOOKUP(B368,Grupos!$A$2:$B$619,2,FALSE)</f>
        <v>VARILLAS</v>
      </c>
      <c r="B368" s="41" t="s">
        <v>557</v>
      </c>
      <c r="C368" s="41" t="s">
        <v>558</v>
      </c>
      <c r="D368" s="42">
        <v>479</v>
      </c>
      <c r="E368" s="43">
        <v>77904.761904761908</v>
      </c>
      <c r="F368" s="43">
        <v>0</v>
      </c>
      <c r="G368" s="126">
        <f t="shared" si="225"/>
        <v>77904.761904761908</v>
      </c>
      <c r="H368" s="127">
        <f t="shared" si="226"/>
        <v>37316380.952380955</v>
      </c>
      <c r="I368" s="128">
        <f t="shared" si="227"/>
        <v>0</v>
      </c>
      <c r="J368" s="128">
        <f t="shared" si="228"/>
        <v>37316380.952380955</v>
      </c>
      <c r="K368" s="44">
        <f t="shared" si="229"/>
        <v>9.279648467258042E-2</v>
      </c>
      <c r="L368" s="45"/>
      <c r="M368" s="45">
        <f t="shared" si="230"/>
        <v>0</v>
      </c>
      <c r="N368" s="45">
        <f t="shared" si="231"/>
        <v>77904.761904761908</v>
      </c>
      <c r="O368" s="46">
        <f t="shared" si="232"/>
        <v>37316380.952380955</v>
      </c>
      <c r="P368" s="47">
        <f t="shared" si="233"/>
        <v>85486.116910229641</v>
      </c>
      <c r="Q368" s="42">
        <v>40947850</v>
      </c>
      <c r="R368" s="48">
        <f t="shared" si="215"/>
        <v>0.91131478093186713</v>
      </c>
      <c r="S368" s="49"/>
      <c r="U368" s="112"/>
    </row>
    <row r="369" spans="1:21" x14ac:dyDescent="0.3">
      <c r="A369" s="40" t="str">
        <f>VLOOKUP(B369,Grupos!$A$2:$B$619,2,FALSE)</f>
        <v>VARILLAS</v>
      </c>
      <c r="B369" s="41" t="s">
        <v>559</v>
      </c>
      <c r="C369" s="41" t="s">
        <v>560</v>
      </c>
      <c r="D369" s="42">
        <v>260</v>
      </c>
      <c r="E369" s="43">
        <v>97900</v>
      </c>
      <c r="F369" s="43">
        <v>0</v>
      </c>
      <c r="G369" s="126">
        <f t="shared" si="225"/>
        <v>97900</v>
      </c>
      <c r="H369" s="127">
        <f t="shared" si="226"/>
        <v>25454000</v>
      </c>
      <c r="I369" s="128">
        <f t="shared" si="227"/>
        <v>0</v>
      </c>
      <c r="J369" s="128">
        <f t="shared" si="228"/>
        <v>25454000</v>
      </c>
      <c r="K369" s="44">
        <f t="shared" si="229"/>
        <v>6.3297716996458975E-2</v>
      </c>
      <c r="L369" s="45"/>
      <c r="M369" s="45">
        <f t="shared" si="230"/>
        <v>0</v>
      </c>
      <c r="N369" s="45">
        <f t="shared" si="231"/>
        <v>97900</v>
      </c>
      <c r="O369" s="46">
        <f t="shared" si="232"/>
        <v>25454000</v>
      </c>
      <c r="P369" s="47">
        <f t="shared" si="233"/>
        <v>106793.60000000001</v>
      </c>
      <c r="Q369" s="42">
        <v>27766336</v>
      </c>
      <c r="R369" s="48">
        <f t="shared" si="215"/>
        <v>0.91672160129445956</v>
      </c>
      <c r="S369" s="49"/>
      <c r="U369" s="112"/>
    </row>
    <row r="370" spans="1:21" x14ac:dyDescent="0.3">
      <c r="A370" s="40" t="str">
        <f>VLOOKUP(B370,Grupos!$A$2:$B$619,2,FALSE)</f>
        <v>VARILLAS</v>
      </c>
      <c r="B370" s="41" t="s">
        <v>657</v>
      </c>
      <c r="C370" s="41" t="s">
        <v>658</v>
      </c>
      <c r="D370" s="42">
        <v>173</v>
      </c>
      <c r="E370" s="43">
        <v>116800</v>
      </c>
      <c r="F370" s="43">
        <v>0</v>
      </c>
      <c r="G370" s="126">
        <f t="shared" si="225"/>
        <v>116800</v>
      </c>
      <c r="H370" s="127">
        <f t="shared" si="226"/>
        <v>20206400</v>
      </c>
      <c r="I370" s="128">
        <f t="shared" si="227"/>
        <v>0</v>
      </c>
      <c r="J370" s="128">
        <f t="shared" si="228"/>
        <v>20206400</v>
      </c>
      <c r="K370" s="44">
        <f t="shared" si="229"/>
        <v>5.0248251304991311E-2</v>
      </c>
      <c r="L370" s="45"/>
      <c r="M370" s="45">
        <f t="shared" si="230"/>
        <v>0</v>
      </c>
      <c r="N370" s="45">
        <f t="shared" si="231"/>
        <v>116800</v>
      </c>
      <c r="O370" s="46">
        <f t="shared" si="232"/>
        <v>20206400</v>
      </c>
      <c r="P370" s="47">
        <f t="shared" si="233"/>
        <v>134899.51421965318</v>
      </c>
      <c r="Q370" s="42">
        <v>23337615.960000001</v>
      </c>
      <c r="R370" s="48">
        <f t="shared" si="215"/>
        <v>0.86582965606397777</v>
      </c>
      <c r="S370" s="49"/>
      <c r="U370" s="112"/>
    </row>
    <row r="371" spans="1:21" x14ac:dyDescent="0.3">
      <c r="A371" s="40" t="str">
        <f>VLOOKUP(B371,Grupos!$A$2:$B$619,2,FALSE)</f>
        <v>VARILLAS</v>
      </c>
      <c r="B371" s="41" t="s">
        <v>561</v>
      </c>
      <c r="C371" s="41" t="s">
        <v>562</v>
      </c>
      <c r="D371" s="42">
        <v>240</v>
      </c>
      <c r="E371" s="43">
        <v>155900</v>
      </c>
      <c r="F371" s="43">
        <v>0</v>
      </c>
      <c r="G371" s="126">
        <f t="shared" si="225"/>
        <v>155900</v>
      </c>
      <c r="H371" s="127">
        <f t="shared" si="226"/>
        <v>37416000</v>
      </c>
      <c r="I371" s="128">
        <f t="shared" si="227"/>
        <v>0</v>
      </c>
      <c r="J371" s="128">
        <f t="shared" si="228"/>
        <v>37416000</v>
      </c>
      <c r="K371" s="44">
        <f t="shared" si="229"/>
        <v>9.3044212270743665E-2</v>
      </c>
      <c r="L371" s="45"/>
      <c r="M371" s="45">
        <f t="shared" si="230"/>
        <v>0</v>
      </c>
      <c r="N371" s="45">
        <f t="shared" si="231"/>
        <v>155900</v>
      </c>
      <c r="O371" s="46">
        <f t="shared" si="232"/>
        <v>37416000</v>
      </c>
      <c r="P371" s="47">
        <f t="shared" si="233"/>
        <v>168550</v>
      </c>
      <c r="Q371" s="42">
        <v>40452000</v>
      </c>
      <c r="R371" s="48">
        <f t="shared" si="215"/>
        <v>0.92494808662118067</v>
      </c>
      <c r="S371" s="49"/>
      <c r="U371" s="112"/>
    </row>
    <row r="372" spans="1:21" x14ac:dyDescent="0.3">
      <c r="A372" s="40" t="str">
        <f>VLOOKUP(B372,Grupos!$A$2:$B$619,2,FALSE)</f>
        <v>VARILLAS</v>
      </c>
      <c r="B372" s="41" t="s">
        <v>1004</v>
      </c>
      <c r="C372" s="41" t="s">
        <v>1005</v>
      </c>
      <c r="D372" s="42">
        <v>130</v>
      </c>
      <c r="E372" s="43">
        <v>9215</v>
      </c>
      <c r="F372" s="43">
        <v>55.44</v>
      </c>
      <c r="G372" s="126">
        <f t="shared" si="225"/>
        <v>9270.44</v>
      </c>
      <c r="H372" s="127">
        <f t="shared" si="226"/>
        <v>1197950</v>
      </c>
      <c r="I372" s="128">
        <f t="shared" si="227"/>
        <v>7207.2</v>
      </c>
      <c r="J372" s="128">
        <f t="shared" si="228"/>
        <v>1205157.2</v>
      </c>
      <c r="K372" s="44">
        <f t="shared" si="229"/>
        <v>2.9969238383690151E-3</v>
      </c>
      <c r="L372" s="45"/>
      <c r="M372" s="45">
        <f t="shared" si="230"/>
        <v>326.22139185476647</v>
      </c>
      <c r="N372" s="45">
        <f t="shared" si="231"/>
        <v>9596.6613918547664</v>
      </c>
      <c r="O372" s="46">
        <f t="shared" si="232"/>
        <v>1247565.9809411196</v>
      </c>
      <c r="P372" s="47">
        <f t="shared" si="233"/>
        <v>10819.23076923077</v>
      </c>
      <c r="Q372" s="42">
        <v>1406500</v>
      </c>
      <c r="R372" s="48">
        <f t="shared" ref="R372:R377" si="234">O372/Q372</f>
        <v>0.88700034194178434</v>
      </c>
      <c r="S372" s="49"/>
      <c r="U372" s="112"/>
    </row>
    <row r="373" spans="1:21" x14ac:dyDescent="0.3">
      <c r="A373" s="40" t="str">
        <f>VLOOKUP(B373,Grupos!$A$2:$B$619,2,FALSE)</f>
        <v>VARILLAS</v>
      </c>
      <c r="B373" s="41" t="s">
        <v>1006</v>
      </c>
      <c r="C373" s="41" t="s">
        <v>1007</v>
      </c>
      <c r="D373" s="42">
        <v>450</v>
      </c>
      <c r="E373" s="43">
        <v>10379</v>
      </c>
      <c r="F373" s="43">
        <v>39.89</v>
      </c>
      <c r="G373" s="126">
        <f t="shared" si="225"/>
        <v>10418.89</v>
      </c>
      <c r="H373" s="127">
        <f t="shared" si="226"/>
        <v>4670550</v>
      </c>
      <c r="I373" s="128">
        <f t="shared" si="227"/>
        <v>17950.5</v>
      </c>
      <c r="J373" s="128">
        <f t="shared" si="228"/>
        <v>4688500.5</v>
      </c>
      <c r="K373" s="44">
        <f t="shared" si="229"/>
        <v>1.1659125394309595E-2</v>
      </c>
      <c r="L373" s="45"/>
      <c r="M373" s="45">
        <f t="shared" si="230"/>
        <v>234.72170492580511</v>
      </c>
      <c r="N373" s="45">
        <f t="shared" si="231"/>
        <v>10653.611704925805</v>
      </c>
      <c r="O373" s="46">
        <f t="shared" si="232"/>
        <v>4794125.2672166117</v>
      </c>
      <c r="P373" s="47">
        <f t="shared" si="233"/>
        <v>12160</v>
      </c>
      <c r="Q373" s="42">
        <v>5472000</v>
      </c>
      <c r="R373" s="48">
        <f t="shared" si="234"/>
        <v>0.87611938362876673</v>
      </c>
      <c r="S373" s="49"/>
      <c r="U373" s="112"/>
    </row>
    <row r="374" spans="1:21" x14ac:dyDescent="0.3">
      <c r="A374" s="40" t="str">
        <f>VLOOKUP(B374,Grupos!$A$2:$B$619,2,FALSE)</f>
        <v>VARILLAS</v>
      </c>
      <c r="B374" s="41" t="s">
        <v>1008</v>
      </c>
      <c r="C374" s="41" t="s">
        <v>1009</v>
      </c>
      <c r="D374" s="42">
        <v>120</v>
      </c>
      <c r="E374" s="43">
        <v>12125</v>
      </c>
      <c r="F374" s="43">
        <v>121.66</v>
      </c>
      <c r="G374" s="126">
        <f t="shared" si="225"/>
        <v>12246.66</v>
      </c>
      <c r="H374" s="127">
        <f t="shared" si="226"/>
        <v>1455000</v>
      </c>
      <c r="I374" s="128">
        <f t="shared" si="227"/>
        <v>14599.199999999999</v>
      </c>
      <c r="J374" s="128">
        <f t="shared" si="228"/>
        <v>1469599.2</v>
      </c>
      <c r="K374" s="44">
        <f t="shared" si="229"/>
        <v>3.6545248000244565E-3</v>
      </c>
      <c r="L374" s="45"/>
      <c r="M374" s="45">
        <f t="shared" si="230"/>
        <v>715.8747210146264</v>
      </c>
      <c r="N374" s="45">
        <f t="shared" si="231"/>
        <v>12962.534721014626</v>
      </c>
      <c r="O374" s="46">
        <f t="shared" si="232"/>
        <v>1555504.1665217553</v>
      </c>
      <c r="P374" s="47">
        <f t="shared" si="233"/>
        <v>13500</v>
      </c>
      <c r="Q374" s="42">
        <v>1620000</v>
      </c>
      <c r="R374" s="48">
        <f t="shared" si="234"/>
        <v>0.96018775711219462</v>
      </c>
      <c r="S374" s="49"/>
      <c r="U374" s="112"/>
    </row>
    <row r="375" spans="1:21" x14ac:dyDescent="0.3">
      <c r="A375" s="40" t="str">
        <f>VLOOKUP(B375,Grupos!$A$2:$B$619,2,FALSE)</f>
        <v>VARILLAS</v>
      </c>
      <c r="B375" s="41" t="s">
        <v>1102</v>
      </c>
      <c r="C375" s="41" t="s">
        <v>1103</v>
      </c>
      <c r="D375" s="42">
        <v>92</v>
      </c>
      <c r="E375" s="43">
        <v>33500</v>
      </c>
      <c r="F375" s="43">
        <v>123.04</v>
      </c>
      <c r="G375" s="126">
        <f t="shared" si="225"/>
        <v>33623.040000000001</v>
      </c>
      <c r="H375" s="127">
        <f t="shared" si="226"/>
        <v>3082000</v>
      </c>
      <c r="I375" s="128">
        <f t="shared" si="227"/>
        <v>11319.68</v>
      </c>
      <c r="J375" s="128">
        <f t="shared" si="228"/>
        <v>3093319.6800000002</v>
      </c>
      <c r="K375" s="44">
        <f t="shared" si="229"/>
        <v>7.6923105871068232E-3</v>
      </c>
      <c r="L375" s="45"/>
      <c r="M375" s="45">
        <f t="shared" si="230"/>
        <v>723.99495046555683</v>
      </c>
      <c r="N375" s="45">
        <f t="shared" si="231"/>
        <v>34347.034950465561</v>
      </c>
      <c r="O375" s="46">
        <f t="shared" si="232"/>
        <v>3159927.2154428316</v>
      </c>
      <c r="P375" s="47">
        <f t="shared" si="233"/>
        <v>37300</v>
      </c>
      <c r="Q375" s="42">
        <v>3431600</v>
      </c>
      <c r="R375" s="48">
        <f t="shared" si="234"/>
        <v>0.92083203620551102</v>
      </c>
      <c r="S375" s="49"/>
      <c r="U375" s="112"/>
    </row>
    <row r="376" spans="1:21" x14ac:dyDescent="0.3">
      <c r="A376" s="50" t="s">
        <v>1013</v>
      </c>
      <c r="B376" s="41"/>
      <c r="C376" s="41"/>
      <c r="D376" s="51">
        <f>SUM(D364:D375)</f>
        <v>3627</v>
      </c>
      <c r="E376" s="43"/>
      <c r="F376" s="43"/>
      <c r="G376" s="126"/>
      <c r="H376" s="131">
        <f>SUM(H364:H375)</f>
        <v>401882769.93834585</v>
      </c>
      <c r="I376" s="131">
        <f>SUM(I364:I375)</f>
        <v>248637.13</v>
      </c>
      <c r="J376" s="131">
        <f>SUM(J364:J375)</f>
        <v>402131407.06834584</v>
      </c>
      <c r="K376" s="150">
        <f t="shared" si="229"/>
        <v>1</v>
      </c>
      <c r="L376" s="45"/>
      <c r="M376" s="45"/>
      <c r="N376" s="45"/>
      <c r="O376" s="55">
        <f>SUM(O364:O375)</f>
        <v>403594443.6956073</v>
      </c>
      <c r="P376" s="47"/>
      <c r="Q376" s="51">
        <f>SUM(Q364:Q375)</f>
        <v>436541651.95999998</v>
      </c>
      <c r="R376" s="57">
        <f t="shared" si="234"/>
        <v>0.92452677054648702</v>
      </c>
      <c r="S376" s="58">
        <f>Q376/$Q$377</f>
        <v>8.4178485460438907E-2</v>
      </c>
      <c r="U376" s="112"/>
    </row>
    <row r="377" spans="1:21" x14ac:dyDescent="0.3">
      <c r="A377" s="132" t="s">
        <v>1014</v>
      </c>
      <c r="B377" s="41"/>
      <c r="C377" s="41"/>
      <c r="D377" s="51">
        <f>SUM(D376,D363,D311,D308)</f>
        <v>3035304.3000000003</v>
      </c>
      <c r="E377" s="43"/>
      <c r="F377" s="43"/>
      <c r="G377" s="126"/>
      <c r="H377" s="131">
        <f>SUM(H376,H363,H311,H308)</f>
        <v>2343593237.4035034</v>
      </c>
      <c r="I377" s="131">
        <f>SUM(I376,I363,I311,I308)</f>
        <v>113331360.052</v>
      </c>
      <c r="J377" s="131">
        <f>SUM(J376,J363,J311,J308)</f>
        <v>2389230864.8955021</v>
      </c>
      <c r="K377" s="44"/>
      <c r="L377" s="45"/>
      <c r="M377" s="45"/>
      <c r="N377" s="45"/>
      <c r="O377" s="131">
        <f>O376+O363+O311+O308</f>
        <v>3473282673.8535042</v>
      </c>
      <c r="P377" s="47"/>
      <c r="Q377" s="131">
        <f>Q376+Q363+Q311+Q308</f>
        <v>5185905277.0100031</v>
      </c>
      <c r="R377" s="65">
        <f t="shared" si="234"/>
        <v>0.66975436077692252</v>
      </c>
      <c r="S377" s="148">
        <f>Q377/$Q$377</f>
        <v>1</v>
      </c>
      <c r="U377" s="112"/>
    </row>
    <row r="378" spans="1:21" x14ac:dyDescent="0.3">
      <c r="A378" s="132" t="s">
        <v>1015</v>
      </c>
      <c r="B378" s="41"/>
      <c r="C378" s="41"/>
      <c r="D378" s="51"/>
      <c r="E378" s="43"/>
      <c r="F378" s="43"/>
      <c r="G378" s="126"/>
      <c r="H378" s="131"/>
      <c r="I378" s="131"/>
      <c r="J378" s="131"/>
      <c r="K378" s="44"/>
      <c r="L378" s="45"/>
      <c r="M378" s="45"/>
      <c r="N378" s="45"/>
      <c r="O378" s="131">
        <v>-7049530</v>
      </c>
      <c r="P378" s="47"/>
      <c r="Q378" s="131">
        <v>-112223570.04000001</v>
      </c>
      <c r="R378" s="65"/>
      <c r="S378" s="144"/>
      <c r="U378" s="112"/>
    </row>
    <row r="379" spans="1:21" x14ac:dyDescent="0.3">
      <c r="A379" s="133" t="s">
        <v>1016</v>
      </c>
      <c r="B379" s="134"/>
      <c r="C379" s="134"/>
      <c r="D379" s="135">
        <f>D377+D378</f>
        <v>3035304.3000000003</v>
      </c>
      <c r="E379" s="136"/>
      <c r="F379" s="136"/>
      <c r="G379" s="137"/>
      <c r="H379" s="138">
        <f>H377+H378</f>
        <v>2343593237.4035034</v>
      </c>
      <c r="I379" s="138">
        <f>I377+I378</f>
        <v>113331360.052</v>
      </c>
      <c r="J379" s="138">
        <f>J377+J378</f>
        <v>2389230864.8955021</v>
      </c>
      <c r="K379" s="139"/>
      <c r="L379" s="140"/>
      <c r="M379" s="140"/>
      <c r="N379" s="140"/>
      <c r="O379" s="138">
        <f>O377+O378</f>
        <v>3466233143.8535042</v>
      </c>
      <c r="P379" s="141"/>
      <c r="Q379" s="138">
        <f>Q377+Q378</f>
        <v>5073681706.9700031</v>
      </c>
      <c r="R379" s="142">
        <f>O379/Q379</f>
        <v>0.6831790687799244</v>
      </c>
      <c r="S379" s="145"/>
      <c r="U379" s="112"/>
    </row>
    <row r="380" spans="1:21" x14ac:dyDescent="0.3">
      <c r="A380" s="59"/>
      <c r="B380" s="59"/>
      <c r="C380" s="59"/>
      <c r="D380" s="60"/>
      <c r="E380" s="60"/>
      <c r="F380" s="60"/>
      <c r="G380" s="63"/>
      <c r="H380" s="63"/>
      <c r="I380" s="63"/>
      <c r="J380" s="63"/>
      <c r="K380" s="64"/>
      <c r="L380" s="59"/>
      <c r="M380" s="59"/>
      <c r="N380" s="59"/>
      <c r="O380" s="60"/>
      <c r="P380" s="59"/>
      <c r="Q380" s="124"/>
      <c r="R380" s="65"/>
      <c r="S380" s="66"/>
      <c r="U380" s="112"/>
    </row>
    <row r="381" spans="1:21" x14ac:dyDescent="0.3">
      <c r="A381" s="67"/>
      <c r="B381" s="62"/>
      <c r="C381" s="62"/>
      <c r="D381" s="68"/>
      <c r="E381" s="68"/>
      <c r="F381" s="68"/>
      <c r="G381" s="69"/>
      <c r="H381" s="69" t="s">
        <v>563</v>
      </c>
      <c r="I381" s="70"/>
      <c r="J381" s="70"/>
      <c r="K381" s="71">
        <f>H379</f>
        <v>2343593237.4035034</v>
      </c>
      <c r="L381" s="44">
        <f>K381/$Q$377</f>
        <v>0.45191593602626129</v>
      </c>
      <c r="M381" s="45"/>
      <c r="N381" s="62"/>
      <c r="O381" s="62"/>
      <c r="P381" s="72"/>
      <c r="Q381" s="73"/>
      <c r="R381" s="74"/>
      <c r="S381" s="75"/>
      <c r="U381" s="112"/>
    </row>
    <row r="382" spans="1:21" x14ac:dyDescent="0.3">
      <c r="A382" s="67"/>
      <c r="B382" s="62"/>
      <c r="C382" s="62"/>
      <c r="D382" s="68"/>
      <c r="E382" s="68"/>
      <c r="F382" s="68"/>
      <c r="G382" s="76"/>
      <c r="H382" s="76" t="s">
        <v>564</v>
      </c>
      <c r="I382" s="77"/>
      <c r="J382" s="77"/>
      <c r="K382" s="78">
        <v>780198496</v>
      </c>
      <c r="L382" s="44">
        <f>K382/$Q$377</f>
        <v>0.1504459596396317</v>
      </c>
      <c r="M382" s="125">
        <f>K382/I377-1</f>
        <v>5.8842242398045901</v>
      </c>
      <c r="N382" s="62"/>
      <c r="O382" s="62"/>
      <c r="P382" s="72"/>
      <c r="Q382" s="73"/>
      <c r="R382" s="74"/>
      <c r="S382" s="75"/>
      <c r="U382" s="112"/>
    </row>
    <row r="383" spans="1:21" x14ac:dyDescent="0.3">
      <c r="A383" s="67"/>
      <c r="B383" s="62"/>
      <c r="C383" s="62"/>
      <c r="D383" s="68"/>
      <c r="E383" s="68"/>
      <c r="F383" s="68"/>
      <c r="G383" s="76"/>
      <c r="H383" s="76" t="s">
        <v>565</v>
      </c>
      <c r="I383" s="77"/>
      <c r="J383" s="77"/>
      <c r="K383" s="78">
        <f>364217030+P383</f>
        <v>417184673.00999999</v>
      </c>
      <c r="L383" s="44">
        <f>K383/$Q$377</f>
        <v>8.0445872171913804E-2</v>
      </c>
      <c r="M383" s="79"/>
      <c r="N383" s="80" t="s">
        <v>566</v>
      </c>
      <c r="O383" s="80"/>
      <c r="P383" s="81">
        <v>52967643.009999998</v>
      </c>
      <c r="Q383" s="151"/>
      <c r="R383" s="74"/>
      <c r="S383" s="75"/>
      <c r="U383" s="112"/>
    </row>
    <row r="384" spans="1:21" x14ac:dyDescent="0.3">
      <c r="A384" s="67"/>
      <c r="B384" s="62"/>
      <c r="C384" s="62"/>
      <c r="D384" s="68"/>
      <c r="E384" s="68"/>
      <c r="F384" s="68"/>
      <c r="G384" s="82"/>
      <c r="H384" s="82" t="s">
        <v>567</v>
      </c>
      <c r="I384" s="83"/>
      <c r="J384" s="83"/>
      <c r="K384" s="84">
        <f>SUM(K381:K383)</f>
        <v>3540976406.4135036</v>
      </c>
      <c r="L384" s="53"/>
      <c r="M384" s="85"/>
      <c r="N384" s="62"/>
      <c r="O384" s="62"/>
      <c r="P384" s="72"/>
      <c r="Q384" s="73"/>
      <c r="R384" s="74"/>
      <c r="S384" s="75"/>
    </row>
    <row r="385" spans="1:19" x14ac:dyDescent="0.3">
      <c r="A385" s="62"/>
      <c r="B385" s="62"/>
      <c r="C385" s="62"/>
      <c r="D385" s="68"/>
      <c r="E385" s="43"/>
      <c r="F385" s="68"/>
      <c r="G385" s="68"/>
      <c r="H385" s="68"/>
      <c r="I385" s="61"/>
      <c r="J385" s="61"/>
      <c r="K385" s="149"/>
      <c r="L385" s="62"/>
      <c r="M385" s="62"/>
      <c r="N385" s="62"/>
      <c r="O385" s="61"/>
      <c r="P385" s="62"/>
      <c r="Q385" s="68"/>
      <c r="R385" s="62"/>
      <c r="S385" s="75"/>
    </row>
    <row r="386" spans="1:19" x14ac:dyDescent="0.3">
      <c r="A386" s="62"/>
      <c r="B386" s="62"/>
      <c r="C386" s="62"/>
      <c r="D386" s="68"/>
      <c r="E386" s="68"/>
      <c r="F386" s="68"/>
      <c r="G386" s="68"/>
      <c r="H386" s="68"/>
      <c r="I386" s="61"/>
      <c r="J386" s="61"/>
      <c r="K386" s="86"/>
      <c r="L386" s="62"/>
      <c r="M386" s="62"/>
      <c r="N386" s="62"/>
      <c r="O386" s="159"/>
      <c r="P386" s="62"/>
      <c r="Q386" s="68"/>
      <c r="R386" s="62"/>
      <c r="S386" s="75"/>
    </row>
    <row r="387" spans="1:19" x14ac:dyDescent="0.3">
      <c r="A387" s="62"/>
      <c r="B387" s="62"/>
      <c r="C387" s="62"/>
      <c r="D387" s="68"/>
      <c r="E387" s="68"/>
      <c r="F387" s="68"/>
      <c r="G387" s="68"/>
      <c r="H387" s="68"/>
      <c r="I387" s="61"/>
      <c r="J387" s="95" t="s">
        <v>568</v>
      </c>
      <c r="K387" s="96">
        <f>K382+K383-P383</f>
        <v>1144415526</v>
      </c>
      <c r="L387" s="62"/>
      <c r="M387" s="62"/>
      <c r="N387" s="62"/>
      <c r="O387" s="159"/>
      <c r="P387" s="62"/>
      <c r="Q387" s="68"/>
      <c r="R387" s="62"/>
      <c r="S387" s="75"/>
    </row>
    <row r="388" spans="1:19" x14ac:dyDescent="0.3">
      <c r="A388" s="87"/>
      <c r="B388" s="87"/>
      <c r="C388" s="87"/>
      <c r="D388" s="88"/>
      <c r="E388" s="88"/>
      <c r="F388" s="88"/>
      <c r="G388" s="88"/>
      <c r="H388" s="88"/>
      <c r="I388" s="89"/>
      <c r="J388" s="89"/>
      <c r="K388" s="87" t="s">
        <v>569</v>
      </c>
      <c r="L388" s="87"/>
      <c r="M388" s="87"/>
      <c r="N388" s="87"/>
      <c r="O388" s="160"/>
      <c r="P388" s="87"/>
      <c r="Q388" s="88"/>
      <c r="R388" s="87"/>
      <c r="S388" s="90"/>
    </row>
    <row r="389" spans="1:19" x14ac:dyDescent="0.3">
      <c r="K389" s="153"/>
    </row>
    <row r="390" spans="1:19" x14ac:dyDescent="0.3">
      <c r="K390" s="92"/>
    </row>
  </sheetData>
  <autoFilter ref="A4:S384" xr:uid="{B7459B2F-3037-4CB2-A5A4-89B2C340197F}">
    <sortState xmlns:xlrd2="http://schemas.microsoft.com/office/spreadsheetml/2017/richdata2" ref="A4:S384">
      <sortCondition ref="A4:A384"/>
    </sortState>
  </autoFilter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6EB52-F452-4A3B-BBD0-E0BEF1941247}">
  <dimension ref="A1:X349"/>
  <sheetViews>
    <sheetView showGridLines="0" zoomScale="80" zoomScaleNormal="80" workbookViewId="0">
      <pane xSplit="7" ySplit="4" topLeftCell="R119" activePane="bottomRight" state="frozen"/>
      <selection pane="topRight" activeCell="H1" sqref="H1"/>
      <selection pane="bottomLeft" activeCell="A5" sqref="A5"/>
      <selection pane="bottomRight" activeCell="R12" sqref="R12"/>
    </sheetView>
  </sheetViews>
  <sheetFormatPr baseColWidth="10" defaultColWidth="50.33203125" defaultRowHeight="14.4" x14ac:dyDescent="0.3"/>
  <cols>
    <col min="1" max="1" width="44.109375" bestFit="1" customWidth="1"/>
    <col min="2" max="2" width="22.88671875" bestFit="1" customWidth="1"/>
    <col min="3" max="3" width="58.5546875" bestFit="1" customWidth="1"/>
    <col min="4" max="4" width="12.44140625" bestFit="1" customWidth="1"/>
    <col min="5" max="5" width="21.6640625" bestFit="1" customWidth="1"/>
    <col min="6" max="6" width="13" bestFit="1" customWidth="1"/>
    <col min="7" max="7" width="14.6640625" bestFit="1" customWidth="1"/>
    <col min="8" max="8" width="22.33203125" bestFit="1" customWidth="1"/>
    <col min="9" max="9" width="12.88671875" bestFit="1" customWidth="1"/>
    <col min="10" max="10" width="14" bestFit="1" customWidth="1"/>
    <col min="11" max="11" width="12.77734375" bestFit="1" customWidth="1"/>
    <col min="12" max="13" width="10.6640625" bestFit="1" customWidth="1"/>
    <col min="14" max="14" width="11.33203125" bestFit="1" customWidth="1"/>
    <col min="15" max="15" width="14" bestFit="1" customWidth="1"/>
    <col min="16" max="16" width="11.33203125" bestFit="1" customWidth="1"/>
    <col min="17" max="17" width="16" bestFit="1" customWidth="1"/>
    <col min="18" max="18" width="21.5546875" bestFit="1" customWidth="1"/>
    <col min="19" max="19" width="9" bestFit="1" customWidth="1"/>
    <col min="20" max="20" width="18" bestFit="1" customWidth="1"/>
    <col min="21" max="21" width="11.6640625" bestFit="1" customWidth="1"/>
    <col min="22" max="22" width="12.109375" bestFit="1" customWidth="1"/>
    <col min="23" max="23" width="12.21875" style="157" bestFit="1" customWidth="1"/>
    <col min="24" max="24" width="11.109375" bestFit="1" customWidth="1"/>
  </cols>
  <sheetData>
    <row r="1" spans="1:24" x14ac:dyDescent="0.3">
      <c r="A1" s="1"/>
      <c r="B1" s="1"/>
      <c r="C1" s="1"/>
      <c r="D1" s="2"/>
      <c r="E1" s="3"/>
      <c r="F1" s="3"/>
      <c r="G1" s="3"/>
      <c r="H1" s="3"/>
      <c r="I1" s="4"/>
      <c r="J1" s="4"/>
      <c r="K1" s="5"/>
      <c r="L1" s="6"/>
      <c r="M1" s="5"/>
      <c r="N1" s="7"/>
      <c r="O1" s="7"/>
      <c r="P1" s="8"/>
      <c r="Q1" s="8"/>
      <c r="R1" s="8"/>
      <c r="S1" s="8"/>
      <c r="T1" s="9"/>
      <c r="U1" s="10"/>
      <c r="V1" s="11"/>
    </row>
    <row r="2" spans="1:24" ht="15" thickBot="1" x14ac:dyDescent="0.35">
      <c r="A2" s="12" t="s">
        <v>1000</v>
      </c>
      <c r="B2" s="1"/>
      <c r="C2" s="13"/>
      <c r="D2" s="14"/>
      <c r="E2" s="15"/>
      <c r="F2" s="15"/>
      <c r="G2" s="15"/>
      <c r="H2" s="15"/>
      <c r="I2" s="16"/>
      <c r="J2" s="16"/>
      <c r="K2" s="13"/>
      <c r="L2" s="13"/>
      <c r="M2" s="13"/>
      <c r="N2" s="13"/>
      <c r="O2" s="13"/>
      <c r="P2" s="17"/>
      <c r="Q2" s="17"/>
      <c r="R2" s="17"/>
      <c r="S2" s="17"/>
      <c r="T2" s="14"/>
      <c r="U2" s="13"/>
      <c r="V2" s="18"/>
    </row>
    <row r="3" spans="1:24" x14ac:dyDescent="0.3">
      <c r="A3" s="13"/>
      <c r="B3" s="13"/>
      <c r="C3" s="13"/>
      <c r="D3" s="14"/>
      <c r="E3" s="19" t="s">
        <v>0</v>
      </c>
      <c r="F3" s="20"/>
      <c r="G3" s="21"/>
      <c r="H3" s="19" t="s">
        <v>1</v>
      </c>
      <c r="I3" s="22"/>
      <c r="J3" s="23"/>
      <c r="K3" s="24"/>
      <c r="L3" s="24"/>
      <c r="M3" s="24"/>
      <c r="N3" s="25"/>
      <c r="O3" s="26"/>
      <c r="P3" s="27"/>
      <c r="Q3" s="27"/>
      <c r="R3" s="27"/>
      <c r="S3" s="27"/>
      <c r="T3" s="28"/>
      <c r="U3" s="29"/>
      <c r="V3" s="30"/>
    </row>
    <row r="4" spans="1:24" ht="15" thickBot="1" x14ac:dyDescent="0.35">
      <c r="A4" s="31" t="s">
        <v>2</v>
      </c>
      <c r="B4" s="32" t="s">
        <v>3</v>
      </c>
      <c r="C4" s="31" t="s">
        <v>4</v>
      </c>
      <c r="D4" s="33" t="s">
        <v>5</v>
      </c>
      <c r="E4" s="34" t="s">
        <v>6</v>
      </c>
      <c r="F4" s="34" t="s">
        <v>7</v>
      </c>
      <c r="G4" s="34" t="s">
        <v>1010</v>
      </c>
      <c r="H4" s="34" t="s">
        <v>8</v>
      </c>
      <c r="I4" s="35" t="s">
        <v>9</v>
      </c>
      <c r="J4" s="35" t="s">
        <v>10</v>
      </c>
      <c r="K4" s="36" t="s">
        <v>11</v>
      </c>
      <c r="L4" s="36" t="s">
        <v>12</v>
      </c>
      <c r="M4" s="36" t="s">
        <v>13</v>
      </c>
      <c r="N4" s="36" t="s">
        <v>14</v>
      </c>
      <c r="O4" s="36" t="s">
        <v>15</v>
      </c>
      <c r="P4" s="37" t="s">
        <v>16</v>
      </c>
      <c r="Q4" s="190" t="s">
        <v>1138</v>
      </c>
      <c r="R4" s="190" t="s">
        <v>1139</v>
      </c>
      <c r="S4" s="190" t="s">
        <v>1141</v>
      </c>
      <c r="T4" s="33" t="s">
        <v>17</v>
      </c>
      <c r="U4" s="38" t="s">
        <v>18</v>
      </c>
      <c r="V4" s="39" t="s">
        <v>19</v>
      </c>
    </row>
    <row r="5" spans="1:24" x14ac:dyDescent="0.3">
      <c r="A5" s="40" t="str">
        <f>VLOOKUP(B5,Grupos!$A$2:$B$619,2,FALSE)</f>
        <v>ACCESORIOS</v>
      </c>
      <c r="B5" s="41" t="s">
        <v>755</v>
      </c>
      <c r="C5" s="41" t="s">
        <v>756</v>
      </c>
      <c r="D5" s="42">
        <v>1</v>
      </c>
      <c r="E5" s="43">
        <v>1216.9000000000001</v>
      </c>
      <c r="F5" s="43">
        <f>VLOOKUP(B5,Feb!$B$6:$F$305,5,FALSE)</f>
        <v>73.14</v>
      </c>
      <c r="G5" s="126">
        <f t="shared" ref="G5:G40" si="0">E5+F5</f>
        <v>1290.0400000000002</v>
      </c>
      <c r="H5" s="127">
        <f t="shared" ref="H5:H40" si="1">E5*D5</f>
        <v>1216.9000000000001</v>
      </c>
      <c r="I5" s="128">
        <f t="shared" ref="I5:I40" si="2">F5*D5</f>
        <v>73.14</v>
      </c>
      <c r="J5" s="128">
        <f t="shared" ref="J5:J40" si="3">G5*D5</f>
        <v>1290.0400000000002</v>
      </c>
      <c r="K5" s="44">
        <f t="shared" ref="K5:K36" si="4">J5/$J$277</f>
        <v>7.3993232506549455E-7</v>
      </c>
      <c r="L5" s="45">
        <v>303.24610280896462</v>
      </c>
      <c r="M5" s="45">
        <f>VLOOKUP(B5,Feb!$B$6:$M$305,12,FALSE)</f>
        <v>430.37216089930774</v>
      </c>
      <c r="N5" s="45">
        <f t="shared" ref="N5:N40" si="5">G5+L5+M5</f>
        <v>2023.6582637082727</v>
      </c>
      <c r="O5" s="46">
        <f t="shared" ref="O5:O40" si="6">N5*D5</f>
        <v>2023.6582637082727</v>
      </c>
      <c r="P5" s="47">
        <f t="shared" ref="P5:P40" si="7">T5/D5</f>
        <v>6762</v>
      </c>
      <c r="Q5" s="47">
        <v>16100</v>
      </c>
      <c r="R5" s="47">
        <f>Q5-P5</f>
        <v>9338</v>
      </c>
      <c r="S5" s="191">
        <f>R5/Q5</f>
        <v>0.57999999999999996</v>
      </c>
      <c r="T5" s="42">
        <v>6762</v>
      </c>
      <c r="U5" s="48">
        <f t="shared" ref="U5:U63" si="8">O5/T5</f>
        <v>0.29926919013727782</v>
      </c>
      <c r="V5" s="49"/>
      <c r="X5" s="112"/>
    </row>
    <row r="6" spans="1:24" x14ac:dyDescent="0.3">
      <c r="A6" s="40" t="str">
        <f>VLOOKUP(B6,Grupos!$A$2:$B$619,2,FALSE)</f>
        <v>ACCESORIOS</v>
      </c>
      <c r="B6" s="41" t="s">
        <v>603</v>
      </c>
      <c r="C6" s="41" t="s">
        <v>1051</v>
      </c>
      <c r="D6" s="42">
        <v>1</v>
      </c>
      <c r="E6" s="43">
        <v>2120.5</v>
      </c>
      <c r="F6" s="43">
        <f>VLOOKUP(B6,Feb!$B$6:$F$305,5,FALSE)</f>
        <v>123.35</v>
      </c>
      <c r="G6" s="126">
        <f t="shared" si="0"/>
        <v>2243.85</v>
      </c>
      <c r="H6" s="127">
        <f t="shared" si="1"/>
        <v>2120.5</v>
      </c>
      <c r="I6" s="128">
        <f t="shared" si="2"/>
        <v>123.35</v>
      </c>
      <c r="J6" s="128">
        <f t="shared" si="3"/>
        <v>2243.85</v>
      </c>
      <c r="K6" s="44">
        <f t="shared" si="4"/>
        <v>1.2870121450483781E-6</v>
      </c>
      <c r="L6" s="45">
        <v>527.45555780277755</v>
      </c>
      <c r="M6" s="45">
        <f>VLOOKUP(B6,Feb!$B$6:$M$305,12,FALSE)</f>
        <v>725.81905997989611</v>
      </c>
      <c r="N6" s="45">
        <f t="shared" si="5"/>
        <v>3497.1246177826733</v>
      </c>
      <c r="O6" s="46">
        <f t="shared" si="6"/>
        <v>3497.1246177826733</v>
      </c>
      <c r="P6" s="47">
        <f t="shared" si="7"/>
        <v>11970</v>
      </c>
      <c r="Q6" s="47">
        <v>26600</v>
      </c>
      <c r="R6" s="47">
        <f t="shared" ref="R6:R11" si="9">Q6-P6</f>
        <v>14630</v>
      </c>
      <c r="S6" s="191">
        <f t="shared" ref="S6:S69" si="10">R6/Q6</f>
        <v>0.55000000000000004</v>
      </c>
      <c r="T6" s="42">
        <v>11970</v>
      </c>
      <c r="U6" s="48">
        <f t="shared" si="8"/>
        <v>0.29215744509462599</v>
      </c>
      <c r="V6" s="49"/>
      <c r="X6" s="112"/>
    </row>
    <row r="7" spans="1:24" x14ac:dyDescent="0.3">
      <c r="A7" s="40" t="str">
        <f>VLOOKUP(B7,Grupos!$A$2:$B$619,2,FALSE)</f>
        <v>ACCESORIOS</v>
      </c>
      <c r="B7" s="41" t="s">
        <v>659</v>
      </c>
      <c r="C7" s="41" t="s">
        <v>660</v>
      </c>
      <c r="D7" s="42">
        <v>1</v>
      </c>
      <c r="E7" s="43">
        <v>2376.63</v>
      </c>
      <c r="F7" s="43">
        <f>VLOOKUP(B7,Feb!$B$6:$F$305,5,FALSE)</f>
        <v>87.07</v>
      </c>
      <c r="G7" s="126">
        <f t="shared" si="0"/>
        <v>2463.7000000000003</v>
      </c>
      <c r="H7" s="127">
        <f t="shared" si="1"/>
        <v>2376.63</v>
      </c>
      <c r="I7" s="128">
        <f t="shared" si="2"/>
        <v>87.07</v>
      </c>
      <c r="J7" s="128">
        <f t="shared" si="3"/>
        <v>2463.7000000000003</v>
      </c>
      <c r="K7" s="44">
        <f t="shared" si="4"/>
        <v>1.4131122052524408E-6</v>
      </c>
      <c r="L7" s="45">
        <v>579.1350837884454</v>
      </c>
      <c r="M7" s="45">
        <f>VLOOKUP(B7,Feb!$B$6:$M$305,12,FALSE)</f>
        <v>512.33940455978563</v>
      </c>
      <c r="N7" s="45">
        <f t="shared" si="5"/>
        <v>3555.1744883482311</v>
      </c>
      <c r="O7" s="46">
        <f t="shared" si="6"/>
        <v>3555.1744883482311</v>
      </c>
      <c r="P7" s="47">
        <f t="shared" si="7"/>
        <v>26700</v>
      </c>
      <c r="Q7" s="47">
        <v>33600</v>
      </c>
      <c r="R7" s="47">
        <f t="shared" si="9"/>
        <v>6900</v>
      </c>
      <c r="S7" s="191">
        <f t="shared" si="10"/>
        <v>0.20535714285714285</v>
      </c>
      <c r="T7" s="42">
        <v>26700</v>
      </c>
      <c r="U7" s="48">
        <f t="shared" si="8"/>
        <v>0.13315260255985883</v>
      </c>
      <c r="V7" s="49"/>
      <c r="X7" s="112"/>
    </row>
    <row r="8" spans="1:24" x14ac:dyDescent="0.3">
      <c r="A8" s="40" t="str">
        <f>VLOOKUP(B8,Grupos!$A$2:$B$619,2,FALSE)</f>
        <v>ACCESORIOS</v>
      </c>
      <c r="B8" s="41" t="s">
        <v>604</v>
      </c>
      <c r="C8" s="41" t="s">
        <v>1052</v>
      </c>
      <c r="D8" s="42">
        <v>1</v>
      </c>
      <c r="E8" s="43">
        <v>3286.26</v>
      </c>
      <c r="F8" s="43">
        <f>VLOOKUP(B8,Feb!$B$6:$F$305,5,FALSE)</f>
        <v>157.35</v>
      </c>
      <c r="G8" s="126">
        <f t="shared" si="0"/>
        <v>3443.61</v>
      </c>
      <c r="H8" s="127">
        <f t="shared" si="1"/>
        <v>3286.26</v>
      </c>
      <c r="I8" s="128">
        <f t="shared" si="2"/>
        <v>157.35</v>
      </c>
      <c r="J8" s="128">
        <f t="shared" si="3"/>
        <v>3443.61</v>
      </c>
      <c r="K8" s="44">
        <f t="shared" si="4"/>
        <v>1.9751622848274374E-6</v>
      </c>
      <c r="L8" s="45">
        <v>809.47979294748893</v>
      </c>
      <c r="M8" s="45">
        <f>VLOOKUP(B8,Feb!$B$6:$M$305,12,FALSE)</f>
        <v>925.88268413325227</v>
      </c>
      <c r="N8" s="45">
        <f t="shared" si="5"/>
        <v>5178.9724770807406</v>
      </c>
      <c r="O8" s="46">
        <f t="shared" si="6"/>
        <v>5178.9724770807406</v>
      </c>
      <c r="P8" s="47">
        <f t="shared" si="7"/>
        <v>38587.5</v>
      </c>
      <c r="Q8" s="47">
        <v>51450</v>
      </c>
      <c r="R8" s="47">
        <f t="shared" si="9"/>
        <v>12862.5</v>
      </c>
      <c r="S8" s="191">
        <f t="shared" si="10"/>
        <v>0.25</v>
      </c>
      <c r="T8" s="42">
        <v>38587.5</v>
      </c>
      <c r="U8" s="48">
        <f t="shared" si="8"/>
        <v>0.13421373442386111</v>
      </c>
      <c r="V8" s="49"/>
      <c r="X8" s="112"/>
    </row>
    <row r="9" spans="1:24" x14ac:dyDescent="0.3">
      <c r="A9" s="40" t="str">
        <f>VLOOKUP(B9,Grupos!$A$2:$B$619,2,FALSE)</f>
        <v>ACCESORIOS</v>
      </c>
      <c r="B9" s="41" t="s">
        <v>662</v>
      </c>
      <c r="C9" s="41" t="s">
        <v>1053</v>
      </c>
      <c r="D9" s="42">
        <v>1</v>
      </c>
      <c r="E9" s="43">
        <v>2141.58</v>
      </c>
      <c r="F9" s="43">
        <f>VLOOKUP(B9,Feb!$B$6:$F$305,5,FALSE)</f>
        <v>66.959999999999994</v>
      </c>
      <c r="G9" s="126">
        <f t="shared" si="0"/>
        <v>2208.54</v>
      </c>
      <c r="H9" s="127">
        <f t="shared" si="1"/>
        <v>2141.58</v>
      </c>
      <c r="I9" s="128">
        <f t="shared" si="2"/>
        <v>66.959999999999994</v>
      </c>
      <c r="J9" s="128">
        <f t="shared" si="3"/>
        <v>2208.54</v>
      </c>
      <c r="K9" s="44">
        <f t="shared" si="4"/>
        <v>1.2667592766116918E-6</v>
      </c>
      <c r="L9" s="45">
        <v>519.15533463901158</v>
      </c>
      <c r="M9" s="45">
        <f>VLOOKUP(B9,Feb!$B$6:$M$305,12,FALSE)</f>
        <v>394.00765509731531</v>
      </c>
      <c r="N9" s="45">
        <f t="shared" si="5"/>
        <v>3121.7029897363268</v>
      </c>
      <c r="O9" s="46">
        <f t="shared" si="6"/>
        <v>3121.7029897363268</v>
      </c>
      <c r="P9" s="47">
        <f t="shared" si="7"/>
        <v>33112.5</v>
      </c>
      <c r="Q9" s="47">
        <v>44150</v>
      </c>
      <c r="R9" s="47">
        <f t="shared" si="9"/>
        <v>11037.5</v>
      </c>
      <c r="S9" s="191">
        <f t="shared" si="10"/>
        <v>0.25</v>
      </c>
      <c r="T9" s="42">
        <v>33112.5</v>
      </c>
      <c r="U9" s="48">
        <f t="shared" si="8"/>
        <v>9.427566597920202E-2</v>
      </c>
      <c r="V9" s="49"/>
      <c r="X9" s="112"/>
    </row>
    <row r="10" spans="1:24" x14ac:dyDescent="0.3">
      <c r="A10" s="40" t="str">
        <f>VLOOKUP(B10,Grupos!$A$2:$B$619,2,FALSE)</f>
        <v>ACCESORIOS</v>
      </c>
      <c r="B10" s="41" t="s">
        <v>663</v>
      </c>
      <c r="C10" s="41" t="s">
        <v>664</v>
      </c>
      <c r="D10" s="42">
        <v>20</v>
      </c>
      <c r="E10" s="43">
        <v>3200</v>
      </c>
      <c r="F10" s="43">
        <f>VLOOKUP(B10,Feb!$B$6:$F$305,5,FALSE)</f>
        <v>0</v>
      </c>
      <c r="G10" s="126">
        <f t="shared" si="0"/>
        <v>3200</v>
      </c>
      <c r="H10" s="127">
        <f t="shared" si="1"/>
        <v>64000</v>
      </c>
      <c r="I10" s="128">
        <f t="shared" si="2"/>
        <v>0</v>
      </c>
      <c r="J10" s="128">
        <f t="shared" si="3"/>
        <v>64000</v>
      </c>
      <c r="K10" s="44">
        <f t="shared" si="4"/>
        <v>3.6708682524721434E-5</v>
      </c>
      <c r="L10" s="45">
        <v>752.2150700665768</v>
      </c>
      <c r="M10" s="45">
        <f>VLOOKUP(B10,Feb!$B$6:$M$305,12,FALSE)</f>
        <v>0</v>
      </c>
      <c r="N10" s="45">
        <f t="shared" si="5"/>
        <v>3952.215070066577</v>
      </c>
      <c r="O10" s="46">
        <f t="shared" si="6"/>
        <v>79044.301401331541</v>
      </c>
      <c r="P10" s="47">
        <f t="shared" si="7"/>
        <v>7217.55</v>
      </c>
      <c r="Q10" s="47">
        <v>18650</v>
      </c>
      <c r="R10" s="47">
        <f t="shared" si="9"/>
        <v>11432.45</v>
      </c>
      <c r="S10" s="191">
        <f t="shared" si="10"/>
        <v>0.61299999999999999</v>
      </c>
      <c r="T10" s="42">
        <v>144351</v>
      </c>
      <c r="U10" s="48">
        <f t="shared" si="8"/>
        <v>0.54758402367376424</v>
      </c>
      <c r="V10" s="49"/>
      <c r="X10" s="112"/>
    </row>
    <row r="11" spans="1:24" x14ac:dyDescent="0.3">
      <c r="A11" s="40" t="str">
        <f>VLOOKUP(B11,Grupos!$A$2:$B$619,2,FALSE)</f>
        <v>ACCESORIOS</v>
      </c>
      <c r="B11" s="41" t="s">
        <v>21</v>
      </c>
      <c r="C11" s="41" t="s">
        <v>1058</v>
      </c>
      <c r="D11" s="42">
        <v>20</v>
      </c>
      <c r="E11" s="43">
        <v>68.22</v>
      </c>
      <c r="F11" s="43">
        <f>VLOOKUP(B11,Feb!$B$6:$F$305,5,FALSE)</f>
        <v>12.44</v>
      </c>
      <c r="G11" s="126">
        <f t="shared" si="0"/>
        <v>80.66</v>
      </c>
      <c r="H11" s="127">
        <f t="shared" si="1"/>
        <v>1364.4</v>
      </c>
      <c r="I11" s="128">
        <f t="shared" si="2"/>
        <v>248.79999999999998</v>
      </c>
      <c r="J11" s="128">
        <f t="shared" si="3"/>
        <v>1613.1999999999998</v>
      </c>
      <c r="K11" s="44">
        <f t="shared" si="4"/>
        <v>9.2528822888875962E-7</v>
      </c>
      <c r="L11" s="45">
        <v>18.960521109865645</v>
      </c>
      <c r="M11" s="45">
        <f>VLOOKUP(B11,Feb!$B$6:$M$305,12,FALSE)</f>
        <v>73.199749543169091</v>
      </c>
      <c r="N11" s="45">
        <f t="shared" si="5"/>
        <v>172.82027065303475</v>
      </c>
      <c r="O11" s="46">
        <f t="shared" si="6"/>
        <v>3456.4054130606951</v>
      </c>
      <c r="P11" s="47">
        <f t="shared" si="7"/>
        <v>1540</v>
      </c>
      <c r="Q11" s="47">
        <v>3850</v>
      </c>
      <c r="R11" s="47">
        <f t="shared" si="9"/>
        <v>2310</v>
      </c>
      <c r="S11" s="191">
        <f t="shared" si="10"/>
        <v>0.6</v>
      </c>
      <c r="T11" s="42">
        <v>30800</v>
      </c>
      <c r="U11" s="48">
        <f t="shared" si="8"/>
        <v>0.11222095496950309</v>
      </c>
      <c r="V11" s="49"/>
      <c r="X11" s="112"/>
    </row>
    <row r="12" spans="1:24" x14ac:dyDescent="0.3">
      <c r="A12" s="40" t="str">
        <f>VLOOKUP(B12,Grupos!$A$2:$B$619,2,FALSE)</f>
        <v>ACCESORIOS</v>
      </c>
      <c r="B12" s="41" t="s">
        <v>23</v>
      </c>
      <c r="C12" s="41" t="s">
        <v>24</v>
      </c>
      <c r="D12" s="42">
        <v>13800</v>
      </c>
      <c r="E12" s="43">
        <v>59.89</v>
      </c>
      <c r="F12" s="43">
        <f>VLOOKUP(B12,Feb!$B$6:$F$305,5,FALSE)</f>
        <v>35.07</v>
      </c>
      <c r="G12" s="126">
        <f t="shared" si="0"/>
        <v>94.960000000000008</v>
      </c>
      <c r="H12" s="127">
        <f t="shared" si="1"/>
        <v>826482</v>
      </c>
      <c r="I12" s="128">
        <f t="shared" si="2"/>
        <v>483966</v>
      </c>
      <c r="J12" s="128">
        <f t="shared" si="3"/>
        <v>1310448</v>
      </c>
      <c r="K12" s="44">
        <f t="shared" si="4"/>
        <v>7.5163780620556497E-4</v>
      </c>
      <c r="L12" s="45">
        <v>22.321982204225666</v>
      </c>
      <c r="M12" s="45">
        <f>VLOOKUP(B12,Feb!$B$6:$M$305,12,FALSE)</f>
        <v>206.35974408994699</v>
      </c>
      <c r="N12" s="45">
        <f t="shared" si="5"/>
        <v>323.64172629417266</v>
      </c>
      <c r="O12" s="46">
        <f t="shared" si="6"/>
        <v>4466255.8228595825</v>
      </c>
      <c r="P12" s="47">
        <f t="shared" si="7"/>
        <v>120.39130072463767</v>
      </c>
      <c r="Q12" s="47">
        <v>300</v>
      </c>
      <c r="R12" s="47">
        <f t="shared" ref="R12:R27" si="11">Q12-P12</f>
        <v>179.60869927536231</v>
      </c>
      <c r="S12" s="191">
        <f t="shared" si="10"/>
        <v>0.59869566425120768</v>
      </c>
      <c r="T12" s="42">
        <v>1661399.95</v>
      </c>
      <c r="U12" s="152">
        <f t="shared" si="8"/>
        <v>2.6882484394318071</v>
      </c>
      <c r="V12" s="49"/>
      <c r="X12" s="112"/>
    </row>
    <row r="13" spans="1:24" x14ac:dyDescent="0.3">
      <c r="A13" s="40" t="str">
        <f>VLOOKUP(B13,Grupos!$A$2:$B$619,2,FALSE)</f>
        <v>ACCESORIOS</v>
      </c>
      <c r="B13" s="41" t="s">
        <v>25</v>
      </c>
      <c r="C13" s="41" t="s">
        <v>26</v>
      </c>
      <c r="D13" s="42">
        <v>-2400</v>
      </c>
      <c r="E13" s="43">
        <v>43.39</v>
      </c>
      <c r="F13" s="43">
        <f>VLOOKUP(B13,Feb!$B$6:$F$305,5,FALSE)</f>
        <v>43.22</v>
      </c>
      <c r="G13" s="126">
        <f t="shared" si="0"/>
        <v>86.61</v>
      </c>
      <c r="H13" s="127">
        <f t="shared" si="1"/>
        <v>-104136</v>
      </c>
      <c r="I13" s="128">
        <f t="shared" si="2"/>
        <v>-103728</v>
      </c>
      <c r="J13" s="128">
        <f t="shared" si="3"/>
        <v>-207864</v>
      </c>
      <c r="K13" s="44">
        <f t="shared" si="4"/>
        <v>-1.1922521225497964E-4</v>
      </c>
      <c r="L13" s="45">
        <v>20.35917100577069</v>
      </c>
      <c r="M13" s="45">
        <f>VLOOKUP(B13,Feb!$B$6:$M$305,12,FALSE)</f>
        <v>254.31617164435437</v>
      </c>
      <c r="N13" s="45">
        <f t="shared" si="5"/>
        <v>361.28534265012507</v>
      </c>
      <c r="O13" s="46">
        <f t="shared" si="6"/>
        <v>-867084.82236030023</v>
      </c>
      <c r="P13" s="47">
        <f t="shared" si="7"/>
        <v>102.50000833333333</v>
      </c>
      <c r="Q13" s="47">
        <v>250</v>
      </c>
      <c r="R13" s="47">
        <f t="shared" si="11"/>
        <v>147.49999166666669</v>
      </c>
      <c r="S13" s="191">
        <f t="shared" si="10"/>
        <v>0.58999996666666676</v>
      </c>
      <c r="T13" s="42">
        <v>-246000.02</v>
      </c>
      <c r="U13" s="152">
        <f t="shared" si="8"/>
        <v>3.5247347636813209</v>
      </c>
      <c r="V13" s="49"/>
      <c r="X13" s="112"/>
    </row>
    <row r="14" spans="1:24" x14ac:dyDescent="0.3">
      <c r="A14" s="40" t="str">
        <f>VLOOKUP(B14,Grupos!$A$2:$B$619,2,FALSE)</f>
        <v>ACCESORIOS</v>
      </c>
      <c r="B14" s="41" t="s">
        <v>609</v>
      </c>
      <c r="C14" s="41" t="s">
        <v>610</v>
      </c>
      <c r="D14" s="42">
        <v>28</v>
      </c>
      <c r="E14" s="43">
        <v>2166.94</v>
      </c>
      <c r="F14" s="43">
        <f>VLOOKUP(B14,Feb!$B$6:$F$305,5,FALSE)</f>
        <v>0</v>
      </c>
      <c r="G14" s="126">
        <f t="shared" si="0"/>
        <v>2166.94</v>
      </c>
      <c r="H14" s="127">
        <f t="shared" si="1"/>
        <v>60674.32</v>
      </c>
      <c r="I14" s="128">
        <f t="shared" si="2"/>
        <v>0</v>
      </c>
      <c r="J14" s="128">
        <f t="shared" si="3"/>
        <v>60674.32</v>
      </c>
      <c r="K14" s="44">
        <f t="shared" si="4"/>
        <v>3.480116172317744E-5</v>
      </c>
      <c r="L14" s="45">
        <v>509.3765387281461</v>
      </c>
      <c r="M14" s="45">
        <f>VLOOKUP(B14,Feb!$B$6:$M$305,12,FALSE)</f>
        <v>0</v>
      </c>
      <c r="N14" s="45">
        <f t="shared" si="5"/>
        <v>2676.316538728146</v>
      </c>
      <c r="O14" s="46">
        <f t="shared" si="6"/>
        <v>74936.863084388082</v>
      </c>
      <c r="P14" s="47">
        <f t="shared" si="7"/>
        <v>12970.285714285714</v>
      </c>
      <c r="Q14" s="47">
        <v>31200</v>
      </c>
      <c r="R14" s="47">
        <f t="shared" si="11"/>
        <v>18229.714285714286</v>
      </c>
      <c r="S14" s="191">
        <f t="shared" si="10"/>
        <v>0.5842857142857143</v>
      </c>
      <c r="T14" s="42">
        <v>363168</v>
      </c>
      <c r="U14" s="48">
        <f t="shared" si="8"/>
        <v>0.20634214216117081</v>
      </c>
      <c r="V14" s="49"/>
      <c r="X14" s="112"/>
    </row>
    <row r="15" spans="1:24" x14ac:dyDescent="0.3">
      <c r="A15" s="40" t="str">
        <f>VLOOKUP(B15,Grupos!$A$2:$B$619,2,FALSE)</f>
        <v>ACCESORIOS</v>
      </c>
      <c r="B15" s="41" t="s">
        <v>708</v>
      </c>
      <c r="C15" s="41" t="s">
        <v>709</v>
      </c>
      <c r="D15" s="42">
        <v>1</v>
      </c>
      <c r="E15" s="43">
        <v>3042.06</v>
      </c>
      <c r="F15" s="43">
        <f>VLOOKUP(B15,Feb!$B$6:$F$305,5,FALSE)</f>
        <v>0</v>
      </c>
      <c r="G15" s="126">
        <f t="shared" si="0"/>
        <v>3042.06</v>
      </c>
      <c r="H15" s="127">
        <f t="shared" si="1"/>
        <v>3042.06</v>
      </c>
      <c r="I15" s="128">
        <f t="shared" si="2"/>
        <v>0</v>
      </c>
      <c r="J15" s="128">
        <f t="shared" si="3"/>
        <v>3042.06</v>
      </c>
      <c r="K15" s="44">
        <f t="shared" si="4"/>
        <v>1.7448439806430328E-6</v>
      </c>
      <c r="L15" s="45">
        <v>715.08855501460323</v>
      </c>
      <c r="M15" s="45">
        <f>VLOOKUP(B15,Feb!$B$6:$M$305,12,FALSE)</f>
        <v>0</v>
      </c>
      <c r="N15" s="45">
        <f t="shared" si="5"/>
        <v>3757.1485550146031</v>
      </c>
      <c r="O15" s="46">
        <f t="shared" si="6"/>
        <v>3757.1485550146031</v>
      </c>
      <c r="P15" s="47">
        <f t="shared" si="7"/>
        <v>32812.5</v>
      </c>
      <c r="Q15" s="47">
        <v>43750</v>
      </c>
      <c r="R15" s="47">
        <f t="shared" si="11"/>
        <v>10937.5</v>
      </c>
      <c r="S15" s="191">
        <f t="shared" si="10"/>
        <v>0.25</v>
      </c>
      <c r="T15" s="42">
        <v>32812.5</v>
      </c>
      <c r="U15" s="48">
        <f t="shared" si="8"/>
        <v>0.11450357500996886</v>
      </c>
      <c r="V15" s="49"/>
      <c r="X15" s="112"/>
    </row>
    <row r="16" spans="1:24" x14ac:dyDescent="0.3">
      <c r="A16" s="40" t="str">
        <f>VLOOKUP(B16,Grupos!$A$2:$B$619,2,FALSE)</f>
        <v>ACCESORIOS</v>
      </c>
      <c r="B16" s="41" t="s">
        <v>28</v>
      </c>
      <c r="C16" s="41" t="s">
        <v>1073</v>
      </c>
      <c r="D16" s="42">
        <v>7</v>
      </c>
      <c r="E16" s="43">
        <v>7688.17</v>
      </c>
      <c r="F16" s="43">
        <f>VLOOKUP(B16,Feb!$B$6:$F$305,5,FALSE)</f>
        <v>0</v>
      </c>
      <c r="G16" s="126">
        <f t="shared" si="0"/>
        <v>7688.17</v>
      </c>
      <c r="H16" s="127">
        <f t="shared" si="1"/>
        <v>53817.19</v>
      </c>
      <c r="I16" s="128">
        <f t="shared" si="2"/>
        <v>0</v>
      </c>
      <c r="J16" s="128">
        <f t="shared" si="3"/>
        <v>53817.19</v>
      </c>
      <c r="K16" s="44">
        <f t="shared" si="4"/>
        <v>3.086809597004083E-5</v>
      </c>
      <c r="L16" s="45">
        <v>1807.2366672605478</v>
      </c>
      <c r="M16" s="45">
        <f>VLOOKUP(B16,Feb!$B$6:$M$305,12,FALSE)</f>
        <v>0</v>
      </c>
      <c r="N16" s="45">
        <f t="shared" si="5"/>
        <v>9495.4066672605477</v>
      </c>
      <c r="O16" s="46">
        <f t="shared" si="6"/>
        <v>66467.846670823841</v>
      </c>
      <c r="P16" s="47">
        <f t="shared" si="7"/>
        <v>24174</v>
      </c>
      <c r="Q16" s="47">
        <v>55300</v>
      </c>
      <c r="R16" s="47">
        <f t="shared" si="11"/>
        <v>31126</v>
      </c>
      <c r="S16" s="191">
        <f t="shared" si="10"/>
        <v>0.56285714285714283</v>
      </c>
      <c r="T16" s="42">
        <v>169218</v>
      </c>
      <c r="U16" s="48">
        <f t="shared" si="8"/>
        <v>0.3927941866162219</v>
      </c>
      <c r="V16" s="49"/>
      <c r="X16" s="112"/>
    </row>
    <row r="17" spans="1:24" x14ac:dyDescent="0.3">
      <c r="A17" s="40" t="str">
        <f>VLOOKUP(B17,Grupos!$A$2:$B$619,2,FALSE)</f>
        <v>ACCESORIOS</v>
      </c>
      <c r="B17" s="41" t="s">
        <v>29</v>
      </c>
      <c r="C17" s="41" t="s">
        <v>30</v>
      </c>
      <c r="D17" s="42">
        <v>1</v>
      </c>
      <c r="E17" s="43">
        <v>9669.17</v>
      </c>
      <c r="F17" s="43">
        <f>VLOOKUP(B17,Feb!$B$6:$F$305,5,FALSE)</f>
        <v>0</v>
      </c>
      <c r="G17" s="126">
        <f t="shared" si="0"/>
        <v>9669.17</v>
      </c>
      <c r="H17" s="127">
        <f t="shared" si="1"/>
        <v>9669.17</v>
      </c>
      <c r="I17" s="128">
        <f t="shared" si="2"/>
        <v>0</v>
      </c>
      <c r="J17" s="128">
        <f t="shared" si="3"/>
        <v>9669.17</v>
      </c>
      <c r="K17" s="44">
        <f t="shared" si="4"/>
        <v>5.5459764344931373E-6</v>
      </c>
      <c r="L17" s="45">
        <v>2272.9048090736383</v>
      </c>
      <c r="M17" s="45">
        <f>VLOOKUP(B17,Feb!$B$6:$M$305,12,FALSE)</f>
        <v>0</v>
      </c>
      <c r="N17" s="45">
        <f t="shared" si="5"/>
        <v>11942.074809073638</v>
      </c>
      <c r="O17" s="46">
        <f t="shared" si="6"/>
        <v>11942.074809073638</v>
      </c>
      <c r="P17" s="47">
        <f t="shared" si="7"/>
        <v>51937.5</v>
      </c>
      <c r="Q17" s="47">
        <v>69250</v>
      </c>
      <c r="R17" s="47">
        <f t="shared" si="11"/>
        <v>17312.5</v>
      </c>
      <c r="S17" s="191">
        <f t="shared" si="10"/>
        <v>0.25</v>
      </c>
      <c r="T17" s="42">
        <v>51937.5</v>
      </c>
      <c r="U17" s="48">
        <f t="shared" si="8"/>
        <v>0.22993164494004598</v>
      </c>
      <c r="V17" s="49"/>
      <c r="X17" s="112"/>
    </row>
    <row r="18" spans="1:24" x14ac:dyDescent="0.3">
      <c r="A18" s="40" t="str">
        <f>VLOOKUP(B18,Grupos!$A$2:$B$619,2,FALSE)</f>
        <v>ACCESORIOS</v>
      </c>
      <c r="B18" s="41" t="s">
        <v>32</v>
      </c>
      <c r="C18" s="41" t="s">
        <v>33</v>
      </c>
      <c r="D18" s="42">
        <v>1</v>
      </c>
      <c r="E18" s="43">
        <v>15612.16</v>
      </c>
      <c r="F18" s="43">
        <f>VLOOKUP(B18,Feb!$B$6:$F$305,5,FALSE)</f>
        <v>0</v>
      </c>
      <c r="G18" s="126">
        <f t="shared" si="0"/>
        <v>15612.16</v>
      </c>
      <c r="H18" s="127">
        <f t="shared" si="1"/>
        <v>15612.16</v>
      </c>
      <c r="I18" s="128">
        <f t="shared" si="2"/>
        <v>0</v>
      </c>
      <c r="J18" s="128">
        <f t="shared" si="3"/>
        <v>15612.16</v>
      </c>
      <c r="K18" s="44">
        <f t="shared" si="4"/>
        <v>8.9547160150805471E-6</v>
      </c>
      <c r="L18" s="45">
        <v>3669.9068838408143</v>
      </c>
      <c r="M18" s="45">
        <f>VLOOKUP(B18,Feb!$B$6:$M$305,12,FALSE)</f>
        <v>0</v>
      </c>
      <c r="N18" s="45">
        <f t="shared" si="5"/>
        <v>19282.066883840813</v>
      </c>
      <c r="O18" s="46">
        <f t="shared" si="6"/>
        <v>19282.066883840813</v>
      </c>
      <c r="P18" s="47">
        <f t="shared" si="7"/>
        <v>85125</v>
      </c>
      <c r="Q18" s="47">
        <v>113500</v>
      </c>
      <c r="R18" s="47">
        <f t="shared" si="11"/>
        <v>28375</v>
      </c>
      <c r="S18" s="191">
        <f t="shared" si="10"/>
        <v>0.25</v>
      </c>
      <c r="T18" s="42">
        <v>85125</v>
      </c>
      <c r="U18" s="48">
        <f t="shared" si="8"/>
        <v>0.22651473578667622</v>
      </c>
      <c r="V18" s="49"/>
      <c r="X18" s="112"/>
    </row>
    <row r="19" spans="1:24" x14ac:dyDescent="0.3">
      <c r="A19" s="40" t="str">
        <f>VLOOKUP(B19,Grupos!$A$2:$B$619,2,FALSE)</f>
        <v>ACCESORIOS</v>
      </c>
      <c r="B19" s="41" t="s">
        <v>1074</v>
      </c>
      <c r="C19" s="41" t="s">
        <v>1075</v>
      </c>
      <c r="D19" s="42">
        <v>66</v>
      </c>
      <c r="E19" s="43">
        <v>676</v>
      </c>
      <c r="F19" s="43">
        <f>VLOOKUP(B19,Feb!$B$6:$F$305,5,FALSE)</f>
        <v>0</v>
      </c>
      <c r="G19" s="126">
        <f t="shared" si="0"/>
        <v>676</v>
      </c>
      <c r="H19" s="127">
        <f t="shared" si="1"/>
        <v>44616</v>
      </c>
      <c r="I19" s="128">
        <f t="shared" si="2"/>
        <v>0</v>
      </c>
      <c r="J19" s="128">
        <f t="shared" si="3"/>
        <v>44616</v>
      </c>
      <c r="K19" s="44">
        <f t="shared" si="4"/>
        <v>2.5590540305046432E-5</v>
      </c>
      <c r="L19" s="45">
        <v>158.90543355156433</v>
      </c>
      <c r="M19" s="45">
        <f>VLOOKUP(B19,Feb!$B$6:$M$305,12,FALSE)</f>
        <v>0</v>
      </c>
      <c r="N19" s="45">
        <f t="shared" si="5"/>
        <v>834.90543355156433</v>
      </c>
      <c r="O19" s="46">
        <f t="shared" si="6"/>
        <v>55103.758614403247</v>
      </c>
      <c r="P19" s="47">
        <f t="shared" si="7"/>
        <v>4779.9996969696967</v>
      </c>
      <c r="Q19" s="47">
        <v>11950</v>
      </c>
      <c r="R19" s="47">
        <f t="shared" si="11"/>
        <v>7170.0003030303033</v>
      </c>
      <c r="S19" s="191">
        <f t="shared" si="10"/>
        <v>0.60000002535818442</v>
      </c>
      <c r="T19" s="42">
        <v>315479.98</v>
      </c>
      <c r="U19" s="48">
        <f t="shared" si="8"/>
        <v>0.17466641976585409</v>
      </c>
      <c r="V19" s="49"/>
      <c r="X19" s="112"/>
    </row>
    <row r="20" spans="1:24" x14ac:dyDescent="0.3">
      <c r="A20" s="40" t="str">
        <f>VLOOKUP(B20,Grupos!$A$2:$B$619,2,FALSE)</f>
        <v>ACCESORIOS</v>
      </c>
      <c r="B20" s="41" t="s">
        <v>34</v>
      </c>
      <c r="C20" s="41" t="s">
        <v>35</v>
      </c>
      <c r="D20" s="42">
        <v>6</v>
      </c>
      <c r="E20" s="43">
        <v>1229.3900000000001</v>
      </c>
      <c r="F20" s="43">
        <f>VLOOKUP(B20,Feb!$B$6:$F$305,5,FALSE)</f>
        <v>0</v>
      </c>
      <c r="G20" s="126">
        <f t="shared" si="0"/>
        <v>1229.3900000000001</v>
      </c>
      <c r="H20" s="127">
        <f t="shared" si="1"/>
        <v>7376.34</v>
      </c>
      <c r="I20" s="128">
        <f t="shared" si="2"/>
        <v>0</v>
      </c>
      <c r="J20" s="128">
        <f t="shared" si="3"/>
        <v>7376.34</v>
      </c>
      <c r="K20" s="44">
        <f t="shared" si="4"/>
        <v>4.2308706758500586E-6</v>
      </c>
      <c r="L20" s="45">
        <v>288.98927655910899</v>
      </c>
      <c r="M20" s="45">
        <f>VLOOKUP(B20,Feb!$B$6:$M$305,12,FALSE)</f>
        <v>0</v>
      </c>
      <c r="N20" s="45">
        <f t="shared" si="5"/>
        <v>1518.379276559109</v>
      </c>
      <c r="O20" s="46">
        <f t="shared" si="6"/>
        <v>9110.2756593546546</v>
      </c>
      <c r="P20" s="47">
        <f t="shared" si="7"/>
        <v>6776</v>
      </c>
      <c r="Q20" s="47">
        <v>15400</v>
      </c>
      <c r="R20" s="47">
        <f t="shared" si="11"/>
        <v>8624</v>
      </c>
      <c r="S20" s="191">
        <f t="shared" si="10"/>
        <v>0.56000000000000005</v>
      </c>
      <c r="T20" s="42">
        <v>40656</v>
      </c>
      <c r="U20" s="48">
        <f t="shared" si="8"/>
        <v>0.22408194754414243</v>
      </c>
      <c r="V20" s="49"/>
      <c r="X20" s="112"/>
    </row>
    <row r="21" spans="1:24" x14ac:dyDescent="0.3">
      <c r="A21" s="40" t="str">
        <f>VLOOKUP(B21,Grupos!$A$2:$B$619,2,FALSE)</f>
        <v>ACCESORIOS</v>
      </c>
      <c r="B21" s="41" t="s">
        <v>36</v>
      </c>
      <c r="C21" s="41" t="s">
        <v>37</v>
      </c>
      <c r="D21" s="42">
        <v>130</v>
      </c>
      <c r="E21" s="43">
        <v>1583.66</v>
      </c>
      <c r="F21" s="43">
        <f>VLOOKUP(B21,Feb!$B$6:$F$305,5,FALSE)</f>
        <v>0</v>
      </c>
      <c r="G21" s="126">
        <f t="shared" si="0"/>
        <v>1583.66</v>
      </c>
      <c r="H21" s="127">
        <f t="shared" si="1"/>
        <v>205875.80000000002</v>
      </c>
      <c r="I21" s="128">
        <f t="shared" si="2"/>
        <v>0</v>
      </c>
      <c r="J21" s="128">
        <f t="shared" si="3"/>
        <v>205875.80000000002</v>
      </c>
      <c r="K21" s="44">
        <f t="shared" si="4"/>
        <v>1.180848340894226E-4</v>
      </c>
      <c r="L21" s="45">
        <v>372.2665368317609</v>
      </c>
      <c r="M21" s="45">
        <f>VLOOKUP(B21,Feb!$B$6:$M$305,12,FALSE)</f>
        <v>0</v>
      </c>
      <c r="N21" s="45">
        <f t="shared" si="5"/>
        <v>1955.926536831761</v>
      </c>
      <c r="O21" s="46">
        <f t="shared" si="6"/>
        <v>254270.44978812893</v>
      </c>
      <c r="P21" s="47">
        <f t="shared" si="7"/>
        <v>9206.1541538461533</v>
      </c>
      <c r="Q21" s="47">
        <v>22000</v>
      </c>
      <c r="R21" s="47">
        <f t="shared" si="11"/>
        <v>12793.845846153847</v>
      </c>
      <c r="S21" s="191">
        <f t="shared" si="10"/>
        <v>0.58153844755244755</v>
      </c>
      <c r="T21" s="42">
        <v>1196800.04</v>
      </c>
      <c r="U21" s="48">
        <f t="shared" si="8"/>
        <v>0.21245859064988745</v>
      </c>
      <c r="V21" s="49"/>
      <c r="X21" s="112"/>
    </row>
    <row r="22" spans="1:24" x14ac:dyDescent="0.3">
      <c r="A22" s="40" t="str">
        <f>VLOOKUP(B22,Grupos!$A$2:$B$619,2,FALSE)</f>
        <v>ACCESORIOS</v>
      </c>
      <c r="B22" s="41" t="s">
        <v>39</v>
      </c>
      <c r="C22" s="41" t="s">
        <v>40</v>
      </c>
      <c r="D22" s="42">
        <v>-13</v>
      </c>
      <c r="E22" s="43">
        <v>860.06</v>
      </c>
      <c r="F22" s="43">
        <f>VLOOKUP(B22,Feb!$B$6:$F$305,5,FALSE)</f>
        <v>85.88</v>
      </c>
      <c r="G22" s="126">
        <f t="shared" si="0"/>
        <v>945.93999999999994</v>
      </c>
      <c r="H22" s="127">
        <f t="shared" si="1"/>
        <v>-11180.779999999999</v>
      </c>
      <c r="I22" s="128">
        <f t="shared" si="2"/>
        <v>-1116.44</v>
      </c>
      <c r="J22" s="128">
        <f t="shared" si="3"/>
        <v>-12297.22</v>
      </c>
      <c r="K22" s="44">
        <f t="shared" si="4"/>
        <v>-7.0533553893227331E-6</v>
      </c>
      <c r="L22" s="45">
        <v>222.35947605586796</v>
      </c>
      <c r="M22" s="45">
        <f>VLOOKUP(B22,Feb!$B$6:$M$305,12,FALSE)</f>
        <v>505.33717771441815</v>
      </c>
      <c r="N22" s="45">
        <f t="shared" si="5"/>
        <v>1673.6366537702861</v>
      </c>
      <c r="O22" s="46">
        <f t="shared" si="6"/>
        <v>-21757.276499013718</v>
      </c>
      <c r="P22" s="47">
        <f t="shared" si="7"/>
        <v>494.57692307692309</v>
      </c>
      <c r="Q22" s="47">
        <v>8350</v>
      </c>
      <c r="R22" s="47">
        <f t="shared" si="11"/>
        <v>7855.4230769230771</v>
      </c>
      <c r="S22" s="191">
        <f t="shared" si="10"/>
        <v>0.9407692307692308</v>
      </c>
      <c r="T22" s="42">
        <v>-6429.5</v>
      </c>
      <c r="U22" s="152">
        <f t="shared" si="8"/>
        <v>3.3839764365835165</v>
      </c>
      <c r="V22" s="49"/>
      <c r="X22" s="112"/>
    </row>
    <row r="23" spans="1:24" x14ac:dyDescent="0.3">
      <c r="A23" s="40" t="str">
        <f>VLOOKUP(B23,Grupos!$A$2:$B$619,2,FALSE)</f>
        <v>ACCESORIOS</v>
      </c>
      <c r="B23" s="41" t="s">
        <v>41</v>
      </c>
      <c r="C23" s="41" t="s">
        <v>1079</v>
      </c>
      <c r="D23" s="42">
        <v>18</v>
      </c>
      <c r="E23" s="43">
        <v>50.68</v>
      </c>
      <c r="F23" s="43">
        <f>VLOOKUP(B23,Feb!$B$6:$F$305,5,FALSE)</f>
        <v>7.08</v>
      </c>
      <c r="G23" s="126">
        <f t="shared" si="0"/>
        <v>57.76</v>
      </c>
      <c r="H23" s="127">
        <f t="shared" si="1"/>
        <v>912.24</v>
      </c>
      <c r="I23" s="128">
        <f t="shared" si="2"/>
        <v>127.44</v>
      </c>
      <c r="J23" s="128">
        <f t="shared" si="3"/>
        <v>1039.68</v>
      </c>
      <c r="K23" s="44">
        <f t="shared" si="4"/>
        <v>5.9633254761409976E-7</v>
      </c>
      <c r="L23" s="45">
        <v>13.57748201470171</v>
      </c>
      <c r="M23" s="45">
        <f>VLOOKUP(B23,Feb!$B$6:$M$305,12,FALSE)</f>
        <v>41.6603076178165</v>
      </c>
      <c r="N23" s="45">
        <f t="shared" si="5"/>
        <v>112.99778963251821</v>
      </c>
      <c r="O23" s="46">
        <f t="shared" si="6"/>
        <v>2033.9602133853277</v>
      </c>
      <c r="P23" s="47">
        <f t="shared" si="7"/>
        <v>361</v>
      </c>
      <c r="Q23" s="47">
        <v>950</v>
      </c>
      <c r="R23" s="47">
        <f t="shared" si="11"/>
        <v>589</v>
      </c>
      <c r="S23" s="191">
        <f t="shared" si="10"/>
        <v>0.62</v>
      </c>
      <c r="T23" s="42">
        <v>6498</v>
      </c>
      <c r="U23" s="48">
        <f t="shared" si="8"/>
        <v>0.31301326768010584</v>
      </c>
      <c r="V23" s="49"/>
      <c r="X23" s="112"/>
    </row>
    <row r="24" spans="1:24" x14ac:dyDescent="0.3">
      <c r="A24" s="40" t="str">
        <f>VLOOKUP(B24,Grupos!$A$2:$B$619,2,FALSE)</f>
        <v>ACCESORIOS</v>
      </c>
      <c r="B24" s="41" t="s">
        <v>614</v>
      </c>
      <c r="C24" s="41" t="s">
        <v>615</v>
      </c>
      <c r="D24" s="42">
        <v>500</v>
      </c>
      <c r="E24" s="43">
        <v>84.21</v>
      </c>
      <c r="F24" s="43">
        <f>VLOOKUP(B24,Feb!$B$6:$F$305,5,FALSE)</f>
        <v>0</v>
      </c>
      <c r="G24" s="126">
        <f t="shared" si="0"/>
        <v>84.21</v>
      </c>
      <c r="H24" s="127">
        <f t="shared" si="1"/>
        <v>42105</v>
      </c>
      <c r="I24" s="128">
        <f t="shared" si="2"/>
        <v>0</v>
      </c>
      <c r="J24" s="128">
        <f t="shared" si="3"/>
        <v>42105</v>
      </c>
      <c r="K24" s="44">
        <f t="shared" si="4"/>
        <v>2.4150298089115563E-5</v>
      </c>
      <c r="L24" s="45">
        <v>19.79500970322076</v>
      </c>
      <c r="M24" s="45">
        <f>VLOOKUP(B24,Feb!$B$6:$M$305,12,FALSE)</f>
        <v>0</v>
      </c>
      <c r="N24" s="45">
        <f t="shared" si="5"/>
        <v>104.00500970322075</v>
      </c>
      <c r="O24" s="46">
        <f t="shared" si="6"/>
        <v>52002.504851610378</v>
      </c>
      <c r="P24" s="47">
        <f t="shared" si="7"/>
        <v>300</v>
      </c>
      <c r="Q24" s="47">
        <v>300</v>
      </c>
      <c r="R24" s="47">
        <f t="shared" si="11"/>
        <v>0</v>
      </c>
      <c r="S24" s="191">
        <f t="shared" si="10"/>
        <v>0</v>
      </c>
      <c r="T24" s="42">
        <v>150000</v>
      </c>
      <c r="U24" s="48">
        <f t="shared" si="8"/>
        <v>0.34668336567740254</v>
      </c>
      <c r="V24" s="49"/>
      <c r="X24" s="112"/>
    </row>
    <row r="25" spans="1:24" x14ac:dyDescent="0.3">
      <c r="A25" s="40" t="str">
        <f>VLOOKUP(B25,Grupos!$A$2:$B$619,2,FALSE)</f>
        <v>ACCESORIOS</v>
      </c>
      <c r="B25" s="41" t="s">
        <v>670</v>
      </c>
      <c r="C25" s="41" t="s">
        <v>1080</v>
      </c>
      <c r="D25" s="42">
        <v>1</v>
      </c>
      <c r="E25" s="43">
        <v>17930.400000000001</v>
      </c>
      <c r="F25" s="43">
        <f>VLOOKUP(B25,Feb!$B$6:$F$305,5,FALSE)</f>
        <v>501.13</v>
      </c>
      <c r="G25" s="126">
        <f t="shared" si="0"/>
        <v>18431.530000000002</v>
      </c>
      <c r="H25" s="127">
        <f t="shared" si="1"/>
        <v>17930.400000000001</v>
      </c>
      <c r="I25" s="128">
        <f t="shared" si="2"/>
        <v>501.13</v>
      </c>
      <c r="J25" s="128">
        <f t="shared" si="3"/>
        <v>18431.530000000002</v>
      </c>
      <c r="K25" s="44">
        <f t="shared" si="4"/>
        <v>1.0571830987732484E-5</v>
      </c>
      <c r="L25" s="45">
        <v>4332.648321995066</v>
      </c>
      <c r="M25" s="45">
        <f>VLOOKUP(B25,Feb!$B$6:$M$305,12,FALSE)</f>
        <v>2948.7612932932743</v>
      </c>
      <c r="N25" s="45">
        <f t="shared" si="5"/>
        <v>25712.939615288342</v>
      </c>
      <c r="O25" s="46">
        <f t="shared" si="6"/>
        <v>25712.939615288342</v>
      </c>
      <c r="P25" s="47">
        <f t="shared" si="7"/>
        <v>121837.5</v>
      </c>
      <c r="Q25" s="47">
        <v>162450</v>
      </c>
      <c r="R25" s="47">
        <f t="shared" si="11"/>
        <v>40612.5</v>
      </c>
      <c r="S25" s="191">
        <f t="shared" si="10"/>
        <v>0.25</v>
      </c>
      <c r="T25" s="42">
        <v>121837.5</v>
      </c>
      <c r="U25" s="48">
        <f t="shared" si="8"/>
        <v>0.21104290235180748</v>
      </c>
      <c r="V25" s="49"/>
      <c r="X25" s="112"/>
    </row>
    <row r="26" spans="1:24" x14ac:dyDescent="0.3">
      <c r="A26" s="40" t="str">
        <f>VLOOKUP(B26,Grupos!$A$2:$B$619,2,FALSE)</f>
        <v>ACCESORIOS</v>
      </c>
      <c r="B26" s="41" t="s">
        <v>747</v>
      </c>
      <c r="C26" s="41" t="s">
        <v>1081</v>
      </c>
      <c r="D26" s="42">
        <v>-1</v>
      </c>
      <c r="E26" s="43">
        <v>17930.400000000001</v>
      </c>
      <c r="F26" s="43">
        <f>VLOOKUP(B26,Feb!$B$6:$F$305,5,FALSE)</f>
        <v>501.13</v>
      </c>
      <c r="G26" s="126">
        <f t="shared" si="0"/>
        <v>18431.530000000002</v>
      </c>
      <c r="H26" s="127">
        <f t="shared" si="1"/>
        <v>-17930.400000000001</v>
      </c>
      <c r="I26" s="128">
        <f t="shared" si="2"/>
        <v>-501.13</v>
      </c>
      <c r="J26" s="128">
        <f t="shared" si="3"/>
        <v>-18431.530000000002</v>
      </c>
      <c r="K26" s="44">
        <f t="shared" si="4"/>
        <v>-1.0571830987732484E-5</v>
      </c>
      <c r="L26" s="45">
        <v>4332.648321995066</v>
      </c>
      <c r="M26" s="45">
        <f>VLOOKUP(B26,Feb!$B$6:$M$305,12,FALSE)</f>
        <v>2948.7612932932743</v>
      </c>
      <c r="N26" s="45">
        <f t="shared" si="5"/>
        <v>25712.939615288342</v>
      </c>
      <c r="O26" s="46">
        <f t="shared" si="6"/>
        <v>-25712.939615288342</v>
      </c>
      <c r="P26" s="47">
        <f t="shared" si="7"/>
        <v>97067.51</v>
      </c>
      <c r="Q26" s="47">
        <v>236750</v>
      </c>
      <c r="R26" s="47">
        <f t="shared" si="11"/>
        <v>139682.49</v>
      </c>
      <c r="S26" s="191">
        <f t="shared" si="10"/>
        <v>0.58999995776135161</v>
      </c>
      <c r="T26" s="42">
        <v>-97067.51</v>
      </c>
      <c r="U26" s="48">
        <f t="shared" si="8"/>
        <v>0.26489748851380179</v>
      </c>
      <c r="V26" s="49"/>
      <c r="X26" s="112"/>
    </row>
    <row r="27" spans="1:24" x14ac:dyDescent="0.3">
      <c r="A27" s="40" t="str">
        <f>VLOOKUP(B27,Grupos!$A$2:$B$619,2,FALSE)</f>
        <v>ACCESORIOS</v>
      </c>
      <c r="B27" s="41" t="s">
        <v>616</v>
      </c>
      <c r="C27" s="41" t="s">
        <v>617</v>
      </c>
      <c r="D27" s="42">
        <v>16</v>
      </c>
      <c r="E27" s="43">
        <v>4356.76</v>
      </c>
      <c r="F27" s="43">
        <f>VLOOKUP(B27,Feb!$B$6:$F$305,5,FALSE)</f>
        <v>36.380000000000003</v>
      </c>
      <c r="G27" s="126">
        <f t="shared" si="0"/>
        <v>4393.1400000000003</v>
      </c>
      <c r="H27" s="127">
        <f t="shared" si="1"/>
        <v>69708.160000000003</v>
      </c>
      <c r="I27" s="128">
        <f t="shared" si="2"/>
        <v>582.08000000000004</v>
      </c>
      <c r="J27" s="128">
        <f t="shared" si="3"/>
        <v>70290.240000000005</v>
      </c>
      <c r="K27" s="44">
        <f t="shared" si="4"/>
        <v>4.0316595386663689E-5</v>
      </c>
      <c r="L27" s="45">
        <v>1032.6831602850878</v>
      </c>
      <c r="M27" s="45">
        <f>VLOOKUP(B27,Feb!$B$6:$M$305,12,FALSE)</f>
        <v>214.06807784409099</v>
      </c>
      <c r="N27" s="45">
        <f t="shared" si="5"/>
        <v>5639.8912381291793</v>
      </c>
      <c r="O27" s="46">
        <f t="shared" si="6"/>
        <v>90238.259810066869</v>
      </c>
      <c r="P27" s="47">
        <f t="shared" si="7"/>
        <v>31350</v>
      </c>
      <c r="Q27" s="47">
        <v>41800</v>
      </c>
      <c r="R27" s="47">
        <f t="shared" si="11"/>
        <v>10450</v>
      </c>
      <c r="S27" s="191">
        <f t="shared" si="10"/>
        <v>0.25</v>
      </c>
      <c r="T27" s="42">
        <v>501600</v>
      </c>
      <c r="U27" s="48">
        <f t="shared" si="8"/>
        <v>0.17990083694191961</v>
      </c>
      <c r="V27" s="49"/>
      <c r="X27" s="112"/>
    </row>
    <row r="28" spans="1:24" x14ac:dyDescent="0.3">
      <c r="A28" s="40" t="str">
        <f>VLOOKUP(B28,Grupos!$A$2:$B$619,2,FALSE)</f>
        <v>ACCESORIOS</v>
      </c>
      <c r="B28" s="41" t="s">
        <v>762</v>
      </c>
      <c r="C28" s="41" t="s">
        <v>1082</v>
      </c>
      <c r="D28" s="42">
        <v>2</v>
      </c>
      <c r="E28" s="43">
        <v>13959.25</v>
      </c>
      <c r="F28" s="43">
        <f>VLOOKUP(B28,Feb!$B$6:$F$305,5,FALSE)</f>
        <v>2626.26</v>
      </c>
      <c r="G28" s="126">
        <f t="shared" si="0"/>
        <v>16585.510000000002</v>
      </c>
      <c r="H28" s="127">
        <f t="shared" si="1"/>
        <v>27918.5</v>
      </c>
      <c r="I28" s="128">
        <f t="shared" si="2"/>
        <v>5252.52</v>
      </c>
      <c r="J28" s="128">
        <f t="shared" si="3"/>
        <v>33171.020000000004</v>
      </c>
      <c r="K28" s="44">
        <f t="shared" si="4"/>
        <v>1.9026006909393522E-5</v>
      </c>
      <c r="L28" s="45">
        <v>3898.709552106222</v>
      </c>
      <c r="M28" s="45">
        <f>VLOOKUP(B28,Feb!$B$6:$M$305,12,FALSE)</f>
        <v>15453.502752029204</v>
      </c>
      <c r="N28" s="45">
        <f t="shared" si="5"/>
        <v>35937.72230413543</v>
      </c>
      <c r="O28" s="46">
        <f t="shared" si="6"/>
        <v>71875.44460827086</v>
      </c>
      <c r="P28" s="47">
        <f t="shared" si="7"/>
        <v>79500</v>
      </c>
      <c r="Q28" s="47">
        <v>79500</v>
      </c>
      <c r="R28" s="47"/>
      <c r="S28" s="191">
        <f t="shared" si="10"/>
        <v>0</v>
      </c>
      <c r="T28" s="42">
        <v>159000</v>
      </c>
      <c r="U28" s="48">
        <f t="shared" si="8"/>
        <v>0.45204682143566577</v>
      </c>
      <c r="V28" s="49"/>
      <c r="X28" s="112"/>
    </row>
    <row r="29" spans="1:24" x14ac:dyDescent="0.3">
      <c r="A29" s="40" t="str">
        <f>VLOOKUP(B29,Grupos!$A$2:$B$619,2,FALSE)</f>
        <v>ACCESORIOS</v>
      </c>
      <c r="B29" s="41" t="s">
        <v>618</v>
      </c>
      <c r="C29" s="41" t="s">
        <v>619</v>
      </c>
      <c r="D29" s="42">
        <v>4</v>
      </c>
      <c r="E29" s="43">
        <v>7152.29</v>
      </c>
      <c r="F29" s="43">
        <f>VLOOKUP(B29,Feb!$B$6:$F$305,5,FALSE)</f>
        <v>595.45000000000005</v>
      </c>
      <c r="G29" s="126">
        <f t="shared" si="0"/>
        <v>7747.74</v>
      </c>
      <c r="H29" s="127">
        <f t="shared" si="1"/>
        <v>28609.16</v>
      </c>
      <c r="I29" s="128">
        <f t="shared" si="2"/>
        <v>2381.8000000000002</v>
      </c>
      <c r="J29" s="128">
        <f t="shared" si="3"/>
        <v>30990.959999999999</v>
      </c>
      <c r="K29" s="44">
        <f t="shared" si="4"/>
        <v>1.7775582996505328E-5</v>
      </c>
      <c r="L29" s="45">
        <v>1821.2396209242559</v>
      </c>
      <c r="M29" s="45">
        <f>VLOOKUP(B29,Feb!$B$6:$M$305,12,FALSE)</f>
        <v>3503.7613235916433</v>
      </c>
      <c r="N29" s="45">
        <f t="shared" si="5"/>
        <v>13072.740944515899</v>
      </c>
      <c r="O29" s="46">
        <f t="shared" si="6"/>
        <v>52290.963778063597</v>
      </c>
      <c r="P29" s="47">
        <f t="shared" si="7"/>
        <v>16500</v>
      </c>
      <c r="Q29" s="47">
        <v>22000</v>
      </c>
      <c r="R29" s="47">
        <f t="shared" ref="R29:R69" si="12">Q29-P29</f>
        <v>5500</v>
      </c>
      <c r="S29" s="191">
        <f t="shared" si="10"/>
        <v>0.25</v>
      </c>
      <c r="T29" s="42">
        <v>66000</v>
      </c>
      <c r="U29" s="48">
        <f t="shared" si="8"/>
        <v>0.79228732997066054</v>
      </c>
      <c r="V29" s="49"/>
      <c r="X29" s="112"/>
    </row>
    <row r="30" spans="1:24" x14ac:dyDescent="0.3">
      <c r="A30" s="40" t="str">
        <f>VLOOKUP(B30,Grupos!$A$2:$B$619,2,FALSE)</f>
        <v>ACCESORIOS</v>
      </c>
      <c r="B30" s="41" t="s">
        <v>47</v>
      </c>
      <c r="C30" s="41" t="s">
        <v>48</v>
      </c>
      <c r="D30" s="42">
        <v>203</v>
      </c>
      <c r="E30" s="43">
        <v>412.02</v>
      </c>
      <c r="F30" s="43">
        <f>VLOOKUP(B30,Feb!$B$6:$F$305,5,FALSE)</f>
        <v>31.34</v>
      </c>
      <c r="G30" s="126">
        <f t="shared" si="0"/>
        <v>443.35999999999996</v>
      </c>
      <c r="H30" s="127">
        <f t="shared" si="1"/>
        <v>83640.06</v>
      </c>
      <c r="I30" s="128">
        <f t="shared" si="2"/>
        <v>6362.0199999999995</v>
      </c>
      <c r="J30" s="128">
        <f t="shared" si="3"/>
        <v>90002.079999999987</v>
      </c>
      <c r="K30" s="44">
        <f t="shared" si="4"/>
        <v>5.1622777832571568E-5</v>
      </c>
      <c r="L30" s="45">
        <v>104.2193979577242</v>
      </c>
      <c r="M30" s="45">
        <f>VLOOKUP(B30,Feb!$B$6:$M$305,12,FALSE)</f>
        <v>184.41158767547586</v>
      </c>
      <c r="N30" s="45">
        <f t="shared" si="5"/>
        <v>731.99098563320001</v>
      </c>
      <c r="O30" s="46">
        <f t="shared" si="6"/>
        <v>148594.17008353959</v>
      </c>
      <c r="P30" s="47">
        <f t="shared" si="7"/>
        <v>2702.5863546798032</v>
      </c>
      <c r="Q30" s="47">
        <v>7500</v>
      </c>
      <c r="R30" s="47">
        <f t="shared" si="12"/>
        <v>4797.4136453201972</v>
      </c>
      <c r="S30" s="191">
        <f t="shared" si="10"/>
        <v>0.63965515270935969</v>
      </c>
      <c r="T30" s="42">
        <v>548625.03</v>
      </c>
      <c r="U30" s="48">
        <f t="shared" si="8"/>
        <v>0.27084832437109108</v>
      </c>
      <c r="V30" s="49"/>
      <c r="X30" s="112"/>
    </row>
    <row r="31" spans="1:24" x14ac:dyDescent="0.3">
      <c r="A31" s="40" t="str">
        <f>VLOOKUP(B31,Grupos!$A$2:$B$619,2,FALSE)</f>
        <v>ACCESORIOS</v>
      </c>
      <c r="B31" s="41" t="s">
        <v>49</v>
      </c>
      <c r="C31" s="41" t="s">
        <v>1085</v>
      </c>
      <c r="D31" s="42">
        <v>233</v>
      </c>
      <c r="E31" s="43">
        <v>412.02</v>
      </c>
      <c r="F31" s="43">
        <f>VLOOKUP(B31,Feb!$B$6:$F$305,5,FALSE)</f>
        <v>31.34</v>
      </c>
      <c r="G31" s="126">
        <f t="shared" si="0"/>
        <v>443.35999999999996</v>
      </c>
      <c r="H31" s="127">
        <f t="shared" si="1"/>
        <v>96000.659999999989</v>
      </c>
      <c r="I31" s="128">
        <f t="shared" si="2"/>
        <v>7302.22</v>
      </c>
      <c r="J31" s="128">
        <f t="shared" si="3"/>
        <v>103302.87999999999</v>
      </c>
      <c r="K31" s="44">
        <f t="shared" si="4"/>
        <v>5.9251759778271804E-5</v>
      </c>
      <c r="L31" s="45">
        <v>104.21939795772418</v>
      </c>
      <c r="M31" s="45">
        <f>VLOOKUP(B31,Feb!$B$6:$M$305,12,FALSE)</f>
        <v>184.41158767547586</v>
      </c>
      <c r="N31" s="45">
        <f t="shared" si="5"/>
        <v>731.99098563320001</v>
      </c>
      <c r="O31" s="46">
        <f t="shared" si="6"/>
        <v>170553.89965253559</v>
      </c>
      <c r="P31" s="47">
        <f t="shared" si="7"/>
        <v>2867.7039055793994</v>
      </c>
      <c r="Q31" s="47">
        <v>7500</v>
      </c>
      <c r="R31" s="47">
        <f t="shared" si="12"/>
        <v>4632.2960944206006</v>
      </c>
      <c r="S31" s="191">
        <f t="shared" si="10"/>
        <v>0.61763947925608009</v>
      </c>
      <c r="T31" s="42">
        <v>668175.01</v>
      </c>
      <c r="U31" s="48">
        <f t="shared" si="8"/>
        <v>0.255253334979612</v>
      </c>
      <c r="V31" s="49"/>
      <c r="X31" s="112"/>
    </row>
    <row r="32" spans="1:24" x14ac:dyDescent="0.3">
      <c r="A32" s="40" t="str">
        <f>VLOOKUP(B32,Grupos!$A$2:$B$619,2,FALSE)</f>
        <v>ACCESORIOS</v>
      </c>
      <c r="B32" s="41" t="s">
        <v>50</v>
      </c>
      <c r="C32" s="41" t="s">
        <v>51</v>
      </c>
      <c r="D32" s="42">
        <v>524</v>
      </c>
      <c r="E32" s="43">
        <v>412.02</v>
      </c>
      <c r="F32" s="43">
        <f>VLOOKUP(B32,Feb!$B$6:$F$305,5,FALSE)</f>
        <v>31.34</v>
      </c>
      <c r="G32" s="126">
        <f t="shared" si="0"/>
        <v>443.35999999999996</v>
      </c>
      <c r="H32" s="127">
        <f t="shared" si="1"/>
        <v>215898.47999999998</v>
      </c>
      <c r="I32" s="128">
        <f t="shared" si="2"/>
        <v>16422.16</v>
      </c>
      <c r="J32" s="128">
        <f t="shared" si="3"/>
        <v>232320.63999999998</v>
      </c>
      <c r="K32" s="44">
        <f t="shared" si="4"/>
        <v>1.3325288465156404E-4</v>
      </c>
      <c r="L32" s="45">
        <v>104.2193979577242</v>
      </c>
      <c r="M32" s="45">
        <f>VLOOKUP(B32,Feb!$B$6:$M$305,12,FALSE)</f>
        <v>184.41158767547586</v>
      </c>
      <c r="N32" s="45">
        <f t="shared" si="5"/>
        <v>731.99098563320001</v>
      </c>
      <c r="O32" s="46">
        <f t="shared" si="6"/>
        <v>383563.27647179679</v>
      </c>
      <c r="P32" s="47">
        <f t="shared" si="7"/>
        <v>2658.4925000000003</v>
      </c>
      <c r="Q32" s="47">
        <v>7500</v>
      </c>
      <c r="R32" s="47">
        <f t="shared" si="12"/>
        <v>4841.5074999999997</v>
      </c>
      <c r="S32" s="191">
        <f t="shared" si="10"/>
        <v>0.64553433333333332</v>
      </c>
      <c r="T32" s="42">
        <v>1393050.07</v>
      </c>
      <c r="U32" s="48">
        <f t="shared" si="8"/>
        <v>0.27534062467101184</v>
      </c>
      <c r="V32" s="49"/>
      <c r="X32" s="112"/>
    </row>
    <row r="33" spans="1:24" x14ac:dyDescent="0.3">
      <c r="A33" s="40" t="str">
        <f>VLOOKUP(B33,Grupos!$A$2:$B$619,2,FALSE)</f>
        <v>ACCESORIOS</v>
      </c>
      <c r="B33" s="41" t="s">
        <v>620</v>
      </c>
      <c r="C33" s="41" t="s">
        <v>621</v>
      </c>
      <c r="D33" s="42">
        <v>20</v>
      </c>
      <c r="E33" s="43">
        <v>2250.44</v>
      </c>
      <c r="F33" s="43">
        <f>VLOOKUP(B33,Feb!$B$6:$F$305,5,FALSE)</f>
        <v>0</v>
      </c>
      <c r="G33" s="126">
        <f t="shared" si="0"/>
        <v>2250.44</v>
      </c>
      <c r="H33" s="127">
        <f t="shared" si="1"/>
        <v>45008.800000000003</v>
      </c>
      <c r="I33" s="128">
        <f t="shared" si="2"/>
        <v>0</v>
      </c>
      <c r="J33" s="128">
        <f t="shared" si="3"/>
        <v>45008.800000000003</v>
      </c>
      <c r="K33" s="44">
        <f t="shared" si="4"/>
        <v>2.5815839844041912E-5</v>
      </c>
      <c r="L33" s="45">
        <v>529.00465071269593</v>
      </c>
      <c r="M33" s="45">
        <f>VLOOKUP(B33,Feb!$B$6:$M$305,12,FALSE)</f>
        <v>0</v>
      </c>
      <c r="N33" s="45">
        <f t="shared" si="5"/>
        <v>2779.4446507126959</v>
      </c>
      <c r="O33" s="46">
        <f t="shared" si="6"/>
        <v>55588.893014253917</v>
      </c>
      <c r="P33" s="47">
        <f t="shared" si="7"/>
        <v>13416</v>
      </c>
      <c r="Q33" s="47">
        <v>31200</v>
      </c>
      <c r="R33" s="47">
        <f t="shared" si="12"/>
        <v>17784</v>
      </c>
      <c r="S33" s="191">
        <f t="shared" si="10"/>
        <v>0.56999999999999995</v>
      </c>
      <c r="T33" s="42">
        <v>268320</v>
      </c>
      <c r="U33" s="48">
        <f t="shared" si="8"/>
        <v>0.2071738708044645</v>
      </c>
      <c r="V33" s="49"/>
      <c r="X33" s="112"/>
    </row>
    <row r="34" spans="1:24" x14ac:dyDescent="0.3">
      <c r="A34" s="40" t="str">
        <f>VLOOKUP(B34,Grupos!$A$2:$B$619,2,FALSE)</f>
        <v>ACCESORIOS</v>
      </c>
      <c r="B34" s="41" t="s">
        <v>713</v>
      </c>
      <c r="C34" s="41" t="s">
        <v>1099</v>
      </c>
      <c r="D34" s="42">
        <v>6</v>
      </c>
      <c r="E34" s="43">
        <v>6037.37</v>
      </c>
      <c r="F34" s="43">
        <f>VLOOKUP(B34,Feb!$B$6:$F$305,5,FALSE)</f>
        <v>0</v>
      </c>
      <c r="G34" s="126">
        <f t="shared" si="0"/>
        <v>6037.37</v>
      </c>
      <c r="H34" s="127">
        <f t="shared" si="1"/>
        <v>36224.22</v>
      </c>
      <c r="I34" s="128">
        <f t="shared" si="2"/>
        <v>0</v>
      </c>
      <c r="J34" s="128">
        <f t="shared" si="3"/>
        <v>36224.22</v>
      </c>
      <c r="K34" s="44">
        <f t="shared" si="4"/>
        <v>2.0777240495088512E-5</v>
      </c>
      <c r="L34" s="45">
        <v>1419.1877179899527</v>
      </c>
      <c r="M34" s="45">
        <f>VLOOKUP(B34,Feb!$B$6:$M$305,12,FALSE)</f>
        <v>0</v>
      </c>
      <c r="N34" s="45">
        <f t="shared" si="5"/>
        <v>7456.5577179899528</v>
      </c>
      <c r="O34" s="46">
        <f t="shared" si="6"/>
        <v>44739.346307939719</v>
      </c>
      <c r="P34" s="47">
        <f t="shared" si="7"/>
        <v>17820</v>
      </c>
      <c r="Q34" s="47">
        <v>40500</v>
      </c>
      <c r="R34" s="47">
        <f t="shared" si="12"/>
        <v>22680</v>
      </c>
      <c r="S34" s="191">
        <f t="shared" si="10"/>
        <v>0.56000000000000005</v>
      </c>
      <c r="T34" s="42">
        <v>106920</v>
      </c>
      <c r="U34" s="48">
        <f t="shared" si="8"/>
        <v>0.41843758237878526</v>
      </c>
      <c r="V34" s="49"/>
      <c r="X34" s="112"/>
    </row>
    <row r="35" spans="1:24" x14ac:dyDescent="0.3">
      <c r="A35" s="40" t="str">
        <f>VLOOKUP(B35,Grupos!$A$2:$B$619,2,FALSE)</f>
        <v>ACCESORIOS</v>
      </c>
      <c r="B35" s="41" t="s">
        <v>714</v>
      </c>
      <c r="C35" s="41" t="s">
        <v>715</v>
      </c>
      <c r="D35" s="42">
        <v>1</v>
      </c>
      <c r="E35" s="43">
        <v>3125.57</v>
      </c>
      <c r="F35" s="43">
        <f>VLOOKUP(B35,Feb!$B$6:$F$305,5,FALSE)</f>
        <v>0</v>
      </c>
      <c r="G35" s="126">
        <f t="shared" si="0"/>
        <v>3125.57</v>
      </c>
      <c r="H35" s="127">
        <f t="shared" si="1"/>
        <v>3125.57</v>
      </c>
      <c r="I35" s="128">
        <f t="shared" si="2"/>
        <v>0</v>
      </c>
      <c r="J35" s="128">
        <f t="shared" si="3"/>
        <v>3125.57</v>
      </c>
      <c r="K35" s="44">
        <f t="shared" si="4"/>
        <v>1.7927430756061498E-6</v>
      </c>
      <c r="L35" s="45">
        <v>734.719017671247</v>
      </c>
      <c r="M35" s="45">
        <f>VLOOKUP(B35,Feb!$B$6:$M$305,12,FALSE)</f>
        <v>0</v>
      </c>
      <c r="N35" s="45">
        <f t="shared" si="5"/>
        <v>3860.2890176712472</v>
      </c>
      <c r="O35" s="46">
        <f t="shared" si="6"/>
        <v>3860.2890176712472</v>
      </c>
      <c r="P35" s="47">
        <f t="shared" si="7"/>
        <v>32812.5</v>
      </c>
      <c r="Q35" s="47">
        <v>43750</v>
      </c>
      <c r="R35" s="47">
        <f t="shared" si="12"/>
        <v>10937.5</v>
      </c>
      <c r="S35" s="191">
        <f t="shared" si="10"/>
        <v>0.25</v>
      </c>
      <c r="T35" s="42">
        <v>32812.5</v>
      </c>
      <c r="U35" s="48">
        <f t="shared" si="8"/>
        <v>0.11764690339569515</v>
      </c>
      <c r="V35" s="49"/>
      <c r="X35" s="112"/>
    </row>
    <row r="36" spans="1:24" x14ac:dyDescent="0.3">
      <c r="A36" s="40" t="str">
        <f>VLOOKUP(B36,Grupos!$A$2:$B$619,2,FALSE)</f>
        <v>ACCESORIOS</v>
      </c>
      <c r="B36" s="41" t="s">
        <v>674</v>
      </c>
      <c r="C36" s="41" t="s">
        <v>1100</v>
      </c>
      <c r="D36" s="42">
        <v>6</v>
      </c>
      <c r="E36" s="43">
        <v>8018.41</v>
      </c>
      <c r="F36" s="43">
        <f>VLOOKUP(B36,Feb!$B$6:$F$305,5,FALSE)</f>
        <v>0</v>
      </c>
      <c r="G36" s="126">
        <f t="shared" si="0"/>
        <v>8018.41</v>
      </c>
      <c r="H36" s="127">
        <f t="shared" si="1"/>
        <v>48110.46</v>
      </c>
      <c r="I36" s="128">
        <f t="shared" si="2"/>
        <v>0</v>
      </c>
      <c r="J36" s="128">
        <f t="shared" si="3"/>
        <v>48110.46</v>
      </c>
      <c r="K36" s="44">
        <f t="shared" si="4"/>
        <v>2.759486878528609E-5</v>
      </c>
      <c r="L36" s="45">
        <v>1884.8652624914184</v>
      </c>
      <c r="M36" s="45">
        <f>VLOOKUP(B36,Feb!$B$6:$M$305,12,FALSE)</f>
        <v>0</v>
      </c>
      <c r="N36" s="45">
        <f t="shared" si="5"/>
        <v>9903.2752624914174</v>
      </c>
      <c r="O36" s="46">
        <f t="shared" si="6"/>
        <v>59419.651574948504</v>
      </c>
      <c r="P36" s="47">
        <f t="shared" si="7"/>
        <v>24332</v>
      </c>
      <c r="Q36" s="47">
        <v>55300</v>
      </c>
      <c r="R36" s="47">
        <f t="shared" si="12"/>
        <v>30968</v>
      </c>
      <c r="S36" s="191">
        <f t="shared" si="10"/>
        <v>0.56000000000000005</v>
      </c>
      <c r="T36" s="42">
        <v>145992</v>
      </c>
      <c r="U36" s="48">
        <f t="shared" si="8"/>
        <v>0.4070062166074066</v>
      </c>
      <c r="V36" s="49"/>
      <c r="X36" s="112"/>
    </row>
    <row r="37" spans="1:24" x14ac:dyDescent="0.3">
      <c r="A37" s="40" t="str">
        <f>VLOOKUP(B37,Grupos!$A$2:$B$619,2,FALSE)</f>
        <v>ACCESORIOS</v>
      </c>
      <c r="B37" s="41" t="s">
        <v>52</v>
      </c>
      <c r="C37" s="41" t="s">
        <v>1101</v>
      </c>
      <c r="D37" s="42">
        <v>1</v>
      </c>
      <c r="E37" s="43">
        <v>9999.41</v>
      </c>
      <c r="F37" s="43">
        <f>VLOOKUP(B37,Feb!$B$6:$F$305,5,FALSE)</f>
        <v>0</v>
      </c>
      <c r="G37" s="126">
        <f t="shared" si="0"/>
        <v>9999.41</v>
      </c>
      <c r="H37" s="127">
        <f t="shared" si="1"/>
        <v>9999.41</v>
      </c>
      <c r="I37" s="128">
        <f t="shared" si="2"/>
        <v>0</v>
      </c>
      <c r="J37" s="128">
        <f t="shared" si="3"/>
        <v>9999.41</v>
      </c>
      <c r="K37" s="44">
        <f t="shared" ref="K37:K66" si="13">J37/$J$277</f>
        <v>5.7353932363207E-6</v>
      </c>
      <c r="L37" s="45">
        <v>2350.5334043045086</v>
      </c>
      <c r="M37" s="45">
        <f>VLOOKUP(B37,Feb!$B$6:$M$305,12,FALSE)</f>
        <v>0</v>
      </c>
      <c r="N37" s="45">
        <f t="shared" si="5"/>
        <v>12349.943404304508</v>
      </c>
      <c r="O37" s="46">
        <f t="shared" si="6"/>
        <v>12349.943404304508</v>
      </c>
      <c r="P37" s="47">
        <f t="shared" si="7"/>
        <v>51937.5</v>
      </c>
      <c r="Q37" s="47">
        <v>69250</v>
      </c>
      <c r="R37" s="47">
        <f t="shared" si="12"/>
        <v>17312.5</v>
      </c>
      <c r="S37" s="191">
        <f t="shared" si="10"/>
        <v>0.25</v>
      </c>
      <c r="T37" s="42">
        <v>51937.5</v>
      </c>
      <c r="U37" s="48">
        <f t="shared" si="8"/>
        <v>0.23778471055219269</v>
      </c>
      <c r="V37" s="49"/>
      <c r="X37" s="112"/>
    </row>
    <row r="38" spans="1:24" x14ac:dyDescent="0.3">
      <c r="A38" s="40" t="str">
        <f>VLOOKUP(B38,Grupos!$A$2:$B$619,2,FALSE)</f>
        <v>ACCESORIOS</v>
      </c>
      <c r="B38" s="41" t="s">
        <v>54</v>
      </c>
      <c r="C38" s="41" t="s">
        <v>55</v>
      </c>
      <c r="D38" s="42">
        <v>1</v>
      </c>
      <c r="E38" s="43">
        <v>15942.4</v>
      </c>
      <c r="F38" s="43">
        <f>VLOOKUP(B38,Feb!$B$6:$F$305,5,FALSE)</f>
        <v>0</v>
      </c>
      <c r="G38" s="126">
        <f t="shared" si="0"/>
        <v>15942.4</v>
      </c>
      <c r="H38" s="127">
        <f t="shared" si="1"/>
        <v>15942.4</v>
      </c>
      <c r="I38" s="128">
        <f t="shared" si="2"/>
        <v>0</v>
      </c>
      <c r="J38" s="128">
        <f t="shared" si="3"/>
        <v>15942.4</v>
      </c>
      <c r="K38" s="44">
        <f t="shared" si="13"/>
        <v>9.144132816908109E-6</v>
      </c>
      <c r="L38" s="45">
        <v>3747.5354790716851</v>
      </c>
      <c r="M38" s="45">
        <f>VLOOKUP(B38,Feb!$B$6:$M$305,12,FALSE)</f>
        <v>0</v>
      </c>
      <c r="N38" s="45">
        <f t="shared" si="5"/>
        <v>19689.935479071686</v>
      </c>
      <c r="O38" s="46">
        <f t="shared" si="6"/>
        <v>19689.935479071686</v>
      </c>
      <c r="P38" s="47">
        <f t="shared" si="7"/>
        <v>85125</v>
      </c>
      <c r="Q38" s="47">
        <v>113500</v>
      </c>
      <c r="R38" s="47">
        <f t="shared" si="12"/>
        <v>28375</v>
      </c>
      <c r="S38" s="191">
        <f t="shared" si="10"/>
        <v>0.25</v>
      </c>
      <c r="T38" s="42">
        <v>85125</v>
      </c>
      <c r="U38" s="48">
        <f t="shared" si="8"/>
        <v>0.23130614366016666</v>
      </c>
      <c r="V38" s="49"/>
      <c r="X38" s="112"/>
    </row>
    <row r="39" spans="1:24" x14ac:dyDescent="0.3">
      <c r="A39" s="40" t="str">
        <f>VLOOKUP(B39,Grupos!$A$2:$B$619,2,FALSE)</f>
        <v>ACCESORIOS</v>
      </c>
      <c r="B39" s="41" t="s">
        <v>675</v>
      </c>
      <c r="C39" s="41" t="s">
        <v>676</v>
      </c>
      <c r="D39" s="42">
        <v>6</v>
      </c>
      <c r="E39" s="43">
        <v>1271.1500000000001</v>
      </c>
      <c r="F39" s="43">
        <f>VLOOKUP(B39,Feb!$B$6:$F$305,5,FALSE)</f>
        <v>0</v>
      </c>
      <c r="G39" s="126">
        <f t="shared" si="0"/>
        <v>1271.1500000000001</v>
      </c>
      <c r="H39" s="127">
        <f t="shared" si="1"/>
        <v>7626.9000000000005</v>
      </c>
      <c r="I39" s="128">
        <f t="shared" si="2"/>
        <v>0</v>
      </c>
      <c r="J39" s="128">
        <f t="shared" si="3"/>
        <v>7626.9000000000005</v>
      </c>
      <c r="K39" s="44">
        <f t="shared" si="13"/>
        <v>4.3745851679343431E-6</v>
      </c>
      <c r="L39" s="45">
        <v>298.80568322347784</v>
      </c>
      <c r="M39" s="45">
        <f>VLOOKUP(B39,Feb!$B$6:$M$305,12,FALSE)</f>
        <v>0</v>
      </c>
      <c r="N39" s="45">
        <f t="shared" si="5"/>
        <v>1569.955683223478</v>
      </c>
      <c r="O39" s="46">
        <f t="shared" si="6"/>
        <v>9419.7340993408689</v>
      </c>
      <c r="P39" s="47">
        <f t="shared" si="7"/>
        <v>6776</v>
      </c>
      <c r="Q39" s="47">
        <v>15400</v>
      </c>
      <c r="R39" s="47">
        <f t="shared" si="12"/>
        <v>8624</v>
      </c>
      <c r="S39" s="191">
        <f t="shared" si="10"/>
        <v>0.56000000000000005</v>
      </c>
      <c r="T39" s="42">
        <v>40656</v>
      </c>
      <c r="U39" s="48">
        <f t="shared" si="8"/>
        <v>0.23169357780747907</v>
      </c>
      <c r="V39" s="49"/>
      <c r="X39" s="112"/>
    </row>
    <row r="40" spans="1:24" x14ac:dyDescent="0.3">
      <c r="A40" s="40" t="str">
        <f>VLOOKUP(B40,Grupos!$A$2:$B$619,2,FALSE)</f>
        <v>ACCESORIOS</v>
      </c>
      <c r="B40" s="41" t="s">
        <v>56</v>
      </c>
      <c r="C40" s="41" t="s">
        <v>57</v>
      </c>
      <c r="D40" s="42">
        <v>136</v>
      </c>
      <c r="E40" s="43">
        <v>1666.74</v>
      </c>
      <c r="F40" s="43">
        <f>VLOOKUP(B40,Feb!$B$6:$F$305,5,FALSE)</f>
        <v>0</v>
      </c>
      <c r="G40" s="126">
        <f t="shared" si="0"/>
        <v>1666.74</v>
      </c>
      <c r="H40" s="127">
        <f t="shared" si="1"/>
        <v>226676.64</v>
      </c>
      <c r="I40" s="128">
        <f t="shared" si="2"/>
        <v>0</v>
      </c>
      <c r="J40" s="128">
        <f t="shared" si="3"/>
        <v>226676.64</v>
      </c>
      <c r="K40" s="44">
        <f t="shared" si="13"/>
        <v>1.300156377114152E-4</v>
      </c>
      <c r="L40" s="45">
        <v>391.79592058836442</v>
      </c>
      <c r="M40" s="45">
        <f>VLOOKUP(B40,Feb!$B$6:$M$305,12,FALSE)</f>
        <v>0</v>
      </c>
      <c r="N40" s="45">
        <f t="shared" si="5"/>
        <v>2058.5359205883642</v>
      </c>
      <c r="O40" s="46">
        <f t="shared" si="6"/>
        <v>279960.88520001754</v>
      </c>
      <c r="P40" s="47">
        <f t="shared" si="7"/>
        <v>9227.0591176470589</v>
      </c>
      <c r="Q40" s="47">
        <v>22000</v>
      </c>
      <c r="R40" s="47">
        <f t="shared" si="12"/>
        <v>12772.940882352941</v>
      </c>
      <c r="S40" s="191">
        <f t="shared" si="10"/>
        <v>0.58058822192513371</v>
      </c>
      <c r="T40" s="42">
        <v>1254880.04</v>
      </c>
      <c r="U40" s="48">
        <f t="shared" si="8"/>
        <v>0.22309772749275503</v>
      </c>
      <c r="V40" s="49"/>
      <c r="X40" s="112"/>
    </row>
    <row r="41" spans="1:24" x14ac:dyDescent="0.3">
      <c r="A41" s="40" t="str">
        <f>VLOOKUP(B41,Grupos!$A$2:$B$619,2,FALSE)</f>
        <v>ADAPTADORES</v>
      </c>
      <c r="B41" s="41" t="s">
        <v>58</v>
      </c>
      <c r="C41" s="41" t="s">
        <v>59</v>
      </c>
      <c r="D41" s="42">
        <v>12794</v>
      </c>
      <c r="E41" s="43">
        <v>15.04</v>
      </c>
      <c r="F41" s="43">
        <f>VLOOKUP(B41,Feb!$B$6:$F$305,5,FALSE)</f>
        <v>4.8899999999999997</v>
      </c>
      <c r="G41" s="126">
        <f t="shared" ref="G41:G46" si="14">E41+F41</f>
        <v>19.93</v>
      </c>
      <c r="H41" s="127">
        <f t="shared" ref="H41:H46" si="15">E41*D41</f>
        <v>192421.75999999998</v>
      </c>
      <c r="I41" s="128">
        <f t="shared" ref="I41:I46" si="16">F41*D41</f>
        <v>62562.659999999996</v>
      </c>
      <c r="J41" s="128">
        <f t="shared" ref="J41:J46" si="17">G41*D41</f>
        <v>254984.41999999998</v>
      </c>
      <c r="K41" s="44">
        <f t="shared" si="13"/>
        <v>1.4625222066453486E-4</v>
      </c>
      <c r="L41" s="45">
        <v>4.6848894832583987</v>
      </c>
      <c r="M41" s="45">
        <f>VLOOKUP(B41,Feb!$B$6:$M$305,12,FALSE)</f>
        <v>28.773856532644444</v>
      </c>
      <c r="N41" s="45">
        <f t="shared" ref="N41:N46" si="18">G41+L41+M41</f>
        <v>53.388746015902839</v>
      </c>
      <c r="O41" s="46">
        <f t="shared" ref="O41:O46" si="19">N41*D41</f>
        <v>683055.61652746098</v>
      </c>
      <c r="P41" s="47">
        <f t="shared" ref="P41:P46" si="20">T41/D41</f>
        <v>87.187358136626543</v>
      </c>
      <c r="Q41" s="47">
        <v>250</v>
      </c>
      <c r="R41" s="47">
        <f t="shared" si="12"/>
        <v>162.81264186337347</v>
      </c>
      <c r="S41" s="191">
        <f t="shared" si="10"/>
        <v>0.65125056745349386</v>
      </c>
      <c r="T41" s="42">
        <v>1115475.06</v>
      </c>
      <c r="U41" s="48">
        <f t="shared" si="8"/>
        <v>0.61234503667653573</v>
      </c>
      <c r="V41" s="49"/>
      <c r="X41" s="112"/>
    </row>
    <row r="42" spans="1:24" x14ac:dyDescent="0.3">
      <c r="A42" s="40" t="str">
        <f>VLOOKUP(B42,Grupos!$A$2:$B$619,2,FALSE)</f>
        <v>ADAPTADORES</v>
      </c>
      <c r="B42" s="41" t="s">
        <v>624</v>
      </c>
      <c r="C42" s="41" t="s">
        <v>625</v>
      </c>
      <c r="D42" s="42">
        <v>3000</v>
      </c>
      <c r="E42" s="43">
        <v>20.18</v>
      </c>
      <c r="F42" s="43">
        <f>VLOOKUP(B42,Feb!$B$6:$F$305,5,FALSE)</f>
        <v>5.27</v>
      </c>
      <c r="G42" s="126">
        <f t="shared" si="14"/>
        <v>25.45</v>
      </c>
      <c r="H42" s="127">
        <f t="shared" si="15"/>
        <v>60540</v>
      </c>
      <c r="I42" s="128">
        <f t="shared" si="16"/>
        <v>15809.999999999998</v>
      </c>
      <c r="J42" s="128">
        <f t="shared" si="17"/>
        <v>76350</v>
      </c>
      <c r="K42" s="44">
        <f t="shared" si="13"/>
        <v>4.3792311105663776E-5</v>
      </c>
      <c r="L42" s="45">
        <v>5.982460479123243</v>
      </c>
      <c r="M42" s="45">
        <f>VLOOKUP(B42,Feb!$B$6:$M$305,12,FALSE)</f>
        <v>31.009861743770188</v>
      </c>
      <c r="N42" s="45">
        <f t="shared" si="18"/>
        <v>62.442322222893431</v>
      </c>
      <c r="O42" s="46">
        <f t="shared" si="19"/>
        <v>187326.96666868028</v>
      </c>
      <c r="P42" s="47">
        <f t="shared" si="20"/>
        <v>104.00000333333334</v>
      </c>
      <c r="Q42" s="47">
        <v>300</v>
      </c>
      <c r="R42" s="47">
        <f t="shared" si="12"/>
        <v>195.99999666666668</v>
      </c>
      <c r="S42" s="191">
        <f t="shared" si="10"/>
        <v>0.65333332222222229</v>
      </c>
      <c r="T42" s="42">
        <v>312000.01</v>
      </c>
      <c r="U42" s="48">
        <f t="shared" si="8"/>
        <v>0.60040692520708661</v>
      </c>
      <c r="V42" s="49"/>
      <c r="X42" s="112"/>
    </row>
    <row r="43" spans="1:24" x14ac:dyDescent="0.3">
      <c r="A43" s="40" t="str">
        <f>VLOOKUP(B43,Grupos!$A$2:$B$619,2,FALSE)</f>
        <v>ADAPTADORES</v>
      </c>
      <c r="B43" s="41" t="s">
        <v>60</v>
      </c>
      <c r="C43" s="41" t="s">
        <v>61</v>
      </c>
      <c r="D43" s="42">
        <v>648000</v>
      </c>
      <c r="E43" s="43">
        <v>26.11</v>
      </c>
      <c r="F43" s="43">
        <f>VLOOKUP(B43,Feb!$B$6:$F$305,5,FALSE)</f>
        <v>10.98</v>
      </c>
      <c r="G43" s="126">
        <f t="shared" si="14"/>
        <v>37.090000000000003</v>
      </c>
      <c r="H43" s="127">
        <f t="shared" si="15"/>
        <v>16919280</v>
      </c>
      <c r="I43" s="128">
        <f t="shared" si="16"/>
        <v>7115040</v>
      </c>
      <c r="J43" s="128">
        <f t="shared" si="17"/>
        <v>24034320.000000004</v>
      </c>
      <c r="K43" s="44">
        <f t="shared" si="13"/>
        <v>1.3785440977774423E-2</v>
      </c>
      <c r="L43" s="45">
        <v>8.7186427964904176</v>
      </c>
      <c r="M43" s="45">
        <f>VLOOKUP(B43,Feb!$B$6:$M$305,12,FALSE)</f>
        <v>64.608782153054406</v>
      </c>
      <c r="N43" s="45">
        <f t="shared" si="18"/>
        <v>110.41742494954482</v>
      </c>
      <c r="O43" s="46">
        <f t="shared" si="19"/>
        <v>71550491.36730504</v>
      </c>
      <c r="P43" s="47">
        <f t="shared" si="20"/>
        <v>107.10000436728394</v>
      </c>
      <c r="Q43" s="47">
        <v>300</v>
      </c>
      <c r="R43" s="47">
        <f t="shared" si="12"/>
        <v>192.89999563271607</v>
      </c>
      <c r="S43" s="191">
        <f t="shared" si="10"/>
        <v>0.6429999854423869</v>
      </c>
      <c r="T43" s="42">
        <v>69400802.829999998</v>
      </c>
      <c r="U43" s="48">
        <f t="shared" si="8"/>
        <v>1.0309749808308528</v>
      </c>
      <c r="V43" s="49"/>
      <c r="X43" s="112"/>
    </row>
    <row r="44" spans="1:24" x14ac:dyDescent="0.3">
      <c r="A44" s="40" t="str">
        <f>VLOOKUP(B44,Grupos!$A$2:$B$619,2,FALSE)</f>
        <v>ADAPTADORES</v>
      </c>
      <c r="B44" s="41" t="s">
        <v>766</v>
      </c>
      <c r="C44" s="41" t="s">
        <v>1048</v>
      </c>
      <c r="D44" s="42">
        <v>19200</v>
      </c>
      <c r="E44" s="43">
        <v>55.65</v>
      </c>
      <c r="F44" s="43">
        <f>VLOOKUP(B44,Feb!$B$6:$F$305,5,FALSE)</f>
        <v>10.16</v>
      </c>
      <c r="G44" s="126">
        <f t="shared" si="14"/>
        <v>65.81</v>
      </c>
      <c r="H44" s="127">
        <f t="shared" si="15"/>
        <v>1068480</v>
      </c>
      <c r="I44" s="128">
        <f t="shared" si="16"/>
        <v>195072</v>
      </c>
      <c r="J44" s="128">
        <f t="shared" si="17"/>
        <v>1263552</v>
      </c>
      <c r="K44" s="44">
        <f t="shared" si="13"/>
        <v>7.2473951908557537E-4</v>
      </c>
      <c r="L44" s="45">
        <v>15.469773050337942</v>
      </c>
      <c r="M44" s="45">
        <f>VLOOKUP(B44,Feb!$B$6:$M$305,12,FALSE)</f>
        <v>59.783718276414639</v>
      </c>
      <c r="N44" s="45">
        <f t="shared" si="18"/>
        <v>141.0634913267526</v>
      </c>
      <c r="O44" s="46">
        <f t="shared" si="19"/>
        <v>2708419.03347365</v>
      </c>
      <c r="P44" s="47">
        <f t="shared" si="20"/>
        <v>175.31249635416668</v>
      </c>
      <c r="Q44" s="47">
        <v>510</v>
      </c>
      <c r="R44" s="47">
        <f t="shared" si="12"/>
        <v>334.68750364583332</v>
      </c>
      <c r="S44" s="191">
        <f t="shared" si="10"/>
        <v>0.65625000714869275</v>
      </c>
      <c r="T44" s="42">
        <v>3365999.93</v>
      </c>
      <c r="U44" s="48">
        <f t="shared" si="8"/>
        <v>0.80464025246537951</v>
      </c>
      <c r="V44" s="49"/>
      <c r="X44" s="112"/>
    </row>
    <row r="45" spans="1:24" x14ac:dyDescent="0.3">
      <c r="A45" s="40" t="str">
        <f>VLOOKUP(B45,Grupos!$A$2:$B$619,2,FALSE)</f>
        <v>ADAPTADORES</v>
      </c>
      <c r="B45" s="41" t="s">
        <v>1049</v>
      </c>
      <c r="C45" s="41" t="s">
        <v>1050</v>
      </c>
      <c r="D45" s="42">
        <v>400500</v>
      </c>
      <c r="E45" s="43">
        <v>27.67</v>
      </c>
      <c r="F45" s="43">
        <f>VLOOKUP(B45,Feb!$B$6:$F$305,5,FALSE)</f>
        <v>6.42</v>
      </c>
      <c r="G45" s="126">
        <f t="shared" si="14"/>
        <v>34.090000000000003</v>
      </c>
      <c r="H45" s="127">
        <f t="shared" si="15"/>
        <v>11081835</v>
      </c>
      <c r="I45" s="128">
        <f t="shared" si="16"/>
        <v>2571210</v>
      </c>
      <c r="J45" s="128">
        <f t="shared" si="17"/>
        <v>13653045.000000002</v>
      </c>
      <c r="K45" s="44">
        <f t="shared" si="13"/>
        <v>7.8310202250114914E-3</v>
      </c>
      <c r="L45" s="45">
        <v>8.013441168303002</v>
      </c>
      <c r="M45" s="45">
        <f>VLOOKUP(B45,Feb!$B$6:$M$305,12,FALSE)</f>
        <v>37.776719619545467</v>
      </c>
      <c r="N45" s="45">
        <f t="shared" si="18"/>
        <v>79.880160787848467</v>
      </c>
      <c r="O45" s="46">
        <f t="shared" si="19"/>
        <v>31992004.395533312</v>
      </c>
      <c r="P45" s="47">
        <f t="shared" si="20"/>
        <v>105.45843041198502</v>
      </c>
      <c r="Q45" s="47">
        <v>300</v>
      </c>
      <c r="R45" s="47">
        <f t="shared" si="12"/>
        <v>194.54156958801497</v>
      </c>
      <c r="S45" s="191">
        <f t="shared" si="10"/>
        <v>0.6484718986267165</v>
      </c>
      <c r="T45" s="42">
        <v>42236101.380000003</v>
      </c>
      <c r="U45" s="48">
        <f t="shared" si="8"/>
        <v>0.75745637855397419</v>
      </c>
      <c r="V45" s="49"/>
      <c r="X45" s="112"/>
    </row>
    <row r="46" spans="1:24" x14ac:dyDescent="0.3">
      <c r="A46" s="40" t="str">
        <f>VLOOKUP(B46,Grupos!$A$2:$B$619,2,FALSE)</f>
        <v>ADAPTADORES</v>
      </c>
      <c r="B46" s="41" t="s">
        <v>62</v>
      </c>
      <c r="C46" s="41" t="s">
        <v>63</v>
      </c>
      <c r="D46" s="42">
        <v>290400</v>
      </c>
      <c r="E46" s="43">
        <v>40.159999999999997</v>
      </c>
      <c r="F46" s="43">
        <f>VLOOKUP(B46,Feb!$B$6:$F$305,5,FALSE)</f>
        <v>11.35</v>
      </c>
      <c r="G46" s="126">
        <f t="shared" si="14"/>
        <v>51.51</v>
      </c>
      <c r="H46" s="127">
        <f t="shared" si="15"/>
        <v>11662463.999999998</v>
      </c>
      <c r="I46" s="128">
        <f t="shared" si="16"/>
        <v>3296040</v>
      </c>
      <c r="J46" s="128">
        <f t="shared" si="17"/>
        <v>14958504</v>
      </c>
      <c r="K46" s="44">
        <f t="shared" si="13"/>
        <v>8.5797964746996205E-3</v>
      </c>
      <c r="L46" s="45">
        <v>12.108311955977928</v>
      </c>
      <c r="M46" s="45">
        <f>VLOOKUP(B46,Feb!$B$6:$M$305,12,FALSE)</f>
        <v>66.785945121782092</v>
      </c>
      <c r="N46" s="45">
        <f t="shared" si="18"/>
        <v>130.40425707776001</v>
      </c>
      <c r="O46" s="46">
        <f t="shared" si="19"/>
        <v>37869396.25538151</v>
      </c>
      <c r="P46" s="47">
        <f t="shared" si="20"/>
        <v>143.33884669421488</v>
      </c>
      <c r="Q46" s="47">
        <v>400</v>
      </c>
      <c r="R46" s="47">
        <f t="shared" si="12"/>
        <v>256.66115330578509</v>
      </c>
      <c r="S46" s="191">
        <f t="shared" si="10"/>
        <v>0.64165288326446268</v>
      </c>
      <c r="T46" s="42">
        <v>41625601.079999998</v>
      </c>
      <c r="U46" s="48">
        <f t="shared" si="8"/>
        <v>0.90976214812130973</v>
      </c>
      <c r="V46" s="49"/>
      <c r="X46" s="112"/>
    </row>
    <row r="47" spans="1:24" x14ac:dyDescent="0.3">
      <c r="A47" s="40" t="str">
        <f>VLOOKUP(B47,Grupos!$A$2:$B$619,2,FALSE)</f>
        <v>CAJAS ARRANCADORAS</v>
      </c>
      <c r="B47" s="41" t="s">
        <v>64</v>
      </c>
      <c r="C47" s="41" t="s">
        <v>65</v>
      </c>
      <c r="D47" s="42">
        <v>141</v>
      </c>
      <c r="E47" s="43">
        <v>30850.05</v>
      </c>
      <c r="F47" s="43">
        <f>VLOOKUP(B47,Feb!$B$6:$F$305,5,FALSE)</f>
        <v>4472.47</v>
      </c>
      <c r="G47" s="126">
        <f t="shared" ref="G47:G52" si="21">E47+F47</f>
        <v>35322.519999999997</v>
      </c>
      <c r="H47" s="127">
        <f t="shared" ref="H47:H52" si="22">E47*D47</f>
        <v>4349857.05</v>
      </c>
      <c r="I47" s="128">
        <f t="shared" ref="I47:I52" si="23">F47*D47</f>
        <v>630618.27</v>
      </c>
      <c r="J47" s="128">
        <f t="shared" ref="J47:J52" si="24">G47*D47</f>
        <v>4980475.3199999994</v>
      </c>
      <c r="K47" s="44">
        <f t="shared" si="13"/>
        <v>2.8566669897514122E-3</v>
      </c>
      <c r="L47" s="45">
        <v>8535.3702960128812</v>
      </c>
      <c r="M47" s="45">
        <f>VLOOKUP(B47,Feb!$B$6:$M$305,12,FALSE)</f>
        <v>26317.016385798837</v>
      </c>
      <c r="N47" s="45">
        <f t="shared" ref="N47:N52" si="25">G47+L47+M47</f>
        <v>70174.906681811713</v>
      </c>
      <c r="O47" s="46">
        <f t="shared" ref="O47:O52" si="26">N47*D47</f>
        <v>9894661.8421354517</v>
      </c>
      <c r="P47" s="47">
        <f t="shared" ref="P47:P52" si="27">T47/D47</f>
        <v>107461.54163120566</v>
      </c>
      <c r="Q47" s="47">
        <v>269850</v>
      </c>
      <c r="R47" s="47">
        <f t="shared" si="12"/>
        <v>162388.45836879435</v>
      </c>
      <c r="S47" s="191">
        <f t="shared" si="10"/>
        <v>0.60177305306205064</v>
      </c>
      <c r="T47" s="42">
        <v>15152077.369999999</v>
      </c>
      <c r="U47" s="48">
        <f t="shared" si="8"/>
        <v>0.65302345021852615</v>
      </c>
      <c r="V47" s="49"/>
      <c r="X47" s="112"/>
    </row>
    <row r="48" spans="1:24" x14ac:dyDescent="0.3">
      <c r="A48" s="40" t="str">
        <f>VLOOKUP(B48,Grupos!$A$2:$B$619,2,FALSE)</f>
        <v>CAJAS ARRANCADORAS</v>
      </c>
      <c r="B48" s="41" t="s">
        <v>66</v>
      </c>
      <c r="C48" s="41" t="s">
        <v>1054</v>
      </c>
      <c r="D48" s="42">
        <v>121</v>
      </c>
      <c r="E48" s="43">
        <v>41575.54</v>
      </c>
      <c r="F48" s="43">
        <f>VLOOKUP(B48,Feb!$B$6:$F$305,5,FALSE)</f>
        <v>5353.18</v>
      </c>
      <c r="G48" s="126">
        <f t="shared" si="21"/>
        <v>46928.72</v>
      </c>
      <c r="H48" s="127">
        <f t="shared" si="22"/>
        <v>5030640.34</v>
      </c>
      <c r="I48" s="128">
        <f t="shared" si="23"/>
        <v>647734.78</v>
      </c>
      <c r="J48" s="128">
        <f t="shared" si="24"/>
        <v>5678375.1200000001</v>
      </c>
      <c r="K48" s="44">
        <f t="shared" si="13"/>
        <v>3.2569635865055779E-3</v>
      </c>
      <c r="L48" s="45">
        <v>11330.145465994054</v>
      </c>
      <c r="M48" s="45">
        <f>VLOOKUP(B48,Feb!$B$6:$M$305,12,FALSE)</f>
        <v>31499.311516037138</v>
      </c>
      <c r="N48" s="45">
        <f t="shared" si="25"/>
        <v>89758.176982031189</v>
      </c>
      <c r="O48" s="46">
        <f t="shared" si="26"/>
        <v>10860739.414825775</v>
      </c>
      <c r="P48" s="47">
        <f t="shared" si="27"/>
        <v>150275.76586776861</v>
      </c>
      <c r="Q48" s="47">
        <v>388750</v>
      </c>
      <c r="R48" s="47">
        <f t="shared" si="12"/>
        <v>238474.23413223139</v>
      </c>
      <c r="S48" s="191">
        <f t="shared" si="10"/>
        <v>0.61343854439159196</v>
      </c>
      <c r="T48" s="42">
        <v>18183367.670000002</v>
      </c>
      <c r="U48" s="48">
        <f t="shared" si="8"/>
        <v>0.59728976567660053</v>
      </c>
      <c r="V48" s="49"/>
      <c r="X48" s="112"/>
    </row>
    <row r="49" spans="1:24" x14ac:dyDescent="0.3">
      <c r="A49" s="40" t="str">
        <f>VLOOKUP(B49,Grupos!$A$2:$B$619,2,FALSE)</f>
        <v>CAJAS ARRANCADORAS</v>
      </c>
      <c r="B49" s="41" t="s">
        <v>626</v>
      </c>
      <c r="C49" s="41" t="s">
        <v>1055</v>
      </c>
      <c r="D49" s="42">
        <v>48</v>
      </c>
      <c r="E49" s="43">
        <v>64077.62</v>
      </c>
      <c r="F49" s="43">
        <f>VLOOKUP(B49,Feb!$B$6:$F$305,5,FALSE)</f>
        <v>5265.73</v>
      </c>
      <c r="G49" s="126">
        <f t="shared" si="21"/>
        <v>69343.350000000006</v>
      </c>
      <c r="H49" s="127">
        <f t="shared" si="22"/>
        <v>3075725.7600000002</v>
      </c>
      <c r="I49" s="128">
        <f t="shared" si="23"/>
        <v>252755.03999999998</v>
      </c>
      <c r="J49" s="128">
        <f t="shared" si="24"/>
        <v>3328480.8000000003</v>
      </c>
      <c r="K49" s="44">
        <f t="shared" si="13"/>
        <v>1.9091272652629818E-3</v>
      </c>
      <c r="L49" s="45">
        <v>16583.547345848303</v>
      </c>
      <c r="M49" s="45">
        <f>VLOOKUP(B49,Feb!$B$6:$M$305,12,FALSE)</f>
        <v>30984.73610626622</v>
      </c>
      <c r="N49" s="45">
        <f t="shared" si="25"/>
        <v>116911.63345211453</v>
      </c>
      <c r="O49" s="46">
        <f t="shared" si="26"/>
        <v>5611758.4057014976</v>
      </c>
      <c r="P49" s="47">
        <f t="shared" si="27"/>
        <v>247574.08333333334</v>
      </c>
      <c r="Q49" s="47">
        <v>621200</v>
      </c>
      <c r="R49" s="47">
        <f t="shared" si="12"/>
        <v>373625.91666666663</v>
      </c>
      <c r="S49" s="191">
        <f t="shared" si="10"/>
        <v>0.60145833333333332</v>
      </c>
      <c r="T49" s="42">
        <v>11883556</v>
      </c>
      <c r="U49" s="48">
        <f t="shared" si="8"/>
        <v>0.47222888550375808</v>
      </c>
      <c r="V49" s="49"/>
      <c r="X49" s="112"/>
    </row>
    <row r="50" spans="1:24" x14ac:dyDescent="0.3">
      <c r="A50" s="40" t="str">
        <f>VLOOKUP(B50,Grupos!$A$2:$B$619,2,FALSE)</f>
        <v>CAJAS ARRANCADORAS</v>
      </c>
      <c r="B50" s="41" t="s">
        <v>627</v>
      </c>
      <c r="C50" s="41" t="s">
        <v>628</v>
      </c>
      <c r="D50" s="42">
        <v>20</v>
      </c>
      <c r="E50" s="43">
        <v>80528.08</v>
      </c>
      <c r="F50" s="43">
        <f>VLOOKUP(B50,Feb!$B$6:$F$305,5,FALSE)</f>
        <v>7236.18</v>
      </c>
      <c r="G50" s="126">
        <f t="shared" si="21"/>
        <v>87764.260000000009</v>
      </c>
      <c r="H50" s="127">
        <f t="shared" si="22"/>
        <v>1610561.6</v>
      </c>
      <c r="I50" s="128">
        <f t="shared" si="23"/>
        <v>144723.6</v>
      </c>
      <c r="J50" s="128">
        <f t="shared" si="24"/>
        <v>1755285.2000000002</v>
      </c>
      <c r="K50" s="44">
        <f t="shared" si="13"/>
        <v>1.0067844866740966E-3</v>
      </c>
      <c r="L50" s="45">
        <v>21097.225627143263</v>
      </c>
      <c r="M50" s="45">
        <f>VLOOKUP(B50,Feb!$B$6:$M$305,12,FALSE)</f>
        <v>42579.305759589181</v>
      </c>
      <c r="N50" s="45">
        <f t="shared" si="25"/>
        <v>151440.79138673245</v>
      </c>
      <c r="O50" s="46">
        <f t="shared" si="26"/>
        <v>3028815.8277346492</v>
      </c>
      <c r="P50" s="47">
        <f t="shared" si="27"/>
        <v>302535.40099999995</v>
      </c>
      <c r="Q50" s="47">
        <v>748850</v>
      </c>
      <c r="R50" s="47">
        <f t="shared" si="12"/>
        <v>446314.59900000005</v>
      </c>
      <c r="S50" s="191">
        <f t="shared" si="10"/>
        <v>0.59599999866461917</v>
      </c>
      <c r="T50" s="42">
        <v>6050708.0199999996</v>
      </c>
      <c r="U50" s="48">
        <f t="shared" si="8"/>
        <v>0.50057213432266223</v>
      </c>
      <c r="V50" s="49"/>
      <c r="X50" s="112"/>
    </row>
    <row r="51" spans="1:24" x14ac:dyDescent="0.3">
      <c r="A51" s="40" t="str">
        <f>VLOOKUP(B51,Grupos!$A$2:$B$619,2,FALSE)</f>
        <v>CAJAS ARRANCADORAS</v>
      </c>
      <c r="B51" s="41" t="s">
        <v>629</v>
      </c>
      <c r="C51" s="41" t="s">
        <v>630</v>
      </c>
      <c r="D51" s="42">
        <v>6</v>
      </c>
      <c r="E51" s="43">
        <v>86721.71</v>
      </c>
      <c r="F51" s="43">
        <f>VLOOKUP(B51,Feb!$B$6:$F$305,5,FALSE)</f>
        <v>8005.49</v>
      </c>
      <c r="G51" s="126">
        <f t="shared" si="21"/>
        <v>94727.200000000012</v>
      </c>
      <c r="H51" s="127">
        <f t="shared" si="22"/>
        <v>520330.26</v>
      </c>
      <c r="I51" s="128">
        <f t="shared" si="23"/>
        <v>48032.94</v>
      </c>
      <c r="J51" s="128">
        <f t="shared" si="24"/>
        <v>568363.20000000007</v>
      </c>
      <c r="K51" s="44">
        <f t="shared" si="13"/>
        <v>3.2599787918023059E-4</v>
      </c>
      <c r="L51" s="45">
        <v>23056.329815706067</v>
      </c>
      <c r="M51" s="45">
        <f>VLOOKUP(B51,Feb!$B$6:$M$305,12,FALSE)</f>
        <v>47106.098309513247</v>
      </c>
      <c r="N51" s="45">
        <f t="shared" si="25"/>
        <v>164889.62812521931</v>
      </c>
      <c r="O51" s="46">
        <f t="shared" si="26"/>
        <v>989337.76875131589</v>
      </c>
      <c r="P51" s="47">
        <f t="shared" si="27"/>
        <v>322410.995</v>
      </c>
      <c r="Q51" s="47">
        <v>848450</v>
      </c>
      <c r="R51" s="47">
        <f t="shared" si="12"/>
        <v>526039.005</v>
      </c>
      <c r="S51" s="191">
        <f t="shared" si="10"/>
        <v>0.62000000589309923</v>
      </c>
      <c r="T51" s="42">
        <v>1934465.97</v>
      </c>
      <c r="U51" s="48">
        <f t="shared" si="8"/>
        <v>0.51142681447702898</v>
      </c>
      <c r="V51" s="49"/>
      <c r="X51" s="112"/>
    </row>
    <row r="52" spans="1:24" x14ac:dyDescent="0.3">
      <c r="A52" s="40" t="str">
        <f>VLOOKUP(B52,Grupos!$A$2:$B$619,2,FALSE)</f>
        <v>CAJAS ARRANCADORAS</v>
      </c>
      <c r="B52" s="41" t="s">
        <v>68</v>
      </c>
      <c r="C52" s="41" t="s">
        <v>69</v>
      </c>
      <c r="D52" s="42">
        <v>2</v>
      </c>
      <c r="E52" s="43">
        <v>97646.97</v>
      </c>
      <c r="F52" s="43">
        <f>VLOOKUP(B52,Feb!$B$6:$F$305,5,FALSE)</f>
        <v>5465.68</v>
      </c>
      <c r="G52" s="126">
        <f t="shared" si="21"/>
        <v>103112.65</v>
      </c>
      <c r="H52" s="127">
        <f t="shared" si="22"/>
        <v>195293.94</v>
      </c>
      <c r="I52" s="128">
        <f t="shared" si="23"/>
        <v>10931.36</v>
      </c>
      <c r="J52" s="128">
        <f t="shared" si="24"/>
        <v>206225.3</v>
      </c>
      <c r="K52" s="44">
        <f t="shared" si="13"/>
        <v>1.1828529791039742E-4</v>
      </c>
      <c r="L52" s="45">
        <v>24798.236604131333</v>
      </c>
      <c r="M52" s="45">
        <f>VLOOKUP(B52,Feb!$B$6:$M$305,12,FALSE)</f>
        <v>32161.286743015153</v>
      </c>
      <c r="N52" s="45">
        <f t="shared" si="25"/>
        <v>160072.17334714648</v>
      </c>
      <c r="O52" s="46">
        <f t="shared" si="26"/>
        <v>320144.34669429297</v>
      </c>
      <c r="P52" s="47">
        <f t="shared" si="27"/>
        <v>320142.505</v>
      </c>
      <c r="Q52" s="47">
        <v>865250</v>
      </c>
      <c r="R52" s="47">
        <f t="shared" si="12"/>
        <v>545107.495</v>
      </c>
      <c r="S52" s="191">
        <f t="shared" si="10"/>
        <v>0.62999999422132336</v>
      </c>
      <c r="T52" s="42">
        <v>640285.01</v>
      </c>
      <c r="U52" s="48">
        <f t="shared" si="8"/>
        <v>0.50000287636640595</v>
      </c>
      <c r="V52" s="49"/>
      <c r="X52" s="112"/>
    </row>
    <row r="53" spans="1:24" x14ac:dyDescent="0.3">
      <c r="A53" s="40" t="str">
        <f>VLOOKUP(B53,Grupos!$A$2:$B$619,2,FALSE)</f>
        <v>CAJAS EMPALME</v>
      </c>
      <c r="B53" s="41" t="s">
        <v>70</v>
      </c>
      <c r="C53" s="41" t="s">
        <v>71</v>
      </c>
      <c r="D53" s="42">
        <v>360</v>
      </c>
      <c r="E53" s="43">
        <v>3092.67</v>
      </c>
      <c r="F53" s="43">
        <f>VLOOKUP(B53,Feb!$B$6:$F$305,5,FALSE)</f>
        <v>426.22</v>
      </c>
      <c r="G53" s="126">
        <f t="shared" ref="G53:G71" si="28">E53+F53</f>
        <v>3518.8900000000003</v>
      </c>
      <c r="H53" s="127">
        <f t="shared" ref="H53:H71" si="29">E53*D53</f>
        <v>1113361.2</v>
      </c>
      <c r="I53" s="128">
        <f t="shared" ref="I53:I71" si="30">F53*D53</f>
        <v>153439.20000000001</v>
      </c>
      <c r="J53" s="128">
        <f t="shared" ref="J53:J71" si="31">G53*D53</f>
        <v>1266800.4000000001</v>
      </c>
      <c r="K53" s="44">
        <f t="shared" si="13"/>
        <v>7.2660271415297083E-4</v>
      </c>
      <c r="L53" s="45">
        <v>966.22260817261167</v>
      </c>
      <c r="M53" s="45">
        <f>VLOOKUP(B53,Feb!$B$6:$M$305,12,FALSE)</f>
        <v>2507.9740554895125</v>
      </c>
      <c r="N53" s="45">
        <f t="shared" ref="N53:N71" si="32">G53+L53+M53</f>
        <v>6993.0866636621249</v>
      </c>
      <c r="O53" s="46">
        <f t="shared" ref="O53:O71" si="33">N53*D53</f>
        <v>2517511.1989183649</v>
      </c>
      <c r="P53" s="47">
        <f t="shared" ref="P53:P71" si="34">T53/D53</f>
        <v>11357.549833333333</v>
      </c>
      <c r="Q53" s="47">
        <v>27950</v>
      </c>
      <c r="R53" s="47">
        <f t="shared" si="12"/>
        <v>16592.450166666669</v>
      </c>
      <c r="S53" s="191">
        <f t="shared" si="10"/>
        <v>0.59364759093619568</v>
      </c>
      <c r="T53" s="42">
        <v>4088717.94</v>
      </c>
      <c r="U53" s="48">
        <f t="shared" si="8"/>
        <v>0.61572141582316264</v>
      </c>
      <c r="V53" s="49"/>
      <c r="X53" s="112"/>
    </row>
    <row r="54" spans="1:24" x14ac:dyDescent="0.3">
      <c r="A54" s="40" t="str">
        <f>VLOOKUP(B54,Grupos!$A$2:$B$619,2,FALSE)</f>
        <v>CAJAS EMPALME</v>
      </c>
      <c r="B54" s="41" t="s">
        <v>72</v>
      </c>
      <c r="C54" s="41" t="s">
        <v>73</v>
      </c>
      <c r="D54" s="42">
        <v>1707</v>
      </c>
      <c r="E54" s="43">
        <v>4188.7299999999996</v>
      </c>
      <c r="F54" s="43">
        <f>VLOOKUP(B54,Feb!$B$6:$F$305,5,FALSE)</f>
        <v>680.53</v>
      </c>
      <c r="G54" s="126">
        <f t="shared" si="28"/>
        <v>4869.2599999999993</v>
      </c>
      <c r="H54" s="127">
        <f t="shared" si="29"/>
        <v>7150162.1099999994</v>
      </c>
      <c r="I54" s="128">
        <f t="shared" si="30"/>
        <v>1161664.71</v>
      </c>
      <c r="J54" s="128">
        <f t="shared" si="31"/>
        <v>8311826.8199999984</v>
      </c>
      <c r="K54" s="44">
        <f t="shared" si="13"/>
        <v>4.7674408114975761E-3</v>
      </c>
      <c r="L54" s="45">
        <v>1164.9601803562953</v>
      </c>
      <c r="M54" s="45">
        <f>VLOOKUP(B54,Feb!$B$6:$M$305,12,FALSE)</f>
        <v>4004.3911219142174</v>
      </c>
      <c r="N54" s="45">
        <f t="shared" si="32"/>
        <v>10038.611302270512</v>
      </c>
      <c r="O54" s="46">
        <f t="shared" si="33"/>
        <v>17135909.492975764</v>
      </c>
      <c r="P54" s="47">
        <f t="shared" si="34"/>
        <v>12991.44437609842</v>
      </c>
      <c r="Q54" s="47">
        <v>33550</v>
      </c>
      <c r="R54" s="47">
        <f t="shared" si="12"/>
        <v>20558.555623901579</v>
      </c>
      <c r="S54" s="191">
        <f t="shared" si="10"/>
        <v>0.61277364005667889</v>
      </c>
      <c r="T54" s="42">
        <v>22176395.550000001</v>
      </c>
      <c r="U54" s="48">
        <f t="shared" si="8"/>
        <v>0.77270940871974858</v>
      </c>
      <c r="V54" s="49"/>
      <c r="X54" s="112"/>
    </row>
    <row r="55" spans="1:24" x14ac:dyDescent="0.3">
      <c r="A55" s="40" t="str">
        <f>VLOOKUP(B55,Grupos!$A$2:$B$619,2,FALSE)</f>
        <v>CAJAS EMPALME</v>
      </c>
      <c r="B55" s="41" t="s">
        <v>74</v>
      </c>
      <c r="C55" s="41" t="s">
        <v>75</v>
      </c>
      <c r="D55" s="42">
        <v>220</v>
      </c>
      <c r="E55" s="43">
        <v>5086.3</v>
      </c>
      <c r="F55" s="43">
        <f>VLOOKUP(B55,Feb!$B$6:$F$305,5,FALSE)</f>
        <v>408.44</v>
      </c>
      <c r="G55" s="126">
        <f t="shared" si="28"/>
        <v>5494.74</v>
      </c>
      <c r="H55" s="127">
        <f t="shared" si="29"/>
        <v>1118986</v>
      </c>
      <c r="I55" s="128">
        <f t="shared" si="30"/>
        <v>89856.8</v>
      </c>
      <c r="J55" s="128">
        <f t="shared" si="31"/>
        <v>1208842.8</v>
      </c>
      <c r="K55" s="44">
        <f t="shared" si="13"/>
        <v>6.9335979011711458E-4</v>
      </c>
      <c r="L55" s="45">
        <v>1326.3761317042067</v>
      </c>
      <c r="M55" s="45">
        <f>VLOOKUP(B55,Feb!$B$6:$M$305,12,FALSE)</f>
        <v>2403.3525485057867</v>
      </c>
      <c r="N55" s="45">
        <f t="shared" si="32"/>
        <v>9224.4686802099932</v>
      </c>
      <c r="O55" s="46">
        <f t="shared" si="33"/>
        <v>2029383.1096461986</v>
      </c>
      <c r="P55" s="47">
        <f t="shared" si="34"/>
        <v>16041.150090909092</v>
      </c>
      <c r="Q55" s="47">
        <v>41450</v>
      </c>
      <c r="R55" s="47">
        <f t="shared" si="12"/>
        <v>25408.84990909091</v>
      </c>
      <c r="S55" s="191">
        <f t="shared" si="10"/>
        <v>0.61299999780677705</v>
      </c>
      <c r="T55" s="42">
        <v>3529053.02</v>
      </c>
      <c r="U55" s="48">
        <f t="shared" si="8"/>
        <v>0.57505033167401909</v>
      </c>
      <c r="V55" s="49"/>
      <c r="X55" s="112"/>
    </row>
    <row r="56" spans="1:24" x14ac:dyDescent="0.3">
      <c r="A56" s="40" t="str">
        <f>VLOOKUP(B56,Grupos!$A$2:$B$619,2,FALSE)</f>
        <v>CAJAS EMPALME</v>
      </c>
      <c r="B56" s="41" t="s">
        <v>76</v>
      </c>
      <c r="C56" s="41" t="s">
        <v>77</v>
      </c>
      <c r="D56" s="42">
        <v>2576</v>
      </c>
      <c r="E56" s="43">
        <v>6114.41</v>
      </c>
      <c r="F56" s="43">
        <f>VLOOKUP(B56,Feb!$B$6:$F$305,5,FALSE)</f>
        <v>701.09</v>
      </c>
      <c r="G56" s="126">
        <f t="shared" si="28"/>
        <v>6815.5</v>
      </c>
      <c r="H56" s="127">
        <f t="shared" si="29"/>
        <v>15750720.16</v>
      </c>
      <c r="I56" s="128">
        <f t="shared" si="30"/>
        <v>1806007.84</v>
      </c>
      <c r="J56" s="128">
        <f t="shared" si="31"/>
        <v>17556728</v>
      </c>
      <c r="K56" s="44">
        <f t="shared" si="13"/>
        <v>1.0070068036326367E-2</v>
      </c>
      <c r="L56" s="45">
        <v>1628.181272519575</v>
      </c>
      <c r="M56" s="45">
        <f>VLOOKUP(B56,Feb!$B$6:$M$305,12,FALSE)</f>
        <v>4125.3707722846002</v>
      </c>
      <c r="N56" s="45">
        <f t="shared" si="32"/>
        <v>12569.052044804175</v>
      </c>
      <c r="O56" s="46">
        <f t="shared" si="33"/>
        <v>32377878.067415554</v>
      </c>
      <c r="P56" s="47">
        <f t="shared" si="34"/>
        <v>18127.310139751553</v>
      </c>
      <c r="Q56" s="47">
        <v>46600</v>
      </c>
      <c r="R56" s="47">
        <f t="shared" si="12"/>
        <v>28472.689860248447</v>
      </c>
      <c r="S56" s="191">
        <f t="shared" si="10"/>
        <v>0.61100192833151179</v>
      </c>
      <c r="T56" s="42">
        <v>46695950.920000002</v>
      </c>
      <c r="U56" s="48">
        <f t="shared" si="8"/>
        <v>0.69337656540897252</v>
      </c>
      <c r="V56" s="49"/>
      <c r="X56" s="112"/>
    </row>
    <row r="57" spans="1:24" x14ac:dyDescent="0.3">
      <c r="A57" s="40" t="str">
        <f>VLOOKUP(B57,Grupos!$A$2:$B$619,2,FALSE)</f>
        <v>CAJAS EMPALME</v>
      </c>
      <c r="B57" s="41" t="s">
        <v>78</v>
      </c>
      <c r="C57" s="41" t="s">
        <v>79</v>
      </c>
      <c r="D57" s="42">
        <v>1376</v>
      </c>
      <c r="E57" s="43">
        <v>7481.07</v>
      </c>
      <c r="F57" s="43">
        <f>VLOOKUP(B57,Feb!$B$6:$F$305,5,FALSE)</f>
        <v>539.74</v>
      </c>
      <c r="G57" s="126">
        <f t="shared" si="28"/>
        <v>8020.8099999999995</v>
      </c>
      <c r="H57" s="127">
        <f t="shared" si="29"/>
        <v>10293952.32</v>
      </c>
      <c r="I57" s="128">
        <f t="shared" si="30"/>
        <v>742682.24</v>
      </c>
      <c r="J57" s="128">
        <f t="shared" si="31"/>
        <v>11036634.559999999</v>
      </c>
      <c r="K57" s="44">
        <f t="shared" si="13"/>
        <v>6.3303174094438844E-3</v>
      </c>
      <c r="L57" s="45">
        <v>1928.9779750066357</v>
      </c>
      <c r="M57" s="45">
        <f>VLOOKUP(B57,Feb!$B$6:$M$305,12,FALSE)</f>
        <v>3175.9511911921295</v>
      </c>
      <c r="N57" s="45">
        <f t="shared" si="32"/>
        <v>13125.739166198764</v>
      </c>
      <c r="O57" s="46">
        <f t="shared" si="33"/>
        <v>18061017.092689499</v>
      </c>
      <c r="P57" s="47">
        <f t="shared" si="34"/>
        <v>22835.900537790698</v>
      </c>
      <c r="Q57" s="47">
        <v>59750</v>
      </c>
      <c r="R57" s="47">
        <f t="shared" si="12"/>
        <v>36914.099462209299</v>
      </c>
      <c r="S57" s="191">
        <f t="shared" si="10"/>
        <v>0.61780919602023932</v>
      </c>
      <c r="T57" s="42">
        <v>31422199.140000001</v>
      </c>
      <c r="U57" s="48">
        <f t="shared" si="8"/>
        <v>0.57478526605409008</v>
      </c>
      <c r="V57" s="49"/>
      <c r="X57" s="112"/>
    </row>
    <row r="58" spans="1:24" x14ac:dyDescent="0.3">
      <c r="A58" s="40" t="str">
        <f>VLOOKUP(B58,Grupos!$A$2:$B$619,2,FALSE)</f>
        <v>CAJAS EMPALME</v>
      </c>
      <c r="B58" s="41" t="s">
        <v>80</v>
      </c>
      <c r="C58" s="41" t="s">
        <v>81</v>
      </c>
      <c r="D58" s="42">
        <v>216</v>
      </c>
      <c r="E58" s="43">
        <v>7076.62</v>
      </c>
      <c r="F58" s="43">
        <f>VLOOKUP(B58,Feb!$B$6:$F$305,5,FALSE)</f>
        <v>404.9</v>
      </c>
      <c r="G58" s="126">
        <f t="shared" si="28"/>
        <v>7481.5199999999995</v>
      </c>
      <c r="H58" s="127">
        <f t="shared" si="29"/>
        <v>1528549.92</v>
      </c>
      <c r="I58" s="128">
        <f t="shared" si="30"/>
        <v>87458.4</v>
      </c>
      <c r="J58" s="128">
        <f t="shared" si="31"/>
        <v>1616008.3199999998</v>
      </c>
      <c r="K58" s="44">
        <f t="shared" si="13"/>
        <v>9.2689900587794442E-4</v>
      </c>
      <c r="L58" s="45">
        <v>1779.5716073867557</v>
      </c>
      <c r="M58" s="45">
        <f>VLOOKUP(B58,Feb!$B$6:$M$305,12,FALSE)</f>
        <v>2382.5223946968786</v>
      </c>
      <c r="N58" s="45">
        <f t="shared" si="32"/>
        <v>11643.614002083634</v>
      </c>
      <c r="O58" s="46">
        <f t="shared" si="33"/>
        <v>2515020.6244500647</v>
      </c>
      <c r="P58" s="47">
        <f t="shared" si="34"/>
        <v>23023.083657407409</v>
      </c>
      <c r="Q58" s="47">
        <v>61600</v>
      </c>
      <c r="R58" s="47">
        <f t="shared" si="12"/>
        <v>38576.916342592594</v>
      </c>
      <c r="S58" s="191">
        <f t="shared" si="10"/>
        <v>0.62624864192520446</v>
      </c>
      <c r="T58" s="42">
        <v>4972986.07</v>
      </c>
      <c r="U58" s="48">
        <f t="shared" si="8"/>
        <v>0.50573651103150274</v>
      </c>
      <c r="V58" s="49"/>
      <c r="X58" s="112"/>
    </row>
    <row r="59" spans="1:24" x14ac:dyDescent="0.3">
      <c r="A59" s="40" t="str">
        <f>VLOOKUP(B59,Grupos!$A$2:$B$619,2,FALSE)</f>
        <v>CAJAS EMPALME</v>
      </c>
      <c r="B59" s="41" t="s">
        <v>82</v>
      </c>
      <c r="C59" s="41" t="s">
        <v>83</v>
      </c>
      <c r="D59" s="42">
        <v>336</v>
      </c>
      <c r="E59" s="43">
        <v>8462.5300000000007</v>
      </c>
      <c r="F59" s="43">
        <f>VLOOKUP(B59,Feb!$B$6:$F$305,5,FALSE)</f>
        <v>497.98</v>
      </c>
      <c r="G59" s="126">
        <f t="shared" si="28"/>
        <v>8960.51</v>
      </c>
      <c r="H59" s="127">
        <f t="shared" si="29"/>
        <v>2843410.08</v>
      </c>
      <c r="I59" s="128">
        <f t="shared" si="30"/>
        <v>167321.28</v>
      </c>
      <c r="J59" s="128">
        <f t="shared" si="31"/>
        <v>3010731.36</v>
      </c>
      <c r="K59" s="44">
        <f t="shared" si="13"/>
        <v>1.7268747134603563E-3</v>
      </c>
      <c r="L59" s="45">
        <v>2145.5642003997427</v>
      </c>
      <c r="M59" s="45">
        <f>VLOOKUP(B59,Feb!$B$6:$M$305,12,FALSE)</f>
        <v>2930.22598693789</v>
      </c>
      <c r="N59" s="45">
        <f t="shared" si="32"/>
        <v>14036.300187337634</v>
      </c>
      <c r="O59" s="46">
        <f t="shared" si="33"/>
        <v>4716196.8629454449</v>
      </c>
      <c r="P59" s="47">
        <f t="shared" si="34"/>
        <v>27449.677946428568</v>
      </c>
      <c r="Q59" s="47">
        <v>70150</v>
      </c>
      <c r="R59" s="47">
        <f t="shared" si="12"/>
        <v>42700.322053571435</v>
      </c>
      <c r="S59" s="191">
        <f t="shared" si="10"/>
        <v>0.60870024310151727</v>
      </c>
      <c r="T59" s="42">
        <v>9223091.7899999991</v>
      </c>
      <c r="U59" s="48">
        <f t="shared" si="8"/>
        <v>0.51134662544060461</v>
      </c>
      <c r="V59" s="49"/>
      <c r="X59" s="112"/>
    </row>
    <row r="60" spans="1:24" x14ac:dyDescent="0.3">
      <c r="A60" s="40" t="str">
        <f>VLOOKUP(B60,Grupos!$A$2:$B$619,2,FALSE)</f>
        <v>CAJAS EMPALME</v>
      </c>
      <c r="B60" s="41" t="s">
        <v>84</v>
      </c>
      <c r="C60" s="41" t="s">
        <v>85</v>
      </c>
      <c r="D60" s="42">
        <v>312</v>
      </c>
      <c r="E60" s="43">
        <v>10003.299999999999</v>
      </c>
      <c r="F60" s="43">
        <f>VLOOKUP(B60,Feb!$B$6:$F$305,5,FALSE)</f>
        <v>501.95</v>
      </c>
      <c r="G60" s="126">
        <f t="shared" si="28"/>
        <v>10505.25</v>
      </c>
      <c r="H60" s="127">
        <f t="shared" si="29"/>
        <v>3121029.5999999996</v>
      </c>
      <c r="I60" s="128">
        <f t="shared" si="30"/>
        <v>156608.4</v>
      </c>
      <c r="J60" s="128">
        <f t="shared" si="31"/>
        <v>3277638</v>
      </c>
      <c r="K60" s="44">
        <f t="shared" si="13"/>
        <v>1.8799651995775456E-3</v>
      </c>
      <c r="L60" s="45">
        <v>2506.7473183084908</v>
      </c>
      <c r="M60" s="45">
        <f>VLOOKUP(B60,Feb!$B$6:$M$305,12,FALSE)</f>
        <v>2953.5863571699138</v>
      </c>
      <c r="N60" s="45">
        <f t="shared" si="32"/>
        <v>15965.583675478405</v>
      </c>
      <c r="O60" s="46">
        <f t="shared" si="33"/>
        <v>4981262.1067492627</v>
      </c>
      <c r="P60" s="47">
        <f t="shared" si="34"/>
        <v>30801.057115384618</v>
      </c>
      <c r="Q60" s="47">
        <v>79550</v>
      </c>
      <c r="R60" s="47">
        <f t="shared" si="12"/>
        <v>48748.942884615382</v>
      </c>
      <c r="S60" s="191">
        <f t="shared" si="10"/>
        <v>0.61280883575883571</v>
      </c>
      <c r="T60" s="42">
        <v>9609929.8200000003</v>
      </c>
      <c r="U60" s="48">
        <f t="shared" si="8"/>
        <v>0.51834531573605835</v>
      </c>
      <c r="V60" s="49"/>
      <c r="X60" s="112"/>
    </row>
    <row r="61" spans="1:24" x14ac:dyDescent="0.3">
      <c r="A61" s="40" t="str">
        <f>VLOOKUP(B61,Grupos!$A$2:$B$619,2,FALSE)</f>
        <v>CAJAS EMPALME</v>
      </c>
      <c r="B61" s="41" t="s">
        <v>86</v>
      </c>
      <c r="C61" s="41" t="s">
        <v>87</v>
      </c>
      <c r="D61" s="42">
        <v>992</v>
      </c>
      <c r="E61" s="43">
        <v>11047.69</v>
      </c>
      <c r="F61" s="43">
        <f>VLOOKUP(B61,Feb!$B$6:$F$305,5,FALSE)</f>
        <v>527.86</v>
      </c>
      <c r="G61" s="126">
        <f t="shared" si="28"/>
        <v>11575.550000000001</v>
      </c>
      <c r="H61" s="127">
        <f t="shared" si="29"/>
        <v>10959308.48</v>
      </c>
      <c r="I61" s="128">
        <f t="shared" si="30"/>
        <v>523637.12</v>
      </c>
      <c r="J61" s="128">
        <f t="shared" si="31"/>
        <v>11482945.600000001</v>
      </c>
      <c r="K61" s="44">
        <f t="shared" si="13"/>
        <v>6.5863094449851089E-3</v>
      </c>
      <c r="L61" s="45">
        <v>2734.9858252713484</v>
      </c>
      <c r="M61" s="45">
        <f>VLOOKUP(B61,Feb!$B$6:$M$305,12,FALSE)</f>
        <v>3106.0466072232512</v>
      </c>
      <c r="N61" s="45">
        <f t="shared" si="32"/>
        <v>17416.582432494601</v>
      </c>
      <c r="O61" s="46">
        <f t="shared" si="33"/>
        <v>17277249.773034643</v>
      </c>
      <c r="P61" s="47">
        <f t="shared" si="34"/>
        <v>33443.025221774195</v>
      </c>
      <c r="Q61" s="47">
        <v>85050</v>
      </c>
      <c r="R61" s="47">
        <f t="shared" si="12"/>
        <v>51606.974778225805</v>
      </c>
      <c r="S61" s="191">
        <f t="shared" si="10"/>
        <v>0.60678394800970969</v>
      </c>
      <c r="T61" s="42">
        <v>33175481.02</v>
      </c>
      <c r="U61" s="48">
        <f t="shared" si="8"/>
        <v>0.52078370054737022</v>
      </c>
      <c r="V61" s="49"/>
      <c r="X61" s="112"/>
    </row>
    <row r="62" spans="1:24" x14ac:dyDescent="0.3">
      <c r="A62" s="40" t="str">
        <f>VLOOKUP(B62,Grupos!$A$2:$B$619,2,FALSE)</f>
        <v>CAJAS EMPALME</v>
      </c>
      <c r="B62" s="41" t="s">
        <v>88</v>
      </c>
      <c r="C62" s="41" t="s">
        <v>89</v>
      </c>
      <c r="D62" s="42">
        <v>1056</v>
      </c>
      <c r="E62" s="43">
        <v>12760.55</v>
      </c>
      <c r="F62" s="43">
        <f>VLOOKUP(B62,Feb!$B$6:$F$305,5,FALSE)</f>
        <v>664.85</v>
      </c>
      <c r="G62" s="126">
        <f t="shared" si="28"/>
        <v>13425.4</v>
      </c>
      <c r="H62" s="127">
        <f t="shared" si="29"/>
        <v>13475140.799999999</v>
      </c>
      <c r="I62" s="128">
        <f t="shared" si="30"/>
        <v>702081.6</v>
      </c>
      <c r="J62" s="128">
        <f t="shared" si="31"/>
        <v>14177222.4</v>
      </c>
      <c r="K62" s="44">
        <f t="shared" si="13"/>
        <v>8.1316743150620201E-3</v>
      </c>
      <c r="L62" s="45">
        <v>3166.4422854289724</v>
      </c>
      <c r="M62" s="45">
        <f>VLOOKUP(B62,Feb!$B$6:$M$305,12,FALSE)</f>
        <v>3912.1264858340819</v>
      </c>
      <c r="N62" s="45">
        <f t="shared" si="32"/>
        <v>20503.968771263055</v>
      </c>
      <c r="O62" s="46">
        <f t="shared" si="33"/>
        <v>21652191.022453785</v>
      </c>
      <c r="P62" s="47">
        <f t="shared" si="34"/>
        <v>38817.513342803031</v>
      </c>
      <c r="Q62" s="47">
        <v>100550</v>
      </c>
      <c r="R62" s="47">
        <f t="shared" si="12"/>
        <v>61732.486657196969</v>
      </c>
      <c r="S62" s="191">
        <f t="shared" si="10"/>
        <v>0.61394815173741391</v>
      </c>
      <c r="T62" s="42">
        <v>40991294.090000004</v>
      </c>
      <c r="U62" s="48">
        <f t="shared" si="8"/>
        <v>0.52821438071495108</v>
      </c>
      <c r="V62" s="49"/>
      <c r="X62" s="112"/>
    </row>
    <row r="63" spans="1:24" x14ac:dyDescent="0.3">
      <c r="A63" s="40" t="str">
        <f>VLOOKUP(B63,Grupos!$A$2:$B$619,2,FALSE)</f>
        <v>CAJAS EMPALME</v>
      </c>
      <c r="B63" s="41" t="s">
        <v>90</v>
      </c>
      <c r="C63" s="41" t="s">
        <v>91</v>
      </c>
      <c r="D63" s="42">
        <v>105</v>
      </c>
      <c r="E63" s="43">
        <v>16224.86</v>
      </c>
      <c r="F63" s="43">
        <f>VLOOKUP(B63,Feb!$B$6:$F$305,5,FALSE)</f>
        <v>656.71</v>
      </c>
      <c r="G63" s="126">
        <f t="shared" si="28"/>
        <v>16881.57</v>
      </c>
      <c r="H63" s="127">
        <f t="shared" si="29"/>
        <v>1703610.3</v>
      </c>
      <c r="I63" s="128">
        <f t="shared" si="30"/>
        <v>68954.55</v>
      </c>
      <c r="J63" s="128">
        <f t="shared" si="31"/>
        <v>1772564.8499999999</v>
      </c>
      <c r="K63" s="44">
        <f t="shared" si="13"/>
        <v>1.0166956302051636E-3</v>
      </c>
      <c r="L63" s="45">
        <v>4170.2145296304716</v>
      </c>
      <c r="M63" s="45">
        <f>VLOOKUP(B63,Feb!$B$6:$M$305,12,FALSE)</f>
        <v>3864.2289005220728</v>
      </c>
      <c r="N63" s="45">
        <f t="shared" si="32"/>
        <v>24916.013430152547</v>
      </c>
      <c r="O63" s="46">
        <f t="shared" si="33"/>
        <v>2616181.4101660172</v>
      </c>
      <c r="P63" s="47">
        <f t="shared" si="34"/>
        <v>45713.999809523812</v>
      </c>
      <c r="Q63" s="47">
        <v>119700</v>
      </c>
      <c r="R63" s="47">
        <f t="shared" si="12"/>
        <v>73986.000190476188</v>
      </c>
      <c r="S63" s="191">
        <f t="shared" si="10"/>
        <v>0.61809523968651792</v>
      </c>
      <c r="T63" s="42">
        <v>4799969.9800000004</v>
      </c>
      <c r="U63" s="48">
        <f t="shared" si="8"/>
        <v>0.54504120256310795</v>
      </c>
      <c r="V63" s="49"/>
      <c r="X63" s="112"/>
    </row>
    <row r="64" spans="1:24" x14ac:dyDescent="0.3">
      <c r="A64" s="40" t="str">
        <f>VLOOKUP(B64,Grupos!$A$2:$B$619,2,FALSE)</f>
        <v>CAJAS EMPALME</v>
      </c>
      <c r="B64" s="41" t="s">
        <v>92</v>
      </c>
      <c r="C64" s="41" t="s">
        <v>93</v>
      </c>
      <c r="D64" s="42">
        <v>540</v>
      </c>
      <c r="E64" s="43">
        <v>20245.419999999998</v>
      </c>
      <c r="F64" s="43">
        <f>VLOOKUP(B64,Feb!$B$6:$F$305,5,FALSE)</f>
        <v>904.07</v>
      </c>
      <c r="G64" s="126">
        <f t="shared" si="28"/>
        <v>21149.489999999998</v>
      </c>
      <c r="H64" s="127">
        <f t="shared" si="29"/>
        <v>10932526.799999999</v>
      </c>
      <c r="I64" s="128">
        <f t="shared" si="30"/>
        <v>488197.80000000005</v>
      </c>
      <c r="J64" s="128">
        <f t="shared" si="31"/>
        <v>11420724.6</v>
      </c>
      <c r="K64" s="44">
        <f t="shared" si="13"/>
        <v>6.5506211491199407E-3</v>
      </c>
      <c r="L64" s="45">
        <v>5048.7429646658829</v>
      </c>
      <c r="M64" s="45">
        <f>VLOOKUP(B64,Feb!$B$6:$M$305,12,FALSE)</f>
        <v>5319.7506084801362</v>
      </c>
      <c r="N64" s="45">
        <f t="shared" si="32"/>
        <v>31517.983573146015</v>
      </c>
      <c r="O64" s="46">
        <f t="shared" si="33"/>
        <v>17019711.129498847</v>
      </c>
      <c r="P64" s="47">
        <f t="shared" si="34"/>
        <v>57736.833240740736</v>
      </c>
      <c r="Q64" s="47">
        <v>151350</v>
      </c>
      <c r="R64" s="47">
        <f t="shared" si="12"/>
        <v>93613.166759259271</v>
      </c>
      <c r="S64" s="191">
        <f t="shared" si="10"/>
        <v>0.61852108859768262</v>
      </c>
      <c r="T64" s="42">
        <v>31177889.949999999</v>
      </c>
      <c r="U64" s="48">
        <f t="shared" ref="U64:U119" si="35">O64/T64</f>
        <v>0.54589041005640115</v>
      </c>
      <c r="V64" s="49"/>
      <c r="X64" s="112"/>
    </row>
    <row r="65" spans="1:24" x14ac:dyDescent="0.3">
      <c r="A65" s="40" t="str">
        <f>VLOOKUP(B65,Grupos!$A$2:$B$619,2,FALSE)</f>
        <v>CAJAS EMPALME</v>
      </c>
      <c r="B65" s="41" t="s">
        <v>94</v>
      </c>
      <c r="C65" s="41" t="s">
        <v>95</v>
      </c>
      <c r="D65" s="42">
        <v>189</v>
      </c>
      <c r="E65" s="43">
        <v>23043.85</v>
      </c>
      <c r="F65" s="43">
        <f>VLOOKUP(B65,Feb!$B$6:$F$305,5,FALSE)</f>
        <v>834.04</v>
      </c>
      <c r="G65" s="126">
        <f t="shared" si="28"/>
        <v>23877.89</v>
      </c>
      <c r="H65" s="127">
        <f t="shared" si="29"/>
        <v>4355287.6499999994</v>
      </c>
      <c r="I65" s="128">
        <f t="shared" si="30"/>
        <v>157633.56</v>
      </c>
      <c r="J65" s="128">
        <f t="shared" si="31"/>
        <v>4512921.21</v>
      </c>
      <c r="K65" s="44">
        <f t="shared" si="13"/>
        <v>2.5884904993276831E-3</v>
      </c>
      <c r="L65" s="45">
        <v>5707.7891462884309</v>
      </c>
      <c r="M65" s="45">
        <f>VLOOKUP(B65,Feb!$B$6:$M$305,12,FALSE)</f>
        <v>4907.6783849666199</v>
      </c>
      <c r="N65" s="45">
        <f t="shared" si="32"/>
        <v>34493.357531255046</v>
      </c>
      <c r="O65" s="46">
        <f t="shared" si="33"/>
        <v>6519244.5734072039</v>
      </c>
      <c r="P65" s="47">
        <f t="shared" si="34"/>
        <v>69484.275132275128</v>
      </c>
      <c r="Q65" s="47">
        <v>180800</v>
      </c>
      <c r="R65" s="47">
        <f t="shared" si="12"/>
        <v>111315.72486772487</v>
      </c>
      <c r="S65" s="191">
        <f t="shared" si="10"/>
        <v>0.61568431895865527</v>
      </c>
      <c r="T65" s="42">
        <v>13132528</v>
      </c>
      <c r="U65" s="48">
        <f t="shared" si="35"/>
        <v>0.49641962106665249</v>
      </c>
      <c r="V65" s="49"/>
      <c r="X65" s="112"/>
    </row>
    <row r="66" spans="1:24" x14ac:dyDescent="0.3">
      <c r="A66" s="40" t="str">
        <f>VLOOKUP(B66,Grupos!$A$2:$B$619,2,FALSE)</f>
        <v>CAJAS EMPALME</v>
      </c>
      <c r="B66" s="41" t="s">
        <v>96</v>
      </c>
      <c r="C66" s="41" t="s">
        <v>97</v>
      </c>
      <c r="D66" s="42">
        <v>294</v>
      </c>
      <c r="E66" s="43">
        <v>33271.4</v>
      </c>
      <c r="F66" s="43">
        <f>VLOOKUP(B66,Feb!$B$6:$F$305,5,FALSE)</f>
        <v>1061.76</v>
      </c>
      <c r="G66" s="126">
        <f t="shared" si="28"/>
        <v>34333.160000000003</v>
      </c>
      <c r="H66" s="127">
        <f t="shared" si="29"/>
        <v>9781791.5999999996</v>
      </c>
      <c r="I66" s="128">
        <f t="shared" si="30"/>
        <v>312157.44</v>
      </c>
      <c r="J66" s="128">
        <f t="shared" si="31"/>
        <v>10093949.040000001</v>
      </c>
      <c r="K66" s="44">
        <f t="shared" si="13"/>
        <v>5.7896182926574493E-3</v>
      </c>
      <c r="L66" s="45">
        <v>8226.4120600156002</v>
      </c>
      <c r="M66" s="45">
        <f>VLOOKUP(B66,Feb!$B$6:$M$305,12,FALSE)</f>
        <v>6247.6339288549216</v>
      </c>
      <c r="N66" s="45">
        <f t="shared" si="32"/>
        <v>48807.205988870526</v>
      </c>
      <c r="O66" s="46">
        <f t="shared" si="33"/>
        <v>14349318.560727935</v>
      </c>
      <c r="P66" s="47">
        <f t="shared" si="34"/>
        <v>86463.68874149659</v>
      </c>
      <c r="Q66" s="47">
        <v>228350</v>
      </c>
      <c r="R66" s="47">
        <f t="shared" si="12"/>
        <v>141886.31125850341</v>
      </c>
      <c r="S66" s="191">
        <f t="shared" si="10"/>
        <v>0.6213545489752722</v>
      </c>
      <c r="T66" s="42">
        <v>25420324.489999998</v>
      </c>
      <c r="U66" s="48">
        <f t="shared" si="35"/>
        <v>0.56448211612612409</v>
      </c>
      <c r="V66" s="49"/>
      <c r="X66" s="112"/>
    </row>
    <row r="67" spans="1:24" x14ac:dyDescent="0.3">
      <c r="A67" s="40" t="str">
        <f>VLOOKUP(B67,Grupos!$A$2:$B$619,2,FALSE)</f>
        <v>CAJAS EMPALME</v>
      </c>
      <c r="B67" s="41" t="s">
        <v>98</v>
      </c>
      <c r="C67" s="41" t="s">
        <v>99</v>
      </c>
      <c r="D67" s="42">
        <v>109</v>
      </c>
      <c r="E67" s="43">
        <v>39764.080000000002</v>
      </c>
      <c r="F67" s="43">
        <f>VLOOKUP(B67,Feb!$B$6:$F$305,5,FALSE)</f>
        <v>1256.9100000000001</v>
      </c>
      <c r="G67" s="126">
        <f t="shared" si="28"/>
        <v>41020.990000000005</v>
      </c>
      <c r="H67" s="127">
        <f t="shared" si="29"/>
        <v>4334284.72</v>
      </c>
      <c r="I67" s="128">
        <f t="shared" si="30"/>
        <v>137003.19</v>
      </c>
      <c r="J67" s="128">
        <f t="shared" si="31"/>
        <v>4471287.91</v>
      </c>
      <c r="K67" s="44">
        <f t="shared" ref="K67:K130" si="36">J67/$J$277</f>
        <v>2.5646107557002382E-3</v>
      </c>
      <c r="L67" s="45">
        <v>9879.9899938382987</v>
      </c>
      <c r="M67" s="45">
        <f>VLOOKUP(B67,Feb!$B$6:$M$305,12,FALSE)</f>
        <v>7395.9402892527878</v>
      </c>
      <c r="N67" s="45">
        <f t="shared" si="32"/>
        <v>58296.920283091094</v>
      </c>
      <c r="O67" s="46">
        <f t="shared" si="33"/>
        <v>6354364.310856929</v>
      </c>
      <c r="P67" s="47">
        <f t="shared" si="34"/>
        <v>110168.39073394495</v>
      </c>
      <c r="Q67" s="47">
        <v>280550</v>
      </c>
      <c r="R67" s="47">
        <f t="shared" si="12"/>
        <v>170381.60926605505</v>
      </c>
      <c r="S67" s="191">
        <f t="shared" si="10"/>
        <v>0.60731281149903782</v>
      </c>
      <c r="T67" s="42">
        <v>12008354.59</v>
      </c>
      <c r="U67" s="48">
        <f t="shared" si="35"/>
        <v>0.52916194831126562</v>
      </c>
      <c r="V67" s="49"/>
      <c r="X67" s="112"/>
    </row>
    <row r="68" spans="1:24" x14ac:dyDescent="0.3">
      <c r="A68" s="40" t="str">
        <f>VLOOKUP(B68,Grupos!$A$2:$B$619,2,FALSE)</f>
        <v>CAJAS EMPALME</v>
      </c>
      <c r="B68" s="41" t="s">
        <v>100</v>
      </c>
      <c r="C68" s="41" t="s">
        <v>101</v>
      </c>
      <c r="D68" s="42">
        <v>11</v>
      </c>
      <c r="E68" s="43">
        <v>47349.63</v>
      </c>
      <c r="F68" s="43">
        <f>VLOOKUP(B68,Feb!$B$6:$F$305,5,FALSE)</f>
        <v>2101.35</v>
      </c>
      <c r="G68" s="126">
        <f t="shared" si="28"/>
        <v>49450.979999999996</v>
      </c>
      <c r="H68" s="127">
        <f t="shared" si="29"/>
        <v>520845.93</v>
      </c>
      <c r="I68" s="128">
        <f t="shared" si="30"/>
        <v>23114.85</v>
      </c>
      <c r="J68" s="128">
        <f t="shared" si="31"/>
        <v>543960.77999999991</v>
      </c>
      <c r="K68" s="44">
        <f t="shared" si="36"/>
        <v>3.120013059206225E-4</v>
      </c>
      <c r="L68" s="45">
        <v>11810.773285013092</v>
      </c>
      <c r="M68" s="45">
        <f>VLOOKUP(B68,Feb!$B$6:$M$305,12,FALSE)</f>
        <v>12364.814606313375</v>
      </c>
      <c r="N68" s="45">
        <f t="shared" si="32"/>
        <v>73626.567891326471</v>
      </c>
      <c r="O68" s="46">
        <f t="shared" si="33"/>
        <v>809892.24680459115</v>
      </c>
      <c r="P68" s="47">
        <f t="shared" si="34"/>
        <v>130808.49545454545</v>
      </c>
      <c r="Q68" s="47">
        <v>333850</v>
      </c>
      <c r="R68" s="47">
        <f t="shared" si="12"/>
        <v>203041.50454545455</v>
      </c>
      <c r="S68" s="191">
        <f t="shared" si="10"/>
        <v>0.60818183179707819</v>
      </c>
      <c r="T68" s="42">
        <v>1438893.45</v>
      </c>
      <c r="U68" s="48">
        <f t="shared" si="35"/>
        <v>0.56285769235004246</v>
      </c>
      <c r="V68" s="49"/>
      <c r="X68" s="112"/>
    </row>
    <row r="69" spans="1:24" x14ac:dyDescent="0.3">
      <c r="A69" s="40" t="str">
        <f>VLOOKUP(B69,Grupos!$A$2:$B$619,2,FALSE)</f>
        <v>CAJAS EMPALME</v>
      </c>
      <c r="B69" s="41" t="s">
        <v>631</v>
      </c>
      <c r="C69" s="41" t="s">
        <v>1057</v>
      </c>
      <c r="D69" s="42">
        <v>192</v>
      </c>
      <c r="E69" s="43">
        <v>15287.999437500002</v>
      </c>
      <c r="F69" s="43">
        <f>VLOOKUP(B69,Feb!$B$6:$F$305,5,FALSE)</f>
        <v>0</v>
      </c>
      <c r="G69" s="126">
        <f t="shared" si="28"/>
        <v>15287.999437500002</v>
      </c>
      <c r="H69" s="127">
        <f t="shared" si="29"/>
        <v>2935295.8920000005</v>
      </c>
      <c r="I69" s="128">
        <f t="shared" si="30"/>
        <v>0</v>
      </c>
      <c r="J69" s="128">
        <f t="shared" si="31"/>
        <v>2935295.8920000005</v>
      </c>
      <c r="K69" s="44">
        <f t="shared" si="36"/>
        <v>1.6836069533679224E-3</v>
      </c>
      <c r="L69" s="45">
        <v>3593.7073650177658</v>
      </c>
      <c r="M69" s="45">
        <f>VLOOKUP(B69,Feb!$B$6:$M$305,12,FALSE)</f>
        <v>0</v>
      </c>
      <c r="N69" s="45">
        <f t="shared" si="32"/>
        <v>18881.706802517769</v>
      </c>
      <c r="O69" s="46">
        <f t="shared" si="33"/>
        <v>3625287.7060834114</v>
      </c>
      <c r="P69" s="47">
        <f t="shared" si="34"/>
        <v>38219.998593750002</v>
      </c>
      <c r="Q69" s="47">
        <v>37000</v>
      </c>
      <c r="R69" s="47">
        <f t="shared" si="12"/>
        <v>-1219.9985937500023</v>
      </c>
      <c r="S69" s="191">
        <f t="shared" si="10"/>
        <v>-3.2972934966216276E-2</v>
      </c>
      <c r="T69" s="42">
        <v>7338239.7300000004</v>
      </c>
      <c r="U69" s="48">
        <f t="shared" si="35"/>
        <v>0.4940268837583221</v>
      </c>
      <c r="V69" s="49"/>
      <c r="X69" s="112"/>
    </row>
    <row r="70" spans="1:24" x14ac:dyDescent="0.3">
      <c r="A70" s="40" t="str">
        <f>VLOOKUP(B70,Grupos!$A$2:$B$619,2,FALSE)</f>
        <v>CAJAS EMPALME</v>
      </c>
      <c r="B70" s="41" t="s">
        <v>102</v>
      </c>
      <c r="C70" s="41" t="s">
        <v>103</v>
      </c>
      <c r="D70" s="42">
        <v>174</v>
      </c>
      <c r="E70" s="43">
        <v>5582.61</v>
      </c>
      <c r="F70" s="43">
        <f>VLOOKUP(B70,Feb!$B$6:$F$305,5,FALSE)</f>
        <v>430.78</v>
      </c>
      <c r="G70" s="126">
        <f t="shared" si="28"/>
        <v>6013.3899999999994</v>
      </c>
      <c r="H70" s="127">
        <f t="shared" si="29"/>
        <v>971374.1399999999</v>
      </c>
      <c r="I70" s="128">
        <f t="shared" si="30"/>
        <v>74955.72</v>
      </c>
      <c r="J70" s="128">
        <f t="shared" si="31"/>
        <v>1046329.8599999999</v>
      </c>
      <c r="K70" s="44">
        <f t="shared" si="36"/>
        <v>6.0014672885744095E-4</v>
      </c>
      <c r="L70" s="45">
        <v>1498.8543459262849</v>
      </c>
      <c r="M70" s="45">
        <f>VLOOKUP(B70,Feb!$B$6:$M$305,12,FALSE)</f>
        <v>2534.8061180230211</v>
      </c>
      <c r="N70" s="45">
        <f t="shared" si="32"/>
        <v>10047.050463949305</v>
      </c>
      <c r="O70" s="46">
        <f t="shared" si="33"/>
        <v>1748186.780727179</v>
      </c>
      <c r="P70" s="47">
        <f t="shared" si="34"/>
        <v>25925.275402298848</v>
      </c>
      <c r="Q70" s="47">
        <v>66450</v>
      </c>
      <c r="R70" s="47">
        <f t="shared" ref="R70:R96" si="37">Q70-P70</f>
        <v>40524.724597701148</v>
      </c>
      <c r="S70" s="191">
        <f t="shared" ref="S70:S133" si="38">R70/Q70</f>
        <v>0.60985289086081484</v>
      </c>
      <c r="T70" s="42">
        <v>4510997.92</v>
      </c>
      <c r="U70" s="48">
        <f t="shared" si="35"/>
        <v>0.38753881330257389</v>
      </c>
      <c r="V70" s="49"/>
      <c r="X70" s="112"/>
    </row>
    <row r="71" spans="1:24" x14ac:dyDescent="0.3">
      <c r="A71" s="40" t="str">
        <f>VLOOKUP(B71,Grupos!$A$2:$B$619,2,FALSE)</f>
        <v>CAJAS EMPALME</v>
      </c>
      <c r="B71" s="41" t="s">
        <v>104</v>
      </c>
      <c r="C71" s="41" t="s">
        <v>105</v>
      </c>
      <c r="D71" s="42">
        <v>799</v>
      </c>
      <c r="E71" s="43">
        <v>9097.36</v>
      </c>
      <c r="F71" s="43">
        <f>VLOOKUP(B71,Feb!$B$6:$F$305,5,FALSE)</f>
        <v>498.29</v>
      </c>
      <c r="G71" s="126">
        <f t="shared" si="28"/>
        <v>9595.6500000000015</v>
      </c>
      <c r="H71" s="127">
        <f t="shared" si="29"/>
        <v>7268790.6400000006</v>
      </c>
      <c r="I71" s="128">
        <f t="shared" si="30"/>
        <v>398133.71</v>
      </c>
      <c r="J71" s="128">
        <f t="shared" si="31"/>
        <v>7666924.3500000015</v>
      </c>
      <c r="K71" s="44">
        <f t="shared" si="36"/>
        <v>4.3975420610188488E-3</v>
      </c>
      <c r="L71" s="45">
        <v>2285.0695371598713</v>
      </c>
      <c r="M71" s="45">
        <f>VLOOKUP(B71,Feb!$B$6:$M$305,12,FALSE)</f>
        <v>2932.0500964522294</v>
      </c>
      <c r="N71" s="45">
        <f t="shared" si="32"/>
        <v>14812.769633612101</v>
      </c>
      <c r="O71" s="46">
        <f t="shared" si="33"/>
        <v>11835402.937256068</v>
      </c>
      <c r="P71" s="47">
        <f t="shared" si="34"/>
        <v>38526.555957446806</v>
      </c>
      <c r="Q71" s="47">
        <v>95400</v>
      </c>
      <c r="R71" s="47">
        <f t="shared" si="37"/>
        <v>56873.444042553194</v>
      </c>
      <c r="S71" s="191">
        <f t="shared" si="38"/>
        <v>0.59615769436638566</v>
      </c>
      <c r="T71" s="42">
        <v>30782718.210000001</v>
      </c>
      <c r="U71" s="48">
        <f t="shared" si="35"/>
        <v>0.38448206089257081</v>
      </c>
      <c r="V71" s="49"/>
      <c r="X71" s="112"/>
    </row>
    <row r="72" spans="1:24" x14ac:dyDescent="0.3">
      <c r="A72" s="40" t="str">
        <f>VLOOKUP(B72,Grupos!$A$2:$B$619,2,FALSE)</f>
        <v>CAJAS PLASTICAS CC</v>
      </c>
      <c r="B72" s="41" t="s">
        <v>106</v>
      </c>
      <c r="C72" s="41" t="s">
        <v>107</v>
      </c>
      <c r="D72" s="42">
        <v>488160</v>
      </c>
      <c r="E72" s="43">
        <v>170.54</v>
      </c>
      <c r="F72" s="43">
        <f>VLOOKUP(B72,Feb!$B$6:$F$305,5,FALSE)</f>
        <v>7.88</v>
      </c>
      <c r="G72" s="126">
        <f t="shared" ref="G72:G77" si="39">E72+F72</f>
        <v>178.42</v>
      </c>
      <c r="H72" s="127">
        <f t="shared" ref="H72:H77" si="40">E72*D72</f>
        <v>83250806.399999991</v>
      </c>
      <c r="I72" s="128">
        <f t="shared" ref="I72:I77" si="41">F72*D72</f>
        <v>3846700.8</v>
      </c>
      <c r="J72" s="128">
        <f t="shared" ref="J72:J77" si="42">G72*D72</f>
        <v>87097507.199999988</v>
      </c>
      <c r="K72" s="44">
        <f t="shared" si="36"/>
        <v>4.9956792820303735E-2</v>
      </c>
      <c r="L72" s="45">
        <v>41.940691500399566</v>
      </c>
      <c r="M72" s="45">
        <f>VLOOKUP(B72,Feb!$B$6:$M$305,12,FALSE)</f>
        <v>46.367687009660166</v>
      </c>
      <c r="N72" s="45">
        <f t="shared" ref="N72:N77" si="43">G72+L72+M72</f>
        <v>266.72837851005971</v>
      </c>
      <c r="O72" s="46">
        <f t="shared" ref="O72:O77" si="44">N72*D72</f>
        <v>130206125.25347075</v>
      </c>
      <c r="P72" s="47">
        <f t="shared" ref="P72:P77" si="45">T72/D72</f>
        <v>311.84956919862339</v>
      </c>
      <c r="Q72" s="47">
        <v>900</v>
      </c>
      <c r="R72" s="47">
        <f t="shared" si="37"/>
        <v>588.15043080137661</v>
      </c>
      <c r="S72" s="191">
        <f t="shared" si="38"/>
        <v>0.65350047866819627</v>
      </c>
      <c r="T72" s="42">
        <v>152232485.69999999</v>
      </c>
      <c r="U72" s="48">
        <f t="shared" si="35"/>
        <v>0.85531103729110791</v>
      </c>
      <c r="V72" s="49"/>
      <c r="X72" s="112"/>
    </row>
    <row r="73" spans="1:24" x14ac:dyDescent="0.3">
      <c r="A73" s="40" t="str">
        <f>VLOOKUP(B73,Grupos!$A$2:$B$619,2,FALSE)</f>
        <v>CAJAS PLASTICAS CC</v>
      </c>
      <c r="B73" s="41" t="s">
        <v>108</v>
      </c>
      <c r="C73" s="41" t="s">
        <v>109</v>
      </c>
      <c r="D73" s="42">
        <v>386640</v>
      </c>
      <c r="E73" s="43">
        <v>265.37</v>
      </c>
      <c r="F73" s="43">
        <f>VLOOKUP(B73,Feb!$B$6:$F$305,5,FALSE)</f>
        <v>10.76</v>
      </c>
      <c r="G73" s="126">
        <f t="shared" si="39"/>
        <v>276.13</v>
      </c>
      <c r="H73" s="127">
        <f t="shared" si="40"/>
        <v>102602656.8</v>
      </c>
      <c r="I73" s="128">
        <f t="shared" si="41"/>
        <v>4160246.4</v>
      </c>
      <c r="J73" s="128">
        <f t="shared" si="42"/>
        <v>106762903.2</v>
      </c>
      <c r="K73" s="44">
        <f t="shared" si="36"/>
        <v>6.1236336234161977E-2</v>
      </c>
      <c r="L73" s="45">
        <v>64.909108530463698</v>
      </c>
      <c r="M73" s="45">
        <f>VLOOKUP(B73,Feb!$B$6:$M$305,12,FALSE)</f>
        <v>63.314252820297391</v>
      </c>
      <c r="N73" s="45">
        <f t="shared" si="43"/>
        <v>404.35336135076108</v>
      </c>
      <c r="O73" s="46">
        <f t="shared" si="44"/>
        <v>156339183.63265827</v>
      </c>
      <c r="P73" s="47">
        <f t="shared" si="45"/>
        <v>465.22452594144426</v>
      </c>
      <c r="Q73" s="47">
        <v>1350</v>
      </c>
      <c r="R73" s="47">
        <f t="shared" si="37"/>
        <v>884.7754740585558</v>
      </c>
      <c r="S73" s="191">
        <f t="shared" si="38"/>
        <v>0.65538924004337462</v>
      </c>
      <c r="T73" s="42">
        <v>179874410.71000001</v>
      </c>
      <c r="U73" s="48">
        <f t="shared" si="35"/>
        <v>0.86915744721862587</v>
      </c>
      <c r="V73" s="49"/>
      <c r="X73" s="112"/>
    </row>
    <row r="74" spans="1:24" x14ac:dyDescent="0.3">
      <c r="A74" s="40" t="str">
        <f>VLOOKUP(B74,Grupos!$A$2:$B$619,2,FALSE)</f>
        <v>CAJAS PLASTICAS CC</v>
      </c>
      <c r="B74" s="41" t="s">
        <v>110</v>
      </c>
      <c r="C74" s="41" t="s">
        <v>111</v>
      </c>
      <c r="D74" s="42">
        <v>180360</v>
      </c>
      <c r="E74" s="43">
        <v>214.83</v>
      </c>
      <c r="F74" s="43">
        <f>VLOOKUP(B74,Feb!$B$6:$F$305,5,FALSE)</f>
        <v>9.15</v>
      </c>
      <c r="G74" s="126">
        <f t="shared" si="39"/>
        <v>223.98000000000002</v>
      </c>
      <c r="H74" s="127">
        <f t="shared" si="40"/>
        <v>38746738.800000004</v>
      </c>
      <c r="I74" s="128">
        <f t="shared" si="41"/>
        <v>1650294</v>
      </c>
      <c r="J74" s="128">
        <f t="shared" si="42"/>
        <v>40397032.800000004</v>
      </c>
      <c r="K74" s="44">
        <f t="shared" si="36"/>
        <v>2.3170653937436857E-2</v>
      </c>
      <c r="L74" s="45">
        <v>52.650353560472453</v>
      </c>
      <c r="M74" s="45">
        <f>VLOOKUP(B74,Feb!$B$6:$M$305,12,FALSE)</f>
        <v>53.840651794212</v>
      </c>
      <c r="N74" s="45">
        <f t="shared" si="43"/>
        <v>330.47100535468451</v>
      </c>
      <c r="O74" s="46">
        <f t="shared" si="44"/>
        <v>59603750.525770895</v>
      </c>
      <c r="P74" s="47">
        <f t="shared" si="45"/>
        <v>467.23504280328228</v>
      </c>
      <c r="Q74" s="47">
        <v>1350</v>
      </c>
      <c r="R74" s="47">
        <f t="shared" si="37"/>
        <v>882.76495719671766</v>
      </c>
      <c r="S74" s="191">
        <f t="shared" si="38"/>
        <v>0.65389996829386499</v>
      </c>
      <c r="T74" s="42">
        <v>84270512.319999993</v>
      </c>
      <c r="U74" s="48">
        <f t="shared" si="35"/>
        <v>0.70729071041407543</v>
      </c>
      <c r="V74" s="49"/>
      <c r="X74" s="112"/>
    </row>
    <row r="75" spans="1:24" x14ac:dyDescent="0.3">
      <c r="A75" s="40" t="str">
        <f>VLOOKUP(B75,Grupos!$A$2:$B$619,2,FALSE)</f>
        <v>CAJAS PLASTICAS LH</v>
      </c>
      <c r="B75" s="41" t="s">
        <v>112</v>
      </c>
      <c r="C75" s="41" t="s">
        <v>113</v>
      </c>
      <c r="D75" s="42">
        <v>25920</v>
      </c>
      <c r="E75" s="43">
        <v>172.66</v>
      </c>
      <c r="F75" s="43">
        <f>VLOOKUP(B75,Feb!$B$6:$F$305,5,FALSE)</f>
        <v>8.0399999999999991</v>
      </c>
      <c r="G75" s="126">
        <f t="shared" si="39"/>
        <v>180.7</v>
      </c>
      <c r="H75" s="127">
        <f t="shared" si="40"/>
        <v>4475347.2</v>
      </c>
      <c r="I75" s="128">
        <f t="shared" si="41"/>
        <v>208396.79999999999</v>
      </c>
      <c r="J75" s="128">
        <f t="shared" si="42"/>
        <v>4683744</v>
      </c>
      <c r="K75" s="44">
        <f t="shared" si="36"/>
        <v>2.6864698675479514E-3</v>
      </c>
      <c r="L75" s="45">
        <v>42.476644737822006</v>
      </c>
      <c r="M75" s="45">
        <f>VLOOKUP(B75,Feb!$B$6:$M$305,12,FALSE)</f>
        <v>47.309162888028901</v>
      </c>
      <c r="N75" s="45">
        <f t="shared" si="43"/>
        <v>270.4858076258509</v>
      </c>
      <c r="O75" s="46">
        <f t="shared" si="44"/>
        <v>7010992.1336620552</v>
      </c>
      <c r="P75" s="47">
        <f t="shared" si="45"/>
        <v>337.98334683641974</v>
      </c>
      <c r="Q75" s="47">
        <v>950</v>
      </c>
      <c r="R75" s="47">
        <f t="shared" si="37"/>
        <v>612.01665316358026</v>
      </c>
      <c r="S75" s="191">
        <f t="shared" si="38"/>
        <v>0.64422805596166344</v>
      </c>
      <c r="T75" s="42">
        <v>8760528.3499999996</v>
      </c>
      <c r="U75" s="48">
        <f t="shared" si="35"/>
        <v>0.80029329893807777</v>
      </c>
      <c r="V75" s="49"/>
      <c r="X75" s="112"/>
    </row>
    <row r="76" spans="1:24" x14ac:dyDescent="0.3">
      <c r="A76" s="40" t="str">
        <f>VLOOKUP(B76,Grupos!$A$2:$B$619,2,FALSE)</f>
        <v>CAJAS PLASTICAS LH</v>
      </c>
      <c r="B76" s="41" t="s">
        <v>114</v>
      </c>
      <c r="C76" s="41" t="s">
        <v>115</v>
      </c>
      <c r="D76" s="42">
        <v>51570</v>
      </c>
      <c r="E76" s="43">
        <v>265.54000000000002</v>
      </c>
      <c r="F76" s="43">
        <f>VLOOKUP(B76,Feb!$B$6:$F$305,5,FALSE)</f>
        <v>11.36</v>
      </c>
      <c r="G76" s="126">
        <f t="shared" si="39"/>
        <v>276.90000000000003</v>
      </c>
      <c r="H76" s="127">
        <f t="shared" si="40"/>
        <v>13693897.800000001</v>
      </c>
      <c r="I76" s="128">
        <f t="shared" si="41"/>
        <v>585835.19999999995</v>
      </c>
      <c r="J76" s="128">
        <f t="shared" si="42"/>
        <v>14279733.000000002</v>
      </c>
      <c r="K76" s="44">
        <f t="shared" si="36"/>
        <v>8.1904716442935642E-3</v>
      </c>
      <c r="L76" s="45">
        <v>65.090110281698486</v>
      </c>
      <c r="M76" s="45">
        <f>VLOOKUP(B76,Feb!$B$6:$M$305,12,FALSE)</f>
        <v>66.844787364180135</v>
      </c>
      <c r="N76" s="45">
        <f t="shared" si="43"/>
        <v>408.8348976458787</v>
      </c>
      <c r="O76" s="46">
        <f t="shared" si="44"/>
        <v>21083615.671597965</v>
      </c>
      <c r="P76" s="47">
        <f t="shared" si="45"/>
        <v>490.71206651153773</v>
      </c>
      <c r="Q76" s="47">
        <v>1400</v>
      </c>
      <c r="R76" s="47">
        <f t="shared" si="37"/>
        <v>909.28793348846227</v>
      </c>
      <c r="S76" s="191">
        <f t="shared" si="38"/>
        <v>0.64949138106318738</v>
      </c>
      <c r="T76" s="42">
        <v>25306021.27</v>
      </c>
      <c r="U76" s="48">
        <f t="shared" si="35"/>
        <v>0.83314620843191778</v>
      </c>
      <c r="V76" s="49"/>
      <c r="X76" s="112"/>
    </row>
    <row r="77" spans="1:24" x14ac:dyDescent="0.3">
      <c r="A77" s="40" t="str">
        <f>VLOOKUP(B77,Grupos!$A$2:$B$619,2,FALSE)</f>
        <v>CAJAS PLASTICAS LH</v>
      </c>
      <c r="B77" s="41" t="s">
        <v>116</v>
      </c>
      <c r="C77" s="41" t="s">
        <v>117</v>
      </c>
      <c r="D77" s="42">
        <v>33210</v>
      </c>
      <c r="E77" s="43">
        <v>224.71</v>
      </c>
      <c r="F77" s="43">
        <f>VLOOKUP(B77,Feb!$B$6:$F$305,5,FALSE)</f>
        <v>8.3699999999999992</v>
      </c>
      <c r="G77" s="126">
        <f t="shared" si="39"/>
        <v>233.08</v>
      </c>
      <c r="H77" s="127">
        <f t="shared" si="40"/>
        <v>7462619.1000000006</v>
      </c>
      <c r="I77" s="128">
        <f t="shared" si="41"/>
        <v>277967.69999999995</v>
      </c>
      <c r="J77" s="128">
        <f t="shared" si="42"/>
        <v>7740586.8000000007</v>
      </c>
      <c r="K77" s="44">
        <f t="shared" si="36"/>
        <v>4.4397928655663978E-3</v>
      </c>
      <c r="L77" s="45">
        <v>54.789465165974292</v>
      </c>
      <c r="M77" s="45">
        <f>VLOOKUP(B77,Feb!$B$6:$M$305,12,FALSE)</f>
        <v>49.250956887164413</v>
      </c>
      <c r="N77" s="45">
        <f t="shared" si="43"/>
        <v>337.12042205313873</v>
      </c>
      <c r="O77" s="46">
        <f t="shared" si="44"/>
        <v>11195769.216384737</v>
      </c>
      <c r="P77" s="47">
        <f t="shared" si="45"/>
        <v>487.49594068051789</v>
      </c>
      <c r="Q77" s="47">
        <v>1400</v>
      </c>
      <c r="R77" s="47">
        <f t="shared" si="37"/>
        <v>912.50405931948217</v>
      </c>
      <c r="S77" s="191">
        <f t="shared" si="38"/>
        <v>0.65178861379963016</v>
      </c>
      <c r="T77" s="42">
        <v>16189740.189999999</v>
      </c>
      <c r="U77" s="48">
        <f t="shared" si="35"/>
        <v>0.69153482915680664</v>
      </c>
      <c r="V77" s="49"/>
      <c r="X77" s="112"/>
    </row>
    <row r="78" spans="1:24" x14ac:dyDescent="0.3">
      <c r="A78" s="40" t="str">
        <f>VLOOKUP(B78,Grupos!$A$2:$B$619,2,FALSE)</f>
        <v>CAJAS TELEFONICAS</v>
      </c>
      <c r="B78" s="41" t="s">
        <v>632</v>
      </c>
      <c r="C78" s="41" t="s">
        <v>1059</v>
      </c>
      <c r="D78" s="42">
        <v>120</v>
      </c>
      <c r="E78" s="43">
        <v>5063.33</v>
      </c>
      <c r="F78" s="43">
        <f>VLOOKUP(B78,Feb!$B$6:$F$305,5,FALSE)</f>
        <v>472.02</v>
      </c>
      <c r="G78" s="126">
        <f t="shared" ref="G78:G85" si="46">E78+F78</f>
        <v>5535.35</v>
      </c>
      <c r="H78" s="127">
        <f t="shared" ref="H78:H85" si="47">E78*D78</f>
        <v>607599.6</v>
      </c>
      <c r="I78" s="128">
        <f t="shared" ref="I78:I85" si="48">F78*D78</f>
        <v>56642.399999999994</v>
      </c>
      <c r="J78" s="128">
        <f t="shared" ref="J78:J85" si="49">G78*D78</f>
        <v>664242</v>
      </c>
      <c r="K78" s="44">
        <f t="shared" si="36"/>
        <v>3.8099138589978149E-4</v>
      </c>
      <c r="L78" s="45">
        <v>1344.2506423066638</v>
      </c>
      <c r="M78" s="45">
        <f>VLOOKUP(B78,Feb!$B$6:$M$305,12,FALSE)</f>
        <v>2777.4715256725626</v>
      </c>
      <c r="N78" s="45">
        <f t="shared" ref="N78:N85" si="50">G78+L78+M78</f>
        <v>9657.0721679792277</v>
      </c>
      <c r="O78" s="46">
        <f t="shared" ref="O78:O85" si="51">N78*D78</f>
        <v>1158848.6601575073</v>
      </c>
      <c r="P78" s="47">
        <f t="shared" ref="P78:P85" si="52">T78/D78</f>
        <v>28600.125666666667</v>
      </c>
      <c r="Q78" s="47">
        <v>71950</v>
      </c>
      <c r="R78" s="47">
        <f t="shared" si="37"/>
        <v>43349.874333333333</v>
      </c>
      <c r="S78" s="191">
        <f t="shared" si="38"/>
        <v>0.60249999073430627</v>
      </c>
      <c r="T78" s="42">
        <v>3432015.08</v>
      </c>
      <c r="U78" s="48">
        <f t="shared" si="35"/>
        <v>0.33765838236279172</v>
      </c>
      <c r="V78" s="49"/>
      <c r="X78" s="112"/>
    </row>
    <row r="79" spans="1:24" x14ac:dyDescent="0.3">
      <c r="A79" s="40" t="str">
        <f>VLOOKUP(B79,Grupos!$A$2:$B$619,2,FALSE)</f>
        <v>CAJAS TELEFONICAS</v>
      </c>
      <c r="B79" s="41" t="s">
        <v>118</v>
      </c>
      <c r="C79" s="41" t="s">
        <v>119</v>
      </c>
      <c r="D79" s="42">
        <v>598</v>
      </c>
      <c r="E79" s="43">
        <v>6344</v>
      </c>
      <c r="F79" s="43">
        <f>VLOOKUP(B79,Feb!$B$6:$F$305,5,FALSE)</f>
        <v>572.53</v>
      </c>
      <c r="G79" s="126">
        <f t="shared" si="46"/>
        <v>6916.53</v>
      </c>
      <c r="H79" s="127">
        <f t="shared" si="47"/>
        <v>3793712</v>
      </c>
      <c r="I79" s="128">
        <f t="shared" si="48"/>
        <v>342372.94</v>
      </c>
      <c r="J79" s="128">
        <f t="shared" si="49"/>
        <v>4136084.94</v>
      </c>
      <c r="K79" s="44">
        <f t="shared" si="36"/>
        <v>2.3723473274647111E-3</v>
      </c>
      <c r="L79" s="45">
        <v>1665.89075425085</v>
      </c>
      <c r="M79" s="45">
        <f>VLOOKUP(B79,Feb!$B$6:$M$305,12,FALSE)</f>
        <v>3368.894904015322</v>
      </c>
      <c r="N79" s="45">
        <f t="shared" si="50"/>
        <v>11951.315658266172</v>
      </c>
      <c r="O79" s="46">
        <f t="shared" si="51"/>
        <v>7146886.7636431707</v>
      </c>
      <c r="P79" s="47">
        <f t="shared" si="52"/>
        <v>33254.904598662208</v>
      </c>
      <c r="Q79" s="47">
        <v>82950</v>
      </c>
      <c r="R79" s="47">
        <f t="shared" si="37"/>
        <v>49695.095401337792</v>
      </c>
      <c r="S79" s="191">
        <f t="shared" si="38"/>
        <v>0.59909699097453639</v>
      </c>
      <c r="T79" s="42">
        <v>19886432.949999999</v>
      </c>
      <c r="U79" s="48">
        <f t="shared" si="35"/>
        <v>0.3593850531974449</v>
      </c>
      <c r="V79" s="49"/>
      <c r="X79" s="112"/>
    </row>
    <row r="80" spans="1:24" x14ac:dyDescent="0.3">
      <c r="A80" s="40" t="str">
        <f>VLOOKUP(B80,Grupos!$A$2:$B$619,2,FALSE)</f>
        <v>CAJAS TELEFONICAS</v>
      </c>
      <c r="B80" s="41" t="s">
        <v>122</v>
      </c>
      <c r="C80" s="41" t="s">
        <v>123</v>
      </c>
      <c r="D80" s="42">
        <v>310</v>
      </c>
      <c r="E80" s="43">
        <v>12118.96</v>
      </c>
      <c r="F80" s="43">
        <f>VLOOKUP(B80,Feb!$B$6:$F$305,5,FALSE)</f>
        <v>524.96</v>
      </c>
      <c r="G80" s="126">
        <f t="shared" si="46"/>
        <v>12643.919999999998</v>
      </c>
      <c r="H80" s="127">
        <f t="shared" si="47"/>
        <v>3756877.5999999996</v>
      </c>
      <c r="I80" s="128">
        <f t="shared" si="48"/>
        <v>162737.60000000001</v>
      </c>
      <c r="J80" s="128">
        <f t="shared" si="49"/>
        <v>3919615.1999999993</v>
      </c>
      <c r="K80" s="44">
        <f t="shared" si="36"/>
        <v>2.2481860936855078E-3</v>
      </c>
      <c r="L80" s="45">
        <v>3005.3483761579332</v>
      </c>
      <c r="M80" s="45">
        <f>VLOOKUP(B80,Feb!$B$6:$M$305,12,FALSE)</f>
        <v>3088.9823569278178</v>
      </c>
      <c r="N80" s="45">
        <f t="shared" si="50"/>
        <v>18738.250733085748</v>
      </c>
      <c r="O80" s="46">
        <f t="shared" si="51"/>
        <v>5808857.7272565821</v>
      </c>
      <c r="P80" s="47">
        <f t="shared" si="52"/>
        <v>42227.741451612899</v>
      </c>
      <c r="Q80" s="47">
        <v>107300</v>
      </c>
      <c r="R80" s="47">
        <f t="shared" si="37"/>
        <v>65072.258548387101</v>
      </c>
      <c r="S80" s="191">
        <f t="shared" si="38"/>
        <v>0.6064516174127409</v>
      </c>
      <c r="T80" s="42">
        <v>13090599.85</v>
      </c>
      <c r="U80" s="48">
        <f t="shared" si="35"/>
        <v>0.44374266984080046</v>
      </c>
      <c r="V80" s="49"/>
      <c r="X80" s="112"/>
    </row>
    <row r="81" spans="1:24" x14ac:dyDescent="0.3">
      <c r="A81" s="40" t="str">
        <f>VLOOKUP(B81,Grupos!$A$2:$B$619,2,FALSE)</f>
        <v>CAJAS TELEFONICAS</v>
      </c>
      <c r="B81" s="41" t="s">
        <v>124</v>
      </c>
      <c r="C81" s="41" t="s">
        <v>1060</v>
      </c>
      <c r="D81" s="42">
        <v>54</v>
      </c>
      <c r="E81" s="43">
        <v>14157.3</v>
      </c>
      <c r="F81" s="43">
        <f>VLOOKUP(B81,Feb!$B$6:$F$305,5,FALSE)</f>
        <v>484.41</v>
      </c>
      <c r="G81" s="126">
        <f t="shared" si="46"/>
        <v>14641.71</v>
      </c>
      <c r="H81" s="127">
        <f t="shared" si="47"/>
        <v>764494.2</v>
      </c>
      <c r="I81" s="128">
        <f t="shared" si="48"/>
        <v>26158.140000000003</v>
      </c>
      <c r="J81" s="128">
        <f t="shared" si="49"/>
        <v>790652.34</v>
      </c>
      <c r="K81" s="44">
        <f t="shared" si="36"/>
        <v>4.5349696463262672E-4</v>
      </c>
      <c r="L81" s="45">
        <v>3507.8515496833461</v>
      </c>
      <c r="M81" s="45">
        <f>VLOOKUP(B81,Feb!$B$6:$M$305,12,FALSE)</f>
        <v>2850.3770640037415</v>
      </c>
      <c r="N81" s="45">
        <f t="shared" si="50"/>
        <v>20999.938613687085</v>
      </c>
      <c r="O81" s="46">
        <f t="shared" si="51"/>
        <v>1133996.6851391026</v>
      </c>
      <c r="P81" s="47">
        <f t="shared" si="52"/>
        <v>50331.109629629631</v>
      </c>
      <c r="Q81" s="47">
        <v>127600</v>
      </c>
      <c r="R81" s="47">
        <f t="shared" si="37"/>
        <v>77268.890370370369</v>
      </c>
      <c r="S81" s="191">
        <f t="shared" si="38"/>
        <v>0.60555556716591197</v>
      </c>
      <c r="T81" s="42">
        <v>2717879.92</v>
      </c>
      <c r="U81" s="48">
        <f t="shared" si="35"/>
        <v>0.41723575673611901</v>
      </c>
      <c r="V81" s="49"/>
      <c r="X81" s="112"/>
    </row>
    <row r="82" spans="1:24" x14ac:dyDescent="0.3">
      <c r="A82" s="40" t="str">
        <f>VLOOKUP(B82,Grupos!$A$2:$B$619,2,FALSE)</f>
        <v>CAJAS TELEFONICAS</v>
      </c>
      <c r="B82" s="41" t="s">
        <v>125</v>
      </c>
      <c r="C82" s="41" t="s">
        <v>126</v>
      </c>
      <c r="D82" s="42">
        <v>65</v>
      </c>
      <c r="E82" s="43">
        <v>22160.37</v>
      </c>
      <c r="F82" s="43">
        <f>VLOOKUP(B82,Feb!$B$6:$F$305,5,FALSE)</f>
        <v>519.24</v>
      </c>
      <c r="G82" s="126">
        <f t="shared" si="46"/>
        <v>22679.61</v>
      </c>
      <c r="H82" s="127">
        <f t="shared" si="47"/>
        <v>1440424.05</v>
      </c>
      <c r="I82" s="128">
        <f t="shared" si="48"/>
        <v>33750.6</v>
      </c>
      <c r="J82" s="128">
        <f t="shared" si="49"/>
        <v>1474174.6500000001</v>
      </c>
      <c r="K82" s="44">
        <f t="shared" si="36"/>
        <v>8.4554701895066166E-4</v>
      </c>
      <c r="L82" s="45">
        <v>5370.6957159985659</v>
      </c>
      <c r="M82" s="45">
        <f>VLOOKUP(B82,Feb!$B$6:$M$305,12,FALSE)</f>
        <v>3055.3245942761355</v>
      </c>
      <c r="N82" s="45">
        <f t="shared" si="50"/>
        <v>31105.630310274701</v>
      </c>
      <c r="O82" s="46">
        <f t="shared" si="51"/>
        <v>2021865.9701678555</v>
      </c>
      <c r="P82" s="47">
        <f t="shared" si="52"/>
        <v>71307.153692307693</v>
      </c>
      <c r="Q82" s="47">
        <v>175900</v>
      </c>
      <c r="R82" s="47">
        <f t="shared" si="37"/>
        <v>104592.84630769231</v>
      </c>
      <c r="S82" s="191">
        <f t="shared" si="38"/>
        <v>0.59461538549000748</v>
      </c>
      <c r="T82" s="42">
        <v>4634964.99</v>
      </c>
      <c r="U82" s="48">
        <f t="shared" si="35"/>
        <v>0.43622033273823185</v>
      </c>
      <c r="V82" s="49"/>
      <c r="X82" s="112"/>
    </row>
    <row r="83" spans="1:24" x14ac:dyDescent="0.3">
      <c r="A83" s="40" t="str">
        <f>VLOOKUP(B83,Grupos!$A$2:$B$619,2,FALSE)</f>
        <v>CAJAS TELEFONICAS</v>
      </c>
      <c r="B83" s="41" t="s">
        <v>127</v>
      </c>
      <c r="C83" s="41" t="s">
        <v>128</v>
      </c>
      <c r="D83" s="42">
        <v>16</v>
      </c>
      <c r="E83" s="43">
        <v>24570.22</v>
      </c>
      <c r="F83" s="43">
        <f>VLOOKUP(B83,Feb!$B$6:$F$305,5,FALSE)</f>
        <v>503.76</v>
      </c>
      <c r="G83" s="126">
        <f t="shared" si="46"/>
        <v>25073.98</v>
      </c>
      <c r="H83" s="127">
        <f t="shared" si="47"/>
        <v>393123.52</v>
      </c>
      <c r="I83" s="128">
        <f t="shared" si="48"/>
        <v>8060.16</v>
      </c>
      <c r="J83" s="128">
        <f t="shared" si="49"/>
        <v>401183.68</v>
      </c>
      <c r="K83" s="44">
        <f t="shared" si="36"/>
        <v>2.3010819286280369E-4</v>
      </c>
      <c r="L83" s="45">
        <v>5974.4705446758799</v>
      </c>
      <c r="M83" s="45">
        <f>VLOOKUP(B83,Feb!$B$6:$M$305,12,FALSE)</f>
        <v>2964.2368030439602</v>
      </c>
      <c r="N83" s="45">
        <f t="shared" si="50"/>
        <v>34012.687347719839</v>
      </c>
      <c r="O83" s="46">
        <f t="shared" si="51"/>
        <v>544202.99756351742</v>
      </c>
      <c r="P83" s="47">
        <f t="shared" si="52"/>
        <v>85833.128750000003</v>
      </c>
      <c r="Q83" s="47">
        <v>213250</v>
      </c>
      <c r="R83" s="47">
        <f t="shared" si="37"/>
        <v>127416.87125</v>
      </c>
      <c r="S83" s="191">
        <f t="shared" si="38"/>
        <v>0.59749998241500579</v>
      </c>
      <c r="T83" s="42">
        <v>1373330.06</v>
      </c>
      <c r="U83" s="48">
        <f t="shared" si="35"/>
        <v>0.39626526311054272</v>
      </c>
      <c r="V83" s="49"/>
      <c r="X83" s="112"/>
    </row>
    <row r="84" spans="1:24" x14ac:dyDescent="0.3">
      <c r="A84" s="40" t="str">
        <f>VLOOKUP(B84,Grupos!$A$2:$B$619,2,FALSE)</f>
        <v>CAJAS TELEFONICAS</v>
      </c>
      <c r="B84" s="41" t="s">
        <v>129</v>
      </c>
      <c r="C84" s="41" t="s">
        <v>1061</v>
      </c>
      <c r="D84" s="42">
        <v>18</v>
      </c>
      <c r="E84" s="43">
        <v>28888.94</v>
      </c>
      <c r="F84" s="43">
        <f>VLOOKUP(B84,Feb!$B$6:$F$305,5,FALSE)</f>
        <v>1111.33</v>
      </c>
      <c r="G84" s="126">
        <f t="shared" si="46"/>
        <v>30000.269999999997</v>
      </c>
      <c r="H84" s="127">
        <f t="shared" si="47"/>
        <v>520000.92</v>
      </c>
      <c r="I84" s="128">
        <f t="shared" si="48"/>
        <v>20003.939999999999</v>
      </c>
      <c r="J84" s="128">
        <f t="shared" si="49"/>
        <v>540004.86</v>
      </c>
      <c r="K84" s="44">
        <f t="shared" si="36"/>
        <v>3.0973229636791633E-4</v>
      </c>
      <c r="L84" s="45">
        <v>7159.7522852844431</v>
      </c>
      <c r="M84" s="45">
        <f>VLOOKUP(B84,Feb!$B$6:$M$305,12,FALSE)</f>
        <v>6539.3149244220349</v>
      </c>
      <c r="N84" s="45">
        <f t="shared" si="50"/>
        <v>43699.337209706471</v>
      </c>
      <c r="O84" s="46">
        <f t="shared" si="51"/>
        <v>786588.06977471651</v>
      </c>
      <c r="P84" s="47">
        <f t="shared" si="52"/>
        <v>114659.99944444445</v>
      </c>
      <c r="Q84" s="47">
        <v>286650</v>
      </c>
      <c r="R84" s="47">
        <f t="shared" si="37"/>
        <v>171990.00055555557</v>
      </c>
      <c r="S84" s="191">
        <f t="shared" si="38"/>
        <v>0.60000000193809722</v>
      </c>
      <c r="T84" s="42">
        <v>2063879.99</v>
      </c>
      <c r="U84" s="48">
        <f t="shared" si="35"/>
        <v>0.38112103106087891</v>
      </c>
      <c r="V84" s="49"/>
      <c r="X84" s="112"/>
    </row>
    <row r="85" spans="1:24" x14ac:dyDescent="0.3">
      <c r="A85" s="40" t="str">
        <f>VLOOKUP(B85,Grupos!$A$2:$B$619,2,FALSE)</f>
        <v>CAJAS TELEFONICAS</v>
      </c>
      <c r="B85" s="41" t="s">
        <v>130</v>
      </c>
      <c r="C85" s="41" t="s">
        <v>1062</v>
      </c>
      <c r="D85" s="42">
        <v>25</v>
      </c>
      <c r="E85" s="43">
        <v>53055.5</v>
      </c>
      <c r="F85" s="43">
        <f>VLOOKUP(B85,Feb!$B$6:$F$305,5,FALSE)</f>
        <v>1363.87</v>
      </c>
      <c r="G85" s="126">
        <f t="shared" si="46"/>
        <v>54419.37</v>
      </c>
      <c r="H85" s="127">
        <f t="shared" si="47"/>
        <v>1326387.5</v>
      </c>
      <c r="I85" s="128">
        <f t="shared" si="48"/>
        <v>34096.75</v>
      </c>
      <c r="J85" s="128">
        <f t="shared" si="49"/>
        <v>1360484.25</v>
      </c>
      <c r="K85" s="44">
        <f t="shared" si="36"/>
        <v>7.803372564552149E-4</v>
      </c>
      <c r="L85" s="45">
        <v>12967.172317603194</v>
      </c>
      <c r="M85" s="45">
        <f>VLOOKUP(B85,Feb!$B$6:$M$305,12,FALSE)</f>
        <v>8025.3169139422853</v>
      </c>
      <c r="N85" s="45">
        <f t="shared" si="50"/>
        <v>75411.859231545473</v>
      </c>
      <c r="O85" s="46">
        <f t="shared" si="51"/>
        <v>1885296.480788637</v>
      </c>
      <c r="P85" s="47">
        <f t="shared" si="52"/>
        <v>168809.25719999999</v>
      </c>
      <c r="Q85" s="47">
        <v>439150</v>
      </c>
      <c r="R85" s="47">
        <f t="shared" si="37"/>
        <v>270340.74280000001</v>
      </c>
      <c r="S85" s="191">
        <f t="shared" si="38"/>
        <v>0.61560000637595358</v>
      </c>
      <c r="T85" s="42">
        <v>4220231.43</v>
      </c>
      <c r="U85" s="48">
        <f t="shared" si="35"/>
        <v>0.44672822143989321</v>
      </c>
      <c r="V85" s="49"/>
      <c r="X85" s="112"/>
    </row>
    <row r="86" spans="1:24" x14ac:dyDescent="0.3">
      <c r="A86" s="40" t="str">
        <f>VLOOKUP(B86,Grupos!$A$2:$B$619,2,FALSE)</f>
        <v>CE 125</v>
      </c>
      <c r="B86" s="41" t="s">
        <v>131</v>
      </c>
      <c r="C86" s="41" t="s">
        <v>132</v>
      </c>
      <c r="D86" s="42">
        <v>3240</v>
      </c>
      <c r="E86" s="43">
        <v>2030.48</v>
      </c>
      <c r="F86" s="43">
        <f>VLOOKUP(B86,Feb!$B$6:$F$305,5,FALSE)</f>
        <v>304.75</v>
      </c>
      <c r="G86" s="126">
        <f t="shared" ref="G86:G93" si="53">E86+F86</f>
        <v>2335.23</v>
      </c>
      <c r="H86" s="127">
        <f t="shared" ref="H86:H93" si="54">E86*D86</f>
        <v>6578755.2000000002</v>
      </c>
      <c r="I86" s="128">
        <f t="shared" ref="I86:I93" si="55">F86*D86</f>
        <v>987390</v>
      </c>
      <c r="J86" s="128">
        <f t="shared" ref="J86:J93" si="56">G86*D86</f>
        <v>7566145.2000000002</v>
      </c>
      <c r="K86" s="44">
        <f t="shared" si="36"/>
        <v>4.3397378450428905E-3</v>
      </c>
      <c r="L86" s="45">
        <v>573.1667273418858</v>
      </c>
      <c r="M86" s="45">
        <f>VLOOKUP(B86,Feb!$B$6:$M$305,12,FALSE)</f>
        <v>1793.2173370804487</v>
      </c>
      <c r="N86" s="45">
        <f t="shared" ref="N86:N93" si="57">G86+L86+M86</f>
        <v>4701.6140644223342</v>
      </c>
      <c r="O86" s="46">
        <f t="shared" ref="O86:O93" si="58">N86*D86</f>
        <v>15233229.568728363</v>
      </c>
      <c r="P86" s="47">
        <f t="shared" ref="P86:P93" si="59">T86/D86</f>
        <v>4939.5555833333328</v>
      </c>
      <c r="Q86" s="47">
        <v>15400</v>
      </c>
      <c r="R86" s="47">
        <f t="shared" si="37"/>
        <v>10460.444416666667</v>
      </c>
      <c r="S86" s="191">
        <f t="shared" si="38"/>
        <v>0.67924963744588751</v>
      </c>
      <c r="T86" s="42">
        <v>16004160.09</v>
      </c>
      <c r="U86" s="48">
        <f t="shared" si="35"/>
        <v>0.95182936705604793</v>
      </c>
      <c r="V86" s="49"/>
      <c r="X86" s="112"/>
    </row>
    <row r="87" spans="1:24" x14ac:dyDescent="0.3">
      <c r="A87" s="40" t="str">
        <f>VLOOKUP(B87,Grupos!$A$2:$B$619,2,FALSE)</f>
        <v>CE 125</v>
      </c>
      <c r="B87" s="41" t="s">
        <v>133</v>
      </c>
      <c r="C87" s="41" t="s">
        <v>134</v>
      </c>
      <c r="D87" s="42">
        <v>480</v>
      </c>
      <c r="E87" s="43">
        <v>2140.5700000000002</v>
      </c>
      <c r="F87" s="43">
        <f>VLOOKUP(B87,Feb!$B$6:$F$305,5,FALSE)</f>
        <v>334.79</v>
      </c>
      <c r="G87" s="126">
        <f t="shared" si="53"/>
        <v>2475.36</v>
      </c>
      <c r="H87" s="127">
        <f t="shared" si="54"/>
        <v>1027473.6000000001</v>
      </c>
      <c r="I87" s="128">
        <f t="shared" si="55"/>
        <v>160699.20000000001</v>
      </c>
      <c r="J87" s="128">
        <f t="shared" si="56"/>
        <v>1188172.8</v>
      </c>
      <c r="K87" s="44">
        <f t="shared" si="36"/>
        <v>6.8150403280795848E-4</v>
      </c>
      <c r="L87" s="45">
        <v>595.29830510650083</v>
      </c>
      <c r="M87" s="45">
        <f>VLOOKUP(B87,Feb!$B$6:$M$305,12,FALSE)</f>
        <v>1969.9794332441788</v>
      </c>
      <c r="N87" s="45">
        <f t="shared" si="57"/>
        <v>5040.6377383506797</v>
      </c>
      <c r="O87" s="46">
        <f t="shared" si="58"/>
        <v>2419506.1144083263</v>
      </c>
      <c r="P87" s="47">
        <f t="shared" si="59"/>
        <v>5178.5</v>
      </c>
      <c r="Q87" s="47">
        <v>15400</v>
      </c>
      <c r="R87" s="47">
        <f t="shared" si="37"/>
        <v>10221.5</v>
      </c>
      <c r="S87" s="191">
        <f t="shared" si="38"/>
        <v>0.66373376623376623</v>
      </c>
      <c r="T87" s="42">
        <v>2485680</v>
      </c>
      <c r="U87" s="48">
        <f t="shared" si="35"/>
        <v>0.9733779546877821</v>
      </c>
      <c r="V87" s="49"/>
      <c r="X87" s="112"/>
    </row>
    <row r="88" spans="1:24" x14ac:dyDescent="0.3">
      <c r="A88" s="40" t="str">
        <f>VLOOKUP(B88,Grupos!$A$2:$B$619,2,FALSE)</f>
        <v>CE 125</v>
      </c>
      <c r="B88" s="41" t="s">
        <v>135</v>
      </c>
      <c r="C88" s="41" t="s">
        <v>1056</v>
      </c>
      <c r="D88" s="42">
        <v>1080</v>
      </c>
      <c r="E88" s="43">
        <v>1903.94</v>
      </c>
      <c r="F88" s="43">
        <f>VLOOKUP(B88,Feb!$B$6:$F$305,5,FALSE)</f>
        <v>369.61</v>
      </c>
      <c r="G88" s="126">
        <f t="shared" si="53"/>
        <v>2273.5500000000002</v>
      </c>
      <c r="H88" s="127">
        <f t="shared" si="54"/>
        <v>2056255.2</v>
      </c>
      <c r="I88" s="128">
        <f t="shared" si="55"/>
        <v>399178.8</v>
      </c>
      <c r="J88" s="128">
        <f t="shared" si="56"/>
        <v>2455434</v>
      </c>
      <c r="K88" s="44">
        <f t="shared" si="36"/>
        <v>1.4083710494751072E-3</v>
      </c>
      <c r="L88" s="45">
        <v>555.81406594428756</v>
      </c>
      <c r="M88" s="45">
        <f>VLOOKUP(B88,Feb!$B$6:$M$305,12,FALSE)</f>
        <v>2174.8681212741744</v>
      </c>
      <c r="N88" s="45">
        <f t="shared" si="57"/>
        <v>5004.2321872184621</v>
      </c>
      <c r="O88" s="46">
        <f t="shared" si="58"/>
        <v>5404570.7621959392</v>
      </c>
      <c r="P88" s="47">
        <f t="shared" si="59"/>
        <v>5004.7777592592593</v>
      </c>
      <c r="Q88" s="47">
        <v>15400</v>
      </c>
      <c r="R88" s="47">
        <f t="shared" si="37"/>
        <v>10395.222240740741</v>
      </c>
      <c r="S88" s="191">
        <f t="shared" si="38"/>
        <v>0.67501443121693117</v>
      </c>
      <c r="T88" s="42">
        <v>5405159.9800000004</v>
      </c>
      <c r="U88" s="48">
        <f t="shared" si="35"/>
        <v>0.99989098975678026</v>
      </c>
      <c r="V88" s="49"/>
      <c r="X88" s="112"/>
    </row>
    <row r="89" spans="1:24" x14ac:dyDescent="0.3">
      <c r="A89" s="40" t="str">
        <f>VLOOKUP(B89,Grupos!$A$2:$B$619,2,FALSE)</f>
        <v>CE 125</v>
      </c>
      <c r="B89" s="41" t="s">
        <v>136</v>
      </c>
      <c r="C89" s="41" t="s">
        <v>137</v>
      </c>
      <c r="D89" s="42">
        <v>240</v>
      </c>
      <c r="E89" s="43">
        <v>1987.17</v>
      </c>
      <c r="F89" s="43">
        <f>VLOOKUP(B89,Feb!$B$6:$F$305,5,FALSE)</f>
        <v>430.92</v>
      </c>
      <c r="G89" s="126">
        <f t="shared" si="53"/>
        <v>2418.09</v>
      </c>
      <c r="H89" s="127">
        <f t="shared" si="54"/>
        <v>476920.80000000005</v>
      </c>
      <c r="I89" s="128">
        <f t="shared" si="55"/>
        <v>103420.8</v>
      </c>
      <c r="J89" s="128">
        <f t="shared" si="56"/>
        <v>580341.60000000009</v>
      </c>
      <c r="K89" s="44">
        <f t="shared" si="36"/>
        <v>3.3286836797326378E-4</v>
      </c>
      <c r="L89" s="45">
        <v>587.34363074054681</v>
      </c>
      <c r="M89" s="45">
        <f>VLOOKUP(B89,Feb!$B$6:$M$305,12,FALSE)</f>
        <v>2535.6299094165943</v>
      </c>
      <c r="N89" s="45">
        <f t="shared" si="57"/>
        <v>5541.0635401571417</v>
      </c>
      <c r="O89" s="46">
        <f t="shared" si="58"/>
        <v>1329855.2496377141</v>
      </c>
      <c r="P89" s="47">
        <f t="shared" si="59"/>
        <v>5582</v>
      </c>
      <c r="Q89" s="47">
        <v>15400</v>
      </c>
      <c r="R89" s="47">
        <f t="shared" si="37"/>
        <v>9818</v>
      </c>
      <c r="S89" s="191">
        <f t="shared" si="38"/>
        <v>0.63753246753246751</v>
      </c>
      <c r="T89" s="42">
        <v>1339680</v>
      </c>
      <c r="U89" s="48">
        <f t="shared" si="35"/>
        <v>0.99266634542406706</v>
      </c>
      <c r="V89" s="49"/>
      <c r="X89" s="112"/>
    </row>
    <row r="90" spans="1:24" x14ac:dyDescent="0.3">
      <c r="A90" s="40" t="str">
        <f>VLOOKUP(B90,Grupos!$A$2:$B$619,2,FALSE)</f>
        <v>CE 125</v>
      </c>
      <c r="B90" s="41" t="s">
        <v>138</v>
      </c>
      <c r="C90" s="41" t="s">
        <v>139</v>
      </c>
      <c r="D90" s="42">
        <v>11640</v>
      </c>
      <c r="E90" s="43">
        <v>2030.48</v>
      </c>
      <c r="F90" s="43">
        <f>VLOOKUP(B90,Feb!$B$6:$F$305,5,FALSE)</f>
        <v>324.11</v>
      </c>
      <c r="G90" s="126">
        <f t="shared" si="53"/>
        <v>2354.59</v>
      </c>
      <c r="H90" s="127">
        <f t="shared" si="54"/>
        <v>23634787.199999999</v>
      </c>
      <c r="I90" s="128">
        <f t="shared" si="55"/>
        <v>3772640.4000000004</v>
      </c>
      <c r="J90" s="128">
        <f t="shared" si="56"/>
        <v>27407427.600000001</v>
      </c>
      <c r="K90" s="44">
        <f t="shared" si="36"/>
        <v>1.5720164977932626E-2</v>
      </c>
      <c r="L90" s="45">
        <v>572.4568243695104</v>
      </c>
      <c r="M90" s="45">
        <f>VLOOKUP(B90,Feb!$B$6:$M$305,12,FALSE)</f>
        <v>1907.1359183630657</v>
      </c>
      <c r="N90" s="45">
        <f t="shared" si="57"/>
        <v>4834.1827427325761</v>
      </c>
      <c r="O90" s="46">
        <f t="shared" si="58"/>
        <v>56269887.125407189</v>
      </c>
      <c r="P90" s="47">
        <f t="shared" si="59"/>
        <v>4973.4329579037803</v>
      </c>
      <c r="Q90" s="47">
        <v>15400</v>
      </c>
      <c r="R90" s="47">
        <f t="shared" si="37"/>
        <v>10426.56704209622</v>
      </c>
      <c r="S90" s="191">
        <f t="shared" si="38"/>
        <v>0.67704980792832592</v>
      </c>
      <c r="T90" s="42">
        <v>57890759.630000003</v>
      </c>
      <c r="U90" s="48">
        <f t="shared" si="35"/>
        <v>0.97200118784150746</v>
      </c>
      <c r="V90" s="49"/>
      <c r="X90" s="112"/>
    </row>
    <row r="91" spans="1:24" x14ac:dyDescent="0.3">
      <c r="A91" s="40" t="str">
        <f>VLOOKUP(B91,Grupos!$A$2:$B$619,2,FALSE)</f>
        <v>CE 125</v>
      </c>
      <c r="B91" s="41" t="s">
        <v>140</v>
      </c>
      <c r="C91" s="41" t="s">
        <v>141</v>
      </c>
      <c r="D91" s="42">
        <v>3300</v>
      </c>
      <c r="E91" s="43">
        <v>2140.5700000000002</v>
      </c>
      <c r="F91" s="43">
        <f>VLOOKUP(B91,Feb!$B$6:$F$305,5,FALSE)</f>
        <v>311.52999999999997</v>
      </c>
      <c r="G91" s="126">
        <f t="shared" si="53"/>
        <v>2452.1000000000004</v>
      </c>
      <c r="H91" s="127">
        <f t="shared" si="54"/>
        <v>7063881.0000000009</v>
      </c>
      <c r="I91" s="128">
        <f t="shared" si="55"/>
        <v>1028048.9999999999</v>
      </c>
      <c r="J91" s="128">
        <f t="shared" si="56"/>
        <v>8091930.0000000009</v>
      </c>
      <c r="K91" s="44">
        <f t="shared" si="36"/>
        <v>4.6413138965979558E-3</v>
      </c>
      <c r="L91" s="45">
        <v>595.90007716255423</v>
      </c>
      <c r="M91" s="45">
        <f>VLOOKUP(B91,Feb!$B$6:$M$305,12,FALSE)</f>
        <v>1833.1123774263237</v>
      </c>
      <c r="N91" s="45">
        <f t="shared" si="57"/>
        <v>4881.1124545888779</v>
      </c>
      <c r="O91" s="46">
        <f t="shared" si="58"/>
        <v>16107671.100143297</v>
      </c>
      <c r="P91" s="47">
        <f t="shared" si="59"/>
        <v>5082.9454969696972</v>
      </c>
      <c r="Q91" s="47">
        <v>15400</v>
      </c>
      <c r="R91" s="47">
        <f t="shared" si="37"/>
        <v>10317.054503030304</v>
      </c>
      <c r="S91" s="191">
        <f t="shared" si="38"/>
        <v>0.66993860409287687</v>
      </c>
      <c r="T91" s="42">
        <v>16773720.140000001</v>
      </c>
      <c r="U91" s="48">
        <f t="shared" si="35"/>
        <v>0.96029210966335443</v>
      </c>
      <c r="V91" s="49"/>
      <c r="X91" s="112"/>
    </row>
    <row r="92" spans="1:24" x14ac:dyDescent="0.3">
      <c r="A92" s="40" t="str">
        <f>VLOOKUP(B92,Grupos!$A$2:$B$619,2,FALSE)</f>
        <v>CE 125</v>
      </c>
      <c r="B92" s="41" t="s">
        <v>142</v>
      </c>
      <c r="C92" s="41" t="s">
        <v>143</v>
      </c>
      <c r="D92" s="42">
        <v>4560</v>
      </c>
      <c r="E92" s="43">
        <v>2026.87</v>
      </c>
      <c r="F92" s="43">
        <f>VLOOKUP(B92,Feb!$B$6:$F$305,5,FALSE)</f>
        <v>359.89</v>
      </c>
      <c r="G92" s="126">
        <f t="shared" si="53"/>
        <v>2386.7599999999998</v>
      </c>
      <c r="H92" s="127">
        <f t="shared" si="54"/>
        <v>9242527.1999999993</v>
      </c>
      <c r="I92" s="128">
        <f t="shared" si="55"/>
        <v>1641098.4</v>
      </c>
      <c r="J92" s="128">
        <f t="shared" si="56"/>
        <v>10883625.6</v>
      </c>
      <c r="K92" s="44">
        <f t="shared" si="36"/>
        <v>6.2425555760676696E-3</v>
      </c>
      <c r="L92" s="45">
        <v>567.8001429513796</v>
      </c>
      <c r="M92" s="45">
        <f>VLOOKUP(B92,Feb!$B$6:$M$305,12,FALSE)</f>
        <v>2117.6734616632739</v>
      </c>
      <c r="N92" s="45">
        <f t="shared" si="57"/>
        <v>5072.2336046146538</v>
      </c>
      <c r="O92" s="46">
        <f t="shared" si="58"/>
        <v>23129385.237042822</v>
      </c>
      <c r="P92" s="47">
        <f t="shared" si="59"/>
        <v>4897.4736842105267</v>
      </c>
      <c r="Q92" s="47">
        <v>15400</v>
      </c>
      <c r="R92" s="47">
        <f t="shared" si="37"/>
        <v>10502.526315789473</v>
      </c>
      <c r="S92" s="191">
        <f t="shared" si="38"/>
        <v>0.6819822282980178</v>
      </c>
      <c r="T92" s="42">
        <v>22332480</v>
      </c>
      <c r="U92" s="48">
        <f t="shared" si="35"/>
        <v>1.0356836874831108</v>
      </c>
      <c r="V92" s="49"/>
      <c r="X92" s="112"/>
    </row>
    <row r="93" spans="1:24" x14ac:dyDescent="0.3">
      <c r="A93" s="40" t="str">
        <f>VLOOKUP(B93,Grupos!$A$2:$B$619,2,FALSE)</f>
        <v>CE 125</v>
      </c>
      <c r="B93" s="41" t="s">
        <v>144</v>
      </c>
      <c r="C93" s="41" t="s">
        <v>145</v>
      </c>
      <c r="D93" s="42">
        <v>120</v>
      </c>
      <c r="E93" s="43">
        <v>2140.5700000000002</v>
      </c>
      <c r="F93" s="43">
        <f>VLOOKUP(B93,Feb!$B$6:$F$305,5,FALSE)</f>
        <v>366.71</v>
      </c>
      <c r="G93" s="126">
        <f t="shared" si="53"/>
        <v>2507.2800000000002</v>
      </c>
      <c r="H93" s="127">
        <f t="shared" si="54"/>
        <v>256868.40000000002</v>
      </c>
      <c r="I93" s="128">
        <f t="shared" si="55"/>
        <v>44005.2</v>
      </c>
      <c r="J93" s="128">
        <f t="shared" si="56"/>
        <v>300873.60000000003</v>
      </c>
      <c r="K93" s="44">
        <f t="shared" si="36"/>
        <v>1.725730228510942E-4</v>
      </c>
      <c r="L93" s="45">
        <v>563.59008923110071</v>
      </c>
      <c r="M93" s="45">
        <f>VLOOKUP(B93,Feb!$B$6:$M$305,12,FALSE)</f>
        <v>2157.8038709787411</v>
      </c>
      <c r="N93" s="45">
        <f t="shared" si="57"/>
        <v>5228.6739602098423</v>
      </c>
      <c r="O93" s="46">
        <f t="shared" si="58"/>
        <v>627440.87522518111</v>
      </c>
      <c r="P93" s="47">
        <f t="shared" si="59"/>
        <v>4800</v>
      </c>
      <c r="Q93" s="47">
        <v>15400</v>
      </c>
      <c r="R93" s="47">
        <f t="shared" si="37"/>
        <v>10600</v>
      </c>
      <c r="S93" s="191">
        <f t="shared" si="38"/>
        <v>0.68831168831168832</v>
      </c>
      <c r="T93" s="42">
        <v>576000</v>
      </c>
      <c r="U93" s="48">
        <f t="shared" si="35"/>
        <v>1.0893070750437173</v>
      </c>
      <c r="V93" s="49"/>
      <c r="X93" s="112"/>
    </row>
    <row r="94" spans="1:24" x14ac:dyDescent="0.3">
      <c r="A94" s="40" t="str">
        <f>VLOOKUP(B94,Grupos!$A$2:$B$619,2,FALSE)</f>
        <v>EXCEDENTES INDUSTRIALES</v>
      </c>
      <c r="B94" s="41" t="s">
        <v>739</v>
      </c>
      <c r="C94" s="41" t="s">
        <v>740</v>
      </c>
      <c r="D94" s="42">
        <v>315</v>
      </c>
      <c r="E94" s="43">
        <v>0</v>
      </c>
      <c r="F94" s="43">
        <f>VLOOKUP(B94,Feb!$B$6:$F$305,5,FALSE)</f>
        <v>0</v>
      </c>
      <c r="G94" s="126">
        <f>E94+F94</f>
        <v>0</v>
      </c>
      <c r="H94" s="127">
        <f>E94*D94</f>
        <v>0</v>
      </c>
      <c r="I94" s="128">
        <f>F94*D94</f>
        <v>0</v>
      </c>
      <c r="J94" s="128">
        <f>G94*D94</f>
        <v>0</v>
      </c>
      <c r="K94" s="44">
        <f t="shared" si="36"/>
        <v>0</v>
      </c>
      <c r="L94" s="45">
        <v>0</v>
      </c>
      <c r="M94" s="45">
        <f>VLOOKUP(B94,Feb!$B$6:$M$305,12,FALSE)</f>
        <v>0</v>
      </c>
      <c r="N94" s="45">
        <f>G94+L94+M94</f>
        <v>0</v>
      </c>
      <c r="O94" s="46">
        <f>N94*D94</f>
        <v>0</v>
      </c>
      <c r="P94" s="47">
        <f>T94/D94</f>
        <v>250</v>
      </c>
      <c r="Q94" s="47">
        <v>300</v>
      </c>
      <c r="R94" s="47">
        <f t="shared" si="37"/>
        <v>50</v>
      </c>
      <c r="S94" s="191">
        <f t="shared" si="38"/>
        <v>0.16666666666666666</v>
      </c>
      <c r="T94" s="42">
        <v>78750</v>
      </c>
      <c r="U94" s="48">
        <f t="shared" si="35"/>
        <v>0</v>
      </c>
      <c r="V94" s="49"/>
      <c r="X94" s="112"/>
    </row>
    <row r="95" spans="1:24" x14ac:dyDescent="0.3">
      <c r="A95" s="40" t="str">
        <f>VLOOKUP(B95,Grupos!$A$2:$B$619,2,FALSE)</f>
        <v>EXCEDENTES INDUSTRIALES</v>
      </c>
      <c r="B95" s="41" t="s">
        <v>682</v>
      </c>
      <c r="C95" s="41" t="s">
        <v>1063</v>
      </c>
      <c r="D95" s="42">
        <v>135.6</v>
      </c>
      <c r="E95" s="43">
        <v>0</v>
      </c>
      <c r="F95" s="43">
        <f>VLOOKUP(B95,Feb!$B$6:$F$305,5,FALSE)</f>
        <v>0</v>
      </c>
      <c r="G95" s="126">
        <f>E95+F95</f>
        <v>0</v>
      </c>
      <c r="H95" s="127">
        <f>E95*D95</f>
        <v>0</v>
      </c>
      <c r="I95" s="128">
        <f>F95*D95</f>
        <v>0</v>
      </c>
      <c r="J95" s="128">
        <f>G95*D95</f>
        <v>0</v>
      </c>
      <c r="K95" s="44">
        <f t="shared" si="36"/>
        <v>0</v>
      </c>
      <c r="L95" s="45">
        <v>0</v>
      </c>
      <c r="M95" s="45">
        <f>VLOOKUP(B95,Feb!$B$6:$M$305,12,FALSE)</f>
        <v>0</v>
      </c>
      <c r="N95" s="45">
        <f>G95+L95+M95</f>
        <v>0</v>
      </c>
      <c r="O95" s="46">
        <f>N95*D95</f>
        <v>0</v>
      </c>
      <c r="P95" s="47">
        <f>T95/D95</f>
        <v>6800</v>
      </c>
      <c r="Q95" s="47">
        <v>6800</v>
      </c>
      <c r="R95" s="47">
        <f t="shared" si="37"/>
        <v>0</v>
      </c>
      <c r="S95" s="191">
        <f t="shared" si="38"/>
        <v>0</v>
      </c>
      <c r="T95" s="42">
        <v>922080</v>
      </c>
      <c r="U95" s="48">
        <f t="shared" si="35"/>
        <v>0</v>
      </c>
      <c r="V95" s="49"/>
      <c r="X95" s="112"/>
    </row>
    <row r="96" spans="1:24" x14ac:dyDescent="0.3">
      <c r="A96" s="40" t="str">
        <f>VLOOKUP(B96,Grupos!$A$2:$B$619,2,FALSE)</f>
        <v>EXCEDENTES INDUSTRIALES</v>
      </c>
      <c r="B96" s="41" t="s">
        <v>703</v>
      </c>
      <c r="C96" s="41" t="s">
        <v>1064</v>
      </c>
      <c r="D96" s="42">
        <v>326.7</v>
      </c>
      <c r="E96" s="43">
        <v>0</v>
      </c>
      <c r="F96" s="43">
        <f>VLOOKUP(B96,Feb!$B$6:$F$305,5,FALSE)</f>
        <v>0</v>
      </c>
      <c r="G96" s="126">
        <f>E96+F96</f>
        <v>0</v>
      </c>
      <c r="H96" s="127">
        <f>E96*D96</f>
        <v>0</v>
      </c>
      <c r="I96" s="128">
        <f>F96*D96</f>
        <v>0</v>
      </c>
      <c r="J96" s="128">
        <f>G96*D96</f>
        <v>0</v>
      </c>
      <c r="K96" s="44">
        <f t="shared" si="36"/>
        <v>0</v>
      </c>
      <c r="L96" s="45">
        <v>0</v>
      </c>
      <c r="M96" s="45">
        <f>VLOOKUP(B96,Feb!$B$6:$M$305,12,FALSE)</f>
        <v>0</v>
      </c>
      <c r="N96" s="45">
        <f>G96+L96+M96</f>
        <v>0</v>
      </c>
      <c r="O96" s="46">
        <f>N96*D96</f>
        <v>0</v>
      </c>
      <c r="P96" s="47">
        <f>T96/D96</f>
        <v>38200</v>
      </c>
      <c r="Q96" s="47">
        <v>38200</v>
      </c>
      <c r="R96" s="47">
        <f t="shared" si="37"/>
        <v>0</v>
      </c>
      <c r="S96" s="191">
        <f t="shared" si="38"/>
        <v>0</v>
      </c>
      <c r="T96" s="42">
        <v>12479940</v>
      </c>
      <c r="U96" s="48">
        <f t="shared" si="35"/>
        <v>0</v>
      </c>
      <c r="V96" s="49"/>
      <c r="X96" s="112"/>
    </row>
    <row r="97" spans="1:24" x14ac:dyDescent="0.3">
      <c r="A97" s="40" t="str">
        <f>VLOOKUP(B97,Grupos!$A$2:$B$619,2,FALSE)</f>
        <v>INTERIORES</v>
      </c>
      <c r="B97" s="41" t="s">
        <v>633</v>
      </c>
      <c r="C97" s="41" t="s">
        <v>634</v>
      </c>
      <c r="D97" s="42">
        <v>11</v>
      </c>
      <c r="E97" s="43">
        <v>15396.14</v>
      </c>
      <c r="F97" s="43">
        <f>VLOOKUP(B97,Feb!$B$6:$F$305,5,FALSE)</f>
        <v>883.37</v>
      </c>
      <c r="G97" s="126">
        <f t="shared" ref="G97:G106" si="60">E97+F97</f>
        <v>16279.51</v>
      </c>
      <c r="H97" s="127">
        <f t="shared" ref="H97:H106" si="61">E97*D97</f>
        <v>169357.53999999998</v>
      </c>
      <c r="I97" s="128">
        <f t="shared" ref="I97:I106" si="62">F97*D97</f>
        <v>9717.07</v>
      </c>
      <c r="J97" s="128">
        <f t="shared" ref="J97:J106" si="63">G97*D97</f>
        <v>179074.61000000002</v>
      </c>
      <c r="K97" s="44">
        <f t="shared" si="36"/>
        <v>1.027123907301298E-4</v>
      </c>
      <c r="L97" s="45">
        <v>3826.7789860311054</v>
      </c>
      <c r="M97" s="45">
        <f>VLOOKUP(B97,Feb!$B$6:$M$305,12,FALSE)</f>
        <v>5197.9471667161806</v>
      </c>
      <c r="N97" s="45">
        <f t="shared" ref="N97:N106" si="64">G97+L97+M97</f>
        <v>25304.236152747286</v>
      </c>
      <c r="O97" s="46">
        <f t="shared" ref="O97:O106" si="65">N97*D97</f>
        <v>278346.59768022015</v>
      </c>
      <c r="P97" s="47">
        <f t="shared" ref="P97:P106" si="66">T97/D97</f>
        <v>68860.36</v>
      </c>
      <c r="Q97" s="47">
        <v>170600</v>
      </c>
      <c r="R97" s="47">
        <f t="shared" ref="R97:R110" si="67">Q97-P97</f>
        <v>101739.64</v>
      </c>
      <c r="S97" s="191">
        <f t="shared" si="38"/>
        <v>0.59636365767878075</v>
      </c>
      <c r="T97" s="42">
        <v>757463.96</v>
      </c>
      <c r="U97" s="48">
        <f t="shared" si="35"/>
        <v>0.36747173777115438</v>
      </c>
      <c r="V97" s="49"/>
      <c r="X97" s="112"/>
    </row>
    <row r="98" spans="1:24" x14ac:dyDescent="0.3">
      <c r="A98" s="40" t="str">
        <f>VLOOKUP(B98,Grupos!$A$2:$B$619,2,FALSE)</f>
        <v>INTERIORES</v>
      </c>
      <c r="B98" s="41" t="s">
        <v>997</v>
      </c>
      <c r="C98" s="41" t="s">
        <v>1067</v>
      </c>
      <c r="D98" s="42">
        <v>-7</v>
      </c>
      <c r="E98" s="43">
        <v>8581</v>
      </c>
      <c r="F98" s="43">
        <f>VLOOKUP(B98,Feb!$B$6:$F$305,5,FALSE)</f>
        <v>1041.0899999999999</v>
      </c>
      <c r="G98" s="126">
        <f t="shared" si="60"/>
        <v>9622.09</v>
      </c>
      <c r="H98" s="127">
        <f t="shared" si="61"/>
        <v>-60067</v>
      </c>
      <c r="I98" s="128">
        <f t="shared" si="62"/>
        <v>-7287.6299999999992</v>
      </c>
      <c r="J98" s="128">
        <f t="shared" si="63"/>
        <v>-67354.63</v>
      </c>
      <c r="K98" s="44">
        <f t="shared" si="36"/>
        <v>-3.8632808269376226E-5</v>
      </c>
      <c r="L98" s="45">
        <v>2261.8378448552839</v>
      </c>
      <c r="M98" s="45">
        <f>VLOOKUP(B98,Feb!$B$6:$M$305,12,FALSE)</f>
        <v>6126.00701381816</v>
      </c>
      <c r="N98" s="45">
        <f t="shared" si="64"/>
        <v>18009.934858673441</v>
      </c>
      <c r="O98" s="46">
        <f t="shared" si="65"/>
        <v>-126069.54401071409</v>
      </c>
      <c r="P98" s="47">
        <f t="shared" si="66"/>
        <v>89790.005714285726</v>
      </c>
      <c r="Q98" s="47">
        <v>219000</v>
      </c>
      <c r="R98" s="47">
        <f t="shared" si="67"/>
        <v>129209.99428571427</v>
      </c>
      <c r="S98" s="191">
        <f t="shared" si="38"/>
        <v>0.58999997390737113</v>
      </c>
      <c r="T98" s="42">
        <v>-628530.04</v>
      </c>
      <c r="U98" s="48">
        <f t="shared" si="35"/>
        <v>0.20057839082872489</v>
      </c>
      <c r="V98" s="49"/>
      <c r="X98" s="112"/>
    </row>
    <row r="99" spans="1:24" x14ac:dyDescent="0.3">
      <c r="A99" s="40" t="str">
        <f>VLOOKUP(B99,Grupos!$A$2:$B$619,2,FALSE)</f>
        <v>INTERIORES</v>
      </c>
      <c r="B99" s="41" t="s">
        <v>635</v>
      </c>
      <c r="C99" s="41" t="s">
        <v>636</v>
      </c>
      <c r="D99" s="42">
        <v>1</v>
      </c>
      <c r="E99" s="43">
        <v>40418.06</v>
      </c>
      <c r="F99" s="43">
        <f>VLOOKUP(B99,Feb!$B$6:$F$305,5,FALSE)</f>
        <v>2027.61</v>
      </c>
      <c r="G99" s="126">
        <f t="shared" si="60"/>
        <v>42445.67</v>
      </c>
      <c r="H99" s="127">
        <f t="shared" si="61"/>
        <v>40418.06</v>
      </c>
      <c r="I99" s="128">
        <f t="shared" si="62"/>
        <v>2027.61</v>
      </c>
      <c r="J99" s="128">
        <f t="shared" si="63"/>
        <v>42445.67</v>
      </c>
      <c r="K99" s="44">
        <f t="shared" si="36"/>
        <v>2.4345697259048325E-5</v>
      </c>
      <c r="L99" s="45">
        <v>10050.935569855115</v>
      </c>
      <c r="M99" s="45">
        <f>VLOOKUP(B99,Feb!$B$6:$M$305,12,FALSE)</f>
        <v>11930.911910870183</v>
      </c>
      <c r="N99" s="45">
        <f t="shared" si="64"/>
        <v>64427.517480725299</v>
      </c>
      <c r="O99" s="46">
        <f t="shared" si="65"/>
        <v>64427.517480725299</v>
      </c>
      <c r="P99" s="47">
        <f t="shared" si="66"/>
        <v>143963</v>
      </c>
      <c r="Q99" s="47">
        <v>378850</v>
      </c>
      <c r="R99" s="47">
        <f t="shared" si="67"/>
        <v>234887</v>
      </c>
      <c r="S99" s="191">
        <f t="shared" si="38"/>
        <v>0.62</v>
      </c>
      <c r="T99" s="42">
        <v>143963</v>
      </c>
      <c r="U99" s="48">
        <f t="shared" si="35"/>
        <v>0.44752830575026431</v>
      </c>
      <c r="V99" s="49"/>
      <c r="X99" s="112"/>
    </row>
    <row r="100" spans="1:24" x14ac:dyDescent="0.3">
      <c r="A100" s="40" t="str">
        <f>VLOOKUP(B100,Grupos!$A$2:$B$619,2,FALSE)</f>
        <v>INTERIORES</v>
      </c>
      <c r="B100" s="41" t="s">
        <v>637</v>
      </c>
      <c r="C100" s="41" t="s">
        <v>638</v>
      </c>
      <c r="D100" s="42">
        <v>2</v>
      </c>
      <c r="E100" s="43">
        <v>50412.3</v>
      </c>
      <c r="F100" s="43">
        <f>VLOOKUP(B100,Feb!$B$6:$F$305,5,FALSE)</f>
        <v>1981.32</v>
      </c>
      <c r="G100" s="126">
        <f t="shared" si="60"/>
        <v>52393.62</v>
      </c>
      <c r="H100" s="127">
        <f t="shared" si="61"/>
        <v>100824.6</v>
      </c>
      <c r="I100" s="128">
        <f t="shared" si="62"/>
        <v>3962.64</v>
      </c>
      <c r="J100" s="128">
        <f t="shared" si="63"/>
        <v>104787.24</v>
      </c>
      <c r="K100" s="44">
        <f t="shared" si="36"/>
        <v>6.0103148840652989E-5</v>
      </c>
      <c r="L100" s="45">
        <v>12360.734177443424</v>
      </c>
      <c r="M100" s="45">
        <f>VLOOKUP(B100,Feb!$B$6:$M$305,12,FALSE)</f>
        <v>11658.531170809631</v>
      </c>
      <c r="N100" s="45">
        <f t="shared" si="64"/>
        <v>76412.885348253054</v>
      </c>
      <c r="O100" s="46">
        <f t="shared" si="65"/>
        <v>152825.77069650611</v>
      </c>
      <c r="P100" s="47">
        <f t="shared" si="66"/>
        <v>189599.99</v>
      </c>
      <c r="Q100" s="47">
        <v>480000</v>
      </c>
      <c r="R100" s="47">
        <f t="shared" si="67"/>
        <v>290400.01</v>
      </c>
      <c r="S100" s="191">
        <f t="shared" si="38"/>
        <v>0.60500002083333337</v>
      </c>
      <c r="T100" s="42">
        <v>379199.98</v>
      </c>
      <c r="U100" s="48">
        <f t="shared" si="35"/>
        <v>0.40302156845183934</v>
      </c>
      <c r="V100" s="49"/>
      <c r="X100" s="112"/>
    </row>
    <row r="101" spans="1:24" x14ac:dyDescent="0.3">
      <c r="A101" s="40" t="str">
        <f>VLOOKUP(B101,Grupos!$A$2:$B$619,2,FALSE)</f>
        <v>INTERIORES</v>
      </c>
      <c r="B101" s="41" t="s">
        <v>728</v>
      </c>
      <c r="C101" s="41" t="s">
        <v>1068</v>
      </c>
      <c r="D101" s="42">
        <v>4</v>
      </c>
      <c r="E101" s="43">
        <v>59241.59</v>
      </c>
      <c r="F101" s="43">
        <f>VLOOKUP(B101,Feb!$B$6:$F$305,5,FALSE)</f>
        <v>2622.81</v>
      </c>
      <c r="G101" s="126">
        <f t="shared" si="60"/>
        <v>61864.399999999994</v>
      </c>
      <c r="H101" s="127">
        <f t="shared" si="61"/>
        <v>236966.36</v>
      </c>
      <c r="I101" s="128">
        <f t="shared" si="62"/>
        <v>10491.24</v>
      </c>
      <c r="J101" s="128">
        <f t="shared" si="63"/>
        <v>247457.59999999998</v>
      </c>
      <c r="K101" s="44">
        <f t="shared" si="36"/>
        <v>1.4193503869889854E-4</v>
      </c>
      <c r="L101" s="45">
        <v>14632.228583260687</v>
      </c>
      <c r="M101" s="45">
        <f>VLOOKUP(B101,Feb!$B$6:$M$305,12,FALSE)</f>
        <v>15433.202178401876</v>
      </c>
      <c r="N101" s="45">
        <f t="shared" si="64"/>
        <v>91929.830761662553</v>
      </c>
      <c r="O101" s="46">
        <f t="shared" si="65"/>
        <v>367719.32304665021</v>
      </c>
      <c r="P101" s="47">
        <f t="shared" si="66"/>
        <v>200601.9975</v>
      </c>
      <c r="Q101" s="47">
        <v>527900</v>
      </c>
      <c r="R101" s="47">
        <f t="shared" si="67"/>
        <v>327298.0025</v>
      </c>
      <c r="S101" s="191">
        <f t="shared" si="38"/>
        <v>0.62000000473574546</v>
      </c>
      <c r="T101" s="42">
        <v>802407.99</v>
      </c>
      <c r="U101" s="48">
        <f t="shared" si="35"/>
        <v>0.45826976753640031</v>
      </c>
      <c r="V101" s="49"/>
      <c r="X101" s="112"/>
    </row>
    <row r="102" spans="1:24" x14ac:dyDescent="0.3">
      <c r="A102" s="40" t="str">
        <f>VLOOKUP(B102,Grupos!$A$2:$B$619,2,FALSE)</f>
        <v>INTERIORES</v>
      </c>
      <c r="B102" s="41" t="s">
        <v>146</v>
      </c>
      <c r="C102" s="41" t="s">
        <v>1069</v>
      </c>
      <c r="D102" s="42">
        <v>4</v>
      </c>
      <c r="E102" s="43">
        <v>20849.5</v>
      </c>
      <c r="F102" s="43">
        <f>VLOOKUP(B102,Feb!$B$6:$F$305,5,FALSE)</f>
        <v>1232.3</v>
      </c>
      <c r="G102" s="126">
        <f t="shared" si="60"/>
        <v>22081.8</v>
      </c>
      <c r="H102" s="127">
        <f t="shared" si="61"/>
        <v>83398</v>
      </c>
      <c r="I102" s="128">
        <f t="shared" si="62"/>
        <v>4929.2</v>
      </c>
      <c r="J102" s="128">
        <f t="shared" si="63"/>
        <v>88327.2</v>
      </c>
      <c r="K102" s="44">
        <f t="shared" si="36"/>
        <v>5.066211161089961E-5</v>
      </c>
      <c r="L102" s="45">
        <v>5190.707104436292</v>
      </c>
      <c r="M102" s="45">
        <f>VLOOKUP(B102,Feb!$B$6:$M$305,12,FALSE)</f>
        <v>7251.1295307111959</v>
      </c>
      <c r="N102" s="45">
        <f t="shared" si="64"/>
        <v>34523.636635147486</v>
      </c>
      <c r="O102" s="46">
        <f t="shared" si="65"/>
        <v>138094.54654058994</v>
      </c>
      <c r="P102" s="47">
        <f t="shared" si="66"/>
        <v>80926.002500000002</v>
      </c>
      <c r="Q102" s="47">
        <v>188200</v>
      </c>
      <c r="R102" s="47">
        <f t="shared" si="67"/>
        <v>107273.9975</v>
      </c>
      <c r="S102" s="191">
        <f t="shared" si="38"/>
        <v>0.56999998671625929</v>
      </c>
      <c r="T102" s="42">
        <v>323704.01</v>
      </c>
      <c r="U102" s="48">
        <f t="shared" si="35"/>
        <v>0.4266074632210764</v>
      </c>
      <c r="V102" s="49"/>
      <c r="X102" s="112"/>
    </row>
    <row r="103" spans="1:24" x14ac:dyDescent="0.3">
      <c r="A103" s="40" t="str">
        <f>VLOOKUP(B103,Grupos!$A$2:$B$619,2,FALSE)</f>
        <v>INTERIORES</v>
      </c>
      <c r="B103" s="41" t="s">
        <v>147</v>
      </c>
      <c r="C103" s="41" t="s">
        <v>148</v>
      </c>
      <c r="D103" s="42">
        <v>1</v>
      </c>
      <c r="E103" s="43">
        <v>38158.32</v>
      </c>
      <c r="F103" s="43">
        <f>VLOOKUP(B103,Feb!$B$6:$F$305,5,FALSE)</f>
        <v>1956.45</v>
      </c>
      <c r="G103" s="126">
        <f t="shared" si="60"/>
        <v>40114.769999999997</v>
      </c>
      <c r="H103" s="127">
        <f t="shared" si="61"/>
        <v>38158.32</v>
      </c>
      <c r="I103" s="128">
        <f t="shared" si="62"/>
        <v>1956.45</v>
      </c>
      <c r="J103" s="128">
        <f t="shared" si="63"/>
        <v>40114.769999999997</v>
      </c>
      <c r="K103" s="44">
        <f t="shared" si="36"/>
        <v>2.300875557003468E-5</v>
      </c>
      <c r="L103" s="45">
        <v>9493.2174595147226</v>
      </c>
      <c r="M103" s="45">
        <f>VLOOKUP(B103,Feb!$B$6:$M$305,12,FALSE)</f>
        <v>11512.19051396569</v>
      </c>
      <c r="N103" s="45">
        <f t="shared" si="64"/>
        <v>61120.177973480408</v>
      </c>
      <c r="O103" s="46">
        <f t="shared" si="65"/>
        <v>61120.177973480408</v>
      </c>
      <c r="P103" s="47">
        <f t="shared" si="66"/>
        <v>119073</v>
      </c>
      <c r="Q103" s="47">
        <v>313350</v>
      </c>
      <c r="R103" s="47">
        <f t="shared" si="67"/>
        <v>194277</v>
      </c>
      <c r="S103" s="191">
        <f t="shared" si="38"/>
        <v>0.62</v>
      </c>
      <c r="T103" s="42">
        <v>119073</v>
      </c>
      <c r="U103" s="48">
        <f t="shared" si="35"/>
        <v>0.51330005940457035</v>
      </c>
      <c r="V103" s="49"/>
      <c r="X103" s="112"/>
    </row>
    <row r="104" spans="1:24" x14ac:dyDescent="0.3">
      <c r="A104" s="40" t="str">
        <f>VLOOKUP(B104,Grupos!$A$2:$B$619,2,FALSE)</f>
        <v>INTERIORES</v>
      </c>
      <c r="B104" s="41" t="s">
        <v>149</v>
      </c>
      <c r="C104" s="41" t="s">
        <v>150</v>
      </c>
      <c r="D104" s="42">
        <v>3</v>
      </c>
      <c r="E104" s="43">
        <v>50110.49</v>
      </c>
      <c r="F104" s="43">
        <f>VLOOKUP(B104,Feb!$B$6:$F$305,5,FALSE)</f>
        <v>2292.84</v>
      </c>
      <c r="G104" s="126">
        <f t="shared" si="60"/>
        <v>52403.33</v>
      </c>
      <c r="H104" s="127">
        <f t="shared" si="61"/>
        <v>150331.47</v>
      </c>
      <c r="I104" s="128">
        <f t="shared" si="62"/>
        <v>6878.52</v>
      </c>
      <c r="J104" s="128">
        <f t="shared" si="63"/>
        <v>157209.99</v>
      </c>
      <c r="K104" s="44">
        <f t="shared" si="36"/>
        <v>9.0171431447259864E-5</v>
      </c>
      <c r="L104" s="45">
        <v>12368.305692258064</v>
      </c>
      <c r="M104" s="45">
        <f>VLOOKUP(B104,Feb!$B$6:$M$305,12,FALSE)</f>
        <v>13491.584705993557</v>
      </c>
      <c r="N104" s="45">
        <f t="shared" si="64"/>
        <v>78263.220398251622</v>
      </c>
      <c r="O104" s="46">
        <f t="shared" si="65"/>
        <v>234789.66119475488</v>
      </c>
      <c r="P104" s="47">
        <f t="shared" si="66"/>
        <v>143963</v>
      </c>
      <c r="Q104" s="47">
        <v>378850</v>
      </c>
      <c r="R104" s="47">
        <f t="shared" si="67"/>
        <v>234887</v>
      </c>
      <c r="S104" s="191">
        <f t="shared" si="38"/>
        <v>0.62</v>
      </c>
      <c r="T104" s="42">
        <v>431889</v>
      </c>
      <c r="U104" s="48">
        <f t="shared" si="35"/>
        <v>0.5436342699044312</v>
      </c>
      <c r="V104" s="49"/>
      <c r="X104" s="112"/>
    </row>
    <row r="105" spans="1:24" x14ac:dyDescent="0.3">
      <c r="A105" s="40" t="str">
        <f>VLOOKUP(B105,Grupos!$A$2:$B$619,2,FALSE)</f>
        <v>INTERIORES</v>
      </c>
      <c r="B105" s="41" t="s">
        <v>688</v>
      </c>
      <c r="C105" s="41" t="s">
        <v>689</v>
      </c>
      <c r="D105" s="42">
        <v>5</v>
      </c>
      <c r="E105" s="43">
        <v>62015.94</v>
      </c>
      <c r="F105" s="43">
        <f>VLOOKUP(B105,Feb!$B$6:$F$305,5,FALSE)</f>
        <v>2606.2399999999998</v>
      </c>
      <c r="G105" s="126">
        <f t="shared" si="60"/>
        <v>64622.18</v>
      </c>
      <c r="H105" s="127">
        <f t="shared" si="61"/>
        <v>310079.7</v>
      </c>
      <c r="I105" s="128">
        <f t="shared" si="62"/>
        <v>13031.199999999999</v>
      </c>
      <c r="J105" s="128">
        <f t="shared" si="63"/>
        <v>323110.90000000002</v>
      </c>
      <c r="K105" s="44">
        <f t="shared" si="36"/>
        <v>1.8532774138089089E-4</v>
      </c>
      <c r="L105" s="45">
        <v>15190.55551767342</v>
      </c>
      <c r="M105" s="45">
        <f>VLOOKUP(B105,Feb!$B$6:$M$305,12,FALSE)</f>
        <v>15335.700582748314</v>
      </c>
      <c r="N105" s="45">
        <f t="shared" si="64"/>
        <v>95148.436100421735</v>
      </c>
      <c r="O105" s="46">
        <f t="shared" si="65"/>
        <v>475742.18050210865</v>
      </c>
      <c r="P105" s="47">
        <f t="shared" si="66"/>
        <v>182400</v>
      </c>
      <c r="Q105" s="47">
        <v>480000</v>
      </c>
      <c r="R105" s="47">
        <f t="shared" si="67"/>
        <v>297600</v>
      </c>
      <c r="S105" s="191">
        <f t="shared" si="38"/>
        <v>0.62</v>
      </c>
      <c r="T105" s="42">
        <v>912000</v>
      </c>
      <c r="U105" s="48">
        <f t="shared" si="35"/>
        <v>0.52164712774354016</v>
      </c>
      <c r="V105" s="49"/>
      <c r="X105" s="112"/>
    </row>
    <row r="106" spans="1:24" x14ac:dyDescent="0.3">
      <c r="A106" s="40" t="str">
        <f>VLOOKUP(B106,Grupos!$A$2:$B$619,2,FALSE)</f>
        <v>INTERIORES</v>
      </c>
      <c r="B106" s="41" t="s">
        <v>736</v>
      </c>
      <c r="C106" s="41" t="s">
        <v>1070</v>
      </c>
      <c r="D106" s="42">
        <v>42</v>
      </c>
      <c r="E106" s="43">
        <v>8581</v>
      </c>
      <c r="F106" s="43">
        <f>VLOOKUP(B106,Feb!$B$6:$F$305,5,FALSE)</f>
        <v>1041.0899999999999</v>
      </c>
      <c r="G106" s="126">
        <f t="shared" si="60"/>
        <v>9622.09</v>
      </c>
      <c r="H106" s="127">
        <f t="shared" si="61"/>
        <v>360402</v>
      </c>
      <c r="I106" s="128">
        <f t="shared" si="62"/>
        <v>43725.78</v>
      </c>
      <c r="J106" s="128">
        <f t="shared" si="63"/>
        <v>404127.78</v>
      </c>
      <c r="K106" s="44">
        <f t="shared" si="36"/>
        <v>2.3179684961625735E-4</v>
      </c>
      <c r="L106" s="45">
        <v>2261.8378448552839</v>
      </c>
      <c r="M106" s="45">
        <f>VLOOKUP(B106,Feb!$B$6:$M$305,12,FALSE)</f>
        <v>6126.00701381816</v>
      </c>
      <c r="N106" s="45">
        <f t="shared" si="64"/>
        <v>18009.934858673441</v>
      </c>
      <c r="O106" s="46">
        <f t="shared" si="65"/>
        <v>756417.26406428451</v>
      </c>
      <c r="P106" s="47">
        <f t="shared" si="66"/>
        <v>28359.998333333333</v>
      </c>
      <c r="Q106" s="47">
        <v>70900</v>
      </c>
      <c r="R106" s="47">
        <f t="shared" si="67"/>
        <v>42540.001666666663</v>
      </c>
      <c r="S106" s="191">
        <f t="shared" si="38"/>
        <v>0.60000002350728721</v>
      </c>
      <c r="T106" s="42">
        <v>1191119.93</v>
      </c>
      <c r="U106" s="48">
        <f t="shared" si="35"/>
        <v>0.6350471056800171</v>
      </c>
      <c r="V106" s="49"/>
      <c r="X106" s="112"/>
    </row>
    <row r="107" spans="1:24" x14ac:dyDescent="0.3">
      <c r="A107" s="40" t="str">
        <f>VLOOKUP(B107,Grupos!$A$2:$B$619,2,FALSE)</f>
        <v>REGLETAS</v>
      </c>
      <c r="B107" s="41" t="s">
        <v>641</v>
      </c>
      <c r="C107" s="41" t="s">
        <v>642</v>
      </c>
      <c r="D107" s="42">
        <v>108</v>
      </c>
      <c r="E107" s="43">
        <v>6845.2</v>
      </c>
      <c r="F107" s="43">
        <f>VLOOKUP(B107,Feb!$B$6:$F$305,5,FALSE)</f>
        <v>695.83</v>
      </c>
      <c r="G107" s="126">
        <f>E107+F107</f>
        <v>7541.03</v>
      </c>
      <c r="H107" s="127">
        <f>E107*D107</f>
        <v>739281.6</v>
      </c>
      <c r="I107" s="128">
        <f>F107*D107</f>
        <v>75149.64</v>
      </c>
      <c r="J107" s="128">
        <f>G107*D107</f>
        <v>814431.24</v>
      </c>
      <c r="K107" s="44">
        <f t="shared" si="36"/>
        <v>4.6713590355273765E-4</v>
      </c>
      <c r="L107" s="45">
        <v>1772.648878070049</v>
      </c>
      <c r="M107" s="45">
        <f>VLOOKUP(B107,Feb!$B$6:$M$305,12,FALSE)</f>
        <v>4094.419752783228</v>
      </c>
      <c r="N107" s="45">
        <f>G107+L107+M107</f>
        <v>13408.098630853276</v>
      </c>
      <c r="O107" s="46">
        <f>N107*D107</f>
        <v>1448074.6521321537</v>
      </c>
      <c r="P107" s="47">
        <f>T107/D107</f>
        <v>20918.332777777778</v>
      </c>
      <c r="Q107" s="47">
        <v>48900</v>
      </c>
      <c r="R107" s="47">
        <f t="shared" si="67"/>
        <v>27981.667222222222</v>
      </c>
      <c r="S107" s="191">
        <f t="shared" si="38"/>
        <v>0.57222223358327651</v>
      </c>
      <c r="T107" s="42">
        <v>2259179.94</v>
      </c>
      <c r="U107" s="48">
        <f t="shared" si="35"/>
        <v>0.64097357917057007</v>
      </c>
      <c r="V107" s="49"/>
      <c r="X107" s="112"/>
    </row>
    <row r="108" spans="1:24" x14ac:dyDescent="0.3">
      <c r="A108" s="40" t="str">
        <f>VLOOKUP(B108,Grupos!$A$2:$B$619,2,FALSE)</f>
        <v>REGLETAS</v>
      </c>
      <c r="B108" s="41" t="s">
        <v>945</v>
      </c>
      <c r="C108" s="41" t="s">
        <v>1078</v>
      </c>
      <c r="D108" s="42">
        <v>20</v>
      </c>
      <c r="E108" s="43">
        <v>9228.39</v>
      </c>
      <c r="F108" s="43">
        <f>VLOOKUP(B108,Feb!$B$6:$F$305,5,FALSE)</f>
        <v>764.91</v>
      </c>
      <c r="G108" s="126">
        <f>E108+F108</f>
        <v>9993.2999999999993</v>
      </c>
      <c r="H108" s="127">
        <f>E108*D108</f>
        <v>184567.8</v>
      </c>
      <c r="I108" s="128">
        <f>F108*D108</f>
        <v>15298.199999999999</v>
      </c>
      <c r="J108" s="128">
        <f>G108*D108</f>
        <v>199866</v>
      </c>
      <c r="K108" s="44">
        <f t="shared" si="36"/>
        <v>1.1463777408571836E-4</v>
      </c>
      <c r="L108" s="45">
        <v>2349.0971436551004</v>
      </c>
      <c r="M108" s="45">
        <f>VLOOKUP(B108,Feb!$B$6:$M$305,12,FALSE)</f>
        <v>4500.9019632689287</v>
      </c>
      <c r="N108" s="45">
        <f>G108+L108+M108</f>
        <v>16843.299106924031</v>
      </c>
      <c r="O108" s="46">
        <f>N108*D108</f>
        <v>336865.98213848064</v>
      </c>
      <c r="P108" s="47">
        <f>T108/D108</f>
        <v>25419.998499999998</v>
      </c>
      <c r="Q108" s="47">
        <v>63550</v>
      </c>
      <c r="R108" s="47">
        <f t="shared" si="67"/>
        <v>38130.001499999998</v>
      </c>
      <c r="S108" s="191">
        <f t="shared" si="38"/>
        <v>0.60000002360346183</v>
      </c>
      <c r="T108" s="42">
        <v>508399.97</v>
      </c>
      <c r="U108" s="48">
        <f t="shared" si="35"/>
        <v>0.66260031867917035</v>
      </c>
      <c r="V108" s="49"/>
      <c r="X108" s="112"/>
    </row>
    <row r="109" spans="1:24" x14ac:dyDescent="0.3">
      <c r="A109" s="40" t="str">
        <f>VLOOKUP(B109,Grupos!$A$2:$B$619,2,FALSE)</f>
        <v>RITEL</v>
      </c>
      <c r="B109" s="41" t="s">
        <v>157</v>
      </c>
      <c r="C109" s="41" t="s">
        <v>158</v>
      </c>
      <c r="D109" s="42">
        <v>4</v>
      </c>
      <c r="E109" s="43">
        <v>21236.87</v>
      </c>
      <c r="F109" s="43">
        <f>VLOOKUP(B109,Feb!$B$6:$F$305,5,FALSE)</f>
        <v>1292.3499999999999</v>
      </c>
      <c r="G109" s="126">
        <f t="shared" ref="G109:G119" si="68">E109+F109</f>
        <v>22529.219999999998</v>
      </c>
      <c r="H109" s="127">
        <f t="shared" ref="H109:H119" si="69">E109*D109</f>
        <v>84947.48</v>
      </c>
      <c r="I109" s="128">
        <f t="shared" ref="I109:I119" si="70">F109*D109</f>
        <v>5169.3999999999996</v>
      </c>
      <c r="J109" s="128">
        <f t="shared" ref="J109:J119" si="71">G109*D109</f>
        <v>90116.87999999999</v>
      </c>
      <c r="K109" s="44">
        <f t="shared" si="36"/>
        <v>5.1688624031850286E-5</v>
      </c>
      <c r="L109" s="45">
        <v>5295.8808752641626</v>
      </c>
      <c r="M109" s="45">
        <f>VLOOKUP(B109,Feb!$B$6:$M$305,12,FALSE)</f>
        <v>7604.4771963114617</v>
      </c>
      <c r="N109" s="45">
        <f t="shared" ref="N109:N119" si="72">G109+L109+M109</f>
        <v>35429.578071575626</v>
      </c>
      <c r="O109" s="46">
        <f t="shared" ref="O109:O119" si="73">N109*D109</f>
        <v>141718.31228630251</v>
      </c>
      <c r="P109" s="47">
        <f t="shared" ref="P109:P119" si="74">T109/D109</f>
        <v>78250</v>
      </c>
      <c r="Q109" s="47">
        <v>274350</v>
      </c>
      <c r="R109" s="47">
        <f t="shared" si="67"/>
        <v>196100</v>
      </c>
      <c r="S109" s="191">
        <f t="shared" si="38"/>
        <v>0.71478039001275739</v>
      </c>
      <c r="T109" s="42">
        <v>313000</v>
      </c>
      <c r="U109" s="48">
        <f t="shared" si="35"/>
        <v>0.45277416065911341</v>
      </c>
      <c r="V109" s="49"/>
      <c r="X109" s="112"/>
    </row>
    <row r="110" spans="1:24" x14ac:dyDescent="0.3">
      <c r="A110" s="40" t="str">
        <f>VLOOKUP(B110,Grupos!$A$2:$B$619,2,FALSE)</f>
        <v>RITEL</v>
      </c>
      <c r="B110" s="41" t="s">
        <v>645</v>
      </c>
      <c r="C110" s="41" t="s">
        <v>646</v>
      </c>
      <c r="D110" s="42">
        <v>158</v>
      </c>
      <c r="E110" s="43">
        <v>75444.36</v>
      </c>
      <c r="F110" s="43">
        <f>VLOOKUP(B110,Feb!$B$6:$F$305,5,FALSE)</f>
        <v>4984.9399999999996</v>
      </c>
      <c r="G110" s="126">
        <f t="shared" si="68"/>
        <v>80429.3</v>
      </c>
      <c r="H110" s="127">
        <f t="shared" si="69"/>
        <v>11920208.880000001</v>
      </c>
      <c r="I110" s="128">
        <f t="shared" si="70"/>
        <v>787620.5199999999</v>
      </c>
      <c r="J110" s="128">
        <f t="shared" si="71"/>
        <v>12707829.4</v>
      </c>
      <c r="K110" s="44">
        <f t="shared" si="36"/>
        <v>7.2888699222331457E-3</v>
      </c>
      <c r="L110" s="45">
        <v>18906.291104658038</v>
      </c>
      <c r="M110" s="45">
        <f>VLOOKUP(B110,Feb!$B$6:$M$305,12,FALSE)</f>
        <v>29332.504781971489</v>
      </c>
      <c r="N110" s="45">
        <f t="shared" si="72"/>
        <v>128668.09588662954</v>
      </c>
      <c r="O110" s="46">
        <f t="shared" si="73"/>
        <v>20329559.150087468</v>
      </c>
      <c r="P110" s="47">
        <f t="shared" si="74"/>
        <v>245155.06329113923</v>
      </c>
      <c r="Q110" s="47">
        <v>405000</v>
      </c>
      <c r="R110" s="47">
        <f t="shared" si="67"/>
        <v>159844.93670886077</v>
      </c>
      <c r="S110" s="191">
        <f t="shared" si="38"/>
        <v>0.39467885607126113</v>
      </c>
      <c r="T110" s="42">
        <v>38734500</v>
      </c>
      <c r="U110" s="48">
        <f t="shared" si="35"/>
        <v>0.52484372200718921</v>
      </c>
      <c r="V110" s="49"/>
      <c r="X110" s="112"/>
    </row>
    <row r="111" spans="1:24" x14ac:dyDescent="0.3">
      <c r="A111" s="40" t="str">
        <f>VLOOKUP(B111,Grupos!$A$2:$B$619,2,FALSE)</f>
        <v>RITEL</v>
      </c>
      <c r="B111" s="41" t="s">
        <v>159</v>
      </c>
      <c r="C111" s="41" t="s">
        <v>160</v>
      </c>
      <c r="D111" s="42">
        <v>198</v>
      </c>
      <c r="E111" s="43">
        <v>104982.84</v>
      </c>
      <c r="F111" s="43">
        <f>VLOOKUP(B111,Feb!$B$6:$F$305,5,FALSE)</f>
        <v>4226.8599999999997</v>
      </c>
      <c r="G111" s="126">
        <f t="shared" si="68"/>
        <v>109209.7</v>
      </c>
      <c r="H111" s="127">
        <f t="shared" si="69"/>
        <v>20786602.32</v>
      </c>
      <c r="I111" s="128">
        <f t="shared" si="70"/>
        <v>836918.27999999991</v>
      </c>
      <c r="J111" s="128">
        <f t="shared" si="71"/>
        <v>21623520.599999998</v>
      </c>
      <c r="K111" s="44">
        <f t="shared" si="36"/>
        <v>1.2402671137065217E-2</v>
      </c>
      <c r="L111" s="45">
        <v>25976.433419048706</v>
      </c>
      <c r="M111" s="45">
        <f>VLOOKUP(B111,Feb!$B$6:$M$305,12,FALSE)</f>
        <v>24871.792070260428</v>
      </c>
      <c r="N111" s="45">
        <f t="shared" si="72"/>
        <v>160057.92548930913</v>
      </c>
      <c r="O111" s="46">
        <f t="shared" si="73"/>
        <v>31691469.246883206</v>
      </c>
      <c r="P111" s="47">
        <f t="shared" si="74"/>
        <v>364472.22222222225</v>
      </c>
      <c r="Q111" s="47">
        <v>1371800</v>
      </c>
      <c r="R111" s="47">
        <f>Q111-P111</f>
        <v>1007327.7777777778</v>
      </c>
      <c r="S111" s="191">
        <f t="shared" si="38"/>
        <v>0.73431096207740032</v>
      </c>
      <c r="T111" s="42">
        <v>72165500</v>
      </c>
      <c r="U111" s="48">
        <f t="shared" si="35"/>
        <v>0.43914986034716319</v>
      </c>
      <c r="V111" s="49"/>
      <c r="X111" s="112"/>
    </row>
    <row r="112" spans="1:24" x14ac:dyDescent="0.3">
      <c r="A112" s="40" t="str">
        <f>VLOOKUP(B112,Grupos!$A$2:$B$619,2,FALSE)</f>
        <v>RITEL</v>
      </c>
      <c r="B112" s="41" t="s">
        <v>161</v>
      </c>
      <c r="C112" s="41" t="s">
        <v>162</v>
      </c>
      <c r="D112" s="42">
        <v>58</v>
      </c>
      <c r="E112" s="43">
        <v>75444.36</v>
      </c>
      <c r="F112" s="43">
        <f>VLOOKUP(B112,Feb!$B$6:$F$305,5,FALSE)</f>
        <v>4031.56</v>
      </c>
      <c r="G112" s="126">
        <f t="shared" si="68"/>
        <v>79475.92</v>
      </c>
      <c r="H112" s="127">
        <f t="shared" si="69"/>
        <v>4375772.88</v>
      </c>
      <c r="I112" s="128">
        <f t="shared" si="70"/>
        <v>233830.48</v>
      </c>
      <c r="J112" s="128">
        <f t="shared" si="71"/>
        <v>4609603.3600000003</v>
      </c>
      <c r="K112" s="44">
        <f t="shared" si="36"/>
        <v>2.643944786048894E-3</v>
      </c>
      <c r="L112" s="45">
        <v>18906.291104658041</v>
      </c>
      <c r="M112" s="45">
        <f>VLOOKUP(B112,Feb!$B$6:$M$305,12,FALSE)</f>
        <v>23722.603076226595</v>
      </c>
      <c r="N112" s="45">
        <f t="shared" si="72"/>
        <v>122104.81418088463</v>
      </c>
      <c r="O112" s="46">
        <f t="shared" si="73"/>
        <v>7082079.2224913081</v>
      </c>
      <c r="P112" s="47">
        <f t="shared" si="74"/>
        <v>235000</v>
      </c>
      <c r="Q112" s="47">
        <v>285500</v>
      </c>
      <c r="R112" s="47">
        <f>Q112-P112</f>
        <v>50500</v>
      </c>
      <c r="S112" s="191">
        <f t="shared" si="38"/>
        <v>0.17688266199649738</v>
      </c>
      <c r="T112" s="42">
        <v>13630000</v>
      </c>
      <c r="U112" s="48">
        <f t="shared" si="35"/>
        <v>0.51959495396121114</v>
      </c>
      <c r="V112" s="49"/>
      <c r="X112" s="112"/>
    </row>
    <row r="113" spans="1:24" x14ac:dyDescent="0.3">
      <c r="A113" s="40" t="str">
        <f>VLOOKUP(B113,Grupos!$A$2:$B$619,2,FALSE)</f>
        <v>RITEL</v>
      </c>
      <c r="B113" s="41" t="s">
        <v>163</v>
      </c>
      <c r="C113" s="41" t="s">
        <v>164</v>
      </c>
      <c r="D113" s="42">
        <v>247</v>
      </c>
      <c r="E113" s="43">
        <v>75377.960000000006</v>
      </c>
      <c r="F113" s="43">
        <f>VLOOKUP(B113,Feb!$B$6:$F$305,5,FALSE)</f>
        <v>3924.98</v>
      </c>
      <c r="G113" s="126">
        <f t="shared" si="68"/>
        <v>79302.94</v>
      </c>
      <c r="H113" s="127">
        <f t="shared" si="69"/>
        <v>18618356.120000001</v>
      </c>
      <c r="I113" s="128">
        <f t="shared" si="70"/>
        <v>969470.06</v>
      </c>
      <c r="J113" s="128">
        <f t="shared" si="71"/>
        <v>19587826.18</v>
      </c>
      <c r="K113" s="44">
        <f t="shared" si="36"/>
        <v>1.123505144673511E-2</v>
      </c>
      <c r="L113" s="45">
        <v>18836.920420493239</v>
      </c>
      <c r="M113" s="45">
        <f>VLOOKUP(B113,Feb!$B$6:$M$305,12,FALSE)</f>
        <v>23095.462456748221</v>
      </c>
      <c r="N113" s="45">
        <f t="shared" si="72"/>
        <v>121235.32287724146</v>
      </c>
      <c r="O113" s="46">
        <f t="shared" si="73"/>
        <v>29945124.75067864</v>
      </c>
      <c r="P113" s="47">
        <f t="shared" si="74"/>
        <v>232018.21862348178</v>
      </c>
      <c r="Q113" s="47">
        <v>686000</v>
      </c>
      <c r="R113" s="47">
        <f>Q113-P113</f>
        <v>453981.78137651819</v>
      </c>
      <c r="S113" s="191">
        <f t="shared" si="38"/>
        <v>0.66178102241474956</v>
      </c>
      <c r="T113" s="42">
        <v>57308500</v>
      </c>
      <c r="U113" s="48">
        <f t="shared" si="35"/>
        <v>0.52252501375325899</v>
      </c>
      <c r="V113" s="49"/>
      <c r="X113" s="112"/>
    </row>
    <row r="114" spans="1:24" x14ac:dyDescent="0.3">
      <c r="A114" s="40" t="str">
        <f>VLOOKUP(B114,Grupos!$A$2:$B$619,2,FALSE)</f>
        <v>RITEL</v>
      </c>
      <c r="B114" s="41" t="s">
        <v>165</v>
      </c>
      <c r="C114" s="41" t="s">
        <v>1076</v>
      </c>
      <c r="D114" s="42">
        <v>144</v>
      </c>
      <c r="E114" s="43">
        <v>15362.23</v>
      </c>
      <c r="F114" s="43">
        <f>VLOOKUP(B114,Feb!$B$6:$F$305,5,FALSE)</f>
        <v>580.02</v>
      </c>
      <c r="G114" s="126">
        <f t="shared" si="68"/>
        <v>15942.25</v>
      </c>
      <c r="H114" s="127">
        <f t="shared" si="69"/>
        <v>2212161.12</v>
      </c>
      <c r="I114" s="128">
        <f t="shared" si="70"/>
        <v>83522.880000000005</v>
      </c>
      <c r="J114" s="128">
        <f t="shared" si="71"/>
        <v>2295684</v>
      </c>
      <c r="K114" s="44">
        <f t="shared" si="36"/>
        <v>1.3167427364544158E-3</v>
      </c>
      <c r="L114" s="45">
        <v>3747.5002189902757</v>
      </c>
      <c r="M114" s="45">
        <f>VLOOKUP(B114,Feb!$B$6:$M$305,12,FALSE)</f>
        <v>3412.9677435714584</v>
      </c>
      <c r="N114" s="45">
        <f t="shared" si="72"/>
        <v>23102.717962561735</v>
      </c>
      <c r="O114" s="46">
        <f t="shared" si="73"/>
        <v>3326791.3866088898</v>
      </c>
      <c r="P114" s="47">
        <f t="shared" si="74"/>
        <v>72900</v>
      </c>
      <c r="Q114" s="47">
        <v>72900</v>
      </c>
      <c r="R114" s="47">
        <f>Q114-P114</f>
        <v>0</v>
      </c>
      <c r="S114" s="191">
        <f t="shared" si="38"/>
        <v>0</v>
      </c>
      <c r="T114" s="42">
        <v>10497600</v>
      </c>
      <c r="U114" s="48">
        <f t="shared" si="35"/>
        <v>0.31690971142059993</v>
      </c>
      <c r="V114" s="49"/>
      <c r="X114" s="112"/>
    </row>
    <row r="115" spans="1:24" x14ac:dyDescent="0.3">
      <c r="A115" s="40" t="str">
        <f>VLOOKUP(B115,Grupos!$A$2:$B$619,2,FALSE)</f>
        <v>RITEL</v>
      </c>
      <c r="B115" s="41" t="s">
        <v>166</v>
      </c>
      <c r="C115" s="41" t="s">
        <v>167</v>
      </c>
      <c r="D115" s="42">
        <v>290</v>
      </c>
      <c r="E115" s="43">
        <v>19138.77</v>
      </c>
      <c r="F115" s="43">
        <f>VLOOKUP(B115,Feb!$B$6:$F$305,5,FALSE)</f>
        <v>1105</v>
      </c>
      <c r="G115" s="126">
        <f t="shared" si="68"/>
        <v>20243.77</v>
      </c>
      <c r="H115" s="127">
        <f t="shared" si="69"/>
        <v>5550243.2999999998</v>
      </c>
      <c r="I115" s="128">
        <f t="shared" si="70"/>
        <v>320450</v>
      </c>
      <c r="J115" s="128">
        <f t="shared" si="71"/>
        <v>5870693.2999999998</v>
      </c>
      <c r="K115" s="44">
        <f t="shared" si="36"/>
        <v>3.3672721335892067E-3</v>
      </c>
      <c r="L115" s="45">
        <v>4758.6465215505204</v>
      </c>
      <c r="M115" s="45">
        <f>VLOOKUP(B115,Feb!$B$6:$M$305,12,FALSE)</f>
        <v>6502.0677849840722</v>
      </c>
      <c r="N115" s="45">
        <f t="shared" si="72"/>
        <v>31504.484306534592</v>
      </c>
      <c r="O115" s="46">
        <f t="shared" si="73"/>
        <v>9136300.4488950316</v>
      </c>
      <c r="P115" s="47">
        <f t="shared" si="74"/>
        <v>69599.655172413797</v>
      </c>
      <c r="Q115" s="47">
        <v>372550</v>
      </c>
      <c r="R115" s="47">
        <f t="shared" ref="R115:R178" si="75">Q115-P115</f>
        <v>302950.3448275862</v>
      </c>
      <c r="S115" s="191">
        <f t="shared" si="38"/>
        <v>0.81318036458887721</v>
      </c>
      <c r="T115" s="42">
        <v>20183900</v>
      </c>
      <c r="U115" s="48">
        <f t="shared" si="35"/>
        <v>0.45265287922032071</v>
      </c>
      <c r="V115" s="49"/>
      <c r="X115" s="112"/>
    </row>
    <row r="116" spans="1:24" x14ac:dyDescent="0.3">
      <c r="A116" s="40" t="str">
        <f>VLOOKUP(B116,Grupos!$A$2:$B$619,2,FALSE)</f>
        <v>RITEL</v>
      </c>
      <c r="B116" s="41" t="s">
        <v>168</v>
      </c>
      <c r="C116" s="41" t="s">
        <v>169</v>
      </c>
      <c r="D116" s="42">
        <v>3411</v>
      </c>
      <c r="E116" s="43">
        <v>15362.23</v>
      </c>
      <c r="F116" s="43">
        <f>VLOOKUP(B116,Feb!$B$6:$F$305,5,FALSE)</f>
        <v>580.02</v>
      </c>
      <c r="G116" s="126">
        <f t="shared" si="68"/>
        <v>15942.25</v>
      </c>
      <c r="H116" s="127">
        <f t="shared" si="69"/>
        <v>52400566.530000001</v>
      </c>
      <c r="I116" s="128">
        <f t="shared" si="70"/>
        <v>1978448.22</v>
      </c>
      <c r="J116" s="128">
        <f t="shared" si="71"/>
        <v>54379014.75</v>
      </c>
      <c r="K116" s="44">
        <f t="shared" si="36"/>
        <v>3.1190343569763971E-2</v>
      </c>
      <c r="L116" s="45">
        <v>3747.5002189902762</v>
      </c>
      <c r="M116" s="45">
        <f>VLOOKUP(B116,Feb!$B$6:$M$305,12,FALSE)</f>
        <v>3412.9677435714584</v>
      </c>
      <c r="N116" s="45">
        <f t="shared" si="72"/>
        <v>23102.717962561735</v>
      </c>
      <c r="O116" s="46">
        <f t="shared" si="73"/>
        <v>78803370.970298082</v>
      </c>
      <c r="P116" s="47">
        <f t="shared" si="74"/>
        <v>38659.689240691878</v>
      </c>
      <c r="Q116" s="47">
        <v>45900</v>
      </c>
      <c r="R116" s="47">
        <f t="shared" si="75"/>
        <v>7240.3107593081222</v>
      </c>
      <c r="S116" s="191">
        <f t="shared" si="38"/>
        <v>0.15774097514832511</v>
      </c>
      <c r="T116" s="42">
        <v>131868200</v>
      </c>
      <c r="U116" s="48">
        <f t="shared" si="35"/>
        <v>0.59759192110226789</v>
      </c>
      <c r="V116" s="49"/>
      <c r="X116" s="112"/>
    </row>
    <row r="117" spans="1:24" x14ac:dyDescent="0.3">
      <c r="A117" s="40" t="str">
        <f>VLOOKUP(B117,Grupos!$A$2:$B$619,2,FALSE)</f>
        <v>RITEL</v>
      </c>
      <c r="B117" s="41" t="s">
        <v>773</v>
      </c>
      <c r="C117" s="41" t="s">
        <v>774</v>
      </c>
      <c r="D117" s="42">
        <v>732</v>
      </c>
      <c r="E117" s="43">
        <v>13844.57</v>
      </c>
      <c r="F117" s="43">
        <f>VLOOKUP(B117,Feb!$B$6:$F$305,5,FALSE)</f>
        <v>417.95</v>
      </c>
      <c r="G117" s="126">
        <f t="shared" si="68"/>
        <v>14262.52</v>
      </c>
      <c r="H117" s="127">
        <f t="shared" si="69"/>
        <v>10134225.24</v>
      </c>
      <c r="I117" s="128">
        <f t="shared" si="70"/>
        <v>305939.39999999997</v>
      </c>
      <c r="J117" s="128">
        <f t="shared" si="71"/>
        <v>10440164.640000001</v>
      </c>
      <c r="K117" s="44">
        <f t="shared" si="36"/>
        <v>5.9881982699309796E-3</v>
      </c>
      <c r="L117" s="45">
        <v>3352.6507753518599</v>
      </c>
      <c r="M117" s="45">
        <f>VLOOKUP(B117,Feb!$B$6:$M$305,12,FALSE)</f>
        <v>2459.3115210263281</v>
      </c>
      <c r="N117" s="45">
        <f t="shared" si="72"/>
        <v>20074.482296378188</v>
      </c>
      <c r="O117" s="46">
        <f t="shared" si="73"/>
        <v>14694521.040948834</v>
      </c>
      <c r="P117" s="47">
        <f t="shared" si="74"/>
        <v>40263.114754098358</v>
      </c>
      <c r="Q117" s="47">
        <v>228300</v>
      </c>
      <c r="R117" s="47">
        <f t="shared" si="75"/>
        <v>188036.88524590165</v>
      </c>
      <c r="S117" s="191">
        <f t="shared" si="38"/>
        <v>0.82363944479150963</v>
      </c>
      <c r="T117" s="42">
        <v>29472600</v>
      </c>
      <c r="U117" s="48">
        <f t="shared" si="35"/>
        <v>0.49858244745793834</v>
      </c>
      <c r="V117" s="49"/>
      <c r="X117" s="112"/>
    </row>
    <row r="118" spans="1:24" x14ac:dyDescent="0.3">
      <c r="A118" s="40" t="str">
        <f>VLOOKUP(B118,Grupos!$A$2:$B$619,2,FALSE)</f>
        <v>RITEL</v>
      </c>
      <c r="B118" s="41" t="s">
        <v>170</v>
      </c>
      <c r="C118" s="41" t="s">
        <v>171</v>
      </c>
      <c r="D118" s="42">
        <v>140</v>
      </c>
      <c r="E118" s="43">
        <v>15948.74</v>
      </c>
      <c r="F118" s="43">
        <f>VLOOKUP(B118,Feb!$B$6:$F$305,5,FALSE)</f>
        <v>1279.07</v>
      </c>
      <c r="G118" s="126">
        <f t="shared" si="68"/>
        <v>17227.810000000001</v>
      </c>
      <c r="H118" s="127">
        <f t="shared" si="69"/>
        <v>2232823.6</v>
      </c>
      <c r="I118" s="128">
        <f t="shared" si="70"/>
        <v>179069.8</v>
      </c>
      <c r="J118" s="128">
        <f t="shared" si="71"/>
        <v>2411893.4000000004</v>
      </c>
      <c r="K118" s="44">
        <f t="shared" si="36"/>
        <v>1.3833973297511092E-3</v>
      </c>
      <c r="L118" s="45">
        <v>4049.6932207011487</v>
      </c>
      <c r="M118" s="45">
        <f>VLOOKUP(B118,Feb!$B$6:$M$305,12,FALSE)</f>
        <v>7526.3346984068567</v>
      </c>
      <c r="N118" s="45">
        <f t="shared" si="72"/>
        <v>28803.837919108006</v>
      </c>
      <c r="O118" s="46">
        <f t="shared" si="73"/>
        <v>4032537.3086751206</v>
      </c>
      <c r="P118" s="47">
        <f t="shared" si="74"/>
        <v>59207.142857142855</v>
      </c>
      <c r="Q118" s="47">
        <v>228300</v>
      </c>
      <c r="R118" s="47">
        <f t="shared" si="75"/>
        <v>169092.85714285716</v>
      </c>
      <c r="S118" s="191">
        <f t="shared" si="38"/>
        <v>0.74066078468180974</v>
      </c>
      <c r="T118" s="42">
        <v>8289000</v>
      </c>
      <c r="U118" s="48">
        <f t="shared" si="35"/>
        <v>0.48649261776753777</v>
      </c>
      <c r="V118" s="49"/>
      <c r="X118" s="112"/>
    </row>
    <row r="119" spans="1:24" x14ac:dyDescent="0.3">
      <c r="A119" s="40" t="str">
        <f>VLOOKUP(B119,Grupos!$A$2:$B$619,2,FALSE)</f>
        <v>RITEL</v>
      </c>
      <c r="B119" s="41" t="s">
        <v>696</v>
      </c>
      <c r="C119" s="41" t="s">
        <v>1077</v>
      </c>
      <c r="D119" s="42">
        <v>20</v>
      </c>
      <c r="E119" s="43">
        <v>15362.23</v>
      </c>
      <c r="F119" s="43">
        <f>VLOOKUP(B119,Feb!$B$6:$F$305,5,FALSE)</f>
        <v>580.02</v>
      </c>
      <c r="G119" s="126">
        <f t="shared" si="68"/>
        <v>15942.25</v>
      </c>
      <c r="H119" s="127">
        <f t="shared" si="69"/>
        <v>307244.59999999998</v>
      </c>
      <c r="I119" s="128">
        <f t="shared" si="70"/>
        <v>11600.4</v>
      </c>
      <c r="J119" s="128">
        <f t="shared" si="71"/>
        <v>318845</v>
      </c>
      <c r="K119" s="44">
        <f t="shared" si="36"/>
        <v>1.8288093561866884E-4</v>
      </c>
      <c r="L119" s="45">
        <v>3747.5002189902757</v>
      </c>
      <c r="M119" s="45">
        <f>VLOOKUP(B119,Feb!$B$6:$M$305,12,FALSE)</f>
        <v>3412.9677435714584</v>
      </c>
      <c r="N119" s="45">
        <f t="shared" si="72"/>
        <v>23102.717962561735</v>
      </c>
      <c r="O119" s="46">
        <f t="shared" si="73"/>
        <v>462054.35925123468</v>
      </c>
      <c r="P119" s="47">
        <f t="shared" si="74"/>
        <v>48000</v>
      </c>
      <c r="Q119" s="47">
        <v>217000</v>
      </c>
      <c r="R119" s="47">
        <f t="shared" si="75"/>
        <v>169000</v>
      </c>
      <c r="S119" s="191">
        <f t="shared" si="38"/>
        <v>0.77880184331797231</v>
      </c>
      <c r="T119" s="42">
        <v>960000</v>
      </c>
      <c r="U119" s="48">
        <f t="shared" si="35"/>
        <v>0.48130662422003612</v>
      </c>
      <c r="V119" s="49"/>
      <c r="X119" s="112"/>
    </row>
    <row r="120" spans="1:24" x14ac:dyDescent="0.3">
      <c r="A120" s="40" t="str">
        <f>VLOOKUP(B120,Grupos!$A$2:$B$619,2,FALSE)</f>
        <v>TABLERO RIEL</v>
      </c>
      <c r="B120" s="41" t="s">
        <v>970</v>
      </c>
      <c r="C120" s="41" t="s">
        <v>1095</v>
      </c>
      <c r="D120" s="42">
        <v>44</v>
      </c>
      <c r="E120" s="43">
        <v>25584</v>
      </c>
      <c r="F120" s="43">
        <f>VLOOKUP(B120,Feb!$B$6:$F$305,5,FALSE)</f>
        <v>1150</v>
      </c>
      <c r="G120" s="126">
        <f>E120+F120</f>
        <v>26734</v>
      </c>
      <c r="H120" s="127">
        <f>E120*D120</f>
        <v>1125696</v>
      </c>
      <c r="I120" s="128">
        <f>F120*D120</f>
        <v>50600</v>
      </c>
      <c r="J120" s="128">
        <f>G120*D120</f>
        <v>1176296</v>
      </c>
      <c r="K120" s="44">
        <f t="shared" si="36"/>
        <v>6.7469181904843318E-4</v>
      </c>
      <c r="L120" s="45">
        <v>6284.2867759874562</v>
      </c>
      <c r="M120" s="45">
        <f>VLOOKUP(B120,Feb!$B$6:$M$305,12,FALSE)</f>
        <v>6766.8578757752784</v>
      </c>
      <c r="N120" s="45">
        <f>G120+L120+M120</f>
        <v>39785.144651762734</v>
      </c>
      <c r="O120" s="46">
        <f>N120*D120</f>
        <v>1750546.3646775603</v>
      </c>
      <c r="P120" s="47">
        <f>T120/D120</f>
        <v>42540.750454545458</v>
      </c>
      <c r="Q120" s="47">
        <v>114975</v>
      </c>
      <c r="R120" s="47">
        <f t="shared" si="75"/>
        <v>72434.249545454542</v>
      </c>
      <c r="S120" s="191">
        <f t="shared" si="38"/>
        <v>0.62999999604657131</v>
      </c>
      <c r="T120" s="42">
        <v>1871793.02</v>
      </c>
      <c r="U120" s="152">
        <f t="shared" ref="U120:U176" si="76">O120/T120</f>
        <v>0.93522432553870738</v>
      </c>
      <c r="V120" s="49"/>
      <c r="X120" s="112"/>
    </row>
    <row r="121" spans="1:24" x14ac:dyDescent="0.3">
      <c r="A121" s="40" t="str">
        <f>VLOOKUP(B121,Grupos!$A$2:$B$619,2,FALSE)</f>
        <v>TABLERO RIEL</v>
      </c>
      <c r="B121" s="41" t="s">
        <v>965</v>
      </c>
      <c r="C121" s="41" t="s">
        <v>1096</v>
      </c>
      <c r="D121" s="42">
        <v>15</v>
      </c>
      <c r="E121" s="43">
        <v>18273.22</v>
      </c>
      <c r="F121" s="43">
        <f>VLOOKUP(B121,Feb!$B$6:$F$305,5,FALSE)</f>
        <v>1805.9888000000001</v>
      </c>
      <c r="G121" s="126">
        <f>E121+F121</f>
        <v>20079.2088</v>
      </c>
      <c r="H121" s="127">
        <f>E121*D121</f>
        <v>274098.30000000005</v>
      </c>
      <c r="I121" s="128">
        <f>F121*D121</f>
        <v>27089.832000000002</v>
      </c>
      <c r="J121" s="128">
        <f>G121*D121</f>
        <v>301188.13199999998</v>
      </c>
      <c r="K121" s="44">
        <f t="shared" si="36"/>
        <v>1.7275342996565457E-4</v>
      </c>
      <c r="L121" s="45">
        <v>4719.9635794916949</v>
      </c>
      <c r="M121" s="45">
        <f>VLOOKUP(B121,Feb!$B$6:$M$305,12,FALSE)</f>
        <v>10626.843073775604</v>
      </c>
      <c r="N121" s="45">
        <f>G121+L121+M121</f>
        <v>35426.015453267297</v>
      </c>
      <c r="O121" s="46">
        <f>N121*D121</f>
        <v>531390.23179900949</v>
      </c>
      <c r="P121" s="47">
        <f>T121/D121</f>
        <v>38603.250666666667</v>
      </c>
      <c r="Q121" s="47">
        <v>89775</v>
      </c>
      <c r="R121" s="47">
        <f t="shared" si="75"/>
        <v>51171.749333333333</v>
      </c>
      <c r="S121" s="191">
        <f t="shared" si="38"/>
        <v>0.56999999257402767</v>
      </c>
      <c r="T121" s="42">
        <v>579048.76</v>
      </c>
      <c r="U121" s="152">
        <f t="shared" si="76"/>
        <v>0.91769513814175074</v>
      </c>
      <c r="V121" s="49"/>
      <c r="X121" s="112"/>
    </row>
    <row r="122" spans="1:24" x14ac:dyDescent="0.3">
      <c r="A122" s="40" t="str">
        <f>VLOOKUP(B122,Grupos!$A$2:$B$619,2,FALSE)</f>
        <v>TABLERO RIEL</v>
      </c>
      <c r="B122" s="41" t="s">
        <v>1097</v>
      </c>
      <c r="C122" s="41" t="s">
        <v>1098</v>
      </c>
      <c r="D122" s="42">
        <v>200</v>
      </c>
      <c r="E122" s="43">
        <v>13796.36</v>
      </c>
      <c r="F122" s="43">
        <f>VLOOKUP(B122,Feb!$B$6:$F$305,5,FALSE)</f>
        <v>1725.3488000000002</v>
      </c>
      <c r="G122" s="126">
        <f>E122+F122</f>
        <v>15521.7088</v>
      </c>
      <c r="H122" s="127">
        <f>E122*D122</f>
        <v>2759272</v>
      </c>
      <c r="I122" s="128">
        <f>F122*D122</f>
        <v>345069.76000000007</v>
      </c>
      <c r="J122" s="128">
        <f>G122*D122</f>
        <v>3104341.7600000002</v>
      </c>
      <c r="K122" s="44">
        <f t="shared" si="36"/>
        <v>1.7805671268136718E-3</v>
      </c>
      <c r="L122" s="45">
        <v>3648.6447726703132</v>
      </c>
      <c r="M122" s="45">
        <f>VLOOKUP(B122,Feb!$B$6:$M$305,12,FALSE)</f>
        <v>10152.339231077764</v>
      </c>
      <c r="N122" s="45">
        <f>G122+L122+M122</f>
        <v>29322.692803748076</v>
      </c>
      <c r="O122" s="46">
        <f>N122*D122</f>
        <v>5864538.5607496155</v>
      </c>
      <c r="P122" s="47">
        <f>T122/D122</f>
        <v>35721.001400000001</v>
      </c>
      <c r="Q122" s="47">
        <v>85050</v>
      </c>
      <c r="R122" s="47">
        <f t="shared" si="75"/>
        <v>49328.998599999999</v>
      </c>
      <c r="S122" s="191">
        <f t="shared" si="38"/>
        <v>0.57999998353909465</v>
      </c>
      <c r="T122" s="42">
        <v>7144200.2800000003</v>
      </c>
      <c r="U122" s="152">
        <f t="shared" si="76"/>
        <v>0.82088104069075951</v>
      </c>
      <c r="V122" s="49"/>
      <c r="X122" s="112"/>
    </row>
    <row r="123" spans="1:24" x14ac:dyDescent="0.3">
      <c r="A123" s="40" t="str">
        <f>VLOOKUP(B123,Grupos!$A$2:$B$619,2,FALSE)</f>
        <v>TABLEROS 100 AMP BIMETALICO 2 FASES</v>
      </c>
      <c r="B123" s="41" t="s">
        <v>173</v>
      </c>
      <c r="C123" s="41" t="s">
        <v>1083</v>
      </c>
      <c r="D123" s="42">
        <v>7</v>
      </c>
      <c r="E123" s="43">
        <v>23295</v>
      </c>
      <c r="F123" s="43">
        <f>VLOOKUP(B123,Feb!$B$6:$F$305,5,FALSE)</f>
        <v>1017.37</v>
      </c>
      <c r="G123" s="126">
        <f t="shared" ref="G123:G132" si="77">E123+F123</f>
        <v>24312.37</v>
      </c>
      <c r="H123" s="127">
        <f t="shared" ref="H123:H132" si="78">E123*D123</f>
        <v>163065</v>
      </c>
      <c r="I123" s="128">
        <f t="shared" ref="I123:I132" si="79">F123*D123</f>
        <v>7121.59</v>
      </c>
      <c r="J123" s="128">
        <f t="shared" ref="J123:J132" si="80">G123*D123</f>
        <v>170186.59</v>
      </c>
      <c r="K123" s="44">
        <f t="shared" si="36"/>
        <v>9.7614460973045804E-5</v>
      </c>
      <c r="L123" s="45">
        <v>5902.2014818192329</v>
      </c>
      <c r="M123" s="45">
        <f>VLOOKUP(B123,Feb!$B$6:$M$305,12,FALSE)</f>
        <v>5986.4332148499961</v>
      </c>
      <c r="N123" s="45">
        <f t="shared" ref="N123:N132" si="81">G123+L123+M123</f>
        <v>36201.004696669232</v>
      </c>
      <c r="O123" s="46">
        <f t="shared" ref="O123:O132" si="82">N123*D123</f>
        <v>253407.03287668462</v>
      </c>
      <c r="P123" s="47">
        <f t="shared" ref="P123:P132" si="83">T123/D123</f>
        <v>80164.497142857144</v>
      </c>
      <c r="Q123" s="47">
        <v>205550</v>
      </c>
      <c r="R123" s="47">
        <f t="shared" si="75"/>
        <v>125385.50285714286</v>
      </c>
      <c r="S123" s="191">
        <f t="shared" si="38"/>
        <v>0.61000001389998959</v>
      </c>
      <c r="T123" s="42">
        <v>561151.48</v>
      </c>
      <c r="U123" s="48">
        <f t="shared" si="76"/>
        <v>0.45158400522562042</v>
      </c>
      <c r="V123" s="49"/>
      <c r="X123" s="112"/>
    </row>
    <row r="124" spans="1:24" x14ac:dyDescent="0.3">
      <c r="A124" s="40" t="str">
        <f>VLOOKUP(B124,Grupos!$A$2:$B$619,2,FALSE)</f>
        <v>TABLEROS 100 AMP BIMETALICO 2 FASES</v>
      </c>
      <c r="B124" s="41" t="s">
        <v>174</v>
      </c>
      <c r="C124" s="41" t="s">
        <v>175</v>
      </c>
      <c r="D124" s="42">
        <v>49</v>
      </c>
      <c r="E124" s="43">
        <v>27269.82</v>
      </c>
      <c r="F124" s="43">
        <f>VLOOKUP(B124,Feb!$B$6:$F$305,5,FALSE)</f>
        <v>1640.66</v>
      </c>
      <c r="G124" s="126">
        <f t="shared" si="77"/>
        <v>28910.48</v>
      </c>
      <c r="H124" s="127">
        <f t="shared" si="78"/>
        <v>1336221.18</v>
      </c>
      <c r="I124" s="128">
        <f t="shared" si="79"/>
        <v>80392.340000000011</v>
      </c>
      <c r="J124" s="128">
        <f t="shared" si="80"/>
        <v>1416613.52</v>
      </c>
      <c r="K124" s="44">
        <f t="shared" si="36"/>
        <v>8.1253149946731442E-4</v>
      </c>
      <c r="L124" s="45">
        <v>6895.2358558955302</v>
      </c>
      <c r="M124" s="45">
        <f>VLOOKUP(B124,Feb!$B$6:$M$305,12,FALSE)</f>
        <v>9654.0113412777991</v>
      </c>
      <c r="N124" s="45">
        <f t="shared" si="81"/>
        <v>45459.727197173328</v>
      </c>
      <c r="O124" s="46">
        <f t="shared" si="82"/>
        <v>2227526.632661493</v>
      </c>
      <c r="P124" s="47">
        <f t="shared" si="83"/>
        <v>84784.325306122453</v>
      </c>
      <c r="Q124" s="47">
        <v>222400</v>
      </c>
      <c r="R124" s="47">
        <f t="shared" si="75"/>
        <v>137615.67469387755</v>
      </c>
      <c r="S124" s="191">
        <f t="shared" si="38"/>
        <v>0.6187755157098811</v>
      </c>
      <c r="T124" s="42">
        <v>4154431.94</v>
      </c>
      <c r="U124" s="48">
        <f t="shared" si="76"/>
        <v>0.53618079796042895</v>
      </c>
      <c r="V124" s="49"/>
      <c r="X124" s="112"/>
    </row>
    <row r="125" spans="1:24" x14ac:dyDescent="0.3">
      <c r="A125" s="40" t="str">
        <f>VLOOKUP(B125,Grupos!$A$2:$B$619,2,FALSE)</f>
        <v>TABLEROS 100 AMP BIMETALICO 2 FASES</v>
      </c>
      <c r="B125" s="41" t="s">
        <v>176</v>
      </c>
      <c r="C125" s="41" t="s">
        <v>177</v>
      </c>
      <c r="D125" s="42">
        <v>816</v>
      </c>
      <c r="E125" s="43">
        <v>26998.400000000001</v>
      </c>
      <c r="F125" s="43">
        <f>VLOOKUP(B125,Feb!$B$6:$F$305,5,FALSE)</f>
        <v>1609.68</v>
      </c>
      <c r="G125" s="126">
        <f t="shared" si="77"/>
        <v>28608.080000000002</v>
      </c>
      <c r="H125" s="127">
        <f t="shared" si="78"/>
        <v>22030694.400000002</v>
      </c>
      <c r="I125" s="128">
        <f t="shared" si="79"/>
        <v>1313498.8800000001</v>
      </c>
      <c r="J125" s="128">
        <f t="shared" si="80"/>
        <v>23344193.280000001</v>
      </c>
      <c r="K125" s="44">
        <f t="shared" si="36"/>
        <v>1.338960281111337E-2</v>
      </c>
      <c r="L125" s="45">
        <v>6800.2945606926596</v>
      </c>
      <c r="M125" s="45">
        <f>VLOOKUP(B125,Feb!$B$6:$M$305,12,FALSE)</f>
        <v>9471.7180743286535</v>
      </c>
      <c r="N125" s="45">
        <f t="shared" si="81"/>
        <v>44880.092635021312</v>
      </c>
      <c r="O125" s="46">
        <f t="shared" si="82"/>
        <v>36622155.590177387</v>
      </c>
      <c r="P125" s="47">
        <f t="shared" si="83"/>
        <v>85642.439963235302</v>
      </c>
      <c r="Q125" s="47">
        <v>213400</v>
      </c>
      <c r="R125" s="47">
        <f t="shared" si="75"/>
        <v>127757.5600367647</v>
      </c>
      <c r="S125" s="191">
        <f t="shared" si="38"/>
        <v>0.59867647627349907</v>
      </c>
      <c r="T125" s="42">
        <v>69884231.010000005</v>
      </c>
      <c r="U125" s="48">
        <f t="shared" si="76"/>
        <v>0.52404033157261154</v>
      </c>
      <c r="V125" s="49"/>
      <c r="X125" s="112"/>
    </row>
    <row r="126" spans="1:24" x14ac:dyDescent="0.3">
      <c r="A126" s="40" t="str">
        <f>VLOOKUP(B126,Grupos!$A$2:$B$619,2,FALSE)</f>
        <v>TABLEROS 100 AMP BIMETALICO 2 FASES</v>
      </c>
      <c r="B126" s="41" t="s">
        <v>178</v>
      </c>
      <c r="C126" s="41" t="s">
        <v>179</v>
      </c>
      <c r="D126" s="42">
        <v>135</v>
      </c>
      <c r="E126" s="43">
        <v>33943.97</v>
      </c>
      <c r="F126" s="43">
        <f>VLOOKUP(B126,Feb!$B$6:$F$305,5,FALSE)</f>
        <v>1698.91</v>
      </c>
      <c r="G126" s="126">
        <f t="shared" si="77"/>
        <v>35642.880000000005</v>
      </c>
      <c r="H126" s="127">
        <f t="shared" si="78"/>
        <v>4582435.95</v>
      </c>
      <c r="I126" s="128">
        <f t="shared" si="79"/>
        <v>229352.85</v>
      </c>
      <c r="J126" s="128">
        <f t="shared" si="80"/>
        <v>4811788.8000000007</v>
      </c>
      <c r="K126" s="44">
        <f t="shared" si="36"/>
        <v>2.7599129286751617E-3</v>
      </c>
      <c r="L126" s="45">
        <v>8539.6673246006376</v>
      </c>
      <c r="M126" s="45">
        <f>VLOOKUP(B126,Feb!$B$6:$M$305,12,FALSE)</f>
        <v>9996.7674032464165</v>
      </c>
      <c r="N126" s="45">
        <f t="shared" si="81"/>
        <v>54179.314727847057</v>
      </c>
      <c r="O126" s="46">
        <f t="shared" si="82"/>
        <v>7314207.4882593527</v>
      </c>
      <c r="P126" s="47">
        <f t="shared" si="83"/>
        <v>110335.33022222223</v>
      </c>
      <c r="Q126" s="47">
        <v>285350</v>
      </c>
      <c r="R126" s="47">
        <f t="shared" si="75"/>
        <v>175014.66977777777</v>
      </c>
      <c r="S126" s="191">
        <f t="shared" si="38"/>
        <v>0.61333334423612329</v>
      </c>
      <c r="T126" s="42">
        <v>14895269.58</v>
      </c>
      <c r="U126" s="48">
        <f t="shared" si="76"/>
        <v>0.49104230366398999</v>
      </c>
      <c r="V126" s="49"/>
      <c r="X126" s="112"/>
    </row>
    <row r="127" spans="1:24" x14ac:dyDescent="0.3">
      <c r="A127" s="40" t="str">
        <f>VLOOKUP(B127,Grupos!$A$2:$B$619,2,FALSE)</f>
        <v>TABLEROS 100 AMP BIMETALICO 2 FASES</v>
      </c>
      <c r="B127" s="41" t="s">
        <v>180</v>
      </c>
      <c r="C127" s="41" t="s">
        <v>181</v>
      </c>
      <c r="D127" s="42">
        <v>917</v>
      </c>
      <c r="E127" s="43">
        <v>33669.99</v>
      </c>
      <c r="F127" s="43">
        <f>VLOOKUP(B127,Feb!$B$6:$F$305,5,FALSE)</f>
        <v>1583.35</v>
      </c>
      <c r="G127" s="126">
        <f t="shared" si="77"/>
        <v>35253.339999999997</v>
      </c>
      <c r="H127" s="127">
        <f t="shared" si="78"/>
        <v>30875380.829999998</v>
      </c>
      <c r="I127" s="128">
        <f t="shared" si="79"/>
        <v>1451931.95</v>
      </c>
      <c r="J127" s="128">
        <f t="shared" si="80"/>
        <v>32327312.779999997</v>
      </c>
      <c r="K127" s="44">
        <f t="shared" si="36"/>
        <v>1.8542079089349843E-2</v>
      </c>
      <c r="L127" s="45">
        <v>8443.06645489943</v>
      </c>
      <c r="M127" s="45">
        <f>VLOOKUP(B127,Feb!$B$6:$M$305,12,FALSE)</f>
        <v>9316.786450094598</v>
      </c>
      <c r="N127" s="45">
        <f t="shared" si="81"/>
        <v>53013.192904994023</v>
      </c>
      <c r="O127" s="46">
        <f t="shared" si="82"/>
        <v>48613097.893879518</v>
      </c>
      <c r="P127" s="47">
        <f t="shared" si="83"/>
        <v>106187.11384950927</v>
      </c>
      <c r="Q127" s="47">
        <v>274400</v>
      </c>
      <c r="R127" s="47">
        <f t="shared" si="75"/>
        <v>168212.88615049073</v>
      </c>
      <c r="S127" s="191">
        <f t="shared" si="38"/>
        <v>0.61302072212277958</v>
      </c>
      <c r="T127" s="42">
        <v>97373583.400000006</v>
      </c>
      <c r="U127" s="48">
        <f t="shared" si="76"/>
        <v>0.49924318481925678</v>
      </c>
      <c r="V127" s="49"/>
      <c r="X127" s="112"/>
    </row>
    <row r="128" spans="1:24" x14ac:dyDescent="0.3">
      <c r="A128" s="40" t="str">
        <f>VLOOKUP(B128,Grupos!$A$2:$B$619,2,FALSE)</f>
        <v>TABLEROS 100 AMP BIMETALICO 2 FASES</v>
      </c>
      <c r="B128" s="41" t="s">
        <v>182</v>
      </c>
      <c r="C128" s="41" t="s">
        <v>183</v>
      </c>
      <c r="D128" s="42">
        <v>18</v>
      </c>
      <c r="E128" s="43">
        <v>21275.55</v>
      </c>
      <c r="F128" s="43">
        <f>VLOOKUP(B128,Feb!$B$6:$F$305,5,FALSE)</f>
        <v>1132.23</v>
      </c>
      <c r="G128" s="126">
        <f t="shared" si="77"/>
        <v>22407.78</v>
      </c>
      <c r="H128" s="127">
        <f t="shared" si="78"/>
        <v>382959.89999999997</v>
      </c>
      <c r="I128" s="128">
        <f t="shared" si="79"/>
        <v>20380.14</v>
      </c>
      <c r="J128" s="128">
        <f t="shared" si="80"/>
        <v>403340.04</v>
      </c>
      <c r="K128" s="44">
        <f t="shared" si="36"/>
        <v>2.3134502309169445E-4</v>
      </c>
      <c r="L128" s="45">
        <v>5414.0961748693135</v>
      </c>
      <c r="M128" s="45">
        <f>VLOOKUP(B128,Feb!$B$6:$M$305,12,FALSE)</f>
        <v>6662.2952110339511</v>
      </c>
      <c r="N128" s="45">
        <f t="shared" si="81"/>
        <v>34484.171385903268</v>
      </c>
      <c r="O128" s="46">
        <f t="shared" si="82"/>
        <v>620715.08494625881</v>
      </c>
      <c r="P128" s="47">
        <f t="shared" si="83"/>
        <v>57841.728888888887</v>
      </c>
      <c r="Q128" s="47">
        <v>136634</v>
      </c>
      <c r="R128" s="47">
        <f t="shared" si="75"/>
        <v>78792.271111111113</v>
      </c>
      <c r="S128" s="191">
        <f t="shared" si="38"/>
        <v>0.57666665040261655</v>
      </c>
      <c r="T128" s="42">
        <v>1041151.12</v>
      </c>
      <c r="U128" s="48">
        <f t="shared" si="76"/>
        <v>0.59618154658111377</v>
      </c>
      <c r="V128" s="49"/>
      <c r="X128" s="112"/>
    </row>
    <row r="129" spans="1:24" x14ac:dyDescent="0.3">
      <c r="A129" s="40" t="str">
        <f>VLOOKUP(B129,Grupos!$A$2:$B$619,2,FALSE)</f>
        <v>TABLEROS 100 AMP BIMETALICO 2 FASES</v>
      </c>
      <c r="B129" s="41" t="s">
        <v>184</v>
      </c>
      <c r="C129" s="41" t="s">
        <v>1084</v>
      </c>
      <c r="D129" s="42">
        <v>8</v>
      </c>
      <c r="E129" s="43">
        <v>19860.37</v>
      </c>
      <c r="F129" s="43">
        <f>VLOOKUP(B129,Feb!$B$6:$F$305,5,FALSE)</f>
        <v>694.68</v>
      </c>
      <c r="G129" s="126">
        <f t="shared" si="77"/>
        <v>20555.05</v>
      </c>
      <c r="H129" s="127">
        <f t="shared" si="78"/>
        <v>158882.96</v>
      </c>
      <c r="I129" s="128">
        <f t="shared" si="79"/>
        <v>5557.44</v>
      </c>
      <c r="J129" s="128">
        <f t="shared" si="80"/>
        <v>164440.4</v>
      </c>
      <c r="K129" s="44">
        <f t="shared" si="36"/>
        <v>9.4318600591221911E-5</v>
      </c>
      <c r="L129" s="45">
        <v>4831.8182424912457</v>
      </c>
      <c r="M129" s="45">
        <f>VLOOKUP(B129,Feb!$B$6:$M$305,12,FALSE)</f>
        <v>4087.6528949074523</v>
      </c>
      <c r="N129" s="45">
        <f t="shared" si="81"/>
        <v>29474.521137398697</v>
      </c>
      <c r="O129" s="46">
        <f t="shared" si="82"/>
        <v>235796.16909918957</v>
      </c>
      <c r="P129" s="47">
        <f t="shared" si="83"/>
        <v>57147.001250000001</v>
      </c>
      <c r="Q129" s="47">
        <v>132900</v>
      </c>
      <c r="R129" s="47">
        <f t="shared" si="75"/>
        <v>75752.998749999999</v>
      </c>
      <c r="S129" s="191">
        <f t="shared" si="38"/>
        <v>0.56999999059443185</v>
      </c>
      <c r="T129" s="42">
        <v>457176.01</v>
      </c>
      <c r="U129" s="48">
        <f t="shared" si="76"/>
        <v>0.51576671553520392</v>
      </c>
      <c r="V129" s="49"/>
      <c r="X129" s="112"/>
    </row>
    <row r="130" spans="1:24" x14ac:dyDescent="0.3">
      <c r="A130" s="40" t="str">
        <f>VLOOKUP(B130,Grupos!$A$2:$B$619,2,FALSE)</f>
        <v>TABLEROS 100 AMP BIMETALICO 2 FASES</v>
      </c>
      <c r="B130" s="41" t="s">
        <v>185</v>
      </c>
      <c r="C130" s="41" t="s">
        <v>186</v>
      </c>
      <c r="D130" s="42">
        <v>111</v>
      </c>
      <c r="E130" s="43">
        <v>19766.16</v>
      </c>
      <c r="F130" s="43">
        <f>VLOOKUP(B130,Feb!$B$6:$F$305,5,FALSE)</f>
        <v>852.63</v>
      </c>
      <c r="G130" s="126">
        <f t="shared" si="77"/>
        <v>20618.79</v>
      </c>
      <c r="H130" s="127">
        <f t="shared" si="78"/>
        <v>2194043.7599999998</v>
      </c>
      <c r="I130" s="128">
        <f t="shared" si="79"/>
        <v>94641.93</v>
      </c>
      <c r="J130" s="128">
        <f t="shared" si="80"/>
        <v>2288685.69</v>
      </c>
      <c r="K130" s="44">
        <f t="shared" si="36"/>
        <v>1.3127286936419223E-3</v>
      </c>
      <c r="L130" s="45">
        <v>4935.0103967439109</v>
      </c>
      <c r="M130" s="45">
        <f>VLOOKUP(B130,Feb!$B$6:$M$305,12,FALSE)</f>
        <v>5017.0661135845876</v>
      </c>
      <c r="N130" s="45">
        <f t="shared" si="81"/>
        <v>30570.866510328498</v>
      </c>
      <c r="O130" s="46">
        <f t="shared" si="82"/>
        <v>3393366.1826464632</v>
      </c>
      <c r="P130" s="47">
        <f t="shared" si="83"/>
        <v>54193.118918918917</v>
      </c>
      <c r="Q130" s="47">
        <v>130600</v>
      </c>
      <c r="R130" s="47">
        <f t="shared" si="75"/>
        <v>76406.881081081083</v>
      </c>
      <c r="S130" s="191">
        <f t="shared" si="38"/>
        <v>0.58504503124870666</v>
      </c>
      <c r="T130" s="42">
        <v>6015436.2000000002</v>
      </c>
      <c r="U130" s="48">
        <f t="shared" si="76"/>
        <v>0.56410974529934554</v>
      </c>
      <c r="V130" s="49"/>
      <c r="X130" s="112"/>
    </row>
    <row r="131" spans="1:24" x14ac:dyDescent="0.3">
      <c r="A131" s="40" t="str">
        <f>VLOOKUP(B131,Grupos!$A$2:$B$619,2,FALSE)</f>
        <v>TABLEROS 100 AMP BIMETALICO 2 FASES</v>
      </c>
      <c r="B131" s="41" t="s">
        <v>187</v>
      </c>
      <c r="C131" s="41" t="s">
        <v>188</v>
      </c>
      <c r="D131" s="42">
        <v>78</v>
      </c>
      <c r="E131" s="43">
        <v>23374.86</v>
      </c>
      <c r="F131" s="43">
        <f>VLOOKUP(B131,Feb!$B$6:$F$305,5,FALSE)</f>
        <v>1510.93</v>
      </c>
      <c r="G131" s="126">
        <f t="shared" si="77"/>
        <v>24885.79</v>
      </c>
      <c r="H131" s="127">
        <f t="shared" si="78"/>
        <v>1823239.08</v>
      </c>
      <c r="I131" s="128">
        <f t="shared" si="79"/>
        <v>117852.54000000001</v>
      </c>
      <c r="J131" s="128">
        <f t="shared" si="80"/>
        <v>1941091.62</v>
      </c>
      <c r="K131" s="44">
        <f t="shared" ref="K131:K194" si="84">J131/$J$277</f>
        <v>1.1133580629683942E-3</v>
      </c>
      <c r="L131" s="45">
        <v>5901.4516174212613</v>
      </c>
      <c r="M131" s="45">
        <f>VLOOKUP(B131,Feb!$B$6:$M$305,12,FALSE)</f>
        <v>8890.6509306479493</v>
      </c>
      <c r="N131" s="45">
        <f t="shared" si="81"/>
        <v>39677.892548069212</v>
      </c>
      <c r="O131" s="46">
        <f t="shared" si="82"/>
        <v>3094875.6187493987</v>
      </c>
      <c r="P131" s="47">
        <f t="shared" si="83"/>
        <v>68288.460641025638</v>
      </c>
      <c r="Q131" s="47">
        <v>177550</v>
      </c>
      <c r="R131" s="47">
        <f t="shared" si="75"/>
        <v>109261.53935897436</v>
      </c>
      <c r="S131" s="191">
        <f t="shared" si="38"/>
        <v>0.61538462043916842</v>
      </c>
      <c r="T131" s="42">
        <v>5326499.93</v>
      </c>
      <c r="U131" s="48">
        <f t="shared" si="76"/>
        <v>0.58103363548704656</v>
      </c>
      <c r="V131" s="49"/>
      <c r="X131" s="112"/>
    </row>
    <row r="132" spans="1:24" x14ac:dyDescent="0.3">
      <c r="A132" s="40" t="str">
        <f>VLOOKUP(B132,Grupos!$A$2:$B$619,2,FALSE)</f>
        <v>TABLEROS 100 AMP BIMETALICO 2 FASES</v>
      </c>
      <c r="B132" s="41" t="s">
        <v>189</v>
      </c>
      <c r="C132" s="41" t="s">
        <v>190</v>
      </c>
      <c r="D132" s="42">
        <v>1236</v>
      </c>
      <c r="E132" s="43">
        <v>23225.919999999998</v>
      </c>
      <c r="F132" s="43">
        <f>VLOOKUP(B132,Feb!$B$6:$F$305,5,FALSE)</f>
        <v>1450.08</v>
      </c>
      <c r="G132" s="126">
        <f t="shared" si="77"/>
        <v>24676</v>
      </c>
      <c r="H132" s="127">
        <f t="shared" si="78"/>
        <v>28707237.119999997</v>
      </c>
      <c r="I132" s="128">
        <f t="shared" si="79"/>
        <v>1792298.88</v>
      </c>
      <c r="J132" s="128">
        <f t="shared" si="80"/>
        <v>30499536</v>
      </c>
      <c r="K132" s="44">
        <f t="shared" si="84"/>
        <v>1.7493715377739257E-2</v>
      </c>
      <c r="L132" s="45">
        <v>5853.7024151766909</v>
      </c>
      <c r="M132" s="45">
        <f>VLOOKUP(B132,Feb!$B$6:$M$305,12,FALSE)</f>
        <v>8532.5958856558391</v>
      </c>
      <c r="N132" s="45">
        <f t="shared" si="81"/>
        <v>39062.298300832525</v>
      </c>
      <c r="O132" s="46">
        <f t="shared" si="82"/>
        <v>48281000.699828997</v>
      </c>
      <c r="P132" s="47">
        <f t="shared" si="83"/>
        <v>65317.092621359225</v>
      </c>
      <c r="Q132" s="47">
        <v>166650</v>
      </c>
      <c r="R132" s="47">
        <f t="shared" si="75"/>
        <v>101332.90737864078</v>
      </c>
      <c r="S132" s="191">
        <f t="shared" si="38"/>
        <v>0.60805825009685444</v>
      </c>
      <c r="T132" s="42">
        <v>80731926.480000004</v>
      </c>
      <c r="U132" s="48">
        <f t="shared" si="76"/>
        <v>0.59804098334987477</v>
      </c>
      <c r="V132" s="49"/>
      <c r="X132" s="112"/>
    </row>
    <row r="133" spans="1:24" x14ac:dyDescent="0.3">
      <c r="A133" s="40" t="str">
        <f>VLOOKUP(B133,Grupos!$A$2:$B$619,2,FALSE)</f>
        <v>TABLEROS 100 AMP BIMETALICO 3 FASES</v>
      </c>
      <c r="B133" s="41" t="s">
        <v>191</v>
      </c>
      <c r="C133" s="41" t="s">
        <v>192</v>
      </c>
      <c r="D133" s="42">
        <v>54</v>
      </c>
      <c r="E133" s="43">
        <v>23756.58</v>
      </c>
      <c r="F133" s="43">
        <f>VLOOKUP(B133,Feb!$B$6:$F$305,5,FALSE)</f>
        <v>1909.9</v>
      </c>
      <c r="G133" s="126">
        <f>E133+F133</f>
        <v>25666.480000000003</v>
      </c>
      <c r="H133" s="127">
        <f>E133*D133</f>
        <v>1282855.32</v>
      </c>
      <c r="I133" s="128">
        <f>F133*D133</f>
        <v>103134.6</v>
      </c>
      <c r="J133" s="128">
        <f>G133*D133</f>
        <v>1385989.9200000002</v>
      </c>
      <c r="K133" s="44">
        <f t="shared" si="84"/>
        <v>7.9496662430850109E-4</v>
      </c>
      <c r="L133" s="45">
        <v>6132.5273856015247</v>
      </c>
      <c r="M133" s="45">
        <f>VLOOKUP(B133,Feb!$B$6:$M$305,12,FALSE)</f>
        <v>11238.279875602788</v>
      </c>
      <c r="N133" s="45">
        <f>G133+L133+M133</f>
        <v>43037.287261204314</v>
      </c>
      <c r="O133" s="46">
        <f>N133*D133</f>
        <v>2324013.5121050328</v>
      </c>
      <c r="P133" s="47">
        <f>T133/D133</f>
        <v>70839.99555555555</v>
      </c>
      <c r="Q133" s="47">
        <v>177100</v>
      </c>
      <c r="R133" s="47">
        <f t="shared" si="75"/>
        <v>106260.00444444445</v>
      </c>
      <c r="S133" s="191">
        <f t="shared" si="38"/>
        <v>0.60000002509567729</v>
      </c>
      <c r="T133" s="42">
        <v>3825359.76</v>
      </c>
      <c r="U133" s="48">
        <f t="shared" si="76"/>
        <v>0.60752809092785376</v>
      </c>
      <c r="V133" s="49"/>
      <c r="X133" s="112"/>
    </row>
    <row r="134" spans="1:24" x14ac:dyDescent="0.3">
      <c r="A134" s="40" t="str">
        <f>VLOOKUP(B134,Grupos!$A$2:$B$619,2,FALSE)</f>
        <v>TABLEROS 100 AMP BIMETALICO 3 FASES</v>
      </c>
      <c r="B134" s="41" t="s">
        <v>193</v>
      </c>
      <c r="C134" s="41" t="s">
        <v>194</v>
      </c>
      <c r="D134" s="42">
        <v>221</v>
      </c>
      <c r="E134" s="43">
        <v>23607.64</v>
      </c>
      <c r="F134" s="43">
        <f>VLOOKUP(B134,Feb!$B$6:$F$305,5,FALSE)</f>
        <v>1629.32</v>
      </c>
      <c r="G134" s="126">
        <f>E134+F134</f>
        <v>25236.959999999999</v>
      </c>
      <c r="H134" s="127">
        <f>E134*D134</f>
        <v>5217288.4399999995</v>
      </c>
      <c r="I134" s="128">
        <f>F134*D134</f>
        <v>360079.72</v>
      </c>
      <c r="J134" s="128">
        <f>G134*D134</f>
        <v>5577368.1600000001</v>
      </c>
      <c r="K134" s="44">
        <f t="shared" si="84"/>
        <v>3.1990287048270275E-3</v>
      </c>
      <c r="L134" s="45">
        <v>6024.4881454911192</v>
      </c>
      <c r="M134" s="45">
        <f>VLOOKUP(B134,Feb!$B$6:$M$305,12,FALSE)</f>
        <v>9587.2842383984134</v>
      </c>
      <c r="N134" s="45">
        <f>G134+L134+M134</f>
        <v>40848.732383889532</v>
      </c>
      <c r="O134" s="46">
        <f>N134*D134</f>
        <v>9027569.856839586</v>
      </c>
      <c r="P134" s="47">
        <f>T134/D134</f>
        <v>65450.210723981902</v>
      </c>
      <c r="Q134" s="47">
        <v>164800</v>
      </c>
      <c r="R134" s="47">
        <f t="shared" si="75"/>
        <v>99349.789276018098</v>
      </c>
      <c r="S134" s="191">
        <f t="shared" ref="S134:S197" si="85">R134/Q134</f>
        <v>0.60285066308263413</v>
      </c>
      <c r="T134" s="42">
        <v>14464496.57</v>
      </c>
      <c r="U134" s="48">
        <f t="shared" si="76"/>
        <v>0.62411918818959533</v>
      </c>
      <c r="V134" s="49"/>
      <c r="X134" s="112"/>
    </row>
    <row r="135" spans="1:24" x14ac:dyDescent="0.3">
      <c r="A135" s="40" t="str">
        <f>VLOOKUP(B135,Grupos!$A$2:$B$619,2,FALSE)</f>
        <v>TABLEROS 100 AMP BIMETALICO 3 FASES</v>
      </c>
      <c r="B135" s="41" t="s">
        <v>195</v>
      </c>
      <c r="C135" s="41" t="s">
        <v>196</v>
      </c>
      <c r="D135" s="42">
        <v>6</v>
      </c>
      <c r="E135" s="43">
        <v>28895.62</v>
      </c>
      <c r="F135" s="43">
        <f>VLOOKUP(B135,Feb!$B$6:$F$305,5,FALSE)</f>
        <v>1717.81</v>
      </c>
      <c r="G135" s="126">
        <f>E135+F135</f>
        <v>30613.43</v>
      </c>
      <c r="H135" s="127">
        <f>E135*D135</f>
        <v>173373.72</v>
      </c>
      <c r="I135" s="128">
        <f>F135*D135</f>
        <v>10306.86</v>
      </c>
      <c r="J135" s="128">
        <f>G135*D135</f>
        <v>183680.58000000002</v>
      </c>
      <c r="K135" s="44">
        <f t="shared" si="84"/>
        <v>1.0535425151838591E-4</v>
      </c>
      <c r="L135" s="45">
        <v>7310.150636527972</v>
      </c>
      <c r="M135" s="45">
        <f>VLOOKUP(B135,Feb!$B$6:$M$305,12,FALSE)</f>
        <v>10107.979241378722</v>
      </c>
      <c r="N135" s="45">
        <f>G135+L135+M135</f>
        <v>48031.559877906693</v>
      </c>
      <c r="O135" s="46">
        <f>N135*D135</f>
        <v>288189.35926744016</v>
      </c>
      <c r="P135" s="47">
        <f>T135/D135</f>
        <v>99919.993333333332</v>
      </c>
      <c r="Q135" s="47">
        <v>249800</v>
      </c>
      <c r="R135" s="47">
        <f t="shared" si="75"/>
        <v>149880.00666666665</v>
      </c>
      <c r="S135" s="191">
        <f t="shared" si="85"/>
        <v>0.600000026688017</v>
      </c>
      <c r="T135" s="42">
        <v>599519.96</v>
      </c>
      <c r="U135" s="48">
        <f t="shared" si="76"/>
        <v>0.48070019097852917</v>
      </c>
      <c r="V135" s="49"/>
      <c r="X135" s="112"/>
    </row>
    <row r="136" spans="1:24" x14ac:dyDescent="0.3">
      <c r="A136" s="40" t="str">
        <f>VLOOKUP(B136,Grupos!$A$2:$B$619,2,FALSE)</f>
        <v>TABLEROS 100 AMP BIMETALICO 3 FASES</v>
      </c>
      <c r="B136" s="41" t="s">
        <v>197</v>
      </c>
      <c r="C136" s="41" t="s">
        <v>198</v>
      </c>
      <c r="D136" s="42">
        <v>705</v>
      </c>
      <c r="E136" s="43">
        <v>28624.21</v>
      </c>
      <c r="F136" s="43">
        <f>VLOOKUP(B136,Feb!$B$6:$F$305,5,FALSE)</f>
        <v>1685.22</v>
      </c>
      <c r="G136" s="126">
        <f>E136+F136</f>
        <v>30309.43</v>
      </c>
      <c r="H136" s="127">
        <f>E136*D136</f>
        <v>20180068.050000001</v>
      </c>
      <c r="I136" s="128">
        <f>F136*D136</f>
        <v>1188080.1000000001</v>
      </c>
      <c r="J136" s="128">
        <f>G136*D136</f>
        <v>21368148.149999999</v>
      </c>
      <c r="K136" s="44">
        <f t="shared" si="84"/>
        <v>1.2256196352805683E-2</v>
      </c>
      <c r="L136" s="45">
        <v>7234.1157969768046</v>
      </c>
      <c r="M136" s="45">
        <f>VLOOKUP(B136,Feb!$B$6:$M$305,12,FALSE)</f>
        <v>9916.2123734034922</v>
      </c>
      <c r="N136" s="45">
        <f>G136+L136+M136</f>
        <v>47459.758170380293</v>
      </c>
      <c r="O136" s="46">
        <f>N136*D136</f>
        <v>33459129.510118108</v>
      </c>
      <c r="P136" s="47">
        <f>T136/D136</f>
        <v>96496.152411347517</v>
      </c>
      <c r="Q136" s="47">
        <v>237750</v>
      </c>
      <c r="R136" s="47">
        <f t="shared" si="75"/>
        <v>141253.84758865248</v>
      </c>
      <c r="S136" s="191">
        <f t="shared" si="85"/>
        <v>0.5941276449575289</v>
      </c>
      <c r="T136" s="42">
        <v>68029787.450000003</v>
      </c>
      <c r="U136" s="48">
        <f t="shared" si="76"/>
        <v>0.49183057546239778</v>
      </c>
      <c r="V136" s="49"/>
      <c r="X136" s="112"/>
    </row>
    <row r="137" spans="1:24" x14ac:dyDescent="0.3">
      <c r="A137" s="40" t="str">
        <f>VLOOKUP(B137,Grupos!$A$2:$B$619,2,FALSE)</f>
        <v>TABLEROS 100 AMP BIMETALICO 3 FASES</v>
      </c>
      <c r="B137" s="41" t="s">
        <v>199</v>
      </c>
      <c r="C137" s="41" t="s">
        <v>200</v>
      </c>
      <c r="D137" s="42">
        <v>198</v>
      </c>
      <c r="E137" s="43">
        <v>35687.910000000003</v>
      </c>
      <c r="F137" s="43">
        <f>VLOOKUP(B137,Feb!$B$6:$F$305,5,FALSE)</f>
        <v>1967.09</v>
      </c>
      <c r="G137" s="126">
        <f>E137+F137</f>
        <v>37655</v>
      </c>
      <c r="H137" s="127">
        <f>E137*D137</f>
        <v>7066206.1800000006</v>
      </c>
      <c r="I137" s="128">
        <f>F137*D137</f>
        <v>389483.82</v>
      </c>
      <c r="J137" s="128">
        <f>G137*D137</f>
        <v>7455690</v>
      </c>
      <c r="K137" s="44">
        <f t="shared" si="84"/>
        <v>4.2763837064490684E-3</v>
      </c>
      <c r="L137" s="45">
        <v>9087.3010516579525</v>
      </c>
      <c r="M137" s="45">
        <f>VLOOKUP(B137,Feb!$B$6:$M$305,12,FALSE)</f>
        <v>11574.798659877211</v>
      </c>
      <c r="N137" s="45">
        <f>G137+L137+M137</f>
        <v>58317.099711535164</v>
      </c>
      <c r="O137" s="46">
        <f>N137*D137</f>
        <v>11546785.742883962</v>
      </c>
      <c r="P137" s="47">
        <f>T137/D137</f>
        <v>118573.93863636364</v>
      </c>
      <c r="Q137" s="47">
        <v>327900</v>
      </c>
      <c r="R137" s="47">
        <f t="shared" si="75"/>
        <v>209326.06136363634</v>
      </c>
      <c r="S137" s="191">
        <f t="shared" si="85"/>
        <v>0.63838384069422494</v>
      </c>
      <c r="T137" s="42">
        <v>23477639.850000001</v>
      </c>
      <c r="U137" s="48">
        <f t="shared" si="76"/>
        <v>0.49182054996401015</v>
      </c>
      <c r="V137" s="49"/>
      <c r="X137" s="112"/>
    </row>
    <row r="138" spans="1:24" x14ac:dyDescent="0.3">
      <c r="A138" s="40" t="str">
        <f>VLOOKUP(B138,Grupos!$A$2:$B$619,2,FALSE)</f>
        <v>TABLEROS 125 AMP COBRE 2 FASES</v>
      </c>
      <c r="B138" s="41" t="s">
        <v>201</v>
      </c>
      <c r="C138" s="41" t="s">
        <v>202</v>
      </c>
      <c r="D138" s="42">
        <v>1064</v>
      </c>
      <c r="E138" s="43">
        <v>36940.800000000003</v>
      </c>
      <c r="F138" s="43">
        <f>VLOOKUP(B138,Feb!$B$6:$F$305,5,FALSE)</f>
        <v>1602.34</v>
      </c>
      <c r="G138" s="126">
        <f t="shared" ref="G138:G143" si="86">E138+F138</f>
        <v>38543.14</v>
      </c>
      <c r="H138" s="127">
        <f t="shared" ref="H138:H143" si="87">E138*D138</f>
        <v>39305011.200000003</v>
      </c>
      <c r="I138" s="128">
        <f t="shared" ref="I138:I143" si="88">F138*D138</f>
        <v>1704889.76</v>
      </c>
      <c r="J138" s="128">
        <f t="shared" ref="J138:J143" si="89">G138*D138</f>
        <v>41009900.960000001</v>
      </c>
      <c r="K138" s="44">
        <f t="shared" si="84"/>
        <v>2.3522178667357951E-2</v>
      </c>
      <c r="L138" s="45">
        <v>9163.7355054650907</v>
      </c>
      <c r="M138" s="45">
        <f>VLOOKUP(B138,Feb!$B$6:$M$305,12,FALSE)</f>
        <v>9428.527868408486</v>
      </c>
      <c r="N138" s="45">
        <f t="shared" ref="N138:N143" si="90">G138+L138+M138</f>
        <v>57135.403373873574</v>
      </c>
      <c r="O138" s="46">
        <f t="shared" ref="O138:O143" si="91">N138*D138</f>
        <v>60792069.189801484</v>
      </c>
      <c r="P138" s="47">
        <f t="shared" ref="P138:P143" si="92">T138/D138</f>
        <v>96317.037030075197</v>
      </c>
      <c r="Q138" s="47">
        <v>246150</v>
      </c>
      <c r="R138" s="47">
        <f t="shared" si="75"/>
        <v>149832.96296992479</v>
      </c>
      <c r="S138" s="191">
        <f t="shared" si="85"/>
        <v>0.60870592309536786</v>
      </c>
      <c r="T138" s="42">
        <v>102481327.40000001</v>
      </c>
      <c r="U138" s="48">
        <f t="shared" si="76"/>
        <v>0.59320142246519614</v>
      </c>
      <c r="V138" s="49"/>
      <c r="X138" s="112"/>
    </row>
    <row r="139" spans="1:24" x14ac:dyDescent="0.3">
      <c r="A139" s="40" t="str">
        <f>VLOOKUP(B139,Grupos!$A$2:$B$619,2,FALSE)</f>
        <v>TABLEROS 125 AMP COBRE 2 FASES</v>
      </c>
      <c r="B139" s="41" t="s">
        <v>203</v>
      </c>
      <c r="C139" s="41" t="s">
        <v>204</v>
      </c>
      <c r="D139" s="42">
        <v>1428</v>
      </c>
      <c r="E139" s="43">
        <v>36669.379999999997</v>
      </c>
      <c r="F139" s="43">
        <f>VLOOKUP(B139,Feb!$B$6:$F$305,5,FALSE)</f>
        <v>1537.24</v>
      </c>
      <c r="G139" s="126">
        <f t="shared" si="86"/>
        <v>38206.619999999995</v>
      </c>
      <c r="H139" s="127">
        <f t="shared" si="87"/>
        <v>52363874.639999993</v>
      </c>
      <c r="I139" s="128">
        <f t="shared" si="88"/>
        <v>2195178.7200000002</v>
      </c>
      <c r="J139" s="128">
        <f t="shared" si="89"/>
        <v>54559053.359999992</v>
      </c>
      <c r="K139" s="44">
        <f t="shared" si="84"/>
        <v>3.1293608885024624E-2</v>
      </c>
      <c r="L139" s="45">
        <v>9077.5410611238385</v>
      </c>
      <c r="M139" s="45">
        <f>VLOOKUP(B139,Feb!$B$6:$M$305,12,FALSE)</f>
        <v>9045.4648703972089</v>
      </c>
      <c r="N139" s="45">
        <f t="shared" si="90"/>
        <v>56329.625931521048</v>
      </c>
      <c r="O139" s="46">
        <f t="shared" si="91"/>
        <v>80438705.830212057</v>
      </c>
      <c r="P139" s="47">
        <f t="shared" si="92"/>
        <v>93606.654355742299</v>
      </c>
      <c r="Q139" s="47">
        <v>236200</v>
      </c>
      <c r="R139" s="47">
        <f t="shared" si="75"/>
        <v>142593.3456442577</v>
      </c>
      <c r="S139" s="191">
        <f t="shared" si="85"/>
        <v>0.60369748367594289</v>
      </c>
      <c r="T139" s="42">
        <v>133670302.42</v>
      </c>
      <c r="U139" s="48">
        <f t="shared" si="76"/>
        <v>0.60176946093432837</v>
      </c>
      <c r="V139" s="49"/>
      <c r="X139" s="112"/>
    </row>
    <row r="140" spans="1:24" x14ac:dyDescent="0.3">
      <c r="A140" s="40" t="str">
        <f>VLOOKUP(B140,Grupos!$A$2:$B$619,2,FALSE)</f>
        <v>TABLEROS 125 AMP COBRE 2 FASES</v>
      </c>
      <c r="B140" s="41" t="s">
        <v>205</v>
      </c>
      <c r="C140" s="41" t="s">
        <v>206</v>
      </c>
      <c r="D140" s="42">
        <v>263</v>
      </c>
      <c r="E140" s="43">
        <v>48902.38</v>
      </c>
      <c r="F140" s="43">
        <f>VLOOKUP(B140,Feb!$B$6:$F$305,5,FALSE)</f>
        <v>1816.87</v>
      </c>
      <c r="G140" s="126">
        <f t="shared" si="86"/>
        <v>50719.25</v>
      </c>
      <c r="H140" s="127">
        <f t="shared" si="87"/>
        <v>12861325.939999999</v>
      </c>
      <c r="I140" s="128">
        <f t="shared" si="88"/>
        <v>477836.81</v>
      </c>
      <c r="J140" s="128">
        <f t="shared" si="89"/>
        <v>13339162.75</v>
      </c>
      <c r="K140" s="44">
        <f t="shared" si="84"/>
        <v>7.6509857896146895E-3</v>
      </c>
      <c r="L140" s="45">
        <v>12061.886182122256</v>
      </c>
      <c r="M140" s="45">
        <f>VLOOKUP(B140,Feb!$B$6:$M$305,12,FALSE)</f>
        <v>10690.870494573765</v>
      </c>
      <c r="N140" s="45">
        <f t="shared" si="90"/>
        <v>73472.006676696023</v>
      </c>
      <c r="O140" s="46">
        <f t="shared" si="91"/>
        <v>19323137.755971055</v>
      </c>
      <c r="P140" s="47">
        <f t="shared" si="92"/>
        <v>129267.48334600759</v>
      </c>
      <c r="Q140" s="47">
        <v>324650</v>
      </c>
      <c r="R140" s="47">
        <f t="shared" si="75"/>
        <v>195382.51665399241</v>
      </c>
      <c r="S140" s="191">
        <f t="shared" si="85"/>
        <v>0.60182509365160142</v>
      </c>
      <c r="T140" s="42">
        <v>33997348.119999997</v>
      </c>
      <c r="U140" s="48">
        <f t="shared" si="76"/>
        <v>0.5683719120610945</v>
      </c>
      <c r="V140" s="49"/>
      <c r="X140" s="112"/>
    </row>
    <row r="141" spans="1:24" x14ac:dyDescent="0.3">
      <c r="A141" s="40" t="str">
        <f>VLOOKUP(B141,Grupos!$A$2:$B$619,2,FALSE)</f>
        <v>TABLEROS 125 AMP COBRE 2 FASES</v>
      </c>
      <c r="B141" s="41" t="s">
        <v>207</v>
      </c>
      <c r="C141" s="41" t="s">
        <v>208</v>
      </c>
      <c r="D141" s="42">
        <v>612</v>
      </c>
      <c r="E141" s="43">
        <v>48628.4</v>
      </c>
      <c r="F141" s="43">
        <f>VLOOKUP(B141,Feb!$B$6:$F$305,5,FALSE)</f>
        <v>1689.18</v>
      </c>
      <c r="G141" s="126">
        <f t="shared" si="86"/>
        <v>50317.58</v>
      </c>
      <c r="H141" s="127">
        <f t="shared" si="87"/>
        <v>29760580.800000001</v>
      </c>
      <c r="I141" s="128">
        <f t="shared" si="88"/>
        <v>1033778.16</v>
      </c>
      <c r="J141" s="128">
        <f t="shared" si="89"/>
        <v>30794358.960000001</v>
      </c>
      <c r="K141" s="44">
        <f t="shared" si="84"/>
        <v>1.7662817915858608E-2</v>
      </c>
      <c r="L141" s="45">
        <v>11939.298632422344</v>
      </c>
      <c r="M141" s="45">
        <f>VLOOKUP(B141,Feb!$B$6:$M$305,12,FALSE)</f>
        <v>9939.5139013931184</v>
      </c>
      <c r="N141" s="45">
        <f t="shared" si="90"/>
        <v>72196.392533815466</v>
      </c>
      <c r="O141" s="46">
        <f t="shared" si="91"/>
        <v>44184192.230695069</v>
      </c>
      <c r="P141" s="47">
        <f t="shared" si="92"/>
        <v>123304.7364379085</v>
      </c>
      <c r="Q141" s="47">
        <v>312500</v>
      </c>
      <c r="R141" s="47">
        <f t="shared" si="75"/>
        <v>189195.26356209151</v>
      </c>
      <c r="S141" s="191">
        <f t="shared" si="85"/>
        <v>0.60542484339869285</v>
      </c>
      <c r="T141" s="42">
        <v>75462498.700000003</v>
      </c>
      <c r="U141" s="48">
        <f t="shared" si="76"/>
        <v>0.58551191640696454</v>
      </c>
      <c r="V141" s="49"/>
      <c r="X141" s="112"/>
    </row>
    <row r="142" spans="1:24" x14ac:dyDescent="0.3">
      <c r="A142" s="40" t="str">
        <f>VLOOKUP(B142,Grupos!$A$2:$B$619,2,FALSE)</f>
        <v>TABLEROS 125 AMP COBRE 2 FASES</v>
      </c>
      <c r="B142" s="41" t="s">
        <v>211</v>
      </c>
      <c r="C142" s="41" t="s">
        <v>212</v>
      </c>
      <c r="D142" s="42">
        <v>714</v>
      </c>
      <c r="E142" s="43">
        <v>30021.53</v>
      </c>
      <c r="F142" s="43">
        <f>VLOOKUP(B142,Feb!$B$6:$F$305,5,FALSE)</f>
        <v>1449.17</v>
      </c>
      <c r="G142" s="126">
        <f t="shared" si="86"/>
        <v>31470.699999999997</v>
      </c>
      <c r="H142" s="127">
        <f t="shared" si="87"/>
        <v>21435372.419999998</v>
      </c>
      <c r="I142" s="128">
        <f t="shared" si="88"/>
        <v>1034707.38</v>
      </c>
      <c r="J142" s="128">
        <f t="shared" si="89"/>
        <v>22470079.799999997</v>
      </c>
      <c r="K142" s="44">
        <f t="shared" si="84"/>
        <v>1.2888234776302437E-2</v>
      </c>
      <c r="L142" s="45">
        <v>7504.5653227308676</v>
      </c>
      <c r="M142" s="45">
        <f>VLOOKUP(B142,Feb!$B$6:$M$305,12,FALSE)</f>
        <v>8527.2412415976178</v>
      </c>
      <c r="N142" s="45">
        <f t="shared" si="90"/>
        <v>47502.506564328476</v>
      </c>
      <c r="O142" s="46">
        <f t="shared" si="91"/>
        <v>33916789.68693053</v>
      </c>
      <c r="P142" s="47">
        <f t="shared" si="92"/>
        <v>79801.284173669468</v>
      </c>
      <c r="Q142" s="47">
        <v>201450</v>
      </c>
      <c r="R142" s="47">
        <f t="shared" si="75"/>
        <v>121648.71582633053</v>
      </c>
      <c r="S142" s="191">
        <f t="shared" si="85"/>
        <v>0.60386555386612328</v>
      </c>
      <c r="T142" s="42">
        <v>56978116.899999999</v>
      </c>
      <c r="U142" s="48">
        <f t="shared" si="76"/>
        <v>0.59525992665669392</v>
      </c>
      <c r="V142" s="49"/>
      <c r="X142" s="112"/>
    </row>
    <row r="143" spans="1:24" x14ac:dyDescent="0.3">
      <c r="A143" s="40" t="str">
        <f>VLOOKUP(B143,Grupos!$A$2:$B$619,2,FALSE)</f>
        <v>TABLEROS 125 AMP COBRE 2 FASES</v>
      </c>
      <c r="B143" s="41" t="s">
        <v>213</v>
      </c>
      <c r="C143" s="41" t="s">
        <v>214</v>
      </c>
      <c r="D143" s="42">
        <v>780</v>
      </c>
      <c r="E143" s="43">
        <v>29872.59</v>
      </c>
      <c r="F143" s="43">
        <f>VLOOKUP(B143,Feb!$B$6:$F$305,5,FALSE)</f>
        <v>1417.78</v>
      </c>
      <c r="G143" s="126">
        <f t="shared" si="86"/>
        <v>31290.37</v>
      </c>
      <c r="H143" s="127">
        <f t="shared" si="87"/>
        <v>23300620.199999999</v>
      </c>
      <c r="I143" s="128">
        <f t="shared" si="88"/>
        <v>1105868.3999999999</v>
      </c>
      <c r="J143" s="128">
        <f t="shared" si="89"/>
        <v>24406488.599999998</v>
      </c>
      <c r="K143" s="44">
        <f t="shared" si="84"/>
        <v>1.3998906899384888E-2</v>
      </c>
      <c r="L143" s="45">
        <v>7464.0091770938088</v>
      </c>
      <c r="M143" s="45">
        <f>VLOOKUP(B143,Feb!$B$6:$M$305,12,FALSE)</f>
        <v>8342.535442710152</v>
      </c>
      <c r="N143" s="45">
        <f t="shared" si="90"/>
        <v>47096.914619803967</v>
      </c>
      <c r="O143" s="46">
        <f t="shared" si="91"/>
        <v>36735593.403447092</v>
      </c>
      <c r="P143" s="47">
        <f t="shared" si="92"/>
        <v>78079.394794871798</v>
      </c>
      <c r="Q143" s="47">
        <v>193450</v>
      </c>
      <c r="R143" s="47">
        <f t="shared" si="75"/>
        <v>115370.6052051282</v>
      </c>
      <c r="S143" s="191">
        <f t="shared" si="85"/>
        <v>0.59638462240955392</v>
      </c>
      <c r="T143" s="42">
        <v>60901927.939999998</v>
      </c>
      <c r="U143" s="48">
        <f t="shared" si="76"/>
        <v>0.60319261878932062</v>
      </c>
      <c r="V143" s="49"/>
      <c r="X143" s="112"/>
    </row>
    <row r="144" spans="1:24" x14ac:dyDescent="0.3">
      <c r="A144" s="40" t="str">
        <f>VLOOKUP(B144,Grupos!$A$2:$B$619,2,FALSE)</f>
        <v>TABLEROS 125 AMP COBRE 3 FASES</v>
      </c>
      <c r="B144" s="41" t="s">
        <v>215</v>
      </c>
      <c r="C144" s="41" t="s">
        <v>216</v>
      </c>
      <c r="D144" s="42">
        <v>67</v>
      </c>
      <c r="E144" s="43">
        <v>31118.95</v>
      </c>
      <c r="F144" s="43">
        <f>VLOOKUP(B144,Feb!$B$6:$F$305,5,FALSE)</f>
        <v>1504.23</v>
      </c>
      <c r="G144" s="126">
        <f>E144+F144</f>
        <v>32623.18</v>
      </c>
      <c r="H144" s="127">
        <f>E144*D144</f>
        <v>2084969.6500000001</v>
      </c>
      <c r="I144" s="128">
        <f>F144*D144</f>
        <v>100783.41</v>
      </c>
      <c r="J144" s="128">
        <f>G144*D144</f>
        <v>2185753.06</v>
      </c>
      <c r="K144" s="44">
        <f t="shared" si="84"/>
        <v>1.2536892993277877E-3</v>
      </c>
      <c r="L144" s="45">
        <v>7801.0555939417973</v>
      </c>
      <c r="M144" s="45">
        <f>VLOOKUP(B144,Feb!$B$6:$M$305,12,FALSE)</f>
        <v>8851.2266282412584</v>
      </c>
      <c r="N144" s="45">
        <f>G144+L144+M144</f>
        <v>49275.462222183058</v>
      </c>
      <c r="O144" s="46">
        <f>N144*D144</f>
        <v>3301455.9688862651</v>
      </c>
      <c r="P144" s="47">
        <f>T144/D144</f>
        <v>78254.461044776108</v>
      </c>
      <c r="Q144" s="47">
        <v>198150</v>
      </c>
      <c r="R144" s="47">
        <f t="shared" si="75"/>
        <v>119895.53895522389</v>
      </c>
      <c r="S144" s="191">
        <f t="shared" si="85"/>
        <v>0.60507463515126869</v>
      </c>
      <c r="T144" s="42">
        <v>5243048.8899999997</v>
      </c>
      <c r="U144" s="48">
        <f t="shared" si="76"/>
        <v>0.62968246876032186</v>
      </c>
      <c r="V144" s="49"/>
      <c r="X144" s="112"/>
    </row>
    <row r="145" spans="1:24" x14ac:dyDescent="0.3">
      <c r="A145" s="40" t="str">
        <f>VLOOKUP(B145,Grupos!$A$2:$B$619,2,FALSE)</f>
        <v>TABLEROS 125 AMP COBRE 3 FASES</v>
      </c>
      <c r="B145" s="41" t="s">
        <v>217</v>
      </c>
      <c r="C145" s="41" t="s">
        <v>218</v>
      </c>
      <c r="D145" s="42">
        <v>42</v>
      </c>
      <c r="E145" s="43">
        <v>30932.05</v>
      </c>
      <c r="F145" s="43">
        <f>VLOOKUP(B145,Feb!$B$6:$F$305,5,FALSE)</f>
        <v>1465.03</v>
      </c>
      <c r="G145" s="126">
        <f>E145+F145</f>
        <v>32397.079999999998</v>
      </c>
      <c r="H145" s="127">
        <f>E145*D145</f>
        <v>1299146.0999999999</v>
      </c>
      <c r="I145" s="128">
        <f>F145*D145</f>
        <v>61531.26</v>
      </c>
      <c r="J145" s="128">
        <f>G145*D145</f>
        <v>1360677.3599999999</v>
      </c>
      <c r="K145" s="44">
        <f t="shared" si="84"/>
        <v>7.8044801916900145E-4</v>
      </c>
      <c r="L145" s="45">
        <v>7721.055170568121</v>
      </c>
      <c r="M145" s="45">
        <f>VLOOKUP(B145,Feb!$B$6:$M$305,12,FALSE)</f>
        <v>8620.5650380409188</v>
      </c>
      <c r="N145" s="45">
        <f>G145+L145+M145</f>
        <v>48738.700208609036</v>
      </c>
      <c r="O145" s="46">
        <f>N145*D145</f>
        <v>2047025.4087615795</v>
      </c>
      <c r="P145" s="47">
        <f>T145/D145</f>
        <v>79027.285000000003</v>
      </c>
      <c r="Q145" s="47">
        <v>190100</v>
      </c>
      <c r="R145" s="47">
        <f t="shared" si="75"/>
        <v>111072.715</v>
      </c>
      <c r="S145" s="191">
        <f t="shared" si="85"/>
        <v>0.58428571804313523</v>
      </c>
      <c r="T145" s="42">
        <v>3319145.97</v>
      </c>
      <c r="U145" s="48">
        <f t="shared" si="76"/>
        <v>0.61673256532359721</v>
      </c>
      <c r="V145" s="49"/>
      <c r="X145" s="112"/>
    </row>
    <row r="146" spans="1:24" x14ac:dyDescent="0.3">
      <c r="A146" s="40" t="str">
        <f>VLOOKUP(B146,Grupos!$A$2:$B$619,2,FALSE)</f>
        <v>TABLEROS 125 AMP COBRE 3 FASES</v>
      </c>
      <c r="B146" s="41" t="s">
        <v>219</v>
      </c>
      <c r="C146" s="41" t="s">
        <v>220</v>
      </c>
      <c r="D146" s="42">
        <v>132</v>
      </c>
      <c r="E146" s="43">
        <v>42343.48</v>
      </c>
      <c r="F146" s="43">
        <f>VLOOKUP(B146,Feb!$B$6:$F$305,5,FALSE)</f>
        <v>1915.8</v>
      </c>
      <c r="G146" s="126">
        <f>E146+F146</f>
        <v>44259.280000000006</v>
      </c>
      <c r="H146" s="127">
        <f>E146*D146</f>
        <v>5589339.3600000003</v>
      </c>
      <c r="I146" s="128">
        <f>F146*D146</f>
        <v>252885.6</v>
      </c>
      <c r="J146" s="128">
        <f>G146*D146</f>
        <v>5842224.9600000009</v>
      </c>
      <c r="K146" s="44">
        <f t="shared" si="84"/>
        <v>3.3509434577288035E-3</v>
      </c>
      <c r="L146" s="45">
        <v>10513.829918597334</v>
      </c>
      <c r="M146" s="45">
        <f>VLOOKUP(B146,Feb!$B$6:$M$305,12,FALSE)</f>
        <v>11272.996798617633</v>
      </c>
      <c r="N146" s="45">
        <f>G146+L146+M146</f>
        <v>66046.106717214978</v>
      </c>
      <c r="O146" s="46">
        <f>N146*D146</f>
        <v>8718086.0866723768</v>
      </c>
      <c r="P146" s="47">
        <f>T146/D146</f>
        <v>108455.26984848484</v>
      </c>
      <c r="Q146" s="47">
        <v>276800</v>
      </c>
      <c r="R146" s="47">
        <f t="shared" si="75"/>
        <v>168344.73015151516</v>
      </c>
      <c r="S146" s="191">
        <f t="shared" si="85"/>
        <v>0.60818182858206349</v>
      </c>
      <c r="T146" s="42">
        <v>14316095.619999999</v>
      </c>
      <c r="U146" s="48">
        <f t="shared" si="76"/>
        <v>0.608970931606028</v>
      </c>
      <c r="V146" s="49"/>
      <c r="X146" s="112"/>
    </row>
    <row r="147" spans="1:24" x14ac:dyDescent="0.3">
      <c r="A147" s="40" t="str">
        <f>VLOOKUP(B147,Grupos!$A$2:$B$619,2,FALSE)</f>
        <v>TABLEROS 125 AMP COBRE 3 FASES</v>
      </c>
      <c r="B147" s="41" t="s">
        <v>221</v>
      </c>
      <c r="C147" s="41" t="s">
        <v>222</v>
      </c>
      <c r="D147" s="42">
        <v>360</v>
      </c>
      <c r="E147" s="43">
        <v>42122.75</v>
      </c>
      <c r="F147" s="43">
        <f>VLOOKUP(B147,Feb!$B$6:$F$305,5,FALSE)</f>
        <v>1719.23</v>
      </c>
      <c r="G147" s="126">
        <f>E147+F147</f>
        <v>43841.98</v>
      </c>
      <c r="H147" s="127">
        <f>E147*D147</f>
        <v>15164190</v>
      </c>
      <c r="I147" s="128">
        <f>F147*D147</f>
        <v>618922.80000000005</v>
      </c>
      <c r="J147" s="128">
        <f>G147*D147</f>
        <v>15783112.800000001</v>
      </c>
      <c r="K147" s="44">
        <f t="shared" si="84"/>
        <v>9.0527699535479251E-3</v>
      </c>
      <c r="L147" s="45">
        <v>10407.706476243504</v>
      </c>
      <c r="M147" s="45">
        <f>VLOOKUP(B147,Feb!$B$6:$M$305,12,FALSE)</f>
        <v>10116.334839799245</v>
      </c>
      <c r="N147" s="45">
        <f>G147+L147+M147</f>
        <v>64366.021316042752</v>
      </c>
      <c r="O147" s="46">
        <f>N147*D147</f>
        <v>23171767.67377539</v>
      </c>
      <c r="P147" s="47">
        <f>T147/D147</f>
        <v>108244.49713888888</v>
      </c>
      <c r="Q147" s="47">
        <v>273000</v>
      </c>
      <c r="R147" s="47">
        <f t="shared" si="75"/>
        <v>164755.50286111113</v>
      </c>
      <c r="S147" s="191">
        <f t="shared" si="85"/>
        <v>0.60350001048026058</v>
      </c>
      <c r="T147" s="42">
        <v>38968018.969999999</v>
      </c>
      <c r="U147" s="48">
        <f t="shared" si="76"/>
        <v>0.59463550589047021</v>
      </c>
      <c r="V147" s="49"/>
      <c r="X147" s="112"/>
    </row>
    <row r="148" spans="1:24" x14ac:dyDescent="0.3">
      <c r="A148" s="40" t="str">
        <f>VLOOKUP(B148,Grupos!$A$2:$B$619,2,FALSE)</f>
        <v>TABLEROS 125 AMP COBRE 3 FASES</v>
      </c>
      <c r="B148" s="41" t="s">
        <v>223</v>
      </c>
      <c r="C148" s="41" t="s">
        <v>224</v>
      </c>
      <c r="D148" s="42">
        <v>145</v>
      </c>
      <c r="E148" s="43">
        <v>56770.37</v>
      </c>
      <c r="F148" s="43">
        <f>VLOOKUP(B148,Feb!$B$6:$F$305,5,FALSE)</f>
        <v>2162.14</v>
      </c>
      <c r="G148" s="126">
        <f>E148+F148</f>
        <v>58932.51</v>
      </c>
      <c r="H148" s="127">
        <f>E148*D148</f>
        <v>8231703.6500000004</v>
      </c>
      <c r="I148" s="128">
        <f>F148*D148</f>
        <v>313510.3</v>
      </c>
      <c r="J148" s="128">
        <f>G148*D148</f>
        <v>8545213.9500000011</v>
      </c>
      <c r="K148" s="44">
        <f t="shared" si="84"/>
        <v>4.901305406193295E-3</v>
      </c>
      <c r="L148" s="45">
        <v>14012.495041737493</v>
      </c>
      <c r="M148" s="45">
        <f>VLOOKUP(B148,Feb!$B$6:$M$305,12,FALSE)</f>
        <v>12722.516597851096</v>
      </c>
      <c r="N148" s="45">
        <f>G148+L148+M148</f>
        <v>85667.52163958858</v>
      </c>
      <c r="O148" s="46">
        <f>N148*D148</f>
        <v>12421790.637740344</v>
      </c>
      <c r="P148" s="47">
        <f>T148/D148</f>
        <v>146075.99268965519</v>
      </c>
      <c r="Q148" s="47">
        <v>375550</v>
      </c>
      <c r="R148" s="47">
        <f t="shared" si="75"/>
        <v>229474.00731034481</v>
      </c>
      <c r="S148" s="191">
        <f t="shared" si="85"/>
        <v>0.61103450222432376</v>
      </c>
      <c r="T148" s="42">
        <v>21181018.940000001</v>
      </c>
      <c r="U148" s="48">
        <f t="shared" si="76"/>
        <v>0.58645859639367959</v>
      </c>
      <c r="V148" s="49"/>
      <c r="X148" s="112"/>
    </row>
    <row r="149" spans="1:24" x14ac:dyDescent="0.3">
      <c r="A149" s="40" t="str">
        <f>VLOOKUP(B149,Grupos!$A$2:$B$619,2,FALSE)</f>
        <v>TABLEROS 175 AMP BIMETALICO</v>
      </c>
      <c r="B149" s="41" t="s">
        <v>225</v>
      </c>
      <c r="C149" s="41" t="s">
        <v>226</v>
      </c>
      <c r="D149" s="42">
        <v>61</v>
      </c>
      <c r="E149" s="43">
        <v>42971.51</v>
      </c>
      <c r="F149" s="43">
        <f>VLOOKUP(B149,Feb!$B$6:$F$305,5,FALSE)</f>
        <v>6319.71</v>
      </c>
      <c r="G149" s="126">
        <f t="shared" ref="G149:G160" si="93">E149+F149</f>
        <v>49291.22</v>
      </c>
      <c r="H149" s="127">
        <f t="shared" ref="H149:H160" si="94">E149*D149</f>
        <v>2621262.1100000003</v>
      </c>
      <c r="I149" s="128">
        <f t="shared" ref="I149:I160" si="95">F149*D149</f>
        <v>385502.31</v>
      </c>
      <c r="J149" s="128">
        <f t="shared" ref="J149:J160" si="96">G149*D149</f>
        <v>3006764.42</v>
      </c>
      <c r="K149" s="44">
        <f t="shared" si="84"/>
        <v>1.7245993831313778E-3</v>
      </c>
      <c r="L149" s="45">
        <v>12286.163806606795</v>
      </c>
      <c r="M149" s="45">
        <f>VLOOKUP(B149,Feb!$B$6:$M$305,12,FALSE)</f>
        <v>37186.590770535469</v>
      </c>
      <c r="N149" s="45">
        <f t="shared" ref="N149:N160" si="97">G149+L149+M149</f>
        <v>98763.974577142275</v>
      </c>
      <c r="O149" s="46">
        <f t="shared" ref="O149:O160" si="98">N149*D149</f>
        <v>6024602.4492056789</v>
      </c>
      <c r="P149" s="47">
        <f t="shared" ref="P149:P160" si="99">T149/D149</f>
        <v>115057.02770491804</v>
      </c>
      <c r="Q149" s="47">
        <v>306350</v>
      </c>
      <c r="R149" s="47">
        <f t="shared" si="75"/>
        <v>191292.97229508194</v>
      </c>
      <c r="S149" s="191">
        <f t="shared" si="85"/>
        <v>0.62442621934089093</v>
      </c>
      <c r="T149" s="42">
        <v>7018478.6900000004</v>
      </c>
      <c r="U149" s="48">
        <f t="shared" si="76"/>
        <v>0.85839149982596563</v>
      </c>
      <c r="V149" s="49"/>
      <c r="X149" s="112"/>
    </row>
    <row r="150" spans="1:24" x14ac:dyDescent="0.3">
      <c r="A150" s="40" t="str">
        <f>VLOOKUP(B150,Grupos!$A$2:$B$619,2,FALSE)</f>
        <v>TABLEROS 175 AMP BIMETALICO</v>
      </c>
      <c r="B150" s="41" t="s">
        <v>227</v>
      </c>
      <c r="C150" s="41" t="s">
        <v>228</v>
      </c>
      <c r="D150" s="42">
        <v>146</v>
      </c>
      <c r="E150" s="43">
        <v>58005.17</v>
      </c>
      <c r="F150" s="43">
        <f>VLOOKUP(B150,Feb!$B$6:$F$305,5,FALSE)</f>
        <v>7019.5</v>
      </c>
      <c r="G150" s="126">
        <f t="shared" si="93"/>
        <v>65024.67</v>
      </c>
      <c r="H150" s="127">
        <f t="shared" si="94"/>
        <v>8468754.8200000003</v>
      </c>
      <c r="I150" s="128">
        <f t="shared" si="95"/>
        <v>1024847</v>
      </c>
      <c r="J150" s="128">
        <f t="shared" si="96"/>
        <v>9493601.8200000003</v>
      </c>
      <c r="K150" s="44">
        <f t="shared" si="84"/>
        <v>5.4452752379140256E-3</v>
      </c>
      <c r="L150" s="45">
        <v>15985.400026163921</v>
      </c>
      <c r="M150" s="45">
        <f>VLOOKUP(B150,Feb!$B$6:$M$305,12,FALSE)</f>
        <v>41304.312051308319</v>
      </c>
      <c r="N150" s="45">
        <f t="shared" si="97"/>
        <v>122314.38207747223</v>
      </c>
      <c r="O150" s="46">
        <f t="shared" si="98"/>
        <v>17857899.783310946</v>
      </c>
      <c r="P150" s="47">
        <f t="shared" si="99"/>
        <v>207869.36842465753</v>
      </c>
      <c r="Q150" s="47">
        <v>511700</v>
      </c>
      <c r="R150" s="47">
        <f t="shared" si="75"/>
        <v>303830.6315753425</v>
      </c>
      <c r="S150" s="191">
        <f t="shared" si="85"/>
        <v>0.59376711271319615</v>
      </c>
      <c r="T150" s="42">
        <v>30348927.789999999</v>
      </c>
      <c r="U150" s="48">
        <f t="shared" si="76"/>
        <v>0.5884194626867556</v>
      </c>
      <c r="V150" s="49"/>
      <c r="X150" s="112"/>
    </row>
    <row r="151" spans="1:24" x14ac:dyDescent="0.3">
      <c r="A151" s="40" t="str">
        <f>VLOOKUP(B151,Grupos!$A$2:$B$619,2,FALSE)</f>
        <v>TABLEROS 175 AMP BIMETALICO</v>
      </c>
      <c r="B151" s="41" t="s">
        <v>229</v>
      </c>
      <c r="C151" s="41" t="s">
        <v>230</v>
      </c>
      <c r="D151" s="42">
        <v>138</v>
      </c>
      <c r="E151" s="43">
        <v>52328.02</v>
      </c>
      <c r="F151" s="43">
        <f>VLOOKUP(B151,Feb!$B$6:$F$305,5,FALSE)</f>
        <v>6824.13</v>
      </c>
      <c r="G151" s="126">
        <f t="shared" si="93"/>
        <v>59152.149999999994</v>
      </c>
      <c r="H151" s="127">
        <f t="shared" si="94"/>
        <v>7221266.7599999998</v>
      </c>
      <c r="I151" s="128">
        <f t="shared" si="95"/>
        <v>941729.94000000006</v>
      </c>
      <c r="J151" s="128">
        <f t="shared" si="96"/>
        <v>8162996.6999999993</v>
      </c>
      <c r="K151" s="44">
        <f t="shared" si="84"/>
        <v>4.6820758486038868E-3</v>
      </c>
      <c r="L151" s="45">
        <v>14617.920042224765</v>
      </c>
      <c r="M151" s="45">
        <f>VLOOKUP(B151,Feb!$B$6:$M$305,12,FALSE)</f>
        <v>40154.711161577696</v>
      </c>
      <c r="N151" s="45">
        <f t="shared" si="97"/>
        <v>113924.78120380246</v>
      </c>
      <c r="O151" s="46">
        <f t="shared" si="98"/>
        <v>15721619.806124739</v>
      </c>
      <c r="P151" s="47">
        <f t="shared" si="99"/>
        <v>150284.15420289856</v>
      </c>
      <c r="Q151" s="47">
        <v>379700</v>
      </c>
      <c r="R151" s="47">
        <f t="shared" si="75"/>
        <v>229415.84579710144</v>
      </c>
      <c r="S151" s="191">
        <f t="shared" si="85"/>
        <v>0.60420291229154977</v>
      </c>
      <c r="T151" s="42">
        <v>20739213.280000001</v>
      </c>
      <c r="U151" s="48">
        <f t="shared" si="76"/>
        <v>0.75806249706135131</v>
      </c>
      <c r="V151" s="49"/>
      <c r="X151" s="112"/>
    </row>
    <row r="152" spans="1:24" x14ac:dyDescent="0.3">
      <c r="A152" s="40" t="str">
        <f>VLOOKUP(B152,Grupos!$A$2:$B$619,2,FALSE)</f>
        <v>TABLEROS 175 AMP BIMETALICO</v>
      </c>
      <c r="B152" s="41" t="s">
        <v>231</v>
      </c>
      <c r="C152" s="41" t="s">
        <v>232</v>
      </c>
      <c r="D152" s="42">
        <v>142</v>
      </c>
      <c r="E152" s="43">
        <v>67649.66</v>
      </c>
      <c r="F152" s="43">
        <f>VLOOKUP(B152,Feb!$B$6:$F$305,5,FALSE)</f>
        <v>7523.99</v>
      </c>
      <c r="G152" s="126">
        <f t="shared" si="93"/>
        <v>75173.650000000009</v>
      </c>
      <c r="H152" s="127">
        <f t="shared" si="94"/>
        <v>9606251.7200000007</v>
      </c>
      <c r="I152" s="128">
        <f t="shared" si="95"/>
        <v>1068406.58</v>
      </c>
      <c r="J152" s="128">
        <f t="shared" si="96"/>
        <v>10674658.300000001</v>
      </c>
      <c r="K152" s="44">
        <f t="shared" si="84"/>
        <v>6.1226975405403545E-3</v>
      </c>
      <c r="L152" s="45">
        <v>18463.786485658809</v>
      </c>
      <c r="M152" s="45">
        <f>VLOOKUP(B152,Feb!$B$6:$M$305,12,FALSE)</f>
        <v>44272.84433804734</v>
      </c>
      <c r="N152" s="45">
        <f t="shared" si="97"/>
        <v>137910.28082370615</v>
      </c>
      <c r="O152" s="46">
        <f t="shared" si="98"/>
        <v>19583259.876966275</v>
      </c>
      <c r="P152" s="47">
        <f t="shared" si="99"/>
        <v>243133.57161971834</v>
      </c>
      <c r="Q152" s="47">
        <v>613450</v>
      </c>
      <c r="R152" s="47">
        <f t="shared" si="75"/>
        <v>370316.42838028166</v>
      </c>
      <c r="S152" s="191">
        <f t="shared" si="85"/>
        <v>0.60366195839967673</v>
      </c>
      <c r="T152" s="42">
        <v>34524967.170000002</v>
      </c>
      <c r="U152" s="48">
        <f t="shared" si="76"/>
        <v>0.56722023168157798</v>
      </c>
      <c r="V152" s="49"/>
      <c r="X152" s="112"/>
    </row>
    <row r="153" spans="1:24" x14ac:dyDescent="0.3">
      <c r="A153" s="40" t="str">
        <f>VLOOKUP(B153,Grupos!$A$2:$B$619,2,FALSE)</f>
        <v>TABLEROS 175 AMP BIMETALICO</v>
      </c>
      <c r="B153" s="41" t="s">
        <v>233</v>
      </c>
      <c r="C153" s="41" t="s">
        <v>234</v>
      </c>
      <c r="D153" s="42">
        <v>213</v>
      </c>
      <c r="E153" s="43">
        <v>61023.83</v>
      </c>
      <c r="F153" s="43">
        <f>VLOOKUP(B153,Feb!$B$6:$F$305,5,FALSE)</f>
        <v>6733.26</v>
      </c>
      <c r="G153" s="126">
        <f t="shared" si="93"/>
        <v>67757.09</v>
      </c>
      <c r="H153" s="127">
        <f t="shared" si="94"/>
        <v>12998075.790000001</v>
      </c>
      <c r="I153" s="128">
        <f t="shared" si="95"/>
        <v>1434184.3800000001</v>
      </c>
      <c r="J153" s="128">
        <f t="shared" si="96"/>
        <v>14432260.17</v>
      </c>
      <c r="K153" s="44">
        <f t="shared" si="84"/>
        <v>8.2779571358548784E-3</v>
      </c>
      <c r="L153" s="45">
        <v>16885.514683038153</v>
      </c>
      <c r="M153" s="45">
        <f>VLOOKUP(B153,Feb!$B$6:$M$305,12,FALSE)</f>
        <v>39620.011704906654</v>
      </c>
      <c r="N153" s="45">
        <f t="shared" si="97"/>
        <v>124262.61638794481</v>
      </c>
      <c r="O153" s="46">
        <f t="shared" si="98"/>
        <v>26467937.290632244</v>
      </c>
      <c r="P153" s="47">
        <f t="shared" si="99"/>
        <v>170801.95591549296</v>
      </c>
      <c r="Q153" s="47">
        <v>453400</v>
      </c>
      <c r="R153" s="47">
        <f t="shared" si="75"/>
        <v>282598.04408450704</v>
      </c>
      <c r="S153" s="191">
        <f t="shared" si="85"/>
        <v>0.62328637866013903</v>
      </c>
      <c r="T153" s="42">
        <v>36380816.609999999</v>
      </c>
      <c r="U153" s="48">
        <f t="shared" si="76"/>
        <v>0.72752455158900964</v>
      </c>
      <c r="V153" s="49"/>
      <c r="X153" s="112"/>
    </row>
    <row r="154" spans="1:24" x14ac:dyDescent="0.3">
      <c r="A154" s="40" t="str">
        <f>VLOOKUP(B154,Grupos!$A$2:$B$619,2,FALSE)</f>
        <v>TABLEROS 175 AMP BIMETALICO</v>
      </c>
      <c r="B154" s="41" t="s">
        <v>235</v>
      </c>
      <c r="C154" s="41" t="s">
        <v>236</v>
      </c>
      <c r="D154" s="42">
        <v>103</v>
      </c>
      <c r="E154" s="43">
        <v>67224.039999999994</v>
      </c>
      <c r="F154" s="43">
        <f>VLOOKUP(B154,Feb!$B$6:$F$305,5,FALSE)</f>
        <v>7772.76</v>
      </c>
      <c r="G154" s="126">
        <f t="shared" si="93"/>
        <v>74996.799999999988</v>
      </c>
      <c r="H154" s="127">
        <f t="shared" si="94"/>
        <v>6924076.1199999992</v>
      </c>
      <c r="I154" s="128">
        <f t="shared" si="95"/>
        <v>800594.28</v>
      </c>
      <c r="J154" s="128">
        <f t="shared" si="96"/>
        <v>7724670.3999999985</v>
      </c>
      <c r="K154" s="44">
        <f t="shared" si="84"/>
        <v>4.4306636456517643E-3</v>
      </c>
      <c r="L154" s="45">
        <v>18422.231304381818</v>
      </c>
      <c r="M154" s="45">
        <f>VLOOKUP(B154,Feb!$B$6:$M$305,12,FALSE)</f>
        <v>45736.662802183528</v>
      </c>
      <c r="N154" s="45">
        <f t="shared" si="97"/>
        <v>139155.69410656532</v>
      </c>
      <c r="O154" s="46">
        <f t="shared" si="98"/>
        <v>14333036.492976228</v>
      </c>
      <c r="P154" s="47">
        <f t="shared" si="99"/>
        <v>280608.79640776699</v>
      </c>
      <c r="Q154" s="47">
        <v>716300</v>
      </c>
      <c r="R154" s="47">
        <f t="shared" si="75"/>
        <v>435691.20359223301</v>
      </c>
      <c r="S154" s="191">
        <f t="shared" si="85"/>
        <v>0.60825241322383505</v>
      </c>
      <c r="T154" s="42">
        <v>28902706.030000001</v>
      </c>
      <c r="U154" s="48">
        <f t="shared" si="76"/>
        <v>0.49590638600064074</v>
      </c>
      <c r="V154" s="49"/>
      <c r="X154" s="112"/>
    </row>
    <row r="155" spans="1:24" x14ac:dyDescent="0.3">
      <c r="A155" s="40" t="str">
        <f>VLOOKUP(B155,Grupos!$A$2:$B$619,2,FALSE)</f>
        <v>TABLEROS 175 AMP BIMETALICO</v>
      </c>
      <c r="B155" s="41" t="s">
        <v>237</v>
      </c>
      <c r="C155" s="41" t="s">
        <v>238</v>
      </c>
      <c r="D155" s="42">
        <v>4</v>
      </c>
      <c r="E155" s="43">
        <v>62606.75</v>
      </c>
      <c r="F155" s="43">
        <f>VLOOKUP(B155,Feb!$B$6:$F$305,5,FALSE)</f>
        <v>11113.38</v>
      </c>
      <c r="G155" s="126">
        <f t="shared" si="93"/>
        <v>73720.13</v>
      </c>
      <c r="H155" s="127">
        <f t="shared" si="94"/>
        <v>250427</v>
      </c>
      <c r="I155" s="128">
        <f t="shared" si="95"/>
        <v>44453.52</v>
      </c>
      <c r="J155" s="128">
        <f t="shared" si="96"/>
        <v>294880.52</v>
      </c>
      <c r="K155" s="44">
        <f t="shared" si="84"/>
        <v>1.6913555299069954E-4</v>
      </c>
      <c r="L155" s="45">
        <v>18019.521213261207</v>
      </c>
      <c r="M155" s="45">
        <f>VLOOKUP(B155,Feb!$B$6:$M$305,12,FALSE)</f>
        <v>65393.619982159529</v>
      </c>
      <c r="N155" s="45">
        <f t="shared" si="97"/>
        <v>157133.27119542073</v>
      </c>
      <c r="O155" s="46">
        <f t="shared" si="98"/>
        <v>628533.08478168293</v>
      </c>
      <c r="P155" s="47">
        <f t="shared" si="99"/>
        <v>176104.495</v>
      </c>
      <c r="Q155" s="47">
        <v>451550</v>
      </c>
      <c r="R155" s="47">
        <f t="shared" si="75"/>
        <v>275445.505</v>
      </c>
      <c r="S155" s="191">
        <f t="shared" si="85"/>
        <v>0.61000001107297086</v>
      </c>
      <c r="T155" s="42">
        <v>704417.98</v>
      </c>
      <c r="U155" s="48">
        <f t="shared" si="76"/>
        <v>0.89227291555176225</v>
      </c>
      <c r="V155" s="49"/>
      <c r="X155" s="112"/>
    </row>
    <row r="156" spans="1:24" x14ac:dyDescent="0.3">
      <c r="A156" s="40" t="str">
        <f>VLOOKUP(B156,Grupos!$A$2:$B$619,2,FALSE)</f>
        <v>TABLEROS 175 AMP BIMETALICO</v>
      </c>
      <c r="B156" s="41" t="s">
        <v>239</v>
      </c>
      <c r="C156" s="41" t="s">
        <v>240</v>
      </c>
      <c r="D156" s="42">
        <v>11</v>
      </c>
      <c r="E156" s="43">
        <v>78521.42</v>
      </c>
      <c r="F156" s="43">
        <f>VLOOKUP(B156,Feb!$B$6:$F$305,5,FALSE)</f>
        <v>11694.84</v>
      </c>
      <c r="G156" s="126">
        <f t="shared" si="93"/>
        <v>90216.26</v>
      </c>
      <c r="H156" s="127">
        <f t="shared" si="94"/>
        <v>863735.62</v>
      </c>
      <c r="I156" s="128">
        <f t="shared" si="95"/>
        <v>128643.24</v>
      </c>
      <c r="J156" s="128">
        <f t="shared" si="96"/>
        <v>992378.86</v>
      </c>
      <c r="K156" s="44">
        <f t="shared" si="84"/>
        <v>5.6920188306226532E-4</v>
      </c>
      <c r="L156" s="45">
        <v>22012.227090388533</v>
      </c>
      <c r="M156" s="45">
        <f>VLOOKUP(B156,Feb!$B$6:$M$305,12,FALSE)</f>
        <v>68815.061008636316</v>
      </c>
      <c r="N156" s="45">
        <f t="shared" si="97"/>
        <v>181043.54809902486</v>
      </c>
      <c r="O156" s="46">
        <f t="shared" si="98"/>
        <v>1991479.0290892734</v>
      </c>
      <c r="P156" s="47">
        <f t="shared" si="99"/>
        <v>340837.00545454543</v>
      </c>
      <c r="Q156" s="47">
        <v>941800</v>
      </c>
      <c r="R156" s="47">
        <f t="shared" si="75"/>
        <v>600962.99454545463</v>
      </c>
      <c r="S156" s="191">
        <f t="shared" si="85"/>
        <v>0.63810044016293754</v>
      </c>
      <c r="T156" s="42">
        <v>3749207.06</v>
      </c>
      <c r="U156" s="48">
        <f t="shared" si="76"/>
        <v>0.53117339139153152</v>
      </c>
      <c r="V156" s="49"/>
      <c r="X156" s="112"/>
    </row>
    <row r="157" spans="1:24" x14ac:dyDescent="0.3">
      <c r="A157" s="40" t="str">
        <f>VLOOKUP(B157,Grupos!$A$2:$B$619,2,FALSE)</f>
        <v>TABLEROS 175 AMP BIMETALICO</v>
      </c>
      <c r="B157" s="41" t="s">
        <v>241</v>
      </c>
      <c r="C157" s="41" t="s">
        <v>242</v>
      </c>
      <c r="D157" s="42">
        <v>31</v>
      </c>
      <c r="E157" s="43">
        <v>80047.100000000006</v>
      </c>
      <c r="F157" s="43">
        <f>VLOOKUP(B157,Feb!$B$6:$F$305,5,FALSE)</f>
        <v>7722.66</v>
      </c>
      <c r="G157" s="126">
        <f t="shared" si="93"/>
        <v>87769.760000000009</v>
      </c>
      <c r="H157" s="127">
        <f t="shared" si="94"/>
        <v>2481460.1</v>
      </c>
      <c r="I157" s="128">
        <f t="shared" si="95"/>
        <v>239402.46</v>
      </c>
      <c r="J157" s="128">
        <f t="shared" si="96"/>
        <v>2720862.5600000005</v>
      </c>
      <c r="K157" s="44">
        <f t="shared" si="84"/>
        <v>1.5606137485693883E-3</v>
      </c>
      <c r="L157" s="45">
        <v>21499.364504945042</v>
      </c>
      <c r="M157" s="45">
        <f>VLOOKUP(B157,Feb!$B$6:$M$305,12,FALSE)</f>
        <v>45441.863167769312</v>
      </c>
      <c r="N157" s="45">
        <f t="shared" si="97"/>
        <v>154710.98767271437</v>
      </c>
      <c r="O157" s="46">
        <f t="shared" si="98"/>
        <v>4796040.6178541454</v>
      </c>
      <c r="P157" s="47">
        <f t="shared" si="99"/>
        <v>249486.39322580647</v>
      </c>
      <c r="Q157" s="47">
        <v>641300</v>
      </c>
      <c r="R157" s="47">
        <f t="shared" si="75"/>
        <v>391813.60677419353</v>
      </c>
      <c r="S157" s="191">
        <f t="shared" si="85"/>
        <v>0.61096773237828395</v>
      </c>
      <c r="T157" s="42">
        <v>7734078.1900000004</v>
      </c>
      <c r="U157" s="48">
        <f t="shared" si="76"/>
        <v>0.62011793778543955</v>
      </c>
      <c r="V157" s="49"/>
      <c r="X157" s="112"/>
    </row>
    <row r="158" spans="1:24" x14ac:dyDescent="0.3">
      <c r="A158" s="40" t="str">
        <f>VLOOKUP(B158,Grupos!$A$2:$B$619,2,FALSE)</f>
        <v>TABLEROS 175 AMP BIMETALICO</v>
      </c>
      <c r="B158" s="41" t="s">
        <v>243</v>
      </c>
      <c r="C158" s="41" t="s">
        <v>244</v>
      </c>
      <c r="D158" s="42">
        <v>34</v>
      </c>
      <c r="E158" s="43">
        <v>95739.42</v>
      </c>
      <c r="F158" s="43">
        <f>VLOOKUP(B158,Feb!$B$6:$F$305,5,FALSE)</f>
        <v>8673.58</v>
      </c>
      <c r="G158" s="126">
        <f t="shared" si="93"/>
        <v>104413</v>
      </c>
      <c r="H158" s="127">
        <f t="shared" si="94"/>
        <v>3255140.28</v>
      </c>
      <c r="I158" s="128">
        <f t="shared" si="95"/>
        <v>294901.71999999997</v>
      </c>
      <c r="J158" s="128">
        <f t="shared" si="96"/>
        <v>3550042</v>
      </c>
      <c r="K158" s="44">
        <f t="shared" si="84"/>
        <v>2.036208823866049E-3</v>
      </c>
      <c r="L158" s="45">
        <v>25359.125771126477</v>
      </c>
      <c r="M158" s="45">
        <f>VLOOKUP(B158,Feb!$B$6:$M$305,12,FALSE)</f>
        <v>51037.289681884293</v>
      </c>
      <c r="N158" s="45">
        <f t="shared" si="97"/>
        <v>180809.41545301076</v>
      </c>
      <c r="O158" s="46">
        <f t="shared" si="98"/>
        <v>6147520.1254023658</v>
      </c>
      <c r="P158" s="47">
        <f t="shared" si="99"/>
        <v>369241.01088235294</v>
      </c>
      <c r="Q158" s="47">
        <v>923450</v>
      </c>
      <c r="R158" s="47">
        <f t="shared" si="75"/>
        <v>554208.98911764706</v>
      </c>
      <c r="S158" s="191">
        <f t="shared" si="85"/>
        <v>0.60015051071270464</v>
      </c>
      <c r="T158" s="42">
        <v>12554194.369999999</v>
      </c>
      <c r="U158" s="48">
        <f t="shared" si="76"/>
        <v>0.48967858424214966</v>
      </c>
      <c r="V158" s="49"/>
      <c r="X158" s="112"/>
    </row>
    <row r="159" spans="1:24" x14ac:dyDescent="0.3">
      <c r="A159" s="40" t="str">
        <f>VLOOKUP(B159,Grupos!$A$2:$B$619,2,FALSE)</f>
        <v>TABLEROS 175 AMP BIMETALICO</v>
      </c>
      <c r="B159" s="41" t="s">
        <v>647</v>
      </c>
      <c r="C159" s="41" t="s">
        <v>648</v>
      </c>
      <c r="D159" s="42">
        <v>4</v>
      </c>
      <c r="E159" s="43">
        <v>69270.83</v>
      </c>
      <c r="F159" s="43">
        <f>VLOOKUP(B159,Feb!$B$6:$F$305,5,FALSE)</f>
        <v>6260.94</v>
      </c>
      <c r="G159" s="126">
        <f t="shared" si="93"/>
        <v>75531.77</v>
      </c>
      <c r="H159" s="127">
        <f t="shared" si="94"/>
        <v>277083.32</v>
      </c>
      <c r="I159" s="128">
        <f t="shared" si="95"/>
        <v>25043.759999999998</v>
      </c>
      <c r="J159" s="128">
        <f t="shared" si="96"/>
        <v>302127.08</v>
      </c>
      <c r="K159" s="44">
        <f t="shared" si="84"/>
        <v>1.7329198534126743E-4</v>
      </c>
      <c r="L159" s="45">
        <v>18533.507419965605</v>
      </c>
      <c r="M159" s="45">
        <f>VLOOKUP(B159,Feb!$B$6:$M$305,12,FALSE)</f>
        <v>36840.774911962151</v>
      </c>
      <c r="N159" s="45">
        <f t="shared" si="97"/>
        <v>130906.05233192776</v>
      </c>
      <c r="O159" s="46">
        <f t="shared" si="98"/>
        <v>523624.20932771103</v>
      </c>
      <c r="P159" s="47">
        <f t="shared" si="99"/>
        <v>325657.75750000001</v>
      </c>
      <c r="Q159" s="47">
        <v>824450</v>
      </c>
      <c r="R159" s="47">
        <f t="shared" si="75"/>
        <v>498792.24249999999</v>
      </c>
      <c r="S159" s="191">
        <f t="shared" si="85"/>
        <v>0.60499999090302625</v>
      </c>
      <c r="T159" s="42">
        <v>1302631.03</v>
      </c>
      <c r="U159" s="48">
        <f t="shared" si="76"/>
        <v>0.40197430989165905</v>
      </c>
      <c r="V159" s="49"/>
      <c r="X159" s="112"/>
    </row>
    <row r="160" spans="1:24" x14ac:dyDescent="0.3">
      <c r="A160" s="40" t="str">
        <f>VLOOKUP(B160,Grupos!$A$2:$B$619,2,FALSE)</f>
        <v>TABLEROS 175 AMP BIMETALICO</v>
      </c>
      <c r="B160" s="41" t="s">
        <v>245</v>
      </c>
      <c r="C160" s="41" t="s">
        <v>246</v>
      </c>
      <c r="D160" s="42">
        <v>12</v>
      </c>
      <c r="E160" s="43">
        <v>92736.09</v>
      </c>
      <c r="F160" s="43">
        <f>VLOOKUP(B160,Feb!$B$6:$F$305,5,FALSE)</f>
        <v>7852.52</v>
      </c>
      <c r="G160" s="126">
        <f t="shared" si="93"/>
        <v>100588.61</v>
      </c>
      <c r="H160" s="127">
        <f t="shared" si="94"/>
        <v>1112833.08</v>
      </c>
      <c r="I160" s="128">
        <f t="shared" si="95"/>
        <v>94230.24</v>
      </c>
      <c r="J160" s="128">
        <f t="shared" si="96"/>
        <v>1207063.32</v>
      </c>
      <c r="K160" s="44">
        <f t="shared" si="84"/>
        <v>6.9233912814244125E-4</v>
      </c>
      <c r="L160" s="45">
        <v>25465.959116452679</v>
      </c>
      <c r="M160" s="45">
        <f>VLOOKUP(B160,Feb!$B$6:$M$305,12,FALSE)</f>
        <v>46205.98852755034</v>
      </c>
      <c r="N160" s="45">
        <f t="shared" si="97"/>
        <v>172260.55764400301</v>
      </c>
      <c r="O160" s="46">
        <f t="shared" si="98"/>
        <v>2067126.6917280362</v>
      </c>
      <c r="P160" s="47">
        <f t="shared" si="99"/>
        <v>408733.51333333337</v>
      </c>
      <c r="Q160" s="47">
        <v>1112200</v>
      </c>
      <c r="R160" s="47">
        <f t="shared" si="75"/>
        <v>703466.48666666658</v>
      </c>
      <c r="S160" s="191">
        <f t="shared" si="85"/>
        <v>0.63249998801174845</v>
      </c>
      <c r="T160" s="42">
        <v>4904802.16</v>
      </c>
      <c r="U160" s="48">
        <f t="shared" si="76"/>
        <v>0.42144955582225485</v>
      </c>
      <c r="V160" s="49"/>
      <c r="X160" s="112"/>
    </row>
    <row r="161" spans="1:24" x14ac:dyDescent="0.3">
      <c r="A161" s="40" t="str">
        <f>VLOOKUP(B161,Grupos!$A$2:$B$619,2,FALSE)</f>
        <v>TABLEROS 225 AMP COBRE</v>
      </c>
      <c r="B161" s="41" t="s">
        <v>247</v>
      </c>
      <c r="C161" s="41" t="s">
        <v>248</v>
      </c>
      <c r="D161" s="42">
        <v>76</v>
      </c>
      <c r="E161" s="43">
        <v>74497.64</v>
      </c>
      <c r="F161" s="43">
        <f>VLOOKUP(B161,Feb!$B$6:$F$305,5,FALSE)</f>
        <v>2824.89</v>
      </c>
      <c r="G161" s="126">
        <f t="shared" ref="G161:G202" si="100">E161+F161</f>
        <v>77322.53</v>
      </c>
      <c r="H161" s="127">
        <f t="shared" ref="H161:H202" si="101">E161*D161</f>
        <v>5661820.6399999997</v>
      </c>
      <c r="I161" s="128">
        <f t="shared" ref="I161:I202" si="102">F161*D161</f>
        <v>214691.63999999998</v>
      </c>
      <c r="J161" s="128">
        <f t="shared" ref="J161:J202" si="103">G161*D161</f>
        <v>5876512.2800000003</v>
      </c>
      <c r="K161" s="44">
        <f t="shared" si="84"/>
        <v>3.3706097443616709E-3</v>
      </c>
      <c r="L161" s="45">
        <v>18411.10322268902</v>
      </c>
      <c r="M161" s="45">
        <f>VLOOKUP(B161,Feb!$B$6:$M$305,12,FALSE)</f>
        <v>16622.286212781586</v>
      </c>
      <c r="N161" s="45">
        <f t="shared" ref="N161:N202" si="104">G161+L161+M161</f>
        <v>112355.91943547061</v>
      </c>
      <c r="O161" s="46">
        <f t="shared" ref="O161:O202" si="105">N161*D161</f>
        <v>8539049.8770957664</v>
      </c>
      <c r="P161" s="47">
        <f t="shared" ref="P161:P202" si="106">T161/D161</f>
        <v>236082.3614473684</v>
      </c>
      <c r="Q161" s="47">
        <v>588850</v>
      </c>
      <c r="R161" s="47">
        <f t="shared" si="75"/>
        <v>352767.6385526316</v>
      </c>
      <c r="S161" s="191">
        <f t="shared" si="85"/>
        <v>0.59907894803877315</v>
      </c>
      <c r="T161" s="42">
        <v>17942259.469999999</v>
      </c>
      <c r="U161" s="48">
        <f t="shared" si="76"/>
        <v>0.47591831404363072</v>
      </c>
      <c r="V161" s="49"/>
      <c r="X161" s="112"/>
    </row>
    <row r="162" spans="1:24" x14ac:dyDescent="0.3">
      <c r="A162" s="40" t="str">
        <f>VLOOKUP(B162,Grupos!$A$2:$B$619,2,FALSE)</f>
        <v>TABLEROS 225 AMP COBRE</v>
      </c>
      <c r="B162" s="41" t="s">
        <v>249</v>
      </c>
      <c r="C162" s="41" t="s">
        <v>250</v>
      </c>
      <c r="D162" s="42">
        <v>108</v>
      </c>
      <c r="E162" s="43">
        <v>75510.58</v>
      </c>
      <c r="F162" s="43">
        <f>VLOOKUP(B162,Feb!$B$6:$F$305,5,FALSE)</f>
        <v>7005.76</v>
      </c>
      <c r="G162" s="126">
        <f t="shared" si="100"/>
        <v>82516.34</v>
      </c>
      <c r="H162" s="127">
        <f t="shared" si="101"/>
        <v>8155142.6400000006</v>
      </c>
      <c r="I162" s="128">
        <f t="shared" si="102"/>
        <v>756622.08000000007</v>
      </c>
      <c r="J162" s="128">
        <f t="shared" si="103"/>
        <v>8911764.7199999988</v>
      </c>
      <c r="K162" s="44">
        <f t="shared" si="84"/>
        <v>5.1115490912733283E-3</v>
      </c>
      <c r="L162" s="45">
        <v>20116.551086936994</v>
      </c>
      <c r="M162" s="45">
        <f>VLOOKUP(B162,Feb!$B$6:$M$305,12,FALSE)</f>
        <v>41223.462810253404</v>
      </c>
      <c r="N162" s="45">
        <f t="shared" si="104"/>
        <v>143856.35389719039</v>
      </c>
      <c r="O162" s="46">
        <f t="shared" si="105"/>
        <v>15536486.220896563</v>
      </c>
      <c r="P162" s="47">
        <f t="shared" si="106"/>
        <v>223937.45712962965</v>
      </c>
      <c r="Q162" s="47">
        <v>571350</v>
      </c>
      <c r="R162" s="47">
        <f t="shared" si="75"/>
        <v>347412.54287037032</v>
      </c>
      <c r="S162" s="191">
        <f t="shared" si="85"/>
        <v>0.60805555766232666</v>
      </c>
      <c r="T162" s="42">
        <v>24185245.370000001</v>
      </c>
      <c r="U162" s="48">
        <f t="shared" si="76"/>
        <v>0.64239522829768014</v>
      </c>
      <c r="V162" s="49"/>
      <c r="X162" s="112"/>
    </row>
    <row r="163" spans="1:24" x14ac:dyDescent="0.3">
      <c r="A163" s="40" t="str">
        <f>VLOOKUP(B163,Grupos!$A$2:$B$619,2,FALSE)</f>
        <v>TABLEROS 225 AMP COBRE</v>
      </c>
      <c r="B163" s="41" t="s">
        <v>251</v>
      </c>
      <c r="C163" s="41" t="s">
        <v>252</v>
      </c>
      <c r="D163" s="42">
        <v>43</v>
      </c>
      <c r="E163" s="43">
        <v>76788.649999999994</v>
      </c>
      <c r="F163" s="43">
        <f>VLOOKUP(B163,Feb!$B$6:$F$305,5,FALSE)</f>
        <v>2151.94</v>
      </c>
      <c r="G163" s="126">
        <f t="shared" si="100"/>
        <v>78940.59</v>
      </c>
      <c r="H163" s="127">
        <f t="shared" si="101"/>
        <v>3301911.9499999997</v>
      </c>
      <c r="I163" s="128">
        <f t="shared" si="102"/>
        <v>92533.42</v>
      </c>
      <c r="J163" s="128">
        <f t="shared" si="103"/>
        <v>3394445.3699999996</v>
      </c>
      <c r="K163" s="44">
        <f t="shared" si="84"/>
        <v>1.9469627724193841E-3</v>
      </c>
      <c r="L163" s="45">
        <v>18850.229925889231</v>
      </c>
      <c r="M163" s="45">
        <f>VLOOKUP(B163,Feb!$B$6:$M$305,12,FALSE)</f>
        <v>12662.49751060509</v>
      </c>
      <c r="N163" s="45">
        <f t="shared" si="104"/>
        <v>110453.31743649431</v>
      </c>
      <c r="O163" s="46">
        <f t="shared" si="105"/>
        <v>4749492.649769255</v>
      </c>
      <c r="P163" s="47">
        <f t="shared" si="106"/>
        <v>170729.81116279069</v>
      </c>
      <c r="Q163" s="47">
        <v>447100</v>
      </c>
      <c r="R163" s="47">
        <f t="shared" si="75"/>
        <v>276370.18883720931</v>
      </c>
      <c r="S163" s="191">
        <f t="shared" si="85"/>
        <v>0.61813954112549607</v>
      </c>
      <c r="T163" s="42">
        <v>7341381.8799999999</v>
      </c>
      <c r="U163" s="48">
        <f t="shared" si="76"/>
        <v>0.64694804430596586</v>
      </c>
      <c r="V163" s="49"/>
      <c r="X163" s="112"/>
    </row>
    <row r="164" spans="1:24" x14ac:dyDescent="0.3">
      <c r="A164" s="40" t="str">
        <f>VLOOKUP(B164,Grupos!$A$2:$B$619,2,FALSE)</f>
        <v>TABLEROS 225 AMP COBRE</v>
      </c>
      <c r="B164" s="41" t="s">
        <v>253</v>
      </c>
      <c r="C164" s="41" t="s">
        <v>254</v>
      </c>
      <c r="D164" s="42">
        <v>15</v>
      </c>
      <c r="E164" s="43">
        <v>77610.14</v>
      </c>
      <c r="F164" s="43">
        <f>VLOOKUP(B164,Feb!$B$6:$F$305,5,FALSE)</f>
        <v>6485.47</v>
      </c>
      <c r="G164" s="126">
        <f t="shared" si="100"/>
        <v>84095.61</v>
      </c>
      <c r="H164" s="127">
        <f t="shared" si="101"/>
        <v>1164152.1000000001</v>
      </c>
      <c r="I164" s="128">
        <f t="shared" si="102"/>
        <v>97282.05</v>
      </c>
      <c r="J164" s="128">
        <f t="shared" si="103"/>
        <v>1261434.1499999999</v>
      </c>
      <c r="K164" s="44">
        <f t="shared" si="84"/>
        <v>7.2352477715924746E-4</v>
      </c>
      <c r="L164" s="45">
        <v>20479.859212418683</v>
      </c>
      <c r="M164" s="45">
        <f>VLOOKUP(B164,Feb!$B$6:$M$305,12,FALSE)</f>
        <v>38161.959780525474</v>
      </c>
      <c r="N164" s="45">
        <f t="shared" si="104"/>
        <v>142737.42899294416</v>
      </c>
      <c r="O164" s="46">
        <f t="shared" si="105"/>
        <v>2141061.4348941622</v>
      </c>
      <c r="P164" s="47">
        <f t="shared" si="106"/>
        <v>171705.59533333333</v>
      </c>
      <c r="Q164" s="47">
        <v>433600</v>
      </c>
      <c r="R164" s="47">
        <f t="shared" si="75"/>
        <v>261894.40466666667</v>
      </c>
      <c r="S164" s="191">
        <f t="shared" si="85"/>
        <v>0.60400001076260768</v>
      </c>
      <c r="T164" s="42">
        <v>2575583.9300000002</v>
      </c>
      <c r="U164" s="48">
        <f t="shared" si="76"/>
        <v>0.83129165776949154</v>
      </c>
      <c r="V164" s="49"/>
      <c r="X164" s="112"/>
    </row>
    <row r="165" spans="1:24" x14ac:dyDescent="0.3">
      <c r="A165" s="40" t="str">
        <f>VLOOKUP(B165,Grupos!$A$2:$B$619,2,FALSE)</f>
        <v>TABLEROS 225 AMP COBRE</v>
      </c>
      <c r="B165" s="41" t="s">
        <v>255</v>
      </c>
      <c r="C165" s="41" t="s">
        <v>256</v>
      </c>
      <c r="D165" s="42">
        <v>48</v>
      </c>
      <c r="E165" s="43">
        <v>91845.28</v>
      </c>
      <c r="F165" s="43">
        <f>VLOOKUP(B165,Feb!$B$6:$F$305,5,FALSE)</f>
        <v>3428.16</v>
      </c>
      <c r="G165" s="126">
        <f t="shared" si="100"/>
        <v>95273.44</v>
      </c>
      <c r="H165" s="127">
        <f t="shared" si="101"/>
        <v>4408573.4399999995</v>
      </c>
      <c r="I165" s="128">
        <f t="shared" si="102"/>
        <v>164551.67999999999</v>
      </c>
      <c r="J165" s="128">
        <f t="shared" si="103"/>
        <v>4573125.12</v>
      </c>
      <c r="K165" s="44">
        <f t="shared" si="84"/>
        <v>2.6230218464985723E-3</v>
      </c>
      <c r="L165" s="45">
        <v>22867.890537966014</v>
      </c>
      <c r="M165" s="45">
        <f>VLOOKUP(B165,Feb!$B$6:$M$305,12,FALSE)</f>
        <v>20172.062169928504</v>
      </c>
      <c r="N165" s="45">
        <f t="shared" si="104"/>
        <v>138313.39270789453</v>
      </c>
      <c r="O165" s="46">
        <f t="shared" si="105"/>
        <v>6639042.8499789368</v>
      </c>
      <c r="P165" s="47">
        <f t="shared" si="106"/>
        <v>285495.3222916667</v>
      </c>
      <c r="Q165" s="47">
        <v>716350</v>
      </c>
      <c r="R165" s="47">
        <f t="shared" si="75"/>
        <v>430854.6777083333</v>
      </c>
      <c r="S165" s="191">
        <f t="shared" si="85"/>
        <v>0.60145833420581185</v>
      </c>
      <c r="T165" s="42">
        <v>13703775.470000001</v>
      </c>
      <c r="U165" s="48">
        <f t="shared" si="76"/>
        <v>0.4844681572981826</v>
      </c>
      <c r="V165" s="49"/>
      <c r="X165" s="112"/>
    </row>
    <row r="166" spans="1:24" x14ac:dyDescent="0.3">
      <c r="A166" s="40" t="str">
        <f>VLOOKUP(B166,Grupos!$A$2:$B$619,2,FALSE)</f>
        <v>TABLEROS 225 AMP COBRE</v>
      </c>
      <c r="B166" s="41" t="s">
        <v>257</v>
      </c>
      <c r="C166" s="41" t="s">
        <v>258</v>
      </c>
      <c r="D166" s="42">
        <v>84</v>
      </c>
      <c r="E166" s="43">
        <v>92905.83</v>
      </c>
      <c r="F166" s="43">
        <f>VLOOKUP(B166,Feb!$B$6:$F$305,5,FALSE)</f>
        <v>7164.73</v>
      </c>
      <c r="G166" s="126">
        <f t="shared" si="100"/>
        <v>100070.56</v>
      </c>
      <c r="H166" s="127">
        <f t="shared" si="101"/>
        <v>7804089.7199999997</v>
      </c>
      <c r="I166" s="128">
        <f t="shared" si="102"/>
        <v>601837.31999999995</v>
      </c>
      <c r="J166" s="128">
        <f t="shared" si="103"/>
        <v>8405927.0399999991</v>
      </c>
      <c r="K166" s="44">
        <f t="shared" si="84"/>
        <v>4.8214141724583024E-3</v>
      </c>
      <c r="L166" s="45">
        <v>24388.639043775423</v>
      </c>
      <c r="M166" s="45">
        <f>VLOOKUP(B166,Feb!$B$6:$M$305,12,FALSE)</f>
        <v>42158.877937655139</v>
      </c>
      <c r="N166" s="45">
        <f t="shared" si="104"/>
        <v>166618.07698143055</v>
      </c>
      <c r="O166" s="46">
        <f t="shared" si="105"/>
        <v>13995918.466440167</v>
      </c>
      <c r="P166" s="47">
        <f t="shared" si="106"/>
        <v>275828.96630952385</v>
      </c>
      <c r="Q166" s="47">
        <v>694950</v>
      </c>
      <c r="R166" s="47">
        <f t="shared" si="75"/>
        <v>419121.03369047615</v>
      </c>
      <c r="S166" s="191">
        <f t="shared" si="85"/>
        <v>0.6030952351830724</v>
      </c>
      <c r="T166" s="42">
        <v>23169633.170000002</v>
      </c>
      <c r="U166" s="48">
        <f t="shared" si="76"/>
        <v>0.60406301488458858</v>
      </c>
      <c r="V166" s="49"/>
      <c r="X166" s="112"/>
    </row>
    <row r="167" spans="1:24" x14ac:dyDescent="0.3">
      <c r="A167" s="40" t="str">
        <f>VLOOKUP(B167,Grupos!$A$2:$B$619,2,FALSE)</f>
        <v>TABLEROS 225 AMP COBRE</v>
      </c>
      <c r="B167" s="41" t="s">
        <v>259</v>
      </c>
      <c r="C167" s="41" t="s">
        <v>260</v>
      </c>
      <c r="D167" s="42">
        <v>113</v>
      </c>
      <c r="E167" s="43">
        <v>92960.08</v>
      </c>
      <c r="F167" s="43">
        <f>VLOOKUP(B167,Feb!$B$6:$F$305,5,FALSE)</f>
        <v>2457.17</v>
      </c>
      <c r="G167" s="126">
        <f t="shared" si="100"/>
        <v>95417.25</v>
      </c>
      <c r="H167" s="127">
        <f t="shared" si="101"/>
        <v>10504489.040000001</v>
      </c>
      <c r="I167" s="128">
        <f t="shared" si="102"/>
        <v>277660.21000000002</v>
      </c>
      <c r="J167" s="128">
        <f t="shared" si="103"/>
        <v>10782149.25</v>
      </c>
      <c r="K167" s="44">
        <f t="shared" si="84"/>
        <v>6.1843514648814582E-3</v>
      </c>
      <c r="L167" s="45">
        <v>22752.385563285196</v>
      </c>
      <c r="M167" s="45">
        <f>VLOOKUP(B167,Feb!$B$6:$M$305,12,FALSE)</f>
        <v>14458.539275320645</v>
      </c>
      <c r="N167" s="45">
        <f t="shared" si="104"/>
        <v>132628.17483860583</v>
      </c>
      <c r="O167" s="46">
        <f t="shared" si="105"/>
        <v>14986983.75676246</v>
      </c>
      <c r="P167" s="47">
        <f t="shared" si="106"/>
        <v>217204.03353982299</v>
      </c>
      <c r="Q167" s="47">
        <v>541750</v>
      </c>
      <c r="R167" s="47">
        <f t="shared" si="75"/>
        <v>324545.96646017698</v>
      </c>
      <c r="S167" s="191">
        <f t="shared" si="85"/>
        <v>0.59906961967729944</v>
      </c>
      <c r="T167" s="42">
        <v>24544055.789999999</v>
      </c>
      <c r="U167" s="48">
        <f t="shared" si="76"/>
        <v>0.6106156164650105</v>
      </c>
      <c r="V167" s="49"/>
      <c r="X167" s="112"/>
    </row>
    <row r="168" spans="1:24" x14ac:dyDescent="0.3">
      <c r="A168" s="40" t="str">
        <f>VLOOKUP(B168,Grupos!$A$2:$B$619,2,FALSE)</f>
        <v>TABLEROS 225 AMP COBRE</v>
      </c>
      <c r="B168" s="41" t="s">
        <v>261</v>
      </c>
      <c r="C168" s="41" t="s">
        <v>262</v>
      </c>
      <c r="D168" s="42">
        <v>150</v>
      </c>
      <c r="E168" s="43">
        <v>93829.16</v>
      </c>
      <c r="F168" s="43">
        <f>VLOOKUP(B168,Feb!$B$6:$F$305,5,FALSE)</f>
        <v>6673.61</v>
      </c>
      <c r="G168" s="126">
        <f t="shared" si="100"/>
        <v>100502.77</v>
      </c>
      <c r="H168" s="127">
        <f t="shared" si="101"/>
        <v>14074374</v>
      </c>
      <c r="I168" s="128">
        <f t="shared" si="102"/>
        <v>1001041.5</v>
      </c>
      <c r="J168" s="128">
        <f t="shared" si="103"/>
        <v>15075415.5</v>
      </c>
      <c r="K168" s="44">
        <f t="shared" si="84"/>
        <v>8.6468537737150724E-3</v>
      </c>
      <c r="L168" s="45">
        <v>24423.635849910275</v>
      </c>
      <c r="M168" s="45">
        <f>VLOOKUP(B168,Feb!$B$6:$M$305,12,FALSE)</f>
        <v>39269.017729002306</v>
      </c>
      <c r="N168" s="45">
        <f t="shared" si="104"/>
        <v>164195.4235789126</v>
      </c>
      <c r="O168" s="46">
        <f t="shared" si="105"/>
        <v>24629313.536836889</v>
      </c>
      <c r="P168" s="47">
        <f t="shared" si="106"/>
        <v>207228.43953333332</v>
      </c>
      <c r="Q168" s="47">
        <v>523745</v>
      </c>
      <c r="R168" s="47">
        <f t="shared" si="75"/>
        <v>316516.56046666671</v>
      </c>
      <c r="S168" s="191">
        <f t="shared" si="85"/>
        <v>0.60433333104214204</v>
      </c>
      <c r="T168" s="42">
        <v>31084265.93</v>
      </c>
      <c r="U168" s="48">
        <f t="shared" si="76"/>
        <v>0.79234020170528408</v>
      </c>
      <c r="V168" s="49"/>
      <c r="X168" s="112"/>
    </row>
    <row r="169" spans="1:24" x14ac:dyDescent="0.3">
      <c r="A169" s="40" t="str">
        <f>VLOOKUP(B169,Grupos!$A$2:$B$619,2,FALSE)</f>
        <v>TABLEROS 225 AMP COBRE</v>
      </c>
      <c r="B169" s="41" t="s">
        <v>263</v>
      </c>
      <c r="C169" s="41" t="s">
        <v>264</v>
      </c>
      <c r="D169" s="42">
        <v>36</v>
      </c>
      <c r="E169" s="43">
        <v>99090.99</v>
      </c>
      <c r="F169" s="43">
        <f>VLOOKUP(B169,Feb!$B$6:$F$305,5,FALSE)</f>
        <v>2988.43</v>
      </c>
      <c r="G169" s="126">
        <f t="shared" si="100"/>
        <v>102079.42</v>
      </c>
      <c r="H169" s="127">
        <f t="shared" si="101"/>
        <v>3567275.64</v>
      </c>
      <c r="I169" s="128">
        <f t="shared" si="102"/>
        <v>107583.48</v>
      </c>
      <c r="J169" s="128">
        <f t="shared" si="103"/>
        <v>3674859.12</v>
      </c>
      <c r="K169" s="44">
        <f t="shared" si="84"/>
        <v>2.1078005743618311E-3</v>
      </c>
      <c r="L169" s="45">
        <v>24344.89773745105</v>
      </c>
      <c r="M169" s="45">
        <f>VLOOKUP(B169,Feb!$B$6:$M$305,12,FALSE)</f>
        <v>17584.592244959229</v>
      </c>
      <c r="N169" s="45">
        <f t="shared" si="104"/>
        <v>144008.90998241029</v>
      </c>
      <c r="O169" s="46">
        <f t="shared" si="105"/>
        <v>5184320.7593667703</v>
      </c>
      <c r="P169" s="47">
        <f t="shared" si="106"/>
        <v>326802.81972222222</v>
      </c>
      <c r="Q169" s="47">
        <v>824450</v>
      </c>
      <c r="R169" s="47">
        <f t="shared" si="75"/>
        <v>497647.18027777778</v>
      </c>
      <c r="S169" s="191">
        <f t="shared" si="85"/>
        <v>0.60361111077418617</v>
      </c>
      <c r="T169" s="42">
        <v>11764901.51</v>
      </c>
      <c r="U169" s="48">
        <f t="shared" si="76"/>
        <v>0.44065993709851042</v>
      </c>
      <c r="V169" s="49"/>
      <c r="X169" s="112"/>
    </row>
    <row r="170" spans="1:24" x14ac:dyDescent="0.3">
      <c r="A170" s="40" t="str">
        <f>VLOOKUP(B170,Grupos!$A$2:$B$619,2,FALSE)</f>
        <v>TABLEROS 225 AMP COBRE</v>
      </c>
      <c r="B170" s="41" t="s">
        <v>265</v>
      </c>
      <c r="C170" s="41" t="s">
        <v>266</v>
      </c>
      <c r="D170" s="42">
        <v>77</v>
      </c>
      <c r="E170" s="43">
        <v>100199.12</v>
      </c>
      <c r="F170" s="43">
        <f>VLOOKUP(B170,Feb!$B$6:$F$305,5,FALSE)</f>
        <v>7390.11</v>
      </c>
      <c r="G170" s="126">
        <f t="shared" si="100"/>
        <v>107589.23</v>
      </c>
      <c r="H170" s="127">
        <f t="shared" si="101"/>
        <v>7715332.2399999993</v>
      </c>
      <c r="I170" s="128">
        <f t="shared" si="102"/>
        <v>569038.47</v>
      </c>
      <c r="J170" s="128">
        <f t="shared" si="103"/>
        <v>8284370.71</v>
      </c>
      <c r="K170" s="44">
        <f t="shared" si="84"/>
        <v>4.7516927236014236E-3</v>
      </c>
      <c r="L170" s="45">
        <v>26125.146338400868</v>
      </c>
      <c r="M170" s="45">
        <f>VLOOKUP(B170,Feb!$B$6:$M$305,12,FALSE)</f>
        <v>43485.064396822294</v>
      </c>
      <c r="N170" s="45">
        <f t="shared" si="104"/>
        <v>177199.44073522318</v>
      </c>
      <c r="O170" s="46">
        <f t="shared" si="105"/>
        <v>13644356.936612185</v>
      </c>
      <c r="P170" s="47">
        <f t="shared" si="106"/>
        <v>316418.48038961034</v>
      </c>
      <c r="Q170" s="47">
        <v>799876</v>
      </c>
      <c r="R170" s="47">
        <f t="shared" si="75"/>
        <v>483457.51961038966</v>
      </c>
      <c r="S170" s="191">
        <f t="shared" si="85"/>
        <v>0.60441558392849604</v>
      </c>
      <c r="T170" s="42">
        <v>24364222.989999998</v>
      </c>
      <c r="U170" s="48">
        <f t="shared" si="76"/>
        <v>0.56001609171826849</v>
      </c>
      <c r="V170" s="49"/>
      <c r="X170" s="112"/>
    </row>
    <row r="171" spans="1:24" x14ac:dyDescent="0.3">
      <c r="A171" s="40" t="str">
        <f>VLOOKUP(B171,Grupos!$A$2:$B$619,2,FALSE)</f>
        <v>TABLEROS 225 AMP COBRE</v>
      </c>
      <c r="B171" s="41" t="s">
        <v>267</v>
      </c>
      <c r="C171" s="41" t="s">
        <v>268</v>
      </c>
      <c r="D171" s="42">
        <v>9</v>
      </c>
      <c r="E171" s="43">
        <v>127583.83</v>
      </c>
      <c r="F171" s="43">
        <f>VLOOKUP(B171,Feb!$B$6:$F$305,5,FALSE)</f>
        <v>2726.25</v>
      </c>
      <c r="G171" s="126">
        <f t="shared" si="100"/>
        <v>130310.08</v>
      </c>
      <c r="H171" s="127">
        <f t="shared" si="101"/>
        <v>1148254.47</v>
      </c>
      <c r="I171" s="128">
        <f t="shared" si="102"/>
        <v>24536.25</v>
      </c>
      <c r="J171" s="128">
        <f t="shared" si="103"/>
        <v>1172790.72</v>
      </c>
      <c r="K171" s="44">
        <f t="shared" si="84"/>
        <v>6.7268128450655423E-4</v>
      </c>
      <c r="L171" s="45">
        <v>31079.554481264127</v>
      </c>
      <c r="M171" s="45">
        <f>VLOOKUP(B171,Feb!$B$6:$M$305,12,FALSE)</f>
        <v>16041.866333767264</v>
      </c>
      <c r="N171" s="45">
        <f t="shared" si="104"/>
        <v>177431.50081503141</v>
      </c>
      <c r="O171" s="46">
        <f t="shared" si="105"/>
        <v>1596883.5073352826</v>
      </c>
      <c r="P171" s="47">
        <f t="shared" si="106"/>
        <v>403626.06444444443</v>
      </c>
      <c r="Q171" s="47">
        <v>965150</v>
      </c>
      <c r="R171" s="47">
        <f t="shared" si="75"/>
        <v>561523.93555555562</v>
      </c>
      <c r="S171" s="191">
        <f t="shared" si="85"/>
        <v>0.58179965347930951</v>
      </c>
      <c r="T171" s="42">
        <v>3632634.58</v>
      </c>
      <c r="U171" s="48">
        <f t="shared" si="76"/>
        <v>0.43959376374578324</v>
      </c>
      <c r="V171" s="49"/>
      <c r="X171" s="112"/>
    </row>
    <row r="172" spans="1:24" x14ac:dyDescent="0.3">
      <c r="A172" s="40" t="str">
        <f>VLOOKUP(B172,Grupos!$A$2:$B$619,2,FALSE)</f>
        <v>TABLEROS 225 AMP COBRE</v>
      </c>
      <c r="B172" s="41" t="s">
        <v>269</v>
      </c>
      <c r="C172" s="41" t="s">
        <v>270</v>
      </c>
      <c r="D172" s="42">
        <v>11</v>
      </c>
      <c r="E172" s="43">
        <v>128737.23</v>
      </c>
      <c r="F172" s="43">
        <f>VLOOKUP(B172,Feb!$B$6:$F$305,5,FALSE)</f>
        <v>6937.78</v>
      </c>
      <c r="G172" s="126">
        <f t="shared" si="100"/>
        <v>135675.01</v>
      </c>
      <c r="H172" s="127">
        <f t="shared" si="101"/>
        <v>1416109.53</v>
      </c>
      <c r="I172" s="128">
        <f t="shared" si="102"/>
        <v>76315.58</v>
      </c>
      <c r="J172" s="128">
        <f t="shared" si="103"/>
        <v>1492425.11</v>
      </c>
      <c r="K172" s="44">
        <f t="shared" si="84"/>
        <v>8.5601499304550736E-4</v>
      </c>
      <c r="L172" s="45">
        <v>32753.917057741597</v>
      </c>
      <c r="M172" s="45">
        <f>VLOOKUP(B172,Feb!$B$6:$M$305,12,FALSE)</f>
        <v>40823.453246431491</v>
      </c>
      <c r="N172" s="45">
        <f t="shared" si="104"/>
        <v>209252.3803041731</v>
      </c>
      <c r="O172" s="46">
        <f t="shared" si="105"/>
        <v>2301776.1833459041</v>
      </c>
      <c r="P172" s="47">
        <f t="shared" si="106"/>
        <v>372598.63181818184</v>
      </c>
      <c r="Q172" s="47">
        <v>935750</v>
      </c>
      <c r="R172" s="47">
        <f t="shared" si="75"/>
        <v>563151.36818181816</v>
      </c>
      <c r="S172" s="191">
        <f t="shared" si="85"/>
        <v>0.60181818667573406</v>
      </c>
      <c r="T172" s="42">
        <v>4098584.95</v>
      </c>
      <c r="U172" s="48">
        <f t="shared" si="76"/>
        <v>0.56160265345870264</v>
      </c>
      <c r="V172" s="49"/>
      <c r="X172" s="112"/>
    </row>
    <row r="173" spans="1:24" x14ac:dyDescent="0.3">
      <c r="A173" s="40" t="str">
        <f>VLOOKUP(B173,Grupos!$A$2:$B$619,2,FALSE)</f>
        <v>TABLEROS 225 AMP COBRE</v>
      </c>
      <c r="B173" s="41" t="s">
        <v>271</v>
      </c>
      <c r="C173" s="41" t="s">
        <v>272</v>
      </c>
      <c r="D173" s="42">
        <v>44</v>
      </c>
      <c r="E173" s="43">
        <v>128332.47</v>
      </c>
      <c r="F173" s="43">
        <f>VLOOKUP(B173,Feb!$B$6:$F$305,5,FALSE)</f>
        <v>3578.98</v>
      </c>
      <c r="G173" s="126">
        <f t="shared" si="100"/>
        <v>131911.45000000001</v>
      </c>
      <c r="H173" s="127">
        <f t="shared" si="101"/>
        <v>5646628.6799999997</v>
      </c>
      <c r="I173" s="128">
        <f t="shared" si="102"/>
        <v>157475.12</v>
      </c>
      <c r="J173" s="128">
        <f t="shared" si="103"/>
        <v>5804103.8000000007</v>
      </c>
      <c r="K173" s="44">
        <f t="shared" si="84"/>
        <v>3.3290781833551454E-3</v>
      </c>
      <c r="L173" s="45">
        <v>31422.947712765796</v>
      </c>
      <c r="M173" s="45">
        <f>VLOOKUP(B173,Feb!$B$6:$M$305,12,FALSE)</f>
        <v>21059.520869775832</v>
      </c>
      <c r="N173" s="45">
        <f t="shared" si="104"/>
        <v>184393.91858254164</v>
      </c>
      <c r="O173" s="46">
        <f t="shared" si="105"/>
        <v>8113332.417631832</v>
      </c>
      <c r="P173" s="47">
        <f t="shared" si="106"/>
        <v>294483.52863636363</v>
      </c>
      <c r="Q173" s="47">
        <v>760850</v>
      </c>
      <c r="R173" s="47">
        <f t="shared" si="75"/>
        <v>466366.47136363637</v>
      </c>
      <c r="S173" s="191">
        <f t="shared" si="85"/>
        <v>0.61295455262356102</v>
      </c>
      <c r="T173" s="42">
        <v>12957275.26</v>
      </c>
      <c r="U173" s="48">
        <f t="shared" si="76"/>
        <v>0.62616038131706964</v>
      </c>
      <c r="V173" s="49"/>
      <c r="X173" s="112"/>
    </row>
    <row r="174" spans="1:24" x14ac:dyDescent="0.3">
      <c r="A174" s="40" t="str">
        <f>VLOOKUP(B174,Grupos!$A$2:$B$619,2,FALSE)</f>
        <v>TABLEROS 225 AMP COBRE</v>
      </c>
      <c r="B174" s="41" t="s">
        <v>273</v>
      </c>
      <c r="C174" s="41" t="s">
        <v>274</v>
      </c>
      <c r="D174" s="42">
        <v>30</v>
      </c>
      <c r="E174" s="43">
        <v>129310.39</v>
      </c>
      <c r="F174" s="43">
        <f>VLOOKUP(B174,Feb!$B$6:$F$305,5,FALSE)</f>
        <v>7605.78</v>
      </c>
      <c r="G174" s="126">
        <f t="shared" si="100"/>
        <v>136916.17000000001</v>
      </c>
      <c r="H174" s="127">
        <f t="shared" si="101"/>
        <v>3879311.7</v>
      </c>
      <c r="I174" s="128">
        <f t="shared" si="102"/>
        <v>228173.4</v>
      </c>
      <c r="J174" s="128">
        <f t="shared" si="103"/>
        <v>4107485.1000000006</v>
      </c>
      <c r="K174" s="44">
        <f t="shared" si="84"/>
        <v>2.3559432267331827E-3</v>
      </c>
      <c r="L174" s="45">
        <v>33231.578328578064</v>
      </c>
      <c r="M174" s="45">
        <f>VLOOKUP(B174,Feb!$B$6:$M$305,12,FALSE)</f>
        <v>44754.115038620956</v>
      </c>
      <c r="N174" s="45">
        <f t="shared" si="104"/>
        <v>214901.86336719902</v>
      </c>
      <c r="O174" s="46">
        <f t="shared" si="105"/>
        <v>6447055.9010159709</v>
      </c>
      <c r="P174" s="47">
        <f t="shared" si="106"/>
        <v>306900.11466666666</v>
      </c>
      <c r="Q174" s="47">
        <v>737150</v>
      </c>
      <c r="R174" s="47">
        <f t="shared" si="75"/>
        <v>430249.88533333334</v>
      </c>
      <c r="S174" s="191">
        <f t="shared" si="85"/>
        <v>0.5836666693798187</v>
      </c>
      <c r="T174" s="42">
        <v>9207003.4399999995</v>
      </c>
      <c r="U174" s="48">
        <f t="shared" si="76"/>
        <v>0.7002338972750477</v>
      </c>
      <c r="V174" s="49"/>
      <c r="X174" s="112"/>
    </row>
    <row r="175" spans="1:24" x14ac:dyDescent="0.3">
      <c r="A175" s="40" t="str">
        <f>VLOOKUP(B175,Grupos!$A$2:$B$619,2,FALSE)</f>
        <v>TABLEROS 225 AMP COBRE</v>
      </c>
      <c r="B175" s="41" t="s">
        <v>275</v>
      </c>
      <c r="C175" s="41" t="s">
        <v>276</v>
      </c>
      <c r="D175" s="42">
        <v>31</v>
      </c>
      <c r="E175" s="43">
        <v>143657.94</v>
      </c>
      <c r="F175" s="43">
        <f>VLOOKUP(B175,Feb!$B$6:$F$305,5,FALSE)</f>
        <v>4163.6099999999997</v>
      </c>
      <c r="G175" s="126">
        <f t="shared" si="100"/>
        <v>147821.54999999999</v>
      </c>
      <c r="H175" s="127">
        <f t="shared" si="101"/>
        <v>4453396.1399999997</v>
      </c>
      <c r="I175" s="128">
        <f t="shared" si="102"/>
        <v>129071.90999999999</v>
      </c>
      <c r="J175" s="128">
        <f t="shared" si="103"/>
        <v>4582468.05</v>
      </c>
      <c r="K175" s="44">
        <f t="shared" si="84"/>
        <v>2.6283807004238956E-3</v>
      </c>
      <c r="L175" s="45">
        <v>35157.674379597505</v>
      </c>
      <c r="M175" s="45">
        <f>VLOOKUP(B175,Feb!$B$6:$M$305,12,FALSE)</f>
        <v>24499.614887092786</v>
      </c>
      <c r="N175" s="45">
        <f t="shared" si="104"/>
        <v>207478.83926669028</v>
      </c>
      <c r="O175" s="46">
        <f t="shared" si="105"/>
        <v>6431844.0172673985</v>
      </c>
      <c r="P175" s="47">
        <f t="shared" si="106"/>
        <v>410282.65935483872</v>
      </c>
      <c r="Q175" s="47">
        <v>1053750</v>
      </c>
      <c r="R175" s="47">
        <f t="shared" si="75"/>
        <v>643467.34064516122</v>
      </c>
      <c r="S175" s="191">
        <f t="shared" si="85"/>
        <v>0.61064516312708061</v>
      </c>
      <c r="T175" s="42">
        <v>12718762.439999999</v>
      </c>
      <c r="U175" s="48">
        <f t="shared" si="76"/>
        <v>0.50569731509722249</v>
      </c>
      <c r="V175" s="49"/>
      <c r="X175" s="112"/>
    </row>
    <row r="176" spans="1:24" x14ac:dyDescent="0.3">
      <c r="A176" s="40" t="str">
        <f>VLOOKUP(B176,Grupos!$A$2:$B$619,2,FALSE)</f>
        <v>TABLEROS 225 AMP COBRE</v>
      </c>
      <c r="B176" s="41" t="s">
        <v>277</v>
      </c>
      <c r="C176" s="41" t="s">
        <v>278</v>
      </c>
      <c r="D176" s="42">
        <v>22</v>
      </c>
      <c r="E176" s="43">
        <v>144858.92000000001</v>
      </c>
      <c r="F176" s="43">
        <f>VLOOKUP(B176,Feb!$B$6:$F$305,5,FALSE)</f>
        <v>8455.7000000000007</v>
      </c>
      <c r="G176" s="126">
        <f t="shared" si="100"/>
        <v>153314.62000000002</v>
      </c>
      <c r="H176" s="127">
        <f t="shared" si="101"/>
        <v>3186896.24</v>
      </c>
      <c r="I176" s="128">
        <f t="shared" si="102"/>
        <v>186025.40000000002</v>
      </c>
      <c r="J176" s="128">
        <f t="shared" si="103"/>
        <v>3372921.6400000006</v>
      </c>
      <c r="K176" s="44">
        <f t="shared" si="84"/>
        <v>1.9346173384925437E-3</v>
      </c>
      <c r="L176" s="45">
        <v>36880.606542880341</v>
      </c>
      <c r="M176" s="45">
        <f>VLOOKUP(B176,Feb!$B$6:$M$305,12,FALSE)</f>
        <v>49755.234904515673</v>
      </c>
      <c r="N176" s="45">
        <f t="shared" si="104"/>
        <v>239950.46144739602</v>
      </c>
      <c r="O176" s="46">
        <f t="shared" si="105"/>
        <v>5278910.1518427124</v>
      </c>
      <c r="P176" s="47">
        <f t="shared" si="106"/>
        <v>406941.8163636364</v>
      </c>
      <c r="Q176" s="47">
        <v>1022000</v>
      </c>
      <c r="R176" s="47">
        <f t="shared" si="75"/>
        <v>615058.1836363636</v>
      </c>
      <c r="S176" s="191">
        <f t="shared" si="85"/>
        <v>0.60181818359722461</v>
      </c>
      <c r="T176" s="42">
        <v>8952719.9600000009</v>
      </c>
      <c r="U176" s="48">
        <f t="shared" si="76"/>
        <v>0.58964316715237808</v>
      </c>
      <c r="V176" s="49"/>
      <c r="X176" s="112"/>
    </row>
    <row r="177" spans="1:24" x14ac:dyDescent="0.3">
      <c r="A177" s="40" t="str">
        <f>VLOOKUP(B177,Grupos!$A$2:$B$619,2,FALSE)</f>
        <v>TABLEROS 225 AMP COBRE</v>
      </c>
      <c r="B177" s="41" t="s">
        <v>279</v>
      </c>
      <c r="C177" s="41" t="s">
        <v>280</v>
      </c>
      <c r="D177" s="42">
        <v>42</v>
      </c>
      <c r="E177" s="43">
        <v>42083.32</v>
      </c>
      <c r="F177" s="43">
        <f>VLOOKUP(B177,Feb!$B$6:$F$305,5,FALSE)</f>
        <v>2069.3000000000002</v>
      </c>
      <c r="G177" s="126">
        <f t="shared" si="100"/>
        <v>44152.62</v>
      </c>
      <c r="H177" s="127">
        <f t="shared" si="101"/>
        <v>1767499.44</v>
      </c>
      <c r="I177" s="128">
        <f t="shared" si="102"/>
        <v>86910.6</v>
      </c>
      <c r="J177" s="128">
        <f t="shared" si="103"/>
        <v>1854410.04</v>
      </c>
      <c r="K177" s="44">
        <f t="shared" si="84"/>
        <v>1.0636398348283747E-3</v>
      </c>
      <c r="L177" s="45">
        <v>10578.929431567409</v>
      </c>
      <c r="M177" s="45">
        <f>VLOOKUP(B177,Feb!$B$6:$M$305,12,FALSE)</f>
        <v>12176.225219427639</v>
      </c>
      <c r="N177" s="45">
        <f t="shared" si="104"/>
        <v>66907.774650995052</v>
      </c>
      <c r="O177" s="46">
        <f t="shared" si="105"/>
        <v>2810126.5353417923</v>
      </c>
      <c r="P177" s="47">
        <f t="shared" si="106"/>
        <v>100200.85380952382</v>
      </c>
      <c r="Q177" s="47">
        <v>251100</v>
      </c>
      <c r="R177" s="47">
        <f t="shared" si="75"/>
        <v>150899.1461904762</v>
      </c>
      <c r="S177" s="191">
        <f t="shared" si="85"/>
        <v>0.60095239422730462</v>
      </c>
      <c r="T177" s="42">
        <v>4208435.8600000003</v>
      </c>
      <c r="U177" s="48">
        <f t="shared" ref="U177:U235" si="107">O177/T177</f>
        <v>0.66773657216716897</v>
      </c>
      <c r="V177" s="49"/>
      <c r="X177" s="112"/>
    </row>
    <row r="178" spans="1:24" x14ac:dyDescent="0.3">
      <c r="A178" s="40" t="str">
        <f>VLOOKUP(B178,Grupos!$A$2:$B$619,2,FALSE)</f>
        <v>TABLEROS 225 AMP COBRE</v>
      </c>
      <c r="B178" s="41" t="s">
        <v>281</v>
      </c>
      <c r="C178" s="41" t="s">
        <v>282</v>
      </c>
      <c r="D178" s="42">
        <v>32</v>
      </c>
      <c r="E178" s="43">
        <v>42754.080000000002</v>
      </c>
      <c r="F178" s="43">
        <f>VLOOKUP(B178,Feb!$B$6:$F$305,5,FALSE)</f>
        <v>1977.41</v>
      </c>
      <c r="G178" s="126">
        <f t="shared" si="100"/>
        <v>44731.490000000005</v>
      </c>
      <c r="H178" s="127">
        <f t="shared" si="101"/>
        <v>1368130.5600000001</v>
      </c>
      <c r="I178" s="128">
        <f t="shared" si="102"/>
        <v>63277.120000000003</v>
      </c>
      <c r="J178" s="128">
        <f t="shared" si="103"/>
        <v>1431407.6800000002</v>
      </c>
      <c r="K178" s="44">
        <f t="shared" si="84"/>
        <v>8.2101703263387591E-4</v>
      </c>
      <c r="L178" s="45">
        <v>10680.165826637902</v>
      </c>
      <c r="M178" s="45">
        <f>VLOOKUP(B178,Feb!$B$6:$M$305,12,FALSE)</f>
        <v>11635.523854031995</v>
      </c>
      <c r="N178" s="45">
        <f t="shared" si="104"/>
        <v>67047.179680669899</v>
      </c>
      <c r="O178" s="46">
        <f t="shared" si="105"/>
        <v>2145509.7497814368</v>
      </c>
      <c r="P178" s="47">
        <f t="shared" si="106"/>
        <v>100519.878125</v>
      </c>
      <c r="Q178" s="47">
        <v>238800</v>
      </c>
      <c r="R178" s="47">
        <f t="shared" si="75"/>
        <v>138280.12187500001</v>
      </c>
      <c r="S178" s="191">
        <f t="shared" si="85"/>
        <v>0.57906248691373541</v>
      </c>
      <c r="T178" s="42">
        <v>3216636.1</v>
      </c>
      <c r="U178" s="48">
        <f t="shared" si="107"/>
        <v>0.66700418794076111</v>
      </c>
      <c r="V178" s="49"/>
      <c r="X178" s="112"/>
    </row>
    <row r="179" spans="1:24" x14ac:dyDescent="0.3">
      <c r="A179" s="40" t="str">
        <f>VLOOKUP(B179,Grupos!$A$2:$B$619,2,FALSE)</f>
        <v>TABLEROS 225 AMP COBRE</v>
      </c>
      <c r="B179" s="41" t="s">
        <v>283</v>
      </c>
      <c r="C179" s="41" t="s">
        <v>284</v>
      </c>
      <c r="D179" s="42">
        <v>216</v>
      </c>
      <c r="E179" s="43">
        <v>64076.4</v>
      </c>
      <c r="F179" s="43">
        <f>VLOOKUP(B179,Feb!$B$6:$F$305,5,FALSE)</f>
        <v>2093.4899999999998</v>
      </c>
      <c r="G179" s="126">
        <f t="shared" si="100"/>
        <v>66169.89</v>
      </c>
      <c r="H179" s="127">
        <f t="shared" si="101"/>
        <v>13840502.4</v>
      </c>
      <c r="I179" s="128">
        <f t="shared" si="102"/>
        <v>452193.83999999997</v>
      </c>
      <c r="J179" s="128">
        <f t="shared" si="103"/>
        <v>14292696.24</v>
      </c>
      <c r="K179" s="44">
        <f t="shared" si="84"/>
        <v>8.1979070108818726E-3</v>
      </c>
      <c r="L179" s="45">
        <v>15737.035064732598</v>
      </c>
      <c r="M179" s="45">
        <f>VLOOKUP(B179,Feb!$B$6:$M$305,12,FALSE)</f>
        <v>12318.564603788511</v>
      </c>
      <c r="N179" s="45">
        <f t="shared" si="104"/>
        <v>94225.489668521113</v>
      </c>
      <c r="O179" s="46">
        <f t="shared" si="105"/>
        <v>20352705.768400561</v>
      </c>
      <c r="P179" s="47">
        <f t="shared" si="106"/>
        <v>142463.25115740742</v>
      </c>
      <c r="Q179" s="47">
        <v>363650</v>
      </c>
      <c r="R179" s="47">
        <f t="shared" ref="R179:R242" si="108">Q179-P179</f>
        <v>221186.74884259258</v>
      </c>
      <c r="S179" s="191">
        <f t="shared" si="85"/>
        <v>0.60824075028899371</v>
      </c>
      <c r="T179" s="42">
        <v>30772062.25</v>
      </c>
      <c r="U179" s="48">
        <f t="shared" si="107"/>
        <v>0.66140207318736211</v>
      </c>
      <c r="V179" s="49"/>
      <c r="X179" s="112"/>
    </row>
    <row r="180" spans="1:24" x14ac:dyDescent="0.3">
      <c r="A180" s="40" t="str">
        <f>VLOOKUP(B180,Grupos!$A$2:$B$619,2,FALSE)</f>
        <v>TABLEROS 225 AMP COBRE</v>
      </c>
      <c r="B180" s="41" t="s">
        <v>285</v>
      </c>
      <c r="C180" s="41" t="s">
        <v>286</v>
      </c>
      <c r="D180" s="42">
        <v>164</v>
      </c>
      <c r="E180" s="43">
        <v>64852.6</v>
      </c>
      <c r="F180" s="43">
        <f>VLOOKUP(B180,Feb!$B$6:$F$305,5,FALSE)</f>
        <v>6390.55</v>
      </c>
      <c r="G180" s="126">
        <f t="shared" si="100"/>
        <v>71243.149999999994</v>
      </c>
      <c r="H180" s="127">
        <f t="shared" si="101"/>
        <v>10635826.4</v>
      </c>
      <c r="I180" s="128">
        <f t="shared" si="102"/>
        <v>1048050.2000000001</v>
      </c>
      <c r="J180" s="128">
        <f t="shared" si="103"/>
        <v>11683876.6</v>
      </c>
      <c r="K180" s="44">
        <f t="shared" si="84"/>
        <v>6.7015580744909644E-3</v>
      </c>
      <c r="L180" s="45">
        <v>17384.395470866777</v>
      </c>
      <c r="M180" s="45">
        <f>VLOOKUP(B180,Feb!$B$6:$M$305,12,FALSE)</f>
        <v>37603.429215683223</v>
      </c>
      <c r="N180" s="45">
        <f t="shared" si="104"/>
        <v>126230.97468654999</v>
      </c>
      <c r="O180" s="46">
        <f t="shared" si="105"/>
        <v>20701879.8485942</v>
      </c>
      <c r="P180" s="47">
        <f t="shared" si="106"/>
        <v>138812.92024390245</v>
      </c>
      <c r="Q180" s="47">
        <v>347350</v>
      </c>
      <c r="R180" s="47">
        <f t="shared" si="108"/>
        <v>208537.07975609755</v>
      </c>
      <c r="S180" s="191">
        <f t="shared" si="85"/>
        <v>0.60036585506289775</v>
      </c>
      <c r="T180" s="42">
        <v>22765318.920000002</v>
      </c>
      <c r="U180" s="48">
        <f t="shared" si="107"/>
        <v>0.90936041446829852</v>
      </c>
      <c r="V180" s="49"/>
      <c r="X180" s="112"/>
    </row>
    <row r="181" spans="1:24" x14ac:dyDescent="0.3">
      <c r="A181" s="40" t="str">
        <f>VLOOKUP(B181,Grupos!$A$2:$B$619,2,FALSE)</f>
        <v>TABLEROS 225 AMP COBRE</v>
      </c>
      <c r="B181" s="41" t="s">
        <v>287</v>
      </c>
      <c r="C181" s="41" t="s">
        <v>288</v>
      </c>
      <c r="D181" s="42">
        <v>140</v>
      </c>
      <c r="E181" s="43">
        <v>78873.320000000007</v>
      </c>
      <c r="F181" s="43">
        <f>VLOOKUP(B181,Feb!$B$6:$F$305,5,FALSE)</f>
        <v>2765.52</v>
      </c>
      <c r="G181" s="126">
        <f t="shared" si="100"/>
        <v>81638.840000000011</v>
      </c>
      <c r="H181" s="127">
        <f t="shared" si="101"/>
        <v>11042264.800000001</v>
      </c>
      <c r="I181" s="128">
        <f t="shared" si="102"/>
        <v>387172.8</v>
      </c>
      <c r="J181" s="128">
        <f t="shared" si="103"/>
        <v>11429437.600000001</v>
      </c>
      <c r="K181" s="44">
        <f t="shared" si="84"/>
        <v>6.5556186921017839E-3</v>
      </c>
      <c r="L181" s="45">
        <v>19419.983477350692</v>
      </c>
      <c r="M181" s="45">
        <f>VLOOKUP(B181,Feb!$B$6:$M$305,12,FALSE)</f>
        <v>16272.939819664391</v>
      </c>
      <c r="N181" s="45">
        <f t="shared" si="104"/>
        <v>117331.76329701509</v>
      </c>
      <c r="O181" s="46">
        <f t="shared" si="105"/>
        <v>16426446.861582112</v>
      </c>
      <c r="P181" s="47">
        <f t="shared" si="106"/>
        <v>238694.55628571426</v>
      </c>
      <c r="Q181" s="47">
        <v>588850</v>
      </c>
      <c r="R181" s="47">
        <f t="shared" si="108"/>
        <v>350155.44371428574</v>
      </c>
      <c r="S181" s="191">
        <f t="shared" si="85"/>
        <v>0.59464285253338833</v>
      </c>
      <c r="T181" s="42">
        <v>33417237.879999999</v>
      </c>
      <c r="U181" s="48">
        <f t="shared" si="107"/>
        <v>0.49155609211535806</v>
      </c>
      <c r="V181" s="49"/>
      <c r="X181" s="112"/>
    </row>
    <row r="182" spans="1:24" x14ac:dyDescent="0.3">
      <c r="A182" s="40" t="str">
        <f>VLOOKUP(B182,Grupos!$A$2:$B$619,2,FALSE)</f>
        <v>TABLEROS 225 AMP COBRE</v>
      </c>
      <c r="B182" s="41" t="s">
        <v>289</v>
      </c>
      <c r="C182" s="41" t="s">
        <v>290</v>
      </c>
      <c r="D182" s="42">
        <v>112</v>
      </c>
      <c r="E182" s="43">
        <v>79886.259999999995</v>
      </c>
      <c r="F182" s="43">
        <f>VLOOKUP(B182,Feb!$B$6:$F$305,5,FALSE)</f>
        <v>6731.65</v>
      </c>
      <c r="G182" s="126">
        <f t="shared" si="100"/>
        <v>86617.909999999989</v>
      </c>
      <c r="H182" s="127">
        <f t="shared" si="101"/>
        <v>8947261.1199999992</v>
      </c>
      <c r="I182" s="128">
        <f t="shared" si="102"/>
        <v>753944.79999999993</v>
      </c>
      <c r="J182" s="128">
        <f t="shared" si="103"/>
        <v>9701205.9199999981</v>
      </c>
      <c r="K182" s="44">
        <f t="shared" si="84"/>
        <v>5.5643513785035639E-3</v>
      </c>
      <c r="L182" s="45">
        <v>21050.625903552635</v>
      </c>
      <c r="M182" s="45">
        <f>VLOOKUP(B182,Feb!$B$6:$M$305,12,FALSE)</f>
        <v>39610.538103880564</v>
      </c>
      <c r="N182" s="45">
        <f t="shared" si="104"/>
        <v>147279.0740074332</v>
      </c>
      <c r="O182" s="46">
        <f t="shared" si="105"/>
        <v>16495256.288832519</v>
      </c>
      <c r="P182" s="47">
        <f t="shared" si="106"/>
        <v>227162.63866071429</v>
      </c>
      <c r="Q182" s="47">
        <v>571350</v>
      </c>
      <c r="R182" s="47">
        <f t="shared" si="108"/>
        <v>344187.36133928574</v>
      </c>
      <c r="S182" s="191">
        <f t="shared" si="85"/>
        <v>0.60241071381689981</v>
      </c>
      <c r="T182" s="42">
        <v>25442215.530000001</v>
      </c>
      <c r="U182" s="48">
        <f t="shared" si="107"/>
        <v>0.64834197593296305</v>
      </c>
      <c r="V182" s="49"/>
      <c r="X182" s="112"/>
    </row>
    <row r="183" spans="1:24" x14ac:dyDescent="0.3">
      <c r="A183" s="40" t="str">
        <f>VLOOKUP(B183,Grupos!$A$2:$B$619,2,FALSE)</f>
        <v>TABLEROS 225 AMP COBRE</v>
      </c>
      <c r="B183" s="41" t="s">
        <v>291</v>
      </c>
      <c r="C183" s="41" t="s">
        <v>292</v>
      </c>
      <c r="D183" s="42">
        <v>99</v>
      </c>
      <c r="E183" s="43">
        <v>83050.98</v>
      </c>
      <c r="F183" s="43">
        <f>VLOOKUP(B183,Feb!$B$6:$F$305,5,FALSE)</f>
        <v>2445.36</v>
      </c>
      <c r="G183" s="126">
        <f t="shared" si="100"/>
        <v>85496.34</v>
      </c>
      <c r="H183" s="127">
        <f t="shared" si="101"/>
        <v>8222047.0199999996</v>
      </c>
      <c r="I183" s="128">
        <f t="shared" si="102"/>
        <v>242090.64</v>
      </c>
      <c r="J183" s="128">
        <f t="shared" si="103"/>
        <v>8464137.6600000001</v>
      </c>
      <c r="K183" s="44">
        <f t="shared" si="84"/>
        <v>4.8548022219762283E-3</v>
      </c>
      <c r="L183" s="45">
        <v>20380.625589972246</v>
      </c>
      <c r="M183" s="45">
        <f>VLOOKUP(B183,Feb!$B$6:$M$305,12,FALSE)</f>
        <v>14389.046587048553</v>
      </c>
      <c r="N183" s="45">
        <f t="shared" si="104"/>
        <v>120266.01217702079</v>
      </c>
      <c r="O183" s="46">
        <f t="shared" si="105"/>
        <v>11906335.205525059</v>
      </c>
      <c r="P183" s="47">
        <f t="shared" si="106"/>
        <v>181055.99676767676</v>
      </c>
      <c r="Q183" s="47">
        <v>455400</v>
      </c>
      <c r="R183" s="47">
        <f t="shared" si="108"/>
        <v>274344.00323232322</v>
      </c>
      <c r="S183" s="191">
        <f t="shared" si="85"/>
        <v>0.60242424952200968</v>
      </c>
      <c r="T183" s="42">
        <v>17924543.68</v>
      </c>
      <c r="U183" s="48">
        <f t="shared" si="107"/>
        <v>0.66424760474153721</v>
      </c>
      <c r="V183" s="49"/>
      <c r="X183" s="112"/>
    </row>
    <row r="184" spans="1:24" x14ac:dyDescent="0.3">
      <c r="A184" s="40" t="str">
        <f>VLOOKUP(B184,Grupos!$A$2:$B$619,2,FALSE)</f>
        <v>TABLEROS 225 AMP COBRE</v>
      </c>
      <c r="B184" s="41" t="s">
        <v>293</v>
      </c>
      <c r="C184" s="41" t="s">
        <v>294</v>
      </c>
      <c r="D184" s="42">
        <v>86</v>
      </c>
      <c r="E184" s="43">
        <v>83872.460000000006</v>
      </c>
      <c r="F184" s="43">
        <f>VLOOKUP(B184,Feb!$B$6:$F$305,5,FALSE)</f>
        <v>6711.62</v>
      </c>
      <c r="G184" s="126">
        <f t="shared" si="100"/>
        <v>90584.08</v>
      </c>
      <c r="H184" s="127">
        <f t="shared" si="101"/>
        <v>7213031.5600000005</v>
      </c>
      <c r="I184" s="128">
        <f t="shared" si="102"/>
        <v>577199.31999999995</v>
      </c>
      <c r="J184" s="128">
        <f t="shared" si="103"/>
        <v>7790230.8799999999</v>
      </c>
      <c r="K184" s="44">
        <f t="shared" si="84"/>
        <v>4.4682673776281455E-3</v>
      </c>
      <c r="L184" s="45">
        <v>22030.766841193581</v>
      </c>
      <c r="M184" s="45">
        <f>VLOOKUP(B184,Feb!$B$6:$M$305,12,FALSE)</f>
        <v>39492.677092357284</v>
      </c>
      <c r="N184" s="45">
        <f t="shared" si="104"/>
        <v>152107.52393355087</v>
      </c>
      <c r="O184" s="46">
        <f t="shared" si="105"/>
        <v>13081247.058285374</v>
      </c>
      <c r="P184" s="47">
        <f t="shared" si="106"/>
        <v>172834.97848837209</v>
      </c>
      <c r="Q184" s="47">
        <v>433600</v>
      </c>
      <c r="R184" s="47">
        <f t="shared" si="108"/>
        <v>260765.02151162791</v>
      </c>
      <c r="S184" s="191">
        <f t="shared" si="85"/>
        <v>0.60139534481464008</v>
      </c>
      <c r="T184" s="42">
        <v>14863808.15</v>
      </c>
      <c r="U184" s="48">
        <f t="shared" si="107"/>
        <v>0.88007372850041621</v>
      </c>
      <c r="V184" s="49"/>
      <c r="X184" s="112"/>
    </row>
    <row r="185" spans="1:24" x14ac:dyDescent="0.3">
      <c r="A185" s="40" t="str">
        <f>VLOOKUP(B185,Grupos!$A$2:$B$619,2,FALSE)</f>
        <v>TABLEROS 225 AMP COBRE</v>
      </c>
      <c r="B185" s="41" t="s">
        <v>295</v>
      </c>
      <c r="C185" s="41" t="s">
        <v>296</v>
      </c>
      <c r="D185" s="42">
        <v>88</v>
      </c>
      <c r="E185" s="43">
        <v>98133.56</v>
      </c>
      <c r="F185" s="43">
        <f>VLOOKUP(B185,Feb!$B$6:$F$305,5,FALSE)</f>
        <v>3461.64</v>
      </c>
      <c r="G185" s="126">
        <f t="shared" si="100"/>
        <v>101595.2</v>
      </c>
      <c r="H185" s="127">
        <f t="shared" si="101"/>
        <v>8635753.2799999993</v>
      </c>
      <c r="I185" s="128">
        <f t="shared" si="102"/>
        <v>304624.32</v>
      </c>
      <c r="J185" s="128">
        <f t="shared" si="103"/>
        <v>8940377.5999999996</v>
      </c>
      <c r="K185" s="44">
        <f t="shared" si="84"/>
        <v>5.1279606713989217E-3</v>
      </c>
      <c r="L185" s="45">
        <v>24220.643561236524</v>
      </c>
      <c r="M185" s="45">
        <f>VLOOKUP(B185,Feb!$B$6:$M$305,12,FALSE)</f>
        <v>20369.065997477159</v>
      </c>
      <c r="N185" s="45">
        <f t="shared" si="104"/>
        <v>146184.90955871367</v>
      </c>
      <c r="O185" s="46">
        <f t="shared" si="105"/>
        <v>12864272.041166803</v>
      </c>
      <c r="P185" s="47">
        <f t="shared" si="106"/>
        <v>290365.96522727277</v>
      </c>
      <c r="Q185" s="47">
        <v>716350</v>
      </c>
      <c r="R185" s="47">
        <f t="shared" si="108"/>
        <v>425984.03477272723</v>
      </c>
      <c r="S185" s="191">
        <f t="shared" si="85"/>
        <v>0.59465908392926259</v>
      </c>
      <c r="T185" s="42">
        <v>25552204.940000001</v>
      </c>
      <c r="U185" s="48">
        <f t="shared" si="107"/>
        <v>0.50345056606167005</v>
      </c>
      <c r="V185" s="49"/>
      <c r="X185" s="112"/>
    </row>
    <row r="186" spans="1:24" x14ac:dyDescent="0.3">
      <c r="A186" s="40" t="str">
        <f>VLOOKUP(B186,Grupos!$A$2:$B$619,2,FALSE)</f>
        <v>TABLEROS 225 AMP COBRE</v>
      </c>
      <c r="B186" s="41" t="s">
        <v>297</v>
      </c>
      <c r="C186" s="41" t="s">
        <v>298</v>
      </c>
      <c r="D186" s="42">
        <v>125</v>
      </c>
      <c r="E186" s="43">
        <v>99194.1</v>
      </c>
      <c r="F186" s="43">
        <f>VLOOKUP(B186,Feb!$B$6:$F$305,5,FALSE)</f>
        <v>7317.32</v>
      </c>
      <c r="G186" s="126">
        <f t="shared" si="100"/>
        <v>106511.42000000001</v>
      </c>
      <c r="H186" s="127">
        <f t="shared" si="101"/>
        <v>12399262.5</v>
      </c>
      <c r="I186" s="128">
        <f t="shared" si="102"/>
        <v>914665</v>
      </c>
      <c r="J186" s="128">
        <f t="shared" si="103"/>
        <v>13313927.500000002</v>
      </c>
      <c r="K186" s="44">
        <f t="shared" si="84"/>
        <v>7.6365115274165353E-3</v>
      </c>
      <c r="L186" s="45">
        <v>25834.450473901547</v>
      </c>
      <c r="M186" s="45">
        <f>VLOOKUP(B186,Feb!$B$6:$M$305,12,FALSE)</f>
        <v>43056.751714406921</v>
      </c>
      <c r="N186" s="45">
        <f t="shared" si="104"/>
        <v>175402.62218830848</v>
      </c>
      <c r="O186" s="46">
        <f t="shared" si="105"/>
        <v>21925327.77353856</v>
      </c>
      <c r="P186" s="47">
        <f t="shared" si="106"/>
        <v>278146.78783999995</v>
      </c>
      <c r="Q186" s="47">
        <v>694950</v>
      </c>
      <c r="R186" s="47">
        <f t="shared" si="108"/>
        <v>416803.21216000005</v>
      </c>
      <c r="S186" s="191">
        <f t="shared" si="85"/>
        <v>0.59976000023023246</v>
      </c>
      <c r="T186" s="42">
        <v>34768348.479999997</v>
      </c>
      <c r="U186" s="48">
        <f t="shared" si="107"/>
        <v>0.63061171243583214</v>
      </c>
      <c r="V186" s="49"/>
      <c r="X186" s="112"/>
    </row>
    <row r="187" spans="1:24" x14ac:dyDescent="0.3">
      <c r="A187" s="40" t="str">
        <f>VLOOKUP(B187,Grupos!$A$2:$B$619,2,FALSE)</f>
        <v>TABLEROS 225 AMP COBRE</v>
      </c>
      <c r="B187" s="41" t="s">
        <v>299</v>
      </c>
      <c r="C187" s="41" t="s">
        <v>300</v>
      </c>
      <c r="D187" s="42">
        <v>65</v>
      </c>
      <c r="E187" s="43">
        <v>102822.26</v>
      </c>
      <c r="F187" s="43">
        <f>VLOOKUP(B187,Feb!$B$6:$F$305,5,FALSE)</f>
        <v>2850.14</v>
      </c>
      <c r="G187" s="126">
        <f t="shared" si="100"/>
        <v>105672.4</v>
      </c>
      <c r="H187" s="127">
        <f t="shared" si="101"/>
        <v>6683446.8999999994</v>
      </c>
      <c r="I187" s="128">
        <f t="shared" si="102"/>
        <v>185259.1</v>
      </c>
      <c r="J187" s="128">
        <f t="shared" si="103"/>
        <v>6868706</v>
      </c>
      <c r="K187" s="44">
        <f t="shared" si="84"/>
        <v>3.9397054360882696E-3</v>
      </c>
      <c r="L187" s="45">
        <v>25120.920414485234</v>
      </c>
      <c r="M187" s="45">
        <f>VLOOKUP(B187,Feb!$B$6:$M$305,12,FALSE)</f>
        <v>16770.862874836654</v>
      </c>
      <c r="N187" s="45">
        <f t="shared" si="104"/>
        <v>147564.1832893219</v>
      </c>
      <c r="O187" s="46">
        <f t="shared" si="105"/>
        <v>9591671.9138059225</v>
      </c>
      <c r="P187" s="47">
        <f t="shared" si="106"/>
        <v>219172.07723076921</v>
      </c>
      <c r="Q187" s="47">
        <v>551750</v>
      </c>
      <c r="R187" s="47">
        <f t="shared" si="108"/>
        <v>332577.92276923079</v>
      </c>
      <c r="S187" s="191">
        <f t="shared" si="85"/>
        <v>0.60276923021156459</v>
      </c>
      <c r="T187" s="42">
        <v>14246185.02</v>
      </c>
      <c r="U187" s="48">
        <f t="shared" si="107"/>
        <v>0.6732800325378564</v>
      </c>
      <c r="V187" s="49"/>
      <c r="X187" s="112"/>
    </row>
    <row r="188" spans="1:24" x14ac:dyDescent="0.3">
      <c r="A188" s="40" t="str">
        <f>VLOOKUP(B188,Grupos!$A$2:$B$619,2,FALSE)</f>
        <v>TABLEROS 225 AMP COBRE</v>
      </c>
      <c r="B188" s="41" t="s">
        <v>301</v>
      </c>
      <c r="C188" s="41" t="s">
        <v>302</v>
      </c>
      <c r="D188" s="42">
        <v>104</v>
      </c>
      <c r="E188" s="43">
        <v>103691.33</v>
      </c>
      <c r="F188" s="43">
        <f>VLOOKUP(B188,Feb!$B$6:$F$305,5,FALSE)</f>
        <v>6892.31</v>
      </c>
      <c r="G188" s="126">
        <f t="shared" si="100"/>
        <v>110583.64</v>
      </c>
      <c r="H188" s="127">
        <f t="shared" si="101"/>
        <v>10783898.32</v>
      </c>
      <c r="I188" s="128">
        <f t="shared" si="102"/>
        <v>716800.24</v>
      </c>
      <c r="J188" s="128">
        <f t="shared" si="103"/>
        <v>11500698.560000001</v>
      </c>
      <c r="K188" s="44">
        <f t="shared" si="84"/>
        <v>6.5964920664306412E-3</v>
      </c>
      <c r="L188" s="45">
        <v>26765.988915327805</v>
      </c>
      <c r="M188" s="45">
        <f>VLOOKUP(B188,Feb!$B$6:$M$305,12,FALSE)</f>
        <v>40555.89757024758</v>
      </c>
      <c r="N188" s="45">
        <f t="shared" si="104"/>
        <v>177905.52648557539</v>
      </c>
      <c r="O188" s="46">
        <f t="shared" si="105"/>
        <v>18502174.754499841</v>
      </c>
      <c r="P188" s="47">
        <f t="shared" si="106"/>
        <v>212169.11067307694</v>
      </c>
      <c r="Q188" s="47">
        <v>523750</v>
      </c>
      <c r="R188" s="47">
        <f t="shared" si="108"/>
        <v>311580.88932692306</v>
      </c>
      <c r="S188" s="191">
        <f t="shared" si="85"/>
        <v>0.5949038459702588</v>
      </c>
      <c r="T188" s="42">
        <v>22065587.510000002</v>
      </c>
      <c r="U188" s="48">
        <f t="shared" si="107"/>
        <v>0.83850814061101975</v>
      </c>
      <c r="V188" s="49"/>
      <c r="X188" s="112"/>
    </row>
    <row r="189" spans="1:24" x14ac:dyDescent="0.3">
      <c r="A189" s="40" t="str">
        <f>VLOOKUP(B189,Grupos!$A$2:$B$619,2,FALSE)</f>
        <v>TABLEROS 225 AMP COBRE</v>
      </c>
      <c r="B189" s="41" t="s">
        <v>303</v>
      </c>
      <c r="C189" s="41" t="s">
        <v>304</v>
      </c>
      <c r="D189" s="42">
        <v>96</v>
      </c>
      <c r="E189" s="43">
        <v>108783.42</v>
      </c>
      <c r="F189" s="43">
        <f>VLOOKUP(B189,Feb!$B$6:$F$305,5,FALSE)</f>
        <v>3539.41</v>
      </c>
      <c r="G189" s="126">
        <f t="shared" si="100"/>
        <v>112322.83</v>
      </c>
      <c r="H189" s="127">
        <f t="shared" si="101"/>
        <v>10443208.32</v>
      </c>
      <c r="I189" s="128">
        <f t="shared" si="102"/>
        <v>339783.36</v>
      </c>
      <c r="J189" s="128">
        <f t="shared" si="103"/>
        <v>10782991.68</v>
      </c>
      <c r="K189" s="44">
        <f t="shared" si="84"/>
        <v>6.1848346601223849E-3</v>
      </c>
      <c r="L189" s="45">
        <v>26705.879879213204</v>
      </c>
      <c r="M189" s="45">
        <f>VLOOKUP(B189,Feb!$B$6:$M$305,12,FALSE)</f>
        <v>20826.682116606764</v>
      </c>
      <c r="N189" s="45">
        <f t="shared" si="104"/>
        <v>159855.39199581998</v>
      </c>
      <c r="O189" s="46">
        <f t="shared" si="105"/>
        <v>15346117.631598718</v>
      </c>
      <c r="P189" s="47">
        <f t="shared" si="106"/>
        <v>316525.8389583333</v>
      </c>
      <c r="Q189" s="47">
        <v>824450</v>
      </c>
      <c r="R189" s="47">
        <f t="shared" si="108"/>
        <v>507924.1610416667</v>
      </c>
      <c r="S189" s="191">
        <f t="shared" si="85"/>
        <v>0.61607636732569193</v>
      </c>
      <c r="T189" s="42">
        <v>30386480.539999999</v>
      </c>
      <c r="U189" s="48">
        <f t="shared" si="107"/>
        <v>0.50503109800417578</v>
      </c>
      <c r="V189" s="49"/>
      <c r="X189" s="112"/>
    </row>
    <row r="190" spans="1:24" x14ac:dyDescent="0.3">
      <c r="A190" s="40" t="str">
        <f>VLOOKUP(B190,Grupos!$A$2:$B$619,2,FALSE)</f>
        <v>TABLEROS 225 AMP COBRE</v>
      </c>
      <c r="B190" s="41" t="s">
        <v>305</v>
      </c>
      <c r="C190" s="41" t="s">
        <v>306</v>
      </c>
      <c r="D190" s="42">
        <v>88</v>
      </c>
      <c r="E190" s="43">
        <v>109891.55</v>
      </c>
      <c r="F190" s="43">
        <f>VLOOKUP(B190,Feb!$B$6:$F$305,5,FALSE)</f>
        <v>7569.93</v>
      </c>
      <c r="G190" s="126">
        <f t="shared" si="100"/>
        <v>117461.48000000001</v>
      </c>
      <c r="H190" s="127">
        <f t="shared" si="101"/>
        <v>9670456.4000000004</v>
      </c>
      <c r="I190" s="128">
        <f t="shared" si="102"/>
        <v>666153.84000000008</v>
      </c>
      <c r="J190" s="128">
        <f t="shared" si="103"/>
        <v>10336610.24</v>
      </c>
      <c r="K190" s="44">
        <f t="shared" si="84"/>
        <v>5.9288022450303852E-3</v>
      </c>
      <c r="L190" s="45">
        <v>28356.070494548512</v>
      </c>
      <c r="M190" s="45">
        <f>VLOOKUP(B190,Feb!$B$6:$M$305,12,FALSE)</f>
        <v>44543.165599623964</v>
      </c>
      <c r="N190" s="45">
        <f t="shared" si="104"/>
        <v>190360.71609417247</v>
      </c>
      <c r="O190" s="46">
        <f t="shared" si="105"/>
        <v>16751743.016287178</v>
      </c>
      <c r="P190" s="47">
        <f t="shared" si="106"/>
        <v>323323.21670454548</v>
      </c>
      <c r="Q190" s="47">
        <v>799900</v>
      </c>
      <c r="R190" s="47">
        <f t="shared" si="108"/>
        <v>476576.78329545452</v>
      </c>
      <c r="S190" s="191">
        <f t="shared" si="85"/>
        <v>0.59579545355101204</v>
      </c>
      <c r="T190" s="42">
        <v>28452443.07</v>
      </c>
      <c r="U190" s="48">
        <f t="shared" si="107"/>
        <v>0.58876290429871958</v>
      </c>
      <c r="V190" s="49"/>
      <c r="X190" s="112"/>
    </row>
    <row r="191" spans="1:24" x14ac:dyDescent="0.3">
      <c r="A191" s="40" t="str">
        <f>VLOOKUP(B191,Grupos!$A$2:$B$619,2,FALSE)</f>
        <v>TABLEROS 225 AMP COBRE</v>
      </c>
      <c r="B191" s="41" t="s">
        <v>307</v>
      </c>
      <c r="C191" s="41" t="s">
        <v>308</v>
      </c>
      <c r="D191" s="42">
        <v>20</v>
      </c>
      <c r="E191" s="43">
        <v>123495.87</v>
      </c>
      <c r="F191" s="43">
        <f>VLOOKUP(B191,Feb!$B$6:$F$305,5,FALSE)</f>
        <v>2948.41</v>
      </c>
      <c r="G191" s="126">
        <f t="shared" si="100"/>
        <v>126444.28</v>
      </c>
      <c r="H191" s="127">
        <f t="shared" si="101"/>
        <v>2469917.4</v>
      </c>
      <c r="I191" s="128">
        <f t="shared" si="102"/>
        <v>58968.2</v>
      </c>
      <c r="J191" s="128">
        <f t="shared" si="103"/>
        <v>2528885.6</v>
      </c>
      <c r="K191" s="44">
        <f t="shared" si="84"/>
        <v>1.4505009161209326E-3</v>
      </c>
      <c r="L191" s="45">
        <v>30012.687847388697</v>
      </c>
      <c r="M191" s="45">
        <f>VLOOKUP(B191,Feb!$B$6:$M$305,12,FALSE)</f>
        <v>17349.105590882249</v>
      </c>
      <c r="N191" s="45">
        <f t="shared" si="104"/>
        <v>173806.07343827095</v>
      </c>
      <c r="O191" s="46">
        <f t="shared" si="105"/>
        <v>3476121.468765419</v>
      </c>
      <c r="P191" s="47">
        <f t="shared" si="106"/>
        <v>264584.24</v>
      </c>
      <c r="Q191" s="47">
        <v>674100</v>
      </c>
      <c r="R191" s="47">
        <f t="shared" si="108"/>
        <v>409515.76</v>
      </c>
      <c r="S191" s="191">
        <f t="shared" si="85"/>
        <v>0.60750001483459426</v>
      </c>
      <c r="T191" s="42">
        <v>5291684.8</v>
      </c>
      <c r="U191" s="48">
        <f t="shared" si="107"/>
        <v>0.6569025934359165</v>
      </c>
      <c r="V191" s="49"/>
      <c r="X191" s="112"/>
    </row>
    <row r="192" spans="1:24" x14ac:dyDescent="0.3">
      <c r="A192" s="40" t="str">
        <f>VLOOKUP(B192,Grupos!$A$2:$B$619,2,FALSE)</f>
        <v>TABLEROS 225 AMP COBRE</v>
      </c>
      <c r="B192" s="41" t="s">
        <v>309</v>
      </c>
      <c r="C192" s="41" t="s">
        <v>310</v>
      </c>
      <c r="D192" s="42">
        <v>11</v>
      </c>
      <c r="E192" s="43">
        <v>124426.19</v>
      </c>
      <c r="F192" s="43">
        <f>VLOOKUP(B192,Feb!$B$6:$F$305,5,FALSE)</f>
        <v>7224.29</v>
      </c>
      <c r="G192" s="126">
        <f t="shared" si="100"/>
        <v>131650.48000000001</v>
      </c>
      <c r="H192" s="127">
        <f t="shared" si="101"/>
        <v>1368688.09</v>
      </c>
      <c r="I192" s="128">
        <f t="shared" si="102"/>
        <v>79467.19</v>
      </c>
      <c r="J192" s="128">
        <f t="shared" si="103"/>
        <v>1448155.28</v>
      </c>
      <c r="K192" s="44">
        <f t="shared" si="84"/>
        <v>8.3062300656279811E-4</v>
      </c>
      <c r="L192" s="45">
        <v>31697.158313870186</v>
      </c>
      <c r="M192" s="45">
        <f>VLOOKUP(B192,Feb!$B$6:$M$305,12,FALSE)</f>
        <v>42509.342333377899</v>
      </c>
      <c r="N192" s="45">
        <f t="shared" si="104"/>
        <v>205856.9806472481</v>
      </c>
      <c r="O192" s="46">
        <f t="shared" si="105"/>
        <v>2264426.787119729</v>
      </c>
      <c r="P192" s="47">
        <f t="shared" si="106"/>
        <v>274645.82727272727</v>
      </c>
      <c r="Q192" s="47">
        <v>651100</v>
      </c>
      <c r="R192" s="47">
        <f t="shared" si="108"/>
        <v>376454.17272727273</v>
      </c>
      <c r="S192" s="191">
        <f t="shared" si="85"/>
        <v>0.57818180421943288</v>
      </c>
      <c r="T192" s="42">
        <v>3021104.1</v>
      </c>
      <c r="U192" s="48">
        <f t="shared" si="107"/>
        <v>0.74953616696615288</v>
      </c>
      <c r="V192" s="49"/>
      <c r="X192" s="112"/>
    </row>
    <row r="193" spans="1:24" x14ac:dyDescent="0.3">
      <c r="A193" s="40" t="str">
        <f>VLOOKUP(B193,Grupos!$A$2:$B$619,2,FALSE)</f>
        <v>TABLEROS 225 AMP COBRE</v>
      </c>
      <c r="B193" s="41" t="s">
        <v>311</v>
      </c>
      <c r="C193" s="41" t="s">
        <v>312</v>
      </c>
      <c r="D193" s="42">
        <v>12</v>
      </c>
      <c r="E193" s="43">
        <v>139187.47</v>
      </c>
      <c r="F193" s="43">
        <f>VLOOKUP(B193,Feb!$B$6:$F$305,5,FALSE)</f>
        <v>3402.52</v>
      </c>
      <c r="G193" s="126">
        <f t="shared" si="100"/>
        <v>142589.99</v>
      </c>
      <c r="H193" s="127">
        <f t="shared" si="101"/>
        <v>1670249.6400000001</v>
      </c>
      <c r="I193" s="128">
        <f t="shared" si="102"/>
        <v>40830.239999999998</v>
      </c>
      <c r="J193" s="128">
        <f t="shared" si="103"/>
        <v>1711079.88</v>
      </c>
      <c r="K193" s="44">
        <f t="shared" si="84"/>
        <v>9.8142950139622578E-4</v>
      </c>
      <c r="L193" s="45">
        <v>33932.56050035682</v>
      </c>
      <c r="M193" s="45">
        <f>VLOOKUP(B193,Feb!$B$6:$M$305,12,FALSE)</f>
        <v>20021.190660419914</v>
      </c>
      <c r="N193" s="45">
        <f t="shared" si="104"/>
        <v>196543.74116077673</v>
      </c>
      <c r="O193" s="46">
        <f t="shared" si="105"/>
        <v>2358524.8939293209</v>
      </c>
      <c r="P193" s="47">
        <f t="shared" si="106"/>
        <v>381234.24083333329</v>
      </c>
      <c r="Q193" s="47">
        <v>965150</v>
      </c>
      <c r="R193" s="47">
        <f t="shared" si="108"/>
        <v>583915.75916666677</v>
      </c>
      <c r="S193" s="191">
        <f t="shared" si="85"/>
        <v>0.6050000094976602</v>
      </c>
      <c r="T193" s="42">
        <v>4574810.8899999997</v>
      </c>
      <c r="U193" s="48">
        <f t="shared" si="107"/>
        <v>0.51554587733555934</v>
      </c>
      <c r="V193" s="49"/>
      <c r="X193" s="112"/>
    </row>
    <row r="194" spans="1:24" x14ac:dyDescent="0.3">
      <c r="A194" s="40" t="str">
        <f>VLOOKUP(B194,Grupos!$A$2:$B$619,2,FALSE)</f>
        <v>TABLEROS 225 AMP COBRE</v>
      </c>
      <c r="B194" s="41" t="s">
        <v>313</v>
      </c>
      <c r="C194" s="41" t="s">
        <v>314</v>
      </c>
      <c r="D194" s="42">
        <v>30</v>
      </c>
      <c r="E194" s="43">
        <v>140340.85999999999</v>
      </c>
      <c r="F194" s="43">
        <f>VLOOKUP(B194,Feb!$B$6:$F$305,5,FALSE)</f>
        <v>7621.55</v>
      </c>
      <c r="G194" s="126">
        <f t="shared" si="100"/>
        <v>147962.40999999997</v>
      </c>
      <c r="H194" s="127">
        <f t="shared" si="101"/>
        <v>4210225.8</v>
      </c>
      <c r="I194" s="128">
        <f t="shared" si="102"/>
        <v>228646.5</v>
      </c>
      <c r="J194" s="128">
        <f t="shared" si="103"/>
        <v>4438872.2999999989</v>
      </c>
      <c r="K194" s="44">
        <f t="shared" si="84"/>
        <v>2.5460180316950001E-3</v>
      </c>
      <c r="L194" s="45">
        <v>35827.134038596283</v>
      </c>
      <c r="M194" s="45">
        <f>VLOOKUP(B194,Feb!$B$6:$M$305,12,FALSE)</f>
        <v>44846.909254882674</v>
      </c>
      <c r="N194" s="45">
        <f t="shared" si="104"/>
        <v>228636.45329347893</v>
      </c>
      <c r="O194" s="46">
        <f t="shared" si="105"/>
        <v>6859093.5988043677</v>
      </c>
      <c r="P194" s="47">
        <f t="shared" si="106"/>
        <v>371637.79166666669</v>
      </c>
      <c r="Q194" s="47">
        <v>935700</v>
      </c>
      <c r="R194" s="47">
        <f t="shared" si="108"/>
        <v>564062.20833333326</v>
      </c>
      <c r="S194" s="191">
        <f t="shared" si="85"/>
        <v>0.60282377720779445</v>
      </c>
      <c r="T194" s="42">
        <v>11149133.75</v>
      </c>
      <c r="U194" s="48">
        <f t="shared" si="107"/>
        <v>0.61521314145185202</v>
      </c>
      <c r="V194" s="49"/>
      <c r="X194" s="112"/>
    </row>
    <row r="195" spans="1:24" x14ac:dyDescent="0.3">
      <c r="A195" s="40" t="str">
        <f>VLOOKUP(B195,Grupos!$A$2:$B$619,2,FALSE)</f>
        <v>TABLEROS 225 AMP COBRE</v>
      </c>
      <c r="B195" s="41" t="s">
        <v>315</v>
      </c>
      <c r="C195" s="41" t="s">
        <v>316</v>
      </c>
      <c r="D195" s="42">
        <v>53</v>
      </c>
      <c r="E195" s="43">
        <v>143363.4</v>
      </c>
      <c r="F195" s="43">
        <f>VLOOKUP(B195,Feb!$B$6:$F$305,5,FALSE)</f>
        <v>3665.93</v>
      </c>
      <c r="G195" s="126">
        <f t="shared" si="100"/>
        <v>147029.32999999999</v>
      </c>
      <c r="H195" s="127">
        <f t="shared" si="101"/>
        <v>7598260.1999999993</v>
      </c>
      <c r="I195" s="128">
        <f t="shared" si="102"/>
        <v>194294.28999999998</v>
      </c>
      <c r="J195" s="128">
        <f t="shared" si="103"/>
        <v>7792554.4899999993</v>
      </c>
      <c r="K195" s="44">
        <f t="shared" ref="K195:K258" si="109">J195/$J$277</f>
        <v>4.4696001379687898E-3</v>
      </c>
      <c r="L195" s="45">
        <v>34923.223046290317</v>
      </c>
      <c r="M195" s="45">
        <f>VLOOKUP(B195,Feb!$B$6:$M$305,12,FALSE)</f>
        <v>21571.154167426841</v>
      </c>
      <c r="N195" s="45">
        <f t="shared" si="104"/>
        <v>203523.70721371713</v>
      </c>
      <c r="O195" s="46">
        <f t="shared" si="105"/>
        <v>10786756.482327009</v>
      </c>
      <c r="P195" s="47">
        <f t="shared" si="106"/>
        <v>311149.7316981132</v>
      </c>
      <c r="Q195" s="47">
        <v>774950</v>
      </c>
      <c r="R195" s="47">
        <f t="shared" si="108"/>
        <v>463800.2683018868</v>
      </c>
      <c r="S195" s="191">
        <f t="shared" si="85"/>
        <v>0.59849057139413742</v>
      </c>
      <c r="T195" s="42">
        <v>16490935.779999999</v>
      </c>
      <c r="U195" s="48">
        <f t="shared" si="107"/>
        <v>0.65410214594426186</v>
      </c>
      <c r="V195" s="49"/>
      <c r="X195" s="112"/>
    </row>
    <row r="196" spans="1:24" x14ac:dyDescent="0.3">
      <c r="A196" s="40" t="str">
        <f>VLOOKUP(B196,Grupos!$A$2:$B$619,2,FALSE)</f>
        <v>TABLEROS 225 AMP COBRE</v>
      </c>
      <c r="B196" s="41" t="s">
        <v>317</v>
      </c>
      <c r="C196" s="41" t="s">
        <v>318</v>
      </c>
      <c r="D196" s="42">
        <v>42</v>
      </c>
      <c r="E196" s="43">
        <v>144298.64000000001</v>
      </c>
      <c r="F196" s="43">
        <f>VLOOKUP(B196,Feb!$B$6:$F$305,5,FALSE)</f>
        <v>7561.91</v>
      </c>
      <c r="G196" s="126">
        <f t="shared" si="100"/>
        <v>151860.55000000002</v>
      </c>
      <c r="H196" s="127">
        <f t="shared" si="101"/>
        <v>6060542.8800000008</v>
      </c>
      <c r="I196" s="128">
        <f t="shared" si="102"/>
        <v>317600.21999999997</v>
      </c>
      <c r="J196" s="128">
        <f t="shared" si="103"/>
        <v>6378143.1000000006</v>
      </c>
      <c r="K196" s="44">
        <f t="shared" si="109"/>
        <v>3.6583317211741034E-3</v>
      </c>
      <c r="L196" s="45">
        <v>36503.203787523285</v>
      </c>
      <c r="M196" s="45">
        <f>VLOOKUP(B196,Feb!$B$6:$M$305,12,FALSE)</f>
        <v>44495.97412122073</v>
      </c>
      <c r="N196" s="45">
        <f t="shared" si="104"/>
        <v>232859.72790874404</v>
      </c>
      <c r="O196" s="46">
        <f t="shared" si="105"/>
        <v>9780108.5721672494</v>
      </c>
      <c r="P196" s="47">
        <f t="shared" si="106"/>
        <v>290998.73761904764</v>
      </c>
      <c r="Q196" s="47">
        <v>737150</v>
      </c>
      <c r="R196" s="47">
        <f t="shared" si="108"/>
        <v>446151.26238095236</v>
      </c>
      <c r="S196" s="191">
        <f t="shared" si="85"/>
        <v>0.60523809588408384</v>
      </c>
      <c r="T196" s="42">
        <v>12221946.98</v>
      </c>
      <c r="U196" s="48">
        <f t="shared" si="107"/>
        <v>0.80020872191406356</v>
      </c>
      <c r="V196" s="49"/>
      <c r="X196" s="112"/>
    </row>
    <row r="197" spans="1:24" x14ac:dyDescent="0.3">
      <c r="A197" s="40" t="str">
        <f>VLOOKUP(B197,Grupos!$A$2:$B$619,2,FALSE)</f>
        <v>TABLEROS 225 AMP COBRE</v>
      </c>
      <c r="B197" s="41" t="s">
        <v>319</v>
      </c>
      <c r="C197" s="41" t="s">
        <v>320</v>
      </c>
      <c r="D197" s="42">
        <v>49</v>
      </c>
      <c r="E197" s="43">
        <v>158688.85999999999</v>
      </c>
      <c r="F197" s="43">
        <f>VLOOKUP(B197,Feb!$B$6:$F$305,5,FALSE)</f>
        <v>4491.3900000000003</v>
      </c>
      <c r="G197" s="126">
        <f t="shared" si="100"/>
        <v>163180.25</v>
      </c>
      <c r="H197" s="127">
        <f t="shared" si="101"/>
        <v>7775754.1399999997</v>
      </c>
      <c r="I197" s="128">
        <f t="shared" si="102"/>
        <v>220078.11000000002</v>
      </c>
      <c r="J197" s="128">
        <f t="shared" si="103"/>
        <v>7995832.25</v>
      </c>
      <c r="K197" s="44">
        <f t="shared" si="109"/>
        <v>4.5861948060340486E-3</v>
      </c>
      <c r="L197" s="45">
        <v>38702.640690972352</v>
      </c>
      <c r="M197" s="45">
        <f>VLOOKUP(B197,Feb!$B$6:$M$305,12,FALSE)</f>
        <v>26428.34590841594</v>
      </c>
      <c r="N197" s="45">
        <f t="shared" si="104"/>
        <v>228311.2365993883</v>
      </c>
      <c r="O197" s="46">
        <f t="shared" si="105"/>
        <v>11187250.593370026</v>
      </c>
      <c r="P197" s="47">
        <f t="shared" si="106"/>
        <v>418919.37204081635</v>
      </c>
      <c r="Q197" s="47">
        <v>1053750</v>
      </c>
      <c r="R197" s="47">
        <f t="shared" si="108"/>
        <v>634830.62795918365</v>
      </c>
      <c r="S197" s="191">
        <f t="shared" si="85"/>
        <v>0.60244899450456335</v>
      </c>
      <c r="T197" s="42">
        <v>20527049.23</v>
      </c>
      <c r="U197" s="48">
        <f t="shared" si="107"/>
        <v>0.54500042690110628</v>
      </c>
      <c r="V197" s="49"/>
      <c r="X197" s="112"/>
    </row>
    <row r="198" spans="1:24" x14ac:dyDescent="0.3">
      <c r="A198" s="40" t="str">
        <f>VLOOKUP(B198,Grupos!$A$2:$B$619,2,FALSE)</f>
        <v>TABLEROS 225 AMP COBRE</v>
      </c>
      <c r="B198" s="41" t="s">
        <v>321</v>
      </c>
      <c r="C198" s="41" t="s">
        <v>322</v>
      </c>
      <c r="D198" s="42">
        <v>88</v>
      </c>
      <c r="E198" s="43">
        <v>159889.84</v>
      </c>
      <c r="F198" s="43">
        <f>VLOOKUP(B198,Feb!$B$6:$F$305,5,FALSE)</f>
        <v>9184.11</v>
      </c>
      <c r="G198" s="126">
        <f t="shared" si="100"/>
        <v>169073.95</v>
      </c>
      <c r="H198" s="127">
        <f t="shared" si="101"/>
        <v>14070305.92</v>
      </c>
      <c r="I198" s="128">
        <f t="shared" si="102"/>
        <v>808201.68</v>
      </c>
      <c r="J198" s="128">
        <f t="shared" si="103"/>
        <v>14878507.600000001</v>
      </c>
      <c r="K198" s="44">
        <f t="shared" si="109"/>
        <v>8.5339126864071111E-3</v>
      </c>
      <c r="L198" s="45">
        <v>40702.841679753823</v>
      </c>
      <c r="M198" s="45">
        <f>VLOOKUP(B198,Feb!$B$6:$M$305,12,FALSE)</f>
        <v>54041.362683031737</v>
      </c>
      <c r="N198" s="45">
        <f t="shared" si="104"/>
        <v>263818.15436278557</v>
      </c>
      <c r="O198" s="46">
        <f t="shared" si="105"/>
        <v>23215997.583925132</v>
      </c>
      <c r="P198" s="47">
        <f t="shared" si="106"/>
        <v>406376.01931818185</v>
      </c>
      <c r="Q198" s="47">
        <v>1022000</v>
      </c>
      <c r="R198" s="47">
        <f t="shared" si="108"/>
        <v>615623.98068181821</v>
      </c>
      <c r="S198" s="191">
        <f t="shared" ref="S198:S261" si="110">R198/Q198</f>
        <v>0.6023718010585305</v>
      </c>
      <c r="T198" s="42">
        <v>35761089.700000003</v>
      </c>
      <c r="U198" s="48">
        <f t="shared" si="107"/>
        <v>0.64919715195158412</v>
      </c>
      <c r="V198" s="49"/>
      <c r="X198" s="112"/>
    </row>
    <row r="199" spans="1:24" x14ac:dyDescent="0.3">
      <c r="A199" s="40" t="str">
        <f>VLOOKUP(B199,Grupos!$A$2:$B$619,2,FALSE)</f>
        <v>TABLEROS 225 AMP COBRE</v>
      </c>
      <c r="B199" s="41" t="s">
        <v>323</v>
      </c>
      <c r="C199" s="41" t="s">
        <v>324</v>
      </c>
      <c r="D199" s="42">
        <v>20</v>
      </c>
      <c r="E199" s="43">
        <v>154474.32</v>
      </c>
      <c r="F199" s="43">
        <f>VLOOKUP(B199,Feb!$B$6:$F$305,5,FALSE)</f>
        <v>3953.93</v>
      </c>
      <c r="G199" s="126">
        <f t="shared" si="100"/>
        <v>158428.25</v>
      </c>
      <c r="H199" s="127">
        <f t="shared" si="101"/>
        <v>3089486.4000000004</v>
      </c>
      <c r="I199" s="128">
        <f t="shared" si="102"/>
        <v>79078.599999999991</v>
      </c>
      <c r="J199" s="128">
        <f t="shared" si="103"/>
        <v>3168565</v>
      </c>
      <c r="K199" s="44">
        <f t="shared" si="109"/>
        <v>1.8174038538116247E-3</v>
      </c>
      <c r="L199" s="45">
        <v>37806.550384722977</v>
      </c>
      <c r="M199" s="45">
        <f>VLOOKUP(B199,Feb!$B$6:$M$305,12,FALSE)</f>
        <v>23265.810748490563</v>
      </c>
      <c r="N199" s="45">
        <f t="shared" si="104"/>
        <v>219500.61113321353</v>
      </c>
      <c r="O199" s="46">
        <f t="shared" si="105"/>
        <v>4390012.2226642706</v>
      </c>
      <c r="P199" s="47">
        <f t="shared" si="106"/>
        <v>347507.99100000004</v>
      </c>
      <c r="Q199" s="47">
        <v>886500</v>
      </c>
      <c r="R199" s="47">
        <f t="shared" si="108"/>
        <v>538992.00899999996</v>
      </c>
      <c r="S199" s="191">
        <f t="shared" si="110"/>
        <v>0.60800001015228422</v>
      </c>
      <c r="T199" s="42">
        <v>6950159.8200000003</v>
      </c>
      <c r="U199" s="48">
        <f t="shared" si="107"/>
        <v>0.63164190987830704</v>
      </c>
      <c r="V199" s="49"/>
      <c r="X199" s="112"/>
    </row>
    <row r="200" spans="1:24" x14ac:dyDescent="0.3">
      <c r="A200" s="40" t="str">
        <f>VLOOKUP(B200,Grupos!$A$2:$B$619,2,FALSE)</f>
        <v>TABLEROS 225 AMP COBRE</v>
      </c>
      <c r="B200" s="41" t="s">
        <v>325</v>
      </c>
      <c r="C200" s="41" t="s">
        <v>326</v>
      </c>
      <c r="D200" s="42">
        <v>22</v>
      </c>
      <c r="E200" s="43">
        <v>155499.82999999999</v>
      </c>
      <c r="F200" s="43">
        <f>VLOOKUP(B200,Feb!$B$6:$F$305,5,FALSE)</f>
        <v>8243.17</v>
      </c>
      <c r="G200" s="126">
        <f t="shared" si="100"/>
        <v>163743</v>
      </c>
      <c r="H200" s="127">
        <f t="shared" si="101"/>
        <v>3420996.26</v>
      </c>
      <c r="I200" s="128">
        <f t="shared" si="102"/>
        <v>181349.74</v>
      </c>
      <c r="J200" s="128">
        <f t="shared" si="103"/>
        <v>3602346</v>
      </c>
      <c r="K200" s="44">
        <f t="shared" si="109"/>
        <v>2.0662089946593778E-3</v>
      </c>
      <c r="L200" s="45">
        <v>39430.375861852452</v>
      </c>
      <c r="M200" s="45">
        <f>VLOOKUP(B200,Feb!$B$6:$M$305,12,FALSE)</f>
        <v>48504.660726830007</v>
      </c>
      <c r="N200" s="45">
        <f t="shared" si="104"/>
        <v>251678.03658868247</v>
      </c>
      <c r="O200" s="46">
        <f t="shared" si="105"/>
        <v>5536916.804951014</v>
      </c>
      <c r="P200" s="47">
        <f t="shared" si="106"/>
        <v>329516.81181818183</v>
      </c>
      <c r="Q200" s="47">
        <v>842950</v>
      </c>
      <c r="R200" s="47">
        <f t="shared" si="108"/>
        <v>513433.18818181817</v>
      </c>
      <c r="S200" s="191">
        <f t="shared" si="110"/>
        <v>0.60909091664015447</v>
      </c>
      <c r="T200" s="42">
        <v>7249369.8600000003</v>
      </c>
      <c r="U200" s="48">
        <f t="shared" si="107"/>
        <v>0.76377904726618728</v>
      </c>
      <c r="V200" s="49"/>
      <c r="X200" s="112"/>
    </row>
    <row r="201" spans="1:24" x14ac:dyDescent="0.3">
      <c r="A201" s="40" t="str">
        <f>VLOOKUP(B201,Grupos!$A$2:$B$619,2,FALSE)</f>
        <v>TABLEROS 225 AMP COBRE</v>
      </c>
      <c r="B201" s="41" t="s">
        <v>327</v>
      </c>
      <c r="C201" s="41" t="s">
        <v>328</v>
      </c>
      <c r="D201" s="42">
        <v>64</v>
      </c>
      <c r="E201" s="43">
        <v>177726.49</v>
      </c>
      <c r="F201" s="43">
        <f>VLOOKUP(B201,Feb!$B$6:$F$305,5,FALSE)</f>
        <v>4724.13</v>
      </c>
      <c r="G201" s="126">
        <f t="shared" si="100"/>
        <v>182450.62</v>
      </c>
      <c r="H201" s="127">
        <f t="shared" si="101"/>
        <v>11374495.359999999</v>
      </c>
      <c r="I201" s="128">
        <f t="shared" si="102"/>
        <v>302344.32000000001</v>
      </c>
      <c r="J201" s="128">
        <f t="shared" si="103"/>
        <v>11676839.68</v>
      </c>
      <c r="K201" s="44">
        <f t="shared" si="109"/>
        <v>6.6975218860185915E-3</v>
      </c>
      <c r="L201" s="45">
        <v>43533.859512079638</v>
      </c>
      <c r="M201" s="45">
        <f>VLOOKUP(B201,Feb!$B$6:$M$305,12,FALSE)</f>
        <v>27797.84025798806</v>
      </c>
      <c r="N201" s="45">
        <f t="shared" si="104"/>
        <v>253782.31977006767</v>
      </c>
      <c r="O201" s="46">
        <f t="shared" si="105"/>
        <v>16242068.465284331</v>
      </c>
      <c r="P201" s="47">
        <f t="shared" si="106"/>
        <v>458661.33140625001</v>
      </c>
      <c r="Q201" s="47">
        <v>1151150</v>
      </c>
      <c r="R201" s="47">
        <f t="shared" si="108"/>
        <v>692488.66859374999</v>
      </c>
      <c r="S201" s="191">
        <f t="shared" si="110"/>
        <v>0.60156249714958954</v>
      </c>
      <c r="T201" s="42">
        <v>29354325.210000001</v>
      </c>
      <c r="U201" s="48">
        <f t="shared" si="107"/>
        <v>0.55331091241542907</v>
      </c>
      <c r="V201" s="49"/>
      <c r="X201" s="112"/>
    </row>
    <row r="202" spans="1:24" x14ac:dyDescent="0.3">
      <c r="A202" s="40" t="str">
        <f>VLOOKUP(B202,Grupos!$A$2:$B$619,2,FALSE)</f>
        <v>TABLEROS 225 AMP COBRE</v>
      </c>
      <c r="B202" s="41" t="s">
        <v>329</v>
      </c>
      <c r="C202" s="41" t="s">
        <v>330</v>
      </c>
      <c r="D202" s="42">
        <v>44</v>
      </c>
      <c r="E202" s="43">
        <v>178965.09</v>
      </c>
      <c r="F202" s="43">
        <f>VLOOKUP(B202,Feb!$B$6:$F$305,5,FALSE)</f>
        <v>9084.8799999999992</v>
      </c>
      <c r="G202" s="126">
        <f t="shared" si="100"/>
        <v>188049.97</v>
      </c>
      <c r="H202" s="127">
        <f t="shared" si="101"/>
        <v>7874463.96</v>
      </c>
      <c r="I202" s="128">
        <f t="shared" si="102"/>
        <v>399734.72</v>
      </c>
      <c r="J202" s="128">
        <f t="shared" si="103"/>
        <v>8274198.6799999997</v>
      </c>
      <c r="K202" s="44">
        <f t="shared" si="109"/>
        <v>4.7458583201654561E-3</v>
      </c>
      <c r="L202" s="45">
        <v>45230.106845751863</v>
      </c>
      <c r="M202" s="45">
        <f>VLOOKUP(B202,Feb!$B$6:$M$305,12,FALSE)</f>
        <v>53457.471111715917</v>
      </c>
      <c r="N202" s="45">
        <f t="shared" si="104"/>
        <v>286737.54795746779</v>
      </c>
      <c r="O202" s="46">
        <f t="shared" si="105"/>
        <v>12616452.110128583</v>
      </c>
      <c r="P202" s="47">
        <f t="shared" si="106"/>
        <v>448251.85409090907</v>
      </c>
      <c r="Q202" s="47">
        <v>1116450</v>
      </c>
      <c r="R202" s="47">
        <f t="shared" si="108"/>
        <v>668198.14590909099</v>
      </c>
      <c r="S202" s="191">
        <f t="shared" si="110"/>
        <v>0.59850252667749648</v>
      </c>
      <c r="T202" s="42">
        <v>19723081.579999998</v>
      </c>
      <c r="U202" s="48">
        <f t="shared" si="107"/>
        <v>0.63967955813366284</v>
      </c>
      <c r="V202" s="49"/>
      <c r="X202" s="112"/>
    </row>
    <row r="203" spans="1:24" x14ac:dyDescent="0.3">
      <c r="A203" s="40" t="str">
        <f>VLOOKUP(B203,Grupos!$A$2:$B$619,2,FALSE)</f>
        <v>TABLEROS 75 AMP BIMETALICO CON PUERTA</v>
      </c>
      <c r="B203" s="41" t="s">
        <v>649</v>
      </c>
      <c r="C203" s="41" t="s">
        <v>650</v>
      </c>
      <c r="D203" s="42">
        <v>35</v>
      </c>
      <c r="E203" s="43">
        <v>18443.48</v>
      </c>
      <c r="F203" s="43">
        <f>VLOOKUP(B203,Feb!$B$6:$F$305,5,FALSE)</f>
        <v>1356.88</v>
      </c>
      <c r="G203" s="126">
        <f t="shared" ref="G203:G209" si="111">E203+F203</f>
        <v>19800.36</v>
      </c>
      <c r="H203" s="127">
        <f t="shared" ref="H203:H209" si="112">E203*D203</f>
        <v>645521.79999999993</v>
      </c>
      <c r="I203" s="128">
        <f t="shared" ref="I203:I209" si="113">F203*D203</f>
        <v>47490.8</v>
      </c>
      <c r="J203" s="128">
        <f t="shared" ref="J203:J209" si="114">G203*D203</f>
        <v>693012.6</v>
      </c>
      <c r="K203" s="44">
        <f t="shared" si="109"/>
        <v>3.9749342998487134E-4</v>
      </c>
      <c r="L203" s="45">
        <v>4703.6572492565592</v>
      </c>
      <c r="M203" s="45">
        <f>VLOOKUP(B203,Feb!$B$6:$M$305,12,FALSE)</f>
        <v>7984.1861865060528</v>
      </c>
      <c r="N203" s="45">
        <f t="shared" ref="N203:N209" si="115">G203+L203+M203</f>
        <v>32488.203435762614</v>
      </c>
      <c r="O203" s="46">
        <f t="shared" ref="O203:O209" si="116">N203*D203</f>
        <v>1137087.1202516914</v>
      </c>
      <c r="P203" s="47">
        <f t="shared" ref="P203:P209" si="117">T203/D203</f>
        <v>63957.428</v>
      </c>
      <c r="Q203" s="47">
        <v>170500</v>
      </c>
      <c r="R203" s="47">
        <f t="shared" si="108"/>
        <v>106542.572</v>
      </c>
      <c r="S203" s="191">
        <f t="shared" si="110"/>
        <v>0.62488312023460413</v>
      </c>
      <c r="T203" s="42">
        <v>2238509.98</v>
      </c>
      <c r="U203" s="48">
        <f t="shared" si="107"/>
        <v>0.50796607136488681</v>
      </c>
      <c r="V203" s="49"/>
      <c r="X203" s="112"/>
    </row>
    <row r="204" spans="1:24" x14ac:dyDescent="0.3">
      <c r="A204" s="40" t="str">
        <f>VLOOKUP(B204,Grupos!$A$2:$B$619,2,FALSE)</f>
        <v>TABLEROS 75 AMP BIMETALICO CON PUERTA</v>
      </c>
      <c r="B204" s="41" t="s">
        <v>331</v>
      </c>
      <c r="C204" s="41" t="s">
        <v>332</v>
      </c>
      <c r="D204" s="42">
        <v>54</v>
      </c>
      <c r="E204" s="43">
        <v>8876.32</v>
      </c>
      <c r="F204" s="43">
        <f>VLOOKUP(B204,Feb!$B$6:$F$305,5,FALSE)</f>
        <v>881.25</v>
      </c>
      <c r="G204" s="126">
        <f t="shared" si="111"/>
        <v>9757.57</v>
      </c>
      <c r="H204" s="127">
        <f t="shared" si="112"/>
        <v>479321.27999999997</v>
      </c>
      <c r="I204" s="128">
        <f t="shared" si="113"/>
        <v>47587.5</v>
      </c>
      <c r="J204" s="128">
        <f t="shared" si="114"/>
        <v>526908.78</v>
      </c>
      <c r="K204" s="44">
        <f t="shared" si="109"/>
        <v>3.0222073632044208E-4</v>
      </c>
      <c r="L204" s="45">
        <v>2349.4074323715026</v>
      </c>
      <c r="M204" s="45">
        <f>VLOOKUP(B204,Feb!$B$6:$M$305,12,FALSE)</f>
        <v>5185.4726113277948</v>
      </c>
      <c r="N204" s="45">
        <f t="shared" si="115"/>
        <v>17292.450043699297</v>
      </c>
      <c r="O204" s="46">
        <f t="shared" si="116"/>
        <v>933792.30235976202</v>
      </c>
      <c r="P204" s="47">
        <f t="shared" si="117"/>
        <v>29016.165185185182</v>
      </c>
      <c r="Q204" s="47">
        <v>73150</v>
      </c>
      <c r="R204" s="47">
        <f t="shared" si="108"/>
        <v>44133.834814814822</v>
      </c>
      <c r="S204" s="191">
        <f t="shared" si="110"/>
        <v>0.60333335358598528</v>
      </c>
      <c r="T204" s="42">
        <v>1566872.92</v>
      </c>
      <c r="U204" s="48">
        <f t="shared" si="107"/>
        <v>0.59595918114390667</v>
      </c>
      <c r="V204" s="49"/>
      <c r="X204" s="112"/>
    </row>
    <row r="205" spans="1:24" x14ac:dyDescent="0.3">
      <c r="A205" s="40" t="str">
        <f>VLOOKUP(B205,Grupos!$A$2:$B$619,2,FALSE)</f>
        <v>TABLEROS 75 AMP BIMETALICO CON PUERTA</v>
      </c>
      <c r="B205" s="41" t="s">
        <v>333</v>
      </c>
      <c r="C205" s="41" t="s">
        <v>334</v>
      </c>
      <c r="D205" s="42">
        <v>216</v>
      </c>
      <c r="E205" s="43">
        <v>9206.84</v>
      </c>
      <c r="F205" s="43">
        <f>VLOOKUP(B205,Feb!$B$6:$F$305,5,FALSE)</f>
        <v>986.4</v>
      </c>
      <c r="G205" s="126">
        <f t="shared" si="111"/>
        <v>10193.24</v>
      </c>
      <c r="H205" s="127">
        <f t="shared" si="112"/>
        <v>1988677.44</v>
      </c>
      <c r="I205" s="128">
        <f t="shared" si="113"/>
        <v>213062.39999999999</v>
      </c>
      <c r="J205" s="128">
        <f t="shared" si="114"/>
        <v>2201739.84</v>
      </c>
      <c r="K205" s="44">
        <f t="shared" si="109"/>
        <v>1.2628588873217338E-3</v>
      </c>
      <c r="L205" s="45">
        <v>2461.4052042881344</v>
      </c>
      <c r="M205" s="45">
        <f>VLOOKUP(B205,Feb!$B$6:$M$305,12,FALSE)</f>
        <v>5804.1987901432476</v>
      </c>
      <c r="N205" s="45">
        <f t="shared" si="115"/>
        <v>18458.84399443138</v>
      </c>
      <c r="O205" s="46">
        <f t="shared" si="116"/>
        <v>3987110.3027971778</v>
      </c>
      <c r="P205" s="47">
        <f t="shared" si="117"/>
        <v>28894.250416666666</v>
      </c>
      <c r="Q205" s="47">
        <v>73150</v>
      </c>
      <c r="R205" s="47">
        <f t="shared" si="108"/>
        <v>44255.749583333338</v>
      </c>
      <c r="S205" s="191">
        <f t="shared" si="110"/>
        <v>0.60499999430394169</v>
      </c>
      <c r="T205" s="42">
        <v>6241158.0899999999</v>
      </c>
      <c r="U205" s="48">
        <f t="shared" si="107"/>
        <v>0.63884142098332553</v>
      </c>
      <c r="V205" s="49"/>
      <c r="X205" s="112"/>
    </row>
    <row r="206" spans="1:24" x14ac:dyDescent="0.3">
      <c r="A206" s="40" t="str">
        <f>VLOOKUP(B206,Grupos!$A$2:$B$619,2,FALSE)</f>
        <v>TABLEROS 75 AMP BIMETALICO CON PUERTA</v>
      </c>
      <c r="B206" s="41" t="s">
        <v>335</v>
      </c>
      <c r="C206" s="41" t="s">
        <v>336</v>
      </c>
      <c r="D206" s="42">
        <v>200</v>
      </c>
      <c r="E206" s="43">
        <v>10810.75</v>
      </c>
      <c r="F206" s="43">
        <f>VLOOKUP(B206,Feb!$B$6:$F$305,5,FALSE)</f>
        <v>1096.9000000000001</v>
      </c>
      <c r="G206" s="126">
        <f t="shared" si="111"/>
        <v>11907.65</v>
      </c>
      <c r="H206" s="127">
        <f t="shared" si="112"/>
        <v>2162150</v>
      </c>
      <c r="I206" s="128">
        <f t="shared" si="113"/>
        <v>219380.00000000003</v>
      </c>
      <c r="J206" s="128">
        <f t="shared" si="114"/>
        <v>2381530</v>
      </c>
      <c r="K206" s="44">
        <f t="shared" si="109"/>
        <v>1.3659816983296851E-3</v>
      </c>
      <c r="L206" s="45">
        <v>2838.7774009079717</v>
      </c>
      <c r="M206" s="45">
        <f>VLOOKUP(B206,Feb!$B$6:$M$305,12,FALSE)</f>
        <v>6454.405568641655</v>
      </c>
      <c r="N206" s="45">
        <f t="shared" si="115"/>
        <v>21200.832969549625</v>
      </c>
      <c r="O206" s="46">
        <f t="shared" si="116"/>
        <v>4240166.5939099248</v>
      </c>
      <c r="P206" s="47">
        <f t="shared" si="117"/>
        <v>33044.92035</v>
      </c>
      <c r="Q206" s="47">
        <v>88450</v>
      </c>
      <c r="R206" s="47">
        <f t="shared" si="108"/>
        <v>55405.07965</v>
      </c>
      <c r="S206" s="191">
        <f t="shared" si="110"/>
        <v>0.62639999604296215</v>
      </c>
      <c r="T206" s="42">
        <v>6608984.0700000003</v>
      </c>
      <c r="U206" s="48">
        <f t="shared" si="107"/>
        <v>0.64157615588108452</v>
      </c>
      <c r="V206" s="49"/>
      <c r="X206" s="112"/>
    </row>
    <row r="207" spans="1:24" x14ac:dyDescent="0.3">
      <c r="A207" s="40" t="str">
        <f>VLOOKUP(B207,Grupos!$A$2:$B$619,2,FALSE)</f>
        <v>TABLEROS 75 AMP BIMETALICO CON PUERTA</v>
      </c>
      <c r="B207" s="41" t="s">
        <v>337</v>
      </c>
      <c r="C207" s="41" t="s">
        <v>338</v>
      </c>
      <c r="D207" s="42">
        <v>96</v>
      </c>
      <c r="E207" s="43">
        <v>11130.54</v>
      </c>
      <c r="F207" s="43">
        <f>VLOOKUP(B207,Feb!$B$6:$F$305,5,FALSE)</f>
        <v>1154.1300000000001</v>
      </c>
      <c r="G207" s="126">
        <f t="shared" si="111"/>
        <v>12284.670000000002</v>
      </c>
      <c r="H207" s="127">
        <f t="shared" si="112"/>
        <v>1068531.8400000001</v>
      </c>
      <c r="I207" s="128">
        <f t="shared" si="113"/>
        <v>110796.48000000001</v>
      </c>
      <c r="J207" s="128">
        <f t="shared" si="114"/>
        <v>1179328.3200000003</v>
      </c>
      <c r="K207" s="44">
        <f t="shared" si="109"/>
        <v>6.764310764264547E-4</v>
      </c>
      <c r="L207" s="45">
        <v>2944.8749858687684</v>
      </c>
      <c r="M207" s="45">
        <f>VLOOKUP(B207,Feb!$B$6:$M$305,12,FALSE)</f>
        <v>6791.1597218856723</v>
      </c>
      <c r="N207" s="45">
        <f t="shared" si="115"/>
        <v>22020.704707754441</v>
      </c>
      <c r="O207" s="46">
        <f t="shared" si="116"/>
        <v>2113987.6519444264</v>
      </c>
      <c r="P207" s="47">
        <f t="shared" si="117"/>
        <v>35822.250104166662</v>
      </c>
      <c r="Q207" s="47">
        <v>88450</v>
      </c>
      <c r="R207" s="47">
        <f t="shared" si="108"/>
        <v>52627.749895833338</v>
      </c>
      <c r="S207" s="191">
        <f t="shared" si="110"/>
        <v>0.59499999882231025</v>
      </c>
      <c r="T207" s="42">
        <v>3438936.01</v>
      </c>
      <c r="U207" s="48">
        <f t="shared" si="107"/>
        <v>0.61472142714991274</v>
      </c>
      <c r="V207" s="49"/>
      <c r="X207" s="112"/>
    </row>
    <row r="208" spans="1:24" x14ac:dyDescent="0.3">
      <c r="A208" s="40" t="str">
        <f>VLOOKUP(B208,Grupos!$A$2:$B$619,2,FALSE)</f>
        <v>TABLEROS 75 AMP BIMETALICO CON PUERTA</v>
      </c>
      <c r="B208" s="41" t="s">
        <v>339</v>
      </c>
      <c r="C208" s="41" t="s">
        <v>340</v>
      </c>
      <c r="D208" s="42">
        <v>120</v>
      </c>
      <c r="E208" s="43">
        <v>13571.65</v>
      </c>
      <c r="F208" s="43">
        <f>VLOOKUP(B208,Feb!$B$6:$F$305,5,FALSE)</f>
        <v>1557.61</v>
      </c>
      <c r="G208" s="126">
        <f t="shared" si="111"/>
        <v>15129.26</v>
      </c>
      <c r="H208" s="127">
        <f t="shared" si="112"/>
        <v>1628598</v>
      </c>
      <c r="I208" s="128">
        <f t="shared" si="113"/>
        <v>186913.19999999998</v>
      </c>
      <c r="J208" s="128">
        <f t="shared" si="114"/>
        <v>1815511.2</v>
      </c>
      <c r="K208" s="44">
        <f t="shared" si="109"/>
        <v>1.0413285040761881E-3</v>
      </c>
      <c r="L208" s="45">
        <v>3581.7026148592267</v>
      </c>
      <c r="M208" s="45">
        <f>VLOOKUP(B208,Feb!$B$6:$M$305,12,FALSE)</f>
        <v>9165.3265181620263</v>
      </c>
      <c r="N208" s="45">
        <f t="shared" si="115"/>
        <v>27876.289133021255</v>
      </c>
      <c r="O208" s="46">
        <f t="shared" si="116"/>
        <v>3345154.6959625506</v>
      </c>
      <c r="P208" s="47">
        <f t="shared" si="117"/>
        <v>59251.501833333328</v>
      </c>
      <c r="Q208" s="47">
        <v>148500</v>
      </c>
      <c r="R208" s="47">
        <f t="shared" si="108"/>
        <v>89248.498166666672</v>
      </c>
      <c r="S208" s="191">
        <f t="shared" si="110"/>
        <v>0.60099998765432106</v>
      </c>
      <c r="T208" s="42">
        <v>7110180.2199999997</v>
      </c>
      <c r="U208" s="48">
        <f t="shared" si="107"/>
        <v>0.47047396724953205</v>
      </c>
      <c r="V208" s="49"/>
      <c r="X208" s="112"/>
    </row>
    <row r="209" spans="1:24" x14ac:dyDescent="0.3">
      <c r="A209" s="40" t="str">
        <f>VLOOKUP(B209,Grupos!$A$2:$B$619,2,FALSE)</f>
        <v>TABLEROS 75 AMP BIMETALICO CON PUERTA</v>
      </c>
      <c r="B209" s="41" t="s">
        <v>341</v>
      </c>
      <c r="C209" s="41" t="s">
        <v>342</v>
      </c>
      <c r="D209" s="42">
        <v>48</v>
      </c>
      <c r="E209" s="43">
        <v>13917.35</v>
      </c>
      <c r="F209" s="43">
        <f>VLOOKUP(B209,Feb!$B$6:$F$305,5,FALSE)</f>
        <v>1704.21</v>
      </c>
      <c r="G209" s="126">
        <f t="shared" si="111"/>
        <v>15621.560000000001</v>
      </c>
      <c r="H209" s="127">
        <f t="shared" si="112"/>
        <v>668032.80000000005</v>
      </c>
      <c r="I209" s="128">
        <f t="shared" si="113"/>
        <v>81802.080000000002</v>
      </c>
      <c r="J209" s="128">
        <f t="shared" si="114"/>
        <v>749834.88000000012</v>
      </c>
      <c r="K209" s="44">
        <f t="shared" si="109"/>
        <v>4.3008516493566563E-4</v>
      </c>
      <c r="L209" s="45">
        <v>3672.1165156091356</v>
      </c>
      <c r="M209" s="45">
        <f>VLOOKUP(B209,Feb!$B$6:$M$305,12,FALSE)</f>
        <v>10027.95379171738</v>
      </c>
      <c r="N209" s="45">
        <f t="shared" si="115"/>
        <v>29321.630307326515</v>
      </c>
      <c r="O209" s="46">
        <f t="shared" si="116"/>
        <v>1407438.2547516727</v>
      </c>
      <c r="P209" s="47">
        <f t="shared" si="117"/>
        <v>60142.500208333331</v>
      </c>
      <c r="Q209" s="47">
        <v>148500</v>
      </c>
      <c r="R209" s="47">
        <f t="shared" si="108"/>
        <v>88357.499791666662</v>
      </c>
      <c r="S209" s="191">
        <f t="shared" si="110"/>
        <v>0.59499999859708186</v>
      </c>
      <c r="T209" s="42">
        <v>2886840.01</v>
      </c>
      <c r="U209" s="48">
        <f t="shared" si="107"/>
        <v>0.48753593890770303</v>
      </c>
      <c r="V209" s="49"/>
      <c r="X209" s="112"/>
    </row>
    <row r="210" spans="1:24" x14ac:dyDescent="0.3">
      <c r="A210" s="40" t="str">
        <f>VLOOKUP(B210,Grupos!$A$2:$B$619,2,FALSE)</f>
        <v>TABLEROS 75 AMP BIMETALICO TAPA LISA</v>
      </c>
      <c r="B210" s="41" t="s">
        <v>343</v>
      </c>
      <c r="C210" s="41" t="s">
        <v>1086</v>
      </c>
      <c r="D210" s="42">
        <v>312</v>
      </c>
      <c r="E210" s="43">
        <v>6438.41</v>
      </c>
      <c r="F210" s="43">
        <f>VLOOKUP(B210,Feb!$B$6:$F$305,5,FALSE)</f>
        <v>461.27</v>
      </c>
      <c r="G210" s="126">
        <f t="shared" ref="G210:G221" si="118">E210+F210</f>
        <v>6899.68</v>
      </c>
      <c r="H210" s="127">
        <f t="shared" ref="H210:H221" si="119">E210*D210</f>
        <v>2008783.92</v>
      </c>
      <c r="I210" s="128">
        <f t="shared" ref="I210:I221" si="120">F210*D210</f>
        <v>143916.24</v>
      </c>
      <c r="J210" s="128">
        <f t="shared" ref="J210:J221" si="121">G210*D210</f>
        <v>2152700.16</v>
      </c>
      <c r="K210" s="44">
        <f t="shared" si="109"/>
        <v>1.2347310428805788E-3</v>
      </c>
      <c r="L210" s="45">
        <v>1781.9761568851075</v>
      </c>
      <c r="M210" s="45">
        <f>VLOOKUP(B210,Feb!$B$6:$M$305,12,FALSE)</f>
        <v>2714.2161150946631</v>
      </c>
      <c r="N210" s="45">
        <f t="shared" ref="N210:N221" si="122">G210+L210+M210</f>
        <v>11395.872271979772</v>
      </c>
      <c r="O210" s="46">
        <f t="shared" ref="O210:O221" si="123">N210*D210</f>
        <v>3555512.1488576885</v>
      </c>
      <c r="P210" s="47">
        <f t="shared" ref="P210:P221" si="124">T210/D210</f>
        <v>15373.038717948719</v>
      </c>
      <c r="Q210" s="47">
        <v>40050</v>
      </c>
      <c r="R210" s="47">
        <f t="shared" si="108"/>
        <v>24676.961282051281</v>
      </c>
      <c r="S210" s="191">
        <f t="shared" si="110"/>
        <v>0.61615383975159255</v>
      </c>
      <c r="T210" s="42">
        <v>4796388.08</v>
      </c>
      <c r="U210" s="152">
        <f t="shared" si="107"/>
        <v>0.7412895056768819</v>
      </c>
      <c r="V210" s="49"/>
      <c r="X210" s="112"/>
    </row>
    <row r="211" spans="1:24" x14ac:dyDescent="0.3">
      <c r="A211" s="40" t="str">
        <f>VLOOKUP(B211,Grupos!$A$2:$B$619,2,FALSE)</f>
        <v>TABLEROS 75 AMP BIMETALICO TAPA LISA</v>
      </c>
      <c r="B211" s="41" t="s">
        <v>346</v>
      </c>
      <c r="C211" s="41" t="s">
        <v>347</v>
      </c>
      <c r="D211" s="42">
        <v>480</v>
      </c>
      <c r="E211" s="43">
        <v>5640.71</v>
      </c>
      <c r="F211" s="43">
        <f>VLOOKUP(B211,Feb!$B$6:$F$305,5,FALSE)</f>
        <v>428.72</v>
      </c>
      <c r="G211" s="126">
        <f t="shared" si="118"/>
        <v>6069.43</v>
      </c>
      <c r="H211" s="127">
        <f t="shared" si="119"/>
        <v>2707540.8</v>
      </c>
      <c r="I211" s="128">
        <f t="shared" si="120"/>
        <v>205785.60000000001</v>
      </c>
      <c r="J211" s="128">
        <f t="shared" si="121"/>
        <v>2913326.4000000004</v>
      </c>
      <c r="K211" s="44">
        <f t="shared" si="109"/>
        <v>1.6710058423201504E-3</v>
      </c>
      <c r="L211" s="45">
        <v>1582.0522475090449</v>
      </c>
      <c r="M211" s="45">
        <f>VLOOKUP(B211,Feb!$B$6:$M$305,12,FALSE)</f>
        <v>2522.6846160890241</v>
      </c>
      <c r="N211" s="45">
        <f t="shared" si="122"/>
        <v>10174.16686359807</v>
      </c>
      <c r="O211" s="46">
        <f t="shared" si="123"/>
        <v>4883600.0945270732</v>
      </c>
      <c r="P211" s="47">
        <f t="shared" si="124"/>
        <v>16080.075229166667</v>
      </c>
      <c r="Q211" s="47">
        <v>40050</v>
      </c>
      <c r="R211" s="47">
        <f t="shared" si="108"/>
        <v>23969.924770833335</v>
      </c>
      <c r="S211" s="191">
        <f t="shared" si="110"/>
        <v>0.59849999427798595</v>
      </c>
      <c r="T211" s="42">
        <v>7718436.1100000003</v>
      </c>
      <c r="U211" s="152">
        <f t="shared" si="107"/>
        <v>0.63271885974412412</v>
      </c>
      <c r="V211" s="49"/>
      <c r="X211" s="112"/>
    </row>
    <row r="212" spans="1:24" x14ac:dyDescent="0.3">
      <c r="A212" s="40" t="str">
        <f>VLOOKUP(B212,Grupos!$A$2:$B$619,2,FALSE)</f>
        <v>TABLEROS 75 AMP BIMETALICO TAPA LISA</v>
      </c>
      <c r="B212" s="41" t="s">
        <v>350</v>
      </c>
      <c r="C212" s="41" t="s">
        <v>351</v>
      </c>
      <c r="D212" s="42">
        <v>360</v>
      </c>
      <c r="E212" s="43">
        <v>7743.55</v>
      </c>
      <c r="F212" s="43">
        <f>VLOOKUP(B212,Feb!$B$6:$F$305,5,FALSE)</f>
        <v>724.35</v>
      </c>
      <c r="G212" s="126">
        <f t="shared" si="118"/>
        <v>8467.9</v>
      </c>
      <c r="H212" s="127">
        <f t="shared" si="119"/>
        <v>2787678</v>
      </c>
      <c r="I212" s="128">
        <f t="shared" si="120"/>
        <v>260766</v>
      </c>
      <c r="J212" s="128">
        <f t="shared" si="121"/>
        <v>3048444</v>
      </c>
      <c r="K212" s="44">
        <f t="shared" si="109"/>
        <v>1.7485056717248737E-3</v>
      </c>
      <c r="L212" s="45">
        <v>2111.7380289676858</v>
      </c>
      <c r="M212" s="45">
        <f>VLOOKUP(B212,Feb!$B$6:$M$305,12,FALSE)</f>
        <v>4262.2378281024548</v>
      </c>
      <c r="N212" s="45">
        <f t="shared" si="122"/>
        <v>14841.875857070139</v>
      </c>
      <c r="O212" s="46">
        <f t="shared" si="123"/>
        <v>5343075.3085452504</v>
      </c>
      <c r="P212" s="47">
        <f t="shared" si="124"/>
        <v>18422.444083333332</v>
      </c>
      <c r="Q212" s="47">
        <v>45550</v>
      </c>
      <c r="R212" s="47">
        <f t="shared" si="108"/>
        <v>27127.555916666668</v>
      </c>
      <c r="S212" s="191">
        <f t="shared" si="110"/>
        <v>0.5955555634833517</v>
      </c>
      <c r="T212" s="42">
        <v>6632079.8700000001</v>
      </c>
      <c r="U212" s="152">
        <f t="shared" si="107"/>
        <v>0.80564097738244678</v>
      </c>
      <c r="V212" s="49"/>
      <c r="X212" s="112"/>
    </row>
    <row r="213" spans="1:24" x14ac:dyDescent="0.3">
      <c r="A213" s="40" t="str">
        <f>VLOOKUP(B213,Grupos!$A$2:$B$619,2,FALSE)</f>
        <v>TABLEROS 75 AMP BIMETALICO TAPA LISA</v>
      </c>
      <c r="B213" s="41" t="s">
        <v>352</v>
      </c>
      <c r="C213" s="41" t="s">
        <v>353</v>
      </c>
      <c r="D213" s="42">
        <v>20</v>
      </c>
      <c r="E213" s="43">
        <v>8255.1</v>
      </c>
      <c r="F213" s="43">
        <f>VLOOKUP(B213,Feb!$B$6:$F$305,5,FALSE)</f>
        <v>900.79</v>
      </c>
      <c r="G213" s="126">
        <f t="shared" si="118"/>
        <v>9155.89</v>
      </c>
      <c r="H213" s="127">
        <f t="shared" si="119"/>
        <v>165102</v>
      </c>
      <c r="I213" s="128">
        <f t="shared" si="120"/>
        <v>18015.8</v>
      </c>
      <c r="J213" s="128">
        <f t="shared" si="121"/>
        <v>183117.8</v>
      </c>
      <c r="K213" s="44">
        <f t="shared" si="109"/>
        <v>1.0503145601289741E-4</v>
      </c>
      <c r="L213" s="45">
        <v>2189.3243121008659</v>
      </c>
      <c r="M213" s="45">
        <f>VLOOKUP(B213,Feb!$B$6:$M$305,12,FALSE)</f>
        <v>5300.4503529735766</v>
      </c>
      <c r="N213" s="45">
        <f t="shared" si="122"/>
        <v>16645.664665074441</v>
      </c>
      <c r="O213" s="46">
        <f t="shared" si="123"/>
        <v>332913.2933014888</v>
      </c>
      <c r="P213" s="47">
        <f t="shared" si="124"/>
        <v>23859.998499999998</v>
      </c>
      <c r="Q213" s="47">
        <v>59650</v>
      </c>
      <c r="R213" s="47">
        <f t="shared" si="108"/>
        <v>35790.001499999998</v>
      </c>
      <c r="S213" s="191">
        <f t="shared" si="110"/>
        <v>0.60000002514668904</v>
      </c>
      <c r="T213" s="42">
        <v>477199.97</v>
      </c>
      <c r="U213" s="48">
        <f t="shared" si="107"/>
        <v>0.69763896527799196</v>
      </c>
      <c r="V213" s="49"/>
      <c r="X213" s="112"/>
    </row>
    <row r="214" spans="1:24" x14ac:dyDescent="0.3">
      <c r="A214" s="40" t="str">
        <f>VLOOKUP(B214,Grupos!$A$2:$B$619,2,FALSE)</f>
        <v>TABLEROS 75 AMP BIMETALICO TAPA LISA</v>
      </c>
      <c r="B214" s="41" t="s">
        <v>354</v>
      </c>
      <c r="C214" s="41" t="s">
        <v>355</v>
      </c>
      <c r="D214" s="42">
        <v>617</v>
      </c>
      <c r="E214" s="43">
        <v>8171.51</v>
      </c>
      <c r="F214" s="43">
        <f>VLOOKUP(B214,Feb!$B$6:$F$305,5,FALSE)</f>
        <v>806.59</v>
      </c>
      <c r="G214" s="126">
        <f t="shared" si="118"/>
        <v>8978.1</v>
      </c>
      <c r="H214" s="127">
        <f t="shared" si="119"/>
        <v>5041821.67</v>
      </c>
      <c r="I214" s="128">
        <f t="shared" si="120"/>
        <v>497666.03</v>
      </c>
      <c r="J214" s="128">
        <f t="shared" si="121"/>
        <v>5539487.7000000002</v>
      </c>
      <c r="K214" s="44">
        <f t="shared" si="109"/>
        <v>3.1773014895140526E-3</v>
      </c>
      <c r="L214" s="45">
        <v>2335.3098876627337</v>
      </c>
      <c r="M214" s="45">
        <f>VLOOKUP(B214,Feb!$B$6:$M$305,12,FALSE)</f>
        <v>4746.1564295839844</v>
      </c>
      <c r="N214" s="45">
        <f t="shared" si="122"/>
        <v>16059.566317246718</v>
      </c>
      <c r="O214" s="46">
        <f t="shared" si="123"/>
        <v>9908752.4177412242</v>
      </c>
      <c r="P214" s="47">
        <f t="shared" si="124"/>
        <v>22303.12495948136</v>
      </c>
      <c r="Q214" s="47">
        <v>55150</v>
      </c>
      <c r="R214" s="47">
        <f t="shared" si="108"/>
        <v>32846.875040518644</v>
      </c>
      <c r="S214" s="191">
        <f t="shared" si="110"/>
        <v>0.59559156918438161</v>
      </c>
      <c r="T214" s="42">
        <v>13761028.1</v>
      </c>
      <c r="U214" s="152">
        <f t="shared" si="107"/>
        <v>0.72005902071671701</v>
      </c>
      <c r="V214" s="49"/>
      <c r="X214" s="112"/>
    </row>
    <row r="215" spans="1:24" x14ac:dyDescent="0.3">
      <c r="A215" s="40" t="str">
        <f>VLOOKUP(B215,Grupos!$A$2:$B$619,2,FALSE)</f>
        <v>TABLEROS 75 AMP BIMETALICO TAPA LISA</v>
      </c>
      <c r="B215" s="41" t="s">
        <v>356</v>
      </c>
      <c r="C215" s="41" t="s">
        <v>357</v>
      </c>
      <c r="D215" s="42">
        <v>120</v>
      </c>
      <c r="E215" s="43">
        <v>7954.55</v>
      </c>
      <c r="F215" s="43">
        <f>VLOOKUP(B215,Feb!$B$6:$F$305,5,FALSE)</f>
        <v>823.37</v>
      </c>
      <c r="G215" s="126">
        <f t="shared" si="118"/>
        <v>8777.92</v>
      </c>
      <c r="H215" s="127">
        <f t="shared" si="119"/>
        <v>954546</v>
      </c>
      <c r="I215" s="128">
        <f t="shared" si="120"/>
        <v>98804.4</v>
      </c>
      <c r="J215" s="128">
        <f t="shared" si="121"/>
        <v>1053350.3999999999</v>
      </c>
      <c r="K215" s="44">
        <f t="shared" si="109"/>
        <v>6.0417352220138018E-4</v>
      </c>
      <c r="L215" s="45">
        <v>2094.6298374678595</v>
      </c>
      <c r="M215" s="45">
        <f>VLOOKUP(B215,Feb!$B$6:$M$305,12,FALSE)</f>
        <v>4844.8937123279056</v>
      </c>
      <c r="N215" s="45">
        <f t="shared" si="122"/>
        <v>15717.443549795764</v>
      </c>
      <c r="O215" s="46">
        <f t="shared" si="123"/>
        <v>1886093.2259754916</v>
      </c>
      <c r="P215" s="47">
        <f t="shared" si="124"/>
        <v>23859.998583333334</v>
      </c>
      <c r="Q215" s="47">
        <v>59650</v>
      </c>
      <c r="R215" s="47">
        <f t="shared" si="108"/>
        <v>35790.001416666666</v>
      </c>
      <c r="S215" s="191">
        <f t="shared" si="110"/>
        <v>0.60000002374965078</v>
      </c>
      <c r="T215" s="42">
        <v>2863199.83</v>
      </c>
      <c r="U215" s="48">
        <f t="shared" si="107"/>
        <v>0.65873614765319799</v>
      </c>
      <c r="V215" s="49"/>
      <c r="X215" s="112"/>
    </row>
    <row r="216" spans="1:24" x14ac:dyDescent="0.3">
      <c r="A216" s="40" t="str">
        <f>VLOOKUP(B216,Grupos!$A$2:$B$619,2,FALSE)</f>
        <v>TABLEROS 75 AMP BIMETALICO TAPA LISA</v>
      </c>
      <c r="B216" s="41" t="s">
        <v>358</v>
      </c>
      <c r="C216" s="41" t="s">
        <v>359</v>
      </c>
      <c r="D216" s="42">
        <v>1880</v>
      </c>
      <c r="E216" s="43">
        <v>7840.99</v>
      </c>
      <c r="F216" s="43">
        <f>VLOOKUP(B216,Feb!$B$6:$F$305,5,FALSE)</f>
        <v>779.32</v>
      </c>
      <c r="G216" s="126">
        <f t="shared" si="118"/>
        <v>8620.31</v>
      </c>
      <c r="H216" s="127">
        <f t="shared" si="119"/>
        <v>14741061.199999999</v>
      </c>
      <c r="I216" s="128">
        <f t="shared" si="120"/>
        <v>1465121.6</v>
      </c>
      <c r="J216" s="128">
        <f t="shared" si="121"/>
        <v>16206182.799999999</v>
      </c>
      <c r="K216" s="44">
        <f t="shared" si="109"/>
        <v>9.2954315522312675E-3</v>
      </c>
      <c r="L216" s="45">
        <v>2245.6548778916381</v>
      </c>
      <c r="M216" s="45">
        <f>VLOOKUP(B216,Feb!$B$6:$M$305,12,FALSE)</f>
        <v>4585.6936345645136</v>
      </c>
      <c r="N216" s="45">
        <f t="shared" si="122"/>
        <v>15451.658512456152</v>
      </c>
      <c r="O216" s="46">
        <f t="shared" si="123"/>
        <v>29049118.003417566</v>
      </c>
      <c r="P216" s="47">
        <f t="shared" si="124"/>
        <v>21878.122978723404</v>
      </c>
      <c r="Q216" s="47">
        <v>55150</v>
      </c>
      <c r="R216" s="47">
        <f t="shared" si="108"/>
        <v>33271.877021276596</v>
      </c>
      <c r="S216" s="191">
        <f t="shared" si="110"/>
        <v>0.60329786076657477</v>
      </c>
      <c r="T216" s="42">
        <v>41130871.200000003</v>
      </c>
      <c r="U216" s="152">
        <f t="shared" si="107"/>
        <v>0.70626070287121867</v>
      </c>
      <c r="V216" s="49"/>
      <c r="X216" s="112"/>
    </row>
    <row r="217" spans="1:24" x14ac:dyDescent="0.3">
      <c r="A217" s="40" t="str">
        <f>VLOOKUP(B217,Grupos!$A$2:$B$619,2,FALSE)</f>
        <v>TABLEROS 75 AMP BIMETALICO TAPA LISA</v>
      </c>
      <c r="B217" s="41" t="s">
        <v>362</v>
      </c>
      <c r="C217" s="41" t="s">
        <v>363</v>
      </c>
      <c r="D217" s="42">
        <v>460</v>
      </c>
      <c r="E217" s="43">
        <v>9901.58</v>
      </c>
      <c r="F217" s="43">
        <f>VLOOKUP(B217,Feb!$B$6:$F$305,5,FALSE)</f>
        <v>985.89</v>
      </c>
      <c r="G217" s="126">
        <f t="shared" si="118"/>
        <v>10887.47</v>
      </c>
      <c r="H217" s="127">
        <f t="shared" si="119"/>
        <v>4554726.8</v>
      </c>
      <c r="I217" s="128">
        <f t="shared" si="120"/>
        <v>453509.39999999997</v>
      </c>
      <c r="J217" s="128">
        <f t="shared" si="121"/>
        <v>5008236.1999999993</v>
      </c>
      <c r="K217" s="44">
        <f t="shared" si="109"/>
        <v>2.872589885540895E-3</v>
      </c>
      <c r="L217" s="45">
        <v>2829.0630134124808</v>
      </c>
      <c r="M217" s="45">
        <f>VLOOKUP(B217,Feb!$B$6:$M$305,12,FALSE)</f>
        <v>5801.1978357809476</v>
      </c>
      <c r="N217" s="45">
        <f t="shared" si="122"/>
        <v>19517.730849193427</v>
      </c>
      <c r="O217" s="46">
        <f t="shared" si="123"/>
        <v>8978156.1906289756</v>
      </c>
      <c r="P217" s="47">
        <f t="shared" si="124"/>
        <v>25611.522369565217</v>
      </c>
      <c r="Q217" s="47">
        <v>68100</v>
      </c>
      <c r="R217" s="47">
        <f t="shared" si="108"/>
        <v>42488.477630434783</v>
      </c>
      <c r="S217" s="191">
        <f t="shared" si="110"/>
        <v>0.62391303422077504</v>
      </c>
      <c r="T217" s="42">
        <v>11781300.289999999</v>
      </c>
      <c r="U217" s="152">
        <f t="shared" si="107"/>
        <v>0.76206835999670253</v>
      </c>
      <c r="V217" s="49"/>
      <c r="X217" s="112"/>
    </row>
    <row r="218" spans="1:24" x14ac:dyDescent="0.3">
      <c r="A218" s="40" t="str">
        <f>VLOOKUP(B218,Grupos!$A$2:$B$619,2,FALSE)</f>
        <v>TABLEROS 75 AMP BIMETALICO TAPA LISA</v>
      </c>
      <c r="B218" s="41" t="s">
        <v>364</v>
      </c>
      <c r="C218" s="41" t="s">
        <v>1089</v>
      </c>
      <c r="D218" s="42">
        <v>20</v>
      </c>
      <c r="E218" s="43">
        <v>9662.25</v>
      </c>
      <c r="F218" s="43">
        <f>VLOOKUP(B218,Feb!$B$6:$F$305,5,FALSE)</f>
        <v>974.85</v>
      </c>
      <c r="G218" s="126">
        <f t="shared" si="118"/>
        <v>10637.1</v>
      </c>
      <c r="H218" s="127">
        <f t="shared" si="119"/>
        <v>193245</v>
      </c>
      <c r="I218" s="128">
        <f t="shared" si="120"/>
        <v>19497</v>
      </c>
      <c r="J218" s="128">
        <f t="shared" si="121"/>
        <v>212742</v>
      </c>
      <c r="K218" s="44">
        <f t="shared" si="109"/>
        <v>1.2202310215116075E-4</v>
      </c>
      <c r="L218" s="45">
        <v>2537.9078275859993</v>
      </c>
      <c r="M218" s="45">
        <f>VLOOKUP(B218,Feb!$B$6:$M$305,12,FALSE)</f>
        <v>5736.2360001735051</v>
      </c>
      <c r="N218" s="45">
        <f t="shared" si="122"/>
        <v>18911.243827759507</v>
      </c>
      <c r="O218" s="46">
        <f t="shared" si="123"/>
        <v>378224.87655519013</v>
      </c>
      <c r="P218" s="47">
        <f t="shared" si="124"/>
        <v>31038.001</v>
      </c>
      <c r="Q218" s="47">
        <v>73900</v>
      </c>
      <c r="R218" s="47">
        <f t="shared" si="108"/>
        <v>42861.998999999996</v>
      </c>
      <c r="S218" s="191">
        <f t="shared" si="110"/>
        <v>0.57999998646820017</v>
      </c>
      <c r="T218" s="42">
        <v>620760.02</v>
      </c>
      <c r="U218" s="48">
        <f t="shared" si="107"/>
        <v>0.60929322825137822</v>
      </c>
      <c r="V218" s="49"/>
      <c r="X218" s="112"/>
    </row>
    <row r="219" spans="1:24" x14ac:dyDescent="0.3">
      <c r="A219" s="40" t="str">
        <f>VLOOKUP(B219,Grupos!$A$2:$B$619,2,FALSE)</f>
        <v>TABLEROS 75 AMP BIMETALICO TAPA LISA</v>
      </c>
      <c r="B219" s="41" t="s">
        <v>365</v>
      </c>
      <c r="C219" s="41" t="s">
        <v>366</v>
      </c>
      <c r="D219" s="42">
        <v>874</v>
      </c>
      <c r="E219" s="43">
        <v>9581.7900000000009</v>
      </c>
      <c r="F219" s="43">
        <f>VLOOKUP(B219,Feb!$B$6:$F$305,5,FALSE)</f>
        <v>959.53</v>
      </c>
      <c r="G219" s="126">
        <f t="shared" si="118"/>
        <v>10541.320000000002</v>
      </c>
      <c r="H219" s="127">
        <f t="shared" si="119"/>
        <v>8374484.4600000009</v>
      </c>
      <c r="I219" s="128">
        <f t="shared" si="120"/>
        <v>838629.22</v>
      </c>
      <c r="J219" s="128">
        <f t="shared" si="121"/>
        <v>9213113.6800000016</v>
      </c>
      <c r="K219" s="44">
        <f t="shared" si="109"/>
        <v>5.2843947678638762E-3</v>
      </c>
      <c r="L219" s="45">
        <v>2705.7272917985042</v>
      </c>
      <c r="M219" s="45">
        <f>VLOOKUP(B219,Feb!$B$6:$M$305,12,FALSE)</f>
        <v>5646.089684819698</v>
      </c>
      <c r="N219" s="45">
        <f t="shared" si="122"/>
        <v>18893.136976618203</v>
      </c>
      <c r="O219" s="46">
        <f t="shared" si="123"/>
        <v>16512601.717564309</v>
      </c>
      <c r="P219" s="47">
        <f t="shared" si="124"/>
        <v>27230.65032036613</v>
      </c>
      <c r="Q219" s="47">
        <v>68100</v>
      </c>
      <c r="R219" s="47">
        <f t="shared" si="108"/>
        <v>40869.349679633873</v>
      </c>
      <c r="S219" s="191">
        <f t="shared" si="110"/>
        <v>0.60013729338669419</v>
      </c>
      <c r="T219" s="42">
        <v>23799588.379999999</v>
      </c>
      <c r="U219" s="152">
        <f t="shared" si="107"/>
        <v>0.6938187944225408</v>
      </c>
      <c r="V219" s="49"/>
      <c r="X219" s="112"/>
    </row>
    <row r="220" spans="1:24" x14ac:dyDescent="0.3">
      <c r="A220" s="40" t="str">
        <f>VLOOKUP(B220,Grupos!$A$2:$B$619,2,FALSE)</f>
        <v>TABLEROS 75 AMP BIMETALICO TAPA LISA</v>
      </c>
      <c r="B220" s="41" t="s">
        <v>651</v>
      </c>
      <c r="C220" s="41" t="s">
        <v>652</v>
      </c>
      <c r="D220" s="42">
        <v>105</v>
      </c>
      <c r="E220" s="43">
        <v>11762.2</v>
      </c>
      <c r="F220" s="43">
        <f>VLOOKUP(B220,Feb!$B$6:$F$305,5,FALSE)</f>
        <v>887.05</v>
      </c>
      <c r="G220" s="126">
        <f t="shared" si="118"/>
        <v>12649.25</v>
      </c>
      <c r="H220" s="127">
        <f t="shared" si="119"/>
        <v>1235031</v>
      </c>
      <c r="I220" s="128">
        <f t="shared" si="120"/>
        <v>93140.25</v>
      </c>
      <c r="J220" s="128">
        <f t="shared" si="121"/>
        <v>1328171.25</v>
      </c>
      <c r="K220" s="44">
        <f t="shared" si="109"/>
        <v>7.6180338679238168E-4</v>
      </c>
      <c r="L220" s="45">
        <v>3305.3142571001058</v>
      </c>
      <c r="M220" s="45">
        <f>VLOOKUP(B220,Feb!$B$6:$M$305,12,FALSE)</f>
        <v>5219.6011119186614</v>
      </c>
      <c r="N220" s="45">
        <f t="shared" si="122"/>
        <v>21174.165369018767</v>
      </c>
      <c r="O220" s="46">
        <f t="shared" si="123"/>
        <v>2223287.3637469704</v>
      </c>
      <c r="P220" s="47">
        <f t="shared" si="124"/>
        <v>32726.501142857145</v>
      </c>
      <c r="Q220" s="47">
        <v>88450</v>
      </c>
      <c r="R220" s="47">
        <f t="shared" si="108"/>
        <v>55723.498857142855</v>
      </c>
      <c r="S220" s="191">
        <f t="shared" si="110"/>
        <v>0.62999998707906002</v>
      </c>
      <c r="T220" s="42">
        <v>3436282.62</v>
      </c>
      <c r="U220" s="152">
        <f t="shared" si="107"/>
        <v>0.64700364015663248</v>
      </c>
      <c r="V220" s="49"/>
      <c r="X220" s="112"/>
    </row>
    <row r="221" spans="1:24" x14ac:dyDescent="0.3">
      <c r="A221" s="40" t="str">
        <f>VLOOKUP(B221,Grupos!$A$2:$B$619,2,FALSE)</f>
        <v>TABLEROS 75 AMP BIMETALICO TAPA LISA</v>
      </c>
      <c r="B221" s="41" t="s">
        <v>367</v>
      </c>
      <c r="C221" s="41" t="s">
        <v>368</v>
      </c>
      <c r="D221" s="42">
        <v>465</v>
      </c>
      <c r="E221" s="43">
        <v>11416.31</v>
      </c>
      <c r="F221" s="43">
        <f>VLOOKUP(B221,Feb!$B$6:$F$305,5,FALSE)</f>
        <v>972.71</v>
      </c>
      <c r="G221" s="126">
        <f t="shared" si="118"/>
        <v>12389.02</v>
      </c>
      <c r="H221" s="127">
        <f t="shared" si="119"/>
        <v>5308584.1499999994</v>
      </c>
      <c r="I221" s="128">
        <f t="shared" si="120"/>
        <v>452310.15</v>
      </c>
      <c r="J221" s="128">
        <f t="shared" si="121"/>
        <v>5760894.2999999998</v>
      </c>
      <c r="K221" s="44">
        <f t="shared" si="109"/>
        <v>3.3042943737058958E-3</v>
      </c>
      <c r="L221" s="45">
        <v>3252.3036865479548</v>
      </c>
      <c r="M221" s="45">
        <f>VLOOKUP(B221,Feb!$B$6:$M$305,12,FALSE)</f>
        <v>5723.6437603003233</v>
      </c>
      <c r="N221" s="45">
        <f t="shared" si="122"/>
        <v>21364.967446848277</v>
      </c>
      <c r="O221" s="46">
        <f t="shared" si="123"/>
        <v>9934709.862784449</v>
      </c>
      <c r="P221" s="47">
        <f t="shared" si="124"/>
        <v>34228.160774193551</v>
      </c>
      <c r="Q221" s="47">
        <v>88950</v>
      </c>
      <c r="R221" s="47">
        <f t="shared" si="108"/>
        <v>54721.839225806449</v>
      </c>
      <c r="S221" s="191">
        <f t="shared" si="110"/>
        <v>0.61519774284211859</v>
      </c>
      <c r="T221" s="42">
        <v>15916094.76</v>
      </c>
      <c r="U221" s="152">
        <f t="shared" si="107"/>
        <v>0.62419268121927474</v>
      </c>
      <c r="V221" s="49"/>
      <c r="X221" s="112"/>
    </row>
    <row r="222" spans="1:24" x14ac:dyDescent="0.3">
      <c r="A222" s="40" t="str">
        <f>VLOOKUP(B222,Grupos!$A$2:$B$619,2,FALSE)</f>
        <v>TABLEROS 75 AMP BIMETALICO TAPA PLASTICA</v>
      </c>
      <c r="B222" s="41" t="s">
        <v>369</v>
      </c>
      <c r="C222" s="41" t="s">
        <v>370</v>
      </c>
      <c r="D222" s="42">
        <v>399</v>
      </c>
      <c r="E222" s="43">
        <v>8139.61</v>
      </c>
      <c r="F222" s="43">
        <f>VLOOKUP(B222,Feb!$B$6:$F$305,5,FALSE)</f>
        <v>859.56</v>
      </c>
      <c r="G222" s="126">
        <f>E222+F222</f>
        <v>8999.17</v>
      </c>
      <c r="H222" s="127">
        <f>E222*D222</f>
        <v>3247704.3899999997</v>
      </c>
      <c r="I222" s="128">
        <f>F222*D222</f>
        <v>342964.44</v>
      </c>
      <c r="J222" s="128">
        <f>G222*D222</f>
        <v>3590668.83</v>
      </c>
      <c r="K222" s="44">
        <f t="shared" si="109"/>
        <v>2.0595112833106713E-3</v>
      </c>
      <c r="L222" s="45">
        <v>2314.8554674237157</v>
      </c>
      <c r="M222" s="45">
        <f>VLOOKUP(B222,Feb!$B$6:$M$305,12,FALSE)</f>
        <v>5057.8437875664331</v>
      </c>
      <c r="N222" s="45">
        <f>G222+L222+M222</f>
        <v>16371.869254990148</v>
      </c>
      <c r="O222" s="46">
        <f>N222*D222</f>
        <v>6532375.8327410687</v>
      </c>
      <c r="P222" s="47">
        <f>T222/D222</f>
        <v>21433.860626566417</v>
      </c>
      <c r="Q222" s="47">
        <v>55150</v>
      </c>
      <c r="R222" s="47">
        <f t="shared" si="108"/>
        <v>33716.139373433587</v>
      </c>
      <c r="S222" s="191">
        <f t="shared" si="110"/>
        <v>0.61135338845754461</v>
      </c>
      <c r="T222" s="42">
        <v>8552110.3900000006</v>
      </c>
      <c r="U222" s="152">
        <f t="shared" si="107"/>
        <v>0.76383202915380843</v>
      </c>
      <c r="V222" s="49"/>
      <c r="X222" s="112"/>
    </row>
    <row r="223" spans="1:24" x14ac:dyDescent="0.3">
      <c r="A223" s="40" t="str">
        <f>VLOOKUP(B223,Grupos!$A$2:$B$619,2,FALSE)</f>
        <v>TABLEROS 75 AMP BIMETALICO TAPA PLASTICA</v>
      </c>
      <c r="B223" s="41" t="s">
        <v>371</v>
      </c>
      <c r="C223" s="41" t="s">
        <v>372</v>
      </c>
      <c r="D223" s="42">
        <v>105</v>
      </c>
      <c r="E223" s="43">
        <v>7809.09</v>
      </c>
      <c r="F223" s="43">
        <f>VLOOKUP(B223,Feb!$B$6:$F$305,5,FALSE)</f>
        <v>749.32</v>
      </c>
      <c r="G223" s="126">
        <f>E223+F223</f>
        <v>8558.41</v>
      </c>
      <c r="H223" s="127">
        <f>E223*D223</f>
        <v>819954.45000000007</v>
      </c>
      <c r="I223" s="128">
        <f>F223*D223</f>
        <v>78678.600000000006</v>
      </c>
      <c r="J223" s="128">
        <f>G223*D223</f>
        <v>898633.04999999993</v>
      </c>
      <c r="K223" s="44">
        <f t="shared" si="109"/>
        <v>5.1543180216675187E-4</v>
      </c>
      <c r="L223" s="45">
        <v>2230.7845262252599</v>
      </c>
      <c r="M223" s="45">
        <f>VLOOKUP(B223,Feb!$B$6:$M$305,12,FALSE)</f>
        <v>4409.1669073703761</v>
      </c>
      <c r="N223" s="45">
        <f>G223+L223+M223</f>
        <v>15198.361433595635</v>
      </c>
      <c r="O223" s="46">
        <f>N223*D223</f>
        <v>1595827.9505275418</v>
      </c>
      <c r="P223" s="47">
        <f>T223/D223</f>
        <v>20169.14333333333</v>
      </c>
      <c r="Q223" s="47">
        <v>55150</v>
      </c>
      <c r="R223" s="47">
        <f t="shared" si="108"/>
        <v>34980.856666666674</v>
      </c>
      <c r="S223" s="191">
        <f t="shared" si="110"/>
        <v>0.63428570565125431</v>
      </c>
      <c r="T223" s="42">
        <v>2117760.0499999998</v>
      </c>
      <c r="U223" s="152">
        <f t="shared" si="107"/>
        <v>0.75354521421231924</v>
      </c>
      <c r="V223" s="49"/>
      <c r="X223" s="112"/>
    </row>
    <row r="224" spans="1:24" x14ac:dyDescent="0.3">
      <c r="A224" s="40" t="str">
        <f>VLOOKUP(B224,Grupos!$A$2:$B$619,2,FALSE)</f>
        <v>TABLEROS 75 AMP BIMETALICO TAPA PLASTICA</v>
      </c>
      <c r="B224" s="41" t="s">
        <v>373</v>
      </c>
      <c r="C224" s="41" t="s">
        <v>374</v>
      </c>
      <c r="D224" s="42">
        <v>390</v>
      </c>
      <c r="E224" s="43">
        <v>9661.75</v>
      </c>
      <c r="F224" s="43">
        <f>VLOOKUP(B224,Feb!$B$6:$F$305,5,FALSE)</f>
        <v>917.82</v>
      </c>
      <c r="G224" s="126">
        <f>E224+F224</f>
        <v>10579.57</v>
      </c>
      <c r="H224" s="127">
        <f>E224*D224</f>
        <v>3768082.5</v>
      </c>
      <c r="I224" s="128">
        <f>F224*D224</f>
        <v>357949.80000000005</v>
      </c>
      <c r="J224" s="128">
        <f>G224*D224</f>
        <v>4126032.3</v>
      </c>
      <c r="K224" s="44">
        <f t="shared" si="109"/>
        <v>2.3665814029288465E-3</v>
      </c>
      <c r="L224" s="45">
        <v>2739.4193808943205</v>
      </c>
      <c r="M224" s="45">
        <f>VLOOKUP(B224,Feb!$B$6:$M$305,12,FALSE)</f>
        <v>5400.6586917774493</v>
      </c>
      <c r="N224" s="45">
        <f>G224+L224+M224</f>
        <v>18719.648072671771</v>
      </c>
      <c r="O224" s="46">
        <f>N224*D224</f>
        <v>7300662.7483419906</v>
      </c>
      <c r="P224" s="47">
        <f>T224/D224</f>
        <v>26663.769461538461</v>
      </c>
      <c r="Q224" s="47">
        <v>68100</v>
      </c>
      <c r="R224" s="47">
        <f t="shared" si="108"/>
        <v>41436.230538461539</v>
      </c>
      <c r="S224" s="191">
        <f t="shared" si="110"/>
        <v>0.60846153507285672</v>
      </c>
      <c r="T224" s="42">
        <v>10398870.09</v>
      </c>
      <c r="U224" s="152">
        <f t="shared" si="107"/>
        <v>0.70206307850336758</v>
      </c>
      <c r="V224" s="49"/>
      <c r="X224" s="112"/>
    </row>
    <row r="225" spans="1:24" x14ac:dyDescent="0.3">
      <c r="A225" s="40" t="str">
        <f>VLOOKUP(B225,Grupos!$A$2:$B$619,2,FALSE)</f>
        <v>TABLEROS 75 AMP BIMETALICO TAPA PLASTICA</v>
      </c>
      <c r="B225" s="41" t="s">
        <v>375</v>
      </c>
      <c r="C225" s="41" t="s">
        <v>376</v>
      </c>
      <c r="D225" s="42">
        <v>480</v>
      </c>
      <c r="E225" s="43">
        <v>9346.18</v>
      </c>
      <c r="F225" s="43">
        <f>VLOOKUP(B225,Feb!$B$6:$F$305,5,FALSE)</f>
        <v>875.23</v>
      </c>
      <c r="G225" s="126">
        <f>E225+F225</f>
        <v>10221.41</v>
      </c>
      <c r="H225" s="127">
        <f>E225*D225</f>
        <v>4486166.4000000004</v>
      </c>
      <c r="I225" s="128">
        <f>F225*D225</f>
        <v>420110.4</v>
      </c>
      <c r="J225" s="128">
        <f>G225*D225</f>
        <v>4906276.8</v>
      </c>
      <c r="K225" s="44">
        <f t="shared" si="109"/>
        <v>2.8141087098375967E-3</v>
      </c>
      <c r="L225" s="45">
        <v>2619.5004081823531</v>
      </c>
      <c r="M225" s="45">
        <f>VLOOKUP(B225,Feb!$B$6:$M$305,12,FALSE)</f>
        <v>5150.0495814041715</v>
      </c>
      <c r="N225" s="45">
        <f>G225+L225+M225</f>
        <v>17990.959989586525</v>
      </c>
      <c r="O225" s="46">
        <f>N225*D225</f>
        <v>8635660.7950015329</v>
      </c>
      <c r="P225" s="47">
        <f>T225/D225</f>
        <v>25175.719354166664</v>
      </c>
      <c r="Q225" s="47">
        <v>68100</v>
      </c>
      <c r="R225" s="47">
        <f t="shared" si="108"/>
        <v>42924.280645833336</v>
      </c>
      <c r="S225" s="191">
        <f t="shared" si="110"/>
        <v>0.63031249112824284</v>
      </c>
      <c r="T225" s="42">
        <v>12084345.289999999</v>
      </c>
      <c r="U225" s="152">
        <f t="shared" si="107"/>
        <v>0.71461552841821629</v>
      </c>
      <c r="V225" s="49"/>
      <c r="X225" s="112"/>
    </row>
    <row r="226" spans="1:24" x14ac:dyDescent="0.3">
      <c r="A226" s="40" t="str">
        <f>VLOOKUP(B226,Grupos!$A$2:$B$619,2,FALSE)</f>
        <v>TABLEROS 75 AMP COBRE CON PUERTA</v>
      </c>
      <c r="B226" s="41" t="s">
        <v>377</v>
      </c>
      <c r="C226" s="41" t="s">
        <v>1088</v>
      </c>
      <c r="D226" s="42">
        <v>306</v>
      </c>
      <c r="E226" s="43">
        <v>12629.27</v>
      </c>
      <c r="F226" s="43">
        <f>VLOOKUP(B226,Feb!$B$6:$F$305,5,FALSE)</f>
        <v>1041.76</v>
      </c>
      <c r="G226" s="126">
        <f t="shared" ref="G226:G231" si="125">E226+F226</f>
        <v>13671.03</v>
      </c>
      <c r="H226" s="127">
        <f t="shared" ref="H226:H231" si="126">E226*D226</f>
        <v>3864556.62</v>
      </c>
      <c r="I226" s="128">
        <f t="shared" ref="I226:I231" si="127">F226*D226</f>
        <v>318778.56</v>
      </c>
      <c r="J226" s="128">
        <f t="shared" ref="J226:J231" si="128">G226*D226</f>
        <v>4183335.18</v>
      </c>
      <c r="K226" s="44">
        <f t="shared" si="109"/>
        <v>2.3994487971424751E-3</v>
      </c>
      <c r="L226" s="45">
        <v>3278.7785541271346</v>
      </c>
      <c r="M226" s="45">
        <f>VLOOKUP(B226,Feb!$B$6:$M$305,12,FALSE)</f>
        <v>6129.9494440588296</v>
      </c>
      <c r="N226" s="45">
        <f t="shared" ref="N226:N231" si="129">G226+L226+M226</f>
        <v>23079.757998185967</v>
      </c>
      <c r="O226" s="46">
        <f t="shared" ref="O226:O231" si="130">N226*D226</f>
        <v>7062405.9474449055</v>
      </c>
      <c r="P226" s="47">
        <f t="shared" ref="P226:P231" si="131">T226/D226</f>
        <v>31785.882254901964</v>
      </c>
      <c r="Q226" s="47">
        <v>79000</v>
      </c>
      <c r="R226" s="47">
        <f t="shared" si="108"/>
        <v>47214.117745098032</v>
      </c>
      <c r="S226" s="191">
        <f t="shared" si="110"/>
        <v>0.59764706006453205</v>
      </c>
      <c r="T226" s="42">
        <v>9726479.9700000007</v>
      </c>
      <c r="U226" s="48">
        <f t="shared" si="107"/>
        <v>0.72610090898536084</v>
      </c>
      <c r="V226" s="49"/>
      <c r="X226" s="112"/>
    </row>
    <row r="227" spans="1:24" x14ac:dyDescent="0.3">
      <c r="A227" s="40" t="str">
        <f>VLOOKUP(B227,Grupos!$A$2:$B$619,2,FALSE)</f>
        <v>TABLEROS 75 AMP COBRE CON PUERTA</v>
      </c>
      <c r="B227" s="41" t="s">
        <v>378</v>
      </c>
      <c r="C227" s="41" t="s">
        <v>379</v>
      </c>
      <c r="D227" s="42">
        <v>623</v>
      </c>
      <c r="E227" s="43">
        <v>12054.51</v>
      </c>
      <c r="F227" s="43">
        <f>VLOOKUP(B227,Feb!$B$6:$F$305,5,FALSE)</f>
        <v>1067.55</v>
      </c>
      <c r="G227" s="126">
        <f t="shared" si="125"/>
        <v>13122.06</v>
      </c>
      <c r="H227" s="127">
        <f t="shared" si="126"/>
        <v>7509959.7300000004</v>
      </c>
      <c r="I227" s="128">
        <f t="shared" si="127"/>
        <v>665083.65</v>
      </c>
      <c r="J227" s="128">
        <f t="shared" si="128"/>
        <v>8175043.3799999999</v>
      </c>
      <c r="K227" s="44">
        <f t="shared" si="109"/>
        <v>4.6889855009725886E-3</v>
      </c>
      <c r="L227" s="45">
        <v>3138.6408865737308</v>
      </c>
      <c r="M227" s="45">
        <f>VLOOKUP(B227,Feb!$B$6:$M$305,12,FALSE)</f>
        <v>6281.7035872033903</v>
      </c>
      <c r="N227" s="45">
        <f t="shared" si="129"/>
        <v>22542.404473777118</v>
      </c>
      <c r="O227" s="46">
        <f t="shared" si="130"/>
        <v>14043917.987163145</v>
      </c>
      <c r="P227" s="47">
        <f t="shared" si="131"/>
        <v>34662.163515248794</v>
      </c>
      <c r="Q227" s="47">
        <v>87300</v>
      </c>
      <c r="R227" s="47">
        <f t="shared" si="108"/>
        <v>52637.836484751206</v>
      </c>
      <c r="S227" s="191">
        <f t="shared" si="110"/>
        <v>0.6029534534335762</v>
      </c>
      <c r="T227" s="42">
        <v>21594527.870000001</v>
      </c>
      <c r="U227" s="48">
        <f t="shared" si="107"/>
        <v>0.65034614656584033</v>
      </c>
      <c r="V227" s="49"/>
      <c r="X227" s="112"/>
    </row>
    <row r="228" spans="1:24" x14ac:dyDescent="0.3">
      <c r="A228" s="40" t="str">
        <f>VLOOKUP(B228,Grupos!$A$2:$B$619,2,FALSE)</f>
        <v>TABLEROS 75 AMP COBRE CON PUERTA</v>
      </c>
      <c r="B228" s="41" t="s">
        <v>380</v>
      </c>
      <c r="C228" s="41" t="s">
        <v>381</v>
      </c>
      <c r="D228" s="42">
        <v>1138</v>
      </c>
      <c r="E228" s="43">
        <v>11987.16</v>
      </c>
      <c r="F228" s="43">
        <f>VLOOKUP(B228,Feb!$B$6:$F$305,5,FALSE)</f>
        <v>1048.3900000000001</v>
      </c>
      <c r="G228" s="126">
        <f t="shared" si="125"/>
        <v>13035.55</v>
      </c>
      <c r="H228" s="127">
        <f t="shared" si="126"/>
        <v>13641388.08</v>
      </c>
      <c r="I228" s="128">
        <f t="shared" si="127"/>
        <v>1193067.82</v>
      </c>
      <c r="J228" s="128">
        <f t="shared" si="128"/>
        <v>14834455.899999999</v>
      </c>
      <c r="K228" s="44">
        <f t="shared" si="109"/>
        <v>8.5086458134387612E-3</v>
      </c>
      <c r="L228" s="45">
        <v>3118.8059154449129</v>
      </c>
      <c r="M228" s="45">
        <f>VLOOKUP(B228,Feb!$B$6:$M$305,12,FALSE)</f>
        <v>6168.9618507687346</v>
      </c>
      <c r="N228" s="45">
        <f t="shared" si="129"/>
        <v>22323.317766213648</v>
      </c>
      <c r="O228" s="46">
        <f t="shared" si="130"/>
        <v>25403935.617951132</v>
      </c>
      <c r="P228" s="47">
        <f t="shared" si="131"/>
        <v>31866.323181019332</v>
      </c>
      <c r="Q228" s="47">
        <v>79000</v>
      </c>
      <c r="R228" s="47">
        <f t="shared" si="108"/>
        <v>47133.676818980668</v>
      </c>
      <c r="S228" s="191">
        <f t="shared" si="110"/>
        <v>0.59662882049342614</v>
      </c>
      <c r="T228" s="42">
        <v>36263875.780000001</v>
      </c>
      <c r="U228" s="48">
        <f t="shared" si="107"/>
        <v>0.70053007494476727</v>
      </c>
      <c r="V228" s="49"/>
      <c r="X228" s="112"/>
    </row>
    <row r="229" spans="1:24" x14ac:dyDescent="0.3">
      <c r="A229" s="40" t="str">
        <f>VLOOKUP(B229,Grupos!$A$2:$B$619,2,FALSE)</f>
        <v>TABLEROS 75 AMP COBRE CON PUERTA</v>
      </c>
      <c r="B229" s="41" t="s">
        <v>382</v>
      </c>
      <c r="C229" s="41" t="s">
        <v>383</v>
      </c>
      <c r="D229" s="42">
        <v>80</v>
      </c>
      <c r="E229" s="43">
        <v>16650.59</v>
      </c>
      <c r="F229" s="43">
        <f>VLOOKUP(B229,Feb!$B$6:$F$305,5,FALSE)</f>
        <v>1289.9000000000001</v>
      </c>
      <c r="G229" s="126">
        <f t="shared" si="125"/>
        <v>17940.490000000002</v>
      </c>
      <c r="H229" s="127">
        <f t="shared" si="126"/>
        <v>1332047.2</v>
      </c>
      <c r="I229" s="128">
        <f t="shared" si="127"/>
        <v>103192</v>
      </c>
      <c r="J229" s="128">
        <f t="shared" si="128"/>
        <v>1435239.2000000002</v>
      </c>
      <c r="K229" s="44">
        <f t="shared" si="109"/>
        <v>8.2321468968492469E-4</v>
      </c>
      <c r="L229" s="45">
        <v>4283.4252483475848</v>
      </c>
      <c r="M229" s="45">
        <f>VLOOKUP(B229,Feb!$B$6:$M$305,12,FALSE)</f>
        <v>7590.0608469239414</v>
      </c>
      <c r="N229" s="45">
        <f t="shared" si="129"/>
        <v>29813.976095271526</v>
      </c>
      <c r="O229" s="46">
        <f t="shared" si="130"/>
        <v>2385118.0876217219</v>
      </c>
      <c r="P229" s="47">
        <f t="shared" si="131"/>
        <v>43055.701500000003</v>
      </c>
      <c r="Q229" s="47">
        <v>107850</v>
      </c>
      <c r="R229" s="47">
        <f t="shared" si="108"/>
        <v>64794.298499999997</v>
      </c>
      <c r="S229" s="191">
        <f t="shared" si="110"/>
        <v>0.60078162726008344</v>
      </c>
      <c r="T229" s="42">
        <v>3444456.12</v>
      </c>
      <c r="U229" s="48">
        <f t="shared" si="107"/>
        <v>0.69245129115528459</v>
      </c>
      <c r="V229" s="49"/>
      <c r="X229" s="112"/>
    </row>
    <row r="230" spans="1:24" x14ac:dyDescent="0.3">
      <c r="A230" s="40" t="str">
        <f>VLOOKUP(B230,Grupos!$A$2:$B$619,2,FALSE)</f>
        <v>TABLEROS 75 AMP COBRE CON PUERTA</v>
      </c>
      <c r="B230" s="41" t="s">
        <v>386</v>
      </c>
      <c r="C230" s="41" t="s">
        <v>387</v>
      </c>
      <c r="D230" s="42">
        <v>623</v>
      </c>
      <c r="E230" s="43">
        <v>15744.75</v>
      </c>
      <c r="F230" s="43">
        <f>VLOOKUP(B230,Feb!$B$6:$F$305,5,FALSE)</f>
        <v>1354.08</v>
      </c>
      <c r="G230" s="126">
        <f t="shared" si="125"/>
        <v>17098.830000000002</v>
      </c>
      <c r="H230" s="127">
        <f t="shared" si="126"/>
        <v>9808979.25</v>
      </c>
      <c r="I230" s="128">
        <f t="shared" si="127"/>
        <v>843591.84</v>
      </c>
      <c r="J230" s="128">
        <f t="shared" si="128"/>
        <v>10652571.090000002</v>
      </c>
      <c r="K230" s="44">
        <f t="shared" si="109"/>
        <v>6.11002890960681E-3</v>
      </c>
      <c r="L230" s="45">
        <v>4086.9443213741001</v>
      </c>
      <c r="M230" s="45">
        <f>VLOOKUP(B230,Feb!$B$6:$M$305,12,FALSE)</f>
        <v>7967.7103586345993</v>
      </c>
      <c r="N230" s="45">
        <f t="shared" si="129"/>
        <v>29153.4846800087</v>
      </c>
      <c r="O230" s="46">
        <f t="shared" si="130"/>
        <v>18162620.95564542</v>
      </c>
      <c r="P230" s="47">
        <f t="shared" si="131"/>
        <v>42644.893980738365</v>
      </c>
      <c r="Q230" s="47">
        <v>107850</v>
      </c>
      <c r="R230" s="47">
        <f t="shared" si="108"/>
        <v>65205.106019261635</v>
      </c>
      <c r="S230" s="191">
        <f t="shared" si="110"/>
        <v>0.60459069095282003</v>
      </c>
      <c r="T230" s="42">
        <v>26567768.949999999</v>
      </c>
      <c r="U230" s="48">
        <f t="shared" si="107"/>
        <v>0.68363365361341044</v>
      </c>
      <c r="V230" s="49"/>
      <c r="X230" s="112"/>
    </row>
    <row r="231" spans="1:24" x14ac:dyDescent="0.3">
      <c r="A231" s="40" t="str">
        <f>VLOOKUP(B231,Grupos!$A$2:$B$619,2,FALSE)</f>
        <v>TABLEROS 75 AMP COBRE CON PUERTA</v>
      </c>
      <c r="B231" s="41" t="s">
        <v>388</v>
      </c>
      <c r="C231" s="41" t="s">
        <v>1090</v>
      </c>
      <c r="D231" s="42">
        <v>1486</v>
      </c>
      <c r="E231" s="43">
        <v>15643.34</v>
      </c>
      <c r="F231" s="43">
        <f>VLOOKUP(B231,Feb!$B$6:$F$305,5,FALSE)</f>
        <v>1373.63</v>
      </c>
      <c r="G231" s="126">
        <f t="shared" si="125"/>
        <v>17016.97</v>
      </c>
      <c r="H231" s="127">
        <f t="shared" si="126"/>
        <v>23246003.239999998</v>
      </c>
      <c r="I231" s="128">
        <f t="shared" si="127"/>
        <v>2041214.1800000002</v>
      </c>
      <c r="J231" s="128">
        <f t="shared" si="128"/>
        <v>25287217.420000002</v>
      </c>
      <c r="K231" s="44">
        <f t="shared" si="109"/>
        <v>1.4504069315693525E-2</v>
      </c>
      <c r="L231" s="45">
        <v>4061.6675443477693</v>
      </c>
      <c r="M231" s="45">
        <f>VLOOKUP(B231,Feb!$B$6:$M$305,12,FALSE)</f>
        <v>8082.74694252278</v>
      </c>
      <c r="N231" s="45">
        <f t="shared" si="129"/>
        <v>29161.384486870549</v>
      </c>
      <c r="O231" s="46">
        <f t="shared" si="130"/>
        <v>43333817.347489633</v>
      </c>
      <c r="P231" s="47">
        <f t="shared" si="131"/>
        <v>39204.350053835798</v>
      </c>
      <c r="Q231" s="47">
        <v>98100</v>
      </c>
      <c r="R231" s="47">
        <f t="shared" si="108"/>
        <v>58895.649946164202</v>
      </c>
      <c r="S231" s="191">
        <f t="shared" si="110"/>
        <v>0.60036340414030787</v>
      </c>
      <c r="T231" s="42">
        <v>58257664.18</v>
      </c>
      <c r="U231" s="48">
        <f t="shared" si="107"/>
        <v>0.74383032614558964</v>
      </c>
      <c r="V231" s="49"/>
      <c r="X231" s="112"/>
    </row>
    <row r="232" spans="1:24" x14ac:dyDescent="0.3">
      <c r="A232" s="40" t="str">
        <f>VLOOKUP(B232,Grupos!$A$2:$B$619,2,FALSE)</f>
        <v>TABLEROS 75 AMP COBRE TAPA LISA</v>
      </c>
      <c r="B232" s="41" t="s">
        <v>389</v>
      </c>
      <c r="C232" s="41" t="s">
        <v>390</v>
      </c>
      <c r="D232" s="42">
        <v>888</v>
      </c>
      <c r="E232" s="43">
        <v>7547.61</v>
      </c>
      <c r="F232" s="43">
        <f>VLOOKUP(B232,Feb!$B$6:$F$305,5,FALSE)</f>
        <v>440.07</v>
      </c>
      <c r="G232" s="126">
        <f t="shared" ref="G232:G249" si="132">E232+F232</f>
        <v>7987.6799999999994</v>
      </c>
      <c r="H232" s="127">
        <f t="shared" ref="H232:H249" si="133">E232*D232</f>
        <v>6702277.6799999997</v>
      </c>
      <c r="I232" s="128">
        <f t="shared" ref="I232:I249" si="134">F232*D232</f>
        <v>390782.16</v>
      </c>
      <c r="J232" s="128">
        <f t="shared" ref="J232:J249" si="135">G232*D232</f>
        <v>7093059.8399999999</v>
      </c>
      <c r="K232" s="44">
        <f t="shared" si="109"/>
        <v>4.0683887780533032E-3</v>
      </c>
      <c r="L232" s="45">
        <v>1919.7962498076349</v>
      </c>
      <c r="M232" s="45">
        <f>VLOOKUP(B232,Feb!$B$6:$M$305,12,FALSE)</f>
        <v>2589.470561210806</v>
      </c>
      <c r="N232" s="45">
        <f t="shared" ref="N232:N249" si="136">G232+L232+M232</f>
        <v>12496.946811018441</v>
      </c>
      <c r="O232" s="46">
        <f t="shared" ref="O232:O249" si="137">N232*D232</f>
        <v>11097288.768184375</v>
      </c>
      <c r="P232" s="47">
        <f t="shared" ref="P232:P249" si="138">T232/D232</f>
        <v>18486.756306306306</v>
      </c>
      <c r="Q232" s="47">
        <v>46850</v>
      </c>
      <c r="R232" s="47">
        <f t="shared" si="108"/>
        <v>28363.243693693694</v>
      </c>
      <c r="S232" s="191">
        <f t="shared" si="110"/>
        <v>0.60540541502014289</v>
      </c>
      <c r="T232" s="42">
        <v>16416239.6</v>
      </c>
      <c r="U232" s="48">
        <f t="shared" si="107"/>
        <v>0.67599456626987675</v>
      </c>
      <c r="V232" s="49"/>
      <c r="X232" s="112"/>
    </row>
    <row r="233" spans="1:24" x14ac:dyDescent="0.3">
      <c r="A233" s="40" t="str">
        <f>VLOOKUP(B233,Grupos!$A$2:$B$619,2,FALSE)</f>
        <v>TABLEROS 75 AMP COBRE TAPA LISA</v>
      </c>
      <c r="B233" s="41" t="s">
        <v>391</v>
      </c>
      <c r="C233" s="41" t="s">
        <v>392</v>
      </c>
      <c r="D233" s="42">
        <v>1988</v>
      </c>
      <c r="E233" s="43">
        <v>7523.93</v>
      </c>
      <c r="F233" s="43">
        <f>VLOOKUP(B233,Feb!$B$6:$F$305,5,FALSE)</f>
        <v>420.86</v>
      </c>
      <c r="G233" s="126">
        <f t="shared" si="132"/>
        <v>7944.79</v>
      </c>
      <c r="H233" s="127">
        <f t="shared" si="133"/>
        <v>14957572.84</v>
      </c>
      <c r="I233" s="128">
        <f t="shared" si="134"/>
        <v>836669.68</v>
      </c>
      <c r="J233" s="128">
        <f t="shared" si="135"/>
        <v>15794242.52</v>
      </c>
      <c r="K233" s="44">
        <f t="shared" si="109"/>
        <v>9.0591536622677531E-3</v>
      </c>
      <c r="L233" s="45">
        <v>2019.2120023279144</v>
      </c>
      <c r="M233" s="45">
        <f>VLOOKUP(B233,Feb!$B$6:$M$305,12,FALSE)</f>
        <v>2476.4346135641599</v>
      </c>
      <c r="N233" s="45">
        <f t="shared" si="136"/>
        <v>12440.436615892075</v>
      </c>
      <c r="O233" s="46">
        <f t="shared" si="137"/>
        <v>24731587.992393445</v>
      </c>
      <c r="P233" s="47">
        <f t="shared" si="138"/>
        <v>17716.020160965792</v>
      </c>
      <c r="Q233" s="47">
        <v>44550</v>
      </c>
      <c r="R233" s="47">
        <f t="shared" si="108"/>
        <v>26833.979839034208</v>
      </c>
      <c r="S233" s="191">
        <f t="shared" si="110"/>
        <v>0.60233400312085761</v>
      </c>
      <c r="T233" s="42">
        <v>35219448.079999998</v>
      </c>
      <c r="U233" s="152">
        <f t="shared" si="107"/>
        <v>0.70221395679501653</v>
      </c>
      <c r="V233" s="49"/>
      <c r="X233" s="112"/>
    </row>
    <row r="234" spans="1:24" x14ac:dyDescent="0.3">
      <c r="A234" s="40" t="str">
        <f>VLOOKUP(B234,Grupos!$A$2:$B$619,2,FALSE)</f>
        <v>TABLEROS 75 AMP COBRE TAPA LISA</v>
      </c>
      <c r="B234" s="41" t="s">
        <v>393</v>
      </c>
      <c r="C234" s="41" t="s">
        <v>1087</v>
      </c>
      <c r="D234" s="42">
        <v>144</v>
      </c>
      <c r="E234" s="43">
        <v>7420.34</v>
      </c>
      <c r="F234" s="43">
        <f>VLOOKUP(B234,Feb!$B$6:$F$305,5,FALSE)</f>
        <v>537.73</v>
      </c>
      <c r="G234" s="126">
        <f t="shared" si="132"/>
        <v>7958.07</v>
      </c>
      <c r="H234" s="127">
        <f t="shared" si="133"/>
        <v>1068528.96</v>
      </c>
      <c r="I234" s="128">
        <f t="shared" si="134"/>
        <v>77433.119999999995</v>
      </c>
      <c r="J234" s="128">
        <f t="shared" si="135"/>
        <v>1145962.08</v>
      </c>
      <c r="K234" s="44">
        <f t="shared" si="109"/>
        <v>6.5729309656389738E-4</v>
      </c>
      <c r="L234" s="45">
        <v>1914.9303585731423</v>
      </c>
      <c r="M234" s="45">
        <f>VLOOKUP(B234,Feb!$B$6:$M$305,12,FALSE)</f>
        <v>3164.1239004701224</v>
      </c>
      <c r="N234" s="45">
        <f t="shared" si="136"/>
        <v>13037.124259043265</v>
      </c>
      <c r="O234" s="46">
        <f t="shared" si="137"/>
        <v>1877345.8933022302</v>
      </c>
      <c r="P234" s="47">
        <f t="shared" si="138"/>
        <v>18271.499305555553</v>
      </c>
      <c r="Q234" s="47">
        <v>46850</v>
      </c>
      <c r="R234" s="47">
        <f t="shared" si="108"/>
        <v>28578.500694444447</v>
      </c>
      <c r="S234" s="191">
        <f t="shared" si="110"/>
        <v>0.61000001482272026</v>
      </c>
      <c r="T234" s="42">
        <v>2631095.9</v>
      </c>
      <c r="U234" s="48">
        <f t="shared" si="107"/>
        <v>0.71352241220178647</v>
      </c>
      <c r="V234" s="49"/>
      <c r="X234" s="112"/>
    </row>
    <row r="235" spans="1:24" x14ac:dyDescent="0.3">
      <c r="A235" s="40" t="str">
        <f>VLOOKUP(B235,Grupos!$A$2:$B$619,2,FALSE)</f>
        <v>TABLEROS 75 AMP COBRE TAPA LISA</v>
      </c>
      <c r="B235" s="41" t="s">
        <v>394</v>
      </c>
      <c r="C235" s="41" t="s">
        <v>395</v>
      </c>
      <c r="D235" s="42">
        <v>261</v>
      </c>
      <c r="E235" s="43">
        <v>7807.12</v>
      </c>
      <c r="F235" s="43">
        <f>VLOOKUP(B235,Feb!$B$6:$F$305,5,FALSE)</f>
        <v>493.13</v>
      </c>
      <c r="G235" s="126">
        <f t="shared" si="132"/>
        <v>8300.25</v>
      </c>
      <c r="H235" s="127">
        <f t="shared" si="133"/>
        <v>2037658.32</v>
      </c>
      <c r="I235" s="128">
        <f t="shared" si="134"/>
        <v>128706.93</v>
      </c>
      <c r="J235" s="128">
        <f t="shared" si="135"/>
        <v>2166365.25</v>
      </c>
      <c r="K235" s="44">
        <f t="shared" si="109"/>
        <v>1.242568971794356E-3</v>
      </c>
      <c r="L235" s="45">
        <v>2123.9345381406292</v>
      </c>
      <c r="M235" s="45">
        <f>VLOOKUP(B235,Feb!$B$6:$M$305,12,FALSE)</f>
        <v>2901.6874993748374</v>
      </c>
      <c r="N235" s="45">
        <f t="shared" si="136"/>
        <v>13325.872037515466</v>
      </c>
      <c r="O235" s="46">
        <f t="shared" si="137"/>
        <v>3478052.6017915369</v>
      </c>
      <c r="P235" s="47">
        <f t="shared" si="138"/>
        <v>17024.430153256704</v>
      </c>
      <c r="Q235" s="47">
        <v>44550</v>
      </c>
      <c r="R235" s="47">
        <f t="shared" si="108"/>
        <v>27525.569846743296</v>
      </c>
      <c r="S235" s="191">
        <f t="shared" si="110"/>
        <v>0.61785790901780691</v>
      </c>
      <c r="T235" s="42">
        <v>4443376.2699999996</v>
      </c>
      <c r="U235" s="152">
        <f t="shared" si="107"/>
        <v>0.78274996094164617</v>
      </c>
      <c r="V235" s="49"/>
      <c r="X235" s="112"/>
    </row>
    <row r="236" spans="1:24" x14ac:dyDescent="0.3">
      <c r="A236" s="40" t="str">
        <f>VLOOKUP(B236,Grupos!$A$2:$B$619,2,FALSE)</f>
        <v>TABLEROS 75 AMP COBRE TAPA LISA</v>
      </c>
      <c r="B236" s="41" t="s">
        <v>396</v>
      </c>
      <c r="C236" s="41" t="s">
        <v>397</v>
      </c>
      <c r="D236" s="42">
        <v>20</v>
      </c>
      <c r="E236" s="43">
        <v>10974.58</v>
      </c>
      <c r="F236" s="43">
        <f>VLOOKUP(B236,Feb!$B$6:$F$305,5,FALSE)</f>
        <v>709.86</v>
      </c>
      <c r="G236" s="126">
        <f t="shared" si="132"/>
        <v>11684.44</v>
      </c>
      <c r="H236" s="127">
        <f t="shared" si="133"/>
        <v>219491.6</v>
      </c>
      <c r="I236" s="128">
        <f t="shared" si="134"/>
        <v>14197.2</v>
      </c>
      <c r="J236" s="128">
        <f t="shared" si="135"/>
        <v>233688.80000000002</v>
      </c>
      <c r="K236" s="44">
        <f t="shared" si="109"/>
        <v>1.3403762451223629E-4</v>
      </c>
      <c r="L236" s="45">
        <v>2785.4994178984134</v>
      </c>
      <c r="M236" s="45">
        <f>VLOOKUP(B236,Feb!$B$6:$M$305,12,FALSE)</f>
        <v>4176.9754188676861</v>
      </c>
      <c r="N236" s="45">
        <f t="shared" si="136"/>
        <v>18646.9148367661</v>
      </c>
      <c r="O236" s="46">
        <f t="shared" si="137"/>
        <v>372938.29673532199</v>
      </c>
      <c r="P236" s="47">
        <f t="shared" si="138"/>
        <v>23657.001500000002</v>
      </c>
      <c r="Q236" s="47">
        <v>57700</v>
      </c>
      <c r="R236" s="47">
        <f t="shared" si="108"/>
        <v>34042.998500000002</v>
      </c>
      <c r="S236" s="191">
        <f t="shared" si="110"/>
        <v>0.58999997400346627</v>
      </c>
      <c r="T236" s="42">
        <v>473140.03</v>
      </c>
      <c r="U236" s="48">
        <f t="shared" ref="U236:U276" si="139">O236/T236</f>
        <v>0.7882197089418157</v>
      </c>
      <c r="V236" s="49"/>
      <c r="X236" s="112"/>
    </row>
    <row r="237" spans="1:24" x14ac:dyDescent="0.3">
      <c r="A237" s="40" t="str">
        <f>VLOOKUP(B237,Grupos!$A$2:$B$619,2,FALSE)</f>
        <v>TABLEROS 75 AMP COBRE TAPA LISA</v>
      </c>
      <c r="B237" s="41" t="s">
        <v>398</v>
      </c>
      <c r="C237" s="41" t="s">
        <v>399</v>
      </c>
      <c r="D237" s="42">
        <v>40</v>
      </c>
      <c r="E237" s="43">
        <v>10410.4</v>
      </c>
      <c r="F237" s="43">
        <f>VLOOKUP(B237,Feb!$B$6:$F$305,5,FALSE)</f>
        <v>1009.13</v>
      </c>
      <c r="G237" s="126">
        <f t="shared" si="132"/>
        <v>11419.529999999999</v>
      </c>
      <c r="H237" s="127">
        <f t="shared" si="133"/>
        <v>416416</v>
      </c>
      <c r="I237" s="128">
        <f t="shared" si="134"/>
        <v>40365.199999999997</v>
      </c>
      <c r="J237" s="128">
        <f t="shared" si="135"/>
        <v>456781.19999999995</v>
      </c>
      <c r="K237" s="44">
        <f t="shared" si="109"/>
        <v>2.6199743834470757E-4</v>
      </c>
      <c r="L237" s="45">
        <v>2705.2639273153427</v>
      </c>
      <c r="M237" s="45">
        <f>VLOOKUP(B237,Feb!$B$6:$M$305,12,FALSE)</f>
        <v>5937.9472071140062</v>
      </c>
      <c r="N237" s="45">
        <f t="shared" si="136"/>
        <v>20062.74113442935</v>
      </c>
      <c r="O237" s="46">
        <f t="shared" si="137"/>
        <v>802509.64537717402</v>
      </c>
      <c r="P237" s="47">
        <f t="shared" si="138"/>
        <v>21349.000250000001</v>
      </c>
      <c r="Q237" s="47">
        <v>57700</v>
      </c>
      <c r="R237" s="47">
        <f t="shared" si="108"/>
        <v>36350.999750000003</v>
      </c>
      <c r="S237" s="191">
        <f t="shared" si="110"/>
        <v>0.62999999566724441</v>
      </c>
      <c r="T237" s="42">
        <v>853960.01</v>
      </c>
      <c r="U237" s="48">
        <f t="shared" si="139"/>
        <v>0.939750850133104</v>
      </c>
      <c r="V237" s="49"/>
      <c r="X237" s="112"/>
    </row>
    <row r="238" spans="1:24" x14ac:dyDescent="0.3">
      <c r="A238" s="40" t="str">
        <f>VLOOKUP(B238,Grupos!$A$2:$B$619,2,FALSE)</f>
        <v>TABLEROS 75 AMP COBRE TAPA LISA</v>
      </c>
      <c r="B238" s="41" t="s">
        <v>400</v>
      </c>
      <c r="C238" s="41" t="s">
        <v>401</v>
      </c>
      <c r="D238" s="42">
        <v>160</v>
      </c>
      <c r="E238" s="43">
        <v>10206.969999999999</v>
      </c>
      <c r="F238" s="43">
        <f>VLOOKUP(B238,Feb!$B$6:$F$305,5,FALSE)</f>
        <v>808.54</v>
      </c>
      <c r="G238" s="126">
        <f t="shared" si="132"/>
        <v>11015.509999999998</v>
      </c>
      <c r="H238" s="127">
        <f t="shared" si="133"/>
        <v>1633115.2</v>
      </c>
      <c r="I238" s="128">
        <f t="shared" si="134"/>
        <v>129366.39999999999</v>
      </c>
      <c r="J238" s="128">
        <f t="shared" si="135"/>
        <v>1762481.5999999996</v>
      </c>
      <c r="K238" s="44">
        <f t="shared" si="109"/>
        <v>1.0109121485947354E-3</v>
      </c>
      <c r="L238" s="45">
        <v>2644.0289192677351</v>
      </c>
      <c r="M238" s="45">
        <f>VLOOKUP(B238,Feb!$B$6:$M$305,12,FALSE)</f>
        <v>4757.6306668516027</v>
      </c>
      <c r="N238" s="45">
        <f t="shared" si="136"/>
        <v>18417.169586119337</v>
      </c>
      <c r="O238" s="46">
        <f t="shared" si="137"/>
        <v>2946747.1337790936</v>
      </c>
      <c r="P238" s="47">
        <f t="shared" si="138"/>
        <v>20939.999562500001</v>
      </c>
      <c r="Q238" s="47">
        <v>52350</v>
      </c>
      <c r="R238" s="47">
        <f t="shared" si="108"/>
        <v>31410.000437499999</v>
      </c>
      <c r="S238" s="191">
        <f t="shared" si="110"/>
        <v>0.60000000835721101</v>
      </c>
      <c r="T238" s="42">
        <v>3350399.93</v>
      </c>
      <c r="U238" s="48">
        <f t="shared" si="139"/>
        <v>0.87952101102720992</v>
      </c>
      <c r="V238" s="49"/>
      <c r="X238" s="112"/>
    </row>
    <row r="239" spans="1:24" x14ac:dyDescent="0.3">
      <c r="A239" s="40" t="str">
        <f>VLOOKUP(B239,Grupos!$A$2:$B$619,2,FALSE)</f>
        <v>TABLEROS 75 AMP COBRE TAPA LISA</v>
      </c>
      <c r="B239" s="41" t="s">
        <v>402</v>
      </c>
      <c r="C239" s="41" t="s">
        <v>403</v>
      </c>
      <c r="D239" s="42">
        <v>540</v>
      </c>
      <c r="E239" s="43">
        <v>11218.19</v>
      </c>
      <c r="F239" s="43">
        <f>VLOOKUP(B239,Feb!$B$6:$F$305,5,FALSE)</f>
        <v>1004.85</v>
      </c>
      <c r="G239" s="126">
        <f t="shared" si="132"/>
        <v>12223.04</v>
      </c>
      <c r="H239" s="127">
        <f t="shared" si="133"/>
        <v>6057822.6000000006</v>
      </c>
      <c r="I239" s="128">
        <f t="shared" si="134"/>
        <v>542619</v>
      </c>
      <c r="J239" s="128">
        <f t="shared" si="135"/>
        <v>6600441.6000000006</v>
      </c>
      <c r="K239" s="44">
        <f t="shared" si="109"/>
        <v>3.785836175271319E-3</v>
      </c>
      <c r="L239" s="45">
        <v>2905.1909395785688</v>
      </c>
      <c r="M239" s="45">
        <f>VLOOKUP(B239,Feb!$B$6:$M$305,12,FALSE)</f>
        <v>5912.7627273676426</v>
      </c>
      <c r="N239" s="45">
        <f t="shared" si="136"/>
        <v>21040.993666946211</v>
      </c>
      <c r="O239" s="46">
        <f t="shared" si="137"/>
        <v>11362136.580150954</v>
      </c>
      <c r="P239" s="47">
        <f t="shared" si="138"/>
        <v>25512.592814814812</v>
      </c>
      <c r="Q239" s="47">
        <v>67350</v>
      </c>
      <c r="R239" s="47">
        <f t="shared" si="108"/>
        <v>41837.407185185191</v>
      </c>
      <c r="S239" s="191">
        <f t="shared" si="110"/>
        <v>0.62119387060408604</v>
      </c>
      <c r="T239" s="42">
        <v>13776800.119999999</v>
      </c>
      <c r="U239" s="48">
        <f t="shared" si="139"/>
        <v>0.82472972542124356</v>
      </c>
      <c r="V239" s="49"/>
      <c r="X239" s="112"/>
    </row>
    <row r="240" spans="1:24" x14ac:dyDescent="0.3">
      <c r="A240" s="40" t="str">
        <f>VLOOKUP(B240,Grupos!$A$2:$B$619,2,FALSE)</f>
        <v>TABLEROS 75 AMP COBRE TAPA LISA</v>
      </c>
      <c r="B240" s="41" t="s">
        <v>404</v>
      </c>
      <c r="C240" s="41" t="s">
        <v>405</v>
      </c>
      <c r="D240" s="42">
        <v>1080</v>
      </c>
      <c r="E240" s="43">
        <v>11014.76</v>
      </c>
      <c r="F240" s="43">
        <f>VLOOKUP(B240,Feb!$B$6:$F$305,5,FALSE)</f>
        <v>944.2</v>
      </c>
      <c r="G240" s="126">
        <f t="shared" si="132"/>
        <v>11958.960000000001</v>
      </c>
      <c r="H240" s="127">
        <f t="shared" si="133"/>
        <v>11895940.800000001</v>
      </c>
      <c r="I240" s="128">
        <f t="shared" si="134"/>
        <v>1019736</v>
      </c>
      <c r="J240" s="128">
        <f t="shared" si="135"/>
        <v>12915676.800000001</v>
      </c>
      <c r="K240" s="44">
        <f t="shared" si="109"/>
        <v>7.4080856131735952E-3</v>
      </c>
      <c r="L240" s="45">
        <v>2870.3492778019227</v>
      </c>
      <c r="M240" s="45">
        <f>VLOOKUP(B240,Feb!$B$6:$M$305,12,FALSE)</f>
        <v>5555.8845272234939</v>
      </c>
      <c r="N240" s="45">
        <f t="shared" si="136"/>
        <v>20385.193805025418</v>
      </c>
      <c r="O240" s="46">
        <f t="shared" si="137"/>
        <v>22016009.309427451</v>
      </c>
      <c r="P240" s="47">
        <f t="shared" si="138"/>
        <v>24157.000018518516</v>
      </c>
      <c r="Q240" s="47">
        <v>60900</v>
      </c>
      <c r="R240" s="47">
        <f t="shared" si="108"/>
        <v>36742.99998148148</v>
      </c>
      <c r="S240" s="191">
        <f t="shared" si="110"/>
        <v>0.60333333302925252</v>
      </c>
      <c r="T240" s="42">
        <v>26089560.02</v>
      </c>
      <c r="U240" s="48">
        <f t="shared" si="139"/>
        <v>0.84386280537311464</v>
      </c>
      <c r="V240" s="49"/>
      <c r="X240" s="112"/>
    </row>
    <row r="241" spans="1:24" x14ac:dyDescent="0.3">
      <c r="A241" s="40" t="str">
        <f>VLOOKUP(B241,Grupos!$A$2:$B$619,2,FALSE)</f>
        <v>TABLEROS 75 AMP COBRE TAPA LISA</v>
      </c>
      <c r="B241" s="41" t="s">
        <v>406</v>
      </c>
      <c r="C241" s="41" t="s">
        <v>407</v>
      </c>
      <c r="D241" s="42">
        <v>480</v>
      </c>
      <c r="E241" s="43">
        <v>11707.27</v>
      </c>
      <c r="F241" s="43">
        <f>VLOOKUP(B241,Feb!$B$6:$F$305,5,FALSE)</f>
        <v>1027.1600000000001</v>
      </c>
      <c r="G241" s="126">
        <f t="shared" si="132"/>
        <v>12734.43</v>
      </c>
      <c r="H241" s="127">
        <f t="shared" si="133"/>
        <v>5619489.6000000006</v>
      </c>
      <c r="I241" s="128">
        <f t="shared" si="134"/>
        <v>493036.80000000005</v>
      </c>
      <c r="J241" s="128">
        <f t="shared" si="135"/>
        <v>6112526.4000000004</v>
      </c>
      <c r="K241" s="44">
        <f t="shared" si="109"/>
        <v>3.5059811100246635E-3</v>
      </c>
      <c r="L241" s="45">
        <v>3035.37351081406</v>
      </c>
      <c r="M241" s="45">
        <f>VLOOKUP(B241,Feb!$B$6:$M$305,12,FALSE)</f>
        <v>6044.0397701576831</v>
      </c>
      <c r="N241" s="45">
        <f t="shared" si="136"/>
        <v>21813.843280971745</v>
      </c>
      <c r="O241" s="46">
        <f t="shared" si="137"/>
        <v>10470644.774866438</v>
      </c>
      <c r="P241" s="47">
        <f t="shared" si="138"/>
        <v>26855.811999999998</v>
      </c>
      <c r="Q241" s="47">
        <v>67350</v>
      </c>
      <c r="R241" s="47">
        <f t="shared" si="108"/>
        <v>40494.188000000002</v>
      </c>
      <c r="S241" s="191">
        <f t="shared" si="110"/>
        <v>0.601250007423905</v>
      </c>
      <c r="T241" s="42">
        <v>12890789.76</v>
      </c>
      <c r="U241" s="48">
        <f t="shared" si="139"/>
        <v>0.81225781893959281</v>
      </c>
      <c r="V241" s="49"/>
      <c r="X241" s="112"/>
    </row>
    <row r="242" spans="1:24" x14ac:dyDescent="0.3">
      <c r="A242" s="40" t="str">
        <f>VLOOKUP(B242,Grupos!$A$2:$B$619,2,FALSE)</f>
        <v>TABLEROS 75 AMP COBRE TAPA LISA</v>
      </c>
      <c r="B242" s="41" t="s">
        <v>408</v>
      </c>
      <c r="C242" s="41" t="s">
        <v>409</v>
      </c>
      <c r="D242" s="42">
        <v>620</v>
      </c>
      <c r="E242" s="43">
        <v>11593.72</v>
      </c>
      <c r="F242" s="43">
        <f>VLOOKUP(B242,Feb!$B$6:$F$305,5,FALSE)</f>
        <v>906.96</v>
      </c>
      <c r="G242" s="126">
        <f t="shared" si="132"/>
        <v>12500.68</v>
      </c>
      <c r="H242" s="127">
        <f t="shared" si="133"/>
        <v>7188106.3999999994</v>
      </c>
      <c r="I242" s="128">
        <f t="shared" si="134"/>
        <v>562315.20000000007</v>
      </c>
      <c r="J242" s="128">
        <f t="shared" si="135"/>
        <v>7750421.6000000006</v>
      </c>
      <c r="K242" s="44">
        <f t="shared" si="109"/>
        <v>4.445433842924118E-3</v>
      </c>
      <c r="L242" s="45">
        <v>2998.921638653052</v>
      </c>
      <c r="M242" s="45">
        <f>VLOOKUP(B242,Feb!$B$6:$M$305,12,FALSE)</f>
        <v>5336.7560165331715</v>
      </c>
      <c r="N242" s="45">
        <f t="shared" si="136"/>
        <v>20836.357655186224</v>
      </c>
      <c r="O242" s="46">
        <f t="shared" si="137"/>
        <v>12918541.746215459</v>
      </c>
      <c r="P242" s="47">
        <f t="shared" si="138"/>
        <v>24379.644887096776</v>
      </c>
      <c r="Q242" s="47">
        <v>60900</v>
      </c>
      <c r="R242" s="47">
        <f t="shared" si="108"/>
        <v>36520.355112903228</v>
      </c>
      <c r="S242" s="191">
        <f t="shared" si="110"/>
        <v>0.5996774238571958</v>
      </c>
      <c r="T242" s="42">
        <v>15115379.83</v>
      </c>
      <c r="U242" s="48">
        <f t="shared" si="139"/>
        <v>0.85466206549276369</v>
      </c>
      <c r="V242" s="49"/>
      <c r="X242" s="112"/>
    </row>
    <row r="243" spans="1:24" x14ac:dyDescent="0.3">
      <c r="A243" s="40" t="str">
        <f>VLOOKUP(B243,Grupos!$A$2:$B$619,2,FALSE)</f>
        <v>TABLEROS 75 AMP COBRE TAPA LISA</v>
      </c>
      <c r="B243" s="41" t="s">
        <v>410</v>
      </c>
      <c r="C243" s="41" t="s">
        <v>411</v>
      </c>
      <c r="D243" s="42">
        <v>220</v>
      </c>
      <c r="E243" s="43">
        <v>14494.83</v>
      </c>
      <c r="F243" s="43">
        <f>VLOOKUP(B243,Feb!$B$6:$F$305,5,FALSE)</f>
        <v>1259.55</v>
      </c>
      <c r="G243" s="126">
        <f t="shared" si="132"/>
        <v>15754.38</v>
      </c>
      <c r="H243" s="127">
        <f t="shared" si="133"/>
        <v>3188862.6</v>
      </c>
      <c r="I243" s="128">
        <f t="shared" si="134"/>
        <v>277101</v>
      </c>
      <c r="J243" s="128">
        <f t="shared" si="135"/>
        <v>3465963.5999999996</v>
      </c>
      <c r="K243" s="44">
        <f t="shared" si="109"/>
        <v>1.987983709916259E-3</v>
      </c>
      <c r="L243" s="45">
        <v>3756.4891890775716</v>
      </c>
      <c r="M243" s="45">
        <f>VLOOKUP(B243,Feb!$B$6:$M$305,12,FALSE)</f>
        <v>7411.4746412458708</v>
      </c>
      <c r="N243" s="45">
        <f t="shared" si="136"/>
        <v>26922.34383032344</v>
      </c>
      <c r="O243" s="46">
        <f t="shared" si="137"/>
        <v>5922915.6426711567</v>
      </c>
      <c r="P243" s="47">
        <f t="shared" si="138"/>
        <v>33159.998909090908</v>
      </c>
      <c r="Q243" s="47">
        <v>82900</v>
      </c>
      <c r="R243" s="47">
        <f t="shared" ref="R243:R306" si="140">Q243-P243</f>
        <v>49740.001090909092</v>
      </c>
      <c r="S243" s="191">
        <f t="shared" si="110"/>
        <v>0.60000001315933771</v>
      </c>
      <c r="T243" s="42">
        <v>7295199.7599999998</v>
      </c>
      <c r="U243" s="48">
        <f t="shared" si="139"/>
        <v>0.81189218082098913</v>
      </c>
      <c r="V243" s="49"/>
      <c r="X243" s="112"/>
    </row>
    <row r="244" spans="1:24" x14ac:dyDescent="0.3">
      <c r="A244" s="40" t="str">
        <f>VLOOKUP(B244,Grupos!$A$2:$B$619,2,FALSE)</f>
        <v>TABLEROS 75 AMP COBRE TAPA LISA</v>
      </c>
      <c r="B244" s="41" t="s">
        <v>412</v>
      </c>
      <c r="C244" s="41" t="s">
        <v>413</v>
      </c>
      <c r="D244" s="42">
        <v>340</v>
      </c>
      <c r="E244" s="43">
        <v>14414.38</v>
      </c>
      <c r="F244" s="43">
        <f>VLOOKUP(B244,Feb!$B$6:$F$305,5,FALSE)</f>
        <v>1201.76</v>
      </c>
      <c r="G244" s="126">
        <f t="shared" si="132"/>
        <v>15616.14</v>
      </c>
      <c r="H244" s="127">
        <f t="shared" si="133"/>
        <v>4900889.2</v>
      </c>
      <c r="I244" s="128">
        <f t="shared" si="134"/>
        <v>408598.4</v>
      </c>
      <c r="J244" s="128">
        <f t="shared" si="135"/>
        <v>5309487.5999999996</v>
      </c>
      <c r="K244" s="44">
        <f t="shared" si="109"/>
        <v>3.0453796043335181E-3</v>
      </c>
      <c r="L244" s="45">
        <v>3739.3034253986443</v>
      </c>
      <c r="M244" s="45">
        <f>VLOOKUP(B244,Feb!$B$6:$M$305,12,FALSE)</f>
        <v>7071.4253224275644</v>
      </c>
      <c r="N244" s="45">
        <f t="shared" si="136"/>
        <v>26426.868747826207</v>
      </c>
      <c r="O244" s="46">
        <f t="shared" si="137"/>
        <v>8985135.3742609099</v>
      </c>
      <c r="P244" s="47">
        <f t="shared" si="138"/>
        <v>31343.529499999997</v>
      </c>
      <c r="Q244" s="47">
        <v>77000</v>
      </c>
      <c r="R244" s="47">
        <f t="shared" si="140"/>
        <v>45656.470500000003</v>
      </c>
      <c r="S244" s="191">
        <f t="shared" si="110"/>
        <v>0.59294117532467538</v>
      </c>
      <c r="T244" s="42">
        <v>10656800.029999999</v>
      </c>
      <c r="U244" s="48">
        <f t="shared" si="139"/>
        <v>0.84313634008021354</v>
      </c>
      <c r="V244" s="49"/>
      <c r="X244" s="112"/>
    </row>
    <row r="245" spans="1:24" x14ac:dyDescent="0.3">
      <c r="A245" s="40" t="str">
        <f>VLOOKUP(B245,Grupos!$A$2:$B$619,2,FALSE)</f>
        <v>TABLEROS 75 AMP COBRE TAPA LISA</v>
      </c>
      <c r="B245" s="41" t="s">
        <v>416</v>
      </c>
      <c r="C245" s="41" t="s">
        <v>417</v>
      </c>
      <c r="D245" s="42">
        <v>620</v>
      </c>
      <c r="E245" s="43">
        <v>15320.22</v>
      </c>
      <c r="F245" s="43">
        <f>VLOOKUP(B245,Feb!$B$6:$F$305,5,FALSE)</f>
        <v>1121.73</v>
      </c>
      <c r="G245" s="126">
        <f t="shared" si="132"/>
        <v>16441.95</v>
      </c>
      <c r="H245" s="127">
        <f t="shared" si="133"/>
        <v>9498536.4000000004</v>
      </c>
      <c r="I245" s="128">
        <f t="shared" si="134"/>
        <v>695472.6</v>
      </c>
      <c r="J245" s="128">
        <f t="shared" si="135"/>
        <v>10194009</v>
      </c>
      <c r="K245" s="44">
        <f t="shared" si="109"/>
        <v>5.8470100005492661E-3</v>
      </c>
      <c r="L245" s="45">
        <v>3937.4274721658044</v>
      </c>
      <c r="M245" s="45">
        <f>VLOOKUP(B245,Feb!$B$6:$M$305,12,FALSE)</f>
        <v>6600.5108565160026</v>
      </c>
      <c r="N245" s="45">
        <f t="shared" si="136"/>
        <v>26979.888328681809</v>
      </c>
      <c r="O245" s="46">
        <f t="shared" si="137"/>
        <v>16727530.763782721</v>
      </c>
      <c r="P245" s="47">
        <f t="shared" si="138"/>
        <v>30526.772774193549</v>
      </c>
      <c r="Q245" s="47">
        <v>77000</v>
      </c>
      <c r="R245" s="47">
        <f t="shared" si="140"/>
        <v>46473.227225806448</v>
      </c>
      <c r="S245" s="191">
        <f t="shared" si="110"/>
        <v>0.60354840552995381</v>
      </c>
      <c r="T245" s="42">
        <v>18926599.120000001</v>
      </c>
      <c r="U245" s="48">
        <f t="shared" si="139"/>
        <v>0.88381069719527716</v>
      </c>
      <c r="V245" s="49"/>
      <c r="X245" s="112"/>
    </row>
    <row r="246" spans="1:24" x14ac:dyDescent="0.3">
      <c r="A246" s="40" t="str">
        <f>VLOOKUP(B246,Grupos!$A$2:$B$619,2,FALSE)</f>
        <v>TABLEROS 75 AMP COBRE TAPA LISA</v>
      </c>
      <c r="B246" s="41" t="s">
        <v>418</v>
      </c>
      <c r="C246" s="41" t="s">
        <v>1091</v>
      </c>
      <c r="D246" s="42">
        <v>60</v>
      </c>
      <c r="E246" s="43">
        <v>19159.349999999999</v>
      </c>
      <c r="F246" s="43">
        <f>VLOOKUP(B246,Feb!$B$6:$F$305,5,FALSE)</f>
        <v>1183.22</v>
      </c>
      <c r="G246" s="126">
        <f t="shared" si="132"/>
        <v>20342.57</v>
      </c>
      <c r="H246" s="127">
        <f t="shared" si="133"/>
        <v>1149561</v>
      </c>
      <c r="I246" s="128">
        <f t="shared" si="134"/>
        <v>70993.2</v>
      </c>
      <c r="J246" s="128">
        <f t="shared" si="135"/>
        <v>1220554.2</v>
      </c>
      <c r="K246" s="44">
        <f t="shared" si="109"/>
        <v>7.000771348752399E-4</v>
      </c>
      <c r="L246" s="45">
        <v>4853.7641171604391</v>
      </c>
      <c r="M246" s="45">
        <f>VLOOKUP(B246,Feb!$B$6:$M$305,12,FALSE)</f>
        <v>6962.3318050215876</v>
      </c>
      <c r="N246" s="45">
        <f t="shared" si="136"/>
        <v>32158.66592218203</v>
      </c>
      <c r="O246" s="46">
        <f t="shared" si="137"/>
        <v>1929519.9553309218</v>
      </c>
      <c r="P246" s="47">
        <f t="shared" si="138"/>
        <v>43291.874333333333</v>
      </c>
      <c r="Q246" s="47">
        <v>104950</v>
      </c>
      <c r="R246" s="47">
        <f t="shared" si="140"/>
        <v>61658.125666666667</v>
      </c>
      <c r="S246" s="191">
        <f t="shared" si="110"/>
        <v>0.58750000635223121</v>
      </c>
      <c r="T246" s="42">
        <v>2597512.46</v>
      </c>
      <c r="U246" s="48">
        <f t="shared" si="139"/>
        <v>0.74283376308844418</v>
      </c>
      <c r="V246" s="49"/>
      <c r="X246" s="112"/>
    </row>
    <row r="247" spans="1:24" x14ac:dyDescent="0.3">
      <c r="A247" s="40" t="str">
        <f>VLOOKUP(B247,Grupos!$A$2:$B$619,2,FALSE)</f>
        <v>TABLEROS 75 AMP COBRE TAPA LISA</v>
      </c>
      <c r="B247" s="41" t="s">
        <v>419</v>
      </c>
      <c r="C247" s="41" t="s">
        <v>1092</v>
      </c>
      <c r="D247" s="42">
        <v>360</v>
      </c>
      <c r="E247" s="43">
        <v>19046.650000000001</v>
      </c>
      <c r="F247" s="43">
        <f>VLOOKUP(B247,Feb!$B$6:$F$305,5,FALSE)</f>
        <v>1193.02</v>
      </c>
      <c r="G247" s="126">
        <f t="shared" si="132"/>
        <v>20239.670000000002</v>
      </c>
      <c r="H247" s="127">
        <f t="shared" si="133"/>
        <v>6856794.0000000009</v>
      </c>
      <c r="I247" s="128">
        <f t="shared" si="134"/>
        <v>429487.2</v>
      </c>
      <c r="J247" s="128">
        <f t="shared" si="135"/>
        <v>7286281.2000000011</v>
      </c>
      <c r="K247" s="44">
        <f t="shared" si="109"/>
        <v>4.1792153649475999E-3</v>
      </c>
      <c r="L247" s="45">
        <v>4828.4332746759474</v>
      </c>
      <c r="M247" s="45">
        <f>VLOOKUP(B247,Feb!$B$6:$M$305,12,FALSE)</f>
        <v>7019.9972025716716</v>
      </c>
      <c r="N247" s="45">
        <f t="shared" si="136"/>
        <v>32088.100477247619</v>
      </c>
      <c r="O247" s="46">
        <f t="shared" si="137"/>
        <v>11551716.171809142</v>
      </c>
      <c r="P247" s="47">
        <f t="shared" si="138"/>
        <v>38120.499388888886</v>
      </c>
      <c r="Q247" s="47">
        <v>95700</v>
      </c>
      <c r="R247" s="47">
        <f t="shared" si="140"/>
        <v>57579.500611111114</v>
      </c>
      <c r="S247" s="191">
        <f t="shared" si="110"/>
        <v>0.60166667305236277</v>
      </c>
      <c r="T247" s="42">
        <v>13723379.779999999</v>
      </c>
      <c r="U247" s="152">
        <f t="shared" si="139"/>
        <v>0.841754462602881</v>
      </c>
      <c r="V247" s="49"/>
      <c r="X247" s="112"/>
    </row>
    <row r="248" spans="1:24" x14ac:dyDescent="0.3">
      <c r="A248" s="40" t="str">
        <f>VLOOKUP(B248,Grupos!$A$2:$B$619,2,FALSE)</f>
        <v>TABLEROS 75 AMP COBRE TAPA LISA</v>
      </c>
      <c r="B248" s="41" t="s">
        <v>420</v>
      </c>
      <c r="C248" s="41" t="s">
        <v>1093</v>
      </c>
      <c r="D248" s="42">
        <v>120</v>
      </c>
      <c r="E248" s="43">
        <v>19414.580000000002</v>
      </c>
      <c r="F248" s="43">
        <f>VLOOKUP(B248,Feb!$B$6:$F$305,5,FALSE)</f>
        <v>1159.3900000000001</v>
      </c>
      <c r="G248" s="126">
        <f t="shared" si="132"/>
        <v>20573.97</v>
      </c>
      <c r="H248" s="127">
        <f t="shared" si="133"/>
        <v>2329749.6</v>
      </c>
      <c r="I248" s="128">
        <f t="shared" si="134"/>
        <v>139126.80000000002</v>
      </c>
      <c r="J248" s="128">
        <f t="shared" si="135"/>
        <v>2468876.4000000004</v>
      </c>
      <c r="K248" s="44">
        <f t="shared" si="109"/>
        <v>1.4160812493808936E-3</v>
      </c>
      <c r="L248" s="45">
        <v>4883.3332214303373</v>
      </c>
      <c r="M248" s="45">
        <f>VLOOKUP(B248,Feb!$B$6:$M$305,12,FALSE)</f>
        <v>6822.1107413870441</v>
      </c>
      <c r="N248" s="45">
        <f t="shared" si="136"/>
        <v>32279.413962817383</v>
      </c>
      <c r="O248" s="46">
        <f t="shared" si="137"/>
        <v>3873529.6755380859</v>
      </c>
      <c r="P248" s="47">
        <f t="shared" si="138"/>
        <v>42242.373749999999</v>
      </c>
      <c r="Q248" s="47">
        <v>104950</v>
      </c>
      <c r="R248" s="47">
        <f t="shared" si="140"/>
        <v>62707.626250000001</v>
      </c>
      <c r="S248" s="191">
        <f t="shared" si="110"/>
        <v>0.59750001191043356</v>
      </c>
      <c r="T248" s="42">
        <v>5069084.8499999996</v>
      </c>
      <c r="U248" s="48">
        <f t="shared" si="139"/>
        <v>0.76414772886235793</v>
      </c>
      <c r="V248" s="49"/>
      <c r="X248" s="112"/>
    </row>
    <row r="249" spans="1:24" x14ac:dyDescent="0.3">
      <c r="A249" s="40" t="str">
        <f>VLOOKUP(B249,Grupos!$A$2:$B$619,2,FALSE)</f>
        <v>TABLEROS 75 AMP COBRE TAPA LISA</v>
      </c>
      <c r="B249" s="41" t="s">
        <v>421</v>
      </c>
      <c r="C249" s="41" t="s">
        <v>1094</v>
      </c>
      <c r="D249" s="42">
        <v>60</v>
      </c>
      <c r="E249" s="43">
        <v>19301.88</v>
      </c>
      <c r="F249" s="43">
        <f>VLOOKUP(B249,Feb!$B$6:$F$305,5,FALSE)</f>
        <v>1034.33</v>
      </c>
      <c r="G249" s="126">
        <f t="shared" si="132"/>
        <v>20336.21</v>
      </c>
      <c r="H249" s="127">
        <f t="shared" si="133"/>
        <v>1158112.8</v>
      </c>
      <c r="I249" s="128">
        <f t="shared" si="134"/>
        <v>62059.799999999996</v>
      </c>
      <c r="J249" s="128">
        <f t="shared" si="135"/>
        <v>1220172.5999999999</v>
      </c>
      <c r="K249" s="44">
        <f t="shared" si="109"/>
        <v>6.9985825935568616E-4</v>
      </c>
      <c r="L249" s="45">
        <v>4849.4083217703346</v>
      </c>
      <c r="M249" s="45">
        <f>VLOOKUP(B249,Feb!$B$6:$M$305,12,FALSE)</f>
        <v>6086.2296579570811</v>
      </c>
      <c r="N249" s="45">
        <f t="shared" si="136"/>
        <v>31271.847979727412</v>
      </c>
      <c r="O249" s="46">
        <f t="shared" si="137"/>
        <v>1876310.8787836446</v>
      </c>
      <c r="P249" s="47">
        <f t="shared" si="138"/>
        <v>37322.998666666666</v>
      </c>
      <c r="Q249" s="47">
        <v>95700</v>
      </c>
      <c r="R249" s="47">
        <f t="shared" si="140"/>
        <v>58377.001333333334</v>
      </c>
      <c r="S249" s="191">
        <f t="shared" si="110"/>
        <v>0.61000001393242775</v>
      </c>
      <c r="T249" s="42">
        <v>2239379.92</v>
      </c>
      <c r="U249" s="48">
        <f t="shared" si="139"/>
        <v>0.83787072574252819</v>
      </c>
      <c r="V249" s="49"/>
      <c r="X249" s="112"/>
    </row>
    <row r="250" spans="1:24" x14ac:dyDescent="0.3">
      <c r="A250" s="40" t="str">
        <f>VLOOKUP(B250,Grupos!$A$2:$B$619,2,FALSE)</f>
        <v>TABLEROS 75 AMP COBRE TAPA PLASTICA</v>
      </c>
      <c r="B250" s="41" t="s">
        <v>422</v>
      </c>
      <c r="C250" s="41" t="s">
        <v>423</v>
      </c>
      <c r="D250" s="42">
        <v>180</v>
      </c>
      <c r="E250" s="43">
        <v>10044.799999999999</v>
      </c>
      <c r="F250" s="43">
        <f>VLOOKUP(B250,Feb!$B$6:$F$305,5,FALSE)</f>
        <v>1028.3900000000001</v>
      </c>
      <c r="G250" s="126">
        <f t="shared" ref="G250:G255" si="141">E250+F250</f>
        <v>11073.189999999999</v>
      </c>
      <c r="H250" s="127">
        <f t="shared" ref="H250:H255" si="142">E250*D250</f>
        <v>1808063.9999999998</v>
      </c>
      <c r="I250" s="128">
        <f t="shared" ref="I250:I255" si="143">F250*D250</f>
        <v>185110.2</v>
      </c>
      <c r="J250" s="128">
        <f t="shared" ref="J250:J255" si="144">G250*D250</f>
        <v>1993174.1999999997</v>
      </c>
      <c r="K250" s="44">
        <f t="shared" si="109"/>
        <v>1.1432312331916502E-3</v>
      </c>
      <c r="L250" s="45">
        <v>2641.6829485179651</v>
      </c>
      <c r="M250" s="45">
        <f>VLOOKUP(B250,Feb!$B$6:$M$305,12,FALSE)</f>
        <v>6051.2773659726427</v>
      </c>
      <c r="N250" s="45">
        <f t="shared" ref="N250:N255" si="145">G250+L250+M250</f>
        <v>19766.150314490609</v>
      </c>
      <c r="O250" s="46">
        <f t="shared" ref="O250:O255" si="146">N250*D250</f>
        <v>3557907.0566083095</v>
      </c>
      <c r="P250" s="47">
        <f t="shared" ref="P250:P255" si="147">T250/D250</f>
        <v>27199.998500000002</v>
      </c>
      <c r="Q250" s="47">
        <v>68000</v>
      </c>
      <c r="R250" s="47">
        <f t="shared" si="140"/>
        <v>40800.001499999998</v>
      </c>
      <c r="S250" s="191">
        <f t="shared" si="110"/>
        <v>0.60000002205882352</v>
      </c>
      <c r="T250" s="42">
        <v>4895999.7300000004</v>
      </c>
      <c r="U250" s="48">
        <f t="shared" si="139"/>
        <v>0.72669674281381325</v>
      </c>
      <c r="V250" s="49"/>
      <c r="X250" s="112"/>
    </row>
    <row r="251" spans="1:24" x14ac:dyDescent="0.3">
      <c r="A251" s="40" t="str">
        <f>VLOOKUP(B251,Grupos!$A$2:$B$619,2,FALSE)</f>
        <v>TABLEROS 75 AMP COBRE TAPA PLASTICA</v>
      </c>
      <c r="B251" s="41" t="s">
        <v>424</v>
      </c>
      <c r="C251" s="41" t="s">
        <v>425</v>
      </c>
      <c r="D251" s="42">
        <v>1275</v>
      </c>
      <c r="E251" s="43">
        <v>10919.93</v>
      </c>
      <c r="F251" s="43">
        <f>VLOOKUP(B251,Feb!$B$6:$F$305,5,FALSE)</f>
        <v>933.55</v>
      </c>
      <c r="G251" s="126">
        <f t="shared" si="141"/>
        <v>11853.48</v>
      </c>
      <c r="H251" s="127">
        <f t="shared" si="142"/>
        <v>13922910.75</v>
      </c>
      <c r="I251" s="128">
        <f t="shared" si="143"/>
        <v>1190276.25</v>
      </c>
      <c r="J251" s="128">
        <f t="shared" si="144"/>
        <v>15113187</v>
      </c>
      <c r="K251" s="44">
        <f t="shared" si="109"/>
        <v>8.6685184924960492E-3</v>
      </c>
      <c r="L251" s="45">
        <v>2847.3526527067311</v>
      </c>
      <c r="M251" s="45">
        <f>VLOOKUP(B251,Feb!$B$6:$M$305,12,FALSE)</f>
        <v>5493.2175390695747</v>
      </c>
      <c r="N251" s="45">
        <f t="shared" si="145"/>
        <v>20194.050191776307</v>
      </c>
      <c r="O251" s="46">
        <f t="shared" si="146"/>
        <v>25747413.994514789</v>
      </c>
      <c r="P251" s="47">
        <f t="shared" si="147"/>
        <v>24453.141066666667</v>
      </c>
      <c r="Q251" s="47">
        <v>60900</v>
      </c>
      <c r="R251" s="47">
        <f t="shared" si="140"/>
        <v>36446.858933333337</v>
      </c>
      <c r="S251" s="191">
        <f t="shared" si="110"/>
        <v>0.59847059003831427</v>
      </c>
      <c r="T251" s="42">
        <v>31177754.859999999</v>
      </c>
      <c r="U251" s="152">
        <f t="shared" si="139"/>
        <v>0.82582643009833423</v>
      </c>
      <c r="V251" s="49"/>
      <c r="X251" s="112"/>
    </row>
    <row r="252" spans="1:24" x14ac:dyDescent="0.3">
      <c r="A252" s="40" t="str">
        <f>VLOOKUP(B252,Grupos!$A$2:$B$619,2,FALSE)</f>
        <v>TABLEROS 75 AMP COBRE TAPA PLASTICA</v>
      </c>
      <c r="B252" s="41" t="s">
        <v>426</v>
      </c>
      <c r="C252" s="41" t="s">
        <v>427</v>
      </c>
      <c r="D252" s="42">
        <v>180</v>
      </c>
      <c r="E252" s="43">
        <v>11561.81</v>
      </c>
      <c r="F252" s="43">
        <f>VLOOKUP(B252,Feb!$B$6:$F$305,5,FALSE)</f>
        <v>893.04</v>
      </c>
      <c r="G252" s="126">
        <f t="shared" si="141"/>
        <v>12454.849999999999</v>
      </c>
      <c r="H252" s="127">
        <f t="shared" si="142"/>
        <v>2081125.7999999998</v>
      </c>
      <c r="I252" s="128">
        <f t="shared" si="143"/>
        <v>160747.19999999998</v>
      </c>
      <c r="J252" s="128">
        <f t="shared" si="144"/>
        <v>2241872.9999999995</v>
      </c>
      <c r="K252" s="44">
        <f t="shared" si="109"/>
        <v>1.2858781909022626E-3</v>
      </c>
      <c r="L252" s="45">
        <v>2973.320468877755</v>
      </c>
      <c r="M252" s="45">
        <f>VLOOKUP(B252,Feb!$B$6:$M$305,12,FALSE)</f>
        <v>5254.8476151150908</v>
      </c>
      <c r="N252" s="45">
        <f t="shared" si="145"/>
        <v>20683.018083992843</v>
      </c>
      <c r="O252" s="46">
        <f t="shared" si="146"/>
        <v>3722943.2551187119</v>
      </c>
      <c r="P252" s="47">
        <f t="shared" si="147"/>
        <v>24563.000499999998</v>
      </c>
      <c r="Q252" s="47">
        <v>60900</v>
      </c>
      <c r="R252" s="47">
        <f t="shared" si="140"/>
        <v>36336.999500000005</v>
      </c>
      <c r="S252" s="191">
        <f t="shared" si="110"/>
        <v>0.59666665845648614</v>
      </c>
      <c r="T252" s="42">
        <v>4421340.09</v>
      </c>
      <c r="U252" s="152">
        <f t="shared" si="139"/>
        <v>0.84203955799263386</v>
      </c>
      <c r="V252" s="49"/>
      <c r="X252" s="112"/>
    </row>
    <row r="253" spans="1:24" x14ac:dyDescent="0.3">
      <c r="A253" s="40" t="str">
        <f>VLOOKUP(B253,Grupos!$A$2:$B$619,2,FALSE)</f>
        <v>TABLEROS 75 AMP COBRE TAPA PLASTICA</v>
      </c>
      <c r="B253" s="41" t="s">
        <v>428</v>
      </c>
      <c r="C253" s="41" t="s">
        <v>429</v>
      </c>
      <c r="D253" s="42">
        <v>164</v>
      </c>
      <c r="E253" s="43">
        <v>14280.31</v>
      </c>
      <c r="F253" s="43">
        <f>VLOOKUP(B253,Feb!$B$6:$F$305,5,FALSE)</f>
        <v>1210.44</v>
      </c>
      <c r="G253" s="126">
        <f t="shared" si="141"/>
        <v>15490.75</v>
      </c>
      <c r="H253" s="127">
        <f t="shared" si="142"/>
        <v>2341970.84</v>
      </c>
      <c r="I253" s="128">
        <f t="shared" si="143"/>
        <v>198512.16</v>
      </c>
      <c r="J253" s="128">
        <f t="shared" si="144"/>
        <v>2540483</v>
      </c>
      <c r="K253" s="44">
        <f t="shared" si="109"/>
        <v>1.4571528735383107E-3</v>
      </c>
      <c r="L253" s="45">
        <v>3682.7062933924162</v>
      </c>
      <c r="M253" s="45">
        <f>VLOOKUP(B253,Feb!$B$6:$M$305,12,FALSE)</f>
        <v>7122.5003888290685</v>
      </c>
      <c r="N253" s="45">
        <f t="shared" si="145"/>
        <v>26295.956682221484</v>
      </c>
      <c r="O253" s="46">
        <f t="shared" si="146"/>
        <v>4312536.8958843229</v>
      </c>
      <c r="P253" s="47">
        <f t="shared" si="147"/>
        <v>33230.766646341464</v>
      </c>
      <c r="Q253" s="47">
        <v>82900</v>
      </c>
      <c r="R253" s="47">
        <f t="shared" si="140"/>
        <v>49669.233353658536</v>
      </c>
      <c r="S253" s="191">
        <f t="shared" si="110"/>
        <v>0.59914636132278087</v>
      </c>
      <c r="T253" s="42">
        <v>5449845.7300000004</v>
      </c>
      <c r="U253" s="48">
        <f t="shared" si="139"/>
        <v>0.79131357281269732</v>
      </c>
      <c r="V253" s="49"/>
      <c r="X253" s="112"/>
    </row>
    <row r="254" spans="1:24" x14ac:dyDescent="0.3">
      <c r="A254" s="40" t="str">
        <f>VLOOKUP(B254,Grupos!$A$2:$B$619,2,FALSE)</f>
        <v>TABLEROS 75 AMP COBRE TAPA PLASTICA</v>
      </c>
      <c r="B254" s="41" t="s">
        <v>430</v>
      </c>
      <c r="C254" s="41" t="s">
        <v>431</v>
      </c>
      <c r="D254" s="42">
        <v>899</v>
      </c>
      <c r="E254" s="43">
        <v>14174.55</v>
      </c>
      <c r="F254" s="43">
        <f>VLOOKUP(B254,Feb!$B$6:$F$305,5,FALSE)</f>
        <v>1124.95</v>
      </c>
      <c r="G254" s="126">
        <f t="shared" si="141"/>
        <v>15299.5</v>
      </c>
      <c r="H254" s="127">
        <f t="shared" si="142"/>
        <v>12742920.449999999</v>
      </c>
      <c r="I254" s="128">
        <f t="shared" si="143"/>
        <v>1011330.05</v>
      </c>
      <c r="J254" s="128">
        <f t="shared" si="144"/>
        <v>13754250.5</v>
      </c>
      <c r="K254" s="44">
        <f t="shared" si="109"/>
        <v>7.8890689839061102E-3</v>
      </c>
      <c r="L254" s="45">
        <v>3657.7750651638967</v>
      </c>
      <c r="M254" s="45">
        <f>VLOOKUP(B254,Feb!$B$6:$M$305,12,FALSE)</f>
        <v>6619.4580585681742</v>
      </c>
      <c r="N254" s="45">
        <f t="shared" si="145"/>
        <v>25576.733123732069</v>
      </c>
      <c r="O254" s="46">
        <f t="shared" si="146"/>
        <v>22993483.078235131</v>
      </c>
      <c r="P254" s="47">
        <f t="shared" si="147"/>
        <v>31364.438342602891</v>
      </c>
      <c r="Q254" s="47">
        <v>77000</v>
      </c>
      <c r="R254" s="47">
        <f t="shared" si="140"/>
        <v>45635.561657397106</v>
      </c>
      <c r="S254" s="191">
        <f t="shared" si="110"/>
        <v>0.59266963191424815</v>
      </c>
      <c r="T254" s="42">
        <v>28196630.07</v>
      </c>
      <c r="U254" s="152">
        <f t="shared" si="139"/>
        <v>0.81546918979864924</v>
      </c>
      <c r="V254" s="49"/>
      <c r="X254" s="112"/>
    </row>
    <row r="255" spans="1:24" x14ac:dyDescent="0.3">
      <c r="A255" s="40" t="str">
        <f>VLOOKUP(B255,Grupos!$A$2:$B$619,2,FALSE)</f>
        <v>TABLEROS 75 AMP COBRE TAPA PLASTICA</v>
      </c>
      <c r="B255" s="41" t="s">
        <v>432</v>
      </c>
      <c r="C255" s="41" t="s">
        <v>433</v>
      </c>
      <c r="D255" s="42">
        <v>103</v>
      </c>
      <c r="E255" s="43">
        <v>15084.61</v>
      </c>
      <c r="F255" s="43">
        <f>VLOOKUP(B255,Feb!$B$6:$F$305,5,FALSE)</f>
        <v>1073.3599999999999</v>
      </c>
      <c r="G255" s="126">
        <f t="shared" si="141"/>
        <v>16157.970000000001</v>
      </c>
      <c r="H255" s="127">
        <f t="shared" si="142"/>
        <v>1553714.83</v>
      </c>
      <c r="I255" s="128">
        <f t="shared" si="143"/>
        <v>110556.07999999999</v>
      </c>
      <c r="J255" s="128">
        <f t="shared" si="144"/>
        <v>1664270.9100000001</v>
      </c>
      <c r="K255" s="44">
        <f t="shared" si="109"/>
        <v>9.5458113234873822E-4</v>
      </c>
      <c r="L255" s="45">
        <v>3854.7754906701457</v>
      </c>
      <c r="M255" s="45">
        <f>VLOOKUP(B255,Feb!$B$6:$M$305,12,FALSE)</f>
        <v>6315.890930036654</v>
      </c>
      <c r="N255" s="45">
        <f t="shared" si="145"/>
        <v>26328.6364207068</v>
      </c>
      <c r="O255" s="46">
        <f t="shared" si="146"/>
        <v>2711849.5513328002</v>
      </c>
      <c r="P255" s="47">
        <f t="shared" si="147"/>
        <v>30785.047281553398</v>
      </c>
      <c r="Q255" s="47">
        <v>77000</v>
      </c>
      <c r="R255" s="47">
        <f t="shared" si="140"/>
        <v>46214.952718446599</v>
      </c>
      <c r="S255" s="191">
        <f t="shared" si="110"/>
        <v>0.60019419114865713</v>
      </c>
      <c r="T255" s="42">
        <v>3170859.87</v>
      </c>
      <c r="U255" s="152">
        <f t="shared" si="139"/>
        <v>0.85524105842394105</v>
      </c>
      <c r="V255" s="49"/>
      <c r="X255" s="112"/>
    </row>
    <row r="256" spans="1:24" x14ac:dyDescent="0.3">
      <c r="A256" s="40" t="str">
        <f>VLOOKUP(B256,Grupos!$A$2:$B$619,2,FALSE)</f>
        <v>TABLEROS 85 AMP BIMETALICO</v>
      </c>
      <c r="B256" s="41" t="s">
        <v>436</v>
      </c>
      <c r="C256" s="41" t="s">
        <v>437</v>
      </c>
      <c r="D256" s="42">
        <v>300</v>
      </c>
      <c r="E256" s="43">
        <v>15210.25</v>
      </c>
      <c r="F256" s="43">
        <f>VLOOKUP(B256,Feb!$B$6:$F$305,5,FALSE)</f>
        <v>873.49</v>
      </c>
      <c r="G256" s="126">
        <f>E256+F256</f>
        <v>16083.74</v>
      </c>
      <c r="H256" s="127">
        <f>E256*D256</f>
        <v>4563075</v>
      </c>
      <c r="I256" s="128">
        <f>F256*D256</f>
        <v>262047</v>
      </c>
      <c r="J256" s="128">
        <f>G256*D256</f>
        <v>4825122</v>
      </c>
      <c r="K256" s="44">
        <f t="shared" si="109"/>
        <v>2.7675604943913899E-3</v>
      </c>
      <c r="L256" s="45">
        <v>3810.3101773408348</v>
      </c>
      <c r="M256" s="45">
        <f>VLOOKUP(B256,Feb!$B$6:$M$305,12,FALSE)</f>
        <v>5139.8110312269118</v>
      </c>
      <c r="N256" s="45">
        <f>G256+L256+M256</f>
        <v>25033.861208567749</v>
      </c>
      <c r="O256" s="46">
        <f>N256*D256</f>
        <v>7510158.3625703249</v>
      </c>
      <c r="P256" s="47">
        <f>T256/D256</f>
        <v>46474.401966666665</v>
      </c>
      <c r="Q256" s="47">
        <v>115800</v>
      </c>
      <c r="R256" s="47">
        <f t="shared" si="140"/>
        <v>69325.598033333343</v>
      </c>
      <c r="S256" s="191">
        <f t="shared" si="110"/>
        <v>0.59866664968336225</v>
      </c>
      <c r="T256" s="42">
        <v>13942320.59</v>
      </c>
      <c r="U256" s="48">
        <f t="shared" si="139"/>
        <v>0.53865913598034154</v>
      </c>
      <c r="V256" s="49"/>
      <c r="X256" s="112"/>
    </row>
    <row r="257" spans="1:24" x14ac:dyDescent="0.3">
      <c r="A257" s="40" t="str">
        <f>VLOOKUP(B257,Grupos!$A$2:$B$619,2,FALSE)</f>
        <v>TABLEROS 85 AMP BIMETALICO</v>
      </c>
      <c r="B257" s="41" t="s">
        <v>438</v>
      </c>
      <c r="C257" s="41" t="s">
        <v>439</v>
      </c>
      <c r="D257" s="42">
        <v>1008</v>
      </c>
      <c r="E257" s="43">
        <v>11982.53</v>
      </c>
      <c r="F257" s="43">
        <f>VLOOKUP(B257,Feb!$B$6:$F$305,5,FALSE)</f>
        <v>823.91</v>
      </c>
      <c r="G257" s="126">
        <f>E257+F257</f>
        <v>12806.44</v>
      </c>
      <c r="H257" s="127">
        <f>E257*D257</f>
        <v>12078390.24</v>
      </c>
      <c r="I257" s="128">
        <f>F257*D257</f>
        <v>830501.27999999991</v>
      </c>
      <c r="J257" s="128">
        <f>G257*D257</f>
        <v>12908891.520000001</v>
      </c>
      <c r="K257" s="44">
        <f t="shared" si="109"/>
        <v>7.4041937586523249E-3</v>
      </c>
      <c r="L257" s="45">
        <v>3041.417088767626</v>
      </c>
      <c r="M257" s="45">
        <f>VLOOKUP(B257,Feb!$B$6:$M$305,12,FALSE)</f>
        <v>4848.0711934173996</v>
      </c>
      <c r="N257" s="45">
        <f>G257+L257+M257</f>
        <v>20695.928282185028</v>
      </c>
      <c r="O257" s="46">
        <f>N257*D257</f>
        <v>20861495.708442509</v>
      </c>
      <c r="P257" s="47">
        <f>T257/D257</f>
        <v>37787.89261904762</v>
      </c>
      <c r="Q257" s="47">
        <v>96100</v>
      </c>
      <c r="R257" s="47">
        <f t="shared" si="140"/>
        <v>58312.10738095238</v>
      </c>
      <c r="S257" s="191">
        <f t="shared" si="110"/>
        <v>0.60678571676329218</v>
      </c>
      <c r="T257" s="42">
        <v>38090195.759999998</v>
      </c>
      <c r="U257" s="48">
        <f t="shared" si="139"/>
        <v>0.54768675487748431</v>
      </c>
      <c r="V257" s="49"/>
      <c r="X257" s="112"/>
    </row>
    <row r="258" spans="1:24" x14ac:dyDescent="0.3">
      <c r="A258" s="40" t="str">
        <f>VLOOKUP(B258,Grupos!$A$2:$B$619,2,FALSE)</f>
        <v>TABLEROS 85 AMP BIMETALICO</v>
      </c>
      <c r="B258" s="41" t="s">
        <v>440</v>
      </c>
      <c r="C258" s="41" t="s">
        <v>441</v>
      </c>
      <c r="D258" s="42">
        <v>70</v>
      </c>
      <c r="E258" s="43">
        <v>10896.33</v>
      </c>
      <c r="F258" s="43">
        <f>VLOOKUP(B258,Feb!$B$6:$F$305,5,FALSE)</f>
        <v>698.92</v>
      </c>
      <c r="G258" s="126">
        <f>E258+F258</f>
        <v>11595.25</v>
      </c>
      <c r="H258" s="127">
        <f>E258*D258</f>
        <v>762743.1</v>
      </c>
      <c r="I258" s="128">
        <f>F258*D258</f>
        <v>48924.399999999994</v>
      </c>
      <c r="J258" s="128">
        <f>G258*D258</f>
        <v>811667.5</v>
      </c>
      <c r="K258" s="44">
        <f t="shared" si="109"/>
        <v>4.6555069645522402E-4</v>
      </c>
      <c r="L258" s="45">
        <v>3023.0309778906399</v>
      </c>
      <c r="M258" s="45">
        <f>VLOOKUP(B258,Feb!$B$6:$M$305,12,FALSE)</f>
        <v>4112.6020056842235</v>
      </c>
      <c r="N258" s="45">
        <f>G258+L258+M258</f>
        <v>18730.882983574862</v>
      </c>
      <c r="O258" s="46">
        <f>N258*D258</f>
        <v>1311161.8088502404</v>
      </c>
      <c r="P258" s="47">
        <f>T258/D258</f>
        <v>36737.657285714282</v>
      </c>
      <c r="Q258" s="47">
        <v>96100</v>
      </c>
      <c r="R258" s="47">
        <f t="shared" si="140"/>
        <v>59362.342714285718</v>
      </c>
      <c r="S258" s="191">
        <f t="shared" si="110"/>
        <v>0.617714284227739</v>
      </c>
      <c r="T258" s="42">
        <v>2571636.0099999998</v>
      </c>
      <c r="U258" s="152">
        <f t="shared" si="139"/>
        <v>0.50985512870083061</v>
      </c>
      <c r="V258" s="49"/>
      <c r="X258" s="112"/>
    </row>
    <row r="259" spans="1:24" x14ac:dyDescent="0.3">
      <c r="A259" s="40" t="str">
        <f>VLOOKUP(B259,Grupos!$A$2:$B$619,2,FALSE)</f>
        <v>TABLEROS 85 AMP BIMETALICO</v>
      </c>
      <c r="B259" s="41" t="s">
        <v>653</v>
      </c>
      <c r="C259" s="41" t="s">
        <v>654</v>
      </c>
      <c r="D259" s="42">
        <v>60</v>
      </c>
      <c r="E259" s="43">
        <v>14118.64</v>
      </c>
      <c r="F259" s="43">
        <f>VLOOKUP(B259,Feb!$B$6:$F$305,5,FALSE)</f>
        <v>827.17</v>
      </c>
      <c r="G259" s="126">
        <f>E259+F259</f>
        <v>14945.81</v>
      </c>
      <c r="H259" s="127">
        <f>E259*D259</f>
        <v>847118.39999999991</v>
      </c>
      <c r="I259" s="128">
        <f>F259*D259</f>
        <v>49630.2</v>
      </c>
      <c r="J259" s="128">
        <f>G259*D259</f>
        <v>896748.6</v>
      </c>
      <c r="K259" s="44">
        <f t="shared" ref="K259:K276" si="148">J259/$J$277</f>
        <v>5.143509322170065E-4</v>
      </c>
      <c r="L259" s="45">
        <v>3513.2698488599194</v>
      </c>
      <c r="M259" s="45">
        <f>VLOOKUP(B259,Feb!$B$6:$M$305,12,FALSE)</f>
        <v>4867.2537644391623</v>
      </c>
      <c r="N259" s="45">
        <f>G259+L259+M259</f>
        <v>23326.333613299081</v>
      </c>
      <c r="O259" s="46">
        <f>N259*D259</f>
        <v>1399580.0167979449</v>
      </c>
      <c r="P259" s="47">
        <f>T259/D259</f>
        <v>44004.000499999995</v>
      </c>
      <c r="Q259" s="47">
        <v>115800</v>
      </c>
      <c r="R259" s="47">
        <f t="shared" si="140"/>
        <v>71795.999500000005</v>
      </c>
      <c r="S259" s="191">
        <f t="shared" si="110"/>
        <v>0.61999999568221076</v>
      </c>
      <c r="T259" s="42">
        <v>2640240.0299999998</v>
      </c>
      <c r="U259" s="48">
        <f t="shared" si="139"/>
        <v>0.53009574921032654</v>
      </c>
      <c r="V259" s="49"/>
      <c r="X259" s="112"/>
    </row>
    <row r="260" spans="1:24" x14ac:dyDescent="0.3">
      <c r="A260" s="40" t="str">
        <f>VLOOKUP(B260,Grupos!$A$2:$B$619,2,FALSE)</f>
        <v>TABLEROS 95 AMP COBRE</v>
      </c>
      <c r="B260" s="41" t="s">
        <v>442</v>
      </c>
      <c r="C260" s="41" t="s">
        <v>443</v>
      </c>
      <c r="D260" s="42">
        <v>360</v>
      </c>
      <c r="E260" s="43">
        <v>23477.53</v>
      </c>
      <c r="F260" s="43">
        <f>VLOOKUP(B260,Feb!$B$6:$F$305,5,FALSE)</f>
        <v>885.23</v>
      </c>
      <c r="G260" s="126">
        <f t="shared" ref="G260:G265" si="149">E260+F260</f>
        <v>24362.76</v>
      </c>
      <c r="H260" s="127">
        <f t="shared" ref="H260:H265" si="150">E260*D260</f>
        <v>8451910.7999999989</v>
      </c>
      <c r="I260" s="128">
        <f t="shared" ref="I260:I265" si="151">F260*D260</f>
        <v>318682.8</v>
      </c>
      <c r="J260" s="128">
        <f t="shared" ref="J260:J265" si="152">G260*D260</f>
        <v>8770593.5999999996</v>
      </c>
      <c r="K260" s="44">
        <f t="shared" si="148"/>
        <v>5.0305771252461507E-3</v>
      </c>
      <c r="L260" s="45">
        <v>5776.8260350158862</v>
      </c>
      <c r="M260" s="45">
        <f>VLOOKUP(B260,Feb!$B$6:$M$305,12,FALSE)</f>
        <v>5208.891823802217</v>
      </c>
      <c r="N260" s="45">
        <f t="shared" ref="N260:N265" si="153">G260+L260+M260</f>
        <v>35348.4778588181</v>
      </c>
      <c r="O260" s="46">
        <f t="shared" ref="O260:O265" si="154">N260*D260</f>
        <v>12725452.029174516</v>
      </c>
      <c r="P260" s="47">
        <f t="shared" ref="P260:P265" si="155">T260/D260</f>
        <v>60210.204888888897</v>
      </c>
      <c r="Q260" s="47">
        <v>151050</v>
      </c>
      <c r="R260" s="47">
        <f t="shared" si="140"/>
        <v>90839.795111111103</v>
      </c>
      <c r="S260" s="191">
        <f t="shared" si="110"/>
        <v>0.60138891169222841</v>
      </c>
      <c r="T260" s="42">
        <v>21675673.760000002</v>
      </c>
      <c r="U260" s="48">
        <f t="shared" si="139"/>
        <v>0.58708449712220223</v>
      </c>
      <c r="V260" s="49"/>
      <c r="X260" s="112"/>
    </row>
    <row r="261" spans="1:24" x14ac:dyDescent="0.3">
      <c r="A261" s="40" t="str">
        <f>VLOOKUP(B261,Grupos!$A$2:$B$619,2,FALSE)</f>
        <v>TABLEROS 95 AMP COBRE</v>
      </c>
      <c r="B261" s="41" t="s">
        <v>444</v>
      </c>
      <c r="C261" s="41" t="s">
        <v>445</v>
      </c>
      <c r="D261" s="42">
        <v>400</v>
      </c>
      <c r="E261" s="43">
        <v>23339.05</v>
      </c>
      <c r="F261" s="43">
        <f>VLOOKUP(B261,Feb!$B$6:$F$305,5,FALSE)</f>
        <v>765.65</v>
      </c>
      <c r="G261" s="126">
        <f t="shared" si="149"/>
        <v>24104.7</v>
      </c>
      <c r="H261" s="127">
        <f t="shared" si="150"/>
        <v>9335620</v>
      </c>
      <c r="I261" s="128">
        <f t="shared" si="151"/>
        <v>306260</v>
      </c>
      <c r="J261" s="128">
        <f t="shared" si="152"/>
        <v>9641880</v>
      </c>
      <c r="K261" s="44">
        <f t="shared" si="148"/>
        <v>5.5303236228353304E-3</v>
      </c>
      <c r="L261" s="45">
        <v>5716.7922204082915</v>
      </c>
      <c r="M261" s="45">
        <f>VLOOKUP(B261,Feb!$B$6:$M$305,12,FALSE)</f>
        <v>4505.2562892063843</v>
      </c>
      <c r="N261" s="45">
        <f t="shared" si="153"/>
        <v>34326.748509614677</v>
      </c>
      <c r="O261" s="46">
        <f t="shared" si="154"/>
        <v>13730699.403845871</v>
      </c>
      <c r="P261" s="47">
        <f t="shared" si="155"/>
        <v>59788.737850000005</v>
      </c>
      <c r="Q261" s="47">
        <v>145850</v>
      </c>
      <c r="R261" s="47">
        <f t="shared" si="140"/>
        <v>86061.262149999995</v>
      </c>
      <c r="S261" s="191">
        <f t="shared" si="110"/>
        <v>0.59006693280767908</v>
      </c>
      <c r="T261" s="42">
        <v>23915495.140000001</v>
      </c>
      <c r="U261" s="48">
        <f t="shared" si="139"/>
        <v>0.57413402162351679</v>
      </c>
      <c r="V261" s="49"/>
      <c r="X261" s="112"/>
    </row>
    <row r="262" spans="1:24" x14ac:dyDescent="0.3">
      <c r="A262" s="40" t="str">
        <f>VLOOKUP(B262,Grupos!$A$2:$B$619,2,FALSE)</f>
        <v>TABLEROS 95 AMP COBRE</v>
      </c>
      <c r="B262" s="41" t="s">
        <v>448</v>
      </c>
      <c r="C262" s="41" t="s">
        <v>449</v>
      </c>
      <c r="D262" s="42">
        <v>588</v>
      </c>
      <c r="E262" s="43">
        <v>17752.2</v>
      </c>
      <c r="F262" s="43">
        <f>VLOOKUP(B262,Feb!$B$6:$F$305,5,FALSE)</f>
        <v>842.36</v>
      </c>
      <c r="G262" s="126">
        <f t="shared" si="149"/>
        <v>18594.560000000001</v>
      </c>
      <c r="H262" s="127">
        <f t="shared" si="150"/>
        <v>10438293.6</v>
      </c>
      <c r="I262" s="128">
        <f t="shared" si="151"/>
        <v>495307.68</v>
      </c>
      <c r="J262" s="128">
        <f t="shared" si="152"/>
        <v>10933601.280000001</v>
      </c>
      <c r="K262" s="44">
        <f t="shared" si="148"/>
        <v>6.2712202849907498E-3</v>
      </c>
      <c r="L262" s="45">
        <v>4416.9575273169658</v>
      </c>
      <c r="M262" s="45">
        <f>VLOOKUP(B262,Feb!$B$6:$M$305,12,FALSE)</f>
        <v>4956.6351306417946</v>
      </c>
      <c r="N262" s="45">
        <f t="shared" si="153"/>
        <v>27968.152657958759</v>
      </c>
      <c r="O262" s="46">
        <f t="shared" si="154"/>
        <v>16445273.76287975</v>
      </c>
      <c r="P262" s="47">
        <f t="shared" si="155"/>
        <v>45035.723656462585</v>
      </c>
      <c r="Q262" s="47">
        <v>113150</v>
      </c>
      <c r="R262" s="47">
        <f t="shared" si="140"/>
        <v>68114.276343537407</v>
      </c>
      <c r="S262" s="191">
        <f t="shared" ref="S262:S278" si="156">R262/Q262</f>
        <v>0.60198211527651269</v>
      </c>
      <c r="T262" s="42">
        <v>26481005.510000002</v>
      </c>
      <c r="U262" s="48">
        <f t="shared" si="139"/>
        <v>0.62102149998305511</v>
      </c>
      <c r="V262" s="49"/>
      <c r="X262" s="112"/>
    </row>
    <row r="263" spans="1:24" x14ac:dyDescent="0.3">
      <c r="A263" s="40" t="str">
        <f>VLOOKUP(B263,Grupos!$A$2:$B$619,2,FALSE)</f>
        <v>TABLEROS 95 AMP COBRE</v>
      </c>
      <c r="B263" s="41" t="s">
        <v>450</v>
      </c>
      <c r="C263" s="41" t="s">
        <v>451</v>
      </c>
      <c r="D263" s="42">
        <v>912</v>
      </c>
      <c r="E263" s="43">
        <v>17554.54</v>
      </c>
      <c r="F263" s="43">
        <f>VLOOKUP(B263,Feb!$B$6:$F$305,5,FALSE)</f>
        <v>789.26</v>
      </c>
      <c r="G263" s="126">
        <f t="shared" si="149"/>
        <v>18343.8</v>
      </c>
      <c r="H263" s="127">
        <f t="shared" si="150"/>
        <v>16009740.48</v>
      </c>
      <c r="I263" s="128">
        <f t="shared" si="151"/>
        <v>719805.12</v>
      </c>
      <c r="J263" s="128">
        <f t="shared" si="152"/>
        <v>16729545.6</v>
      </c>
      <c r="K263" s="44">
        <f t="shared" si="148"/>
        <v>9.5956184095820369E-3</v>
      </c>
      <c r="L263" s="45">
        <v>4350.0456461624499</v>
      </c>
      <c r="M263" s="45">
        <f>VLOOKUP(B263,Feb!$B$6:$M$305,12,FALSE)</f>
        <v>4644.1828235081712</v>
      </c>
      <c r="N263" s="45">
        <f t="shared" si="153"/>
        <v>27338.028469670619</v>
      </c>
      <c r="O263" s="46">
        <f t="shared" si="154"/>
        <v>24932281.964339603</v>
      </c>
      <c r="P263" s="47">
        <f t="shared" si="155"/>
        <v>44489.092390350874</v>
      </c>
      <c r="Q263" s="47">
        <v>110300</v>
      </c>
      <c r="R263" s="47">
        <f t="shared" si="140"/>
        <v>65810.907609649119</v>
      </c>
      <c r="S263" s="191">
        <f t="shared" si="156"/>
        <v>0.59665374079464295</v>
      </c>
      <c r="T263" s="42">
        <v>40574052.259999998</v>
      </c>
      <c r="U263" s="48">
        <f t="shared" si="139"/>
        <v>0.61448833862027474</v>
      </c>
      <c r="V263" s="49"/>
      <c r="X263" s="112"/>
    </row>
    <row r="264" spans="1:24" x14ac:dyDescent="0.3">
      <c r="A264" s="40" t="str">
        <f>VLOOKUP(B264,Grupos!$A$2:$B$619,2,FALSE)</f>
        <v>TABLEROS 95 AMP COBRE</v>
      </c>
      <c r="B264" s="41" t="s">
        <v>452</v>
      </c>
      <c r="C264" s="41" t="s">
        <v>453</v>
      </c>
      <c r="D264" s="42">
        <v>75</v>
      </c>
      <c r="E264" s="43">
        <v>14814.34</v>
      </c>
      <c r="F264" s="43">
        <f>VLOOKUP(B264,Feb!$B$6:$F$305,5,FALSE)</f>
        <v>748.48</v>
      </c>
      <c r="G264" s="126">
        <f t="shared" si="149"/>
        <v>15562.82</v>
      </c>
      <c r="H264" s="127">
        <f t="shared" si="150"/>
        <v>1111075.5</v>
      </c>
      <c r="I264" s="128">
        <f t="shared" si="151"/>
        <v>56136</v>
      </c>
      <c r="J264" s="128">
        <f t="shared" si="152"/>
        <v>1167211.5</v>
      </c>
      <c r="K264" s="44">
        <f t="shared" si="148"/>
        <v>6.6948119363599839E-4</v>
      </c>
      <c r="L264" s="45">
        <v>3693.5522944339386</v>
      </c>
      <c r="M264" s="45">
        <f>VLOOKUP(B264,Feb!$B$6:$M$305,12,FALSE)</f>
        <v>4404.2241590089398</v>
      </c>
      <c r="N264" s="45">
        <f t="shared" si="153"/>
        <v>23660.596453442879</v>
      </c>
      <c r="O264" s="46">
        <f t="shared" si="154"/>
        <v>1774544.7340082158</v>
      </c>
      <c r="P264" s="47">
        <f t="shared" si="155"/>
        <v>38748.818399999996</v>
      </c>
      <c r="Q264" s="47">
        <v>98950</v>
      </c>
      <c r="R264" s="47">
        <f t="shared" si="140"/>
        <v>60201.181600000004</v>
      </c>
      <c r="S264" s="191">
        <f t="shared" si="156"/>
        <v>0.60840001616978279</v>
      </c>
      <c r="T264" s="42">
        <v>2906161.38</v>
      </c>
      <c r="U264" s="48">
        <f t="shared" si="139"/>
        <v>0.61061465692184513</v>
      </c>
      <c r="V264" s="49"/>
      <c r="X264" s="112"/>
    </row>
    <row r="265" spans="1:24" x14ac:dyDescent="0.3">
      <c r="A265" s="40" t="str">
        <f>VLOOKUP(B265,Grupos!$A$2:$B$619,2,FALSE)</f>
        <v>TABLEROS 95 AMP COBRE</v>
      </c>
      <c r="B265" s="41" t="s">
        <v>446</v>
      </c>
      <c r="C265" s="41" t="s">
        <v>447</v>
      </c>
      <c r="D265" s="42">
        <v>30</v>
      </c>
      <c r="E265" s="43">
        <v>19134.75</v>
      </c>
      <c r="F265" s="43">
        <f>VLOOKUP(B265,Feb!$B$6:$F$305,5,FALSE)</f>
        <v>841.01</v>
      </c>
      <c r="G265" s="126">
        <f t="shared" si="149"/>
        <v>19975.759999999998</v>
      </c>
      <c r="H265" s="127">
        <f t="shared" si="150"/>
        <v>574042.5</v>
      </c>
      <c r="I265" s="128">
        <f t="shared" si="151"/>
        <v>25230.3</v>
      </c>
      <c r="J265" s="128">
        <f t="shared" si="152"/>
        <v>599272.79999999993</v>
      </c>
      <c r="K265" s="44">
        <f t="shared" si="148"/>
        <v>3.437267962640763E-4</v>
      </c>
      <c r="L265" s="45">
        <v>4695.6461587603499</v>
      </c>
      <c r="M265" s="45">
        <f>VLOOKUP(B265,Feb!$B$6:$M$305,12,FALSE)</f>
        <v>4948.6914279180583</v>
      </c>
      <c r="N265" s="45">
        <f t="shared" si="153"/>
        <v>29620.097586678407</v>
      </c>
      <c r="O265" s="46">
        <f t="shared" si="154"/>
        <v>888602.92760035221</v>
      </c>
      <c r="P265" s="47">
        <f t="shared" si="155"/>
        <v>51178.998666666666</v>
      </c>
      <c r="Q265" s="47">
        <v>125850</v>
      </c>
      <c r="R265" s="47">
        <f t="shared" si="140"/>
        <v>74671.001333333334</v>
      </c>
      <c r="S265" s="191">
        <f t="shared" si="156"/>
        <v>0.59333334392795656</v>
      </c>
      <c r="T265" s="42">
        <v>1535369.96</v>
      </c>
      <c r="U265" s="48">
        <f t="shared" si="139"/>
        <v>0.57875492601167744</v>
      </c>
      <c r="V265" s="49"/>
      <c r="X265" s="112"/>
    </row>
    <row r="266" spans="1:24" x14ac:dyDescent="0.3">
      <c r="A266" s="40" t="str">
        <f>VLOOKUP(B266,Grupos!$A$2:$B$619,2,FALSE)</f>
        <v>TAPAS PLASTICAS</v>
      </c>
      <c r="B266" s="41" t="s">
        <v>454</v>
      </c>
      <c r="C266" s="41" t="s">
        <v>455</v>
      </c>
      <c r="D266" s="42">
        <v>35</v>
      </c>
      <c r="E266" s="43">
        <v>1632.91</v>
      </c>
      <c r="F266" s="43">
        <f>VLOOKUP(B266,Feb!$B$6:$F$305,5,FALSE)</f>
        <v>67</v>
      </c>
      <c r="G266" s="126">
        <f t="shared" ref="G266:G276" si="157">E266+F266</f>
        <v>1699.91</v>
      </c>
      <c r="H266" s="127">
        <f t="shared" ref="H266:H276" si="158">E266*D266</f>
        <v>57151.850000000006</v>
      </c>
      <c r="I266" s="128">
        <f t="shared" ref="I266:I276" si="159">F266*D266</f>
        <v>2345</v>
      </c>
      <c r="J266" s="128">
        <f t="shared" ref="J266:J276" si="160">G266*D266</f>
        <v>59496.850000000006</v>
      </c>
      <c r="K266" s="44">
        <f t="shared" si="148"/>
        <v>3.4125796529233951E-5</v>
      </c>
      <c r="L266" s="45">
        <v>399.59309992402331</v>
      </c>
      <c r="M266" s="45">
        <f>VLOOKUP(B266,Feb!$B$6:$M$305,12,FALSE)</f>
        <v>394.24302406690754</v>
      </c>
      <c r="N266" s="45">
        <f t="shared" ref="N266:N276" si="161">G266+L266+M266</f>
        <v>2493.7461239909308</v>
      </c>
      <c r="O266" s="46">
        <f t="shared" ref="O266:O276" si="162">N266*D266</f>
        <v>87281.114339682579</v>
      </c>
      <c r="P266" s="47">
        <f t="shared" ref="P266:P276" si="163">T266/D266</f>
        <v>10940.714285714286</v>
      </c>
      <c r="Q266" s="47">
        <v>28900</v>
      </c>
      <c r="R266" s="47">
        <f t="shared" si="140"/>
        <v>17959.285714285714</v>
      </c>
      <c r="S266" s="191">
        <f t="shared" si="156"/>
        <v>0.62142857142857144</v>
      </c>
      <c r="T266" s="42">
        <v>382925</v>
      </c>
      <c r="U266" s="48">
        <f t="shared" si="139"/>
        <v>0.22793266132971882</v>
      </c>
      <c r="V266" s="49"/>
      <c r="X266" s="112"/>
    </row>
    <row r="267" spans="1:24" x14ac:dyDescent="0.3">
      <c r="A267" s="40" t="str">
        <f>VLOOKUP(B267,Grupos!$A$2:$B$619,2,FALSE)</f>
        <v>TAPAS PLASTICAS</v>
      </c>
      <c r="B267" s="41" t="s">
        <v>456</v>
      </c>
      <c r="C267" s="41" t="s">
        <v>457</v>
      </c>
      <c r="D267" s="42">
        <v>5</v>
      </c>
      <c r="E267" s="43">
        <v>1067.4000000000001</v>
      </c>
      <c r="F267" s="43">
        <f>VLOOKUP(B267,Feb!$B$6:$F$305,5,FALSE)</f>
        <v>55.24</v>
      </c>
      <c r="G267" s="126">
        <f t="shared" si="157"/>
        <v>1122.6400000000001</v>
      </c>
      <c r="H267" s="127">
        <f t="shared" si="158"/>
        <v>5337</v>
      </c>
      <c r="I267" s="128">
        <f t="shared" si="159"/>
        <v>276.2</v>
      </c>
      <c r="J267" s="128">
        <f t="shared" si="160"/>
        <v>5613.2000000000007</v>
      </c>
      <c r="K267" s="44">
        <f t="shared" si="148"/>
        <v>3.2195808866838499E-6</v>
      </c>
      <c r="L267" s="45">
        <v>263.89585195610681</v>
      </c>
      <c r="M267" s="45">
        <f>VLOOKUP(B267,Feb!$B$6:$M$305,12,FALSE)</f>
        <v>325.04454700680554</v>
      </c>
      <c r="N267" s="45">
        <f t="shared" si="161"/>
        <v>1711.5803989629123</v>
      </c>
      <c r="O267" s="46">
        <f t="shared" si="162"/>
        <v>8557.9019948145615</v>
      </c>
      <c r="P267" s="47">
        <f t="shared" si="163"/>
        <v>4322.5</v>
      </c>
      <c r="Q267" s="47">
        <v>12350</v>
      </c>
      <c r="R267" s="47">
        <f t="shared" si="140"/>
        <v>8027.5</v>
      </c>
      <c r="S267" s="191">
        <f t="shared" si="156"/>
        <v>0.65</v>
      </c>
      <c r="T267" s="42">
        <v>21612.5</v>
      </c>
      <c r="U267" s="48">
        <f t="shared" si="139"/>
        <v>0.39597001711114221</v>
      </c>
      <c r="V267" s="49"/>
      <c r="X267" s="112"/>
    </row>
    <row r="268" spans="1:24" x14ac:dyDescent="0.3">
      <c r="A268" s="40" t="str">
        <f>VLOOKUP(B268,Grupos!$A$2:$B$619,2,FALSE)</f>
        <v>TAPAS PLASTICAS</v>
      </c>
      <c r="B268" s="41" t="s">
        <v>459</v>
      </c>
      <c r="C268" s="41" t="s">
        <v>460</v>
      </c>
      <c r="D268" s="42">
        <v>125</v>
      </c>
      <c r="E268" s="43">
        <v>1183.82</v>
      </c>
      <c r="F268" s="43">
        <f>VLOOKUP(B268,Feb!$B$6:$F$305,5,FALSE)</f>
        <v>60.43</v>
      </c>
      <c r="G268" s="126">
        <f t="shared" si="157"/>
        <v>1244.25</v>
      </c>
      <c r="H268" s="127">
        <f t="shared" si="158"/>
        <v>147977.5</v>
      </c>
      <c r="I268" s="128">
        <f t="shared" si="159"/>
        <v>7553.75</v>
      </c>
      <c r="J268" s="128">
        <f t="shared" si="160"/>
        <v>155531.25</v>
      </c>
      <c r="K268" s="44">
        <f t="shared" si="148"/>
        <v>8.9208551233173138E-5</v>
      </c>
      <c r="L268" s="45">
        <v>292.48237529073066</v>
      </c>
      <c r="M268" s="45">
        <f>VLOOKUP(B268,Feb!$B$6:$M$305,12,FALSE)</f>
        <v>355.58367081139136</v>
      </c>
      <c r="N268" s="45">
        <f t="shared" si="161"/>
        <v>1892.3160461021221</v>
      </c>
      <c r="O268" s="46">
        <f t="shared" si="162"/>
        <v>236539.50576276527</v>
      </c>
      <c r="P268" s="47">
        <f t="shared" si="163"/>
        <v>5448.1000800000002</v>
      </c>
      <c r="Q268" s="47">
        <v>15050</v>
      </c>
      <c r="R268" s="47">
        <f t="shared" si="140"/>
        <v>9601.8999199999998</v>
      </c>
      <c r="S268" s="191">
        <f t="shared" si="156"/>
        <v>0.6379999946843854</v>
      </c>
      <c r="T268" s="42">
        <v>681012.51</v>
      </c>
      <c r="U268" s="48">
        <f t="shared" si="139"/>
        <v>0.34733503759389861</v>
      </c>
      <c r="V268" s="49"/>
      <c r="X268" s="112"/>
    </row>
    <row r="269" spans="1:24" x14ac:dyDescent="0.3">
      <c r="A269" s="40" t="str">
        <f>VLOOKUP(B269,Grupos!$A$2:$B$619,2,FALSE)</f>
        <v>TAPAS PLASTICAS</v>
      </c>
      <c r="B269" s="41" t="s">
        <v>461</v>
      </c>
      <c r="C269" s="41" t="s">
        <v>462</v>
      </c>
      <c r="D269" s="42">
        <v>129</v>
      </c>
      <c r="E269" s="43">
        <v>1499.37</v>
      </c>
      <c r="F269" s="43">
        <f>VLOOKUP(B269,Feb!$B$6:$F$305,5,FALSE)</f>
        <v>57.16</v>
      </c>
      <c r="G269" s="126">
        <f t="shared" si="157"/>
        <v>1556.53</v>
      </c>
      <c r="H269" s="127">
        <f t="shared" si="158"/>
        <v>193418.72999999998</v>
      </c>
      <c r="I269" s="128">
        <f t="shared" si="159"/>
        <v>7373.6399999999994</v>
      </c>
      <c r="J269" s="128">
        <f t="shared" si="160"/>
        <v>200792.37</v>
      </c>
      <c r="K269" s="44">
        <f t="shared" si="148"/>
        <v>1.1516911505806877E-4</v>
      </c>
      <c r="L269" s="45">
        <v>365.88916344085277</v>
      </c>
      <c r="M269" s="45">
        <f>VLOOKUP(B269,Feb!$B$6:$M$305,12,FALSE)</f>
        <v>336.34225754723036</v>
      </c>
      <c r="N269" s="45">
        <f t="shared" si="161"/>
        <v>2258.761420988083</v>
      </c>
      <c r="O269" s="46">
        <f t="shared" si="162"/>
        <v>291380.2233074627</v>
      </c>
      <c r="P269" s="47">
        <f t="shared" si="163"/>
        <v>7971.3645736434109</v>
      </c>
      <c r="Q269" s="47">
        <v>21800</v>
      </c>
      <c r="R269" s="47">
        <f t="shared" si="140"/>
        <v>13828.635426356588</v>
      </c>
      <c r="S269" s="191">
        <f t="shared" si="156"/>
        <v>0.63434107460351319</v>
      </c>
      <c r="T269" s="42">
        <v>1028306.03</v>
      </c>
      <c r="U269" s="48">
        <f t="shared" si="139"/>
        <v>0.2833594424292763</v>
      </c>
      <c r="V269" s="49"/>
      <c r="X269" s="112"/>
    </row>
    <row r="270" spans="1:24" x14ac:dyDescent="0.3">
      <c r="A270" s="40" t="str">
        <f>VLOOKUP(B270,Grupos!$A$2:$B$619,2,FALSE)</f>
        <v>TAPAS PLASTICAS</v>
      </c>
      <c r="B270" s="41" t="s">
        <v>463</v>
      </c>
      <c r="C270" s="41" t="s">
        <v>464</v>
      </c>
      <c r="D270" s="42">
        <v>3900</v>
      </c>
      <c r="E270" s="43">
        <v>21.34</v>
      </c>
      <c r="F270" s="43">
        <f>VLOOKUP(B270,Feb!$B$6:$F$305,5,FALSE)</f>
        <v>9.09</v>
      </c>
      <c r="G270" s="126">
        <f t="shared" si="157"/>
        <v>30.43</v>
      </c>
      <c r="H270" s="127">
        <f t="shared" si="158"/>
        <v>83226</v>
      </c>
      <c r="I270" s="128">
        <f t="shared" si="159"/>
        <v>35451</v>
      </c>
      <c r="J270" s="128">
        <f t="shared" si="160"/>
        <v>118677</v>
      </c>
      <c r="K270" s="44">
        <f t="shared" si="148"/>
        <v>6.8069942437286971E-5</v>
      </c>
      <c r="L270" s="45">
        <v>7.1530951819143525</v>
      </c>
      <c r="M270" s="45">
        <f>VLOOKUP(B270,Feb!$B$6:$M$305,12,FALSE)</f>
        <v>53.48759833982372</v>
      </c>
      <c r="N270" s="45">
        <f t="shared" si="161"/>
        <v>91.070693521738065</v>
      </c>
      <c r="O270" s="46">
        <f t="shared" si="162"/>
        <v>355175.70473477844</v>
      </c>
      <c r="P270" s="47">
        <f t="shared" si="163"/>
        <v>374.5</v>
      </c>
      <c r="Q270" s="47">
        <v>1050</v>
      </c>
      <c r="R270" s="47">
        <f t="shared" si="140"/>
        <v>675.5</v>
      </c>
      <c r="S270" s="191">
        <f t="shared" si="156"/>
        <v>0.64333333333333331</v>
      </c>
      <c r="T270" s="42">
        <v>1460550</v>
      </c>
      <c r="U270" s="48">
        <f t="shared" si="139"/>
        <v>0.24317942195390671</v>
      </c>
      <c r="V270" s="49"/>
      <c r="X270" s="112"/>
    </row>
    <row r="271" spans="1:24" x14ac:dyDescent="0.3">
      <c r="A271" s="40" t="str">
        <f>VLOOKUP(B271,Grupos!$A$2:$B$619,2,FALSE)</f>
        <v>TAPAS PLASTICAS</v>
      </c>
      <c r="B271" s="41" t="s">
        <v>465</v>
      </c>
      <c r="C271" s="41" t="s">
        <v>466</v>
      </c>
      <c r="D271" s="42">
        <v>270000</v>
      </c>
      <c r="E271" s="43">
        <v>77.98</v>
      </c>
      <c r="F271" s="43">
        <f>VLOOKUP(B271,Feb!$B$6:$F$305,5,FALSE)</f>
        <v>8.14</v>
      </c>
      <c r="G271" s="126">
        <f t="shared" si="157"/>
        <v>86.12</v>
      </c>
      <c r="H271" s="127">
        <f t="shared" si="158"/>
        <v>21054600</v>
      </c>
      <c r="I271" s="128">
        <f t="shared" si="159"/>
        <v>2197800</v>
      </c>
      <c r="J271" s="128">
        <f t="shared" si="160"/>
        <v>23252400</v>
      </c>
      <c r="K271" s="44">
        <f t="shared" si="148"/>
        <v>1.3336952649028637E-2</v>
      </c>
      <c r="L271" s="45">
        <v>20.243988073166747</v>
      </c>
      <c r="M271" s="45">
        <f>VLOOKUP(B271,Feb!$B$6:$M$305,12,FALSE)</f>
        <v>47.897585312009369</v>
      </c>
      <c r="N271" s="45">
        <f t="shared" si="161"/>
        <v>154.26157338517612</v>
      </c>
      <c r="O271" s="46">
        <f t="shared" si="162"/>
        <v>41650624.813997552</v>
      </c>
      <c r="P271" s="47">
        <f t="shared" si="163"/>
        <v>230.53067874074074</v>
      </c>
      <c r="Q271" s="47">
        <v>650</v>
      </c>
      <c r="R271" s="47">
        <f t="shared" si="140"/>
        <v>419.46932125925923</v>
      </c>
      <c r="S271" s="191">
        <f t="shared" si="156"/>
        <v>0.64533741732193728</v>
      </c>
      <c r="T271" s="42">
        <v>62243283.259999998</v>
      </c>
      <c r="U271" s="48">
        <f t="shared" si="139"/>
        <v>0.66915854422422305</v>
      </c>
      <c r="V271" s="49"/>
      <c r="X271" s="112"/>
    </row>
    <row r="272" spans="1:24" x14ac:dyDescent="0.3">
      <c r="A272" s="40" t="str">
        <f>VLOOKUP(B272,Grupos!$A$2:$B$619,2,FALSE)</f>
        <v>TAPAS PLASTICAS</v>
      </c>
      <c r="B272" s="41" t="s">
        <v>467</v>
      </c>
      <c r="C272" s="41" t="s">
        <v>468</v>
      </c>
      <c r="D272" s="42">
        <v>16200</v>
      </c>
      <c r="E272" s="43">
        <v>77.16</v>
      </c>
      <c r="F272" s="43">
        <f>VLOOKUP(B272,Feb!$B$6:$F$305,5,FALSE)</f>
        <v>9.11</v>
      </c>
      <c r="G272" s="126">
        <f t="shared" si="157"/>
        <v>86.27</v>
      </c>
      <c r="H272" s="127">
        <f t="shared" si="158"/>
        <v>1249992</v>
      </c>
      <c r="I272" s="128">
        <f t="shared" si="159"/>
        <v>147582</v>
      </c>
      <c r="J272" s="128">
        <f t="shared" si="160"/>
        <v>1397574</v>
      </c>
      <c r="K272" s="44">
        <f t="shared" si="148"/>
        <v>8.0161094173132868E-4</v>
      </c>
      <c r="L272" s="45">
        <v>20.871617522253544</v>
      </c>
      <c r="M272" s="45">
        <f>VLOOKUP(B272,Feb!$B$6:$M$305,12,FALSE)</f>
        <v>53.605282824619813</v>
      </c>
      <c r="N272" s="45">
        <f t="shared" si="161"/>
        <v>160.74690034687336</v>
      </c>
      <c r="O272" s="46">
        <f t="shared" si="162"/>
        <v>2604099.7856193483</v>
      </c>
      <c r="P272" s="47">
        <f t="shared" si="163"/>
        <v>226.92222777777778</v>
      </c>
      <c r="Q272" s="47">
        <v>650</v>
      </c>
      <c r="R272" s="47">
        <f t="shared" si="140"/>
        <v>423.07777222222222</v>
      </c>
      <c r="S272" s="191">
        <f t="shared" si="156"/>
        <v>0.6508888803418803</v>
      </c>
      <c r="T272" s="42">
        <v>3676140.09</v>
      </c>
      <c r="U272" s="48">
        <f t="shared" si="139"/>
        <v>0.70837882177100286</v>
      </c>
      <c r="V272" s="49"/>
      <c r="X272" s="112"/>
    </row>
    <row r="273" spans="1:24" x14ac:dyDescent="0.3">
      <c r="A273" s="40" t="str">
        <f>VLOOKUP(B273,Grupos!$A$2:$B$619,2,FALSE)</f>
        <v>TAPAS PLASTICAS</v>
      </c>
      <c r="B273" s="41" t="s">
        <v>469</v>
      </c>
      <c r="C273" s="41" t="s">
        <v>470</v>
      </c>
      <c r="D273" s="42">
        <v>17000</v>
      </c>
      <c r="E273" s="43">
        <v>68.67</v>
      </c>
      <c r="F273" s="43">
        <f>VLOOKUP(B273,Feb!$B$6:$F$305,5,FALSE)</f>
        <v>19.579999999999998</v>
      </c>
      <c r="G273" s="126">
        <f t="shared" si="157"/>
        <v>88.25</v>
      </c>
      <c r="H273" s="127">
        <f t="shared" si="158"/>
        <v>1167390</v>
      </c>
      <c r="I273" s="128">
        <f t="shared" si="159"/>
        <v>332860</v>
      </c>
      <c r="J273" s="128">
        <f t="shared" si="160"/>
        <v>1500250</v>
      </c>
      <c r="K273" s="44">
        <f t="shared" si="148"/>
        <v>8.6050313996427084E-4</v>
      </c>
      <c r="L273" s="45">
        <v>21.137243468870807</v>
      </c>
      <c r="M273" s="45">
        <f>VLOOKUP(B273,Feb!$B$6:$M$305,12,FALSE)</f>
        <v>115.21311061537386</v>
      </c>
      <c r="N273" s="45">
        <f t="shared" si="161"/>
        <v>224.60035408424466</v>
      </c>
      <c r="O273" s="46">
        <f t="shared" si="162"/>
        <v>3818206.0194321591</v>
      </c>
      <c r="P273" s="47">
        <f t="shared" si="163"/>
        <v>229.57353117647057</v>
      </c>
      <c r="Q273" s="47">
        <v>650</v>
      </c>
      <c r="R273" s="47">
        <f t="shared" si="140"/>
        <v>420.42646882352943</v>
      </c>
      <c r="S273" s="191">
        <f t="shared" si="156"/>
        <v>0.64680995203619918</v>
      </c>
      <c r="T273" s="42">
        <v>3902750.03</v>
      </c>
      <c r="U273" s="48">
        <f t="shared" si="139"/>
        <v>0.97833732370304005</v>
      </c>
      <c r="V273" s="49"/>
      <c r="X273" s="112"/>
    </row>
    <row r="274" spans="1:24" x14ac:dyDescent="0.3">
      <c r="A274" s="40" t="str">
        <f>VLOOKUP(B274,Grupos!$A$2:$B$619,2,FALSE)</f>
        <v>TAPAS PLASTICAS</v>
      </c>
      <c r="B274" s="41" t="s">
        <v>471</v>
      </c>
      <c r="C274" s="41" t="s">
        <v>472</v>
      </c>
      <c r="D274" s="42">
        <v>1500</v>
      </c>
      <c r="E274" s="43">
        <v>62.15</v>
      </c>
      <c r="F274" s="43">
        <f>VLOOKUP(B274,Feb!$B$6:$F$305,5,FALSE)</f>
        <v>20.05</v>
      </c>
      <c r="G274" s="126">
        <f t="shared" si="157"/>
        <v>82.2</v>
      </c>
      <c r="H274" s="127">
        <f t="shared" si="158"/>
        <v>93225</v>
      </c>
      <c r="I274" s="128">
        <f t="shared" si="159"/>
        <v>30075</v>
      </c>
      <c r="J274" s="128">
        <f t="shared" si="160"/>
        <v>123300</v>
      </c>
      <c r="K274" s="44">
        <f t="shared" si="148"/>
        <v>7.0721571176533645E-5</v>
      </c>
      <c r="L274" s="45">
        <v>19.32252461233519</v>
      </c>
      <c r="M274" s="45">
        <f>VLOOKUP(B274,Feb!$B$6:$M$305,12,FALSE)</f>
        <v>117.97869600808204</v>
      </c>
      <c r="N274" s="45">
        <f t="shared" si="161"/>
        <v>219.50122062041723</v>
      </c>
      <c r="O274" s="46">
        <f t="shared" si="162"/>
        <v>329251.83093062585</v>
      </c>
      <c r="P274" s="47">
        <f t="shared" si="163"/>
        <v>227.50002000000001</v>
      </c>
      <c r="Q274" s="47">
        <v>650</v>
      </c>
      <c r="R274" s="47">
        <f t="shared" si="140"/>
        <v>422.49997999999999</v>
      </c>
      <c r="S274" s="191">
        <f t="shared" si="156"/>
        <v>0.64999996923076919</v>
      </c>
      <c r="T274" s="42">
        <v>341250.03</v>
      </c>
      <c r="U274" s="48">
        <f t="shared" si="139"/>
        <v>0.964840445378498</v>
      </c>
      <c r="V274" s="49"/>
      <c r="X274" s="112"/>
    </row>
    <row r="275" spans="1:24" x14ac:dyDescent="0.3">
      <c r="A275" s="40" t="str">
        <f>VLOOKUP(B275,Grupos!$A$2:$B$619,2,FALSE)</f>
        <v>TAPAS PLASTICAS</v>
      </c>
      <c r="B275" s="41" t="s">
        <v>473</v>
      </c>
      <c r="C275" s="41" t="s">
        <v>474</v>
      </c>
      <c r="D275" s="42">
        <v>3990</v>
      </c>
      <c r="E275" s="43">
        <v>96.62</v>
      </c>
      <c r="F275" s="43">
        <f>VLOOKUP(B275,Feb!$B$6:$F$305,5,FALSE)</f>
        <v>20.57</v>
      </c>
      <c r="G275" s="126">
        <f t="shared" si="157"/>
        <v>117.19</v>
      </c>
      <c r="H275" s="127">
        <f t="shared" si="158"/>
        <v>385513.80000000005</v>
      </c>
      <c r="I275" s="128">
        <f t="shared" si="159"/>
        <v>82074.3</v>
      </c>
      <c r="J275" s="128">
        <f t="shared" si="160"/>
        <v>467588.1</v>
      </c>
      <c r="K275" s="44">
        <f t="shared" si="148"/>
        <v>2.6819598617558904E-4</v>
      </c>
      <c r="L275" s="45">
        <v>27.860165657590837</v>
      </c>
      <c r="M275" s="45">
        <f>VLOOKUP(B275,Feb!$B$6:$M$305,12,FALSE)</f>
        <v>121.03849261278042</v>
      </c>
      <c r="N275" s="45">
        <f t="shared" si="161"/>
        <v>266.08865827037124</v>
      </c>
      <c r="O275" s="46">
        <f t="shared" si="162"/>
        <v>1061693.7464987813</v>
      </c>
      <c r="P275" s="47">
        <f t="shared" si="163"/>
        <v>261.42858395989975</v>
      </c>
      <c r="Q275" s="47">
        <v>750</v>
      </c>
      <c r="R275" s="47">
        <f t="shared" si="140"/>
        <v>488.57141604010025</v>
      </c>
      <c r="S275" s="191">
        <f t="shared" si="156"/>
        <v>0.65142855472013361</v>
      </c>
      <c r="T275" s="42">
        <v>1043100.05</v>
      </c>
      <c r="U275" s="48">
        <f t="shared" si="139"/>
        <v>1.0178254200052825</v>
      </c>
      <c r="V275" s="49"/>
      <c r="X275" s="112"/>
    </row>
    <row r="276" spans="1:24" x14ac:dyDescent="0.3">
      <c r="A276" s="40" t="str">
        <f>VLOOKUP(B276,Grupos!$A$2:$B$619,2,FALSE)</f>
        <v>TAPAS PLASTICAS</v>
      </c>
      <c r="B276" s="41" t="s">
        <v>475</v>
      </c>
      <c r="C276" s="41" t="s">
        <v>476</v>
      </c>
      <c r="D276" s="42">
        <v>33630</v>
      </c>
      <c r="E276" s="43">
        <v>96.41</v>
      </c>
      <c r="F276" s="43">
        <f>VLOOKUP(B276,Feb!$B$6:$F$305,5,FALSE)</f>
        <v>21.71</v>
      </c>
      <c r="G276" s="126">
        <f t="shared" si="157"/>
        <v>118.12</v>
      </c>
      <c r="H276" s="127">
        <f t="shared" si="158"/>
        <v>3242268.3</v>
      </c>
      <c r="I276" s="128">
        <f t="shared" si="159"/>
        <v>730107.3</v>
      </c>
      <c r="J276" s="128">
        <f t="shared" si="160"/>
        <v>3972375.6</v>
      </c>
      <c r="K276" s="44">
        <f t="shared" si="148"/>
        <v>2.2784480432710913E-3</v>
      </c>
      <c r="L276" s="45">
        <v>28.015310015792064</v>
      </c>
      <c r="M276" s="45">
        <f>VLOOKUP(B276,Feb!$B$6:$M$305,12,FALSE)</f>
        <v>127.74650824615766</v>
      </c>
      <c r="N276" s="45">
        <f t="shared" si="161"/>
        <v>273.88181826194972</v>
      </c>
      <c r="O276" s="46">
        <f t="shared" si="162"/>
        <v>9210645.5481493697</v>
      </c>
      <c r="P276" s="47">
        <f t="shared" si="163"/>
        <v>278.77967082961641</v>
      </c>
      <c r="Q276" s="47">
        <v>800</v>
      </c>
      <c r="R276" s="47">
        <f t="shared" si="140"/>
        <v>521.22032917038359</v>
      </c>
      <c r="S276" s="191">
        <f t="shared" si="156"/>
        <v>0.65152541146297949</v>
      </c>
      <c r="T276" s="42">
        <v>9375360.3300000001</v>
      </c>
      <c r="U276" s="48">
        <f t="shared" si="139"/>
        <v>0.98243109853350774</v>
      </c>
      <c r="V276" s="49"/>
      <c r="X276" s="112"/>
    </row>
    <row r="277" spans="1:24" s="93" customFormat="1" x14ac:dyDescent="0.3">
      <c r="A277" s="50" t="s">
        <v>1011</v>
      </c>
      <c r="B277" s="129"/>
      <c r="C277" s="129"/>
      <c r="D277" s="51">
        <v>2984608.3000000003</v>
      </c>
      <c r="E277" s="52"/>
      <c r="F277" s="52"/>
      <c r="G277" s="130"/>
      <c r="H277" s="51">
        <f>SUM(H5:H276)</f>
        <v>1630374018.0520003</v>
      </c>
      <c r="I277" s="51">
        <f t="shared" ref="I277:J277" si="164">SUM(I5:I276)</f>
        <v>113082722.92200001</v>
      </c>
      <c r="J277" s="51">
        <f t="shared" si="164"/>
        <v>1743456740.9739983</v>
      </c>
      <c r="K277" s="53">
        <v>1</v>
      </c>
      <c r="L277" s="54"/>
      <c r="M277" s="54"/>
      <c r="N277" s="54"/>
      <c r="O277" s="51">
        <f t="shared" ref="O277" si="165">SUM(O5:O276)</f>
        <v>2826045513.3047385</v>
      </c>
      <c r="P277" s="56"/>
      <c r="Q277" s="56"/>
      <c r="R277" s="47">
        <f t="shared" si="140"/>
        <v>0</v>
      </c>
      <c r="S277" s="47"/>
      <c r="T277" s="51">
        <f>SUM(T5:T276)</f>
        <v>4330876465.0600033</v>
      </c>
      <c r="U277" s="57">
        <f t="shared" ref="U277:U340" si="166">O277/T277</f>
        <v>0.65253431634549852</v>
      </c>
      <c r="V277" s="58">
        <f>T277/$T$346</f>
        <v>0.83499992341084561</v>
      </c>
      <c r="W277" s="157"/>
      <c r="X277" s="112"/>
    </row>
    <row r="278" spans="1:24" x14ac:dyDescent="0.3">
      <c r="A278" s="40" t="str">
        <f>VLOOKUP(B278,Grupos!$A$2:$B$619,2,FALSE)</f>
        <v>SETI</v>
      </c>
      <c r="B278" s="41" t="s">
        <v>480</v>
      </c>
      <c r="C278" s="41" t="s">
        <v>1065</v>
      </c>
      <c r="D278" s="42">
        <v>2</v>
      </c>
      <c r="E278" s="43">
        <v>2550000</v>
      </c>
      <c r="F278" s="43">
        <v>0</v>
      </c>
      <c r="G278" s="126">
        <f>E278+F278</f>
        <v>2550000</v>
      </c>
      <c r="H278" s="127">
        <f>E278*D278</f>
        <v>5100000</v>
      </c>
      <c r="I278" s="128">
        <f>F278*D278</f>
        <v>0</v>
      </c>
      <c r="J278" s="128">
        <f>G278*D278</f>
        <v>5100000</v>
      </c>
      <c r="K278" s="44">
        <f>J278/J280</f>
        <v>0.67819148936170215</v>
      </c>
      <c r="L278" s="45"/>
      <c r="M278" s="45">
        <v>0</v>
      </c>
      <c r="N278" s="45">
        <f>G278+L278+M278</f>
        <v>2550000</v>
      </c>
      <c r="O278" s="46">
        <f>N278*D278</f>
        <v>5100000</v>
      </c>
      <c r="P278" s="47">
        <f>T278/D278</f>
        <v>4100000</v>
      </c>
      <c r="Q278" s="47">
        <v>3950000</v>
      </c>
      <c r="R278" s="167">
        <f t="shared" si="140"/>
        <v>-150000</v>
      </c>
      <c r="S278" s="191">
        <f t="shared" si="156"/>
        <v>-3.7974683544303799E-2</v>
      </c>
      <c r="T278" s="42">
        <v>8200000</v>
      </c>
      <c r="U278" s="48">
        <f t="shared" si="166"/>
        <v>0.62195121951219512</v>
      </c>
      <c r="V278" s="49"/>
      <c r="X278" s="112"/>
    </row>
    <row r="279" spans="1:24" x14ac:dyDescent="0.3">
      <c r="A279" s="40" t="str">
        <f>VLOOKUP(B279,Grupos!$A$2:$B$619,2,FALSE)</f>
        <v>SETI</v>
      </c>
      <c r="B279" s="41" t="s">
        <v>656</v>
      </c>
      <c r="C279" s="41" t="s">
        <v>1066</v>
      </c>
      <c r="D279" s="42">
        <v>1</v>
      </c>
      <c r="E279" s="43">
        <v>2420000</v>
      </c>
      <c r="F279" s="43">
        <v>0</v>
      </c>
      <c r="G279" s="126">
        <f>E279+F279</f>
        <v>2420000</v>
      </c>
      <c r="H279" s="127">
        <f>E279*D279</f>
        <v>2420000</v>
      </c>
      <c r="I279" s="128">
        <f>F279*D279</f>
        <v>0</v>
      </c>
      <c r="J279" s="128">
        <f>G279*D279</f>
        <v>2420000</v>
      </c>
      <c r="K279" s="44">
        <f>J279/J280</f>
        <v>0.32180851063829785</v>
      </c>
      <c r="L279" s="45"/>
      <c r="M279" s="45">
        <v>0</v>
      </c>
      <c r="N279" s="45">
        <f>G279+L279+M279</f>
        <v>2420000</v>
      </c>
      <c r="O279" s="46">
        <f>N279*D279</f>
        <v>2420000</v>
      </c>
      <c r="P279" s="47">
        <f>T279/D279</f>
        <v>2970000</v>
      </c>
      <c r="Q279" s="47">
        <v>3800000</v>
      </c>
      <c r="R279" s="47">
        <f t="shared" si="140"/>
        <v>830000</v>
      </c>
      <c r="S279" s="191">
        <f>R279/Q279</f>
        <v>0.21842105263157896</v>
      </c>
      <c r="T279" s="42">
        <v>2970000</v>
      </c>
      <c r="U279" s="48">
        <f t="shared" si="166"/>
        <v>0.81481481481481477</v>
      </c>
      <c r="V279" s="49"/>
      <c r="X279" s="112"/>
    </row>
    <row r="280" spans="1:24" x14ac:dyDescent="0.3">
      <c r="A280" s="50" t="s">
        <v>1104</v>
      </c>
      <c r="B280" s="41"/>
      <c r="C280" s="41"/>
      <c r="D280" s="51">
        <f>SUM(D278:D279)</f>
        <v>3</v>
      </c>
      <c r="E280" s="43"/>
      <c r="F280" s="43"/>
      <c r="G280" s="126"/>
      <c r="H280" s="131">
        <f>SUM(H278:H279)</f>
        <v>7520000</v>
      </c>
      <c r="I280" s="131">
        <f>SUM(I278:I279)</f>
        <v>0</v>
      </c>
      <c r="J280" s="131">
        <f>SUM(J278:J279)</f>
        <v>7520000</v>
      </c>
      <c r="K280" s="150">
        <v>1</v>
      </c>
      <c r="L280" s="45"/>
      <c r="M280" s="45"/>
      <c r="N280" s="45"/>
      <c r="O280" s="55">
        <f>SUM(O278:O279)</f>
        <v>7520000</v>
      </c>
      <c r="P280" s="47"/>
      <c r="Q280" s="47"/>
      <c r="R280" s="47">
        <f t="shared" si="140"/>
        <v>0</v>
      </c>
      <c r="S280" s="47"/>
      <c r="T280" s="51">
        <f>SUM(T278:T279)</f>
        <v>11170000</v>
      </c>
      <c r="U280" s="57">
        <f t="shared" si="166"/>
        <v>0.67323187108325877</v>
      </c>
      <c r="V280" s="58">
        <f>T280/$T$346</f>
        <v>2.1535939017761668E-3</v>
      </c>
      <c r="X280" s="112"/>
    </row>
    <row r="281" spans="1:24" x14ac:dyDescent="0.3">
      <c r="A281" s="40" t="str">
        <f>VLOOKUP(B281,Grupos!$A$2:$B$619,2,FALSE)</f>
        <v>BREAKERS</v>
      </c>
      <c r="B281" s="41" t="s">
        <v>481</v>
      </c>
      <c r="C281" s="41" t="s">
        <v>482</v>
      </c>
      <c r="D281" s="42">
        <v>1272</v>
      </c>
      <c r="E281" s="43">
        <v>5808.8315907531278</v>
      </c>
      <c r="F281" s="43"/>
      <c r="G281" s="126">
        <f t="shared" ref="G281:G331" si="167">E281+F281</f>
        <v>5808.8315907531278</v>
      </c>
      <c r="H281" s="127">
        <f t="shared" ref="H281:H331" si="168">E281*D281</f>
        <v>7388833.7834379785</v>
      </c>
      <c r="I281" s="128">
        <f t="shared" ref="I281:I330" si="169">F281*D281</f>
        <v>0</v>
      </c>
      <c r="J281" s="128">
        <f t="shared" ref="J281:J331" si="170">G281*D281</f>
        <v>7388833.7834379785</v>
      </c>
      <c r="K281" s="44">
        <f t="shared" ref="K281:K332" si="171">J281/$J$332</f>
        <v>2.4320058369815149E-2</v>
      </c>
      <c r="L281" s="45"/>
      <c r="M281" s="45">
        <v>0</v>
      </c>
      <c r="N281" s="45">
        <f t="shared" ref="N281:N331" si="172">G281+L281+M281</f>
        <v>5808.8315907531278</v>
      </c>
      <c r="O281" s="46">
        <f t="shared" ref="O281:O331" si="173">N281*D281</f>
        <v>7388833.7834379785</v>
      </c>
      <c r="P281" s="47">
        <f t="shared" ref="P281:P330" si="174">T281/D281</f>
        <v>7016.0377279874219</v>
      </c>
      <c r="Q281" s="47">
        <v>21250</v>
      </c>
      <c r="R281" s="47">
        <f t="shared" si="140"/>
        <v>14233.962272012577</v>
      </c>
      <c r="S281" s="191">
        <f>R281/Q281</f>
        <v>0.66983351868294483</v>
      </c>
      <c r="T281" s="42">
        <v>8924399.9900000002</v>
      </c>
      <c r="U281" s="48">
        <f t="shared" si="166"/>
        <v>0.82793619646332972</v>
      </c>
      <c r="V281" s="49"/>
      <c r="X281" s="112"/>
    </row>
    <row r="282" spans="1:24" x14ac:dyDescent="0.3">
      <c r="A282" s="40" t="str">
        <f>VLOOKUP(B282,Grupos!$A$2:$B$619,2,FALSE)</f>
        <v>BREAKERS</v>
      </c>
      <c r="B282" s="41" t="s">
        <v>483</v>
      </c>
      <c r="C282" s="41" t="s">
        <v>484</v>
      </c>
      <c r="D282" s="42">
        <v>1632</v>
      </c>
      <c r="E282" s="43">
        <v>5815.0243200861933</v>
      </c>
      <c r="F282" s="43"/>
      <c r="G282" s="126">
        <f t="shared" si="167"/>
        <v>5815.0243200861933</v>
      </c>
      <c r="H282" s="127">
        <f t="shared" si="168"/>
        <v>9490119.6903806683</v>
      </c>
      <c r="I282" s="128">
        <f t="shared" si="169"/>
        <v>0</v>
      </c>
      <c r="J282" s="128">
        <f t="shared" si="170"/>
        <v>9490119.6903806683</v>
      </c>
      <c r="K282" s="44">
        <f t="shared" si="171"/>
        <v>3.1236359021084924E-2</v>
      </c>
      <c r="L282" s="45"/>
      <c r="M282" s="45">
        <v>0</v>
      </c>
      <c r="N282" s="45">
        <f t="shared" si="172"/>
        <v>5815.0243200861933</v>
      </c>
      <c r="O282" s="46">
        <f t="shared" si="173"/>
        <v>9490119.6903806683</v>
      </c>
      <c r="P282" s="47">
        <f t="shared" si="174"/>
        <v>6932.3529411764703</v>
      </c>
      <c r="Q282" s="47">
        <v>21250</v>
      </c>
      <c r="R282" s="47">
        <f t="shared" si="140"/>
        <v>14317.64705882353</v>
      </c>
      <c r="S282" s="191">
        <f t="shared" ref="S282:S330" si="175">R282/Q282</f>
        <v>0.67377162629757792</v>
      </c>
      <c r="T282" s="42">
        <v>11313600</v>
      </c>
      <c r="U282" s="48">
        <f t="shared" si="166"/>
        <v>0.83882404277866185</v>
      </c>
      <c r="V282" s="49"/>
      <c r="X282" s="112"/>
    </row>
    <row r="283" spans="1:24" x14ac:dyDescent="0.3">
      <c r="A283" s="40" t="str">
        <f>VLOOKUP(B283,Grupos!$A$2:$B$619,2,FALSE)</f>
        <v>BREAKERS</v>
      </c>
      <c r="B283" s="41" t="s">
        <v>485</v>
      </c>
      <c r="C283" s="41" t="s">
        <v>486</v>
      </c>
      <c r="D283" s="42">
        <v>20208</v>
      </c>
      <c r="E283" s="43">
        <v>5145.9468164016371</v>
      </c>
      <c r="F283" s="43"/>
      <c r="G283" s="126">
        <f t="shared" si="167"/>
        <v>5145.9468164016371</v>
      </c>
      <c r="H283" s="127">
        <f t="shared" si="168"/>
        <v>103989293.26584429</v>
      </c>
      <c r="I283" s="128">
        <f t="shared" si="169"/>
        <v>0</v>
      </c>
      <c r="J283" s="128">
        <f t="shared" si="170"/>
        <v>103989293.26584429</v>
      </c>
      <c r="K283" s="44">
        <f t="shared" si="171"/>
        <v>0.34227670511819508</v>
      </c>
      <c r="L283" s="45"/>
      <c r="M283" s="45">
        <v>0</v>
      </c>
      <c r="N283" s="45">
        <f t="shared" si="172"/>
        <v>5145.9468164016371</v>
      </c>
      <c r="O283" s="46">
        <f t="shared" si="173"/>
        <v>103989293.26584429</v>
      </c>
      <c r="P283" s="47">
        <f t="shared" si="174"/>
        <v>6950.5047505938246</v>
      </c>
      <c r="Q283" s="47">
        <v>21250</v>
      </c>
      <c r="R283" s="47">
        <f t="shared" si="140"/>
        <v>14299.495249406176</v>
      </c>
      <c r="S283" s="191">
        <f t="shared" si="175"/>
        <v>0.6729174235014671</v>
      </c>
      <c r="T283" s="42">
        <v>140455800</v>
      </c>
      <c r="U283" s="48">
        <f t="shared" si="166"/>
        <v>0.74037023224277165</v>
      </c>
      <c r="V283" s="49"/>
      <c r="X283" s="112"/>
    </row>
    <row r="284" spans="1:24" x14ac:dyDescent="0.3">
      <c r="A284" s="40" t="str">
        <f>VLOOKUP(B284,Grupos!$A$2:$B$619,2,FALSE)</f>
        <v>BREAKERS</v>
      </c>
      <c r="B284" s="41" t="s">
        <v>487</v>
      </c>
      <c r="C284" s="41" t="s">
        <v>488</v>
      </c>
      <c r="D284" s="42">
        <v>7380</v>
      </c>
      <c r="E284" s="43">
        <v>5145.9468164016371</v>
      </c>
      <c r="F284" s="43"/>
      <c r="G284" s="126">
        <f t="shared" si="167"/>
        <v>5145.9468164016371</v>
      </c>
      <c r="H284" s="127">
        <f t="shared" si="168"/>
        <v>37977087.50504408</v>
      </c>
      <c r="I284" s="128">
        <f t="shared" si="169"/>
        <v>0</v>
      </c>
      <c r="J284" s="128">
        <f t="shared" si="170"/>
        <v>37977087.50504408</v>
      </c>
      <c r="K284" s="44">
        <f t="shared" si="171"/>
        <v>0.12500010311620544</v>
      </c>
      <c r="L284" s="45"/>
      <c r="M284" s="45">
        <v>0</v>
      </c>
      <c r="N284" s="45">
        <f t="shared" si="172"/>
        <v>5145.9468164016371</v>
      </c>
      <c r="O284" s="46">
        <f t="shared" si="173"/>
        <v>37977087.50504408</v>
      </c>
      <c r="P284" s="47">
        <f t="shared" si="174"/>
        <v>6949.4308943089427</v>
      </c>
      <c r="Q284" s="47">
        <v>21250</v>
      </c>
      <c r="R284" s="47">
        <f t="shared" si="140"/>
        <v>14300.569105691058</v>
      </c>
      <c r="S284" s="191">
        <f t="shared" si="175"/>
        <v>0.67296795791487329</v>
      </c>
      <c r="T284" s="42">
        <v>51286800</v>
      </c>
      <c r="U284" s="48">
        <f t="shared" si="166"/>
        <v>0.74048463747092974</v>
      </c>
      <c r="V284" s="49"/>
      <c r="X284" s="112"/>
    </row>
    <row r="285" spans="1:24" x14ac:dyDescent="0.3">
      <c r="A285" s="40" t="str">
        <f>VLOOKUP(B285,Grupos!$A$2:$B$619,2,FALSE)</f>
        <v>BREAKERS</v>
      </c>
      <c r="B285" s="41" t="s">
        <v>489</v>
      </c>
      <c r="C285" s="41" t="s">
        <v>490</v>
      </c>
      <c r="D285" s="42">
        <v>1416</v>
      </c>
      <c r="E285" s="43">
        <v>5145.9468164016371</v>
      </c>
      <c r="F285" s="43"/>
      <c r="G285" s="126">
        <f t="shared" si="167"/>
        <v>5145.9468164016371</v>
      </c>
      <c r="H285" s="127">
        <f t="shared" si="168"/>
        <v>7286660.692024718</v>
      </c>
      <c r="I285" s="128">
        <f t="shared" si="169"/>
        <v>0</v>
      </c>
      <c r="J285" s="128">
        <f t="shared" si="170"/>
        <v>7286660.692024718</v>
      </c>
      <c r="K285" s="44">
        <f t="shared" si="171"/>
        <v>2.3983759622296329E-2</v>
      </c>
      <c r="L285" s="45"/>
      <c r="M285" s="45">
        <v>0</v>
      </c>
      <c r="N285" s="45">
        <f t="shared" si="172"/>
        <v>5145.9468164016371</v>
      </c>
      <c r="O285" s="46">
        <f t="shared" si="173"/>
        <v>7286660.692024718</v>
      </c>
      <c r="P285" s="47">
        <f t="shared" si="174"/>
        <v>6947.4576271186443</v>
      </c>
      <c r="Q285" s="47">
        <v>21250</v>
      </c>
      <c r="R285" s="47">
        <f t="shared" si="140"/>
        <v>14302.542372881355</v>
      </c>
      <c r="S285" s="191">
        <f t="shared" si="175"/>
        <v>0.67306081754735791</v>
      </c>
      <c r="T285" s="42">
        <v>9837600</v>
      </c>
      <c r="U285" s="48">
        <f t="shared" si="166"/>
        <v>0.74069495527615659</v>
      </c>
      <c r="V285" s="49"/>
      <c r="X285" s="112"/>
    </row>
    <row r="286" spans="1:24" x14ac:dyDescent="0.3">
      <c r="A286" s="40" t="str">
        <f>VLOOKUP(B286,Grupos!$A$2:$B$619,2,FALSE)</f>
        <v>BREAKERS</v>
      </c>
      <c r="B286" s="41" t="s">
        <v>491</v>
      </c>
      <c r="C286" s="41" t="s">
        <v>492</v>
      </c>
      <c r="D286" s="42">
        <v>1980</v>
      </c>
      <c r="E286" s="43">
        <v>5212.9901566926656</v>
      </c>
      <c r="F286" s="43"/>
      <c r="G286" s="126">
        <f t="shared" si="167"/>
        <v>5212.9901566926656</v>
      </c>
      <c r="H286" s="127">
        <f t="shared" si="168"/>
        <v>10321720.510251477</v>
      </c>
      <c r="I286" s="128">
        <f t="shared" si="169"/>
        <v>0</v>
      </c>
      <c r="J286" s="128">
        <f t="shared" si="170"/>
        <v>10321720.510251477</v>
      </c>
      <c r="K286" s="44">
        <f t="shared" si="171"/>
        <v>3.3973540702580789E-2</v>
      </c>
      <c r="L286" s="45"/>
      <c r="M286" s="45">
        <v>0</v>
      </c>
      <c r="N286" s="45">
        <f t="shared" si="172"/>
        <v>5212.9901566926656</v>
      </c>
      <c r="O286" s="46">
        <f t="shared" si="173"/>
        <v>10321720.510251477</v>
      </c>
      <c r="P286" s="47">
        <f t="shared" si="174"/>
        <v>6948.484848484848</v>
      </c>
      <c r="Q286" s="47">
        <v>21250</v>
      </c>
      <c r="R286" s="47">
        <f t="shared" si="140"/>
        <v>14301.515151515152</v>
      </c>
      <c r="S286" s="191">
        <f t="shared" si="175"/>
        <v>0.67301247771836015</v>
      </c>
      <c r="T286" s="42">
        <v>13758000</v>
      </c>
      <c r="U286" s="48">
        <f t="shared" si="166"/>
        <v>0.75023408273378955</v>
      </c>
      <c r="V286" s="49"/>
      <c r="X286" s="112"/>
    </row>
    <row r="287" spans="1:24" x14ac:dyDescent="0.3">
      <c r="A287" s="40" t="str">
        <f>VLOOKUP(B287,Grupos!$A$2:$B$619,2,FALSE)</f>
        <v>BREAKERS</v>
      </c>
      <c r="B287" s="41" t="s">
        <v>493</v>
      </c>
      <c r="C287" s="41" t="s">
        <v>494</v>
      </c>
      <c r="D287" s="42">
        <v>1440</v>
      </c>
      <c r="E287" s="43">
        <v>5470.1009465686693</v>
      </c>
      <c r="F287" s="43"/>
      <c r="G287" s="126">
        <f t="shared" si="167"/>
        <v>5470.1009465686693</v>
      </c>
      <c r="H287" s="127">
        <f t="shared" si="168"/>
        <v>7876945.3630588837</v>
      </c>
      <c r="I287" s="128">
        <f t="shared" si="169"/>
        <v>0</v>
      </c>
      <c r="J287" s="128">
        <f t="shared" si="170"/>
        <v>7876945.3630588837</v>
      </c>
      <c r="K287" s="44">
        <f t="shared" si="171"/>
        <v>2.5926658606779694E-2</v>
      </c>
      <c r="L287" s="45"/>
      <c r="M287" s="45">
        <v>0</v>
      </c>
      <c r="N287" s="45">
        <f t="shared" si="172"/>
        <v>5470.1009465686693</v>
      </c>
      <c r="O287" s="46">
        <f t="shared" si="173"/>
        <v>7876945.3630588837</v>
      </c>
      <c r="P287" s="47">
        <f t="shared" si="174"/>
        <v>6975.416666666667</v>
      </c>
      <c r="Q287" s="47">
        <v>21250</v>
      </c>
      <c r="R287" s="47">
        <f t="shared" si="140"/>
        <v>14274.583333333332</v>
      </c>
      <c r="S287" s="191">
        <f t="shared" si="175"/>
        <v>0.67174509803921567</v>
      </c>
      <c r="T287" s="42">
        <v>10044600</v>
      </c>
      <c r="U287" s="48">
        <f t="shared" si="166"/>
        <v>0.78419701760735949</v>
      </c>
      <c r="V287" s="49"/>
      <c r="X287" s="112"/>
    </row>
    <row r="288" spans="1:24" x14ac:dyDescent="0.3">
      <c r="A288" s="40" t="str">
        <f>VLOOKUP(B288,Grupos!$A$2:$B$619,2,FALSE)</f>
        <v>BREAKERS</v>
      </c>
      <c r="B288" s="41" t="s">
        <v>495</v>
      </c>
      <c r="C288" s="41" t="s">
        <v>496</v>
      </c>
      <c r="D288" s="42">
        <v>1128</v>
      </c>
      <c r="E288" s="43">
        <v>5541.3674893977159</v>
      </c>
      <c r="F288" s="43"/>
      <c r="G288" s="126">
        <f t="shared" si="167"/>
        <v>5541.3674893977159</v>
      </c>
      <c r="H288" s="127">
        <f t="shared" si="168"/>
        <v>6250662.5280406233</v>
      </c>
      <c r="I288" s="128">
        <f t="shared" si="169"/>
        <v>0</v>
      </c>
      <c r="J288" s="128">
        <f t="shared" si="170"/>
        <v>6250662.5280406233</v>
      </c>
      <c r="K288" s="44">
        <f t="shared" si="171"/>
        <v>2.0573812050381782E-2</v>
      </c>
      <c r="L288" s="45"/>
      <c r="M288" s="45">
        <v>0</v>
      </c>
      <c r="N288" s="45">
        <f t="shared" si="172"/>
        <v>5541.3674893977159</v>
      </c>
      <c r="O288" s="46">
        <f t="shared" si="173"/>
        <v>6250662.5280406233</v>
      </c>
      <c r="P288" s="47">
        <f t="shared" si="174"/>
        <v>6934.5744680851067</v>
      </c>
      <c r="Q288" s="47">
        <v>21250</v>
      </c>
      <c r="R288" s="47">
        <f t="shared" si="140"/>
        <v>14315.425531914894</v>
      </c>
      <c r="S288" s="191">
        <f t="shared" si="175"/>
        <v>0.67366708385481855</v>
      </c>
      <c r="T288" s="42">
        <v>7822200</v>
      </c>
      <c r="U288" s="48">
        <f t="shared" si="166"/>
        <v>0.7990926501547676</v>
      </c>
      <c r="V288" s="49"/>
      <c r="X288" s="112"/>
    </row>
    <row r="289" spans="1:24" x14ac:dyDescent="0.3">
      <c r="A289" s="40" t="str">
        <f>VLOOKUP(B289,Grupos!$A$2:$B$619,2,FALSE)</f>
        <v>BREAKERS</v>
      </c>
      <c r="B289" s="41" t="s">
        <v>497</v>
      </c>
      <c r="C289" s="41" t="s">
        <v>498</v>
      </c>
      <c r="D289" s="42">
        <v>312</v>
      </c>
      <c r="E289" s="43">
        <v>6052.9657142857141</v>
      </c>
      <c r="F289" s="43"/>
      <c r="G289" s="126">
        <f t="shared" si="167"/>
        <v>6052.9657142857141</v>
      </c>
      <c r="H289" s="127">
        <f t="shared" si="168"/>
        <v>1888525.3028571429</v>
      </c>
      <c r="I289" s="128">
        <f t="shared" si="169"/>
        <v>0</v>
      </c>
      <c r="J289" s="128">
        <f t="shared" si="170"/>
        <v>1888525.3028571429</v>
      </c>
      <c r="K289" s="44">
        <f t="shared" si="171"/>
        <v>6.2160074166654278E-3</v>
      </c>
      <c r="L289" s="45"/>
      <c r="M289" s="45">
        <v>0</v>
      </c>
      <c r="N289" s="45">
        <f t="shared" si="172"/>
        <v>6052.9657142857141</v>
      </c>
      <c r="O289" s="46">
        <f t="shared" si="173"/>
        <v>1888525.3028571429</v>
      </c>
      <c r="P289" s="47">
        <f t="shared" si="174"/>
        <v>6990.3846153846152</v>
      </c>
      <c r="Q289" s="47">
        <v>21250</v>
      </c>
      <c r="R289" s="47">
        <f t="shared" si="140"/>
        <v>14259.615384615385</v>
      </c>
      <c r="S289" s="191">
        <f t="shared" si="175"/>
        <v>0.67104072398190051</v>
      </c>
      <c r="T289" s="42">
        <v>2181000</v>
      </c>
      <c r="U289" s="48">
        <f t="shared" si="166"/>
        <v>0.8658988091963058</v>
      </c>
      <c r="V289" s="49"/>
      <c r="X289" s="112"/>
    </row>
    <row r="290" spans="1:24" x14ac:dyDescent="0.3">
      <c r="A290" s="40" t="str">
        <f>VLOOKUP(B290,Grupos!$A$2:$B$619,2,FALSE)</f>
        <v>BREAKERS</v>
      </c>
      <c r="B290" s="41" t="s">
        <v>499</v>
      </c>
      <c r="C290" s="41" t="s">
        <v>500</v>
      </c>
      <c r="D290" s="42">
        <v>252</v>
      </c>
      <c r="E290" s="43">
        <v>5541.367489397715</v>
      </c>
      <c r="F290" s="43"/>
      <c r="G290" s="126">
        <f t="shared" si="167"/>
        <v>5541.367489397715</v>
      </c>
      <c r="H290" s="127">
        <f t="shared" si="168"/>
        <v>1396424.6073282242</v>
      </c>
      <c r="I290" s="128">
        <f t="shared" si="169"/>
        <v>0</v>
      </c>
      <c r="J290" s="128">
        <f t="shared" si="170"/>
        <v>1396424.6073282242</v>
      </c>
      <c r="K290" s="44">
        <f t="shared" si="171"/>
        <v>4.5962771601916743E-3</v>
      </c>
      <c r="L290" s="45"/>
      <c r="M290" s="45">
        <v>0</v>
      </c>
      <c r="N290" s="45">
        <f t="shared" si="172"/>
        <v>5541.367489397715</v>
      </c>
      <c r="O290" s="46">
        <f t="shared" si="173"/>
        <v>1396424.6073282242</v>
      </c>
      <c r="P290" s="47">
        <f t="shared" si="174"/>
        <v>6916.666666666667</v>
      </c>
      <c r="Q290" s="47">
        <v>21250</v>
      </c>
      <c r="R290" s="47">
        <f t="shared" si="140"/>
        <v>14333.333333333332</v>
      </c>
      <c r="S290" s="191">
        <f t="shared" si="175"/>
        <v>0.67450980392156856</v>
      </c>
      <c r="T290" s="42">
        <v>1743000</v>
      </c>
      <c r="U290" s="48">
        <f t="shared" si="166"/>
        <v>0.80116156473219979</v>
      </c>
      <c r="V290" s="49"/>
      <c r="X290" s="112"/>
    </row>
    <row r="291" spans="1:24" x14ac:dyDescent="0.3">
      <c r="A291" s="40" t="str">
        <f>VLOOKUP(B291,Grupos!$A$2:$B$619,2,FALSE)</f>
        <v>BREAKERS</v>
      </c>
      <c r="B291" s="41" t="s">
        <v>501</v>
      </c>
      <c r="C291" s="41" t="s">
        <v>502</v>
      </c>
      <c r="D291" s="42">
        <v>96</v>
      </c>
      <c r="E291" s="43">
        <v>6066.47</v>
      </c>
      <c r="F291" s="43"/>
      <c r="G291" s="126">
        <f t="shared" si="167"/>
        <v>6066.47</v>
      </c>
      <c r="H291" s="127">
        <f t="shared" si="168"/>
        <v>582381.12</v>
      </c>
      <c r="I291" s="128">
        <f t="shared" si="169"/>
        <v>0</v>
      </c>
      <c r="J291" s="128">
        <f t="shared" si="170"/>
        <v>582381.12</v>
      </c>
      <c r="K291" s="44">
        <f t="shared" si="171"/>
        <v>1.9168847543472704E-3</v>
      </c>
      <c r="L291" s="45"/>
      <c r="M291" s="45">
        <v>0</v>
      </c>
      <c r="N291" s="45">
        <f t="shared" si="172"/>
        <v>6066.47</v>
      </c>
      <c r="O291" s="46">
        <f t="shared" si="173"/>
        <v>582381.12</v>
      </c>
      <c r="P291" s="47">
        <f t="shared" si="174"/>
        <v>7143.75</v>
      </c>
      <c r="Q291" s="47">
        <v>21250</v>
      </c>
      <c r="R291" s="47">
        <f t="shared" si="140"/>
        <v>14106.25</v>
      </c>
      <c r="S291" s="191">
        <f t="shared" si="175"/>
        <v>0.6638235294117647</v>
      </c>
      <c r="T291" s="42">
        <v>685800</v>
      </c>
      <c r="U291" s="48">
        <f t="shared" si="166"/>
        <v>0.84919965004374454</v>
      </c>
      <c r="V291" s="49"/>
      <c r="X291" s="112"/>
    </row>
    <row r="292" spans="1:24" x14ac:dyDescent="0.3">
      <c r="A292" s="40" t="str">
        <f>VLOOKUP(B292,Grupos!$A$2:$B$619,2,FALSE)</f>
        <v>BREAKERS</v>
      </c>
      <c r="B292" s="41" t="s">
        <v>503</v>
      </c>
      <c r="C292" s="41" t="s">
        <v>504</v>
      </c>
      <c r="D292" s="42">
        <v>156</v>
      </c>
      <c r="E292" s="43">
        <v>6093.0433333333331</v>
      </c>
      <c r="F292" s="43"/>
      <c r="G292" s="126">
        <f t="shared" si="167"/>
        <v>6093.0433333333331</v>
      </c>
      <c r="H292" s="127">
        <f t="shared" si="168"/>
        <v>950514.76</v>
      </c>
      <c r="I292" s="128">
        <f t="shared" si="169"/>
        <v>0</v>
      </c>
      <c r="J292" s="128">
        <f t="shared" si="170"/>
        <v>950514.76</v>
      </c>
      <c r="K292" s="44">
        <f t="shared" si="171"/>
        <v>3.1285822799785382E-3</v>
      </c>
      <c r="L292" s="45"/>
      <c r="M292" s="45">
        <v>0</v>
      </c>
      <c r="N292" s="45">
        <f t="shared" si="172"/>
        <v>6093.0433333333331</v>
      </c>
      <c r="O292" s="46">
        <f t="shared" si="173"/>
        <v>950514.76</v>
      </c>
      <c r="P292" s="47">
        <f t="shared" si="174"/>
        <v>6950</v>
      </c>
      <c r="Q292" s="47">
        <v>21250</v>
      </c>
      <c r="R292" s="47">
        <f t="shared" si="140"/>
        <v>14300</v>
      </c>
      <c r="S292" s="191">
        <f t="shared" si="175"/>
        <v>0.67294117647058826</v>
      </c>
      <c r="T292" s="42">
        <v>1084200</v>
      </c>
      <c r="U292" s="48">
        <f t="shared" si="166"/>
        <v>0.87669688249400479</v>
      </c>
      <c r="V292" s="49"/>
      <c r="X292" s="112"/>
    </row>
    <row r="293" spans="1:24" x14ac:dyDescent="0.3">
      <c r="A293" s="40" t="str">
        <f>VLOOKUP(B293,Grupos!$A$2:$B$619,2,FALSE)</f>
        <v>BREAKERS</v>
      </c>
      <c r="B293" s="41" t="s">
        <v>505</v>
      </c>
      <c r="C293" s="41" t="s">
        <v>506</v>
      </c>
      <c r="D293" s="42">
        <v>54</v>
      </c>
      <c r="E293" s="43">
        <v>11626.752</v>
      </c>
      <c r="F293" s="43"/>
      <c r="G293" s="126">
        <f t="shared" si="167"/>
        <v>11626.752</v>
      </c>
      <c r="H293" s="127">
        <f t="shared" si="168"/>
        <v>627844.60800000001</v>
      </c>
      <c r="I293" s="128">
        <f t="shared" si="169"/>
        <v>0</v>
      </c>
      <c r="J293" s="128">
        <f t="shared" si="170"/>
        <v>627844.60800000001</v>
      </c>
      <c r="K293" s="44">
        <f t="shared" si="171"/>
        <v>2.0665260528609482E-3</v>
      </c>
      <c r="L293" s="45"/>
      <c r="M293" s="45">
        <v>0</v>
      </c>
      <c r="N293" s="45">
        <f t="shared" si="172"/>
        <v>11626.752</v>
      </c>
      <c r="O293" s="46">
        <f t="shared" si="173"/>
        <v>627844.60800000001</v>
      </c>
      <c r="P293" s="47">
        <f t="shared" si="174"/>
        <v>15222.222222222223</v>
      </c>
      <c r="Q293" s="47">
        <v>64750</v>
      </c>
      <c r="R293" s="47">
        <f t="shared" si="140"/>
        <v>49527.777777777781</v>
      </c>
      <c r="S293" s="191">
        <f t="shared" si="175"/>
        <v>0.76490776490776491</v>
      </c>
      <c r="T293" s="42">
        <v>822000</v>
      </c>
      <c r="U293" s="48">
        <f t="shared" si="166"/>
        <v>0.76380122627737224</v>
      </c>
      <c r="V293" s="49"/>
      <c r="X293" s="112"/>
    </row>
    <row r="294" spans="1:24" x14ac:dyDescent="0.3">
      <c r="A294" s="40" t="str">
        <f>VLOOKUP(B294,Grupos!$A$2:$B$619,2,FALSE)</f>
        <v>BREAKERS</v>
      </c>
      <c r="B294" s="41" t="s">
        <v>507</v>
      </c>
      <c r="C294" s="41" t="s">
        <v>1071</v>
      </c>
      <c r="D294" s="42">
        <v>12</v>
      </c>
      <c r="E294" s="43">
        <v>11648.010689655173</v>
      </c>
      <c r="F294" s="43"/>
      <c r="G294" s="126">
        <f t="shared" si="167"/>
        <v>11648.010689655173</v>
      </c>
      <c r="H294" s="127">
        <f t="shared" si="168"/>
        <v>139776.12827586208</v>
      </c>
      <c r="I294" s="128">
        <f t="shared" si="169"/>
        <v>0</v>
      </c>
      <c r="J294" s="128">
        <f t="shared" si="170"/>
        <v>139776.12827586208</v>
      </c>
      <c r="K294" s="44">
        <f t="shared" si="171"/>
        <v>4.6006767752651122E-4</v>
      </c>
      <c r="L294" s="45"/>
      <c r="M294" s="45">
        <v>0</v>
      </c>
      <c r="N294" s="45">
        <f t="shared" si="172"/>
        <v>11648.010689655173</v>
      </c>
      <c r="O294" s="46">
        <f t="shared" si="173"/>
        <v>139776.12827586208</v>
      </c>
      <c r="P294" s="47">
        <f t="shared" si="174"/>
        <v>15500</v>
      </c>
      <c r="Q294" s="47">
        <v>64750</v>
      </c>
      <c r="R294" s="47">
        <f t="shared" si="140"/>
        <v>49250</v>
      </c>
      <c r="S294" s="191">
        <f t="shared" si="175"/>
        <v>0.76061776061776065</v>
      </c>
      <c r="T294" s="42">
        <v>186000</v>
      </c>
      <c r="U294" s="48">
        <f t="shared" si="166"/>
        <v>0.75148456062291435</v>
      </c>
      <c r="V294" s="49"/>
      <c r="X294" s="112"/>
    </row>
    <row r="295" spans="1:24" x14ac:dyDescent="0.3">
      <c r="A295" s="40" t="str">
        <f>VLOOKUP(B295,Grupos!$A$2:$B$619,2,FALSE)</f>
        <v>BREAKERS</v>
      </c>
      <c r="B295" s="41" t="s">
        <v>508</v>
      </c>
      <c r="C295" s="41" t="s">
        <v>509</v>
      </c>
      <c r="D295" s="42">
        <v>2040</v>
      </c>
      <c r="E295" s="43">
        <v>10291.893632803274</v>
      </c>
      <c r="F295" s="43"/>
      <c r="G295" s="126">
        <f t="shared" si="167"/>
        <v>10291.893632803274</v>
      </c>
      <c r="H295" s="127">
        <f t="shared" si="168"/>
        <v>20995463.010918681</v>
      </c>
      <c r="I295" s="128">
        <f t="shared" si="169"/>
        <v>0</v>
      </c>
      <c r="J295" s="128">
        <f t="shared" si="170"/>
        <v>20995463.010918681</v>
      </c>
      <c r="K295" s="44">
        <f t="shared" si="171"/>
        <v>6.9105748064243661E-2</v>
      </c>
      <c r="L295" s="45"/>
      <c r="M295" s="45">
        <v>0</v>
      </c>
      <c r="N295" s="45">
        <f t="shared" si="172"/>
        <v>10291.893632803274</v>
      </c>
      <c r="O295" s="46">
        <f t="shared" si="173"/>
        <v>20995463.010918681</v>
      </c>
      <c r="P295" s="47">
        <f t="shared" si="174"/>
        <v>15068.970588235294</v>
      </c>
      <c r="Q295" s="47">
        <v>64750</v>
      </c>
      <c r="R295" s="47">
        <f t="shared" si="140"/>
        <v>49681.029411764706</v>
      </c>
      <c r="S295" s="191">
        <f t="shared" si="175"/>
        <v>0.76727458550987959</v>
      </c>
      <c r="T295" s="42">
        <v>30740700</v>
      </c>
      <c r="U295" s="48">
        <f t="shared" si="166"/>
        <v>0.68298584648100669</v>
      </c>
      <c r="V295" s="49"/>
      <c r="X295" s="112"/>
    </row>
    <row r="296" spans="1:24" x14ac:dyDescent="0.3">
      <c r="A296" s="40" t="str">
        <f>VLOOKUP(B296,Grupos!$A$2:$B$619,2,FALSE)</f>
        <v>BREAKERS</v>
      </c>
      <c r="B296" s="41" t="s">
        <v>510</v>
      </c>
      <c r="C296" s="41" t="s">
        <v>511</v>
      </c>
      <c r="D296" s="42">
        <v>1410</v>
      </c>
      <c r="E296" s="43">
        <v>10425.980313385331</v>
      </c>
      <c r="F296" s="43"/>
      <c r="G296" s="126">
        <f t="shared" si="167"/>
        <v>10425.980313385331</v>
      </c>
      <c r="H296" s="127">
        <f t="shared" si="168"/>
        <v>14700632.241873316</v>
      </c>
      <c r="I296" s="128">
        <f t="shared" si="169"/>
        <v>0</v>
      </c>
      <c r="J296" s="128">
        <f t="shared" si="170"/>
        <v>14700632.241873316</v>
      </c>
      <c r="K296" s="44">
        <f t="shared" si="171"/>
        <v>4.8386557970342331E-2</v>
      </c>
      <c r="L296" s="45"/>
      <c r="M296" s="45">
        <v>0</v>
      </c>
      <c r="N296" s="45">
        <f t="shared" si="172"/>
        <v>10425.980313385331</v>
      </c>
      <c r="O296" s="46">
        <f t="shared" si="173"/>
        <v>14700632.241873316</v>
      </c>
      <c r="P296" s="47">
        <f t="shared" si="174"/>
        <v>14643.829787234043</v>
      </c>
      <c r="Q296" s="47">
        <v>64750</v>
      </c>
      <c r="R296" s="47">
        <f t="shared" si="140"/>
        <v>50106.170212765959</v>
      </c>
      <c r="S296" s="191">
        <f t="shared" si="175"/>
        <v>0.77384046660642403</v>
      </c>
      <c r="T296" s="42">
        <v>20647800</v>
      </c>
      <c r="U296" s="48">
        <f t="shared" si="166"/>
        <v>0.7119708754382218</v>
      </c>
      <c r="V296" s="49"/>
      <c r="X296" s="112"/>
    </row>
    <row r="297" spans="1:24" x14ac:dyDescent="0.3">
      <c r="A297" s="40" t="str">
        <f>VLOOKUP(B297,Grupos!$A$2:$B$619,2,FALSE)</f>
        <v>BREAKERS</v>
      </c>
      <c r="B297" s="41" t="s">
        <v>512</v>
      </c>
      <c r="C297" s="41" t="s">
        <v>513</v>
      </c>
      <c r="D297" s="42">
        <v>738</v>
      </c>
      <c r="E297" s="43">
        <v>10291.893632803274</v>
      </c>
      <c r="F297" s="43"/>
      <c r="G297" s="126">
        <f t="shared" si="167"/>
        <v>10291.893632803274</v>
      </c>
      <c r="H297" s="127">
        <f t="shared" si="168"/>
        <v>7595417.5010088161</v>
      </c>
      <c r="I297" s="128">
        <f t="shared" si="169"/>
        <v>0</v>
      </c>
      <c r="J297" s="128">
        <f t="shared" si="170"/>
        <v>7595417.5010088161</v>
      </c>
      <c r="K297" s="44">
        <f t="shared" si="171"/>
        <v>2.5000020623241088E-2</v>
      </c>
      <c r="L297" s="45"/>
      <c r="M297" s="45">
        <v>0</v>
      </c>
      <c r="N297" s="45">
        <f t="shared" si="172"/>
        <v>10291.893632803274</v>
      </c>
      <c r="O297" s="46">
        <f t="shared" si="173"/>
        <v>7595417.5010088161</v>
      </c>
      <c r="P297" s="47">
        <f t="shared" si="174"/>
        <v>14685.772357723577</v>
      </c>
      <c r="Q297" s="47">
        <v>64750</v>
      </c>
      <c r="R297" s="47">
        <f t="shared" si="140"/>
        <v>50064.227642276426</v>
      </c>
      <c r="S297" s="191">
        <f t="shared" si="175"/>
        <v>0.77319270490002201</v>
      </c>
      <c r="T297" s="42">
        <v>10838100</v>
      </c>
      <c r="U297" s="48">
        <f t="shared" si="166"/>
        <v>0.70080710650472089</v>
      </c>
      <c r="V297" s="49"/>
      <c r="X297" s="112"/>
    </row>
    <row r="298" spans="1:24" x14ac:dyDescent="0.3">
      <c r="A298" s="40" t="str">
        <f>VLOOKUP(B298,Grupos!$A$2:$B$619,2,FALSE)</f>
        <v>BREAKERS</v>
      </c>
      <c r="B298" s="41" t="s">
        <v>514</v>
      </c>
      <c r="C298" s="41" t="s">
        <v>515</v>
      </c>
      <c r="D298" s="42">
        <v>582</v>
      </c>
      <c r="E298" s="43">
        <v>10425.980313385331</v>
      </c>
      <c r="F298" s="43"/>
      <c r="G298" s="126">
        <f t="shared" si="167"/>
        <v>10425.980313385331</v>
      </c>
      <c r="H298" s="127">
        <f t="shared" si="168"/>
        <v>6067920.5423902627</v>
      </c>
      <c r="I298" s="128">
        <f t="shared" si="169"/>
        <v>0</v>
      </c>
      <c r="J298" s="128">
        <f t="shared" si="170"/>
        <v>6067920.5423902627</v>
      </c>
      <c r="K298" s="44">
        <f t="shared" si="171"/>
        <v>1.9972323928183856E-2</v>
      </c>
      <c r="L298" s="45"/>
      <c r="M298" s="45">
        <v>0</v>
      </c>
      <c r="N298" s="45">
        <f t="shared" si="172"/>
        <v>10425.980313385331</v>
      </c>
      <c r="O298" s="46">
        <f t="shared" si="173"/>
        <v>6067920.5423902627</v>
      </c>
      <c r="P298" s="47">
        <f t="shared" si="174"/>
        <v>14671.134020618556</v>
      </c>
      <c r="Q298" s="47">
        <v>64750</v>
      </c>
      <c r="R298" s="47">
        <f t="shared" si="140"/>
        <v>50078.865979381444</v>
      </c>
      <c r="S298" s="191">
        <f t="shared" si="175"/>
        <v>0.77341877960434657</v>
      </c>
      <c r="T298" s="42">
        <v>8538600</v>
      </c>
      <c r="U298" s="48">
        <f t="shared" si="166"/>
        <v>0.710645836833938</v>
      </c>
      <c r="V298" s="49"/>
      <c r="X298" s="112"/>
    </row>
    <row r="299" spans="1:24" x14ac:dyDescent="0.3">
      <c r="A299" s="40" t="str">
        <f>VLOOKUP(B299,Grupos!$A$2:$B$619,2,FALSE)</f>
        <v>BREAKERS</v>
      </c>
      <c r="B299" s="41" t="s">
        <v>516</v>
      </c>
      <c r="C299" s="41" t="s">
        <v>517</v>
      </c>
      <c r="D299" s="42">
        <v>720</v>
      </c>
      <c r="E299" s="43">
        <v>10940.201893137339</v>
      </c>
      <c r="F299" s="43"/>
      <c r="G299" s="126">
        <f t="shared" si="167"/>
        <v>10940.201893137339</v>
      </c>
      <c r="H299" s="127">
        <f t="shared" si="168"/>
        <v>7876945.3630588837</v>
      </c>
      <c r="I299" s="128">
        <f t="shared" si="169"/>
        <v>0</v>
      </c>
      <c r="J299" s="128">
        <f t="shared" si="170"/>
        <v>7876945.3630588837</v>
      </c>
      <c r="K299" s="44">
        <f t="shared" si="171"/>
        <v>2.5926658606779694E-2</v>
      </c>
      <c r="L299" s="45"/>
      <c r="M299" s="45">
        <v>0</v>
      </c>
      <c r="N299" s="45">
        <f t="shared" si="172"/>
        <v>10940.201893137339</v>
      </c>
      <c r="O299" s="46">
        <f t="shared" si="173"/>
        <v>7876945.3630588837</v>
      </c>
      <c r="P299" s="47">
        <f t="shared" si="174"/>
        <v>14556.666666666666</v>
      </c>
      <c r="Q299" s="47">
        <v>64750</v>
      </c>
      <c r="R299" s="47">
        <f t="shared" si="140"/>
        <v>50193.333333333336</v>
      </c>
      <c r="S299" s="191">
        <f t="shared" si="175"/>
        <v>0.77518661518661525</v>
      </c>
      <c r="T299" s="42">
        <v>10480800</v>
      </c>
      <c r="U299" s="48">
        <f t="shared" si="166"/>
        <v>0.75155955299775623</v>
      </c>
      <c r="V299" s="49"/>
      <c r="X299" s="112"/>
    </row>
    <row r="300" spans="1:24" x14ac:dyDescent="0.3">
      <c r="A300" s="40" t="str">
        <f>VLOOKUP(B300,Grupos!$A$2:$B$619,2,FALSE)</f>
        <v>BREAKERS</v>
      </c>
      <c r="B300" s="41" t="s">
        <v>518</v>
      </c>
      <c r="C300" s="41" t="s">
        <v>519</v>
      </c>
      <c r="D300" s="42">
        <v>1236</v>
      </c>
      <c r="E300" s="43">
        <v>12071.710467310158</v>
      </c>
      <c r="F300" s="43"/>
      <c r="G300" s="126">
        <f t="shared" si="167"/>
        <v>12071.710467310158</v>
      </c>
      <c r="H300" s="127">
        <f t="shared" si="168"/>
        <v>14920634.137595356</v>
      </c>
      <c r="I300" s="128">
        <f t="shared" si="169"/>
        <v>0</v>
      </c>
      <c r="J300" s="128">
        <f t="shared" si="170"/>
        <v>14920634.137595356</v>
      </c>
      <c r="K300" s="44">
        <f t="shared" si="171"/>
        <v>4.9110685634091246E-2</v>
      </c>
      <c r="L300" s="45"/>
      <c r="M300" s="45">
        <v>0</v>
      </c>
      <c r="N300" s="45">
        <f t="shared" si="172"/>
        <v>12071.710467310158</v>
      </c>
      <c r="O300" s="46">
        <f t="shared" si="173"/>
        <v>14920634.137595356</v>
      </c>
      <c r="P300" s="47">
        <f t="shared" si="174"/>
        <v>14666.26213592233</v>
      </c>
      <c r="Q300" s="47">
        <v>64750</v>
      </c>
      <c r="R300" s="47">
        <f t="shared" si="140"/>
        <v>50083.737864077673</v>
      </c>
      <c r="S300" s="191">
        <f t="shared" si="175"/>
        <v>0.77349402106683662</v>
      </c>
      <c r="T300" s="42">
        <v>18127500</v>
      </c>
      <c r="U300" s="48">
        <f t="shared" si="166"/>
        <v>0.8230938705058809</v>
      </c>
      <c r="V300" s="49"/>
      <c r="X300" s="112"/>
    </row>
    <row r="301" spans="1:24" x14ac:dyDescent="0.3">
      <c r="A301" s="40" t="str">
        <f>VLOOKUP(B301,Grupos!$A$2:$B$619,2,FALSE)</f>
        <v>BREAKERS</v>
      </c>
      <c r="B301" s="41" t="s">
        <v>520</v>
      </c>
      <c r="C301" s="41" t="s">
        <v>521</v>
      </c>
      <c r="D301" s="42">
        <v>252</v>
      </c>
      <c r="E301" s="43">
        <v>11981.988311688312</v>
      </c>
      <c r="F301" s="43"/>
      <c r="G301" s="126">
        <f t="shared" si="167"/>
        <v>11981.988311688312</v>
      </c>
      <c r="H301" s="127">
        <f t="shared" si="168"/>
        <v>3019461.0545454547</v>
      </c>
      <c r="I301" s="128">
        <f t="shared" si="169"/>
        <v>0</v>
      </c>
      <c r="J301" s="128">
        <f t="shared" si="170"/>
        <v>3019461.0545454547</v>
      </c>
      <c r="K301" s="44">
        <f t="shared" si="171"/>
        <v>9.9384383576918041E-3</v>
      </c>
      <c r="L301" s="45"/>
      <c r="M301" s="45">
        <v>0</v>
      </c>
      <c r="N301" s="45">
        <f t="shared" si="172"/>
        <v>11981.988311688312</v>
      </c>
      <c r="O301" s="46">
        <f t="shared" si="173"/>
        <v>3019461.0545454547</v>
      </c>
      <c r="P301" s="47">
        <f t="shared" si="174"/>
        <v>14990.476190476191</v>
      </c>
      <c r="Q301" s="47">
        <v>64750</v>
      </c>
      <c r="R301" s="47">
        <f t="shared" si="140"/>
        <v>49759.523809523809</v>
      </c>
      <c r="S301" s="191">
        <f t="shared" si="175"/>
        <v>0.76848685420113994</v>
      </c>
      <c r="T301" s="42">
        <v>3777600</v>
      </c>
      <c r="U301" s="48">
        <f t="shared" si="166"/>
        <v>0.79930671710754309</v>
      </c>
      <c r="V301" s="49"/>
      <c r="X301" s="112"/>
    </row>
    <row r="302" spans="1:24" x14ac:dyDescent="0.3">
      <c r="A302" s="40" t="str">
        <f>VLOOKUP(B302,Grupos!$A$2:$B$619,2,FALSE)</f>
        <v>BREAKERS</v>
      </c>
      <c r="B302" s="41" t="s">
        <v>522</v>
      </c>
      <c r="C302" s="41" t="s">
        <v>523</v>
      </c>
      <c r="D302" s="42">
        <v>156</v>
      </c>
      <c r="E302" s="43">
        <v>10940.201893137339</v>
      </c>
      <c r="F302" s="43"/>
      <c r="G302" s="126">
        <f t="shared" si="167"/>
        <v>10940.201893137339</v>
      </c>
      <c r="H302" s="127">
        <f t="shared" si="168"/>
        <v>1706671.4953294247</v>
      </c>
      <c r="I302" s="128">
        <f t="shared" si="169"/>
        <v>0</v>
      </c>
      <c r="J302" s="128">
        <f t="shared" si="170"/>
        <v>1706671.4953294247</v>
      </c>
      <c r="K302" s="44">
        <f t="shared" si="171"/>
        <v>5.6174426981356008E-3</v>
      </c>
      <c r="L302" s="45"/>
      <c r="M302" s="45">
        <v>0</v>
      </c>
      <c r="N302" s="45">
        <f t="shared" si="172"/>
        <v>10940.201893137339</v>
      </c>
      <c r="O302" s="46">
        <f t="shared" si="173"/>
        <v>1706671.4953294247</v>
      </c>
      <c r="P302" s="47">
        <f t="shared" si="174"/>
        <v>14857.692307692309</v>
      </c>
      <c r="Q302" s="47">
        <v>64750</v>
      </c>
      <c r="R302" s="47">
        <f t="shared" si="140"/>
        <v>49892.307692307688</v>
      </c>
      <c r="S302" s="191">
        <f t="shared" si="175"/>
        <v>0.77053757053757044</v>
      </c>
      <c r="T302" s="42">
        <v>2317800</v>
      </c>
      <c r="U302" s="48">
        <f t="shared" si="166"/>
        <v>0.73633251157538382</v>
      </c>
      <c r="V302" s="49"/>
      <c r="X302" s="112"/>
    </row>
    <row r="303" spans="1:24" x14ac:dyDescent="0.3">
      <c r="A303" s="40" t="str">
        <f>VLOOKUP(B303,Grupos!$A$2:$B$619,2,FALSE)</f>
        <v>BREAKERS</v>
      </c>
      <c r="B303" s="41" t="s">
        <v>524</v>
      </c>
      <c r="C303" s="41" t="s">
        <v>525</v>
      </c>
      <c r="D303" s="42">
        <v>42</v>
      </c>
      <c r="E303" s="43">
        <v>12107.165217391304</v>
      </c>
      <c r="F303" s="43"/>
      <c r="G303" s="126">
        <f t="shared" si="167"/>
        <v>12107.165217391304</v>
      </c>
      <c r="H303" s="127">
        <f t="shared" si="168"/>
        <v>508500.93913043477</v>
      </c>
      <c r="I303" s="128">
        <f t="shared" si="169"/>
        <v>0</v>
      </c>
      <c r="J303" s="128">
        <f t="shared" si="170"/>
        <v>508500.93913043477</v>
      </c>
      <c r="K303" s="44">
        <f t="shared" si="171"/>
        <v>1.6737110189808345E-3</v>
      </c>
      <c r="L303" s="45"/>
      <c r="M303" s="45">
        <v>0</v>
      </c>
      <c r="N303" s="45">
        <f t="shared" si="172"/>
        <v>12107.165217391304</v>
      </c>
      <c r="O303" s="46">
        <f t="shared" si="173"/>
        <v>508500.93913043477</v>
      </c>
      <c r="P303" s="47">
        <f t="shared" si="174"/>
        <v>15042.857142857143</v>
      </c>
      <c r="Q303" s="47">
        <v>64750</v>
      </c>
      <c r="R303" s="47">
        <f t="shared" si="140"/>
        <v>49707.142857142855</v>
      </c>
      <c r="S303" s="191">
        <f t="shared" si="175"/>
        <v>0.76767788196359621</v>
      </c>
      <c r="T303" s="42">
        <v>631800</v>
      </c>
      <c r="U303" s="48">
        <f t="shared" si="166"/>
        <v>0.80484479127957387</v>
      </c>
      <c r="V303" s="49"/>
      <c r="X303" s="112"/>
    </row>
    <row r="304" spans="1:24" x14ac:dyDescent="0.3">
      <c r="A304" s="40" t="str">
        <f>VLOOKUP(B304,Grupos!$A$2:$B$619,2,FALSE)</f>
        <v>BREAKERS</v>
      </c>
      <c r="B304" s="41" t="s">
        <v>526</v>
      </c>
      <c r="C304" s="41" t="s">
        <v>527</v>
      </c>
      <c r="D304" s="42">
        <v>216</v>
      </c>
      <c r="E304" s="43">
        <v>10940.201893137339</v>
      </c>
      <c r="F304" s="43"/>
      <c r="G304" s="126">
        <f t="shared" si="167"/>
        <v>10940.201893137339</v>
      </c>
      <c r="H304" s="127">
        <f t="shared" si="168"/>
        <v>2363083.6089176652</v>
      </c>
      <c r="I304" s="128">
        <f t="shared" si="169"/>
        <v>0</v>
      </c>
      <c r="J304" s="128">
        <f t="shared" si="170"/>
        <v>2363083.6089176652</v>
      </c>
      <c r="K304" s="44">
        <f t="shared" si="171"/>
        <v>7.777997582033909E-3</v>
      </c>
      <c r="L304" s="45"/>
      <c r="M304" s="45">
        <v>0</v>
      </c>
      <c r="N304" s="45">
        <f t="shared" si="172"/>
        <v>10940.201893137339</v>
      </c>
      <c r="O304" s="46">
        <f t="shared" si="173"/>
        <v>2363083.6089176652</v>
      </c>
      <c r="P304" s="47">
        <f t="shared" si="174"/>
        <v>14956.944444444445</v>
      </c>
      <c r="Q304" s="47">
        <v>64750</v>
      </c>
      <c r="R304" s="47">
        <f t="shared" si="140"/>
        <v>49793.055555555555</v>
      </c>
      <c r="S304" s="191">
        <f t="shared" si="175"/>
        <v>0.76900471900471901</v>
      </c>
      <c r="T304" s="42">
        <v>3230700</v>
      </c>
      <c r="U304" s="48">
        <f t="shared" si="166"/>
        <v>0.7314463147050686</v>
      </c>
      <c r="V304" s="49"/>
      <c r="X304" s="112"/>
    </row>
    <row r="305" spans="1:24" x14ac:dyDescent="0.3">
      <c r="A305" s="40" t="str">
        <f>VLOOKUP(B305,Grupos!$A$2:$B$619,2,FALSE)</f>
        <v>BREAKERS</v>
      </c>
      <c r="B305" s="41" t="s">
        <v>528</v>
      </c>
      <c r="C305" s="41" t="s">
        <v>529</v>
      </c>
      <c r="D305" s="42">
        <v>8</v>
      </c>
      <c r="E305" s="43">
        <v>17348.938399999999</v>
      </c>
      <c r="F305" s="43"/>
      <c r="G305" s="126">
        <f t="shared" si="167"/>
        <v>17348.938399999999</v>
      </c>
      <c r="H305" s="127">
        <f t="shared" si="168"/>
        <v>138791.50719999999</v>
      </c>
      <c r="I305" s="128">
        <f t="shared" si="169"/>
        <v>0</v>
      </c>
      <c r="J305" s="128">
        <f t="shared" si="170"/>
        <v>138791.50719999999</v>
      </c>
      <c r="K305" s="44">
        <f t="shared" si="171"/>
        <v>4.5682683563739047E-4</v>
      </c>
      <c r="L305" s="45"/>
      <c r="M305" s="45">
        <v>0</v>
      </c>
      <c r="N305" s="45">
        <f t="shared" si="172"/>
        <v>17348.938399999999</v>
      </c>
      <c r="O305" s="46">
        <f t="shared" si="173"/>
        <v>138791.50719999999</v>
      </c>
      <c r="P305" s="47">
        <f t="shared" si="174"/>
        <v>23900</v>
      </c>
      <c r="Q305" s="47">
        <v>139750</v>
      </c>
      <c r="R305" s="47">
        <f t="shared" si="140"/>
        <v>115850</v>
      </c>
      <c r="S305" s="191">
        <f t="shared" si="175"/>
        <v>0.82898032200357785</v>
      </c>
      <c r="T305" s="42">
        <v>191200</v>
      </c>
      <c r="U305" s="48">
        <f t="shared" si="166"/>
        <v>0.72589700418410041</v>
      </c>
      <c r="V305" s="49"/>
      <c r="X305" s="112"/>
    </row>
    <row r="306" spans="1:24" x14ac:dyDescent="0.3">
      <c r="A306" s="40" t="str">
        <f>VLOOKUP(B306,Grupos!$A$2:$B$619,2,FALSE)</f>
        <v>BREAKERS</v>
      </c>
      <c r="B306" s="41" t="s">
        <v>530</v>
      </c>
      <c r="C306" s="41" t="s">
        <v>531</v>
      </c>
      <c r="D306" s="42">
        <v>176</v>
      </c>
      <c r="E306" s="43">
        <v>15437.840449204912</v>
      </c>
      <c r="F306" s="43"/>
      <c r="G306" s="126">
        <f t="shared" si="167"/>
        <v>15437.840449204912</v>
      </c>
      <c r="H306" s="127">
        <f t="shared" si="168"/>
        <v>2717059.9190600645</v>
      </c>
      <c r="I306" s="128">
        <f t="shared" si="169"/>
        <v>0</v>
      </c>
      <c r="J306" s="128">
        <f t="shared" si="170"/>
        <v>2717059.9190600645</v>
      </c>
      <c r="K306" s="44">
        <f t="shared" si="171"/>
        <v>8.9430968083138856E-3</v>
      </c>
      <c r="L306" s="45"/>
      <c r="M306" s="45">
        <v>0</v>
      </c>
      <c r="N306" s="45">
        <f t="shared" si="172"/>
        <v>15437.840449204912</v>
      </c>
      <c r="O306" s="46">
        <f t="shared" si="173"/>
        <v>2717059.9190600645</v>
      </c>
      <c r="P306" s="47">
        <f t="shared" si="174"/>
        <v>24136.363636363636</v>
      </c>
      <c r="Q306" s="47">
        <v>139750</v>
      </c>
      <c r="R306" s="47">
        <f t="shared" si="140"/>
        <v>115613.63636363637</v>
      </c>
      <c r="S306" s="191">
        <f t="shared" si="175"/>
        <v>0.82728899007968781</v>
      </c>
      <c r="T306" s="42">
        <v>4248000</v>
      </c>
      <c r="U306" s="48">
        <f t="shared" si="166"/>
        <v>0.63960920881828265</v>
      </c>
      <c r="V306" s="49"/>
      <c r="X306" s="112"/>
    </row>
    <row r="307" spans="1:24" x14ac:dyDescent="0.3">
      <c r="A307" s="40" t="str">
        <f>VLOOKUP(B307,Grupos!$A$2:$B$619,2,FALSE)</f>
        <v>BREAKERS</v>
      </c>
      <c r="B307" s="41" t="s">
        <v>532</v>
      </c>
      <c r="C307" s="41" t="s">
        <v>533</v>
      </c>
      <c r="D307" s="42">
        <v>16</v>
      </c>
      <c r="E307" s="43">
        <v>15638.970470077995</v>
      </c>
      <c r="F307" s="43"/>
      <c r="G307" s="126">
        <f t="shared" si="167"/>
        <v>15638.970470077995</v>
      </c>
      <c r="H307" s="127">
        <f t="shared" si="168"/>
        <v>250223.52752124792</v>
      </c>
      <c r="I307" s="128">
        <f t="shared" si="169"/>
        <v>0</v>
      </c>
      <c r="J307" s="128">
        <f t="shared" si="170"/>
        <v>250223.52752124792</v>
      </c>
      <c r="K307" s="44">
        <f t="shared" si="171"/>
        <v>8.2360098672923116E-4</v>
      </c>
      <c r="L307" s="45"/>
      <c r="M307" s="45">
        <v>0</v>
      </c>
      <c r="N307" s="45">
        <f t="shared" si="172"/>
        <v>15638.970470077995</v>
      </c>
      <c r="O307" s="46">
        <f t="shared" si="173"/>
        <v>250223.52752124792</v>
      </c>
      <c r="P307" s="47">
        <f t="shared" si="174"/>
        <v>23000</v>
      </c>
      <c r="Q307" s="47">
        <v>139750</v>
      </c>
      <c r="R307" s="47">
        <f t="shared" ref="R307:R330" si="176">Q307-P307</f>
        <v>116750</v>
      </c>
      <c r="S307" s="191">
        <f t="shared" si="175"/>
        <v>0.83542039355992848</v>
      </c>
      <c r="T307" s="42">
        <v>368000</v>
      </c>
      <c r="U307" s="48">
        <f t="shared" si="166"/>
        <v>0.67995523782947809</v>
      </c>
      <c r="V307" s="49"/>
      <c r="X307" s="112"/>
    </row>
    <row r="308" spans="1:24" x14ac:dyDescent="0.3">
      <c r="A308" s="40" t="str">
        <f>VLOOKUP(B308,Grupos!$A$2:$B$619,2,FALSE)</f>
        <v>BREAKERS</v>
      </c>
      <c r="B308" s="41" t="s">
        <v>534</v>
      </c>
      <c r="C308" s="41" t="s">
        <v>535</v>
      </c>
      <c r="D308" s="42">
        <v>320</v>
      </c>
      <c r="E308" s="43">
        <v>15638.970470077995</v>
      </c>
      <c r="F308" s="43"/>
      <c r="G308" s="126">
        <f t="shared" si="167"/>
        <v>15638.970470077995</v>
      </c>
      <c r="H308" s="127">
        <f t="shared" si="168"/>
        <v>5004470.5504249586</v>
      </c>
      <c r="I308" s="128">
        <f t="shared" si="169"/>
        <v>0</v>
      </c>
      <c r="J308" s="128">
        <f t="shared" si="170"/>
        <v>5004470.5504249586</v>
      </c>
      <c r="K308" s="44">
        <f t="shared" si="171"/>
        <v>1.6472019734584623E-2</v>
      </c>
      <c r="L308" s="45"/>
      <c r="M308" s="45">
        <v>0</v>
      </c>
      <c r="N308" s="45">
        <f t="shared" si="172"/>
        <v>15638.970470077995</v>
      </c>
      <c r="O308" s="46">
        <f t="shared" si="173"/>
        <v>5004470.5504249586</v>
      </c>
      <c r="P308" s="47">
        <f t="shared" si="174"/>
        <v>23966.25</v>
      </c>
      <c r="Q308" s="47">
        <v>139750</v>
      </c>
      <c r="R308" s="47">
        <f t="shared" si="176"/>
        <v>115783.75</v>
      </c>
      <c r="S308" s="191">
        <f t="shared" si="175"/>
        <v>0.82850626118067983</v>
      </c>
      <c r="T308" s="42">
        <v>7669200</v>
      </c>
      <c r="U308" s="48">
        <f t="shared" si="166"/>
        <v>0.65254140593868437</v>
      </c>
      <c r="V308" s="49"/>
      <c r="X308" s="112"/>
    </row>
    <row r="309" spans="1:24" x14ac:dyDescent="0.3">
      <c r="A309" s="40" t="str">
        <f>VLOOKUP(B309,Grupos!$A$2:$B$619,2,FALSE)</f>
        <v>BREAKERS</v>
      </c>
      <c r="B309" s="41" t="s">
        <v>536</v>
      </c>
      <c r="C309" s="41" t="s">
        <v>537</v>
      </c>
      <c r="D309" s="42">
        <v>20</v>
      </c>
      <c r="E309" s="43">
        <v>15638.970470077995</v>
      </c>
      <c r="F309" s="43"/>
      <c r="G309" s="126">
        <f t="shared" si="167"/>
        <v>15638.970470077995</v>
      </c>
      <c r="H309" s="127">
        <f t="shared" si="168"/>
        <v>312779.40940155991</v>
      </c>
      <c r="I309" s="128">
        <f t="shared" si="169"/>
        <v>0</v>
      </c>
      <c r="J309" s="128">
        <f t="shared" si="170"/>
        <v>312779.40940155991</v>
      </c>
      <c r="K309" s="44">
        <f t="shared" si="171"/>
        <v>1.029501233411539E-3</v>
      </c>
      <c r="L309" s="45"/>
      <c r="M309" s="45">
        <v>0</v>
      </c>
      <c r="N309" s="45">
        <f t="shared" si="172"/>
        <v>15638.970470077995</v>
      </c>
      <c r="O309" s="46">
        <f t="shared" si="173"/>
        <v>312779.40940155991</v>
      </c>
      <c r="P309" s="47">
        <f t="shared" si="174"/>
        <v>23960</v>
      </c>
      <c r="Q309" s="47">
        <v>139750</v>
      </c>
      <c r="R309" s="47">
        <f t="shared" si="176"/>
        <v>115790</v>
      </c>
      <c r="S309" s="191">
        <f t="shared" si="175"/>
        <v>0.82855098389982107</v>
      </c>
      <c r="T309" s="42">
        <v>479200</v>
      </c>
      <c r="U309" s="48">
        <f t="shared" si="166"/>
        <v>0.65271162229040047</v>
      </c>
      <c r="V309" s="49"/>
      <c r="X309" s="112"/>
    </row>
    <row r="310" spans="1:24" x14ac:dyDescent="0.3">
      <c r="A310" s="40" t="str">
        <f>VLOOKUP(B310,Grupos!$A$2:$B$619,2,FALSE)</f>
        <v>BREAKERS</v>
      </c>
      <c r="B310" s="41" t="s">
        <v>538</v>
      </c>
      <c r="C310" s="41" t="s">
        <v>539</v>
      </c>
      <c r="D310" s="42">
        <v>112</v>
      </c>
      <c r="E310" s="43">
        <v>16410.302839706008</v>
      </c>
      <c r="F310" s="43"/>
      <c r="G310" s="126">
        <f t="shared" si="167"/>
        <v>16410.302839706008</v>
      </c>
      <c r="H310" s="127">
        <f t="shared" si="168"/>
        <v>1837953.9180470728</v>
      </c>
      <c r="I310" s="128">
        <f t="shared" si="169"/>
        <v>0</v>
      </c>
      <c r="J310" s="128">
        <f t="shared" si="170"/>
        <v>1837953.9180470728</v>
      </c>
      <c r="K310" s="44">
        <f t="shared" si="171"/>
        <v>6.0495536749152617E-3</v>
      </c>
      <c r="L310" s="45"/>
      <c r="M310" s="45">
        <v>0</v>
      </c>
      <c r="N310" s="45">
        <f t="shared" si="172"/>
        <v>16410.302839706008</v>
      </c>
      <c r="O310" s="46">
        <f t="shared" si="173"/>
        <v>1837953.9180470728</v>
      </c>
      <c r="P310" s="47">
        <f t="shared" si="174"/>
        <v>24235.714285714286</v>
      </c>
      <c r="Q310" s="47">
        <v>139750</v>
      </c>
      <c r="R310" s="47">
        <f t="shared" si="176"/>
        <v>115514.28571428571</v>
      </c>
      <c r="S310" s="191">
        <f t="shared" si="175"/>
        <v>0.82657807308970099</v>
      </c>
      <c r="T310" s="42">
        <v>2714400</v>
      </c>
      <c r="U310" s="48">
        <f t="shared" si="166"/>
        <v>0.67711240717914556</v>
      </c>
      <c r="V310" s="49"/>
      <c r="X310" s="112"/>
    </row>
    <row r="311" spans="1:24" x14ac:dyDescent="0.3">
      <c r="A311" s="40" t="str">
        <f>VLOOKUP(B311,Grupos!$A$2:$B$619,2,FALSE)</f>
        <v>BREAKERS</v>
      </c>
      <c r="B311" s="41" t="s">
        <v>540</v>
      </c>
      <c r="C311" s="41" t="s">
        <v>541</v>
      </c>
      <c r="D311" s="42">
        <v>96</v>
      </c>
      <c r="E311" s="43">
        <v>16410.302839706008</v>
      </c>
      <c r="F311" s="43"/>
      <c r="G311" s="126">
        <f t="shared" si="167"/>
        <v>16410.302839706008</v>
      </c>
      <c r="H311" s="127">
        <f t="shared" si="168"/>
        <v>1575389.0726117766</v>
      </c>
      <c r="I311" s="128">
        <f t="shared" si="169"/>
        <v>0</v>
      </c>
      <c r="J311" s="128">
        <f t="shared" si="170"/>
        <v>1575389.0726117766</v>
      </c>
      <c r="K311" s="44">
        <f t="shared" si="171"/>
        <v>5.185331721355939E-3</v>
      </c>
      <c r="L311" s="45"/>
      <c r="M311" s="45">
        <v>0</v>
      </c>
      <c r="N311" s="45">
        <f t="shared" si="172"/>
        <v>16410.302839706008</v>
      </c>
      <c r="O311" s="46">
        <f t="shared" si="173"/>
        <v>1575389.0726117766</v>
      </c>
      <c r="P311" s="47">
        <f t="shared" si="174"/>
        <v>24450</v>
      </c>
      <c r="Q311" s="47">
        <v>139750</v>
      </c>
      <c r="R311" s="47">
        <f t="shared" si="176"/>
        <v>115300</v>
      </c>
      <c r="S311" s="191">
        <f t="shared" si="175"/>
        <v>0.82504472271914131</v>
      </c>
      <c r="T311" s="42">
        <v>2347200</v>
      </c>
      <c r="U311" s="48">
        <f t="shared" si="166"/>
        <v>0.67117803025382439</v>
      </c>
      <c r="V311" s="49"/>
      <c r="X311" s="112"/>
    </row>
    <row r="312" spans="1:24" x14ac:dyDescent="0.3">
      <c r="A312" s="40" t="str">
        <f>VLOOKUP(B312,Grupos!$A$2:$B$619,2,FALSE)</f>
        <v>BREAKERS</v>
      </c>
      <c r="B312" s="41" t="s">
        <v>542</v>
      </c>
      <c r="C312" s="41" t="s">
        <v>543</v>
      </c>
      <c r="D312" s="42">
        <v>124</v>
      </c>
      <c r="E312" s="43">
        <v>16410.302839706012</v>
      </c>
      <c r="F312" s="43"/>
      <c r="G312" s="126">
        <f t="shared" si="167"/>
        <v>16410.302839706012</v>
      </c>
      <c r="H312" s="127">
        <f t="shared" si="168"/>
        <v>2034877.5521235454</v>
      </c>
      <c r="I312" s="128">
        <f t="shared" si="169"/>
        <v>0</v>
      </c>
      <c r="J312" s="128">
        <f t="shared" si="170"/>
        <v>2034877.5521235454</v>
      </c>
      <c r="K312" s="44">
        <f t="shared" si="171"/>
        <v>6.6977201400847562E-3</v>
      </c>
      <c r="L312" s="45"/>
      <c r="M312" s="45">
        <v>0</v>
      </c>
      <c r="N312" s="45">
        <f t="shared" si="172"/>
        <v>16410.302839706012</v>
      </c>
      <c r="O312" s="46">
        <f t="shared" si="173"/>
        <v>2034877.5521235454</v>
      </c>
      <c r="P312" s="47">
        <f t="shared" si="174"/>
        <v>24145.16129032258</v>
      </c>
      <c r="Q312" s="47">
        <v>139750</v>
      </c>
      <c r="R312" s="47">
        <f t="shared" si="176"/>
        <v>115604.83870967742</v>
      </c>
      <c r="S312" s="191">
        <f t="shared" si="175"/>
        <v>0.82722603727855049</v>
      </c>
      <c r="T312" s="42">
        <v>2994000</v>
      </c>
      <c r="U312" s="48">
        <f t="shared" si="166"/>
        <v>0.6796518210165482</v>
      </c>
      <c r="V312" s="49"/>
      <c r="X312" s="112"/>
    </row>
    <row r="313" spans="1:24" x14ac:dyDescent="0.3">
      <c r="A313" s="40" t="str">
        <f>VLOOKUP(B313,Grupos!$A$2:$B$619,2,FALSE)</f>
        <v>BREAKERS</v>
      </c>
      <c r="B313" s="41" t="s">
        <v>544</v>
      </c>
      <c r="C313" s="41" t="s">
        <v>545</v>
      </c>
      <c r="D313" s="42">
        <v>28</v>
      </c>
      <c r="E313" s="43">
        <v>17765.919433427869</v>
      </c>
      <c r="F313" s="43"/>
      <c r="G313" s="126">
        <f t="shared" si="167"/>
        <v>17765.919433427869</v>
      </c>
      <c r="H313" s="127">
        <f t="shared" si="168"/>
        <v>497445.74413598032</v>
      </c>
      <c r="I313" s="128">
        <f t="shared" si="169"/>
        <v>0</v>
      </c>
      <c r="J313" s="128">
        <f t="shared" si="170"/>
        <v>497445.74413598032</v>
      </c>
      <c r="K313" s="44">
        <f t="shared" si="171"/>
        <v>1.6373232756054896E-3</v>
      </c>
      <c r="L313" s="45"/>
      <c r="M313" s="45">
        <v>0</v>
      </c>
      <c r="N313" s="45">
        <f t="shared" si="172"/>
        <v>17765.919433427869</v>
      </c>
      <c r="O313" s="46">
        <f t="shared" si="173"/>
        <v>497445.74413598032</v>
      </c>
      <c r="P313" s="47">
        <f t="shared" si="174"/>
        <v>23285.714285714286</v>
      </c>
      <c r="Q313" s="47">
        <v>139750</v>
      </c>
      <c r="R313" s="47">
        <f t="shared" si="176"/>
        <v>116464.28571428571</v>
      </c>
      <c r="S313" s="191">
        <f t="shared" si="175"/>
        <v>0.83337592639918223</v>
      </c>
      <c r="T313" s="42">
        <v>652000</v>
      </c>
      <c r="U313" s="48">
        <f t="shared" si="166"/>
        <v>0.76295359530058326</v>
      </c>
      <c r="V313" s="49"/>
      <c r="X313" s="112"/>
    </row>
    <row r="314" spans="1:24" x14ac:dyDescent="0.3">
      <c r="A314" s="40" t="str">
        <f>VLOOKUP(B314,Grupos!$A$2:$B$619,2,FALSE)</f>
        <v>BREAKERS</v>
      </c>
      <c r="B314" s="41" t="s">
        <v>546</v>
      </c>
      <c r="C314" s="41" t="s">
        <v>1072</v>
      </c>
      <c r="D314" s="42">
        <v>68</v>
      </c>
      <c r="E314" s="43">
        <v>16624.102468193145</v>
      </c>
      <c r="F314" s="43"/>
      <c r="G314" s="126">
        <f t="shared" si="167"/>
        <v>16624.102468193145</v>
      </c>
      <c r="H314" s="127">
        <f t="shared" si="168"/>
        <v>1130438.9678371339</v>
      </c>
      <c r="I314" s="128">
        <f t="shared" si="169"/>
        <v>0</v>
      </c>
      <c r="J314" s="128">
        <f t="shared" si="170"/>
        <v>1130438.9678371339</v>
      </c>
      <c r="K314" s="44">
        <f t="shared" si="171"/>
        <v>3.7207957963456407E-3</v>
      </c>
      <c r="L314" s="45"/>
      <c r="M314" s="45">
        <v>0</v>
      </c>
      <c r="N314" s="45">
        <f t="shared" si="172"/>
        <v>16624.102468193145</v>
      </c>
      <c r="O314" s="46">
        <f t="shared" si="173"/>
        <v>1130438.9678371339</v>
      </c>
      <c r="P314" s="47">
        <f t="shared" si="174"/>
        <v>24329.411764705881</v>
      </c>
      <c r="Q314" s="47">
        <v>139750</v>
      </c>
      <c r="R314" s="47">
        <f t="shared" si="176"/>
        <v>115420.58823529413</v>
      </c>
      <c r="S314" s="191">
        <f t="shared" si="175"/>
        <v>0.82590760812375041</v>
      </c>
      <c r="T314" s="42">
        <v>1654400</v>
      </c>
      <c r="U314" s="48">
        <f t="shared" si="166"/>
        <v>0.68329241286093689</v>
      </c>
      <c r="V314" s="49"/>
      <c r="X314" s="112"/>
    </row>
    <row r="315" spans="1:24" x14ac:dyDescent="0.3">
      <c r="A315" s="40" t="str">
        <f>VLOOKUP(B315,Grupos!$A$2:$B$619,2,FALSE)</f>
        <v>BREAKERS</v>
      </c>
      <c r="B315" s="41" t="s">
        <v>547</v>
      </c>
      <c r="C315" s="41" t="s">
        <v>548</v>
      </c>
      <c r="D315" s="42">
        <v>12</v>
      </c>
      <c r="E315" s="43">
        <v>16624.102468193145</v>
      </c>
      <c r="F315" s="43"/>
      <c r="G315" s="126">
        <f t="shared" si="167"/>
        <v>16624.102468193145</v>
      </c>
      <c r="H315" s="127">
        <f t="shared" si="168"/>
        <v>199489.22961831774</v>
      </c>
      <c r="I315" s="128">
        <f t="shared" si="169"/>
        <v>0</v>
      </c>
      <c r="J315" s="128">
        <f t="shared" si="170"/>
        <v>199489.22961831774</v>
      </c>
      <c r="K315" s="44">
        <f t="shared" si="171"/>
        <v>6.5661102288452487E-4</v>
      </c>
      <c r="L315" s="45"/>
      <c r="M315" s="45">
        <v>0</v>
      </c>
      <c r="N315" s="45">
        <f t="shared" si="172"/>
        <v>16624.102468193145</v>
      </c>
      <c r="O315" s="46">
        <f t="shared" si="173"/>
        <v>199489.22961831774</v>
      </c>
      <c r="P315" s="47">
        <f t="shared" si="174"/>
        <v>25000</v>
      </c>
      <c r="Q315" s="47">
        <v>139750</v>
      </c>
      <c r="R315" s="47">
        <f t="shared" si="176"/>
        <v>114750</v>
      </c>
      <c r="S315" s="191">
        <f t="shared" si="175"/>
        <v>0.82110912343470488</v>
      </c>
      <c r="T315" s="42">
        <v>300000</v>
      </c>
      <c r="U315" s="48">
        <f t="shared" si="166"/>
        <v>0.66496409872772577</v>
      </c>
      <c r="V315" s="49"/>
      <c r="X315" s="112"/>
    </row>
    <row r="316" spans="1:24" x14ac:dyDescent="0.3">
      <c r="A316" s="40" t="str">
        <f>VLOOKUP(B316,Grupos!$A$2:$B$619,2,FALSE)</f>
        <v>BREAKERS</v>
      </c>
      <c r="B316" s="41" t="s">
        <v>779</v>
      </c>
      <c r="C316" s="41" t="s">
        <v>780</v>
      </c>
      <c r="D316" s="42">
        <v>24</v>
      </c>
      <c r="E316" s="43">
        <v>5166.3998982748089</v>
      </c>
      <c r="F316" s="43"/>
      <c r="G316" s="126">
        <f t="shared" si="167"/>
        <v>5166.3998982748089</v>
      </c>
      <c r="H316" s="127">
        <f t="shared" si="168"/>
        <v>123993.59755859541</v>
      </c>
      <c r="I316" s="128">
        <f t="shared" si="169"/>
        <v>0</v>
      </c>
      <c r="J316" s="128">
        <f t="shared" si="170"/>
        <v>123993.59755859541</v>
      </c>
      <c r="K316" s="44">
        <f t="shared" si="171"/>
        <v>4.0812009289851716E-4</v>
      </c>
      <c r="L316" s="45"/>
      <c r="M316" s="45">
        <v>0</v>
      </c>
      <c r="N316" s="45">
        <f t="shared" si="172"/>
        <v>5166.3998982748089</v>
      </c>
      <c r="O316" s="46">
        <f t="shared" si="173"/>
        <v>123993.59755859541</v>
      </c>
      <c r="P316" s="47">
        <f t="shared" si="174"/>
        <v>6700</v>
      </c>
      <c r="Q316" s="47">
        <v>6950</v>
      </c>
      <c r="R316" s="47">
        <f t="shared" si="176"/>
        <v>250</v>
      </c>
      <c r="S316" s="191">
        <f t="shared" si="175"/>
        <v>3.5971223021582732E-2</v>
      </c>
      <c r="T316" s="42">
        <v>160800</v>
      </c>
      <c r="U316" s="48">
        <f t="shared" si="166"/>
        <v>0.77110446242907593</v>
      </c>
      <c r="V316" s="49"/>
      <c r="X316" s="112"/>
    </row>
    <row r="317" spans="1:24" x14ac:dyDescent="0.3">
      <c r="A317" s="40" t="str">
        <f>VLOOKUP(B317,Grupos!$A$2:$B$619,2,FALSE)</f>
        <v>BREAKERS</v>
      </c>
      <c r="B317" s="41" t="s">
        <v>781</v>
      </c>
      <c r="C317" s="41" t="s">
        <v>782</v>
      </c>
      <c r="D317" s="42">
        <v>336</v>
      </c>
      <c r="E317" s="43">
        <v>5166.3998982748089</v>
      </c>
      <c r="F317" s="43"/>
      <c r="G317" s="126">
        <f t="shared" si="167"/>
        <v>5166.3998982748089</v>
      </c>
      <c r="H317" s="127">
        <f t="shared" si="168"/>
        <v>1735910.3658203357</v>
      </c>
      <c r="I317" s="128">
        <f t="shared" si="169"/>
        <v>0</v>
      </c>
      <c r="J317" s="128">
        <f t="shared" si="170"/>
        <v>1735910.3658203357</v>
      </c>
      <c r="K317" s="44">
        <f t="shared" si="171"/>
        <v>5.7136813005792403E-3</v>
      </c>
      <c r="L317" s="45"/>
      <c r="M317" s="45">
        <v>0</v>
      </c>
      <c r="N317" s="45">
        <f t="shared" si="172"/>
        <v>5166.3998982748089</v>
      </c>
      <c r="O317" s="46">
        <f t="shared" si="173"/>
        <v>1735910.3658203357</v>
      </c>
      <c r="P317" s="47">
        <f t="shared" si="174"/>
        <v>7144.6428571428569</v>
      </c>
      <c r="Q317" s="47">
        <v>6950</v>
      </c>
      <c r="R317" s="47">
        <f t="shared" si="176"/>
        <v>-194.64285714285688</v>
      </c>
      <c r="S317" s="191">
        <f t="shared" si="175"/>
        <v>-2.8006166495375091E-2</v>
      </c>
      <c r="T317" s="42">
        <v>2400600</v>
      </c>
      <c r="U317" s="48">
        <f t="shared" si="166"/>
        <v>0.72311520695673404</v>
      </c>
      <c r="V317" s="49"/>
      <c r="X317" s="112"/>
    </row>
    <row r="318" spans="1:24" x14ac:dyDescent="0.3">
      <c r="A318" s="40" t="str">
        <f>VLOOKUP(B318,Grupos!$A$2:$B$619,2,FALSE)</f>
        <v>BREAKERS</v>
      </c>
      <c r="B318" s="41" t="s">
        <v>783</v>
      </c>
      <c r="C318" s="41" t="s">
        <v>784</v>
      </c>
      <c r="D318" s="42">
        <v>72</v>
      </c>
      <c r="E318" s="43">
        <v>5166.3998982748089</v>
      </c>
      <c r="F318" s="43"/>
      <c r="G318" s="126">
        <f t="shared" si="167"/>
        <v>5166.3998982748089</v>
      </c>
      <c r="H318" s="127">
        <f t="shared" si="168"/>
        <v>371980.79267578624</v>
      </c>
      <c r="I318" s="128">
        <f t="shared" si="169"/>
        <v>0</v>
      </c>
      <c r="J318" s="128">
        <f t="shared" si="170"/>
        <v>371980.79267578624</v>
      </c>
      <c r="K318" s="44">
        <f t="shared" si="171"/>
        <v>1.2243602786955515E-3</v>
      </c>
      <c r="L318" s="45"/>
      <c r="M318" s="45">
        <v>0</v>
      </c>
      <c r="N318" s="45">
        <f t="shared" si="172"/>
        <v>5166.3998982748089</v>
      </c>
      <c r="O318" s="46">
        <f t="shared" si="173"/>
        <v>371980.79267578624</v>
      </c>
      <c r="P318" s="47">
        <f t="shared" si="174"/>
        <v>6600</v>
      </c>
      <c r="Q318" s="47">
        <v>6950</v>
      </c>
      <c r="R318" s="47">
        <f t="shared" si="176"/>
        <v>350</v>
      </c>
      <c r="S318" s="191">
        <f t="shared" si="175"/>
        <v>5.0359712230215826E-2</v>
      </c>
      <c r="T318" s="42">
        <v>475200</v>
      </c>
      <c r="U318" s="48">
        <f t="shared" si="166"/>
        <v>0.78278786337497108</v>
      </c>
      <c r="V318" s="49"/>
      <c r="X318" s="112"/>
    </row>
    <row r="319" spans="1:24" x14ac:dyDescent="0.3">
      <c r="A319" s="40" t="str">
        <f>VLOOKUP(B319,Grupos!$A$2:$B$619,2,FALSE)</f>
        <v>BREAKERS</v>
      </c>
      <c r="B319" s="41" t="s">
        <v>785</v>
      </c>
      <c r="C319" s="41" t="s">
        <v>786</v>
      </c>
      <c r="D319" s="42">
        <v>24</v>
      </c>
      <c r="E319" s="43">
        <v>5579.7118901367921</v>
      </c>
      <c r="F319" s="43"/>
      <c r="G319" s="126">
        <f t="shared" si="167"/>
        <v>5579.7118901367921</v>
      </c>
      <c r="H319" s="127">
        <f t="shared" si="168"/>
        <v>133913.085363283</v>
      </c>
      <c r="I319" s="128">
        <f t="shared" si="169"/>
        <v>0</v>
      </c>
      <c r="J319" s="128">
        <f t="shared" si="170"/>
        <v>133913.085363283</v>
      </c>
      <c r="K319" s="44">
        <f t="shared" si="171"/>
        <v>4.4076970033039836E-4</v>
      </c>
      <c r="L319" s="45"/>
      <c r="M319" s="45">
        <v>0</v>
      </c>
      <c r="N319" s="45">
        <f t="shared" si="172"/>
        <v>5579.7118901367921</v>
      </c>
      <c r="O319" s="46">
        <f t="shared" si="173"/>
        <v>133913.085363283</v>
      </c>
      <c r="P319" s="47">
        <f t="shared" si="174"/>
        <v>6575</v>
      </c>
      <c r="Q319" s="47">
        <v>6950</v>
      </c>
      <c r="R319" s="47">
        <f t="shared" si="176"/>
        <v>375</v>
      </c>
      <c r="S319" s="191">
        <f t="shared" si="175"/>
        <v>5.3956834532374098E-2</v>
      </c>
      <c r="T319" s="42">
        <v>157800</v>
      </c>
      <c r="U319" s="48">
        <f t="shared" si="166"/>
        <v>0.8486253825303105</v>
      </c>
      <c r="V319" s="49"/>
      <c r="X319" s="112"/>
    </row>
    <row r="320" spans="1:24" x14ac:dyDescent="0.3">
      <c r="A320" s="40" t="str">
        <f>VLOOKUP(B320,Grupos!$A$2:$B$619,2,FALSE)</f>
        <v>BREAKERS</v>
      </c>
      <c r="B320" s="41" t="s">
        <v>998</v>
      </c>
      <c r="C320" s="41" t="s">
        <v>999</v>
      </c>
      <c r="D320" s="42">
        <v>12</v>
      </c>
      <c r="E320" s="43">
        <v>5579.7118901367921</v>
      </c>
      <c r="F320" s="43"/>
      <c r="G320" s="126">
        <f t="shared" si="167"/>
        <v>5579.7118901367921</v>
      </c>
      <c r="H320" s="127">
        <f t="shared" si="168"/>
        <v>66956.542681641498</v>
      </c>
      <c r="I320" s="128">
        <f t="shared" si="169"/>
        <v>0</v>
      </c>
      <c r="J320" s="128">
        <f t="shared" si="170"/>
        <v>66956.542681641498</v>
      </c>
      <c r="K320" s="44">
        <f t="shared" si="171"/>
        <v>2.2038485016519918E-4</v>
      </c>
      <c r="L320" s="45"/>
      <c r="M320" s="45">
        <v>0</v>
      </c>
      <c r="N320" s="45">
        <f t="shared" si="172"/>
        <v>5579.7118901367921</v>
      </c>
      <c r="O320" s="46">
        <f t="shared" si="173"/>
        <v>66956.542681641498</v>
      </c>
      <c r="P320" s="47">
        <f t="shared" si="174"/>
        <v>6650</v>
      </c>
      <c r="Q320" s="47">
        <v>6950</v>
      </c>
      <c r="R320" s="47">
        <f t="shared" si="176"/>
        <v>300</v>
      </c>
      <c r="S320" s="191">
        <f t="shared" si="175"/>
        <v>4.3165467625899283E-2</v>
      </c>
      <c r="T320" s="42">
        <v>79800</v>
      </c>
      <c r="U320" s="48">
        <f t="shared" si="166"/>
        <v>0.83905441956944238</v>
      </c>
      <c r="V320" s="49"/>
      <c r="X320" s="112"/>
    </row>
    <row r="321" spans="1:24" x14ac:dyDescent="0.3">
      <c r="A321" s="40" t="str">
        <f>VLOOKUP(B321,Grupos!$A$2:$B$619,2,FALSE)</f>
        <v>BREAKERS</v>
      </c>
      <c r="B321" s="41" t="s">
        <v>790</v>
      </c>
      <c r="C321" s="41" t="s">
        <v>791</v>
      </c>
      <c r="D321" s="42">
        <v>12</v>
      </c>
      <c r="E321" s="43">
        <v>10332.799796549618</v>
      </c>
      <c r="F321" s="43"/>
      <c r="G321" s="126">
        <f t="shared" si="167"/>
        <v>10332.799796549618</v>
      </c>
      <c r="H321" s="127">
        <f t="shared" si="168"/>
        <v>123993.59755859541</v>
      </c>
      <c r="I321" s="128">
        <f t="shared" si="169"/>
        <v>0</v>
      </c>
      <c r="J321" s="128">
        <f t="shared" si="170"/>
        <v>123993.59755859541</v>
      </c>
      <c r="K321" s="44">
        <f t="shared" si="171"/>
        <v>4.0812009289851716E-4</v>
      </c>
      <c r="L321" s="45"/>
      <c r="M321" s="45">
        <v>0</v>
      </c>
      <c r="N321" s="45">
        <f t="shared" si="172"/>
        <v>10332.799796549618</v>
      </c>
      <c r="O321" s="46">
        <f t="shared" si="173"/>
        <v>123993.59755859541</v>
      </c>
      <c r="P321" s="47">
        <f t="shared" si="174"/>
        <v>13050</v>
      </c>
      <c r="Q321" s="47">
        <v>13500</v>
      </c>
      <c r="R321" s="47">
        <f t="shared" si="176"/>
        <v>450</v>
      </c>
      <c r="S321" s="191">
        <f t="shared" si="175"/>
        <v>3.3333333333333333E-2</v>
      </c>
      <c r="T321" s="42">
        <v>156600</v>
      </c>
      <c r="U321" s="48">
        <f t="shared" si="166"/>
        <v>0.79178542502295923</v>
      </c>
      <c r="V321" s="49"/>
      <c r="X321" s="112"/>
    </row>
    <row r="322" spans="1:24" x14ac:dyDescent="0.3">
      <c r="A322" s="40" t="str">
        <f>VLOOKUP(B322,Grupos!$A$2:$B$619,2,FALSE)</f>
        <v>BREAKERS</v>
      </c>
      <c r="B322" s="41" t="s">
        <v>792</v>
      </c>
      <c r="C322" s="41" t="s">
        <v>793</v>
      </c>
      <c r="D322" s="42">
        <v>204</v>
      </c>
      <c r="E322" s="43">
        <v>10332.799796549618</v>
      </c>
      <c r="F322" s="43"/>
      <c r="G322" s="126">
        <f t="shared" si="167"/>
        <v>10332.799796549618</v>
      </c>
      <c r="H322" s="127">
        <f t="shared" si="168"/>
        <v>2107891.1584961219</v>
      </c>
      <c r="I322" s="128">
        <f t="shared" si="169"/>
        <v>0</v>
      </c>
      <c r="J322" s="128">
        <f t="shared" si="170"/>
        <v>2107891.1584961219</v>
      </c>
      <c r="K322" s="44">
        <f t="shared" si="171"/>
        <v>6.9380415792747912E-3</v>
      </c>
      <c r="L322" s="45"/>
      <c r="M322" s="45">
        <v>0</v>
      </c>
      <c r="N322" s="45">
        <f t="shared" si="172"/>
        <v>10332.799796549618</v>
      </c>
      <c r="O322" s="46">
        <f t="shared" si="173"/>
        <v>2107891.1584961219</v>
      </c>
      <c r="P322" s="47">
        <f t="shared" si="174"/>
        <v>13305.882352941177</v>
      </c>
      <c r="Q322" s="47">
        <v>13500</v>
      </c>
      <c r="R322" s="47">
        <f t="shared" si="176"/>
        <v>194.11764705882342</v>
      </c>
      <c r="S322" s="191">
        <f t="shared" si="175"/>
        <v>1.4379084967320254E-2</v>
      </c>
      <c r="T322" s="42">
        <v>2714400</v>
      </c>
      <c r="U322" s="48">
        <f t="shared" si="166"/>
        <v>0.77655878223405606</v>
      </c>
      <c r="V322" s="49"/>
      <c r="X322" s="112"/>
    </row>
    <row r="323" spans="1:24" x14ac:dyDescent="0.3">
      <c r="A323" s="40" t="str">
        <f>VLOOKUP(B323,Grupos!$A$2:$B$619,2,FALSE)</f>
        <v>BREAKERS</v>
      </c>
      <c r="B323" s="41" t="s">
        <v>794</v>
      </c>
      <c r="C323" s="41" t="s">
        <v>795</v>
      </c>
      <c r="D323" s="42">
        <v>36</v>
      </c>
      <c r="E323" s="43">
        <v>10332.799796549618</v>
      </c>
      <c r="F323" s="43"/>
      <c r="G323" s="126">
        <f t="shared" si="167"/>
        <v>10332.799796549618</v>
      </c>
      <c r="H323" s="127">
        <f t="shared" si="168"/>
        <v>371980.79267578624</v>
      </c>
      <c r="I323" s="128">
        <f t="shared" si="169"/>
        <v>0</v>
      </c>
      <c r="J323" s="128">
        <f t="shared" si="170"/>
        <v>371980.79267578624</v>
      </c>
      <c r="K323" s="44">
        <f t="shared" si="171"/>
        <v>1.2243602786955515E-3</v>
      </c>
      <c r="L323" s="45"/>
      <c r="M323" s="45">
        <v>0</v>
      </c>
      <c r="N323" s="45">
        <f t="shared" si="172"/>
        <v>10332.799796549618</v>
      </c>
      <c r="O323" s="46">
        <f t="shared" si="173"/>
        <v>371980.79267578624</v>
      </c>
      <c r="P323" s="47">
        <f t="shared" si="174"/>
        <v>13133.333333333334</v>
      </c>
      <c r="Q323" s="47">
        <v>13500</v>
      </c>
      <c r="R323" s="47">
        <f t="shared" si="176"/>
        <v>366.66666666666606</v>
      </c>
      <c r="S323" s="191">
        <f t="shared" si="175"/>
        <v>2.7160493827160449E-2</v>
      </c>
      <c r="T323" s="42">
        <v>472800</v>
      </c>
      <c r="U323" s="48">
        <f t="shared" si="166"/>
        <v>0.78676140582865106</v>
      </c>
      <c r="V323" s="49"/>
      <c r="X323" s="112"/>
    </row>
    <row r="324" spans="1:24" x14ac:dyDescent="0.3">
      <c r="A324" s="40" t="str">
        <f>VLOOKUP(B324,Grupos!$A$2:$B$619,2,FALSE)</f>
        <v>BREAKERS</v>
      </c>
      <c r="B324" s="41" t="s">
        <v>796</v>
      </c>
      <c r="C324" s="41" t="s">
        <v>797</v>
      </c>
      <c r="D324" s="42">
        <v>504</v>
      </c>
      <c r="E324" s="43">
        <v>11159.423780273586</v>
      </c>
      <c r="F324" s="43"/>
      <c r="G324" s="126">
        <f t="shared" si="167"/>
        <v>11159.423780273586</v>
      </c>
      <c r="H324" s="127">
        <f t="shared" si="168"/>
        <v>5624349.5852578878</v>
      </c>
      <c r="I324" s="128">
        <f t="shared" si="169"/>
        <v>0</v>
      </c>
      <c r="J324" s="128">
        <f t="shared" si="170"/>
        <v>5624349.5852578878</v>
      </c>
      <c r="K324" s="44">
        <f t="shared" si="171"/>
        <v>1.8512327413876737E-2</v>
      </c>
      <c r="L324" s="45"/>
      <c r="M324" s="45">
        <v>0</v>
      </c>
      <c r="N324" s="45">
        <f t="shared" si="172"/>
        <v>11159.423780273586</v>
      </c>
      <c r="O324" s="46">
        <f t="shared" si="173"/>
        <v>5624349.5852578878</v>
      </c>
      <c r="P324" s="47">
        <f t="shared" si="174"/>
        <v>12990</v>
      </c>
      <c r="Q324" s="47">
        <v>13500</v>
      </c>
      <c r="R324" s="47">
        <f t="shared" si="176"/>
        <v>510</v>
      </c>
      <c r="S324" s="191">
        <f t="shared" si="175"/>
        <v>3.7777777777777778E-2</v>
      </c>
      <c r="T324" s="42">
        <v>6546960</v>
      </c>
      <c r="U324" s="48">
        <f t="shared" si="166"/>
        <v>0.859078043131146</v>
      </c>
      <c r="V324" s="49"/>
      <c r="X324" s="112"/>
    </row>
    <row r="325" spans="1:24" x14ac:dyDescent="0.3">
      <c r="A325" s="40" t="str">
        <f>VLOOKUP(B325,Grupos!$A$2:$B$619,2,FALSE)</f>
        <v>BREAKERS</v>
      </c>
      <c r="B325" s="41" t="s">
        <v>798</v>
      </c>
      <c r="C325" s="41" t="s">
        <v>799</v>
      </c>
      <c r="D325" s="42">
        <v>18</v>
      </c>
      <c r="E325" s="43">
        <v>11159.423780273586</v>
      </c>
      <c r="F325" s="43"/>
      <c r="G325" s="126">
        <f t="shared" si="167"/>
        <v>11159.423780273586</v>
      </c>
      <c r="H325" s="127">
        <f t="shared" si="168"/>
        <v>200869.62804492455</v>
      </c>
      <c r="I325" s="128">
        <f t="shared" si="169"/>
        <v>0</v>
      </c>
      <c r="J325" s="128">
        <f t="shared" si="170"/>
        <v>200869.62804492455</v>
      </c>
      <c r="K325" s="44">
        <f t="shared" si="171"/>
        <v>6.6115455049559773E-4</v>
      </c>
      <c r="L325" s="45"/>
      <c r="M325" s="45">
        <v>0</v>
      </c>
      <c r="N325" s="45">
        <f t="shared" si="172"/>
        <v>11159.423780273586</v>
      </c>
      <c r="O325" s="46">
        <f t="shared" si="173"/>
        <v>200869.62804492455</v>
      </c>
      <c r="P325" s="47">
        <f t="shared" si="174"/>
        <v>13533.333333333334</v>
      </c>
      <c r="Q325" s="47">
        <v>13500</v>
      </c>
      <c r="R325" s="47">
        <f t="shared" si="176"/>
        <v>-33.33333333333394</v>
      </c>
      <c r="S325" s="191">
        <f t="shared" si="175"/>
        <v>-2.4691358024691809E-3</v>
      </c>
      <c r="T325" s="42">
        <v>243600</v>
      </c>
      <c r="U325" s="48">
        <f t="shared" si="166"/>
        <v>0.82458796405962465</v>
      </c>
      <c r="V325" s="49"/>
      <c r="X325" s="112"/>
    </row>
    <row r="326" spans="1:24" x14ac:dyDescent="0.3">
      <c r="A326" s="40" t="str">
        <f>VLOOKUP(B326,Grupos!$A$2:$B$619,2,FALSE)</f>
        <v>BREAKERS</v>
      </c>
      <c r="B326" s="41" t="s">
        <v>800</v>
      </c>
      <c r="C326" s="41" t="s">
        <v>801</v>
      </c>
      <c r="D326" s="42">
        <v>30</v>
      </c>
      <c r="E326" s="43">
        <v>11159.423780273586</v>
      </c>
      <c r="F326" s="43"/>
      <c r="G326" s="126">
        <f t="shared" si="167"/>
        <v>11159.423780273586</v>
      </c>
      <c r="H326" s="127">
        <f t="shared" si="168"/>
        <v>334782.71340820758</v>
      </c>
      <c r="I326" s="128">
        <f t="shared" si="169"/>
        <v>0</v>
      </c>
      <c r="J326" s="128">
        <f t="shared" si="170"/>
        <v>334782.71340820758</v>
      </c>
      <c r="K326" s="44">
        <f t="shared" si="171"/>
        <v>1.1019242508259963E-3</v>
      </c>
      <c r="L326" s="45"/>
      <c r="M326" s="45">
        <v>0</v>
      </c>
      <c r="N326" s="45">
        <f t="shared" si="172"/>
        <v>11159.423780273586</v>
      </c>
      <c r="O326" s="46">
        <f t="shared" si="173"/>
        <v>334782.71340820758</v>
      </c>
      <c r="P326" s="47">
        <f t="shared" si="174"/>
        <v>13500</v>
      </c>
      <c r="Q326" s="47">
        <v>13500</v>
      </c>
      <c r="R326" s="47">
        <f t="shared" si="176"/>
        <v>0</v>
      </c>
      <c r="S326" s="191">
        <f t="shared" si="175"/>
        <v>0</v>
      </c>
      <c r="T326" s="42">
        <v>405000</v>
      </c>
      <c r="U326" s="48">
        <f t="shared" si="166"/>
        <v>0.82662398372396928</v>
      </c>
      <c r="V326" s="49"/>
      <c r="X326" s="112"/>
    </row>
    <row r="327" spans="1:24" x14ac:dyDescent="0.3">
      <c r="A327" s="40" t="str">
        <f>VLOOKUP(B327,Grupos!$A$2:$B$619,2,FALSE)</f>
        <v>BREAKERS</v>
      </c>
      <c r="B327" s="41" t="s">
        <v>806</v>
      </c>
      <c r="C327" s="41" t="s">
        <v>807</v>
      </c>
      <c r="D327" s="42">
        <v>4</v>
      </c>
      <c r="E327" s="43">
        <v>15499.199694824423</v>
      </c>
      <c r="F327" s="43"/>
      <c r="G327" s="126">
        <f t="shared" si="167"/>
        <v>15499.199694824423</v>
      </c>
      <c r="H327" s="127">
        <f t="shared" si="168"/>
        <v>61996.798779297693</v>
      </c>
      <c r="I327" s="128">
        <f t="shared" si="169"/>
        <v>0</v>
      </c>
      <c r="J327" s="128">
        <f t="shared" si="170"/>
        <v>61996.798779297693</v>
      </c>
      <c r="K327" s="44">
        <f t="shared" si="171"/>
        <v>2.0406004644925852E-4</v>
      </c>
      <c r="L327" s="45"/>
      <c r="M327" s="45">
        <v>0</v>
      </c>
      <c r="N327" s="45">
        <f t="shared" si="172"/>
        <v>15499.199694824423</v>
      </c>
      <c r="O327" s="46">
        <f t="shared" si="173"/>
        <v>61996.798779297693</v>
      </c>
      <c r="P327" s="47">
        <f t="shared" si="174"/>
        <v>20150</v>
      </c>
      <c r="Q327" s="47">
        <v>20150</v>
      </c>
      <c r="R327" s="47">
        <f t="shared" si="176"/>
        <v>0</v>
      </c>
      <c r="S327" s="191">
        <f t="shared" si="175"/>
        <v>0</v>
      </c>
      <c r="T327" s="42">
        <v>80600</v>
      </c>
      <c r="U327" s="48">
        <f t="shared" si="166"/>
        <v>0.76919105185232872</v>
      </c>
      <c r="V327" s="49"/>
      <c r="X327" s="112"/>
    </row>
    <row r="328" spans="1:24" x14ac:dyDescent="0.3">
      <c r="A328" s="40" t="str">
        <f>VLOOKUP(B328,Grupos!$A$2:$B$619,2,FALSE)</f>
        <v>BREAKERS</v>
      </c>
      <c r="B328" s="41" t="s">
        <v>808</v>
      </c>
      <c r="C328" s="41" t="s">
        <v>809</v>
      </c>
      <c r="D328" s="42">
        <v>24</v>
      </c>
      <c r="E328" s="43">
        <v>16739.135670410382</v>
      </c>
      <c r="F328" s="43"/>
      <c r="G328" s="126">
        <f t="shared" si="167"/>
        <v>16739.135670410382</v>
      </c>
      <c r="H328" s="127">
        <f t="shared" si="168"/>
        <v>401739.25608984916</v>
      </c>
      <c r="I328" s="128">
        <f t="shared" si="169"/>
        <v>0</v>
      </c>
      <c r="J328" s="128">
        <f t="shared" si="170"/>
        <v>401739.25608984916</v>
      </c>
      <c r="K328" s="44">
        <f t="shared" si="171"/>
        <v>1.3223091009911957E-3</v>
      </c>
      <c r="L328" s="45"/>
      <c r="M328" s="45">
        <v>0</v>
      </c>
      <c r="N328" s="45">
        <f t="shared" si="172"/>
        <v>16739.135670410382</v>
      </c>
      <c r="O328" s="46">
        <f t="shared" si="173"/>
        <v>401739.25608984916</v>
      </c>
      <c r="P328" s="47">
        <f t="shared" si="174"/>
        <v>19566.666666666668</v>
      </c>
      <c r="Q328" s="47">
        <v>20150</v>
      </c>
      <c r="R328" s="47">
        <f t="shared" si="176"/>
        <v>583.33333333333212</v>
      </c>
      <c r="S328" s="191">
        <f t="shared" si="175"/>
        <v>2.8949545078577277E-2</v>
      </c>
      <c r="T328" s="42">
        <v>469600</v>
      </c>
      <c r="U328" s="48">
        <f t="shared" si="166"/>
        <v>0.85549245334294965</v>
      </c>
      <c r="V328" s="49"/>
      <c r="X328" s="112"/>
    </row>
    <row r="329" spans="1:24" x14ac:dyDescent="0.3">
      <c r="A329" s="40" t="str">
        <f>VLOOKUP(B329,Grupos!$A$2:$B$619,2,FALSE)</f>
        <v>BREAKERS</v>
      </c>
      <c r="B329" s="41" t="s">
        <v>810</v>
      </c>
      <c r="C329" s="41" t="s">
        <v>811</v>
      </c>
      <c r="D329" s="42">
        <v>12</v>
      </c>
      <c r="E329" s="43">
        <v>16739.135670410382</v>
      </c>
      <c r="F329" s="43"/>
      <c r="G329" s="126">
        <f t="shared" si="167"/>
        <v>16739.135670410382</v>
      </c>
      <c r="H329" s="127">
        <f t="shared" si="168"/>
        <v>200869.62804492458</v>
      </c>
      <c r="I329" s="128">
        <f t="shared" si="169"/>
        <v>0</v>
      </c>
      <c r="J329" s="128">
        <f t="shared" si="170"/>
        <v>200869.62804492458</v>
      </c>
      <c r="K329" s="44">
        <f t="shared" si="171"/>
        <v>6.6115455049559784E-4</v>
      </c>
      <c r="L329" s="45"/>
      <c r="M329" s="45">
        <v>0</v>
      </c>
      <c r="N329" s="45">
        <f t="shared" si="172"/>
        <v>16739.135670410382</v>
      </c>
      <c r="O329" s="46">
        <f t="shared" si="173"/>
        <v>200869.62804492458</v>
      </c>
      <c r="P329" s="47">
        <f t="shared" si="174"/>
        <v>19850</v>
      </c>
      <c r="Q329" s="47">
        <v>20150</v>
      </c>
      <c r="R329" s="47">
        <f t="shared" si="176"/>
        <v>300</v>
      </c>
      <c r="S329" s="191">
        <f t="shared" si="175"/>
        <v>1.488833746898263E-2</v>
      </c>
      <c r="T329" s="42">
        <v>238200</v>
      </c>
      <c r="U329" s="48">
        <f t="shared" si="166"/>
        <v>0.84328139397533408</v>
      </c>
      <c r="V329" s="49"/>
      <c r="X329" s="112"/>
    </row>
    <row r="330" spans="1:24" x14ac:dyDescent="0.3">
      <c r="A330" s="40" t="str">
        <f>VLOOKUP(B330,Grupos!$A$2:$B$619,2,FALSE)</f>
        <v>BREAKERS</v>
      </c>
      <c r="B330" s="41" t="s">
        <v>812</v>
      </c>
      <c r="C330" s="41" t="s">
        <v>813</v>
      </c>
      <c r="D330" s="42">
        <v>8</v>
      </c>
      <c r="E330" s="43">
        <v>16739.135670410382</v>
      </c>
      <c r="F330" s="43"/>
      <c r="G330" s="126">
        <f t="shared" si="167"/>
        <v>16739.135670410382</v>
      </c>
      <c r="H330" s="127">
        <f t="shared" si="168"/>
        <v>133913.08536328305</v>
      </c>
      <c r="I330" s="128">
        <f t="shared" si="169"/>
        <v>0</v>
      </c>
      <c r="J330" s="128">
        <f t="shared" si="170"/>
        <v>133913.08536328305</v>
      </c>
      <c r="K330" s="44">
        <f t="shared" si="171"/>
        <v>4.4076970033039858E-4</v>
      </c>
      <c r="L330" s="45"/>
      <c r="M330" s="45">
        <v>0</v>
      </c>
      <c r="N330" s="45">
        <f t="shared" si="172"/>
        <v>16739.135670410382</v>
      </c>
      <c r="O330" s="46">
        <f t="shared" si="173"/>
        <v>133913.08536328305</v>
      </c>
      <c r="P330" s="47">
        <f t="shared" si="174"/>
        <v>19500</v>
      </c>
      <c r="Q330" s="47">
        <v>20150</v>
      </c>
      <c r="R330" s="47">
        <f t="shared" si="176"/>
        <v>650</v>
      </c>
      <c r="S330" s="191">
        <f t="shared" si="175"/>
        <v>3.2258064516129031E-2</v>
      </c>
      <c r="T330" s="42">
        <v>156000</v>
      </c>
      <c r="U330" s="48">
        <f t="shared" si="166"/>
        <v>0.85841721386719905</v>
      </c>
      <c r="V330" s="49"/>
      <c r="X330" s="112"/>
    </row>
    <row r="331" spans="1:24" x14ac:dyDescent="0.3">
      <c r="A331" s="40" t="str">
        <f>VLOOKUP(B331,Grupos!$A$2:$B$619,2,FALSE)</f>
        <v>BREAKERS</v>
      </c>
      <c r="B331" s="41" t="s">
        <v>787</v>
      </c>
      <c r="C331" s="41" t="s">
        <v>788</v>
      </c>
      <c r="D331" s="42">
        <v>36</v>
      </c>
      <c r="E331" s="43">
        <v>5579.711890136793</v>
      </c>
      <c r="F331" s="43"/>
      <c r="G331" s="126">
        <f t="shared" si="167"/>
        <v>5579.711890136793</v>
      </c>
      <c r="H331" s="127">
        <f t="shared" si="168"/>
        <v>200869.62804492455</v>
      </c>
      <c r="I331" s="128"/>
      <c r="J331" s="128">
        <f t="shared" si="170"/>
        <v>200869.62804492455</v>
      </c>
      <c r="K331" s="44">
        <f t="shared" si="171"/>
        <v>6.6115455049559773E-4</v>
      </c>
      <c r="L331" s="45"/>
      <c r="M331" s="45"/>
      <c r="N331" s="45">
        <f t="shared" si="172"/>
        <v>5579.711890136793</v>
      </c>
      <c r="O331" s="46">
        <f t="shared" si="173"/>
        <v>200869.62804492455</v>
      </c>
      <c r="P331" s="47"/>
      <c r="Q331" s="47"/>
      <c r="R331" s="47"/>
      <c r="S331" s="47"/>
      <c r="T331" s="42">
        <v>238800</v>
      </c>
      <c r="U331" s="48">
        <f t="shared" si="166"/>
        <v>0.84116259650303415</v>
      </c>
      <c r="V331" s="49"/>
      <c r="X331" s="112"/>
    </row>
    <row r="332" spans="1:24" x14ac:dyDescent="0.3">
      <c r="A332" s="50" t="s">
        <v>1012</v>
      </c>
      <c r="B332" s="41"/>
      <c r="C332" s="41"/>
      <c r="D332" s="51">
        <f>SUM(D281:D331)</f>
        <v>47066</v>
      </c>
      <c r="E332" s="43"/>
      <c r="F332" s="43"/>
      <c r="G332" s="126"/>
      <c r="H332" s="131">
        <f>SUM(H281:H331)</f>
        <v>303816449.41315734</v>
      </c>
      <c r="I332" s="131">
        <f>SUM(I281:I331)</f>
        <v>0</v>
      </c>
      <c r="J332" s="131">
        <f>SUM(J281:J331)</f>
        <v>303816449.41315734</v>
      </c>
      <c r="K332" s="150">
        <f t="shared" si="171"/>
        <v>1</v>
      </c>
      <c r="L332" s="45"/>
      <c r="M332" s="45"/>
      <c r="N332" s="45"/>
      <c r="O332" s="55">
        <f>SUM(O281:O331)</f>
        <v>303816449.41315734</v>
      </c>
      <c r="P332" s="47"/>
      <c r="Q332" s="47"/>
      <c r="R332" s="47"/>
      <c r="S332" s="47"/>
      <c r="T332" s="51">
        <f>SUM(T281:T331)</f>
        <v>408090759.99000001</v>
      </c>
      <c r="U332" s="57">
        <f t="shared" si="166"/>
        <v>0.74448254947159831</v>
      </c>
      <c r="V332" s="58">
        <f>T332/$T$346</f>
        <v>7.8680552559146411E-2</v>
      </c>
      <c r="X332" s="112"/>
    </row>
    <row r="333" spans="1:24" x14ac:dyDescent="0.3">
      <c r="A333" s="40" t="str">
        <f>VLOOKUP(B333,Grupos!$A$2:$B$619,2,FALSE)</f>
        <v>VARILLAS</v>
      </c>
      <c r="B333" s="41" t="s">
        <v>549</v>
      </c>
      <c r="C333" s="41" t="s">
        <v>550</v>
      </c>
      <c r="D333" s="42">
        <v>218</v>
      </c>
      <c r="E333" s="43">
        <v>95000</v>
      </c>
      <c r="F333" s="43">
        <v>111.24</v>
      </c>
      <c r="G333" s="126">
        <f t="shared" ref="G333:G344" si="177">E333+F333</f>
        <v>95111.24</v>
      </c>
      <c r="H333" s="127">
        <f t="shared" ref="H333:H344" si="178">E333*D333</f>
        <v>20710000</v>
      </c>
      <c r="I333" s="128">
        <f t="shared" ref="I333:I344" si="179">F333*D333</f>
        <v>24250.32</v>
      </c>
      <c r="J333" s="128">
        <f t="shared" ref="J333:J344" si="180">G333*D333</f>
        <v>20734250.32</v>
      </c>
      <c r="K333" s="44">
        <f t="shared" ref="K333:K345" si="181">J333/$J$345</f>
        <v>5.1560882725273004E-2</v>
      </c>
      <c r="L333" s="45"/>
      <c r="M333" s="45">
        <v>488.87544911662121</v>
      </c>
      <c r="N333" s="45">
        <f t="shared" ref="N333:N344" si="182">G333+L333+M333</f>
        <v>95600.115449116623</v>
      </c>
      <c r="O333" s="46">
        <f t="shared" ref="O333:O344" si="183">N333*D333</f>
        <v>20840825.167907424</v>
      </c>
      <c r="P333" s="47">
        <f t="shared" ref="P333:P344" si="184">T333/D333</f>
        <v>104094.95412844037</v>
      </c>
      <c r="Q333" s="166">
        <v>0</v>
      </c>
      <c r="R333" s="47"/>
      <c r="S333" s="47"/>
      <c r="T333" s="42">
        <v>22692700</v>
      </c>
      <c r="U333" s="48">
        <f t="shared" si="166"/>
        <v>0.91839336737838262</v>
      </c>
      <c r="V333" s="49"/>
      <c r="X333" s="112"/>
    </row>
    <row r="334" spans="1:24" x14ac:dyDescent="0.3">
      <c r="A334" s="40" t="str">
        <f>VLOOKUP(B334,Grupos!$A$2:$B$619,2,FALSE)</f>
        <v>VARILLAS</v>
      </c>
      <c r="B334" s="41" t="s">
        <v>551</v>
      </c>
      <c r="C334" s="41" t="s">
        <v>552</v>
      </c>
      <c r="D334" s="42">
        <v>225</v>
      </c>
      <c r="E334" s="43">
        <v>118600</v>
      </c>
      <c r="F334" s="43">
        <v>159.59</v>
      </c>
      <c r="G334" s="126">
        <f t="shared" si="177"/>
        <v>118759.59</v>
      </c>
      <c r="H334" s="127">
        <f t="shared" si="178"/>
        <v>26685000</v>
      </c>
      <c r="I334" s="128">
        <f t="shared" si="179"/>
        <v>35907.75</v>
      </c>
      <c r="J334" s="128">
        <f t="shared" si="180"/>
        <v>26720907.75</v>
      </c>
      <c r="K334" s="44">
        <f t="shared" si="181"/>
        <v>6.6448198972577491E-2</v>
      </c>
      <c r="L334" s="45"/>
      <c r="M334" s="45">
        <v>701.36311510716996</v>
      </c>
      <c r="N334" s="45">
        <f t="shared" si="182"/>
        <v>119460.95311510717</v>
      </c>
      <c r="O334" s="46">
        <f t="shared" si="183"/>
        <v>26878714.450899113</v>
      </c>
      <c r="P334" s="47">
        <f t="shared" si="184"/>
        <v>128978.44444444444</v>
      </c>
      <c r="Q334" s="166">
        <v>0</v>
      </c>
      <c r="R334" s="47"/>
      <c r="S334" s="47"/>
      <c r="T334" s="42">
        <v>29020150</v>
      </c>
      <c r="U334" s="48">
        <f t="shared" si="166"/>
        <v>0.92620866711230343</v>
      </c>
      <c r="V334" s="49"/>
      <c r="X334" s="112"/>
    </row>
    <row r="335" spans="1:24" x14ac:dyDescent="0.3">
      <c r="A335" s="40" t="str">
        <f>VLOOKUP(B335,Grupos!$A$2:$B$619,2,FALSE)</f>
        <v>VARILLAS</v>
      </c>
      <c r="B335" s="41" t="s">
        <v>553</v>
      </c>
      <c r="C335" s="41" t="s">
        <v>554</v>
      </c>
      <c r="D335" s="42">
        <v>236</v>
      </c>
      <c r="E335" s="43">
        <v>141854.26666666666</v>
      </c>
      <c r="F335" s="43">
        <v>161.63999999999999</v>
      </c>
      <c r="G335" s="126">
        <f t="shared" si="177"/>
        <v>142015.90666666668</v>
      </c>
      <c r="H335" s="127">
        <f t="shared" si="178"/>
        <v>33477606.933333334</v>
      </c>
      <c r="I335" s="128">
        <f t="shared" si="179"/>
        <v>38147.039999999994</v>
      </c>
      <c r="J335" s="128">
        <f t="shared" si="180"/>
        <v>33515753.973333336</v>
      </c>
      <c r="K335" s="44">
        <f t="shared" si="181"/>
        <v>8.3345278145949525E-2</v>
      </c>
      <c r="L335" s="45"/>
      <c r="M335" s="45">
        <v>710.37241635392536</v>
      </c>
      <c r="N335" s="45">
        <f t="shared" si="182"/>
        <v>142726.27908302061</v>
      </c>
      <c r="O335" s="46">
        <f t="shared" si="183"/>
        <v>33683401.863592863</v>
      </c>
      <c r="P335" s="47">
        <f t="shared" si="184"/>
        <v>154385.16949152542</v>
      </c>
      <c r="Q335" s="166">
        <v>0</v>
      </c>
      <c r="R335" s="47"/>
      <c r="S335" s="47"/>
      <c r="T335" s="42">
        <v>36434900</v>
      </c>
      <c r="U335" s="48">
        <f t="shared" si="166"/>
        <v>0.9244817980450849</v>
      </c>
      <c r="V335" s="49"/>
      <c r="X335" s="112"/>
    </row>
    <row r="336" spans="1:24" x14ac:dyDescent="0.3">
      <c r="A336" s="40" t="str">
        <f>VLOOKUP(B336,Grupos!$A$2:$B$619,2,FALSE)</f>
        <v>VARILLAS</v>
      </c>
      <c r="B336" s="41" t="s">
        <v>555</v>
      </c>
      <c r="C336" s="41" t="s">
        <v>556</v>
      </c>
      <c r="D336" s="42">
        <v>1004</v>
      </c>
      <c r="E336" s="43">
        <v>189454.06578947368</v>
      </c>
      <c r="F336" s="43">
        <v>98.86</v>
      </c>
      <c r="G336" s="126">
        <f t="shared" si="177"/>
        <v>189552.92578947367</v>
      </c>
      <c r="H336" s="127">
        <f t="shared" si="178"/>
        <v>190211882.05263159</v>
      </c>
      <c r="I336" s="128">
        <f t="shared" si="179"/>
        <v>99255.44</v>
      </c>
      <c r="J336" s="128">
        <f t="shared" si="180"/>
        <v>190311137.49263155</v>
      </c>
      <c r="K336" s="44">
        <f t="shared" si="181"/>
        <v>0.47325609029161569</v>
      </c>
      <c r="L336" s="45"/>
      <c r="M336" s="45">
        <v>434.46805914841042</v>
      </c>
      <c r="N336" s="45">
        <f t="shared" si="182"/>
        <v>189987.39384862207</v>
      </c>
      <c r="O336" s="46">
        <f t="shared" si="183"/>
        <v>190747343.42401657</v>
      </c>
      <c r="P336" s="47">
        <f t="shared" si="184"/>
        <v>203147.41035856574</v>
      </c>
      <c r="Q336" s="166">
        <v>0</v>
      </c>
      <c r="R336" s="47"/>
      <c r="S336" s="47"/>
      <c r="T336" s="42">
        <v>203960000</v>
      </c>
      <c r="U336" s="48">
        <f t="shared" si="166"/>
        <v>0.93521937352430162</v>
      </c>
      <c r="V336" s="49"/>
      <c r="X336" s="112"/>
    </row>
    <row r="337" spans="1:24" x14ac:dyDescent="0.3">
      <c r="A337" s="40" t="str">
        <f>VLOOKUP(B337,Grupos!$A$2:$B$619,2,FALSE)</f>
        <v>VARILLAS</v>
      </c>
      <c r="B337" s="41" t="s">
        <v>557</v>
      </c>
      <c r="C337" s="41" t="s">
        <v>558</v>
      </c>
      <c r="D337" s="42">
        <v>479</v>
      </c>
      <c r="E337" s="43">
        <v>77904.761904761908</v>
      </c>
      <c r="F337" s="43">
        <v>0</v>
      </c>
      <c r="G337" s="126">
        <f t="shared" si="177"/>
        <v>77904.761904761908</v>
      </c>
      <c r="H337" s="127">
        <f t="shared" si="178"/>
        <v>37316380.952380955</v>
      </c>
      <c r="I337" s="128">
        <f t="shared" si="179"/>
        <v>0</v>
      </c>
      <c r="J337" s="128">
        <f t="shared" si="180"/>
        <v>37316380.952380955</v>
      </c>
      <c r="K337" s="44">
        <f t="shared" si="181"/>
        <v>9.279648467258042E-2</v>
      </c>
      <c r="L337" s="45"/>
      <c r="M337" s="45">
        <v>0</v>
      </c>
      <c r="N337" s="45">
        <f t="shared" si="182"/>
        <v>77904.761904761908</v>
      </c>
      <c r="O337" s="46">
        <f t="shared" si="183"/>
        <v>37316380.952380955</v>
      </c>
      <c r="P337" s="47">
        <f t="shared" si="184"/>
        <v>85486.116910229641</v>
      </c>
      <c r="Q337" s="166">
        <v>0</v>
      </c>
      <c r="R337" s="47"/>
      <c r="S337" s="47"/>
      <c r="T337" s="42">
        <v>40947850</v>
      </c>
      <c r="U337" s="48">
        <f t="shared" si="166"/>
        <v>0.91131478093186713</v>
      </c>
      <c r="V337" s="49"/>
      <c r="X337" s="112"/>
    </row>
    <row r="338" spans="1:24" x14ac:dyDescent="0.3">
      <c r="A338" s="40" t="str">
        <f>VLOOKUP(B338,Grupos!$A$2:$B$619,2,FALSE)</f>
        <v>VARILLAS</v>
      </c>
      <c r="B338" s="41" t="s">
        <v>559</v>
      </c>
      <c r="C338" s="41" t="s">
        <v>560</v>
      </c>
      <c r="D338" s="42">
        <v>260</v>
      </c>
      <c r="E338" s="43">
        <v>97900</v>
      </c>
      <c r="F338" s="43">
        <v>0</v>
      </c>
      <c r="G338" s="126">
        <f t="shared" si="177"/>
        <v>97900</v>
      </c>
      <c r="H338" s="127">
        <f t="shared" si="178"/>
        <v>25454000</v>
      </c>
      <c r="I338" s="128">
        <f t="shared" si="179"/>
        <v>0</v>
      </c>
      <c r="J338" s="128">
        <f t="shared" si="180"/>
        <v>25454000</v>
      </c>
      <c r="K338" s="44">
        <f t="shared" si="181"/>
        <v>6.3297716996458975E-2</v>
      </c>
      <c r="L338" s="45"/>
      <c r="M338" s="45">
        <v>0</v>
      </c>
      <c r="N338" s="45">
        <f t="shared" si="182"/>
        <v>97900</v>
      </c>
      <c r="O338" s="46">
        <f t="shared" si="183"/>
        <v>25454000</v>
      </c>
      <c r="P338" s="47">
        <f t="shared" si="184"/>
        <v>106793.60000000001</v>
      </c>
      <c r="Q338" s="166">
        <v>0</v>
      </c>
      <c r="R338" s="47"/>
      <c r="S338" s="47"/>
      <c r="T338" s="42">
        <v>27766336</v>
      </c>
      <c r="U338" s="48">
        <f t="shared" si="166"/>
        <v>0.91672160129445956</v>
      </c>
      <c r="V338" s="49"/>
      <c r="X338" s="112"/>
    </row>
    <row r="339" spans="1:24" x14ac:dyDescent="0.3">
      <c r="A339" s="40" t="str">
        <f>VLOOKUP(B339,Grupos!$A$2:$B$619,2,FALSE)</f>
        <v>VARILLAS</v>
      </c>
      <c r="B339" s="41" t="s">
        <v>657</v>
      </c>
      <c r="C339" s="41" t="s">
        <v>658</v>
      </c>
      <c r="D339" s="42">
        <v>173</v>
      </c>
      <c r="E339" s="43">
        <v>116800</v>
      </c>
      <c r="F339" s="43">
        <v>0</v>
      </c>
      <c r="G339" s="126">
        <f t="shared" si="177"/>
        <v>116800</v>
      </c>
      <c r="H339" s="127">
        <f t="shared" si="178"/>
        <v>20206400</v>
      </c>
      <c r="I339" s="128">
        <f t="shared" si="179"/>
        <v>0</v>
      </c>
      <c r="J339" s="128">
        <f t="shared" si="180"/>
        <v>20206400</v>
      </c>
      <c r="K339" s="44">
        <f t="shared" si="181"/>
        <v>5.0248251304991311E-2</v>
      </c>
      <c r="L339" s="45"/>
      <c r="M339" s="45">
        <v>0</v>
      </c>
      <c r="N339" s="45">
        <f t="shared" si="182"/>
        <v>116800</v>
      </c>
      <c r="O339" s="46">
        <f t="shared" si="183"/>
        <v>20206400</v>
      </c>
      <c r="P339" s="47">
        <f t="shared" si="184"/>
        <v>134899.51421965318</v>
      </c>
      <c r="Q339" s="166">
        <v>0</v>
      </c>
      <c r="R339" s="47"/>
      <c r="S339" s="47"/>
      <c r="T339" s="42">
        <v>23337615.960000001</v>
      </c>
      <c r="U339" s="48">
        <f t="shared" si="166"/>
        <v>0.86582965606397777</v>
      </c>
      <c r="V339" s="49"/>
      <c r="X339" s="112"/>
    </row>
    <row r="340" spans="1:24" x14ac:dyDescent="0.3">
      <c r="A340" s="40" t="str">
        <f>VLOOKUP(B340,Grupos!$A$2:$B$619,2,FALSE)</f>
        <v>VARILLAS</v>
      </c>
      <c r="B340" s="41" t="s">
        <v>561</v>
      </c>
      <c r="C340" s="41" t="s">
        <v>562</v>
      </c>
      <c r="D340" s="42">
        <v>240</v>
      </c>
      <c r="E340" s="43">
        <v>155900</v>
      </c>
      <c r="F340" s="43">
        <v>0</v>
      </c>
      <c r="G340" s="126">
        <f t="shared" si="177"/>
        <v>155900</v>
      </c>
      <c r="H340" s="127">
        <f t="shared" si="178"/>
        <v>37416000</v>
      </c>
      <c r="I340" s="128">
        <f t="shared" si="179"/>
        <v>0</v>
      </c>
      <c r="J340" s="128">
        <f t="shared" si="180"/>
        <v>37416000</v>
      </c>
      <c r="K340" s="44">
        <f t="shared" si="181"/>
        <v>9.3044212270743665E-2</v>
      </c>
      <c r="L340" s="45"/>
      <c r="M340" s="45">
        <v>0</v>
      </c>
      <c r="N340" s="45">
        <f t="shared" si="182"/>
        <v>155900</v>
      </c>
      <c r="O340" s="46">
        <f t="shared" si="183"/>
        <v>37416000</v>
      </c>
      <c r="P340" s="47">
        <f t="shared" si="184"/>
        <v>168550</v>
      </c>
      <c r="Q340" s="166">
        <v>0</v>
      </c>
      <c r="R340" s="47"/>
      <c r="S340" s="47"/>
      <c r="T340" s="42">
        <v>40452000</v>
      </c>
      <c r="U340" s="48">
        <f t="shared" si="166"/>
        <v>0.92494808662118067</v>
      </c>
      <c r="V340" s="49"/>
      <c r="X340" s="112"/>
    </row>
    <row r="341" spans="1:24" x14ac:dyDescent="0.3">
      <c r="A341" s="40" t="str">
        <f>VLOOKUP(B341,Grupos!$A$2:$B$619,2,FALSE)</f>
        <v>VARILLAS</v>
      </c>
      <c r="B341" s="41" t="s">
        <v>1004</v>
      </c>
      <c r="C341" s="41" t="s">
        <v>1005</v>
      </c>
      <c r="D341" s="42">
        <v>130</v>
      </c>
      <c r="E341" s="43">
        <v>9215</v>
      </c>
      <c r="F341" s="43">
        <v>55.44</v>
      </c>
      <c r="G341" s="126">
        <f t="shared" si="177"/>
        <v>9270.44</v>
      </c>
      <c r="H341" s="127">
        <f t="shared" si="178"/>
        <v>1197950</v>
      </c>
      <c r="I341" s="128">
        <f t="shared" si="179"/>
        <v>7207.2</v>
      </c>
      <c r="J341" s="128">
        <f t="shared" si="180"/>
        <v>1205157.2</v>
      </c>
      <c r="K341" s="44">
        <f t="shared" si="181"/>
        <v>2.9969238383690151E-3</v>
      </c>
      <c r="L341" s="45"/>
      <c r="M341" s="45">
        <v>243.64666396103453</v>
      </c>
      <c r="N341" s="45">
        <f t="shared" si="182"/>
        <v>9514.0866639610358</v>
      </c>
      <c r="O341" s="46">
        <f t="shared" si="183"/>
        <v>1236831.2663149347</v>
      </c>
      <c r="P341" s="47">
        <f t="shared" si="184"/>
        <v>10819.23076923077</v>
      </c>
      <c r="Q341" s="166">
        <v>0</v>
      </c>
      <c r="R341" s="47"/>
      <c r="S341" s="47"/>
      <c r="T341" s="42">
        <v>1406500</v>
      </c>
      <c r="U341" s="48">
        <f t="shared" ref="U341:U346" si="185">O341/T341</f>
        <v>0.87936812393525399</v>
      </c>
      <c r="V341" s="49"/>
      <c r="X341" s="112"/>
    </row>
    <row r="342" spans="1:24" x14ac:dyDescent="0.3">
      <c r="A342" s="40" t="str">
        <f>VLOOKUP(B342,Grupos!$A$2:$B$619,2,FALSE)</f>
        <v>VARILLAS</v>
      </c>
      <c r="B342" s="41" t="s">
        <v>1006</v>
      </c>
      <c r="C342" s="41" t="s">
        <v>1007</v>
      </c>
      <c r="D342" s="42">
        <v>450</v>
      </c>
      <c r="E342" s="43">
        <v>10379</v>
      </c>
      <c r="F342" s="43">
        <v>39.89</v>
      </c>
      <c r="G342" s="126">
        <f t="shared" si="177"/>
        <v>10418.89</v>
      </c>
      <c r="H342" s="127">
        <f t="shared" si="178"/>
        <v>4670550</v>
      </c>
      <c r="I342" s="128">
        <f t="shared" si="179"/>
        <v>17950.5</v>
      </c>
      <c r="J342" s="128">
        <f t="shared" si="180"/>
        <v>4688500.5</v>
      </c>
      <c r="K342" s="44">
        <f t="shared" si="181"/>
        <v>1.1659125394309595E-2</v>
      </c>
      <c r="L342" s="45"/>
      <c r="M342" s="45">
        <v>175.30781791857265</v>
      </c>
      <c r="N342" s="45">
        <f t="shared" si="182"/>
        <v>10594.197817918572</v>
      </c>
      <c r="O342" s="46">
        <f t="shared" si="183"/>
        <v>4767389.0180633571</v>
      </c>
      <c r="P342" s="47">
        <f t="shared" si="184"/>
        <v>12160</v>
      </c>
      <c r="Q342" s="166">
        <v>0</v>
      </c>
      <c r="R342" s="47"/>
      <c r="S342" s="47"/>
      <c r="T342" s="42">
        <v>5472000</v>
      </c>
      <c r="U342" s="48">
        <f t="shared" si="185"/>
        <v>0.871233373184093</v>
      </c>
      <c r="V342" s="49"/>
      <c r="X342" s="112"/>
    </row>
    <row r="343" spans="1:24" x14ac:dyDescent="0.3">
      <c r="A343" s="40" t="str">
        <f>VLOOKUP(B343,Grupos!$A$2:$B$619,2,FALSE)</f>
        <v>VARILLAS</v>
      </c>
      <c r="B343" s="41" t="s">
        <v>1008</v>
      </c>
      <c r="C343" s="41" t="s">
        <v>1009</v>
      </c>
      <c r="D343" s="42">
        <v>120</v>
      </c>
      <c r="E343" s="43">
        <v>12125</v>
      </c>
      <c r="F343" s="43">
        <v>121.66</v>
      </c>
      <c r="G343" s="126">
        <f t="shared" si="177"/>
        <v>12246.66</v>
      </c>
      <c r="H343" s="127">
        <f t="shared" si="178"/>
        <v>1455000</v>
      </c>
      <c r="I343" s="128">
        <f t="shared" si="179"/>
        <v>14599.199999999999</v>
      </c>
      <c r="J343" s="128">
        <f t="shared" si="180"/>
        <v>1469599.2</v>
      </c>
      <c r="K343" s="44">
        <f t="shared" si="181"/>
        <v>3.6545248000244565E-3</v>
      </c>
      <c r="L343" s="45"/>
      <c r="M343" s="45">
        <v>534.66906813671471</v>
      </c>
      <c r="N343" s="45">
        <f t="shared" si="182"/>
        <v>12781.329068136714</v>
      </c>
      <c r="O343" s="46">
        <f t="shared" si="183"/>
        <v>1533759.4881764057</v>
      </c>
      <c r="P343" s="47">
        <f t="shared" si="184"/>
        <v>13500</v>
      </c>
      <c r="Q343" s="166">
        <v>0</v>
      </c>
      <c r="R343" s="47"/>
      <c r="S343" s="47"/>
      <c r="T343" s="42">
        <v>1620000</v>
      </c>
      <c r="U343" s="48">
        <f t="shared" si="185"/>
        <v>0.94676511615827508</v>
      </c>
      <c r="V343" s="49"/>
      <c r="X343" s="112"/>
    </row>
    <row r="344" spans="1:24" x14ac:dyDescent="0.3">
      <c r="A344" s="40" t="str">
        <f>VLOOKUP(B344,Grupos!$A$2:$B$619,2,FALSE)</f>
        <v>VARILLAS</v>
      </c>
      <c r="B344" s="41" t="s">
        <v>1102</v>
      </c>
      <c r="C344" s="41" t="s">
        <v>1103</v>
      </c>
      <c r="D344" s="42">
        <v>92</v>
      </c>
      <c r="E344" s="43">
        <v>33500</v>
      </c>
      <c r="F344" s="43">
        <v>123.04</v>
      </c>
      <c r="G344" s="126">
        <f t="shared" si="177"/>
        <v>33623.040000000001</v>
      </c>
      <c r="H344" s="127">
        <f t="shared" si="178"/>
        <v>3082000</v>
      </c>
      <c r="I344" s="128">
        <f t="shared" si="179"/>
        <v>11319.68</v>
      </c>
      <c r="J344" s="128">
        <f t="shared" si="180"/>
        <v>3093319.6800000002</v>
      </c>
      <c r="K344" s="44">
        <f t="shared" si="181"/>
        <v>7.6923105871068232E-3</v>
      </c>
      <c r="L344" s="45"/>
      <c r="M344" s="45">
        <v>540.7338660491647</v>
      </c>
      <c r="N344" s="45">
        <f t="shared" si="182"/>
        <v>34163.773866049167</v>
      </c>
      <c r="O344" s="46">
        <f t="shared" si="183"/>
        <v>3143067.1956765233</v>
      </c>
      <c r="P344" s="47">
        <f t="shared" si="184"/>
        <v>37300</v>
      </c>
      <c r="Q344" s="166">
        <v>0</v>
      </c>
      <c r="R344" s="47"/>
      <c r="S344" s="47"/>
      <c r="T344" s="42">
        <v>3431600</v>
      </c>
      <c r="U344" s="48">
        <f t="shared" si="185"/>
        <v>0.91591887040346287</v>
      </c>
      <c r="V344" s="49"/>
      <c r="X344" s="112"/>
    </row>
    <row r="345" spans="1:24" x14ac:dyDescent="0.3">
      <c r="A345" s="50" t="s">
        <v>1013</v>
      </c>
      <c r="B345" s="41"/>
      <c r="C345" s="41"/>
      <c r="D345" s="51">
        <f>SUM(D333:D344)</f>
        <v>3627</v>
      </c>
      <c r="E345" s="43"/>
      <c r="F345" s="43"/>
      <c r="G345" s="126"/>
      <c r="H345" s="131">
        <f>SUM(H333:H344)</f>
        <v>401882769.93834585</v>
      </c>
      <c r="I345" s="131">
        <f>SUM(I333:I344)</f>
        <v>248637.13</v>
      </c>
      <c r="J345" s="131">
        <f>SUM(J333:J344)</f>
        <v>402131407.06834584</v>
      </c>
      <c r="K345" s="150">
        <f t="shared" si="181"/>
        <v>1</v>
      </c>
      <c r="L345" s="45"/>
      <c r="M345" s="45"/>
      <c r="N345" s="45"/>
      <c r="O345" s="55">
        <f>SUM(O333:O344)</f>
        <v>403224112.8270281</v>
      </c>
      <c r="P345" s="47"/>
      <c r="Q345" s="47"/>
      <c r="R345" s="47"/>
      <c r="S345" s="47"/>
      <c r="T345" s="51">
        <f>SUM(T333:T344)</f>
        <v>436541651.95999998</v>
      </c>
      <c r="U345" s="57">
        <f t="shared" si="185"/>
        <v>0.92367844171711533</v>
      </c>
      <c r="V345" s="58">
        <f>T345/$T$346</f>
        <v>8.4165930128231856E-2</v>
      </c>
      <c r="X345" s="112"/>
    </row>
    <row r="346" spans="1:24" x14ac:dyDescent="0.3">
      <c r="A346" s="132" t="s">
        <v>1014</v>
      </c>
      <c r="B346" s="41"/>
      <c r="C346" s="41"/>
      <c r="D346" s="51">
        <f>SUM(D345,D332,D280,D277)</f>
        <v>3035304.3000000003</v>
      </c>
      <c r="E346" s="43"/>
      <c r="F346" s="43"/>
      <c r="G346" s="126"/>
      <c r="H346" s="131">
        <f>SUM(H345,H332,H280,H277)</f>
        <v>2343593237.4035034</v>
      </c>
      <c r="I346" s="131">
        <f>SUM(I345,I332,I280,I277)</f>
        <v>113331360.052</v>
      </c>
      <c r="J346" s="131">
        <f>SUM(J345,J332,J280,J277)</f>
        <v>2456924597.4555016</v>
      </c>
      <c r="K346" s="44"/>
      <c r="L346" s="45"/>
      <c r="M346" s="45"/>
      <c r="N346" s="45"/>
      <c r="O346" s="131">
        <f>O345+O332+O280+O277</f>
        <v>3540606075.5449238</v>
      </c>
      <c r="P346" s="47"/>
      <c r="Q346" s="47"/>
      <c r="R346" s="47"/>
      <c r="S346" s="47"/>
      <c r="T346" s="131">
        <f>T345+T332+T280+T277</f>
        <v>5186678877.0100031</v>
      </c>
      <c r="U346" s="65">
        <f t="shared" si="185"/>
        <v>0.68263452577307016</v>
      </c>
      <c r="V346" s="148">
        <f>T346/$T$346</f>
        <v>1</v>
      </c>
      <c r="X346" s="112"/>
    </row>
    <row r="347" spans="1:24" x14ac:dyDescent="0.3">
      <c r="A347" s="132" t="s">
        <v>1015</v>
      </c>
      <c r="B347" s="41"/>
      <c r="C347" s="41"/>
      <c r="D347" s="51"/>
      <c r="E347" s="43"/>
      <c r="F347" s="43"/>
      <c r="G347" s="126"/>
      <c r="H347" s="131"/>
      <c r="I347" s="131"/>
      <c r="J347" s="131"/>
      <c r="K347" s="44"/>
      <c r="L347" s="45"/>
      <c r="M347" s="45"/>
      <c r="N347" s="45"/>
      <c r="O347" s="131">
        <v>-7049530</v>
      </c>
      <c r="P347" s="47"/>
      <c r="Q347" s="47"/>
      <c r="R347" s="47"/>
      <c r="S347" s="47"/>
      <c r="T347" s="131">
        <v>-112223570.04000001</v>
      </c>
      <c r="U347" s="65"/>
      <c r="V347" s="144"/>
      <c r="X347" s="112"/>
    </row>
    <row r="348" spans="1:24" x14ac:dyDescent="0.3">
      <c r="A348" s="133" t="s">
        <v>1016</v>
      </c>
      <c r="B348" s="134"/>
      <c r="C348" s="134"/>
      <c r="D348" s="135">
        <f>D346+D347</f>
        <v>3035304.3000000003</v>
      </c>
      <c r="E348" s="136"/>
      <c r="F348" s="136"/>
      <c r="G348" s="137"/>
      <c r="H348" s="138">
        <f>H346+H347</f>
        <v>2343593237.4035034</v>
      </c>
      <c r="I348" s="138">
        <f>I346+I347</f>
        <v>113331360.052</v>
      </c>
      <c r="J348" s="138">
        <f>J346+J347</f>
        <v>2456924597.4555016</v>
      </c>
      <c r="K348" s="139"/>
      <c r="L348" s="140"/>
      <c r="M348" s="140"/>
      <c r="N348" s="140"/>
      <c r="O348" s="138">
        <f>O346+O347</f>
        <v>3533556545.5449238</v>
      </c>
      <c r="P348" s="141"/>
      <c r="Q348" s="141"/>
      <c r="R348" s="141"/>
      <c r="S348" s="141"/>
      <c r="T348" s="138">
        <f>T346+T347</f>
        <v>5074455306.9700031</v>
      </c>
      <c r="U348" s="142">
        <f>O348/T348</f>
        <v>0.69634203708355014</v>
      </c>
      <c r="V348" s="145"/>
      <c r="X348" s="112"/>
    </row>
    <row r="349" spans="1:24" x14ac:dyDescent="0.3">
      <c r="A349" s="59"/>
      <c r="B349" s="59"/>
      <c r="C349" s="59"/>
      <c r="D349" s="60"/>
      <c r="E349" s="60"/>
      <c r="F349" s="60"/>
      <c r="G349" s="63"/>
      <c r="H349" s="63"/>
      <c r="I349" s="63"/>
      <c r="J349" s="63"/>
      <c r="K349" s="64"/>
      <c r="L349" s="59"/>
      <c r="M349" s="59"/>
      <c r="N349" s="59"/>
      <c r="O349" s="60"/>
      <c r="P349" s="59"/>
      <c r="Q349" s="59"/>
      <c r="R349" s="59"/>
      <c r="S349" s="59"/>
      <c r="T349" s="193"/>
      <c r="U349" s="65"/>
      <c r="V349" s="66"/>
      <c r="X349" s="112"/>
    </row>
  </sheetData>
  <autoFilter ref="A4:V349" xr:uid="{B7459B2F-3037-4CB2-A5A4-89B2C340197F}">
    <sortState xmlns:xlrd2="http://schemas.microsoft.com/office/spreadsheetml/2017/richdata2" ref="A4:V349">
      <sortCondition ref="A4:A349"/>
    </sortState>
  </autoFilter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527E-F186-420D-8EEE-41C817B65962}">
  <dimension ref="A1:X380"/>
  <sheetViews>
    <sheetView showGridLines="0" tabSelected="1" zoomScale="76" zoomScaleNormal="76" workbookViewId="0">
      <pane xSplit="3" ySplit="4" topLeftCell="H343" activePane="bottomRight" state="frozen"/>
      <selection pane="topRight" activeCell="D1" sqref="D1"/>
      <selection pane="bottomLeft" activeCell="A5" sqref="A5"/>
      <selection pane="bottomRight" activeCell="A301" sqref="A301:XFD374"/>
    </sheetView>
  </sheetViews>
  <sheetFormatPr baseColWidth="10" defaultColWidth="50.33203125" defaultRowHeight="14.4" outlineLevelRow="2" x14ac:dyDescent="0.3"/>
  <cols>
    <col min="1" max="1" width="53" bestFit="1" customWidth="1"/>
    <col min="2" max="2" width="23.6640625" customWidth="1"/>
    <col min="3" max="3" width="61.6640625" customWidth="1"/>
    <col min="4" max="4" width="13.109375" bestFit="1" customWidth="1"/>
    <col min="5" max="5" width="22.44140625" customWidth="1"/>
    <col min="6" max="6" width="13.6640625" customWidth="1"/>
    <col min="7" max="7" width="15.44140625" customWidth="1"/>
    <col min="8" max="8" width="39.109375" customWidth="1"/>
    <col min="9" max="9" width="13.5546875" customWidth="1"/>
    <col min="10" max="10" width="16" customWidth="1"/>
    <col min="11" max="11" width="14.109375" customWidth="1"/>
    <col min="12" max="13" width="11.21875" customWidth="1"/>
    <col min="14" max="14" width="15.44140625" customWidth="1"/>
    <col min="15" max="15" width="14.109375" bestFit="1" customWidth="1"/>
    <col min="16" max="16" width="12" customWidth="1"/>
    <col min="17" max="17" width="19" bestFit="1" customWidth="1"/>
    <col min="18" max="18" width="12.21875" customWidth="1"/>
    <col min="19" max="19" width="12.6640625" customWidth="1"/>
    <col min="20" max="20" width="9.6640625" style="157" customWidth="1"/>
    <col min="21" max="21" width="6.88671875" customWidth="1"/>
    <col min="22" max="22" width="50.33203125" customWidth="1"/>
    <col min="23" max="23" width="11.5546875" customWidth="1"/>
    <col min="24" max="24" width="7.88671875" customWidth="1"/>
  </cols>
  <sheetData>
    <row r="1" spans="1:24" x14ac:dyDescent="0.3">
      <c r="A1" s="1"/>
      <c r="B1" s="1"/>
      <c r="C1" s="1"/>
      <c r="D1" s="2"/>
      <c r="E1" s="3"/>
      <c r="F1" s="3"/>
      <c r="G1" s="3"/>
      <c r="H1" s="3"/>
      <c r="I1" s="4"/>
      <c r="J1" s="4"/>
      <c r="K1" s="5"/>
      <c r="L1" s="6"/>
      <c r="M1" s="5"/>
      <c r="N1" s="7"/>
      <c r="O1" s="7"/>
      <c r="P1" s="8"/>
      <c r="Q1" s="9"/>
      <c r="R1" s="10"/>
      <c r="S1" s="11"/>
    </row>
    <row r="2" spans="1:24" ht="15" thickBot="1" x14ac:dyDescent="0.35">
      <c r="A2" s="12" t="s">
        <v>1000</v>
      </c>
      <c r="B2" s="1"/>
      <c r="C2" s="13"/>
      <c r="D2" s="14"/>
      <c r="E2" s="15"/>
      <c r="F2" s="15"/>
      <c r="G2" s="15"/>
      <c r="H2" s="15"/>
      <c r="I2" s="16"/>
      <c r="J2" s="16"/>
      <c r="K2" s="13"/>
      <c r="L2" s="13"/>
      <c r="M2" s="13"/>
      <c r="N2" s="13"/>
      <c r="O2" s="13"/>
      <c r="P2" s="17"/>
      <c r="Q2" s="14"/>
      <c r="R2" s="13"/>
      <c r="S2" s="18"/>
    </row>
    <row r="3" spans="1:24" x14ac:dyDescent="0.3">
      <c r="A3" s="13"/>
      <c r="B3" s="13"/>
      <c r="C3" s="13"/>
      <c r="D3" s="14"/>
      <c r="E3" s="19" t="s">
        <v>0</v>
      </c>
      <c r="F3" s="20"/>
      <c r="G3" s="21"/>
      <c r="H3" s="19" t="s">
        <v>1</v>
      </c>
      <c r="I3" s="22"/>
      <c r="J3" s="23"/>
      <c r="K3" s="24"/>
      <c r="L3" s="24"/>
      <c r="M3" s="24"/>
      <c r="N3" s="25"/>
      <c r="O3" s="26"/>
      <c r="P3" s="27"/>
      <c r="Q3" s="28"/>
      <c r="R3" s="29"/>
      <c r="S3" s="30"/>
    </row>
    <row r="4" spans="1:24" ht="15" thickBot="1" x14ac:dyDescent="0.35">
      <c r="A4" s="31" t="s">
        <v>2</v>
      </c>
      <c r="B4" s="32" t="s">
        <v>3</v>
      </c>
      <c r="C4" s="31" t="s">
        <v>4</v>
      </c>
      <c r="D4" s="33" t="s">
        <v>5</v>
      </c>
      <c r="E4" s="34" t="s">
        <v>6</v>
      </c>
      <c r="F4" s="34" t="s">
        <v>7</v>
      </c>
      <c r="G4" s="34" t="s">
        <v>1010</v>
      </c>
      <c r="H4" s="34" t="s">
        <v>8</v>
      </c>
      <c r="I4" s="35" t="s">
        <v>9</v>
      </c>
      <c r="J4" s="35" t="s">
        <v>10</v>
      </c>
      <c r="K4" s="36" t="s">
        <v>11</v>
      </c>
      <c r="L4" s="36" t="s">
        <v>12</v>
      </c>
      <c r="M4" s="36" t="s">
        <v>13</v>
      </c>
      <c r="N4" s="36" t="s">
        <v>14</v>
      </c>
      <c r="O4" s="36" t="s">
        <v>15</v>
      </c>
      <c r="P4" s="37" t="s">
        <v>16</v>
      </c>
      <c r="Q4" s="33" t="s">
        <v>17</v>
      </c>
      <c r="R4" s="38" t="s">
        <v>18</v>
      </c>
      <c r="S4" s="39" t="s">
        <v>19</v>
      </c>
      <c r="T4" s="158" t="s">
        <v>1143</v>
      </c>
      <c r="U4" s="93" t="s">
        <v>1144</v>
      </c>
      <c r="W4" s="158" t="s">
        <v>1169</v>
      </c>
      <c r="X4" s="93" t="s">
        <v>1144</v>
      </c>
    </row>
    <row r="5" spans="1:24" hidden="1" outlineLevel="2" x14ac:dyDescent="0.3">
      <c r="A5" s="40" t="str">
        <f>VLOOKUP(B5,Grupos!$A$2:$B$619,2,FALSE)</f>
        <v>ACCESORIOS</v>
      </c>
      <c r="B5" s="41">
        <v>997</v>
      </c>
      <c r="C5" s="41" t="s">
        <v>1047</v>
      </c>
      <c r="D5" s="42">
        <v>-3</v>
      </c>
      <c r="E5" s="43">
        <v>0</v>
      </c>
      <c r="F5" s="43">
        <v>0</v>
      </c>
      <c r="G5" s="126">
        <f>E5+F5</f>
        <v>0</v>
      </c>
      <c r="H5" s="127">
        <f>E5*D5</f>
        <v>0</v>
      </c>
      <c r="I5" s="128">
        <f>F5*D5</f>
        <v>0</v>
      </c>
      <c r="J5" s="128">
        <f>G5*D5</f>
        <v>0</v>
      </c>
      <c r="K5" s="44">
        <f>J5/$J$303</f>
        <v>0</v>
      </c>
      <c r="L5" s="45">
        <f>$K$373*K5/D5</f>
        <v>0</v>
      </c>
      <c r="M5" s="45">
        <f>F5*$M$372</f>
        <v>0</v>
      </c>
      <c r="N5" s="45">
        <f>G5+L5+M5</f>
        <v>0</v>
      </c>
      <c r="O5" s="46">
        <f>N5*D5</f>
        <v>0</v>
      </c>
      <c r="P5" s="47">
        <f t="shared" ref="P5:P42" si="0">Q5/D5</f>
        <v>4288368.333333333</v>
      </c>
      <c r="Q5" s="42">
        <v>-12865105</v>
      </c>
      <c r="R5" s="48">
        <f t="shared" ref="R5:R68" si="1">O5/Q5</f>
        <v>0</v>
      </c>
      <c r="S5" s="49"/>
      <c r="U5" s="112"/>
      <c r="W5" s="157">
        <f>IFERROR(VLOOKUP(B5,[1]Todos!$A$2:$B$3021,2,FALSE),0)</f>
        <v>0</v>
      </c>
      <c r="X5" s="112">
        <f>W5-E5</f>
        <v>0</v>
      </c>
    </row>
    <row r="6" spans="1:24" hidden="1" outlineLevel="2" x14ac:dyDescent="0.3">
      <c r="A6" s="40" t="str">
        <f>VLOOKUP(B6,Grupos!$A$2:$B$619,2,FALSE)</f>
        <v>ACCESORIOS</v>
      </c>
      <c r="B6" s="41" t="s">
        <v>603</v>
      </c>
      <c r="C6" s="41" t="s">
        <v>1051</v>
      </c>
      <c r="D6" s="42">
        <v>1</v>
      </c>
      <c r="E6" s="43">
        <v>1902.46</v>
      </c>
      <c r="F6" s="43">
        <v>121.38</v>
      </c>
      <c r="G6" s="126">
        <f t="shared" ref="G6:G72" si="2">E6+F6</f>
        <v>2023.8400000000001</v>
      </c>
      <c r="H6" s="127">
        <f t="shared" ref="H6:H72" si="3">E6*D6</f>
        <v>1902.46</v>
      </c>
      <c r="I6" s="128">
        <f t="shared" ref="I6:I72" si="4">F6*D6</f>
        <v>121.38</v>
      </c>
      <c r="J6" s="128">
        <f t="shared" ref="J6:J72" si="5">G6*D6</f>
        <v>2023.8400000000001</v>
      </c>
      <c r="K6" s="44">
        <f t="shared" ref="K6:K72" si="6">J6/$J$303</f>
        <v>1.2912582637263074E-6</v>
      </c>
      <c r="L6" s="45">
        <f t="shared" ref="L6:L72" si="7">$K$373*K6/D6</f>
        <v>577.59790200201371</v>
      </c>
      <c r="M6" s="45">
        <f t="shared" ref="M6:M72" si="8">F6*$M$372</f>
        <v>796.54573418697657</v>
      </c>
      <c r="N6" s="45">
        <f t="shared" ref="N6:N72" si="9">G6+L6+M6</f>
        <v>3397.9836361889902</v>
      </c>
      <c r="O6" s="46">
        <f t="shared" ref="O6:O72" si="10">N6*D6</f>
        <v>3397.9836361889902</v>
      </c>
      <c r="P6" s="47">
        <f t="shared" si="0"/>
        <v>10374</v>
      </c>
      <c r="Q6" s="42">
        <v>10374</v>
      </c>
      <c r="R6" s="48">
        <f t="shared" si="1"/>
        <v>0.32754806595228364</v>
      </c>
      <c r="S6" s="49"/>
      <c r="T6" s="157">
        <f>IFERROR(VLOOKUP(B6,[1]Todos!$A$2:$C$3021,3,FALSE),0)</f>
        <v>0</v>
      </c>
      <c r="U6" s="112">
        <f>T6-F6</f>
        <v>-121.38</v>
      </c>
      <c r="W6" s="157">
        <f>IFERROR(VLOOKUP(B6,[1]Todos!$A$2:$B$3021,2,FALSE),0)</f>
        <v>0</v>
      </c>
      <c r="X6" s="112">
        <f t="shared" ref="X6:X69" si="11">W6-E6</f>
        <v>-1902.46</v>
      </c>
    </row>
    <row r="7" spans="1:24" hidden="1" outlineLevel="2" x14ac:dyDescent="0.3">
      <c r="A7" s="40" t="str">
        <f>VLOOKUP(B7,Grupos!$A$2:$B$619,2,FALSE)</f>
        <v>ACCESORIOS</v>
      </c>
      <c r="B7" s="41" t="s">
        <v>659</v>
      </c>
      <c r="C7" s="41" t="s">
        <v>660</v>
      </c>
      <c r="D7" s="42">
        <v>1</v>
      </c>
      <c r="E7" s="43">
        <v>2116.58</v>
      </c>
      <c r="F7" s="43">
        <v>79.180000000000007</v>
      </c>
      <c r="G7" s="126">
        <f t="shared" si="2"/>
        <v>2195.7599999999998</v>
      </c>
      <c r="H7" s="127">
        <f t="shared" si="3"/>
        <v>2116.58</v>
      </c>
      <c r="I7" s="128">
        <f t="shared" si="4"/>
        <v>79.180000000000007</v>
      </c>
      <c r="J7" s="128">
        <f t="shared" si="5"/>
        <v>2195.7599999999998</v>
      </c>
      <c r="K7" s="44">
        <f t="shared" si="6"/>
        <v>1.4009473304014527E-6</v>
      </c>
      <c r="L7" s="45">
        <f t="shared" si="7"/>
        <v>626.66335742941214</v>
      </c>
      <c r="M7" s="45">
        <f t="shared" si="8"/>
        <v>519.61189020369761</v>
      </c>
      <c r="N7" s="45">
        <f t="shared" si="9"/>
        <v>3342.03524763311</v>
      </c>
      <c r="O7" s="46">
        <f t="shared" si="10"/>
        <v>3342.03524763311</v>
      </c>
      <c r="P7" s="47">
        <f t="shared" si="0"/>
        <v>26700</v>
      </c>
      <c r="Q7" s="42">
        <v>26700</v>
      </c>
      <c r="R7" s="152">
        <f t="shared" si="1"/>
        <v>0.12516985946191422</v>
      </c>
      <c r="S7" s="49"/>
      <c r="T7" s="157">
        <f>IFERROR(VLOOKUP(B7,[1]Todos!$A$2:$C$3021,3,FALSE),0)</f>
        <v>0</v>
      </c>
      <c r="U7" s="112">
        <f t="shared" ref="U7:U70" si="12">T7-F7</f>
        <v>-79.180000000000007</v>
      </c>
      <c r="W7" s="157">
        <f>IFERROR(VLOOKUP(B7,[1]Todos!$A$2:$B$3021,2,FALSE),0)</f>
        <v>0</v>
      </c>
      <c r="X7" s="112">
        <f t="shared" si="11"/>
        <v>-2116.58</v>
      </c>
    </row>
    <row r="8" spans="1:24" hidden="1" outlineLevel="2" x14ac:dyDescent="0.3">
      <c r="A8" s="40" t="str">
        <f>VLOOKUP(B8,Grupos!$A$2:$B$619,2,FALSE)</f>
        <v>ACCESORIOS</v>
      </c>
      <c r="B8" s="41" t="s">
        <v>604</v>
      </c>
      <c r="C8" s="41" t="s">
        <v>1052</v>
      </c>
      <c r="D8" s="42">
        <v>1</v>
      </c>
      <c r="E8" s="43">
        <v>2926.65</v>
      </c>
      <c r="F8" s="43">
        <v>152.80000000000001</v>
      </c>
      <c r="G8" s="126">
        <f t="shared" si="2"/>
        <v>3079.4500000000003</v>
      </c>
      <c r="H8" s="127">
        <f t="shared" si="3"/>
        <v>2926.65</v>
      </c>
      <c r="I8" s="128">
        <f t="shared" si="4"/>
        <v>152.80000000000001</v>
      </c>
      <c r="J8" s="128">
        <f t="shared" si="5"/>
        <v>3079.4500000000003</v>
      </c>
      <c r="K8" s="44">
        <f t="shared" si="6"/>
        <v>1.9647626592181088E-6</v>
      </c>
      <c r="L8" s="45">
        <f t="shared" si="7"/>
        <v>878.86584874303367</v>
      </c>
      <c r="M8" s="45">
        <f t="shared" si="8"/>
        <v>1002.7367621005934</v>
      </c>
      <c r="N8" s="45">
        <f t="shared" si="9"/>
        <v>4961.052610843627</v>
      </c>
      <c r="O8" s="46">
        <f t="shared" si="10"/>
        <v>4961.052610843627</v>
      </c>
      <c r="P8" s="47">
        <f t="shared" si="0"/>
        <v>20580</v>
      </c>
      <c r="Q8" s="42">
        <v>20580</v>
      </c>
      <c r="R8" s="152">
        <f t="shared" si="1"/>
        <v>0.24106183726159508</v>
      </c>
      <c r="S8" s="49"/>
      <c r="T8" s="157">
        <f>IFERROR(VLOOKUP(B8,[1]Todos!$A$2:$C$3021,3,FALSE),0)</f>
        <v>0</v>
      </c>
      <c r="U8" s="112">
        <f t="shared" si="12"/>
        <v>-152.80000000000001</v>
      </c>
      <c r="W8" s="157">
        <f>IFERROR(VLOOKUP(B8,[1]Todos!$A$2:$B$3021,2,FALSE),0)</f>
        <v>0</v>
      </c>
      <c r="X8" s="112">
        <f t="shared" si="11"/>
        <v>-2926.65</v>
      </c>
    </row>
    <row r="9" spans="1:24" hidden="1" outlineLevel="2" x14ac:dyDescent="0.3">
      <c r="A9" s="40" t="str">
        <f>VLOOKUP(B9,Grupos!$A$2:$B$619,2,FALSE)</f>
        <v>ACCESORIOS</v>
      </c>
      <c r="B9" s="41" t="s">
        <v>662</v>
      </c>
      <c r="C9" s="41" t="s">
        <v>1053</v>
      </c>
      <c r="D9" s="42">
        <v>1</v>
      </c>
      <c r="E9" s="43">
        <v>1927.16</v>
      </c>
      <c r="F9" s="43">
        <v>63.69</v>
      </c>
      <c r="G9" s="126">
        <f t="shared" si="2"/>
        <v>1990.8500000000001</v>
      </c>
      <c r="H9" s="127">
        <f t="shared" si="3"/>
        <v>1927.16</v>
      </c>
      <c r="I9" s="128">
        <f t="shared" si="4"/>
        <v>63.69</v>
      </c>
      <c r="J9" s="128">
        <f t="shared" si="5"/>
        <v>1990.8500000000001</v>
      </c>
      <c r="K9" s="44">
        <f t="shared" si="6"/>
        <v>1.2702098556899354E-6</v>
      </c>
      <c r="L9" s="45">
        <f t="shared" si="7"/>
        <v>568.18265436037882</v>
      </c>
      <c r="M9" s="45">
        <f t="shared" si="8"/>
        <v>417.96010718708629</v>
      </c>
      <c r="N9" s="45">
        <f t="shared" si="9"/>
        <v>2976.9927615474649</v>
      </c>
      <c r="O9" s="46">
        <f t="shared" si="10"/>
        <v>2976.9927615474649</v>
      </c>
      <c r="P9" s="47">
        <f t="shared" si="0"/>
        <v>17218.5</v>
      </c>
      <c r="Q9" s="42">
        <v>17218.5</v>
      </c>
      <c r="R9" s="48">
        <f t="shared" si="1"/>
        <v>0.17289501185047854</v>
      </c>
      <c r="S9" s="49"/>
      <c r="T9" s="157">
        <f>IFERROR(VLOOKUP(B9,[1]Todos!$A$2:$C$3021,3,FALSE),0)</f>
        <v>67</v>
      </c>
      <c r="U9" s="112">
        <f t="shared" si="12"/>
        <v>3.3100000000000023</v>
      </c>
      <c r="W9" s="157">
        <f>IFERROR(VLOOKUP(B9,[1]Todos!$A$2:$B$3021,2,FALSE),0)</f>
        <v>1927.16</v>
      </c>
      <c r="X9" s="112">
        <f t="shared" si="11"/>
        <v>0</v>
      </c>
    </row>
    <row r="10" spans="1:24" hidden="1" outlineLevel="2" x14ac:dyDescent="0.3">
      <c r="A10" s="40" t="str">
        <f>VLOOKUP(B10,Grupos!$A$2:$B$619,2,FALSE)</f>
        <v>ACCESORIOS</v>
      </c>
      <c r="B10" s="41" t="s">
        <v>21</v>
      </c>
      <c r="C10" s="41" t="s">
        <v>1058</v>
      </c>
      <c r="D10" s="42">
        <v>15</v>
      </c>
      <c r="E10" s="43">
        <v>68.150000000000006</v>
      </c>
      <c r="F10" s="43">
        <v>12.36</v>
      </c>
      <c r="G10" s="126">
        <f t="shared" si="2"/>
        <v>80.510000000000005</v>
      </c>
      <c r="H10" s="127">
        <f t="shared" si="3"/>
        <v>1022.2500000000001</v>
      </c>
      <c r="I10" s="128">
        <f t="shared" si="4"/>
        <v>185.39999999999998</v>
      </c>
      <c r="J10" s="128">
        <f t="shared" si="5"/>
        <v>1207.6500000000001</v>
      </c>
      <c r="K10" s="44">
        <f t="shared" si="6"/>
        <v>7.7050954729083086E-7</v>
      </c>
      <c r="L10" s="45">
        <f t="shared" si="7"/>
        <v>22.977313962656201</v>
      </c>
      <c r="M10" s="45">
        <f t="shared" si="8"/>
        <v>81.111429185623905</v>
      </c>
      <c r="N10" s="45">
        <f t="shared" si="9"/>
        <v>184.59874314828011</v>
      </c>
      <c r="O10" s="46">
        <f t="shared" si="10"/>
        <v>2768.9811472242018</v>
      </c>
      <c r="P10" s="47">
        <f t="shared" si="0"/>
        <v>2887.5</v>
      </c>
      <c r="Q10" s="42">
        <v>43312.5</v>
      </c>
      <c r="R10" s="48">
        <f t="shared" si="1"/>
        <v>6.3930300657413022E-2</v>
      </c>
      <c r="S10" s="49"/>
      <c r="T10" s="157">
        <f>IFERROR(VLOOKUP(B10,[1]Todos!$A$2:$C$3021,3,FALSE),0)</f>
        <v>12.51</v>
      </c>
      <c r="U10" s="112">
        <f t="shared" si="12"/>
        <v>0.15000000000000036</v>
      </c>
      <c r="W10" s="157">
        <f>IFERROR(VLOOKUP(B10,[1]Todos!$A$2:$B$3021,2,FALSE),0)</f>
        <v>68.150000000000006</v>
      </c>
      <c r="X10" s="112">
        <f t="shared" si="11"/>
        <v>0</v>
      </c>
    </row>
    <row r="11" spans="1:24" hidden="1" outlineLevel="2" x14ac:dyDescent="0.3">
      <c r="A11" s="40" t="str">
        <f>VLOOKUP(B11,Grupos!$A$2:$B$619,2,FALSE)</f>
        <v>ACCESORIOS</v>
      </c>
      <c r="B11" s="41" t="s">
        <v>23</v>
      </c>
      <c r="C11" s="41" t="s">
        <v>24</v>
      </c>
      <c r="D11" s="42">
        <v>8400</v>
      </c>
      <c r="E11" s="43">
        <v>55.77</v>
      </c>
      <c r="F11" s="43">
        <v>28.94</v>
      </c>
      <c r="G11" s="126">
        <f t="shared" si="2"/>
        <v>84.710000000000008</v>
      </c>
      <c r="H11" s="127">
        <f t="shared" si="3"/>
        <v>468468</v>
      </c>
      <c r="I11" s="128">
        <f t="shared" si="4"/>
        <v>243096</v>
      </c>
      <c r="J11" s="128">
        <f t="shared" si="5"/>
        <v>711564.00000000012</v>
      </c>
      <c r="K11" s="44">
        <f t="shared" si="6"/>
        <v>4.5399482922076165E-4</v>
      </c>
      <c r="L11" s="45">
        <f t="shared" si="7"/>
        <v>24.175981440524247</v>
      </c>
      <c r="M11" s="45">
        <f t="shared" si="8"/>
        <v>189.91624276957575</v>
      </c>
      <c r="N11" s="45">
        <f t="shared" si="9"/>
        <v>298.80222421010001</v>
      </c>
      <c r="O11" s="46">
        <f t="shared" si="10"/>
        <v>2509938.6833648402</v>
      </c>
      <c r="P11" s="47">
        <f t="shared" si="0"/>
        <v>125.4857130952381</v>
      </c>
      <c r="Q11" s="42">
        <v>1054079.99</v>
      </c>
      <c r="R11" s="162">
        <f t="shared" si="1"/>
        <v>2.3811652883808563</v>
      </c>
      <c r="S11" s="49"/>
      <c r="T11" s="157">
        <f>IFERROR(VLOOKUP(B11,[1]Todos!$A$2:$C$3021,3,FALSE),0)</f>
        <v>29.35</v>
      </c>
      <c r="U11" s="112">
        <f t="shared" si="12"/>
        <v>0.41000000000000014</v>
      </c>
      <c r="W11" s="157">
        <f>IFERROR(VLOOKUP(B11,[1]Todos!$A$2:$B$3021,2,FALSE),0)</f>
        <v>55.77</v>
      </c>
      <c r="X11" s="112">
        <f t="shared" si="11"/>
        <v>0</v>
      </c>
    </row>
    <row r="12" spans="1:24" hidden="1" outlineLevel="2" x14ac:dyDescent="0.3">
      <c r="A12" s="40" t="str">
        <f>VLOOKUP(B12,Grupos!$A$2:$B$619,2,FALSE)</f>
        <v>ACCESORIOS</v>
      </c>
      <c r="B12" s="41" t="s">
        <v>25</v>
      </c>
      <c r="C12" s="41" t="s">
        <v>26</v>
      </c>
      <c r="D12" s="42">
        <v>8400</v>
      </c>
      <c r="E12" s="43">
        <v>40.380000000000003</v>
      </c>
      <c r="F12" s="43">
        <v>44.51</v>
      </c>
      <c r="G12" s="126">
        <f t="shared" si="2"/>
        <v>84.89</v>
      </c>
      <c r="H12" s="127">
        <f t="shared" si="3"/>
        <v>339192</v>
      </c>
      <c r="I12" s="128">
        <f t="shared" si="4"/>
        <v>373884</v>
      </c>
      <c r="J12" s="128">
        <f t="shared" si="5"/>
        <v>713076</v>
      </c>
      <c r="K12" s="44">
        <f t="shared" si="6"/>
        <v>4.5495952133809997E-4</v>
      </c>
      <c r="L12" s="45">
        <f t="shared" si="7"/>
        <v>24.227352903861444</v>
      </c>
      <c r="M12" s="45">
        <f t="shared" si="8"/>
        <v>292.09301885534956</v>
      </c>
      <c r="N12" s="45">
        <f t="shared" si="9"/>
        <v>401.210371759211</v>
      </c>
      <c r="O12" s="46">
        <f t="shared" si="10"/>
        <v>3370167.1227773726</v>
      </c>
      <c r="P12" s="47">
        <f t="shared" si="0"/>
        <v>106.78571785714286</v>
      </c>
      <c r="Q12" s="42">
        <v>897000.03</v>
      </c>
      <c r="R12" s="162">
        <f t="shared" si="1"/>
        <v>3.7571538573720811</v>
      </c>
      <c r="S12" s="49"/>
      <c r="T12" s="157">
        <f>IFERROR(VLOOKUP(B12,[1]Todos!$A$2:$C$3021,3,FALSE),0)</f>
        <v>44.51</v>
      </c>
      <c r="U12" s="112">
        <f t="shared" si="12"/>
        <v>0</v>
      </c>
      <c r="W12" s="157">
        <f>IFERROR(VLOOKUP(B12,[1]Todos!$A$2:$B$3021,2,FALSE),0)</f>
        <v>40.380000000000003</v>
      </c>
      <c r="X12" s="112">
        <f t="shared" si="11"/>
        <v>0</v>
      </c>
    </row>
    <row r="13" spans="1:24" hidden="1" outlineLevel="2" x14ac:dyDescent="0.3">
      <c r="A13" s="40" t="str">
        <f>VLOOKUP(B13,Grupos!$A$2:$B$619,2,FALSE)</f>
        <v>ACCESORIOS</v>
      </c>
      <c r="B13" s="41" t="s">
        <v>708</v>
      </c>
      <c r="C13" s="41" t="s">
        <v>709</v>
      </c>
      <c r="D13" s="42">
        <v>1</v>
      </c>
      <c r="E13" s="43">
        <v>3042.06</v>
      </c>
      <c r="F13" s="43">
        <v>0</v>
      </c>
      <c r="G13" s="126">
        <f t="shared" si="2"/>
        <v>3042.06</v>
      </c>
      <c r="H13" s="127">
        <f t="shared" si="3"/>
        <v>3042.06</v>
      </c>
      <c r="I13" s="128">
        <f t="shared" si="4"/>
        <v>0</v>
      </c>
      <c r="J13" s="128">
        <f t="shared" si="5"/>
        <v>3042.06</v>
      </c>
      <c r="K13" s="44">
        <f t="shared" si="6"/>
        <v>1.9409069460783708E-6</v>
      </c>
      <c r="L13" s="45">
        <f t="shared" si="7"/>
        <v>868.19485421982256</v>
      </c>
      <c r="M13" s="45">
        <f t="shared" si="8"/>
        <v>0</v>
      </c>
      <c r="N13" s="45">
        <f t="shared" si="9"/>
        <v>3910.2548542198224</v>
      </c>
      <c r="O13" s="46">
        <f t="shared" si="10"/>
        <v>3910.2548542198224</v>
      </c>
      <c r="P13" s="47">
        <f t="shared" si="0"/>
        <v>32812.5</v>
      </c>
      <c r="Q13" s="42">
        <v>32812.5</v>
      </c>
      <c r="R13" s="48">
        <f t="shared" si="1"/>
        <v>0.11916967174765172</v>
      </c>
      <c r="S13" s="49"/>
      <c r="T13" s="157">
        <f>IFERROR(VLOOKUP(B13,[1]Todos!$A$2:$C$3021,3,FALSE),0)</f>
        <v>0</v>
      </c>
      <c r="U13" s="112">
        <f t="shared" si="12"/>
        <v>0</v>
      </c>
      <c r="W13" s="157">
        <f>IFERROR(VLOOKUP(B13,[1]Todos!$A$2:$B$3021,2,FALSE),0)</f>
        <v>3042.06</v>
      </c>
      <c r="X13" s="112">
        <f t="shared" si="11"/>
        <v>0</v>
      </c>
    </row>
    <row r="14" spans="1:24" hidden="1" outlineLevel="2" x14ac:dyDescent="0.3">
      <c r="A14" s="40" t="str">
        <f>VLOOKUP(B14,Grupos!$A$2:$B$619,2,FALSE)</f>
        <v>ACCESORIOS</v>
      </c>
      <c r="B14" s="41" t="s">
        <v>1110</v>
      </c>
      <c r="C14" s="41" t="s">
        <v>1111</v>
      </c>
      <c r="D14" s="42">
        <v>412</v>
      </c>
      <c r="E14" s="43">
        <v>4402</v>
      </c>
      <c r="F14" s="43">
        <v>0</v>
      </c>
      <c r="G14" s="126">
        <f t="shared" si="2"/>
        <v>4402</v>
      </c>
      <c r="H14" s="127">
        <f t="shared" si="3"/>
        <v>1813624</v>
      </c>
      <c r="I14" s="128">
        <f t="shared" si="4"/>
        <v>0</v>
      </c>
      <c r="J14" s="128">
        <f t="shared" si="5"/>
        <v>1813624</v>
      </c>
      <c r="K14" s="44">
        <f t="shared" si="6"/>
        <v>1.1571354342696854E-3</v>
      </c>
      <c r="L14" s="45">
        <f t="shared" si="7"/>
        <v>1256.3176756131238</v>
      </c>
      <c r="M14" s="45">
        <f t="shared" si="8"/>
        <v>0</v>
      </c>
      <c r="N14" s="45">
        <f t="shared" si="9"/>
        <v>5658.3176756131234</v>
      </c>
      <c r="O14" s="46">
        <f t="shared" si="10"/>
        <v>2331226.8823526069</v>
      </c>
      <c r="P14" s="47">
        <f t="shared" si="0"/>
        <v>30000</v>
      </c>
      <c r="Q14" s="42">
        <v>12360000</v>
      </c>
      <c r="R14" s="48">
        <f t="shared" si="1"/>
        <v>0.18861058918710411</v>
      </c>
      <c r="S14" s="49"/>
      <c r="T14" s="157">
        <f>IFERROR(VLOOKUP(B14,[1]Todos!$A$2:$C$3021,3,FALSE),0)</f>
        <v>0</v>
      </c>
      <c r="U14" s="112">
        <f t="shared" si="12"/>
        <v>0</v>
      </c>
      <c r="W14" s="157">
        <f>IFERROR(VLOOKUP(B14,[1]Todos!$A$2:$B$3021,2,FALSE),0)</f>
        <v>4402</v>
      </c>
      <c r="X14" s="112">
        <f t="shared" si="11"/>
        <v>0</v>
      </c>
    </row>
    <row r="15" spans="1:24" hidden="1" outlineLevel="2" x14ac:dyDescent="0.3">
      <c r="A15" s="40" t="str">
        <f>VLOOKUP(B15,Grupos!$A$2:$B$619,2,FALSE)</f>
        <v>ACCESORIOS</v>
      </c>
      <c r="B15" s="41" t="s">
        <v>611</v>
      </c>
      <c r="C15" s="41" t="s">
        <v>1112</v>
      </c>
      <c r="D15" s="42">
        <v>1</v>
      </c>
      <c r="E15" s="43">
        <v>13631.16</v>
      </c>
      <c r="F15" s="43">
        <v>0</v>
      </c>
      <c r="G15" s="126">
        <f t="shared" si="2"/>
        <v>13631.16</v>
      </c>
      <c r="H15" s="127">
        <f t="shared" si="3"/>
        <v>13631.16</v>
      </c>
      <c r="I15" s="128">
        <f t="shared" si="4"/>
        <v>0</v>
      </c>
      <c r="J15" s="128">
        <f t="shared" si="5"/>
        <v>13631.16</v>
      </c>
      <c r="K15" s="44">
        <f t="shared" si="6"/>
        <v>8.6970056892716279E-6</v>
      </c>
      <c r="L15" s="45">
        <f t="shared" si="7"/>
        <v>3890.2924232418422</v>
      </c>
      <c r="M15" s="45">
        <f t="shared" si="8"/>
        <v>0</v>
      </c>
      <c r="N15" s="45">
        <f t="shared" si="9"/>
        <v>17521.452423241841</v>
      </c>
      <c r="O15" s="46">
        <f t="shared" si="10"/>
        <v>17521.452423241841</v>
      </c>
      <c r="P15" s="47">
        <f t="shared" si="0"/>
        <v>39280</v>
      </c>
      <c r="Q15" s="42">
        <v>39280</v>
      </c>
      <c r="R15" s="48">
        <f t="shared" si="1"/>
        <v>0.44606548939006724</v>
      </c>
      <c r="S15" s="49"/>
      <c r="T15" s="157">
        <f>IFERROR(VLOOKUP(B15,[1]Todos!$A$2:$C$3021,3,FALSE),0)</f>
        <v>0</v>
      </c>
      <c r="U15" s="112">
        <f t="shared" si="12"/>
        <v>0</v>
      </c>
      <c r="W15" s="157">
        <f>IFERROR(VLOOKUP(B15,[1]Todos!$A$2:$B$3021,2,FALSE),0)</f>
        <v>13631.16</v>
      </c>
      <c r="X15" s="112">
        <f t="shared" si="11"/>
        <v>0</v>
      </c>
    </row>
    <row r="16" spans="1:24" hidden="1" outlineLevel="2" x14ac:dyDescent="0.3">
      <c r="A16" s="40" t="str">
        <f>VLOOKUP(B16,Grupos!$A$2:$B$619,2,FALSE)</f>
        <v>ACCESORIOS</v>
      </c>
      <c r="B16" s="41" t="s">
        <v>34</v>
      </c>
      <c r="C16" s="41" t="s">
        <v>35</v>
      </c>
      <c r="D16" s="42">
        <v>49</v>
      </c>
      <c r="E16" s="43">
        <v>1229.3900000000001</v>
      </c>
      <c r="F16" s="43">
        <v>0</v>
      </c>
      <c r="G16" s="126">
        <f t="shared" si="2"/>
        <v>1229.3900000000001</v>
      </c>
      <c r="H16" s="127">
        <f t="shared" si="3"/>
        <v>60240.110000000008</v>
      </c>
      <c r="I16" s="128">
        <f t="shared" si="4"/>
        <v>0</v>
      </c>
      <c r="J16" s="128">
        <f t="shared" si="5"/>
        <v>60240.110000000008</v>
      </c>
      <c r="K16" s="44">
        <f t="shared" si="6"/>
        <v>3.8434629143253308E-5</v>
      </c>
      <c r="L16" s="45">
        <f t="shared" si="7"/>
        <v>350.86424062290291</v>
      </c>
      <c r="M16" s="45">
        <f t="shared" si="8"/>
        <v>0</v>
      </c>
      <c r="N16" s="45">
        <f t="shared" si="9"/>
        <v>1580.2542406229031</v>
      </c>
      <c r="O16" s="46">
        <f t="shared" si="10"/>
        <v>77432.457790522254</v>
      </c>
      <c r="P16" s="47">
        <f t="shared" si="0"/>
        <v>6159.999591836734</v>
      </c>
      <c r="Q16" s="42">
        <v>301839.98</v>
      </c>
      <c r="R16" s="48">
        <f t="shared" si="1"/>
        <v>0.25653479631996484</v>
      </c>
      <c r="S16" s="49"/>
      <c r="T16" s="157">
        <f>IFERROR(VLOOKUP(B16,[1]Todos!$A$2:$C$3021,3,FALSE),0)</f>
        <v>0</v>
      </c>
      <c r="U16" s="112">
        <f t="shared" si="12"/>
        <v>0</v>
      </c>
      <c r="W16" s="157">
        <f>IFERROR(VLOOKUP(B16,[1]Todos!$A$2:$B$3021,2,FALSE),0)</f>
        <v>1229.3900000000001</v>
      </c>
      <c r="X16" s="112">
        <f t="shared" si="11"/>
        <v>0</v>
      </c>
    </row>
    <row r="17" spans="1:24" hidden="1" outlineLevel="2" x14ac:dyDescent="0.3">
      <c r="A17" s="40" t="str">
        <f>VLOOKUP(B17,Grupos!$A$2:$B$619,2,FALSE)</f>
        <v>ACCESORIOS</v>
      </c>
      <c r="B17" s="41" t="s">
        <v>36</v>
      </c>
      <c r="C17" s="41" t="s">
        <v>37</v>
      </c>
      <c r="D17" s="42">
        <v>13</v>
      </c>
      <c r="E17" s="43">
        <v>1583.66</v>
      </c>
      <c r="F17" s="43">
        <v>0</v>
      </c>
      <c r="G17" s="126">
        <f t="shared" si="2"/>
        <v>1583.66</v>
      </c>
      <c r="H17" s="127">
        <f t="shared" si="3"/>
        <v>20587.580000000002</v>
      </c>
      <c r="I17" s="128">
        <f t="shared" si="4"/>
        <v>0</v>
      </c>
      <c r="J17" s="128">
        <f t="shared" si="5"/>
        <v>20587.580000000002</v>
      </c>
      <c r="K17" s="44">
        <f t="shared" si="6"/>
        <v>1.3135367818170633E-5</v>
      </c>
      <c r="L17" s="45">
        <f t="shared" si="7"/>
        <v>451.97184238107218</v>
      </c>
      <c r="M17" s="45">
        <f t="shared" si="8"/>
        <v>0</v>
      </c>
      <c r="N17" s="45">
        <f t="shared" si="9"/>
        <v>2035.6318423810721</v>
      </c>
      <c r="O17" s="46">
        <f t="shared" si="10"/>
        <v>26463.213950953937</v>
      </c>
      <c r="P17" s="47">
        <f t="shared" si="0"/>
        <v>9240</v>
      </c>
      <c r="Q17" s="42">
        <v>120120</v>
      </c>
      <c r="R17" s="48">
        <f t="shared" si="1"/>
        <v>0.22030647644816798</v>
      </c>
      <c r="S17" s="49"/>
      <c r="T17" s="157">
        <f>IFERROR(VLOOKUP(B17,[1]Todos!$A$2:$C$3021,3,FALSE),0)</f>
        <v>0</v>
      </c>
      <c r="U17" s="112">
        <f t="shared" si="12"/>
        <v>0</v>
      </c>
      <c r="W17" s="157">
        <f>IFERROR(VLOOKUP(B17,[1]Todos!$A$2:$B$3021,2,FALSE),0)</f>
        <v>1583.66</v>
      </c>
      <c r="X17" s="112">
        <f t="shared" si="11"/>
        <v>0</v>
      </c>
    </row>
    <row r="18" spans="1:24" hidden="1" outlineLevel="2" x14ac:dyDescent="0.3">
      <c r="A18" s="40" t="str">
        <f>VLOOKUP(B18,Grupos!$A$2:$B$619,2,FALSE)</f>
        <v>ACCESORIOS</v>
      </c>
      <c r="B18" s="41" t="s">
        <v>731</v>
      </c>
      <c r="C18" s="41" t="s">
        <v>732</v>
      </c>
      <c r="D18" s="42">
        <v>45</v>
      </c>
      <c r="E18" s="43">
        <v>1185</v>
      </c>
      <c r="F18" s="43">
        <v>0</v>
      </c>
      <c r="G18" s="126">
        <f t="shared" si="2"/>
        <v>1185</v>
      </c>
      <c r="H18" s="127">
        <f t="shared" si="3"/>
        <v>53325</v>
      </c>
      <c r="I18" s="128">
        <f t="shared" si="4"/>
        <v>0</v>
      </c>
      <c r="J18" s="128">
        <f t="shared" si="5"/>
        <v>53325</v>
      </c>
      <c r="K18" s="44">
        <f t="shared" si="6"/>
        <v>3.402262378113158E-5</v>
      </c>
      <c r="L18" s="45">
        <f t="shared" si="7"/>
        <v>338.19546696991176</v>
      </c>
      <c r="M18" s="45">
        <f t="shared" si="8"/>
        <v>0</v>
      </c>
      <c r="N18" s="45">
        <f t="shared" si="9"/>
        <v>1523.1954669699116</v>
      </c>
      <c r="O18" s="46">
        <f t="shared" si="10"/>
        <v>68543.796013646031</v>
      </c>
      <c r="P18" s="47">
        <f t="shared" si="0"/>
        <v>8799.9995555555543</v>
      </c>
      <c r="Q18" s="42">
        <v>395999.98</v>
      </c>
      <c r="R18" s="48">
        <f t="shared" si="1"/>
        <v>0.17309040271579315</v>
      </c>
      <c r="S18" s="49"/>
      <c r="T18" s="157">
        <f>IFERROR(VLOOKUP(B18,[1]Todos!$A$2:$C$3021,3,FALSE),0)</f>
        <v>0</v>
      </c>
      <c r="U18" s="112">
        <f t="shared" si="12"/>
        <v>0</v>
      </c>
      <c r="W18" s="157">
        <f>IFERROR(VLOOKUP(B18,[1]Todos!$A$2:$B$3021,2,FALSE),0)</f>
        <v>1185</v>
      </c>
      <c r="X18" s="112">
        <f t="shared" si="11"/>
        <v>0</v>
      </c>
    </row>
    <row r="19" spans="1:24" hidden="1" outlineLevel="2" x14ac:dyDescent="0.3">
      <c r="A19" s="40" t="str">
        <f>VLOOKUP(B19,Grupos!$A$2:$B$619,2,FALSE)</f>
        <v>ACCESORIOS</v>
      </c>
      <c r="B19" s="41" t="s">
        <v>612</v>
      </c>
      <c r="C19" s="41" t="s">
        <v>1113</v>
      </c>
      <c r="D19" s="42">
        <v>2</v>
      </c>
      <c r="E19" s="43">
        <v>337.03</v>
      </c>
      <c r="F19" s="43">
        <v>23.18</v>
      </c>
      <c r="G19" s="126">
        <f t="shared" si="2"/>
        <v>360.21</v>
      </c>
      <c r="H19" s="127">
        <f t="shared" si="3"/>
        <v>674.06</v>
      </c>
      <c r="I19" s="128">
        <f t="shared" si="4"/>
        <v>46.36</v>
      </c>
      <c r="J19" s="128">
        <f t="shared" si="5"/>
        <v>720.42</v>
      </c>
      <c r="K19" s="44">
        <f t="shared" si="6"/>
        <v>4.5964516876517225E-7</v>
      </c>
      <c r="L19" s="45">
        <f t="shared" si="7"/>
        <v>102.80286004829698</v>
      </c>
      <c r="M19" s="45">
        <f t="shared" si="8"/>
        <v>152.11674178986749</v>
      </c>
      <c r="N19" s="45">
        <f t="shared" si="9"/>
        <v>615.12960183816449</v>
      </c>
      <c r="O19" s="46">
        <f t="shared" si="10"/>
        <v>1230.259203676329</v>
      </c>
      <c r="P19" s="47">
        <f t="shared" si="0"/>
        <v>2537</v>
      </c>
      <c r="Q19" s="42">
        <v>5074</v>
      </c>
      <c r="R19" s="48">
        <f t="shared" si="1"/>
        <v>0.24246338267172426</v>
      </c>
      <c r="S19" s="49"/>
      <c r="T19" s="157">
        <f>IFERROR(VLOOKUP(B19,[1]Todos!$A$2:$C$3021,3,FALSE),0)</f>
        <v>0</v>
      </c>
      <c r="U19" s="112">
        <f t="shared" si="12"/>
        <v>-23.18</v>
      </c>
      <c r="W19" s="157">
        <f>IFERROR(VLOOKUP(B19,[1]Todos!$A$2:$B$3021,2,FALSE),0)</f>
        <v>0</v>
      </c>
      <c r="X19" s="112">
        <f t="shared" si="11"/>
        <v>-337.03</v>
      </c>
    </row>
    <row r="20" spans="1:24" hidden="1" outlineLevel="2" x14ac:dyDescent="0.3">
      <c r="A20" s="40" t="str">
        <f>VLOOKUP(B20,Grupos!$A$2:$B$619,2,FALSE)</f>
        <v>ACCESORIOS</v>
      </c>
      <c r="B20" s="41" t="s">
        <v>41</v>
      </c>
      <c r="C20" s="41" t="s">
        <v>1079</v>
      </c>
      <c r="D20" s="42">
        <v>115</v>
      </c>
      <c r="E20" s="43">
        <v>47.32</v>
      </c>
      <c r="F20" s="43">
        <v>8.34</v>
      </c>
      <c r="G20" s="126">
        <f t="shared" si="2"/>
        <v>55.66</v>
      </c>
      <c r="H20" s="127">
        <f t="shared" si="3"/>
        <v>5441.8</v>
      </c>
      <c r="I20" s="128">
        <f t="shared" si="4"/>
        <v>959.1</v>
      </c>
      <c r="J20" s="128">
        <f t="shared" si="5"/>
        <v>6400.9</v>
      </c>
      <c r="K20" s="44">
        <f t="shared" si="6"/>
        <v>4.0839270991213334E-6</v>
      </c>
      <c r="L20" s="45">
        <f t="shared" si="7"/>
        <v>15.885198051936952</v>
      </c>
      <c r="M20" s="45">
        <f t="shared" si="8"/>
        <v>54.730527460202545</v>
      </c>
      <c r="N20" s="45">
        <f t="shared" si="9"/>
        <v>126.2757255121395</v>
      </c>
      <c r="O20" s="46">
        <f t="shared" si="10"/>
        <v>14521.708433896043</v>
      </c>
      <c r="P20" s="47">
        <f t="shared" si="0"/>
        <v>380</v>
      </c>
      <c r="Q20" s="42">
        <v>43700</v>
      </c>
      <c r="R20" s="48">
        <f t="shared" si="1"/>
        <v>0.33230454082141975</v>
      </c>
      <c r="S20" s="49"/>
      <c r="T20" s="157">
        <f>IFERROR(VLOOKUP(B20,[1]Todos!$A$2:$C$3021,3,FALSE),0)</f>
        <v>8.06</v>
      </c>
      <c r="U20" s="112">
        <f t="shared" si="12"/>
        <v>-0.27999999999999936</v>
      </c>
      <c r="W20" s="157">
        <f>IFERROR(VLOOKUP(B20,[1]Todos!$A$2:$B$3021,2,FALSE),0)</f>
        <v>47.32</v>
      </c>
      <c r="X20" s="112">
        <f t="shared" si="11"/>
        <v>0</v>
      </c>
    </row>
    <row r="21" spans="1:24" hidden="1" outlineLevel="2" x14ac:dyDescent="0.3">
      <c r="A21" s="40" t="str">
        <f>VLOOKUP(B21,Grupos!$A$2:$B$619,2,FALSE)</f>
        <v>ACCESORIOS</v>
      </c>
      <c r="B21" s="41" t="s">
        <v>614</v>
      </c>
      <c r="C21" s="41" t="s">
        <v>615</v>
      </c>
      <c r="D21" s="42">
        <v>150</v>
      </c>
      <c r="E21" s="43">
        <v>84.21</v>
      </c>
      <c r="F21" s="43">
        <v>0</v>
      </c>
      <c r="G21" s="126">
        <f t="shared" si="2"/>
        <v>84.21</v>
      </c>
      <c r="H21" s="127">
        <f t="shared" si="3"/>
        <v>12631.499999999998</v>
      </c>
      <c r="I21" s="128">
        <f t="shared" si="4"/>
        <v>0</v>
      </c>
      <c r="J21" s="128">
        <f t="shared" si="5"/>
        <v>12631.499999999998</v>
      </c>
      <c r="K21" s="44">
        <f t="shared" si="6"/>
        <v>8.05919873026467E-6</v>
      </c>
      <c r="L21" s="45">
        <f t="shared" si="7"/>
        <v>24.033282931254238</v>
      </c>
      <c r="M21" s="45">
        <f t="shared" si="8"/>
        <v>0</v>
      </c>
      <c r="N21" s="45">
        <f t="shared" si="9"/>
        <v>108.24328293125423</v>
      </c>
      <c r="O21" s="46">
        <f t="shared" si="10"/>
        <v>16236.492439688134</v>
      </c>
      <c r="P21" s="47">
        <f t="shared" si="0"/>
        <v>300</v>
      </c>
      <c r="Q21" s="42">
        <v>45000</v>
      </c>
      <c r="R21" s="48">
        <f t="shared" si="1"/>
        <v>0.36081094310418077</v>
      </c>
      <c r="S21" s="49"/>
      <c r="T21" s="157">
        <f>IFERROR(VLOOKUP(B21,[1]Todos!$A$2:$C$3021,3,FALSE),0)</f>
        <v>0</v>
      </c>
      <c r="U21" s="112">
        <f t="shared" si="12"/>
        <v>0</v>
      </c>
      <c r="W21" s="157">
        <f>IFERROR(VLOOKUP(B21,[1]Todos!$A$2:$B$3021,2,FALSE),0)</f>
        <v>84.21</v>
      </c>
      <c r="X21" s="112">
        <f t="shared" si="11"/>
        <v>0</v>
      </c>
    </row>
    <row r="22" spans="1:24" hidden="1" outlineLevel="2" x14ac:dyDescent="0.3">
      <c r="A22" s="40" t="str">
        <f>VLOOKUP(B22,Grupos!$A$2:$B$619,2,FALSE)</f>
        <v>ACCESORIOS</v>
      </c>
      <c r="B22" s="41" t="s">
        <v>44</v>
      </c>
      <c r="C22" s="41" t="s">
        <v>45</v>
      </c>
      <c r="D22" s="42">
        <v>1</v>
      </c>
      <c r="E22" s="43">
        <v>4675.82</v>
      </c>
      <c r="F22" s="43">
        <v>35.880000000000003</v>
      </c>
      <c r="G22" s="126">
        <f t="shared" si="2"/>
        <v>4711.7</v>
      </c>
      <c r="H22" s="127">
        <f t="shared" si="3"/>
        <v>4675.82</v>
      </c>
      <c r="I22" s="128">
        <f t="shared" si="4"/>
        <v>35.880000000000003</v>
      </c>
      <c r="J22" s="128">
        <f t="shared" si="5"/>
        <v>4711.7</v>
      </c>
      <c r="K22" s="44">
        <f t="shared" si="6"/>
        <v>3.006177148983735E-6</v>
      </c>
      <c r="L22" s="45">
        <f t="shared" si="7"/>
        <v>1344.7051322549648</v>
      </c>
      <c r="M22" s="45">
        <f t="shared" si="8"/>
        <v>235.45939151943253</v>
      </c>
      <c r="N22" s="45">
        <f t="shared" si="9"/>
        <v>6291.8645237743976</v>
      </c>
      <c r="O22" s="46">
        <f t="shared" si="10"/>
        <v>6291.8645237743976</v>
      </c>
      <c r="P22" s="47">
        <f t="shared" si="0"/>
        <v>21000</v>
      </c>
      <c r="Q22" s="42">
        <v>21000</v>
      </c>
      <c r="R22" s="48">
        <f t="shared" si="1"/>
        <v>0.29961259637020943</v>
      </c>
      <c r="S22" s="49"/>
      <c r="T22" s="157">
        <f>IFERROR(VLOOKUP(B22,[1]Todos!$A$2:$C$3021,3,FALSE),0)</f>
        <v>36.590000000000003</v>
      </c>
      <c r="U22" s="112">
        <f t="shared" si="12"/>
        <v>0.71000000000000085</v>
      </c>
      <c r="W22" s="157">
        <f>IFERROR(VLOOKUP(B22,[1]Todos!$A$2:$B$3021,2,FALSE),0)</f>
        <v>4675.82</v>
      </c>
      <c r="X22" s="112">
        <f t="shared" si="11"/>
        <v>0</v>
      </c>
    </row>
    <row r="23" spans="1:24" hidden="1" outlineLevel="2" x14ac:dyDescent="0.3">
      <c r="A23" s="40" t="str">
        <f>VLOOKUP(B23,Grupos!$A$2:$B$619,2,FALSE)</f>
        <v>ACCESORIOS</v>
      </c>
      <c r="B23" s="41" t="s">
        <v>666</v>
      </c>
      <c r="C23" s="41" t="s">
        <v>1116</v>
      </c>
      <c r="D23" s="42">
        <v>2</v>
      </c>
      <c r="E23" s="43">
        <v>7037.67</v>
      </c>
      <c r="F23" s="43">
        <v>184.12</v>
      </c>
      <c r="G23" s="126">
        <f t="shared" si="2"/>
        <v>7221.79</v>
      </c>
      <c r="H23" s="127">
        <f t="shared" si="3"/>
        <v>14075.34</v>
      </c>
      <c r="I23" s="128">
        <f t="shared" si="4"/>
        <v>368.24</v>
      </c>
      <c r="J23" s="128">
        <f t="shared" si="5"/>
        <v>14443.58</v>
      </c>
      <c r="K23" s="44">
        <f t="shared" si="6"/>
        <v>9.2153490556526298E-6</v>
      </c>
      <c r="L23" s="45">
        <f t="shared" si="7"/>
        <v>2061.0773345220587</v>
      </c>
      <c r="M23" s="45">
        <f t="shared" si="8"/>
        <v>1208.271548677757</v>
      </c>
      <c r="N23" s="45">
        <f t="shared" si="9"/>
        <v>10491.138883199816</v>
      </c>
      <c r="O23" s="46">
        <f t="shared" si="10"/>
        <v>20982.277766399631</v>
      </c>
      <c r="P23" s="47">
        <f t="shared" si="0"/>
        <v>31520</v>
      </c>
      <c r="Q23" s="42">
        <v>63040</v>
      </c>
      <c r="R23" s="48">
        <f t="shared" si="1"/>
        <v>0.33284070060913118</v>
      </c>
      <c r="S23" s="49"/>
      <c r="T23" s="157">
        <f>IFERROR(VLOOKUP(B23,[1]Todos!$A$2:$C$3021,3,FALSE),0)</f>
        <v>205.11</v>
      </c>
      <c r="U23" s="112">
        <f t="shared" si="12"/>
        <v>20.990000000000009</v>
      </c>
      <c r="W23" s="157">
        <f>IFERROR(VLOOKUP(B23,[1]Todos!$A$2:$B$3021,2,FALSE),0)</f>
        <v>7037.67</v>
      </c>
      <c r="X23" s="112">
        <f t="shared" si="11"/>
        <v>0</v>
      </c>
    </row>
    <row r="24" spans="1:24" hidden="1" outlineLevel="2" x14ac:dyDescent="0.3">
      <c r="A24" s="40" t="str">
        <f>VLOOKUP(B24,Grupos!$A$2:$B$619,2,FALSE)</f>
        <v>ACCESORIOS</v>
      </c>
      <c r="B24" s="41" t="s">
        <v>710</v>
      </c>
      <c r="C24" s="41" t="s">
        <v>1117</v>
      </c>
      <c r="D24" s="42">
        <v>1</v>
      </c>
      <c r="E24" s="43">
        <v>4752.6000000000004</v>
      </c>
      <c r="F24" s="43">
        <v>35.880000000000003</v>
      </c>
      <c r="G24" s="126">
        <f t="shared" si="2"/>
        <v>4788.4800000000005</v>
      </c>
      <c r="H24" s="127">
        <f t="shared" si="3"/>
        <v>4752.6000000000004</v>
      </c>
      <c r="I24" s="128">
        <f t="shared" si="4"/>
        <v>35.880000000000003</v>
      </c>
      <c r="J24" s="128">
        <f t="shared" si="5"/>
        <v>4788.4800000000005</v>
      </c>
      <c r="K24" s="44">
        <f t="shared" si="6"/>
        <v>3.0551646230374677E-6</v>
      </c>
      <c r="L24" s="45">
        <f t="shared" si="7"/>
        <v>1366.6179153384669</v>
      </c>
      <c r="M24" s="45">
        <f t="shared" si="8"/>
        <v>235.45939151943253</v>
      </c>
      <c r="N24" s="45">
        <f t="shared" si="9"/>
        <v>6390.5573068578997</v>
      </c>
      <c r="O24" s="46">
        <f t="shared" si="10"/>
        <v>6390.5573068578997</v>
      </c>
      <c r="P24" s="47">
        <f t="shared" si="0"/>
        <v>51324</v>
      </c>
      <c r="Q24" s="42">
        <v>51324</v>
      </c>
      <c r="R24" s="48">
        <f t="shared" si="1"/>
        <v>0.12451401501944313</v>
      </c>
      <c r="S24" s="49"/>
      <c r="T24" s="157">
        <f>IFERROR(VLOOKUP(B24,[1]Todos!$A$2:$C$3021,3,FALSE),0)</f>
        <v>0</v>
      </c>
      <c r="U24" s="112">
        <f t="shared" si="12"/>
        <v>-35.880000000000003</v>
      </c>
      <c r="W24" s="157">
        <f>IFERROR(VLOOKUP(B24,[1]Todos!$A$2:$B$3021,2,FALSE),0)</f>
        <v>0</v>
      </c>
      <c r="X24" s="112">
        <f t="shared" si="11"/>
        <v>-4752.6000000000004</v>
      </c>
    </row>
    <row r="25" spans="1:24" hidden="1" outlineLevel="2" x14ac:dyDescent="0.3">
      <c r="A25" s="40" t="str">
        <f>VLOOKUP(B25,Grupos!$A$2:$B$619,2,FALSE)</f>
        <v>ACCESORIOS</v>
      </c>
      <c r="B25" s="41" t="s">
        <v>46</v>
      </c>
      <c r="C25" s="41" t="s">
        <v>1118</v>
      </c>
      <c r="D25" s="42">
        <v>2</v>
      </c>
      <c r="E25" s="43">
        <v>8438.06</v>
      </c>
      <c r="F25" s="43">
        <v>208.45</v>
      </c>
      <c r="G25" s="126">
        <f t="shared" si="2"/>
        <v>8646.51</v>
      </c>
      <c r="H25" s="127">
        <f t="shared" si="3"/>
        <v>16876.12</v>
      </c>
      <c r="I25" s="128">
        <f t="shared" si="4"/>
        <v>416.9</v>
      </c>
      <c r="J25" s="128">
        <f t="shared" si="5"/>
        <v>17293.02</v>
      </c>
      <c r="K25" s="44">
        <f t="shared" si="6"/>
        <v>1.1033359840592293E-5</v>
      </c>
      <c r="L25" s="45">
        <f t="shared" si="7"/>
        <v>2467.6881747763814</v>
      </c>
      <c r="M25" s="45">
        <f t="shared" si="8"/>
        <v>1367.9350658368369</v>
      </c>
      <c r="N25" s="45">
        <f t="shared" si="9"/>
        <v>12482.133240613219</v>
      </c>
      <c r="O25" s="46">
        <f t="shared" si="10"/>
        <v>24964.266481226437</v>
      </c>
      <c r="P25" s="47">
        <f t="shared" si="0"/>
        <v>39524</v>
      </c>
      <c r="Q25" s="42">
        <v>79048</v>
      </c>
      <c r="R25" s="48">
        <f t="shared" si="1"/>
        <v>0.31581148771918882</v>
      </c>
      <c r="S25" s="49"/>
      <c r="T25" s="157">
        <f>IFERROR(VLOOKUP(B25,[1]Todos!$A$2:$C$3021,3,FALSE),0)</f>
        <v>206.45</v>
      </c>
      <c r="U25" s="112">
        <f t="shared" si="12"/>
        <v>-2</v>
      </c>
      <c r="W25" s="157">
        <f>IFERROR(VLOOKUP(B25,[1]Todos!$A$2:$B$3021,2,FALSE),0)</f>
        <v>8438.06</v>
      </c>
      <c r="X25" s="112">
        <f t="shared" si="11"/>
        <v>0</v>
      </c>
    </row>
    <row r="26" spans="1:24" hidden="1" outlineLevel="2" x14ac:dyDescent="0.3">
      <c r="A26" s="40" t="str">
        <f>VLOOKUP(B26,Grupos!$A$2:$B$619,2,FALSE)</f>
        <v>ACCESORIOS</v>
      </c>
      <c r="B26" s="41" t="s">
        <v>711</v>
      </c>
      <c r="C26" s="41" t="s">
        <v>1119</v>
      </c>
      <c r="D26" s="42">
        <v>17</v>
      </c>
      <c r="E26" s="43">
        <v>5628.84</v>
      </c>
      <c r="F26" s="43">
        <v>35.880000000000003</v>
      </c>
      <c r="G26" s="126">
        <f t="shared" si="2"/>
        <v>5664.72</v>
      </c>
      <c r="H26" s="127">
        <f t="shared" si="3"/>
        <v>95690.28</v>
      </c>
      <c r="I26" s="128">
        <f t="shared" si="4"/>
        <v>609.96</v>
      </c>
      <c r="J26" s="128">
        <f t="shared" si="5"/>
        <v>96300.24</v>
      </c>
      <c r="K26" s="44">
        <f t="shared" si="6"/>
        <v>6.1441853456215256E-5</v>
      </c>
      <c r="L26" s="45">
        <f t="shared" si="7"/>
        <v>1616.6941988639651</v>
      </c>
      <c r="M26" s="45">
        <f t="shared" si="8"/>
        <v>235.45939151943253</v>
      </c>
      <c r="N26" s="45">
        <f t="shared" si="9"/>
        <v>7516.8735903833986</v>
      </c>
      <c r="O26" s="46">
        <f t="shared" si="10"/>
        <v>127786.85103651778</v>
      </c>
      <c r="P26" s="47">
        <f t="shared" si="0"/>
        <v>67126.855882352946</v>
      </c>
      <c r="Q26" s="42">
        <v>1141156.55</v>
      </c>
      <c r="R26" s="48">
        <f t="shared" si="1"/>
        <v>0.11198012317987201</v>
      </c>
      <c r="S26" s="49"/>
      <c r="T26" s="157">
        <f>IFERROR(VLOOKUP(B26,[1]Todos!$A$2:$C$3021,3,FALSE),0)</f>
        <v>0</v>
      </c>
      <c r="U26" s="112">
        <f t="shared" si="12"/>
        <v>-35.880000000000003</v>
      </c>
      <c r="W26" s="157">
        <f>IFERROR(VLOOKUP(B26,[1]Todos!$A$2:$B$3021,2,FALSE),0)</f>
        <v>0</v>
      </c>
      <c r="X26" s="112">
        <f t="shared" si="11"/>
        <v>-5628.84</v>
      </c>
    </row>
    <row r="27" spans="1:24" hidden="1" outlineLevel="2" x14ac:dyDescent="0.3">
      <c r="A27" s="40" t="str">
        <f>VLOOKUP(B27,Grupos!$A$2:$B$619,2,FALSE)</f>
        <v>ACCESORIOS</v>
      </c>
      <c r="B27" s="41" t="s">
        <v>669</v>
      </c>
      <c r="C27" s="41" t="s">
        <v>1120</v>
      </c>
      <c r="D27" s="42">
        <v>2</v>
      </c>
      <c r="E27" s="43">
        <v>9715.24</v>
      </c>
      <c r="F27" s="43">
        <v>256.69</v>
      </c>
      <c r="G27" s="126">
        <f t="shared" si="2"/>
        <v>9971.93</v>
      </c>
      <c r="H27" s="127">
        <f t="shared" si="3"/>
        <v>19430.48</v>
      </c>
      <c r="I27" s="128">
        <f t="shared" si="4"/>
        <v>513.38</v>
      </c>
      <c r="J27" s="128">
        <f t="shared" si="5"/>
        <v>19943.86</v>
      </c>
      <c r="K27" s="44">
        <f t="shared" si="6"/>
        <v>1.272465908154822E-5</v>
      </c>
      <c r="L27" s="45">
        <f t="shared" si="7"/>
        <v>2845.9590910896814</v>
      </c>
      <c r="M27" s="45">
        <f t="shared" si="8"/>
        <v>1684.5058865418935</v>
      </c>
      <c r="N27" s="45">
        <f t="shared" si="9"/>
        <v>14502.394977631575</v>
      </c>
      <c r="O27" s="46">
        <f t="shared" si="10"/>
        <v>29004.78995526315</v>
      </c>
      <c r="P27" s="47">
        <f t="shared" si="0"/>
        <v>47202.75</v>
      </c>
      <c r="Q27" s="42">
        <v>94405.5</v>
      </c>
      <c r="R27" s="48">
        <f t="shared" si="1"/>
        <v>0.30723623046605492</v>
      </c>
      <c r="S27" s="49"/>
      <c r="T27" s="157">
        <f>IFERROR(VLOOKUP(B27,[1]Todos!$A$2:$C$3021,3,FALSE),0)</f>
        <v>253.85</v>
      </c>
      <c r="U27" s="112">
        <f t="shared" si="12"/>
        <v>-2.8400000000000034</v>
      </c>
      <c r="W27" s="157">
        <f>IFERROR(VLOOKUP(B27,[1]Todos!$A$2:$B$3021,2,FALSE),0)</f>
        <v>9715.24</v>
      </c>
      <c r="X27" s="112">
        <f t="shared" si="11"/>
        <v>0</v>
      </c>
    </row>
    <row r="28" spans="1:24" hidden="1" outlineLevel="2" x14ac:dyDescent="0.3">
      <c r="A28" s="40" t="str">
        <f>VLOOKUP(B28,Grupos!$A$2:$B$619,2,FALSE)</f>
        <v>ACCESORIOS</v>
      </c>
      <c r="B28" s="41" t="s">
        <v>746</v>
      </c>
      <c r="C28" s="41" t="s">
        <v>1121</v>
      </c>
      <c r="D28" s="42">
        <v>4</v>
      </c>
      <c r="E28" s="43">
        <v>9715.24</v>
      </c>
      <c r="F28" s="43">
        <v>256.69</v>
      </c>
      <c r="G28" s="126">
        <f t="shared" si="2"/>
        <v>9971.93</v>
      </c>
      <c r="H28" s="127">
        <f t="shared" si="3"/>
        <v>38860.959999999999</v>
      </c>
      <c r="I28" s="128">
        <f t="shared" si="4"/>
        <v>1026.76</v>
      </c>
      <c r="J28" s="128">
        <f t="shared" si="5"/>
        <v>39887.72</v>
      </c>
      <c r="K28" s="44">
        <f t="shared" si="6"/>
        <v>2.5449318163096441E-5</v>
      </c>
      <c r="L28" s="45">
        <f t="shared" si="7"/>
        <v>2845.9590910896814</v>
      </c>
      <c r="M28" s="45">
        <f t="shared" si="8"/>
        <v>1684.5058865418935</v>
      </c>
      <c r="N28" s="45">
        <f t="shared" si="9"/>
        <v>14502.394977631575</v>
      </c>
      <c r="O28" s="46">
        <f t="shared" si="10"/>
        <v>58009.579910526299</v>
      </c>
      <c r="P28" s="47">
        <f t="shared" si="0"/>
        <v>72259.247499999998</v>
      </c>
      <c r="Q28" s="42">
        <v>289036.99</v>
      </c>
      <c r="R28" s="48">
        <f t="shared" si="1"/>
        <v>0.20069950185450763</v>
      </c>
      <c r="S28" s="49"/>
      <c r="T28" s="157">
        <f>IFERROR(VLOOKUP(B28,[1]Todos!$A$2:$C$3021,3,FALSE),0)</f>
        <v>0</v>
      </c>
      <c r="U28" s="112">
        <f t="shared" si="12"/>
        <v>-256.69</v>
      </c>
      <c r="W28" s="157">
        <f>IFERROR(VLOOKUP(B28,[1]Todos!$A$2:$B$3021,2,FALSE),0)</f>
        <v>0</v>
      </c>
      <c r="X28" s="112">
        <f t="shared" si="11"/>
        <v>-9715.24</v>
      </c>
    </row>
    <row r="29" spans="1:24" hidden="1" outlineLevel="2" x14ac:dyDescent="0.3">
      <c r="A29" s="40" t="str">
        <f>VLOOKUP(B29,Grupos!$A$2:$B$619,2,FALSE)</f>
        <v>ACCESORIOS</v>
      </c>
      <c r="B29" s="41" t="s">
        <v>853</v>
      </c>
      <c r="C29" s="41" t="s">
        <v>1122</v>
      </c>
      <c r="D29" s="42">
        <v>1</v>
      </c>
      <c r="E29" s="43">
        <v>15276.87</v>
      </c>
      <c r="F29" s="43">
        <v>300.39999999999998</v>
      </c>
      <c r="G29" s="126">
        <f t="shared" si="2"/>
        <v>15577.27</v>
      </c>
      <c r="H29" s="127">
        <f t="shared" si="3"/>
        <v>15276.87</v>
      </c>
      <c r="I29" s="128">
        <f t="shared" si="4"/>
        <v>300.39999999999998</v>
      </c>
      <c r="J29" s="128">
        <f t="shared" si="5"/>
        <v>15577.27</v>
      </c>
      <c r="K29" s="44">
        <f t="shared" si="6"/>
        <v>9.9386703562514306E-6</v>
      </c>
      <c r="L29" s="45">
        <f t="shared" si="7"/>
        <v>4445.706414992741</v>
      </c>
      <c r="M29" s="45">
        <f t="shared" si="8"/>
        <v>1971.3489747056167</v>
      </c>
      <c r="N29" s="45">
        <f t="shared" si="9"/>
        <v>21994.325389698359</v>
      </c>
      <c r="O29" s="46">
        <f t="shared" si="10"/>
        <v>21994.325389698359</v>
      </c>
      <c r="P29" s="47">
        <f t="shared" si="0"/>
        <v>59080</v>
      </c>
      <c r="Q29" s="42">
        <v>59080</v>
      </c>
      <c r="R29" s="48">
        <f t="shared" si="1"/>
        <v>0.37228038912827283</v>
      </c>
      <c r="S29" s="49"/>
      <c r="T29" s="157">
        <f>IFERROR(VLOOKUP(B29,[1]Todos!$A$2:$C$3021,3,FALSE),0)</f>
        <v>0</v>
      </c>
      <c r="U29" s="112">
        <f t="shared" si="12"/>
        <v>-300.39999999999998</v>
      </c>
      <c r="W29" s="157">
        <f>IFERROR(VLOOKUP(B29,[1]Todos!$A$2:$B$3021,2,FALSE),0)</f>
        <v>0</v>
      </c>
      <c r="X29" s="112">
        <f t="shared" si="11"/>
        <v>-15276.87</v>
      </c>
    </row>
    <row r="30" spans="1:24" hidden="1" outlineLevel="2" x14ac:dyDescent="0.3">
      <c r="A30" s="40" t="str">
        <f>VLOOKUP(B30,Grupos!$A$2:$B$619,2,FALSE)</f>
        <v>ACCESORIOS</v>
      </c>
      <c r="B30" s="41" t="s">
        <v>670</v>
      </c>
      <c r="C30" s="41" t="s">
        <v>1080</v>
      </c>
      <c r="D30" s="42">
        <v>1</v>
      </c>
      <c r="E30" s="43">
        <v>16597.88</v>
      </c>
      <c r="F30" s="43">
        <v>565.42999999999995</v>
      </c>
      <c r="G30" s="126">
        <f t="shared" si="2"/>
        <v>17163.310000000001</v>
      </c>
      <c r="H30" s="127">
        <f t="shared" si="3"/>
        <v>16597.88</v>
      </c>
      <c r="I30" s="128">
        <f t="shared" si="4"/>
        <v>565.42999999999995</v>
      </c>
      <c r="J30" s="128">
        <f t="shared" si="5"/>
        <v>17163.310000000001</v>
      </c>
      <c r="K30" s="44">
        <f t="shared" si="6"/>
        <v>1.0950601762192846E-5</v>
      </c>
      <c r="L30" s="45">
        <f t="shared" si="7"/>
        <v>4898.3575022779387</v>
      </c>
      <c r="M30" s="45">
        <f t="shared" si="8"/>
        <v>3710.5853887077124</v>
      </c>
      <c r="N30" s="45">
        <f t="shared" si="9"/>
        <v>25772.252890985652</v>
      </c>
      <c r="O30" s="46">
        <f t="shared" si="10"/>
        <v>25772.252890985652</v>
      </c>
      <c r="P30" s="47">
        <f t="shared" si="0"/>
        <v>64980</v>
      </c>
      <c r="Q30" s="42">
        <v>64980</v>
      </c>
      <c r="R30" s="48">
        <f t="shared" si="1"/>
        <v>0.39661823470276475</v>
      </c>
      <c r="S30" s="49"/>
      <c r="T30" s="157">
        <f>IFERROR(VLOOKUP(B30,[1]Todos!$A$2:$C$3021,3,FALSE),0)</f>
        <v>0</v>
      </c>
      <c r="U30" s="112">
        <f t="shared" si="12"/>
        <v>-565.42999999999995</v>
      </c>
      <c r="W30" s="157">
        <f>IFERROR(VLOOKUP(B30,[1]Todos!$A$2:$B$3021,2,FALSE),0)</f>
        <v>0</v>
      </c>
      <c r="X30" s="112">
        <f t="shared" si="11"/>
        <v>-16597.88</v>
      </c>
    </row>
    <row r="31" spans="1:24" hidden="1" outlineLevel="2" x14ac:dyDescent="0.3">
      <c r="A31" s="40" t="str">
        <f>VLOOKUP(B31,Grupos!$A$2:$B$619,2,FALSE)</f>
        <v>ACCESORIOS</v>
      </c>
      <c r="B31" s="41" t="s">
        <v>747</v>
      </c>
      <c r="C31" s="41" t="s">
        <v>1081</v>
      </c>
      <c r="D31" s="42">
        <v>2</v>
      </c>
      <c r="E31" s="43">
        <v>16597.88</v>
      </c>
      <c r="F31" s="43">
        <v>565.42999999999995</v>
      </c>
      <c r="G31" s="126">
        <f t="shared" si="2"/>
        <v>17163.310000000001</v>
      </c>
      <c r="H31" s="127">
        <f t="shared" si="3"/>
        <v>33195.760000000002</v>
      </c>
      <c r="I31" s="128">
        <f t="shared" si="4"/>
        <v>1130.8599999999999</v>
      </c>
      <c r="J31" s="128">
        <f t="shared" si="5"/>
        <v>34326.620000000003</v>
      </c>
      <c r="K31" s="44">
        <f t="shared" si="6"/>
        <v>2.1901203524385692E-5</v>
      </c>
      <c r="L31" s="45">
        <f t="shared" si="7"/>
        <v>4898.3575022779387</v>
      </c>
      <c r="M31" s="45">
        <f t="shared" si="8"/>
        <v>3710.5853887077124</v>
      </c>
      <c r="N31" s="45">
        <f t="shared" si="9"/>
        <v>25772.252890985652</v>
      </c>
      <c r="O31" s="46">
        <f t="shared" si="10"/>
        <v>51544.505781971304</v>
      </c>
      <c r="P31" s="47">
        <f t="shared" si="0"/>
        <v>136131.245</v>
      </c>
      <c r="Q31" s="42">
        <v>272262.49</v>
      </c>
      <c r="R31" s="48">
        <f t="shared" si="1"/>
        <v>0.18931915954331904</v>
      </c>
      <c r="S31" s="49"/>
      <c r="T31" s="157">
        <f>IFERROR(VLOOKUP(B31,[1]Todos!$A$2:$C$3021,3,FALSE),0)</f>
        <v>533.71</v>
      </c>
      <c r="U31" s="112">
        <f t="shared" si="12"/>
        <v>-31.719999999999914</v>
      </c>
      <c r="W31" s="157">
        <f>IFERROR(VLOOKUP(B31,[1]Todos!$A$2:$B$3021,2,FALSE),0)</f>
        <v>16597.88</v>
      </c>
      <c r="X31" s="112">
        <f t="shared" si="11"/>
        <v>0</v>
      </c>
    </row>
    <row r="32" spans="1:24" hidden="1" outlineLevel="2" x14ac:dyDescent="0.3">
      <c r="A32" s="40" t="str">
        <f>VLOOKUP(B32,Grupos!$A$2:$B$619,2,FALSE)</f>
        <v>ACCESORIOS</v>
      </c>
      <c r="B32" s="41" t="s">
        <v>1123</v>
      </c>
      <c r="C32" s="41" t="s">
        <v>1124</v>
      </c>
      <c r="D32" s="42">
        <v>1</v>
      </c>
      <c r="E32" s="43">
        <v>3014.96</v>
      </c>
      <c r="F32" s="43">
        <v>0</v>
      </c>
      <c r="G32" s="126">
        <f t="shared" si="2"/>
        <v>3014.96</v>
      </c>
      <c r="H32" s="127">
        <f t="shared" si="3"/>
        <v>3014.96</v>
      </c>
      <c r="I32" s="128">
        <f t="shared" si="4"/>
        <v>0</v>
      </c>
      <c r="J32" s="128">
        <f t="shared" si="5"/>
        <v>3014.96</v>
      </c>
      <c r="K32" s="44">
        <f t="shared" si="6"/>
        <v>1.9236164987371863E-6</v>
      </c>
      <c r="L32" s="45">
        <f t="shared" si="7"/>
        <v>860.4605950173883</v>
      </c>
      <c r="M32" s="45">
        <f t="shared" si="8"/>
        <v>0</v>
      </c>
      <c r="N32" s="45">
        <f t="shared" si="9"/>
        <v>3875.4205950173882</v>
      </c>
      <c r="O32" s="46">
        <f t="shared" si="10"/>
        <v>3875.4205950173882</v>
      </c>
      <c r="P32" s="47">
        <f t="shared" si="0"/>
        <v>11680</v>
      </c>
      <c r="Q32" s="42">
        <v>11680</v>
      </c>
      <c r="R32" s="48">
        <f t="shared" si="1"/>
        <v>0.33179970847751611</v>
      </c>
      <c r="S32" s="49"/>
      <c r="T32" s="157">
        <f>IFERROR(VLOOKUP(B32,[1]Todos!$A$2:$C$3021,3,FALSE),0)</f>
        <v>0</v>
      </c>
      <c r="U32" s="112">
        <f t="shared" si="12"/>
        <v>0</v>
      </c>
      <c r="W32" s="157">
        <f>IFERROR(VLOOKUP(B32,[1]Todos!$A$2:$B$3021,2,FALSE),0)</f>
        <v>3014.96</v>
      </c>
      <c r="X32" s="112">
        <f t="shared" si="11"/>
        <v>0</v>
      </c>
    </row>
    <row r="33" spans="1:24" hidden="1" outlineLevel="2" x14ac:dyDescent="0.3">
      <c r="A33" s="40" t="str">
        <f>VLOOKUP(B33,Grupos!$A$2:$B$619,2,FALSE)</f>
        <v>ACCESORIOS</v>
      </c>
      <c r="B33" s="41" t="s">
        <v>616</v>
      </c>
      <c r="C33" s="41" t="s">
        <v>617</v>
      </c>
      <c r="D33" s="42">
        <v>5</v>
      </c>
      <c r="E33" s="43">
        <v>3990.63</v>
      </c>
      <c r="F33" s="43">
        <v>35.880000000000003</v>
      </c>
      <c r="G33" s="126">
        <f t="shared" si="2"/>
        <v>4026.51</v>
      </c>
      <c r="H33" s="127">
        <f t="shared" si="3"/>
        <v>19953.150000000001</v>
      </c>
      <c r="I33" s="128">
        <f t="shared" si="4"/>
        <v>179.4</v>
      </c>
      <c r="J33" s="128">
        <f t="shared" si="5"/>
        <v>20132.550000000003</v>
      </c>
      <c r="K33" s="44">
        <f t="shared" si="6"/>
        <v>1.2845047808810514E-5</v>
      </c>
      <c r="L33" s="45">
        <f t="shared" si="7"/>
        <v>1149.1539491215356</v>
      </c>
      <c r="M33" s="45">
        <f t="shared" si="8"/>
        <v>235.45939151943253</v>
      </c>
      <c r="N33" s="45">
        <f t="shared" si="9"/>
        <v>5411.1233406409683</v>
      </c>
      <c r="O33" s="46">
        <f t="shared" si="10"/>
        <v>27055.61670320484</v>
      </c>
      <c r="P33" s="47">
        <f t="shared" si="0"/>
        <v>17639.599999999999</v>
      </c>
      <c r="Q33" s="42">
        <v>88198</v>
      </c>
      <c r="R33" s="48">
        <f t="shared" si="1"/>
        <v>0.30675997985447334</v>
      </c>
      <c r="S33" s="49"/>
      <c r="T33" s="157">
        <f>IFERROR(VLOOKUP(B33,[1]Todos!$A$2:$C$3021,3,FALSE),0)</f>
        <v>36.590000000000003</v>
      </c>
      <c r="U33" s="112">
        <f t="shared" si="12"/>
        <v>0.71000000000000085</v>
      </c>
      <c r="W33" s="157">
        <f>IFERROR(VLOOKUP(B33,[1]Todos!$A$2:$B$3021,2,FALSE),0)</f>
        <v>3990.63</v>
      </c>
      <c r="X33" s="112">
        <f t="shared" si="11"/>
        <v>0</v>
      </c>
    </row>
    <row r="34" spans="1:24" hidden="1" outlineLevel="2" x14ac:dyDescent="0.3">
      <c r="A34" s="40" t="str">
        <f>VLOOKUP(B34,Grupos!$A$2:$B$619,2,FALSE)</f>
        <v>ACCESORIOS</v>
      </c>
      <c r="B34" s="41" t="s">
        <v>671</v>
      </c>
      <c r="C34" s="41" t="s">
        <v>1125</v>
      </c>
      <c r="D34" s="42">
        <v>91</v>
      </c>
      <c r="E34" s="43">
        <v>4448.3900000000003</v>
      </c>
      <c r="F34" s="43">
        <v>1.27</v>
      </c>
      <c r="G34" s="126">
        <f t="shared" si="2"/>
        <v>4449.6600000000008</v>
      </c>
      <c r="H34" s="127">
        <f t="shared" si="3"/>
        <v>404803.49000000005</v>
      </c>
      <c r="I34" s="128">
        <f t="shared" si="4"/>
        <v>115.57000000000001</v>
      </c>
      <c r="J34" s="128">
        <f t="shared" si="5"/>
        <v>404919.06000000006</v>
      </c>
      <c r="K34" s="44">
        <f t="shared" si="6"/>
        <v>2.5834803263365114E-4</v>
      </c>
      <c r="L34" s="45">
        <f t="shared" si="7"/>
        <v>1269.9196975167408</v>
      </c>
      <c r="M34" s="45">
        <f t="shared" si="8"/>
        <v>8.3342649729565021</v>
      </c>
      <c r="N34" s="45">
        <f t="shared" si="9"/>
        <v>5727.913962489698</v>
      </c>
      <c r="O34" s="46">
        <f t="shared" si="10"/>
        <v>521240.17058656254</v>
      </c>
      <c r="P34" s="47">
        <f t="shared" si="0"/>
        <v>19500</v>
      </c>
      <c r="Q34" s="42">
        <v>1774500</v>
      </c>
      <c r="R34" s="48">
        <f t="shared" si="1"/>
        <v>0.29373917756357426</v>
      </c>
      <c r="S34" s="49"/>
      <c r="T34" s="157">
        <f>IFERROR(VLOOKUP(B34,[1]Todos!$A$2:$C$3021,3,FALSE),0)</f>
        <v>1.06</v>
      </c>
      <c r="U34" s="112">
        <f t="shared" si="12"/>
        <v>-0.20999999999999996</v>
      </c>
      <c r="W34" s="157">
        <f>IFERROR(VLOOKUP(B34,[1]Todos!$A$2:$B$3021,2,FALSE),0)</f>
        <v>4448.3900000000003</v>
      </c>
      <c r="X34" s="112">
        <f t="shared" si="11"/>
        <v>0</v>
      </c>
    </row>
    <row r="35" spans="1:24" hidden="1" outlineLevel="2" x14ac:dyDescent="0.3">
      <c r="A35" s="40" t="str">
        <f>VLOOKUP(B35,Grupos!$A$2:$B$619,2,FALSE)</f>
        <v>ACCESORIOS</v>
      </c>
      <c r="B35" s="41" t="s">
        <v>47</v>
      </c>
      <c r="C35" s="41" t="s">
        <v>48</v>
      </c>
      <c r="D35" s="42">
        <v>189</v>
      </c>
      <c r="E35" s="43">
        <v>398.94</v>
      </c>
      <c r="F35" s="43">
        <v>25.7</v>
      </c>
      <c r="G35" s="126">
        <f t="shared" si="2"/>
        <v>424.64</v>
      </c>
      <c r="H35" s="127">
        <f t="shared" si="3"/>
        <v>75399.66</v>
      </c>
      <c r="I35" s="128">
        <f t="shared" si="4"/>
        <v>4857.3</v>
      </c>
      <c r="J35" s="128">
        <f t="shared" si="5"/>
        <v>80256.959999999992</v>
      </c>
      <c r="K35" s="44">
        <f t="shared" si="6"/>
        <v>5.120585758832303E-5</v>
      </c>
      <c r="L35" s="45">
        <f t="shared" si="7"/>
        <v>121.19098995282981</v>
      </c>
      <c r="M35" s="45">
        <f t="shared" si="8"/>
        <v>168.65402346848984</v>
      </c>
      <c r="N35" s="45">
        <f t="shared" si="9"/>
        <v>714.48501342131965</v>
      </c>
      <c r="O35" s="46">
        <f t="shared" si="10"/>
        <v>135037.66753662942</v>
      </c>
      <c r="P35" s="47">
        <f t="shared" si="0"/>
        <v>2867.8571428571427</v>
      </c>
      <c r="Q35" s="42">
        <v>542025</v>
      </c>
      <c r="R35" s="48">
        <f t="shared" si="1"/>
        <v>0.24913549658526715</v>
      </c>
      <c r="S35" s="49"/>
      <c r="T35" s="157">
        <f>IFERROR(VLOOKUP(B35,[1]Todos!$A$2:$C$3021,3,FALSE),0)</f>
        <v>0</v>
      </c>
      <c r="U35" s="112">
        <f t="shared" si="12"/>
        <v>-25.7</v>
      </c>
      <c r="W35" s="157">
        <f>IFERROR(VLOOKUP(B35,[1]Todos!$A$2:$B$3021,2,FALSE),0)</f>
        <v>0</v>
      </c>
      <c r="X35" s="112">
        <f t="shared" si="11"/>
        <v>-398.94</v>
      </c>
    </row>
    <row r="36" spans="1:24" hidden="1" outlineLevel="2" x14ac:dyDescent="0.3">
      <c r="A36" s="40" t="str">
        <f>VLOOKUP(B36,Grupos!$A$2:$B$619,2,FALSE)</f>
        <v>ACCESORIOS</v>
      </c>
      <c r="B36" s="41" t="s">
        <v>49</v>
      </c>
      <c r="C36" s="41" t="s">
        <v>1085</v>
      </c>
      <c r="D36" s="42">
        <v>68</v>
      </c>
      <c r="E36" s="43">
        <v>532.88</v>
      </c>
      <c r="F36" s="43">
        <v>27.24</v>
      </c>
      <c r="G36" s="126">
        <f t="shared" si="2"/>
        <v>560.12</v>
      </c>
      <c r="H36" s="127">
        <f t="shared" si="3"/>
        <v>36235.839999999997</v>
      </c>
      <c r="I36" s="128">
        <f t="shared" si="4"/>
        <v>1852.32</v>
      </c>
      <c r="J36" s="128">
        <f t="shared" si="5"/>
        <v>38088.160000000003</v>
      </c>
      <c r="K36" s="44">
        <f t="shared" si="6"/>
        <v>2.4301155896775334E-5</v>
      </c>
      <c r="L36" s="45">
        <f t="shared" si="7"/>
        <v>159.85657802463038</v>
      </c>
      <c r="M36" s="45">
        <f t="shared" si="8"/>
        <v>178.76014004987016</v>
      </c>
      <c r="N36" s="45">
        <f t="shared" si="9"/>
        <v>898.73671807450057</v>
      </c>
      <c r="O36" s="46">
        <f t="shared" si="10"/>
        <v>61114.096829066038</v>
      </c>
      <c r="P36" s="47">
        <f t="shared" si="0"/>
        <v>3048.5295588235294</v>
      </c>
      <c r="Q36" s="42">
        <v>207300.01</v>
      </c>
      <c r="R36" s="48">
        <f t="shared" si="1"/>
        <v>0.29480990777118649</v>
      </c>
      <c r="S36" s="49"/>
      <c r="T36" s="157">
        <f>IFERROR(VLOOKUP(B36,[1]Todos!$A$2:$C$3021,3,FALSE),0)</f>
        <v>0</v>
      </c>
      <c r="U36" s="112">
        <f t="shared" si="12"/>
        <v>-27.24</v>
      </c>
      <c r="W36" s="157">
        <f>IFERROR(VLOOKUP(B36,[1]Todos!$A$2:$B$3021,2,FALSE),0)</f>
        <v>0</v>
      </c>
      <c r="X36" s="112">
        <f t="shared" si="11"/>
        <v>-532.88</v>
      </c>
    </row>
    <row r="37" spans="1:24" hidden="1" outlineLevel="2" x14ac:dyDescent="0.3">
      <c r="A37" s="40" t="str">
        <f>VLOOKUP(B37,Grupos!$A$2:$B$619,2,FALSE)</f>
        <v>ACCESORIOS</v>
      </c>
      <c r="B37" s="41" t="s">
        <v>50</v>
      </c>
      <c r="C37" s="41" t="s">
        <v>51</v>
      </c>
      <c r="D37" s="42">
        <v>15</v>
      </c>
      <c r="E37" s="43">
        <v>532.88</v>
      </c>
      <c r="F37" s="43">
        <v>27.24</v>
      </c>
      <c r="G37" s="126">
        <f t="shared" si="2"/>
        <v>560.12</v>
      </c>
      <c r="H37" s="127">
        <f t="shared" si="3"/>
        <v>7993.2</v>
      </c>
      <c r="I37" s="128">
        <f t="shared" si="4"/>
        <v>408.59999999999997</v>
      </c>
      <c r="J37" s="128">
        <f t="shared" si="5"/>
        <v>8401.7999999999993</v>
      </c>
      <c r="K37" s="44">
        <f t="shared" si="6"/>
        <v>5.3605490948769114E-6</v>
      </c>
      <c r="L37" s="45">
        <f t="shared" si="7"/>
        <v>159.85657802463035</v>
      </c>
      <c r="M37" s="45">
        <f t="shared" si="8"/>
        <v>178.76014004987016</v>
      </c>
      <c r="N37" s="45">
        <f t="shared" si="9"/>
        <v>898.73671807450057</v>
      </c>
      <c r="O37" s="46">
        <f t="shared" si="10"/>
        <v>13481.050771117509</v>
      </c>
      <c r="P37" s="47">
        <f t="shared" si="0"/>
        <v>3075</v>
      </c>
      <c r="Q37" s="42">
        <v>46125</v>
      </c>
      <c r="R37" s="48">
        <f t="shared" si="1"/>
        <v>0.29227210343886195</v>
      </c>
      <c r="S37" s="49"/>
      <c r="T37" s="157">
        <f>IFERROR(VLOOKUP(B37,[1]Todos!$A$2:$C$3021,3,FALSE),0)</f>
        <v>0</v>
      </c>
      <c r="U37" s="112">
        <f t="shared" si="12"/>
        <v>-27.24</v>
      </c>
      <c r="W37" s="157">
        <f>IFERROR(VLOOKUP(B37,[1]Todos!$A$2:$B$3021,2,FALSE),0)</f>
        <v>0</v>
      </c>
      <c r="X37" s="112">
        <f t="shared" si="11"/>
        <v>-532.88</v>
      </c>
    </row>
    <row r="38" spans="1:24" hidden="1" outlineLevel="2" x14ac:dyDescent="0.3">
      <c r="A38" s="40" t="str">
        <f>VLOOKUP(B38,Grupos!$A$2:$B$619,2,FALSE)</f>
        <v>ACCESORIOS</v>
      </c>
      <c r="B38" s="41" t="s">
        <v>714</v>
      </c>
      <c r="C38" s="41" t="s">
        <v>715</v>
      </c>
      <c r="D38" s="42">
        <v>1</v>
      </c>
      <c r="E38" s="43">
        <v>3125.57</v>
      </c>
      <c r="F38" s="43">
        <v>0</v>
      </c>
      <c r="G38" s="126">
        <f t="shared" si="2"/>
        <v>3125.57</v>
      </c>
      <c r="H38" s="127">
        <f t="shared" si="3"/>
        <v>3125.57</v>
      </c>
      <c r="I38" s="128">
        <f t="shared" si="4"/>
        <v>0</v>
      </c>
      <c r="J38" s="128">
        <f t="shared" si="5"/>
        <v>3125.57</v>
      </c>
      <c r="K38" s="44">
        <f t="shared" si="6"/>
        <v>1.9941883208924791E-6</v>
      </c>
      <c r="L38" s="45">
        <f t="shared" si="7"/>
        <v>892.02835923809903</v>
      </c>
      <c r="M38" s="45">
        <f t="shared" si="8"/>
        <v>0</v>
      </c>
      <c r="N38" s="45">
        <f t="shared" si="9"/>
        <v>4017.598359238099</v>
      </c>
      <c r="O38" s="46">
        <f t="shared" si="10"/>
        <v>4017.598359238099</v>
      </c>
      <c r="P38" s="47">
        <f t="shared" si="0"/>
        <v>32812.5</v>
      </c>
      <c r="Q38" s="42">
        <v>32812.5</v>
      </c>
      <c r="R38" s="48">
        <f t="shared" si="1"/>
        <v>0.12244109285297064</v>
      </c>
      <c r="S38" s="49"/>
      <c r="T38" s="157">
        <f>IFERROR(VLOOKUP(B38,[1]Todos!$A$2:$C$3021,3,FALSE),0)</f>
        <v>0</v>
      </c>
      <c r="U38" s="112">
        <f t="shared" si="12"/>
        <v>0</v>
      </c>
      <c r="W38" s="157">
        <f>IFERROR(VLOOKUP(B38,[1]Todos!$A$2:$B$3021,2,FALSE),0)</f>
        <v>3125.57</v>
      </c>
      <c r="X38" s="112">
        <f t="shared" si="11"/>
        <v>0</v>
      </c>
    </row>
    <row r="39" spans="1:24" hidden="1" outlineLevel="2" x14ac:dyDescent="0.3">
      <c r="A39" s="40" t="str">
        <f>VLOOKUP(B39,Grupos!$A$2:$B$619,2,FALSE)</f>
        <v>ACCESORIOS</v>
      </c>
      <c r="B39" s="41" t="s">
        <v>622</v>
      </c>
      <c r="C39" s="41" t="s">
        <v>1127</v>
      </c>
      <c r="D39" s="42">
        <v>2</v>
      </c>
      <c r="E39" s="43">
        <v>13961.4</v>
      </c>
      <c r="F39" s="43">
        <v>0</v>
      </c>
      <c r="G39" s="126">
        <f t="shared" si="2"/>
        <v>13961.4</v>
      </c>
      <c r="H39" s="127">
        <f t="shared" si="3"/>
        <v>27922.799999999999</v>
      </c>
      <c r="I39" s="128">
        <f t="shared" si="4"/>
        <v>0</v>
      </c>
      <c r="J39" s="128">
        <f t="shared" si="5"/>
        <v>27922.799999999999</v>
      </c>
      <c r="K39" s="44">
        <f t="shared" si="6"/>
        <v>1.7815413395513942E-5</v>
      </c>
      <c r="L39" s="45">
        <f t="shared" si="7"/>
        <v>3984.5419346444951</v>
      </c>
      <c r="M39" s="45">
        <f t="shared" si="8"/>
        <v>0</v>
      </c>
      <c r="N39" s="45">
        <f t="shared" si="9"/>
        <v>17945.941934644496</v>
      </c>
      <c r="O39" s="46">
        <f t="shared" si="10"/>
        <v>35891.883869288991</v>
      </c>
      <c r="P39" s="47">
        <f t="shared" si="0"/>
        <v>56465</v>
      </c>
      <c r="Q39" s="42">
        <v>112930</v>
      </c>
      <c r="R39" s="48">
        <f t="shared" si="1"/>
        <v>0.31782417310979361</v>
      </c>
      <c r="S39" s="49"/>
      <c r="T39" s="157">
        <f>IFERROR(VLOOKUP(B39,[1]Todos!$A$2:$C$3021,3,FALSE),0)</f>
        <v>0</v>
      </c>
      <c r="U39" s="112">
        <f t="shared" si="12"/>
        <v>0</v>
      </c>
      <c r="W39" s="157">
        <f>IFERROR(VLOOKUP(B39,[1]Todos!$A$2:$B$3021,2,FALSE),0)</f>
        <v>13961.4</v>
      </c>
      <c r="X39" s="112">
        <f t="shared" si="11"/>
        <v>0</v>
      </c>
    </row>
    <row r="40" spans="1:24" hidden="1" outlineLevel="2" x14ac:dyDescent="0.3">
      <c r="A40" s="40" t="str">
        <f>VLOOKUP(B40,Grupos!$A$2:$B$619,2,FALSE)</f>
        <v>ACCESORIOS</v>
      </c>
      <c r="B40" s="41" t="s">
        <v>675</v>
      </c>
      <c r="C40" s="41" t="s">
        <v>676</v>
      </c>
      <c r="D40" s="42">
        <v>49</v>
      </c>
      <c r="E40" s="43">
        <v>1271.1500000000001</v>
      </c>
      <c r="F40" s="43">
        <v>0</v>
      </c>
      <c r="G40" s="126">
        <f t="shared" si="2"/>
        <v>1271.1500000000001</v>
      </c>
      <c r="H40" s="127">
        <f t="shared" si="3"/>
        <v>62286.350000000006</v>
      </c>
      <c r="I40" s="128">
        <f t="shared" si="4"/>
        <v>0</v>
      </c>
      <c r="J40" s="128">
        <f t="shared" si="5"/>
        <v>62286.350000000006</v>
      </c>
      <c r="K40" s="44">
        <f t="shared" si="6"/>
        <v>3.9740179142051293E-5</v>
      </c>
      <c r="L40" s="45">
        <f t="shared" si="7"/>
        <v>362.78242011713371</v>
      </c>
      <c r="M40" s="45">
        <f t="shared" si="8"/>
        <v>0</v>
      </c>
      <c r="N40" s="45">
        <f t="shared" si="9"/>
        <v>1633.9324201171339</v>
      </c>
      <c r="O40" s="46">
        <f t="shared" si="10"/>
        <v>80062.688585739568</v>
      </c>
      <c r="P40" s="47">
        <f t="shared" si="0"/>
        <v>6159.999591836734</v>
      </c>
      <c r="Q40" s="42">
        <v>301839.98</v>
      </c>
      <c r="R40" s="48">
        <f t="shared" si="1"/>
        <v>0.26524878707499111</v>
      </c>
      <c r="S40" s="49"/>
      <c r="T40" s="157">
        <f>IFERROR(VLOOKUP(B40,[1]Todos!$A$2:$C$3021,3,FALSE),0)</f>
        <v>0</v>
      </c>
      <c r="U40" s="112">
        <f t="shared" si="12"/>
        <v>0</v>
      </c>
      <c r="W40" s="157">
        <f>IFERROR(VLOOKUP(B40,[1]Todos!$A$2:$B$3021,2,FALSE),0)</f>
        <v>1271.1500000000001</v>
      </c>
      <c r="X40" s="112">
        <f t="shared" si="11"/>
        <v>0</v>
      </c>
    </row>
    <row r="41" spans="1:24" hidden="1" outlineLevel="2" x14ac:dyDescent="0.3">
      <c r="A41" s="40" t="str">
        <f>VLOOKUP(B41,Grupos!$A$2:$B$619,2,FALSE)</f>
        <v>ACCESORIOS</v>
      </c>
      <c r="B41" s="41" t="s">
        <v>56</v>
      </c>
      <c r="C41" s="41" t="s">
        <v>57</v>
      </c>
      <c r="D41" s="42">
        <v>43</v>
      </c>
      <c r="E41" s="43">
        <v>1666.74</v>
      </c>
      <c r="F41" s="43">
        <v>0</v>
      </c>
      <c r="G41" s="126">
        <f t="shared" si="2"/>
        <v>1666.74</v>
      </c>
      <c r="H41" s="127">
        <f t="shared" si="3"/>
        <v>71669.820000000007</v>
      </c>
      <c r="I41" s="128">
        <f t="shared" si="4"/>
        <v>0</v>
      </c>
      <c r="J41" s="128">
        <f t="shared" si="5"/>
        <v>71669.820000000007</v>
      </c>
      <c r="K41" s="44">
        <f t="shared" si="6"/>
        <v>4.572705714620572E-5</v>
      </c>
      <c r="L41" s="45">
        <f t="shared" si="7"/>
        <v>475.68262668137629</v>
      </c>
      <c r="M41" s="45">
        <f t="shared" si="8"/>
        <v>0</v>
      </c>
      <c r="N41" s="45">
        <f t="shared" si="9"/>
        <v>2142.4226266813762</v>
      </c>
      <c r="O41" s="46">
        <f t="shared" si="10"/>
        <v>92124.172947299172</v>
      </c>
      <c r="P41" s="47">
        <f t="shared" si="0"/>
        <v>8881.8602325581396</v>
      </c>
      <c r="Q41" s="42">
        <v>381919.99</v>
      </c>
      <c r="R41" s="48">
        <f t="shared" si="1"/>
        <v>0.24121327859088804</v>
      </c>
      <c r="S41" s="49"/>
      <c r="T41" s="157">
        <f>IFERROR(VLOOKUP(B41,[1]Todos!$A$2:$C$3021,3,FALSE),0)</f>
        <v>0</v>
      </c>
      <c r="U41" s="112">
        <f t="shared" si="12"/>
        <v>0</v>
      </c>
      <c r="W41" s="157">
        <f>IFERROR(VLOOKUP(B41,[1]Todos!$A$2:$B$3021,2,FALSE),0)</f>
        <v>1666.74</v>
      </c>
      <c r="X41" s="112">
        <f t="shared" si="11"/>
        <v>0</v>
      </c>
    </row>
    <row r="42" spans="1:24" hidden="1" outlineLevel="2" x14ac:dyDescent="0.3">
      <c r="A42" s="40" t="str">
        <f>VLOOKUP(B42,Grupos!$A$2:$B$619,2,FALSE)</f>
        <v>ACCESORIOS</v>
      </c>
      <c r="B42" s="41" t="s">
        <v>733</v>
      </c>
      <c r="C42" s="41" t="s">
        <v>734</v>
      </c>
      <c r="D42" s="42">
        <v>35</v>
      </c>
      <c r="E42" s="43">
        <v>1201</v>
      </c>
      <c r="F42" s="43">
        <v>0</v>
      </c>
      <c r="G42" s="126">
        <f t="shared" si="2"/>
        <v>1201</v>
      </c>
      <c r="H42" s="127">
        <f t="shared" si="3"/>
        <v>42035</v>
      </c>
      <c r="I42" s="128">
        <f t="shared" si="4"/>
        <v>0</v>
      </c>
      <c r="J42" s="128">
        <f t="shared" si="5"/>
        <v>42035</v>
      </c>
      <c r="K42" s="44">
        <f t="shared" si="6"/>
        <v>2.6819334095449902E-5</v>
      </c>
      <c r="L42" s="45">
        <f t="shared" si="7"/>
        <v>342.76181926655198</v>
      </c>
      <c r="M42" s="45">
        <f t="shared" si="8"/>
        <v>0</v>
      </c>
      <c r="N42" s="45">
        <f t="shared" si="9"/>
        <v>1543.761819266552</v>
      </c>
      <c r="O42" s="46">
        <f t="shared" si="10"/>
        <v>54031.66367432932</v>
      </c>
      <c r="P42" s="47">
        <f t="shared" si="0"/>
        <v>8799.9994285714274</v>
      </c>
      <c r="Q42" s="42">
        <v>307999.98</v>
      </c>
      <c r="R42" s="152">
        <f t="shared" si="1"/>
        <v>0.1754274908535037</v>
      </c>
      <c r="S42" s="49"/>
      <c r="T42" s="157">
        <f>IFERROR(VLOOKUP(B42,[1]Todos!$A$2:$C$3021,3,FALSE),0)</f>
        <v>0</v>
      </c>
      <c r="U42" s="112">
        <f t="shared" si="12"/>
        <v>0</v>
      </c>
      <c r="W42" s="157">
        <f>IFERROR(VLOOKUP(B42,[1]Todos!$A$2:$B$3021,2,FALSE),0)</f>
        <v>1201</v>
      </c>
      <c r="X42" s="112">
        <f t="shared" si="11"/>
        <v>0</v>
      </c>
    </row>
    <row r="43" spans="1:24" s="93" customFormat="1" outlineLevel="1" collapsed="1" x14ac:dyDescent="0.3">
      <c r="A43" s="50" t="s">
        <v>1017</v>
      </c>
      <c r="B43" s="129"/>
      <c r="C43" s="129"/>
      <c r="D43" s="51">
        <f>SUBTOTAL(9,D5:D42)</f>
        <v>18136</v>
      </c>
      <c r="E43" s="52"/>
      <c r="F43" s="52"/>
      <c r="G43" s="130"/>
      <c r="H43" s="131">
        <f>SUBTOTAL(9,H5:H42)</f>
        <v>3814624.3199999994</v>
      </c>
      <c r="I43" s="146">
        <f>SUBTOTAL(9,I5:I42)</f>
        <v>631004.78999999992</v>
      </c>
      <c r="J43" s="146">
        <f>SUBTOTAL(9,J5:J42)</f>
        <v>4445629.1100000003</v>
      </c>
      <c r="K43" s="53"/>
      <c r="L43" s="54"/>
      <c r="M43" s="54"/>
      <c r="N43" s="54"/>
      <c r="O43" s="55">
        <f>SUBTOTAL(9,O5:O42)</f>
        <v>9855312.6705088113</v>
      </c>
      <c r="P43" s="56"/>
      <c r="Q43" s="51">
        <f>SUBTOTAL(9,Q5:Q42)</f>
        <v>8490650.4700000007</v>
      </c>
      <c r="R43" s="164">
        <f t="shared" si="1"/>
        <v>1.1607252831017563</v>
      </c>
      <c r="S43" s="58">
        <f>Q43/$Q$303</f>
        <v>2.1210773256113012E-3</v>
      </c>
      <c r="T43" s="157">
        <f>IFERROR(VLOOKUP(B43,[1]Todos!$A$2:$C$3021,3,FALSE),0)</f>
        <v>0</v>
      </c>
      <c r="U43" s="112">
        <f t="shared" si="12"/>
        <v>0</v>
      </c>
      <c r="W43" s="157">
        <f>IFERROR(VLOOKUP(B43,[1]Todos!$A$2:$B$3021,2,FALSE),0)</f>
        <v>0</v>
      </c>
      <c r="X43" s="112">
        <f t="shared" si="11"/>
        <v>0</v>
      </c>
    </row>
    <row r="44" spans="1:24" hidden="1" outlineLevel="2" x14ac:dyDescent="0.3">
      <c r="A44" s="40" t="str">
        <f>VLOOKUP(B44,Grupos!$A$2:$B$619,2,FALSE)</f>
        <v>ADAPTADORES</v>
      </c>
      <c r="B44" s="41" t="s">
        <v>58</v>
      </c>
      <c r="C44" s="41" t="s">
        <v>59</v>
      </c>
      <c r="D44" s="42">
        <v>6400</v>
      </c>
      <c r="E44" s="43">
        <v>15.04</v>
      </c>
      <c r="F44" s="43">
        <v>4.49</v>
      </c>
      <c r="G44" s="126">
        <f t="shared" si="2"/>
        <v>19.53</v>
      </c>
      <c r="H44" s="127">
        <f t="shared" si="3"/>
        <v>96256</v>
      </c>
      <c r="I44" s="128">
        <f t="shared" si="4"/>
        <v>28736</v>
      </c>
      <c r="J44" s="128">
        <f t="shared" si="5"/>
        <v>124992</v>
      </c>
      <c r="K44" s="44">
        <f t="shared" si="6"/>
        <v>7.9747881699975597E-5</v>
      </c>
      <c r="L44" s="45">
        <f t="shared" si="7"/>
        <v>5.5738037720863955</v>
      </c>
      <c r="M44" s="45">
        <f t="shared" si="8"/>
        <v>29.465236006751731</v>
      </c>
      <c r="N44" s="45">
        <f t="shared" si="9"/>
        <v>54.569039778838132</v>
      </c>
      <c r="O44" s="46">
        <f t="shared" si="10"/>
        <v>349241.85458456405</v>
      </c>
      <c r="P44" s="47">
        <f t="shared" ref="P44:P50" si="13">Q44/D44</f>
        <v>91.875001562500003</v>
      </c>
      <c r="Q44" s="42">
        <v>588000.01</v>
      </c>
      <c r="R44" s="48">
        <f t="shared" si="1"/>
        <v>0.59394872218550476</v>
      </c>
      <c r="S44" s="49"/>
      <c r="T44" s="157">
        <f>IFERROR(VLOOKUP(B44,[1]Todos!$A$2:$C$3021,3,FALSE),0)</f>
        <v>4.8499999999999996</v>
      </c>
      <c r="U44" s="112">
        <f t="shared" si="12"/>
        <v>0.35999999999999943</v>
      </c>
      <c r="W44" s="157">
        <f>IFERROR(VLOOKUP(B44,[1]Todos!$A$2:$B$3021,2,FALSE),0)</f>
        <v>15.04</v>
      </c>
      <c r="X44" s="112">
        <f t="shared" si="11"/>
        <v>0</v>
      </c>
    </row>
    <row r="45" spans="1:24" hidden="1" outlineLevel="2" x14ac:dyDescent="0.3">
      <c r="A45" s="40" t="str">
        <f>VLOOKUP(B45,Grupos!$A$2:$B$619,2,FALSE)</f>
        <v>ADAPTADORES</v>
      </c>
      <c r="B45" s="41" t="s">
        <v>624</v>
      </c>
      <c r="C45" s="41" t="s">
        <v>625</v>
      </c>
      <c r="D45" s="42">
        <v>1000</v>
      </c>
      <c r="E45" s="43">
        <v>20.18</v>
      </c>
      <c r="F45" s="43">
        <v>4.9000000000000004</v>
      </c>
      <c r="G45" s="126">
        <f t="shared" si="2"/>
        <v>25.08</v>
      </c>
      <c r="H45" s="127">
        <f t="shared" si="3"/>
        <v>20180</v>
      </c>
      <c r="I45" s="128">
        <f t="shared" si="4"/>
        <v>4900</v>
      </c>
      <c r="J45" s="128">
        <f t="shared" si="5"/>
        <v>25080</v>
      </c>
      <c r="K45" s="44">
        <f t="shared" si="6"/>
        <v>1.600163908918481E-5</v>
      </c>
      <c r="L45" s="45">
        <f t="shared" si="7"/>
        <v>7.1577572249834489</v>
      </c>
      <c r="M45" s="45">
        <f t="shared" si="8"/>
        <v>32.155825486210126</v>
      </c>
      <c r="N45" s="45">
        <f t="shared" si="9"/>
        <v>64.393582711193574</v>
      </c>
      <c r="O45" s="46">
        <f t="shared" si="10"/>
        <v>64393.582711193572</v>
      </c>
      <c r="P45" s="47">
        <f t="shared" si="13"/>
        <v>105.00000999999999</v>
      </c>
      <c r="Q45" s="42">
        <v>105000.01</v>
      </c>
      <c r="R45" s="48">
        <f t="shared" si="1"/>
        <v>0.6132721578902095</v>
      </c>
      <c r="S45" s="49"/>
      <c r="T45" s="157">
        <f>IFERROR(VLOOKUP(B45,[1]Todos!$A$2:$C$3021,3,FALSE),0)</f>
        <v>4.9000000000000004</v>
      </c>
      <c r="U45" s="112">
        <f t="shared" si="12"/>
        <v>0</v>
      </c>
      <c r="W45" s="157">
        <f>IFERROR(VLOOKUP(B45,[1]Todos!$A$2:$B$3021,2,FALSE),0)</f>
        <v>20.18</v>
      </c>
      <c r="X45" s="112">
        <f t="shared" si="11"/>
        <v>0</v>
      </c>
    </row>
    <row r="46" spans="1:24" hidden="1" outlineLevel="2" x14ac:dyDescent="0.3">
      <c r="A46" s="40" t="str">
        <f>VLOOKUP(B46,Grupos!$A$2:$B$619,2,FALSE)</f>
        <v>ADAPTADORES</v>
      </c>
      <c r="B46" s="41" t="s">
        <v>60</v>
      </c>
      <c r="C46" s="41" t="s">
        <v>61</v>
      </c>
      <c r="D46" s="42">
        <v>145200</v>
      </c>
      <c r="E46" s="43">
        <v>26.11</v>
      </c>
      <c r="F46" s="43">
        <v>10.44</v>
      </c>
      <c r="G46" s="126">
        <f t="shared" si="2"/>
        <v>36.549999999999997</v>
      </c>
      <c r="H46" s="127">
        <f t="shared" si="3"/>
        <v>3791172</v>
      </c>
      <c r="I46" s="128">
        <f t="shared" si="4"/>
        <v>1515888</v>
      </c>
      <c r="J46" s="128">
        <f t="shared" si="5"/>
        <v>5307060</v>
      </c>
      <c r="K46" s="44">
        <f t="shared" si="6"/>
        <v>3.386031050424607E-3</v>
      </c>
      <c r="L46" s="45">
        <f t="shared" si="7"/>
        <v>10.431261027637364</v>
      </c>
      <c r="M46" s="45">
        <f t="shared" si="8"/>
        <v>68.511595525721162</v>
      </c>
      <c r="N46" s="45">
        <f t="shared" si="9"/>
        <v>115.49285655335852</v>
      </c>
      <c r="O46" s="46">
        <f t="shared" si="10"/>
        <v>16769562.771547657</v>
      </c>
      <c r="P46" s="47">
        <f t="shared" si="13"/>
        <v>106.23967548209367</v>
      </c>
      <c r="Q46" s="42">
        <v>15426000.880000001</v>
      </c>
      <c r="R46" s="162">
        <f t="shared" si="1"/>
        <v>1.0870972264295409</v>
      </c>
      <c r="S46" s="49"/>
      <c r="T46" s="157">
        <f>IFERROR(VLOOKUP(B46,[1]Todos!$A$2:$C$3021,3,FALSE),0)</f>
        <v>10.32</v>
      </c>
      <c r="U46" s="112">
        <f t="shared" si="12"/>
        <v>-0.11999999999999922</v>
      </c>
      <c r="W46" s="157">
        <f>IFERROR(VLOOKUP(B46,[1]Todos!$A$2:$B$3021,2,FALSE),0)</f>
        <v>26.12</v>
      </c>
      <c r="X46" s="112">
        <f t="shared" si="11"/>
        <v>1.0000000000001563E-2</v>
      </c>
    </row>
    <row r="47" spans="1:24" hidden="1" outlineLevel="2" x14ac:dyDescent="0.3">
      <c r="A47" s="40" t="str">
        <f>VLOOKUP(B47,Grupos!$A$2:$B$619,2,FALSE)</f>
        <v>ADAPTADORES</v>
      </c>
      <c r="B47" s="41" t="s">
        <v>766</v>
      </c>
      <c r="C47" s="41" t="s">
        <v>1048</v>
      </c>
      <c r="D47" s="42">
        <v>31200</v>
      </c>
      <c r="E47" s="43">
        <v>55.65</v>
      </c>
      <c r="F47" s="43">
        <v>10.51</v>
      </c>
      <c r="G47" s="126">
        <f t="shared" si="2"/>
        <v>66.16</v>
      </c>
      <c r="H47" s="127">
        <f t="shared" si="3"/>
        <v>1736280</v>
      </c>
      <c r="I47" s="128">
        <f t="shared" si="4"/>
        <v>327912</v>
      </c>
      <c r="J47" s="128">
        <f t="shared" si="5"/>
        <v>2064192</v>
      </c>
      <c r="K47" s="44">
        <f t="shared" si="6"/>
        <v>1.3170038036197198E-3</v>
      </c>
      <c r="L47" s="45">
        <f t="shared" si="7"/>
        <v>18.881866746607056</v>
      </c>
      <c r="M47" s="45">
        <f t="shared" si="8"/>
        <v>68.970964461238452</v>
      </c>
      <c r="N47" s="45">
        <f t="shared" si="9"/>
        <v>154.01283120784552</v>
      </c>
      <c r="O47" s="46">
        <f t="shared" si="10"/>
        <v>4805200.3336847806</v>
      </c>
      <c r="P47" s="47">
        <f t="shared" si="13"/>
        <v>164.3884544871795</v>
      </c>
      <c r="Q47" s="42">
        <v>5128919.78</v>
      </c>
      <c r="R47" s="48">
        <f t="shared" si="1"/>
        <v>0.93688350370041862</v>
      </c>
      <c r="S47" s="49"/>
      <c r="T47" s="157">
        <f>IFERROR(VLOOKUP(B47,[1]Todos!$A$2:$C$3021,3,FALSE),0)</f>
        <v>10.6</v>
      </c>
      <c r="U47" s="112">
        <f t="shared" si="12"/>
        <v>8.9999999999999858E-2</v>
      </c>
      <c r="W47" s="157">
        <f>IFERROR(VLOOKUP(B47,[1]Todos!$A$2:$B$3021,2,FALSE),0)</f>
        <v>55.65</v>
      </c>
      <c r="X47" s="112">
        <f t="shared" si="11"/>
        <v>0</v>
      </c>
    </row>
    <row r="48" spans="1:24" hidden="1" outlineLevel="2" x14ac:dyDescent="0.3">
      <c r="A48" s="40" t="str">
        <f>VLOOKUP(B48,Grupos!$A$2:$B$619,2,FALSE)</f>
        <v>ADAPTADORES</v>
      </c>
      <c r="B48" s="41" t="s">
        <v>1049</v>
      </c>
      <c r="C48" s="41" t="s">
        <v>1050</v>
      </c>
      <c r="D48" s="42">
        <v>738900</v>
      </c>
      <c r="E48" s="43">
        <v>27.67</v>
      </c>
      <c r="F48" s="43">
        <v>5.04</v>
      </c>
      <c r="G48" s="126">
        <f t="shared" si="2"/>
        <v>32.71</v>
      </c>
      <c r="H48" s="127">
        <f t="shared" si="3"/>
        <v>20445363</v>
      </c>
      <c r="I48" s="128">
        <f t="shared" si="4"/>
        <v>3724056</v>
      </c>
      <c r="J48" s="128">
        <f t="shared" si="5"/>
        <v>24169419</v>
      </c>
      <c r="K48" s="44">
        <f t="shared" si="6"/>
        <v>1.5420666660019381E-2</v>
      </c>
      <c r="L48" s="45">
        <f t="shared" si="7"/>
        <v>9.335336476443727</v>
      </c>
      <c r="M48" s="45">
        <f t="shared" si="8"/>
        <v>33.074563357244699</v>
      </c>
      <c r="N48" s="45">
        <f t="shared" si="9"/>
        <v>75.119899833688436</v>
      </c>
      <c r="O48" s="46">
        <f t="shared" si="10"/>
        <v>55506093.987112388</v>
      </c>
      <c r="P48" s="47">
        <f t="shared" si="13"/>
        <v>104.57612836649074</v>
      </c>
      <c r="Q48" s="42">
        <v>77271301.25</v>
      </c>
      <c r="R48" s="48">
        <f t="shared" si="1"/>
        <v>0.71832741379015397</v>
      </c>
      <c r="S48" s="49"/>
      <c r="T48" s="157">
        <f>IFERROR(VLOOKUP(B48,[1]Todos!$A$2:$C$3021,3,FALSE),0)</f>
        <v>5.37</v>
      </c>
      <c r="U48" s="112">
        <f t="shared" si="12"/>
        <v>0.33000000000000007</v>
      </c>
      <c r="W48" s="157">
        <f>IFERROR(VLOOKUP(B48,[1]Todos!$A$2:$B$3021,2,FALSE),0)</f>
        <v>27.67</v>
      </c>
      <c r="X48" s="112">
        <f t="shared" si="11"/>
        <v>0</v>
      </c>
    </row>
    <row r="49" spans="1:24" hidden="1" outlineLevel="2" x14ac:dyDescent="0.3">
      <c r="A49" s="40" t="str">
        <f>VLOOKUP(B49,Grupos!$A$2:$B$619,2,FALSE)</f>
        <v>ADAPTADORES</v>
      </c>
      <c r="B49" s="41" t="s">
        <v>62</v>
      </c>
      <c r="C49" s="41" t="s">
        <v>63</v>
      </c>
      <c r="D49" s="42">
        <v>190400</v>
      </c>
      <c r="E49" s="43">
        <v>41.81</v>
      </c>
      <c r="F49" s="43">
        <v>10.85</v>
      </c>
      <c r="G49" s="126">
        <f t="shared" si="2"/>
        <v>52.660000000000004</v>
      </c>
      <c r="H49" s="127">
        <f t="shared" si="3"/>
        <v>7960624</v>
      </c>
      <c r="I49" s="128">
        <f t="shared" si="4"/>
        <v>2065840</v>
      </c>
      <c r="J49" s="128">
        <f t="shared" si="5"/>
        <v>10026464</v>
      </c>
      <c r="K49" s="44">
        <f t="shared" si="6"/>
        <v>6.3971235354347801E-3</v>
      </c>
      <c r="L49" s="45">
        <f t="shared" si="7"/>
        <v>15.029006996316923</v>
      </c>
      <c r="M49" s="45">
        <f t="shared" si="8"/>
        <v>71.202185005179558</v>
      </c>
      <c r="N49" s="45">
        <f t="shared" si="9"/>
        <v>138.89119200149648</v>
      </c>
      <c r="O49" s="46">
        <f t="shared" si="10"/>
        <v>26444882.957084928</v>
      </c>
      <c r="P49" s="47">
        <f t="shared" si="13"/>
        <v>139.98319711134454</v>
      </c>
      <c r="Q49" s="42">
        <v>26652800.73</v>
      </c>
      <c r="R49" s="48">
        <f t="shared" si="1"/>
        <v>0.99219902722339259</v>
      </c>
      <c r="S49" s="49"/>
      <c r="T49" s="157">
        <f>IFERROR(VLOOKUP(B49,[1]Todos!$A$2:$C$3021,3,FALSE),0)</f>
        <v>11.11</v>
      </c>
      <c r="U49" s="112">
        <f t="shared" si="12"/>
        <v>0.25999999999999979</v>
      </c>
      <c r="W49" s="157">
        <f>IFERROR(VLOOKUP(B49,[1]Todos!$A$2:$B$3021,2,FALSE),0)</f>
        <v>41.81</v>
      </c>
      <c r="X49" s="112">
        <f t="shared" si="11"/>
        <v>0</v>
      </c>
    </row>
    <row r="50" spans="1:24" hidden="1" outlineLevel="2" x14ac:dyDescent="0.3">
      <c r="A50" s="40" t="str">
        <f>VLOOKUP(B50,Grupos!$A$2:$B$619,2,FALSE)</f>
        <v>ADAPTADORES</v>
      </c>
      <c r="B50" s="41" t="s">
        <v>777</v>
      </c>
      <c r="C50" s="41" t="s">
        <v>1106</v>
      </c>
      <c r="D50" s="42">
        <v>1600</v>
      </c>
      <c r="E50" s="43">
        <v>73.069999999999993</v>
      </c>
      <c r="F50" s="43">
        <v>2.75</v>
      </c>
      <c r="G50" s="126">
        <f t="shared" si="2"/>
        <v>75.819999999999993</v>
      </c>
      <c r="H50" s="127">
        <f t="shared" si="3"/>
        <v>116911.99999999999</v>
      </c>
      <c r="I50" s="128">
        <f t="shared" si="4"/>
        <v>4400</v>
      </c>
      <c r="J50" s="128">
        <f t="shared" si="5"/>
        <v>121311.99999999999</v>
      </c>
      <c r="K50" s="44">
        <f t="shared" si="6"/>
        <v>7.7399953795342398E-5</v>
      </c>
      <c r="L50" s="45">
        <f t="shared" si="7"/>
        <v>21.638801945703548</v>
      </c>
      <c r="M50" s="45">
        <f t="shared" si="8"/>
        <v>18.046636752464867</v>
      </c>
      <c r="N50" s="45">
        <f t="shared" si="9"/>
        <v>115.5054386981684</v>
      </c>
      <c r="O50" s="46">
        <f t="shared" si="10"/>
        <v>184808.70191706944</v>
      </c>
      <c r="P50" s="47">
        <f t="shared" si="13"/>
        <v>211</v>
      </c>
      <c r="Q50" s="42">
        <v>337600</v>
      </c>
      <c r="R50" s="48">
        <f t="shared" si="1"/>
        <v>0.54741914074961329</v>
      </c>
      <c r="S50" s="49"/>
      <c r="T50" s="157">
        <f>IFERROR(VLOOKUP(B50,[1]Todos!$A$2:$C$3021,3,FALSE),0)</f>
        <v>2.75</v>
      </c>
      <c r="U50" s="112">
        <f t="shared" si="12"/>
        <v>0</v>
      </c>
      <c r="W50" s="157">
        <f>IFERROR(VLOOKUP(B50,[1]Todos!$A$2:$B$3021,2,FALSE),0)</f>
        <v>73.069999999999993</v>
      </c>
      <c r="X50" s="112">
        <f t="shared" si="11"/>
        <v>0</v>
      </c>
    </row>
    <row r="51" spans="1:24" s="93" customFormat="1" outlineLevel="1" collapsed="1" x14ac:dyDescent="0.3">
      <c r="A51" s="50" t="s">
        <v>1018</v>
      </c>
      <c r="B51" s="129"/>
      <c r="C51" s="129"/>
      <c r="D51" s="51">
        <f>SUBTOTAL(9,D44:D50)</f>
        <v>1114700</v>
      </c>
      <c r="E51" s="52"/>
      <c r="F51" s="52"/>
      <c r="G51" s="130"/>
      <c r="H51" s="131">
        <f>SUBTOTAL(9,H44:H50)</f>
        <v>34166787</v>
      </c>
      <c r="I51" s="146">
        <f>SUBTOTAL(9,I44:I50)</f>
        <v>7671732</v>
      </c>
      <c r="J51" s="146">
        <f>SUBTOTAL(9,J44:J50)</f>
        <v>41838519</v>
      </c>
      <c r="K51" s="53"/>
      <c r="L51" s="54"/>
      <c r="M51" s="54"/>
      <c r="N51" s="54"/>
      <c r="O51" s="55">
        <f>SUBTOTAL(9,O44:O50)</f>
        <v>104124184.18864258</v>
      </c>
      <c r="P51" s="56"/>
      <c r="Q51" s="51">
        <f>SUBTOTAL(9,Q44:Q50)</f>
        <v>125509622.66000001</v>
      </c>
      <c r="R51" s="164">
        <f t="shared" si="1"/>
        <v>0.82961116432251858</v>
      </c>
      <c r="S51" s="58">
        <f>Q51/$Q$303</f>
        <v>3.1353971725814826E-2</v>
      </c>
      <c r="T51" s="157">
        <f>IFERROR(VLOOKUP(B51,[1]Todos!$A$2:$C$3021,3,FALSE),0)</f>
        <v>0</v>
      </c>
      <c r="U51" s="112">
        <f t="shared" si="12"/>
        <v>0</v>
      </c>
      <c r="W51" s="157">
        <f>IFERROR(VLOOKUP(B51,[1]Todos!$A$2:$B$3021,2,FALSE),0)</f>
        <v>0</v>
      </c>
      <c r="X51" s="112">
        <f t="shared" si="11"/>
        <v>0</v>
      </c>
    </row>
    <row r="52" spans="1:24" hidden="1" outlineLevel="2" x14ac:dyDescent="0.3">
      <c r="A52" s="40" t="str">
        <f>VLOOKUP(B52,Grupos!$A$2:$B$619,2,FALSE)</f>
        <v>CAJAS ARRANCADORAS</v>
      </c>
      <c r="B52" s="41" t="s">
        <v>64</v>
      </c>
      <c r="C52" s="41" t="s">
        <v>65</v>
      </c>
      <c r="D52" s="42">
        <v>19</v>
      </c>
      <c r="E52" s="43">
        <v>30398.83</v>
      </c>
      <c r="F52" s="43">
        <v>4300.8599999999997</v>
      </c>
      <c r="G52" s="126">
        <f t="shared" si="2"/>
        <v>34699.69</v>
      </c>
      <c r="H52" s="127">
        <f t="shared" si="3"/>
        <v>577577.77</v>
      </c>
      <c r="I52" s="128">
        <f t="shared" si="4"/>
        <v>81716.34</v>
      </c>
      <c r="J52" s="128">
        <f t="shared" si="5"/>
        <v>659294.1100000001</v>
      </c>
      <c r="K52" s="44">
        <f t="shared" si="6"/>
        <v>4.2064539082317833E-4</v>
      </c>
      <c r="L52" s="45">
        <f t="shared" si="7"/>
        <v>9903.1880702626004</v>
      </c>
      <c r="M52" s="45">
        <f t="shared" si="8"/>
        <v>28224.021142984016</v>
      </c>
      <c r="N52" s="45">
        <f t="shared" si="9"/>
        <v>72826.899213246623</v>
      </c>
      <c r="O52" s="46">
        <f t="shared" si="10"/>
        <v>1383711.0850516858</v>
      </c>
      <c r="P52" s="47">
        <f t="shared" ref="P52:P57" si="14">Q52/D52</f>
        <v>106235.67894736842</v>
      </c>
      <c r="Q52" s="42">
        <v>2018477.9</v>
      </c>
      <c r="R52" s="48">
        <f t="shared" si="1"/>
        <v>0.68552203868652006</v>
      </c>
      <c r="S52" s="49"/>
      <c r="T52" s="157">
        <f>IFERROR(VLOOKUP(B52,[1]Todos!$A$2:$C$3021,3,FALSE),0)</f>
        <v>4472.47</v>
      </c>
      <c r="U52" s="112">
        <f t="shared" si="12"/>
        <v>171.61000000000058</v>
      </c>
      <c r="W52" s="157">
        <f>IFERROR(VLOOKUP(B52,[1]Todos!$A$2:$B$3021,2,FALSE),0)</f>
        <v>30398.83</v>
      </c>
      <c r="X52" s="112">
        <f t="shared" si="11"/>
        <v>0</v>
      </c>
    </row>
    <row r="53" spans="1:24" hidden="1" outlineLevel="2" x14ac:dyDescent="0.3">
      <c r="A53" s="40" t="str">
        <f>VLOOKUP(B53,Grupos!$A$2:$B$619,2,FALSE)</f>
        <v>CAJAS ARRANCADORAS</v>
      </c>
      <c r="B53" s="41" t="s">
        <v>66</v>
      </c>
      <c r="C53" s="41" t="s">
        <v>1054</v>
      </c>
      <c r="D53" s="42">
        <v>10</v>
      </c>
      <c r="E53" s="43">
        <v>40781.56</v>
      </c>
      <c r="F53" s="43">
        <v>5815.83</v>
      </c>
      <c r="G53" s="126">
        <f t="shared" si="2"/>
        <v>46597.39</v>
      </c>
      <c r="H53" s="127">
        <f t="shared" si="3"/>
        <v>407815.6</v>
      </c>
      <c r="I53" s="128">
        <f t="shared" si="4"/>
        <v>58158.3</v>
      </c>
      <c r="J53" s="128">
        <f t="shared" si="5"/>
        <v>465973.9</v>
      </c>
      <c r="K53" s="44">
        <f t="shared" si="6"/>
        <v>2.9730247897846469E-4</v>
      </c>
      <c r="L53" s="45">
        <f t="shared" si="7"/>
        <v>13298.756177746074</v>
      </c>
      <c r="M53" s="45">
        <f t="shared" si="8"/>
        <v>38165.880517850092</v>
      </c>
      <c r="N53" s="45">
        <f t="shared" si="9"/>
        <v>98062.026695596171</v>
      </c>
      <c r="O53" s="46">
        <f t="shared" si="10"/>
        <v>980620.26695596171</v>
      </c>
      <c r="P53" s="47">
        <f t="shared" si="14"/>
        <v>160164.99599999998</v>
      </c>
      <c r="Q53" s="42">
        <v>1601649.96</v>
      </c>
      <c r="R53" s="48">
        <f t="shared" si="1"/>
        <v>0.61225629285187988</v>
      </c>
      <c r="S53" s="49"/>
      <c r="T53" s="157">
        <f>IFERROR(VLOOKUP(B53,[1]Todos!$A$2:$C$3021,3,FALSE),0)</f>
        <v>5353.18</v>
      </c>
      <c r="U53" s="112">
        <f t="shared" si="12"/>
        <v>-462.64999999999964</v>
      </c>
      <c r="W53" s="157">
        <f>IFERROR(VLOOKUP(B53,[1]Todos!$A$2:$B$3021,2,FALSE),0)</f>
        <v>40781.56</v>
      </c>
      <c r="X53" s="112">
        <f t="shared" si="11"/>
        <v>0</v>
      </c>
    </row>
    <row r="54" spans="1:24" hidden="1" outlineLevel="2" x14ac:dyDescent="0.3">
      <c r="A54" s="40" t="str">
        <f>VLOOKUP(B54,Grupos!$A$2:$B$619,2,FALSE)</f>
        <v>CAJAS ARRANCADORAS</v>
      </c>
      <c r="B54" s="41" t="s">
        <v>626</v>
      </c>
      <c r="C54" s="41" t="s">
        <v>1055</v>
      </c>
      <c r="D54" s="42">
        <v>1</v>
      </c>
      <c r="E54" s="43">
        <v>62538.51</v>
      </c>
      <c r="F54" s="43">
        <v>4746.8100000000004</v>
      </c>
      <c r="G54" s="126">
        <f t="shared" si="2"/>
        <v>67285.320000000007</v>
      </c>
      <c r="H54" s="127">
        <f t="shared" si="3"/>
        <v>62538.51</v>
      </c>
      <c r="I54" s="128">
        <f t="shared" si="4"/>
        <v>4746.8100000000004</v>
      </c>
      <c r="J54" s="128">
        <f t="shared" si="5"/>
        <v>67285.320000000007</v>
      </c>
      <c r="K54" s="44">
        <f t="shared" si="6"/>
        <v>4.2929641413090455E-5</v>
      </c>
      <c r="L54" s="45">
        <f t="shared" si="7"/>
        <v>19203.029719510505</v>
      </c>
      <c r="M54" s="45">
        <f t="shared" si="8"/>
        <v>31150.52938289737</v>
      </c>
      <c r="N54" s="45">
        <f t="shared" si="9"/>
        <v>117638.87910240788</v>
      </c>
      <c r="O54" s="46">
        <f t="shared" si="10"/>
        <v>117638.87910240788</v>
      </c>
      <c r="P54" s="47">
        <f t="shared" si="14"/>
        <v>279539.99</v>
      </c>
      <c r="Q54" s="42">
        <v>279539.99</v>
      </c>
      <c r="R54" s="48">
        <f t="shared" si="1"/>
        <v>0.42083023292090654</v>
      </c>
      <c r="S54" s="49"/>
      <c r="T54" s="157">
        <f>IFERROR(VLOOKUP(B54,[1]Todos!$A$2:$C$3021,3,FALSE),0)</f>
        <v>5265.73</v>
      </c>
      <c r="U54" s="112">
        <f t="shared" si="12"/>
        <v>518.91999999999916</v>
      </c>
      <c r="W54" s="157">
        <f>IFERROR(VLOOKUP(B54,[1]Todos!$A$2:$B$3021,2,FALSE),0)</f>
        <v>62538.51</v>
      </c>
      <c r="X54" s="112">
        <f t="shared" si="11"/>
        <v>0</v>
      </c>
    </row>
    <row r="55" spans="1:24" hidden="1" outlineLevel="2" x14ac:dyDescent="0.3">
      <c r="A55" s="40" t="str">
        <f>VLOOKUP(B55,Grupos!$A$2:$B$619,2,FALSE)</f>
        <v>CAJAS ARRANCADORAS</v>
      </c>
      <c r="B55" s="41" t="s">
        <v>627</v>
      </c>
      <c r="C55" s="41" t="s">
        <v>628</v>
      </c>
      <c r="D55" s="42">
        <v>5</v>
      </c>
      <c r="E55" s="43">
        <v>78390.899999999994</v>
      </c>
      <c r="F55" s="43">
        <v>7027.37</v>
      </c>
      <c r="G55" s="126">
        <f t="shared" si="2"/>
        <v>85418.26999999999</v>
      </c>
      <c r="H55" s="127">
        <f t="shared" si="3"/>
        <v>391954.5</v>
      </c>
      <c r="I55" s="128">
        <f t="shared" si="4"/>
        <v>35136.85</v>
      </c>
      <c r="J55" s="128">
        <f t="shared" si="5"/>
        <v>427091.35</v>
      </c>
      <c r="K55" s="44">
        <f t="shared" si="6"/>
        <v>2.7249448328599323E-4</v>
      </c>
      <c r="L55" s="45">
        <f t="shared" si="7"/>
        <v>24378.119586845572</v>
      </c>
      <c r="M55" s="45">
        <f t="shared" si="8"/>
        <v>46116.506805516008</v>
      </c>
      <c r="N55" s="45">
        <f t="shared" si="9"/>
        <v>155912.89639236155</v>
      </c>
      <c r="O55" s="46">
        <f t="shared" si="10"/>
        <v>779564.4819618077</v>
      </c>
      <c r="P55" s="47">
        <f t="shared" si="14"/>
        <v>311689.60399999999</v>
      </c>
      <c r="Q55" s="42">
        <v>1558448.02</v>
      </c>
      <c r="R55" s="48">
        <f t="shared" si="1"/>
        <v>0.50021846860301933</v>
      </c>
      <c r="S55" s="49"/>
      <c r="T55" s="157">
        <f>IFERROR(VLOOKUP(B55,[1]Todos!$A$2:$C$3021,3,FALSE),0)</f>
        <v>7236.18</v>
      </c>
      <c r="U55" s="112">
        <f t="shared" si="12"/>
        <v>208.8100000000004</v>
      </c>
      <c r="W55" s="157">
        <f>IFERROR(VLOOKUP(B55,[1]Todos!$A$2:$B$3021,2,FALSE),0)</f>
        <v>78390.899999999994</v>
      </c>
      <c r="X55" s="112">
        <f t="shared" si="11"/>
        <v>0</v>
      </c>
    </row>
    <row r="56" spans="1:24" hidden="1" outlineLevel="2" x14ac:dyDescent="0.3">
      <c r="A56" s="40" t="str">
        <f>VLOOKUP(B56,Grupos!$A$2:$B$619,2,FALSE)</f>
        <v>CAJAS ARRANCADORAS</v>
      </c>
      <c r="B56" s="41" t="s">
        <v>629</v>
      </c>
      <c r="C56" s="41" t="s">
        <v>630</v>
      </c>
      <c r="D56" s="42">
        <v>2</v>
      </c>
      <c r="E56" s="43">
        <v>84343.91</v>
      </c>
      <c r="F56" s="43">
        <v>6368.9</v>
      </c>
      <c r="G56" s="126">
        <f t="shared" si="2"/>
        <v>90712.81</v>
      </c>
      <c r="H56" s="127">
        <f t="shared" si="3"/>
        <v>168687.82</v>
      </c>
      <c r="I56" s="128">
        <f t="shared" si="4"/>
        <v>12737.8</v>
      </c>
      <c r="J56" s="128">
        <f t="shared" si="5"/>
        <v>181425.62</v>
      </c>
      <c r="K56" s="44">
        <f t="shared" si="6"/>
        <v>1.1575387929711281E-4</v>
      </c>
      <c r="L56" s="45">
        <f t="shared" si="7"/>
        <v>25889.165517386398</v>
      </c>
      <c r="M56" s="45">
        <f t="shared" si="8"/>
        <v>41795.354477372173</v>
      </c>
      <c r="N56" s="45">
        <f t="shared" si="9"/>
        <v>158397.32999475856</v>
      </c>
      <c r="O56" s="46">
        <f t="shared" si="10"/>
        <v>316794.65998951712</v>
      </c>
      <c r="P56" s="47">
        <f t="shared" si="14"/>
        <v>373318</v>
      </c>
      <c r="Q56" s="42">
        <v>746636</v>
      </c>
      <c r="R56" s="48">
        <f t="shared" si="1"/>
        <v>0.42429598892836284</v>
      </c>
      <c r="S56" s="49"/>
      <c r="T56" s="157">
        <f>IFERROR(VLOOKUP(B56,[1]Todos!$A$2:$C$3021,3,FALSE),0)</f>
        <v>8005.49</v>
      </c>
      <c r="U56" s="112">
        <f t="shared" si="12"/>
        <v>1636.5900000000001</v>
      </c>
      <c r="W56" s="157">
        <f>IFERROR(VLOOKUP(B56,[1]Todos!$A$2:$B$3021,2,FALSE),0)</f>
        <v>84343.91</v>
      </c>
      <c r="X56" s="112">
        <f t="shared" si="11"/>
        <v>0</v>
      </c>
    </row>
    <row r="57" spans="1:24" hidden="1" outlineLevel="2" x14ac:dyDescent="0.3">
      <c r="A57" s="40" t="str">
        <f>VLOOKUP(B57,Grupos!$A$2:$B$619,2,FALSE)</f>
        <v>CAJAS ARRANCADORAS</v>
      </c>
      <c r="B57" s="41" t="s">
        <v>68</v>
      </c>
      <c r="C57" s="41" t="s">
        <v>69</v>
      </c>
      <c r="D57" s="42">
        <v>8</v>
      </c>
      <c r="E57" s="43">
        <v>94916.92</v>
      </c>
      <c r="F57" s="43">
        <v>4655.04</v>
      </c>
      <c r="G57" s="126">
        <f t="shared" si="2"/>
        <v>99571.959999999992</v>
      </c>
      <c r="H57" s="127">
        <f t="shared" si="3"/>
        <v>759335.36</v>
      </c>
      <c r="I57" s="128">
        <f t="shared" si="4"/>
        <v>37240.32</v>
      </c>
      <c r="J57" s="128">
        <f t="shared" si="5"/>
        <v>796575.67999999993</v>
      </c>
      <c r="K57" s="44">
        <f t="shared" si="6"/>
        <v>5.0823431174569261E-4</v>
      </c>
      <c r="L57" s="45">
        <f t="shared" si="7"/>
        <v>28417.540514185126</v>
      </c>
      <c r="M57" s="45">
        <f t="shared" si="8"/>
        <v>30548.296708434202</v>
      </c>
      <c r="N57" s="45">
        <f t="shared" si="9"/>
        <v>158537.79722261932</v>
      </c>
      <c r="O57" s="46">
        <f t="shared" si="10"/>
        <v>1268302.3777809546</v>
      </c>
      <c r="P57" s="47">
        <f t="shared" si="14"/>
        <v>364486.57374999998</v>
      </c>
      <c r="Q57" s="42">
        <v>2915892.59</v>
      </c>
      <c r="R57" s="48">
        <f t="shared" si="1"/>
        <v>0.43496196743685772</v>
      </c>
      <c r="S57" s="49"/>
      <c r="T57" s="157">
        <f>IFERROR(VLOOKUP(B57,[1]Todos!$A$2:$C$3021,3,FALSE),0)</f>
        <v>5465.68</v>
      </c>
      <c r="U57" s="112">
        <f t="shared" si="12"/>
        <v>810.64000000000033</v>
      </c>
      <c r="W57" s="157">
        <f>IFERROR(VLOOKUP(B57,[1]Todos!$A$2:$B$3021,2,FALSE),0)</f>
        <v>94916.92</v>
      </c>
      <c r="X57" s="112">
        <f t="shared" si="11"/>
        <v>0</v>
      </c>
    </row>
    <row r="58" spans="1:24" s="93" customFormat="1" outlineLevel="1" collapsed="1" x14ac:dyDescent="0.3">
      <c r="A58" s="50" t="s">
        <v>1019</v>
      </c>
      <c r="B58" s="129"/>
      <c r="C58" s="129"/>
      <c r="D58" s="51">
        <f>SUBTOTAL(9,D52:D57)</f>
        <v>45</v>
      </c>
      <c r="E58" s="52"/>
      <c r="F58" s="52"/>
      <c r="G58" s="130"/>
      <c r="H58" s="131">
        <f>SUBTOTAL(9,H52:H57)</f>
        <v>2367909.56</v>
      </c>
      <c r="I58" s="146">
        <f>SUBTOTAL(9,I52:I57)</f>
        <v>229736.42</v>
      </c>
      <c r="J58" s="146">
        <f>SUBTOTAL(9,J52:J57)</f>
        <v>2597645.9800000004</v>
      </c>
      <c r="K58" s="53"/>
      <c r="L58" s="54"/>
      <c r="M58" s="54"/>
      <c r="N58" s="54"/>
      <c r="O58" s="55">
        <f>SUBTOTAL(9,O52:O57)</f>
        <v>4846631.7508423347</v>
      </c>
      <c r="P58" s="56"/>
      <c r="Q58" s="51">
        <f>SUBTOTAL(9,Q52:Q57)</f>
        <v>9120644.459999999</v>
      </c>
      <c r="R58" s="164">
        <f t="shared" si="1"/>
        <v>0.53139136955705157</v>
      </c>
      <c r="S58" s="58">
        <f>Q58/$Q$303</f>
        <v>2.2784581967450045E-3</v>
      </c>
      <c r="T58" s="157">
        <f>IFERROR(VLOOKUP(B58,[1]Todos!$A$2:$C$3021,3,FALSE),0)</f>
        <v>0</v>
      </c>
      <c r="U58" s="112">
        <f t="shared" si="12"/>
        <v>0</v>
      </c>
      <c r="W58" s="157">
        <f>IFERROR(VLOOKUP(B58,[1]Todos!$A$2:$B$3021,2,FALSE),0)</f>
        <v>0</v>
      </c>
      <c r="X58" s="112">
        <f t="shared" si="11"/>
        <v>0</v>
      </c>
    </row>
    <row r="59" spans="1:24" hidden="1" outlineLevel="2" x14ac:dyDescent="0.3">
      <c r="A59" s="40" t="str">
        <f>VLOOKUP(B59,Grupos!$A$2:$B$619,2,FALSE)</f>
        <v>CAJAS EMPALME</v>
      </c>
      <c r="B59" s="41" t="s">
        <v>70</v>
      </c>
      <c r="C59" s="41" t="s">
        <v>71</v>
      </c>
      <c r="D59" s="42">
        <v>108</v>
      </c>
      <c r="E59" s="43">
        <v>2813.7</v>
      </c>
      <c r="F59" s="43">
        <v>445.14</v>
      </c>
      <c r="G59" s="126">
        <f t="shared" si="2"/>
        <v>3258.8399999999997</v>
      </c>
      <c r="H59" s="127">
        <f t="shared" si="3"/>
        <v>303879.59999999998</v>
      </c>
      <c r="I59" s="128">
        <f t="shared" si="4"/>
        <v>48075.119999999995</v>
      </c>
      <c r="J59" s="128">
        <f t="shared" si="5"/>
        <v>351954.72</v>
      </c>
      <c r="K59" s="44">
        <f t="shared" si="6"/>
        <v>2.245555185476513E-4</v>
      </c>
      <c r="L59" s="45">
        <f t="shared" si="7"/>
        <v>930.06321989892592</v>
      </c>
      <c r="M59" s="45">
        <f t="shared" si="8"/>
        <v>2921.1926850880768</v>
      </c>
      <c r="N59" s="45">
        <f t="shared" si="9"/>
        <v>7110.0959049870016</v>
      </c>
      <c r="O59" s="46">
        <f t="shared" si="10"/>
        <v>767890.35773859615</v>
      </c>
      <c r="P59" s="47">
        <f t="shared" ref="P59:P77" si="15">Q59/D59</f>
        <v>11179.999907407408</v>
      </c>
      <c r="Q59" s="42">
        <v>1207439.99</v>
      </c>
      <c r="R59" s="48">
        <f t="shared" si="1"/>
        <v>0.63596564972027814</v>
      </c>
      <c r="S59" s="49"/>
      <c r="T59" s="157">
        <f>IFERROR(VLOOKUP(B59,[1]Todos!$A$2:$C$3021,3,FALSE),0)</f>
        <v>426.22</v>
      </c>
      <c r="U59" s="112">
        <f t="shared" si="12"/>
        <v>-18.919999999999959</v>
      </c>
      <c r="W59" s="157">
        <f>IFERROR(VLOOKUP(B59,[1]Todos!$A$2:$B$3021,2,FALSE),0)</f>
        <v>2813.7</v>
      </c>
      <c r="X59" s="112">
        <f t="shared" si="11"/>
        <v>0</v>
      </c>
    </row>
    <row r="60" spans="1:24" hidden="1" outlineLevel="2" x14ac:dyDescent="0.3">
      <c r="A60" s="40" t="str">
        <f>VLOOKUP(B60,Grupos!$A$2:$B$619,2,FALSE)</f>
        <v>CAJAS EMPALME</v>
      </c>
      <c r="B60" s="41" t="s">
        <v>72</v>
      </c>
      <c r="C60" s="41" t="s">
        <v>73</v>
      </c>
      <c r="D60" s="42">
        <v>4513</v>
      </c>
      <c r="E60" s="43">
        <v>3808.35</v>
      </c>
      <c r="F60" s="43">
        <v>678.65</v>
      </c>
      <c r="G60" s="126">
        <f t="shared" si="2"/>
        <v>4487</v>
      </c>
      <c r="H60" s="127">
        <f t="shared" si="3"/>
        <v>17187083.550000001</v>
      </c>
      <c r="I60" s="128">
        <f t="shared" si="4"/>
        <v>3062747.4499999997</v>
      </c>
      <c r="J60" s="128">
        <f t="shared" si="5"/>
        <v>20249831</v>
      </c>
      <c r="K60" s="44">
        <f t="shared" si="6"/>
        <v>1.2919875888316839E-2</v>
      </c>
      <c r="L60" s="45">
        <f t="shared" si="7"/>
        <v>1280.5764221890245</v>
      </c>
      <c r="M60" s="45">
        <f t="shared" si="8"/>
        <v>4453.5818298401027</v>
      </c>
      <c r="N60" s="45">
        <f t="shared" si="9"/>
        <v>10221.158252029127</v>
      </c>
      <c r="O60" s="46">
        <f t="shared" si="10"/>
        <v>46128087.19140745</v>
      </c>
      <c r="P60" s="47">
        <f t="shared" si="15"/>
        <v>12985.749749612231</v>
      </c>
      <c r="Q60" s="42">
        <v>58604688.619999997</v>
      </c>
      <c r="R60" s="48">
        <f t="shared" si="1"/>
        <v>0.78710574661538835</v>
      </c>
      <c r="S60" s="49"/>
      <c r="T60" s="157">
        <f>IFERROR(VLOOKUP(B60,[1]Todos!$A$2:$C$3021,3,FALSE),0)</f>
        <v>680.53</v>
      </c>
      <c r="U60" s="112">
        <f t="shared" si="12"/>
        <v>1.8799999999999955</v>
      </c>
      <c r="W60" s="157">
        <f>IFERROR(VLOOKUP(B60,[1]Todos!$A$2:$B$3021,2,FALSE),0)</f>
        <v>3808.35</v>
      </c>
      <c r="X60" s="112">
        <f t="shared" si="11"/>
        <v>0</v>
      </c>
    </row>
    <row r="61" spans="1:24" hidden="1" outlineLevel="2" x14ac:dyDescent="0.3">
      <c r="A61" s="40" t="str">
        <f>VLOOKUP(B61,Grupos!$A$2:$B$619,2,FALSE)</f>
        <v>CAJAS EMPALME</v>
      </c>
      <c r="B61" s="41" t="s">
        <v>74</v>
      </c>
      <c r="C61" s="41" t="s">
        <v>75</v>
      </c>
      <c r="D61" s="42">
        <v>110</v>
      </c>
      <c r="E61" s="43">
        <v>4623.5200000000004</v>
      </c>
      <c r="F61" s="43">
        <v>378.55</v>
      </c>
      <c r="G61" s="126">
        <f t="shared" si="2"/>
        <v>5002.0700000000006</v>
      </c>
      <c r="H61" s="127">
        <f t="shared" si="3"/>
        <v>508587.20000000007</v>
      </c>
      <c r="I61" s="128">
        <f t="shared" si="4"/>
        <v>41640.5</v>
      </c>
      <c r="J61" s="128">
        <f t="shared" si="5"/>
        <v>550227.70000000007</v>
      </c>
      <c r="K61" s="44">
        <f t="shared" si="6"/>
        <v>3.5105841595981874E-4</v>
      </c>
      <c r="L61" s="45">
        <f t="shared" si="7"/>
        <v>1427.5758645284277</v>
      </c>
      <c r="M61" s="45">
        <f t="shared" si="8"/>
        <v>2484.2015791438457</v>
      </c>
      <c r="N61" s="45">
        <f t="shared" si="9"/>
        <v>8913.8474436722736</v>
      </c>
      <c r="O61" s="46">
        <f t="shared" si="10"/>
        <v>980523.21880395012</v>
      </c>
      <c r="P61" s="47">
        <f t="shared" si="15"/>
        <v>16497.100545454545</v>
      </c>
      <c r="Q61" s="42">
        <v>1814681.06</v>
      </c>
      <c r="R61" s="48">
        <f t="shared" si="1"/>
        <v>0.54032812730406199</v>
      </c>
      <c r="S61" s="49"/>
      <c r="T61" s="157">
        <f>IFERROR(VLOOKUP(B61,[1]Todos!$A$2:$C$3021,3,FALSE),0)</f>
        <v>408.44</v>
      </c>
      <c r="U61" s="112">
        <f t="shared" si="12"/>
        <v>29.889999999999986</v>
      </c>
      <c r="W61" s="157">
        <f>IFERROR(VLOOKUP(B61,[1]Todos!$A$2:$B$3021,2,FALSE),0)</f>
        <v>4623.5200000000004</v>
      </c>
      <c r="X61" s="112">
        <f t="shared" si="11"/>
        <v>0</v>
      </c>
    </row>
    <row r="62" spans="1:24" hidden="1" outlineLevel="2" x14ac:dyDescent="0.3">
      <c r="A62" s="40" t="str">
        <f>VLOOKUP(B62,Grupos!$A$2:$B$619,2,FALSE)</f>
        <v>CAJAS EMPALME</v>
      </c>
      <c r="B62" s="41" t="s">
        <v>76</v>
      </c>
      <c r="C62" s="41" t="s">
        <v>77</v>
      </c>
      <c r="D62" s="42">
        <v>1944</v>
      </c>
      <c r="E62" s="43">
        <v>5549.93</v>
      </c>
      <c r="F62" s="43">
        <v>705.58</v>
      </c>
      <c r="G62" s="126">
        <f t="shared" si="2"/>
        <v>6255.51</v>
      </c>
      <c r="H62" s="127">
        <f t="shared" si="3"/>
        <v>10789063.92</v>
      </c>
      <c r="I62" s="128">
        <f t="shared" si="4"/>
        <v>1371647.52</v>
      </c>
      <c r="J62" s="128">
        <f t="shared" si="5"/>
        <v>12160711.440000001</v>
      </c>
      <c r="K62" s="44">
        <f t="shared" si="6"/>
        <v>7.7588243831978043E-3</v>
      </c>
      <c r="L62" s="45">
        <f t="shared" si="7"/>
        <v>1785.3039034472179</v>
      </c>
      <c r="M62" s="45">
        <f t="shared" si="8"/>
        <v>4630.3076217469679</v>
      </c>
      <c r="N62" s="45">
        <f t="shared" si="9"/>
        <v>12671.121525194187</v>
      </c>
      <c r="O62" s="46">
        <f t="shared" si="10"/>
        <v>24632660.2449775</v>
      </c>
      <c r="P62" s="47">
        <f t="shared" si="15"/>
        <v>17590.127427983538</v>
      </c>
      <c r="Q62" s="42">
        <v>34195207.719999999</v>
      </c>
      <c r="R62" s="48">
        <f t="shared" si="1"/>
        <v>0.72035416326979695</v>
      </c>
      <c r="S62" s="49"/>
      <c r="T62" s="157">
        <f>IFERROR(VLOOKUP(B62,[1]Todos!$A$2:$C$3021,3,FALSE),0)</f>
        <v>701.09</v>
      </c>
      <c r="U62" s="112">
        <f t="shared" si="12"/>
        <v>-4.4900000000000091</v>
      </c>
      <c r="W62" s="157">
        <f>IFERROR(VLOOKUP(B62,[1]Todos!$A$2:$B$3021,2,FALSE),0)</f>
        <v>5549.93</v>
      </c>
      <c r="X62" s="112">
        <f t="shared" si="11"/>
        <v>0</v>
      </c>
    </row>
    <row r="63" spans="1:24" hidden="1" outlineLevel="2" x14ac:dyDescent="0.3">
      <c r="A63" s="40" t="str">
        <f>VLOOKUP(B63,Grupos!$A$2:$B$619,2,FALSE)</f>
        <v>CAJAS EMPALME</v>
      </c>
      <c r="B63" s="41" t="s">
        <v>78</v>
      </c>
      <c r="C63" s="41" t="s">
        <v>79</v>
      </c>
      <c r="D63" s="42">
        <v>112</v>
      </c>
      <c r="E63" s="43">
        <v>6787.81</v>
      </c>
      <c r="F63" s="43">
        <v>515.51</v>
      </c>
      <c r="G63" s="126">
        <f t="shared" si="2"/>
        <v>7303.3200000000006</v>
      </c>
      <c r="H63" s="127">
        <f t="shared" si="3"/>
        <v>760234.72000000009</v>
      </c>
      <c r="I63" s="128">
        <f t="shared" si="4"/>
        <v>57737.119999999995</v>
      </c>
      <c r="J63" s="128">
        <f t="shared" si="5"/>
        <v>817971.84000000008</v>
      </c>
      <c r="K63" s="44">
        <f t="shared" si="6"/>
        <v>5.2188557291851778E-4</v>
      </c>
      <c r="L63" s="45">
        <f t="shared" si="7"/>
        <v>2084.3457534436261</v>
      </c>
      <c r="M63" s="45">
        <f t="shared" si="8"/>
        <v>3382.9897135502415</v>
      </c>
      <c r="N63" s="45">
        <f t="shared" si="9"/>
        <v>12770.655466993869</v>
      </c>
      <c r="O63" s="46">
        <f t="shared" si="10"/>
        <v>1430313.4123033134</v>
      </c>
      <c r="P63" s="47">
        <f t="shared" si="15"/>
        <v>24241.428482142859</v>
      </c>
      <c r="Q63" s="42">
        <v>2715039.99</v>
      </c>
      <c r="R63" s="48">
        <f t="shared" si="1"/>
        <v>0.52681117684138168</v>
      </c>
      <c r="S63" s="49"/>
      <c r="T63" s="157">
        <f>IFERROR(VLOOKUP(B63,[1]Todos!$A$2:$C$3021,3,FALSE),0)</f>
        <v>539.74</v>
      </c>
      <c r="U63" s="112">
        <f t="shared" si="12"/>
        <v>24.230000000000018</v>
      </c>
      <c r="W63" s="157">
        <f>IFERROR(VLOOKUP(B63,[1]Todos!$A$2:$B$3021,2,FALSE),0)</f>
        <v>6787.81</v>
      </c>
      <c r="X63" s="112">
        <f t="shared" si="11"/>
        <v>0</v>
      </c>
    </row>
    <row r="64" spans="1:24" hidden="1" outlineLevel="2" x14ac:dyDescent="0.3">
      <c r="A64" s="40" t="str">
        <f>VLOOKUP(B64,Grupos!$A$2:$B$619,2,FALSE)</f>
        <v>CAJAS EMPALME</v>
      </c>
      <c r="B64" s="41" t="s">
        <v>80</v>
      </c>
      <c r="C64" s="41" t="s">
        <v>81</v>
      </c>
      <c r="D64" s="42">
        <v>66</v>
      </c>
      <c r="E64" s="43">
        <v>6420.01</v>
      </c>
      <c r="F64" s="43">
        <v>360.08</v>
      </c>
      <c r="G64" s="126">
        <f t="shared" si="2"/>
        <v>6780.09</v>
      </c>
      <c r="H64" s="127">
        <f t="shared" si="3"/>
        <v>423720.66000000003</v>
      </c>
      <c r="I64" s="128">
        <f t="shared" si="4"/>
        <v>23765.279999999999</v>
      </c>
      <c r="J64" s="128">
        <f t="shared" si="5"/>
        <v>447485.94</v>
      </c>
      <c r="K64" s="44">
        <f t="shared" si="6"/>
        <v>2.8550671887418694E-4</v>
      </c>
      <c r="L64" s="45">
        <f t="shared" si="7"/>
        <v>1935.017471432936</v>
      </c>
      <c r="M64" s="45">
        <f t="shared" si="8"/>
        <v>2362.993804300927</v>
      </c>
      <c r="N64" s="45">
        <f t="shared" si="9"/>
        <v>11078.101275733865</v>
      </c>
      <c r="O64" s="46">
        <f t="shared" si="10"/>
        <v>731154.68419843505</v>
      </c>
      <c r="P64" s="47">
        <f t="shared" si="15"/>
        <v>24640.000454545454</v>
      </c>
      <c r="Q64" s="42">
        <v>1626240.03</v>
      </c>
      <c r="R64" s="48">
        <f t="shared" si="1"/>
        <v>0.449598257766681</v>
      </c>
      <c r="S64" s="49"/>
      <c r="T64" s="157">
        <f>IFERROR(VLOOKUP(B64,[1]Todos!$A$2:$C$3021,3,FALSE),0)</f>
        <v>404.9</v>
      </c>
      <c r="U64" s="112">
        <f t="shared" si="12"/>
        <v>44.819999999999993</v>
      </c>
      <c r="W64" s="157">
        <f>IFERROR(VLOOKUP(B64,[1]Todos!$A$2:$B$3021,2,FALSE),0)</f>
        <v>6420.01</v>
      </c>
      <c r="X64" s="112">
        <f t="shared" si="11"/>
        <v>0</v>
      </c>
    </row>
    <row r="65" spans="1:24" hidden="1" outlineLevel="2" x14ac:dyDescent="0.3">
      <c r="A65" s="40" t="str">
        <f>VLOOKUP(B65,Grupos!$A$2:$B$619,2,FALSE)</f>
        <v>CAJAS EMPALME</v>
      </c>
      <c r="B65" s="41" t="s">
        <v>82</v>
      </c>
      <c r="C65" s="41" t="s">
        <v>83</v>
      </c>
      <c r="D65" s="42">
        <v>456</v>
      </c>
      <c r="E65" s="43">
        <v>7687.44</v>
      </c>
      <c r="F65" s="43">
        <v>500.81</v>
      </c>
      <c r="G65" s="126">
        <f t="shared" si="2"/>
        <v>8188.25</v>
      </c>
      <c r="H65" s="127">
        <f t="shared" si="3"/>
        <v>3505472.6399999997</v>
      </c>
      <c r="I65" s="128">
        <f t="shared" si="4"/>
        <v>228369.36000000002</v>
      </c>
      <c r="J65" s="128">
        <f t="shared" si="5"/>
        <v>3733842</v>
      </c>
      <c r="K65" s="44">
        <f t="shared" si="6"/>
        <v>2.3822803867639551E-3</v>
      </c>
      <c r="L65" s="45">
        <f t="shared" si="7"/>
        <v>2336.9021370602368</v>
      </c>
      <c r="M65" s="45">
        <f t="shared" si="8"/>
        <v>3286.5222370916108</v>
      </c>
      <c r="N65" s="45">
        <f t="shared" si="9"/>
        <v>13811.674374151848</v>
      </c>
      <c r="O65" s="46">
        <f t="shared" si="10"/>
        <v>6298123.5146132428</v>
      </c>
      <c r="P65" s="47">
        <f t="shared" si="15"/>
        <v>27485.60524122807</v>
      </c>
      <c r="Q65" s="42">
        <v>12533435.99</v>
      </c>
      <c r="R65" s="48">
        <f t="shared" si="1"/>
        <v>0.5025057390198745</v>
      </c>
      <c r="S65" s="49"/>
      <c r="T65" s="157">
        <f>IFERROR(VLOOKUP(B65,[1]Todos!$A$2:$C$3021,3,FALSE),0)</f>
        <v>497.98</v>
      </c>
      <c r="U65" s="112">
        <f t="shared" si="12"/>
        <v>-2.8299999999999841</v>
      </c>
      <c r="W65" s="157">
        <f>IFERROR(VLOOKUP(B65,[1]Todos!$A$2:$B$3021,2,FALSE),0)</f>
        <v>7687.44</v>
      </c>
      <c r="X65" s="112">
        <f t="shared" si="11"/>
        <v>0</v>
      </c>
    </row>
    <row r="66" spans="1:24" hidden="1" outlineLevel="2" x14ac:dyDescent="0.3">
      <c r="A66" s="40" t="str">
        <f>VLOOKUP(B66,Grupos!$A$2:$B$619,2,FALSE)</f>
        <v>CAJAS EMPALME</v>
      </c>
      <c r="B66" s="41" t="s">
        <v>84</v>
      </c>
      <c r="C66" s="41" t="s">
        <v>85</v>
      </c>
      <c r="D66" s="42">
        <v>144</v>
      </c>
      <c r="E66" s="43">
        <v>9070.9699999999993</v>
      </c>
      <c r="F66" s="43">
        <v>491.17</v>
      </c>
      <c r="G66" s="126">
        <f t="shared" si="2"/>
        <v>9562.14</v>
      </c>
      <c r="H66" s="127">
        <f t="shared" si="3"/>
        <v>1306219.68</v>
      </c>
      <c r="I66" s="128">
        <f t="shared" si="4"/>
        <v>70728.479999999996</v>
      </c>
      <c r="J66" s="128">
        <f t="shared" si="5"/>
        <v>1376948.16</v>
      </c>
      <c r="K66" s="44">
        <f t="shared" si="6"/>
        <v>8.7852581741774721E-4</v>
      </c>
      <c r="L66" s="45">
        <f t="shared" si="7"/>
        <v>2729.0062468621709</v>
      </c>
      <c r="M66" s="45">
        <f t="shared" si="8"/>
        <v>3223.2605722575158</v>
      </c>
      <c r="N66" s="45">
        <f t="shared" si="9"/>
        <v>15514.406819119686</v>
      </c>
      <c r="O66" s="46">
        <f t="shared" si="10"/>
        <v>2234074.581953235</v>
      </c>
      <c r="P66" s="47">
        <f t="shared" si="15"/>
        <v>29856.791944444445</v>
      </c>
      <c r="Q66" s="42">
        <v>4299378.04</v>
      </c>
      <c r="R66" s="48">
        <f t="shared" si="1"/>
        <v>0.51962738823340016</v>
      </c>
      <c r="S66" s="49"/>
      <c r="T66" s="157">
        <f>IFERROR(VLOOKUP(B66,[1]Todos!$A$2:$C$3021,3,FALSE),0)</f>
        <v>501.95</v>
      </c>
      <c r="U66" s="112">
        <f t="shared" si="12"/>
        <v>10.779999999999973</v>
      </c>
      <c r="W66" s="157">
        <f>IFERROR(VLOOKUP(B66,[1]Todos!$A$2:$B$3021,2,FALSE),0)</f>
        <v>9070.9699999999993</v>
      </c>
      <c r="X66" s="112">
        <f t="shared" si="11"/>
        <v>0</v>
      </c>
    </row>
    <row r="67" spans="1:24" hidden="1" outlineLevel="2" x14ac:dyDescent="0.3">
      <c r="A67" s="40" t="str">
        <f>VLOOKUP(B67,Grupos!$A$2:$B$619,2,FALSE)</f>
        <v>CAJAS EMPALME</v>
      </c>
      <c r="B67" s="41" t="s">
        <v>86</v>
      </c>
      <c r="C67" s="41" t="s">
        <v>87</v>
      </c>
      <c r="D67" s="42">
        <v>1124</v>
      </c>
      <c r="E67" s="43">
        <v>10016.299999999999</v>
      </c>
      <c r="F67" s="43">
        <v>516.07000000000005</v>
      </c>
      <c r="G67" s="126">
        <f t="shared" si="2"/>
        <v>10532.369999999999</v>
      </c>
      <c r="H67" s="127">
        <f t="shared" si="3"/>
        <v>11258321.199999999</v>
      </c>
      <c r="I67" s="128">
        <f t="shared" si="4"/>
        <v>580062.68000000005</v>
      </c>
      <c r="J67" s="128">
        <f t="shared" si="5"/>
        <v>11838383.879999999</v>
      </c>
      <c r="K67" s="44">
        <f t="shared" si="6"/>
        <v>7.5531717004379316E-3</v>
      </c>
      <c r="L67" s="45">
        <f t="shared" si="7"/>
        <v>3005.9069961602445</v>
      </c>
      <c r="M67" s="45">
        <f t="shared" si="8"/>
        <v>3386.6646650343801</v>
      </c>
      <c r="N67" s="45">
        <f t="shared" si="9"/>
        <v>16924.941661194622</v>
      </c>
      <c r="O67" s="46">
        <f t="shared" si="10"/>
        <v>19023634.427182756</v>
      </c>
      <c r="P67" s="47">
        <f t="shared" si="15"/>
        <v>32999.153540925268</v>
      </c>
      <c r="Q67" s="42">
        <v>37091048.579999998</v>
      </c>
      <c r="R67" s="48">
        <f t="shared" si="1"/>
        <v>0.51289017581025087</v>
      </c>
      <c r="S67" s="49"/>
      <c r="T67" s="157">
        <f>IFERROR(VLOOKUP(B67,[1]Todos!$A$2:$C$3021,3,FALSE),0)</f>
        <v>527.86</v>
      </c>
      <c r="U67" s="112">
        <f t="shared" si="12"/>
        <v>11.789999999999964</v>
      </c>
      <c r="W67" s="157">
        <f>IFERROR(VLOOKUP(B67,[1]Todos!$A$2:$B$3021,2,FALSE),0)</f>
        <v>10016.299999999999</v>
      </c>
      <c r="X67" s="112">
        <f t="shared" si="11"/>
        <v>0</v>
      </c>
    </row>
    <row r="68" spans="1:24" hidden="1" outlineLevel="2" x14ac:dyDescent="0.3">
      <c r="A68" s="40" t="str">
        <f>VLOOKUP(B68,Grupos!$A$2:$B$619,2,FALSE)</f>
        <v>CAJAS EMPALME</v>
      </c>
      <c r="B68" s="41" t="s">
        <v>88</v>
      </c>
      <c r="C68" s="41" t="s">
        <v>89</v>
      </c>
      <c r="D68" s="42">
        <v>1278</v>
      </c>
      <c r="E68" s="43">
        <v>11678.42</v>
      </c>
      <c r="F68" s="43">
        <v>640.79999999999995</v>
      </c>
      <c r="G68" s="126">
        <f t="shared" si="2"/>
        <v>12319.22</v>
      </c>
      <c r="H68" s="127">
        <f t="shared" si="3"/>
        <v>14925020.76</v>
      </c>
      <c r="I68" s="128">
        <f t="shared" si="4"/>
        <v>818942.39999999991</v>
      </c>
      <c r="J68" s="128">
        <f t="shared" si="5"/>
        <v>15743963.159999998</v>
      </c>
      <c r="K68" s="44">
        <f t="shared" si="6"/>
        <v>1.0045024574152376E-2</v>
      </c>
      <c r="L68" s="45">
        <f t="shared" si="7"/>
        <v>3515.8686587384609</v>
      </c>
      <c r="M68" s="45">
        <f t="shared" si="8"/>
        <v>4205.19448399254</v>
      </c>
      <c r="N68" s="45">
        <f t="shared" si="9"/>
        <v>20040.283142731001</v>
      </c>
      <c r="O68" s="46">
        <f t="shared" si="10"/>
        <v>25611481.85641022</v>
      </c>
      <c r="P68" s="47">
        <f t="shared" si="15"/>
        <v>39324.268849765263</v>
      </c>
      <c r="Q68" s="42">
        <v>50256415.590000004</v>
      </c>
      <c r="R68" s="48">
        <f t="shared" si="1"/>
        <v>0.5096161665279284</v>
      </c>
      <c r="S68" s="49"/>
      <c r="T68" s="157">
        <f>IFERROR(VLOOKUP(B68,[1]Todos!$A$2:$C$3021,3,FALSE),0)</f>
        <v>664.85</v>
      </c>
      <c r="U68" s="112">
        <f t="shared" si="12"/>
        <v>24.050000000000068</v>
      </c>
      <c r="W68" s="157">
        <f>IFERROR(VLOOKUP(B68,[1]Todos!$A$2:$B$3021,2,FALSE),0)</f>
        <v>11678.42</v>
      </c>
      <c r="X68" s="112">
        <f t="shared" si="11"/>
        <v>0</v>
      </c>
    </row>
    <row r="69" spans="1:24" hidden="1" outlineLevel="2" x14ac:dyDescent="0.3">
      <c r="A69" s="40" t="str">
        <f>VLOOKUP(B69,Grupos!$A$2:$B$619,2,FALSE)</f>
        <v>CAJAS EMPALME</v>
      </c>
      <c r="B69" s="41" t="s">
        <v>90</v>
      </c>
      <c r="C69" s="41" t="s">
        <v>91</v>
      </c>
      <c r="D69" s="42">
        <v>141</v>
      </c>
      <c r="E69" s="43">
        <v>14783.94</v>
      </c>
      <c r="F69" s="43">
        <v>713.78</v>
      </c>
      <c r="G69" s="126">
        <f t="shared" si="2"/>
        <v>15497.720000000001</v>
      </c>
      <c r="H69" s="127">
        <f t="shared" si="3"/>
        <v>2084535.54</v>
      </c>
      <c r="I69" s="128">
        <f t="shared" si="4"/>
        <v>100642.98</v>
      </c>
      <c r="J69" s="128">
        <f t="shared" si="5"/>
        <v>2185178.52</v>
      </c>
      <c r="K69" s="44">
        <f t="shared" si="6"/>
        <v>1.3941960934002796E-3</v>
      </c>
      <c r="L69" s="45">
        <f t="shared" si="7"/>
        <v>4423.0030821678829</v>
      </c>
      <c r="M69" s="45">
        <f t="shared" si="8"/>
        <v>4684.1194113361353</v>
      </c>
      <c r="N69" s="45">
        <f t="shared" si="9"/>
        <v>24604.842493504017</v>
      </c>
      <c r="O69" s="46">
        <f t="shared" si="10"/>
        <v>3469282.7915840661</v>
      </c>
      <c r="P69" s="47">
        <f t="shared" si="15"/>
        <v>46666.02056737589</v>
      </c>
      <c r="Q69" s="42">
        <v>6579908.9000000004</v>
      </c>
      <c r="R69" s="48">
        <f t="shared" ref="R69:R132" si="16">O69/Q69</f>
        <v>0.52725392468337451</v>
      </c>
      <c r="S69" s="49"/>
      <c r="T69" s="157">
        <f>IFERROR(VLOOKUP(B69,[1]Todos!$A$2:$C$3021,3,FALSE),0)</f>
        <v>656.71</v>
      </c>
      <c r="U69" s="112">
        <f t="shared" si="12"/>
        <v>-57.069999999999936</v>
      </c>
      <c r="W69" s="157">
        <f>IFERROR(VLOOKUP(B69,[1]Todos!$A$2:$B$3021,2,FALSE),0)</f>
        <v>14783.94</v>
      </c>
      <c r="X69" s="112">
        <f t="shared" si="11"/>
        <v>0</v>
      </c>
    </row>
    <row r="70" spans="1:24" hidden="1" outlineLevel="2" x14ac:dyDescent="0.3">
      <c r="A70" s="40" t="str">
        <f>VLOOKUP(B70,Grupos!$A$2:$B$619,2,FALSE)</f>
        <v>CAJAS EMPALME</v>
      </c>
      <c r="B70" s="41" t="s">
        <v>92</v>
      </c>
      <c r="C70" s="41" t="s">
        <v>93</v>
      </c>
      <c r="D70" s="42">
        <v>655</v>
      </c>
      <c r="E70" s="43">
        <v>18356.189999999999</v>
      </c>
      <c r="F70" s="43">
        <v>919.41</v>
      </c>
      <c r="G70" s="126">
        <f t="shared" si="2"/>
        <v>19275.599999999999</v>
      </c>
      <c r="H70" s="127">
        <f t="shared" si="3"/>
        <v>12023304.449999999</v>
      </c>
      <c r="I70" s="128">
        <f t="shared" si="4"/>
        <v>602213.54999999993</v>
      </c>
      <c r="J70" s="128">
        <f t="shared" si="5"/>
        <v>12625517.999999998</v>
      </c>
      <c r="K70" s="44">
        <f t="shared" si="6"/>
        <v>8.0553820713718666E-3</v>
      </c>
      <c r="L70" s="45">
        <f t="shared" si="7"/>
        <v>5501.1987705698148</v>
      </c>
      <c r="M70" s="45">
        <f t="shared" si="8"/>
        <v>6033.5484714849899</v>
      </c>
      <c r="N70" s="45">
        <f t="shared" si="9"/>
        <v>30810.347242054806</v>
      </c>
      <c r="O70" s="46">
        <f t="shared" si="10"/>
        <v>20180777.443545897</v>
      </c>
      <c r="P70" s="47">
        <f t="shared" si="15"/>
        <v>57493.373862595421</v>
      </c>
      <c r="Q70" s="42">
        <v>37658159.880000003</v>
      </c>
      <c r="R70" s="48">
        <f t="shared" si="16"/>
        <v>0.53589388084423561</v>
      </c>
      <c r="S70" s="49"/>
      <c r="T70" s="157">
        <f>IFERROR(VLOOKUP(B70,[1]Todos!$A$2:$C$3021,3,FALSE),0)</f>
        <v>904.07</v>
      </c>
      <c r="U70" s="112">
        <f t="shared" si="12"/>
        <v>-15.339999999999918</v>
      </c>
      <c r="W70" s="157">
        <f>IFERROR(VLOOKUP(B70,[1]Todos!$A$2:$B$3021,2,FALSE),0)</f>
        <v>18356.189999999999</v>
      </c>
      <c r="X70" s="112">
        <f t="shared" ref="X70:X133" si="17">W70-E70</f>
        <v>0</v>
      </c>
    </row>
    <row r="71" spans="1:24" hidden="1" outlineLevel="2" x14ac:dyDescent="0.3">
      <c r="A71" s="40" t="str">
        <f>VLOOKUP(B71,Grupos!$A$2:$B$619,2,FALSE)</f>
        <v>CAJAS EMPALME</v>
      </c>
      <c r="B71" s="41" t="s">
        <v>94</v>
      </c>
      <c r="C71" s="41" t="s">
        <v>95</v>
      </c>
      <c r="D71" s="42">
        <v>294</v>
      </c>
      <c r="E71" s="43">
        <v>20905.259999999998</v>
      </c>
      <c r="F71" s="43">
        <v>949.87</v>
      </c>
      <c r="G71" s="126">
        <f t="shared" si="2"/>
        <v>21855.129999999997</v>
      </c>
      <c r="H71" s="127">
        <f t="shared" si="3"/>
        <v>6146146.4399999995</v>
      </c>
      <c r="I71" s="128">
        <f t="shared" si="4"/>
        <v>279261.78000000003</v>
      </c>
      <c r="J71" s="128">
        <f t="shared" si="5"/>
        <v>6425408.2199999988</v>
      </c>
      <c r="K71" s="44">
        <f t="shared" si="6"/>
        <v>4.0995639289123356E-3</v>
      </c>
      <c r="L71" s="45">
        <f t="shared" si="7"/>
        <v>6237.3889418043264</v>
      </c>
      <c r="M71" s="45">
        <f t="shared" si="8"/>
        <v>6233.4395825686561</v>
      </c>
      <c r="N71" s="45">
        <f t="shared" si="9"/>
        <v>34325.958524372982</v>
      </c>
      <c r="O71" s="46">
        <f t="shared" si="10"/>
        <v>10091831.806165656</v>
      </c>
      <c r="P71" s="47">
        <f t="shared" si="15"/>
        <v>70196.515476190485</v>
      </c>
      <c r="Q71" s="42">
        <v>20637775.550000001</v>
      </c>
      <c r="R71" s="48">
        <f t="shared" si="16"/>
        <v>0.48899804059384955</v>
      </c>
      <c r="S71" s="49"/>
      <c r="T71" s="157">
        <f>IFERROR(VLOOKUP(B71,[1]Todos!$A$2:$C$3021,3,FALSE),0)</f>
        <v>834.04</v>
      </c>
      <c r="U71" s="112">
        <f t="shared" ref="U71:U134" si="18">T71-F71</f>
        <v>-115.83000000000004</v>
      </c>
      <c r="W71" s="157">
        <f>IFERROR(VLOOKUP(B71,[1]Todos!$A$2:$B$3021,2,FALSE),0)</f>
        <v>20905.259999999998</v>
      </c>
      <c r="X71" s="112">
        <f t="shared" si="17"/>
        <v>0</v>
      </c>
    </row>
    <row r="72" spans="1:24" hidden="1" outlineLevel="2" x14ac:dyDescent="0.3">
      <c r="A72" s="40" t="str">
        <f>VLOOKUP(B72,Grupos!$A$2:$B$619,2,FALSE)</f>
        <v>CAJAS EMPALME</v>
      </c>
      <c r="B72" s="41" t="s">
        <v>96</v>
      </c>
      <c r="C72" s="41" t="s">
        <v>97</v>
      </c>
      <c r="D72" s="42">
        <v>258</v>
      </c>
      <c r="E72" s="43">
        <v>30303.23</v>
      </c>
      <c r="F72" s="43">
        <v>1126.9000000000001</v>
      </c>
      <c r="G72" s="126">
        <f t="shared" si="2"/>
        <v>31430.13</v>
      </c>
      <c r="H72" s="127">
        <f t="shared" si="3"/>
        <v>7818233.3399999999</v>
      </c>
      <c r="I72" s="128">
        <f t="shared" si="4"/>
        <v>290740.2</v>
      </c>
      <c r="J72" s="128">
        <f t="shared" si="5"/>
        <v>8108973.54</v>
      </c>
      <c r="K72" s="44">
        <f t="shared" si="6"/>
        <v>5.17371881861361E-3</v>
      </c>
      <c r="L72" s="45">
        <f t="shared" si="7"/>
        <v>8970.0653943249235</v>
      </c>
      <c r="M72" s="45">
        <f t="shared" si="8"/>
        <v>7395.1836204918764</v>
      </c>
      <c r="N72" s="45">
        <f t="shared" si="9"/>
        <v>47795.379014816805</v>
      </c>
      <c r="O72" s="46">
        <f t="shared" si="10"/>
        <v>12331207.785822736</v>
      </c>
      <c r="P72" s="47">
        <f t="shared" si="15"/>
        <v>86742.950503875967</v>
      </c>
      <c r="Q72" s="42">
        <v>22379681.23</v>
      </c>
      <c r="R72" s="48">
        <f t="shared" si="16"/>
        <v>0.55100015317880091</v>
      </c>
      <c r="S72" s="49"/>
      <c r="T72" s="157">
        <f>IFERROR(VLOOKUP(B72,[1]Todos!$A$2:$C$3021,3,FALSE),0)</f>
        <v>1061.76</v>
      </c>
      <c r="U72" s="112">
        <f t="shared" si="18"/>
        <v>-65.1400000000001</v>
      </c>
      <c r="W72" s="157">
        <f>IFERROR(VLOOKUP(B72,[1]Todos!$A$2:$B$3021,2,FALSE),0)</f>
        <v>30303.23</v>
      </c>
      <c r="X72" s="112">
        <f t="shared" si="17"/>
        <v>0</v>
      </c>
    </row>
    <row r="73" spans="1:24" hidden="1" outlineLevel="2" x14ac:dyDescent="0.3">
      <c r="A73" s="40" t="str">
        <f>VLOOKUP(B73,Grupos!$A$2:$B$619,2,FALSE)</f>
        <v>CAJAS EMPALME</v>
      </c>
      <c r="B73" s="41" t="s">
        <v>98</v>
      </c>
      <c r="C73" s="41" t="s">
        <v>99</v>
      </c>
      <c r="D73" s="42">
        <v>65</v>
      </c>
      <c r="E73" s="43">
        <v>35832.339999999997</v>
      </c>
      <c r="F73" s="43">
        <v>1464.37</v>
      </c>
      <c r="G73" s="126">
        <f t="shared" ref="G73:G146" si="19">E73+F73</f>
        <v>37296.71</v>
      </c>
      <c r="H73" s="127">
        <f t="shared" ref="H73:H146" si="20">E73*D73</f>
        <v>2329102.0999999996</v>
      </c>
      <c r="I73" s="128">
        <f t="shared" ref="I73:I146" si="21">F73*D73</f>
        <v>95184.049999999988</v>
      </c>
      <c r="J73" s="128">
        <f t="shared" ref="J73:J146" si="22">G73*D73</f>
        <v>2424286.15</v>
      </c>
      <c r="K73" s="44">
        <f t="shared" ref="K73:K146" si="23">J73/$J$303</f>
        <v>1.546752472934982E-3</v>
      </c>
      <c r="L73" s="45">
        <f t="shared" ref="L73:L146" si="24">$K$373*K73/D73</f>
        <v>10644.369835351374</v>
      </c>
      <c r="M73" s="45">
        <f t="shared" ref="M73:M146" si="25">F73*$M$372</f>
        <v>9609.8012586207187</v>
      </c>
      <c r="N73" s="45">
        <f t="shared" ref="N73:N146" si="26">G73+L73+M73</f>
        <v>57550.881093972093</v>
      </c>
      <c r="O73" s="46">
        <f t="shared" ref="O73:O146" si="27">N73*D73</f>
        <v>3740807.2711081859</v>
      </c>
      <c r="P73" s="47">
        <f t="shared" si="15"/>
        <v>108029.81600000001</v>
      </c>
      <c r="Q73" s="42">
        <v>7021938.04</v>
      </c>
      <c r="R73" s="48">
        <f t="shared" si="16"/>
        <v>0.53273145530463639</v>
      </c>
      <c r="S73" s="49"/>
      <c r="T73" s="157">
        <f>IFERROR(VLOOKUP(B73,[1]Todos!$A$2:$C$3021,3,FALSE),0)</f>
        <v>1256.9100000000001</v>
      </c>
      <c r="U73" s="112">
        <f t="shared" si="18"/>
        <v>-207.45999999999981</v>
      </c>
      <c r="W73" s="157">
        <f>IFERROR(VLOOKUP(B73,[1]Todos!$A$2:$B$3021,2,FALSE),0)</f>
        <v>35832.339999999997</v>
      </c>
      <c r="X73" s="112">
        <f t="shared" si="17"/>
        <v>0</v>
      </c>
    </row>
    <row r="74" spans="1:24" hidden="1" outlineLevel="2" x14ac:dyDescent="0.3">
      <c r="A74" s="40" t="str">
        <f>VLOOKUP(B74,Grupos!$A$2:$B$619,2,FALSE)</f>
        <v>CAJAS EMPALME</v>
      </c>
      <c r="B74" s="41" t="s">
        <v>100</v>
      </c>
      <c r="C74" s="41" t="s">
        <v>101</v>
      </c>
      <c r="D74" s="42">
        <v>13</v>
      </c>
      <c r="E74" s="43">
        <v>42663.97</v>
      </c>
      <c r="F74" s="43">
        <v>1739.56</v>
      </c>
      <c r="G74" s="126">
        <f t="shared" si="19"/>
        <v>44403.53</v>
      </c>
      <c r="H74" s="127">
        <f t="shared" si="20"/>
        <v>554631.61</v>
      </c>
      <c r="I74" s="128">
        <f t="shared" si="21"/>
        <v>22614.28</v>
      </c>
      <c r="J74" s="128">
        <f t="shared" si="22"/>
        <v>577245.89</v>
      </c>
      <c r="K74" s="44">
        <f t="shared" si="23"/>
        <v>3.6829666656679725E-4</v>
      </c>
      <c r="L74" s="45">
        <f t="shared" si="24"/>
        <v>12672.635074651887</v>
      </c>
      <c r="M74" s="45">
        <f t="shared" si="25"/>
        <v>11415.711792406466</v>
      </c>
      <c r="N74" s="45">
        <f t="shared" si="26"/>
        <v>68491.876867058352</v>
      </c>
      <c r="O74" s="46">
        <f t="shared" si="27"/>
        <v>890394.39927175862</v>
      </c>
      <c r="P74" s="47">
        <f t="shared" si="15"/>
        <v>135080.84</v>
      </c>
      <c r="Q74" s="42">
        <v>1756050.92</v>
      </c>
      <c r="R74" s="48">
        <f t="shared" si="16"/>
        <v>0.50704361082636407</v>
      </c>
      <c r="S74" s="49"/>
      <c r="T74" s="157">
        <f>IFERROR(VLOOKUP(B74,[1]Todos!$A$2:$C$3021,3,FALSE),0)</f>
        <v>2101.35</v>
      </c>
      <c r="U74" s="112">
        <f t="shared" si="18"/>
        <v>361.78999999999996</v>
      </c>
      <c r="W74" s="157">
        <f>IFERROR(VLOOKUP(B74,[1]Todos!$A$2:$B$3021,2,FALSE),0)</f>
        <v>42663.97</v>
      </c>
      <c r="X74" s="112">
        <f t="shared" si="17"/>
        <v>0</v>
      </c>
    </row>
    <row r="75" spans="1:24" hidden="1" outlineLevel="2" x14ac:dyDescent="0.3">
      <c r="A75" s="40" t="str">
        <f>VLOOKUP(B75,Grupos!$A$2:$B$619,2,FALSE)</f>
        <v>CAJAS EMPALME</v>
      </c>
      <c r="B75" s="41" t="s">
        <v>631</v>
      </c>
      <c r="C75" s="41" t="s">
        <v>1057</v>
      </c>
      <c r="D75" s="42">
        <v>24</v>
      </c>
      <c r="E75" s="43">
        <v>4623.5200000000004</v>
      </c>
      <c r="F75" s="43">
        <v>378.55</v>
      </c>
      <c r="G75" s="126">
        <f t="shared" si="19"/>
        <v>5002.0700000000006</v>
      </c>
      <c r="H75" s="127">
        <f t="shared" si="20"/>
        <v>110964.48000000001</v>
      </c>
      <c r="I75" s="128">
        <f t="shared" si="21"/>
        <v>9085.2000000000007</v>
      </c>
      <c r="J75" s="128">
        <f t="shared" si="22"/>
        <v>120049.68000000002</v>
      </c>
      <c r="K75" s="44">
        <f t="shared" si="23"/>
        <v>7.6594563482142272E-5</v>
      </c>
      <c r="L75" s="45">
        <f t="shared" si="24"/>
        <v>1427.5758645284277</v>
      </c>
      <c r="M75" s="45">
        <f t="shared" si="25"/>
        <v>2484.2015791438457</v>
      </c>
      <c r="N75" s="45">
        <f t="shared" si="26"/>
        <v>8913.8474436722736</v>
      </c>
      <c r="O75" s="46">
        <f t="shared" si="27"/>
        <v>213932.33864813455</v>
      </c>
      <c r="P75" s="47">
        <f t="shared" si="15"/>
        <v>15030</v>
      </c>
      <c r="Q75" s="42">
        <v>360720</v>
      </c>
      <c r="R75" s="48">
        <f t="shared" si="16"/>
        <v>0.59307035553375065</v>
      </c>
      <c r="S75" s="49"/>
      <c r="T75" s="157">
        <f>IFERROR(VLOOKUP(B75,[1]Todos!$A$2:$C$3021,3,FALSE),0)</f>
        <v>0</v>
      </c>
      <c r="U75" s="112">
        <f t="shared" si="18"/>
        <v>-378.55</v>
      </c>
      <c r="W75" s="157">
        <f>IFERROR(VLOOKUP(B75,[1]Todos!$A$2:$B$3021,2,FALSE),0)</f>
        <v>0</v>
      </c>
      <c r="X75" s="112">
        <f t="shared" si="17"/>
        <v>-4623.5200000000004</v>
      </c>
    </row>
    <row r="76" spans="1:24" hidden="1" outlineLevel="2" x14ac:dyDescent="0.3">
      <c r="A76" s="40" t="str">
        <f>VLOOKUP(B76,Grupos!$A$2:$B$619,2,FALSE)</f>
        <v>CAJAS EMPALME</v>
      </c>
      <c r="B76" s="41" t="s">
        <v>102</v>
      </c>
      <c r="C76" s="41" t="s">
        <v>103</v>
      </c>
      <c r="D76" s="42">
        <v>122</v>
      </c>
      <c r="E76" s="43">
        <v>5462.07</v>
      </c>
      <c r="F76" s="43">
        <v>441.33</v>
      </c>
      <c r="G76" s="126">
        <f t="shared" si="19"/>
        <v>5903.4</v>
      </c>
      <c r="H76" s="127">
        <f t="shared" si="20"/>
        <v>666372.53999999992</v>
      </c>
      <c r="I76" s="128">
        <f t="shared" si="21"/>
        <v>53842.259999999995</v>
      </c>
      <c r="J76" s="128">
        <f t="shared" si="22"/>
        <v>720214.79999999993</v>
      </c>
      <c r="K76" s="44">
        <f t="shared" si="23"/>
        <v>4.5951424626353344E-4</v>
      </c>
      <c r="L76" s="45">
        <f t="shared" si="24"/>
        <v>1684.8127592490944</v>
      </c>
      <c r="M76" s="45">
        <f t="shared" si="25"/>
        <v>2896.189890169207</v>
      </c>
      <c r="N76" s="45">
        <f t="shared" si="26"/>
        <v>10484.402649418302</v>
      </c>
      <c r="O76" s="46">
        <f t="shared" si="27"/>
        <v>1279097.1232290328</v>
      </c>
      <c r="P76" s="47">
        <f t="shared" si="15"/>
        <v>26961.270409836066</v>
      </c>
      <c r="Q76" s="42">
        <v>3289274.99</v>
      </c>
      <c r="R76" s="48">
        <f t="shared" si="16"/>
        <v>0.3888690143322534</v>
      </c>
      <c r="S76" s="49"/>
      <c r="T76" s="157">
        <f>IFERROR(VLOOKUP(B76,[1]Todos!$A$2:$C$3021,3,FALSE),0)</f>
        <v>430.78</v>
      </c>
      <c r="U76" s="112">
        <f t="shared" si="18"/>
        <v>-10.550000000000011</v>
      </c>
      <c r="W76" s="157">
        <f>IFERROR(VLOOKUP(B76,[1]Todos!$A$2:$B$3021,2,FALSE),0)</f>
        <v>5462.07</v>
      </c>
      <c r="X76" s="112">
        <f t="shared" si="17"/>
        <v>0</v>
      </c>
    </row>
    <row r="77" spans="1:24" hidden="1" outlineLevel="2" x14ac:dyDescent="0.3">
      <c r="A77" s="40" t="str">
        <f>VLOOKUP(B77,Grupos!$A$2:$B$619,2,FALSE)</f>
        <v>CAJAS EMPALME</v>
      </c>
      <c r="B77" s="41" t="s">
        <v>104</v>
      </c>
      <c r="C77" s="41" t="s">
        <v>105</v>
      </c>
      <c r="D77" s="42">
        <v>417</v>
      </c>
      <c r="E77" s="43">
        <v>8869.64</v>
      </c>
      <c r="F77" s="43">
        <v>496.4</v>
      </c>
      <c r="G77" s="126">
        <f t="shared" si="19"/>
        <v>9366.0399999999991</v>
      </c>
      <c r="H77" s="127">
        <f t="shared" si="20"/>
        <v>3698639.88</v>
      </c>
      <c r="I77" s="128">
        <f t="shared" si="21"/>
        <v>206998.8</v>
      </c>
      <c r="J77" s="128">
        <f t="shared" si="22"/>
        <v>3905638.6799999997</v>
      </c>
      <c r="K77" s="44">
        <f t="shared" si="23"/>
        <v>2.4918907723333397E-3</v>
      </c>
      <c r="L77" s="45">
        <f t="shared" si="24"/>
        <v>2673.0398915264741</v>
      </c>
      <c r="M77" s="45">
        <f t="shared" si="25"/>
        <v>3257.5819941540217</v>
      </c>
      <c r="N77" s="45">
        <f t="shared" si="26"/>
        <v>15296.661885680494</v>
      </c>
      <c r="O77" s="46">
        <f t="shared" si="27"/>
        <v>6378708.0063287662</v>
      </c>
      <c r="P77" s="47">
        <f t="shared" si="15"/>
        <v>37311.237673860909</v>
      </c>
      <c r="Q77" s="42">
        <v>15558786.109999999</v>
      </c>
      <c r="R77" s="48">
        <f t="shared" si="16"/>
        <v>0.40997465748494477</v>
      </c>
      <c r="S77" s="49"/>
      <c r="T77" s="157">
        <f>IFERROR(VLOOKUP(B77,[1]Todos!$A$2:$C$3021,3,FALSE),0)</f>
        <v>498.29</v>
      </c>
      <c r="U77" s="112">
        <f t="shared" si="18"/>
        <v>1.8900000000000432</v>
      </c>
      <c r="W77" s="157">
        <f>IFERROR(VLOOKUP(B77,[1]Todos!$A$2:$B$3021,2,FALSE),0)</f>
        <v>8869.64</v>
      </c>
      <c r="X77" s="112">
        <f t="shared" si="17"/>
        <v>0</v>
      </c>
    </row>
    <row r="78" spans="1:24" s="93" customFormat="1" outlineLevel="1" collapsed="1" x14ac:dyDescent="0.3">
      <c r="A78" s="50" t="s">
        <v>1020</v>
      </c>
      <c r="B78" s="129"/>
      <c r="C78" s="129"/>
      <c r="D78" s="51">
        <f>SUBTOTAL(9,D59:D77)</f>
        <v>11844</v>
      </c>
      <c r="E78" s="52"/>
      <c r="F78" s="52"/>
      <c r="G78" s="130"/>
      <c r="H78" s="131">
        <f>SUBTOTAL(9,H59:H77)</f>
        <v>96399534.310000002</v>
      </c>
      <c r="I78" s="146">
        <f>SUBTOTAL(9,I59:I77)</f>
        <v>7964299.0100000007</v>
      </c>
      <c r="J78" s="146">
        <f>SUBTOTAL(9,J59:J77)</f>
        <v>104363833.31999999</v>
      </c>
      <c r="K78" s="53"/>
      <c r="L78" s="54"/>
      <c r="M78" s="54"/>
      <c r="N78" s="54"/>
      <c r="O78" s="55">
        <f>SUBTOTAL(9,O59:O77)</f>
        <v>186413982.45529297</v>
      </c>
      <c r="P78" s="56"/>
      <c r="Q78" s="51">
        <f>SUBTOTAL(9,Q59:Q77)</f>
        <v>319585871.23000008</v>
      </c>
      <c r="R78" s="164">
        <f t="shared" si="16"/>
        <v>0.58329857242385486</v>
      </c>
      <c r="S78" s="58">
        <f>Q78/$Q$303</f>
        <v>7.9836797833898604E-2</v>
      </c>
      <c r="T78" s="157">
        <f>IFERROR(VLOOKUP(B78,[1]Todos!$A$2:$C$3021,3,FALSE),0)</f>
        <v>0</v>
      </c>
      <c r="U78" s="112">
        <f t="shared" si="18"/>
        <v>0</v>
      </c>
      <c r="W78" s="157">
        <f>IFERROR(VLOOKUP(B78,[1]Todos!$A$2:$B$3021,2,FALSE),0)</f>
        <v>0</v>
      </c>
      <c r="X78" s="112">
        <f t="shared" si="17"/>
        <v>0</v>
      </c>
    </row>
    <row r="79" spans="1:24" hidden="1" outlineLevel="2" x14ac:dyDescent="0.3">
      <c r="A79" s="40" t="str">
        <f>VLOOKUP(B79,Grupos!$A$2:$B$619,2,FALSE)</f>
        <v>CAJAS PLASTICAS CC</v>
      </c>
      <c r="B79" s="41" t="s">
        <v>106</v>
      </c>
      <c r="C79" s="41" t="s">
        <v>107</v>
      </c>
      <c r="D79" s="42">
        <v>415584</v>
      </c>
      <c r="E79" s="43">
        <v>162.25</v>
      </c>
      <c r="F79" s="43">
        <v>7.67</v>
      </c>
      <c r="G79" s="126">
        <f t="shared" si="19"/>
        <v>169.92</v>
      </c>
      <c r="H79" s="127">
        <f t="shared" si="20"/>
        <v>67428504</v>
      </c>
      <c r="I79" s="128">
        <f t="shared" si="21"/>
        <v>3187529.28</v>
      </c>
      <c r="J79" s="128">
        <f t="shared" si="22"/>
        <v>70616033.280000001</v>
      </c>
      <c r="K79" s="44">
        <f t="shared" si="23"/>
        <v>4.5054716046906834E-2</v>
      </c>
      <c r="L79" s="45">
        <f t="shared" si="24"/>
        <v>48.494661390318484</v>
      </c>
      <c r="M79" s="45">
        <f t="shared" si="25"/>
        <v>50.333710505965648</v>
      </c>
      <c r="N79" s="45">
        <f t="shared" si="26"/>
        <v>268.74837189628414</v>
      </c>
      <c r="O79" s="46">
        <f t="shared" si="27"/>
        <v>111687523.38614535</v>
      </c>
      <c r="P79" s="47">
        <f>Q79/D79</f>
        <v>313.74844832813585</v>
      </c>
      <c r="Q79" s="42">
        <v>130388835.15000001</v>
      </c>
      <c r="R79" s="48">
        <f t="shared" si="16"/>
        <v>0.85657275224262441</v>
      </c>
      <c r="S79" s="49"/>
      <c r="T79" s="157">
        <f>IFERROR(VLOOKUP(B79,[1]Todos!$A$2:$C$3021,3,FALSE),0)</f>
        <v>7.55</v>
      </c>
      <c r="U79" s="112">
        <f t="shared" si="18"/>
        <v>-0.12000000000000011</v>
      </c>
      <c r="W79" s="157">
        <f>IFERROR(VLOOKUP(B79,[1]Todos!$A$2:$B$3021,2,FALSE),0)</f>
        <v>162.25</v>
      </c>
      <c r="X79" s="112">
        <f t="shared" si="17"/>
        <v>0</v>
      </c>
    </row>
    <row r="80" spans="1:24" hidden="1" outlineLevel="2" x14ac:dyDescent="0.3">
      <c r="A80" s="40" t="str">
        <f>VLOOKUP(B80,Grupos!$A$2:$B$619,2,FALSE)</f>
        <v>CAJAS PLASTICAS CC</v>
      </c>
      <c r="B80" s="41" t="s">
        <v>108</v>
      </c>
      <c r="C80" s="41" t="s">
        <v>109</v>
      </c>
      <c r="D80" s="42">
        <v>271620</v>
      </c>
      <c r="E80" s="43">
        <v>252.52</v>
      </c>
      <c r="F80" s="43">
        <v>10.33</v>
      </c>
      <c r="G80" s="126">
        <f t="shared" si="19"/>
        <v>262.85000000000002</v>
      </c>
      <c r="H80" s="127">
        <f t="shared" si="20"/>
        <v>68589482.400000006</v>
      </c>
      <c r="I80" s="128">
        <f t="shared" si="21"/>
        <v>2805834.6</v>
      </c>
      <c r="J80" s="128">
        <f t="shared" si="22"/>
        <v>71395317</v>
      </c>
      <c r="K80" s="44">
        <f t="shared" si="23"/>
        <v>4.5551917675117258E-2</v>
      </c>
      <c r="L80" s="45">
        <f t="shared" si="24"/>
        <v>75.016606323241604</v>
      </c>
      <c r="M80" s="45">
        <f t="shared" si="25"/>
        <v>67.78973005562257</v>
      </c>
      <c r="N80" s="45">
        <f t="shared" si="26"/>
        <v>405.65633637886418</v>
      </c>
      <c r="O80" s="46">
        <f t="shared" si="27"/>
        <v>110184374.08722709</v>
      </c>
      <c r="P80" s="47">
        <f>Q80/D80</f>
        <v>466.91600861497682</v>
      </c>
      <c r="Q80" s="42">
        <v>126823726.26000001</v>
      </c>
      <c r="R80" s="48">
        <f t="shared" si="16"/>
        <v>0.86879937482154757</v>
      </c>
      <c r="S80" s="49"/>
      <c r="T80" s="157">
        <f>IFERROR(VLOOKUP(B80,[1]Todos!$A$2:$C$3021,3,FALSE),0)</f>
        <v>10.32</v>
      </c>
      <c r="U80" s="112">
        <f t="shared" si="18"/>
        <v>-9.9999999999997868E-3</v>
      </c>
      <c r="W80" s="157">
        <f>IFERROR(VLOOKUP(B80,[1]Todos!$A$2:$B$3021,2,FALSE),0)</f>
        <v>252.52</v>
      </c>
      <c r="X80" s="112">
        <f t="shared" si="17"/>
        <v>0</v>
      </c>
    </row>
    <row r="81" spans="1:24" hidden="1" outlineLevel="2" x14ac:dyDescent="0.3">
      <c r="A81" s="40" t="str">
        <f>VLOOKUP(B81,Grupos!$A$2:$B$619,2,FALSE)</f>
        <v>CAJAS PLASTICAS CC</v>
      </c>
      <c r="B81" s="41" t="s">
        <v>110</v>
      </c>
      <c r="C81" s="41" t="s">
        <v>111</v>
      </c>
      <c r="D81" s="42">
        <v>193590</v>
      </c>
      <c r="E81" s="43">
        <v>204.73</v>
      </c>
      <c r="F81" s="43">
        <v>8.74</v>
      </c>
      <c r="G81" s="126">
        <f t="shared" si="19"/>
        <v>213.47</v>
      </c>
      <c r="H81" s="127">
        <f t="shared" si="20"/>
        <v>39633680.699999996</v>
      </c>
      <c r="I81" s="128">
        <f t="shared" si="21"/>
        <v>1691976.6</v>
      </c>
      <c r="J81" s="128">
        <f t="shared" si="22"/>
        <v>41325657.299999997</v>
      </c>
      <c r="K81" s="44">
        <f t="shared" si="23"/>
        <v>2.6366756508689616E-2</v>
      </c>
      <c r="L81" s="45">
        <f t="shared" si="24"/>
        <v>60.923701547735917</v>
      </c>
      <c r="M81" s="45">
        <f t="shared" si="25"/>
        <v>57.355492806015619</v>
      </c>
      <c r="N81" s="45">
        <f t="shared" si="26"/>
        <v>331.74919435375153</v>
      </c>
      <c r="O81" s="46">
        <f t="shared" si="27"/>
        <v>64223326.534942761</v>
      </c>
      <c r="P81" s="47">
        <f>Q81/D81</f>
        <v>463.12692313652565</v>
      </c>
      <c r="Q81" s="42">
        <v>89656741.049999997</v>
      </c>
      <c r="R81" s="48">
        <f t="shared" si="16"/>
        <v>0.71632457061010657</v>
      </c>
      <c r="S81" s="49"/>
      <c r="T81" s="157">
        <f>IFERROR(VLOOKUP(B81,[1]Todos!$A$2:$C$3021,3,FALSE),0)</f>
        <v>8.8699999999999992</v>
      </c>
      <c r="U81" s="112">
        <f t="shared" si="18"/>
        <v>0.12999999999999901</v>
      </c>
      <c r="W81" s="157">
        <f>IFERROR(VLOOKUP(B81,[1]Todos!$A$2:$B$3021,2,FALSE),0)</f>
        <v>204.73</v>
      </c>
      <c r="X81" s="112">
        <f t="shared" si="17"/>
        <v>0</v>
      </c>
    </row>
    <row r="82" spans="1:24" s="93" customFormat="1" outlineLevel="1" collapsed="1" x14ac:dyDescent="0.3">
      <c r="A82" s="50" t="s">
        <v>1021</v>
      </c>
      <c r="B82" s="129"/>
      <c r="C82" s="129"/>
      <c r="D82" s="51">
        <f>SUBTOTAL(9,D79:D81)</f>
        <v>880794</v>
      </c>
      <c r="E82" s="52"/>
      <c r="F82" s="52"/>
      <c r="G82" s="130"/>
      <c r="H82" s="131">
        <f>SUBTOTAL(9,H79:H81)</f>
        <v>175651667.09999999</v>
      </c>
      <c r="I82" s="146">
        <f>SUBTOTAL(9,I79:I81)</f>
        <v>7685340.4800000004</v>
      </c>
      <c r="J82" s="146">
        <f>SUBTOTAL(9,J79:J81)</f>
        <v>183337007.57999998</v>
      </c>
      <c r="K82" s="53"/>
      <c r="L82" s="54"/>
      <c r="M82" s="54"/>
      <c r="N82" s="54"/>
      <c r="O82" s="55">
        <f>SUBTOTAL(9,O79:O81)</f>
        <v>286095224.00831521</v>
      </c>
      <c r="P82" s="56"/>
      <c r="Q82" s="51">
        <f>SUBTOTAL(9,Q79:Q81)</f>
        <v>346869302.46000004</v>
      </c>
      <c r="R82" s="164">
        <f t="shared" si="16"/>
        <v>0.82479257166698072</v>
      </c>
      <c r="S82" s="58">
        <f>Q82/$Q$303</f>
        <v>8.6652561543793513E-2</v>
      </c>
      <c r="T82" s="157">
        <f>IFERROR(VLOOKUP(B82,[1]Todos!$A$2:$C$3021,3,FALSE),0)</f>
        <v>0</v>
      </c>
      <c r="U82" s="112">
        <f t="shared" si="18"/>
        <v>0</v>
      </c>
      <c r="W82" s="157">
        <f>IFERROR(VLOOKUP(B82,[1]Todos!$A$2:$B$3021,2,FALSE),0)</f>
        <v>0</v>
      </c>
      <c r="X82" s="112">
        <f t="shared" si="17"/>
        <v>0</v>
      </c>
    </row>
    <row r="83" spans="1:24" hidden="1" outlineLevel="2" x14ac:dyDescent="0.3">
      <c r="A83" s="40" t="str">
        <f>VLOOKUP(B83,Grupos!$A$2:$B$619,2,FALSE)</f>
        <v>CAJAS PLASTICAS LH</v>
      </c>
      <c r="B83" s="41" t="s">
        <v>112</v>
      </c>
      <c r="C83" s="41" t="s">
        <v>113</v>
      </c>
      <c r="D83" s="42">
        <v>17280</v>
      </c>
      <c r="E83" s="43">
        <v>172.66</v>
      </c>
      <c r="F83" s="43">
        <v>7.75</v>
      </c>
      <c r="G83" s="126">
        <f t="shared" si="19"/>
        <v>180.41</v>
      </c>
      <c r="H83" s="127">
        <f t="shared" si="20"/>
        <v>2983564.8</v>
      </c>
      <c r="I83" s="128">
        <f t="shared" si="21"/>
        <v>133920</v>
      </c>
      <c r="J83" s="128">
        <f t="shared" si="22"/>
        <v>3117484.8</v>
      </c>
      <c r="K83" s="44">
        <f t="shared" si="23"/>
        <v>1.9890297701602665E-3</v>
      </c>
      <c r="L83" s="45">
        <f t="shared" si="24"/>
        <v>51.488476114803184</v>
      </c>
      <c r="M83" s="45">
        <f t="shared" si="25"/>
        <v>50.85870357512826</v>
      </c>
      <c r="N83" s="45">
        <f t="shared" si="26"/>
        <v>282.75717968993143</v>
      </c>
      <c r="O83" s="46">
        <f t="shared" si="27"/>
        <v>4886044.0650420152</v>
      </c>
      <c r="P83" s="47">
        <f>Q83/D83</f>
        <v>338.96251273148147</v>
      </c>
      <c r="Q83" s="42">
        <v>5857272.2199999997</v>
      </c>
      <c r="R83" s="48">
        <f t="shared" si="16"/>
        <v>0.83418422117352353</v>
      </c>
      <c r="S83" s="49"/>
      <c r="T83" s="157">
        <f>IFERROR(VLOOKUP(B83,[1]Todos!$A$2:$C$3021,3,FALSE),0)</f>
        <v>7.47</v>
      </c>
      <c r="U83" s="112">
        <f t="shared" si="18"/>
        <v>-0.28000000000000025</v>
      </c>
      <c r="W83" s="157">
        <f>IFERROR(VLOOKUP(B83,[1]Todos!$A$2:$B$3021,2,FALSE),0)</f>
        <v>192.91</v>
      </c>
      <c r="X83" s="112">
        <f t="shared" si="17"/>
        <v>20.25</v>
      </c>
    </row>
    <row r="84" spans="1:24" hidden="1" outlineLevel="2" x14ac:dyDescent="0.3">
      <c r="A84" s="40" t="str">
        <f>VLOOKUP(B84,Grupos!$A$2:$B$619,2,FALSE)</f>
        <v>CAJAS PLASTICAS LH</v>
      </c>
      <c r="B84" s="41" t="s">
        <v>114</v>
      </c>
      <c r="C84" s="41" t="s">
        <v>115</v>
      </c>
      <c r="D84" s="42">
        <v>38070</v>
      </c>
      <c r="E84" s="43">
        <v>265.54000000000002</v>
      </c>
      <c r="F84" s="43">
        <v>10.86</v>
      </c>
      <c r="G84" s="126">
        <f t="shared" si="19"/>
        <v>276.40000000000003</v>
      </c>
      <c r="H84" s="127">
        <f t="shared" si="20"/>
        <v>10109107.800000001</v>
      </c>
      <c r="I84" s="128">
        <f t="shared" si="21"/>
        <v>413440.19999999995</v>
      </c>
      <c r="J84" s="128">
        <f t="shared" si="22"/>
        <v>10522548.000000002</v>
      </c>
      <c r="K84" s="44">
        <f t="shared" si="23"/>
        <v>6.7136369774570765E-3</v>
      </c>
      <c r="L84" s="45">
        <f t="shared" si="24"/>
        <v>78.883735924458762</v>
      </c>
      <c r="M84" s="45">
        <f t="shared" si="25"/>
        <v>71.267809138824887</v>
      </c>
      <c r="N84" s="45">
        <f t="shared" si="26"/>
        <v>426.5515450632837</v>
      </c>
      <c r="O84" s="46">
        <f t="shared" si="27"/>
        <v>16238817.320559211</v>
      </c>
      <c r="P84" s="47">
        <f>Q84/D84</f>
        <v>486.9858184922511</v>
      </c>
      <c r="Q84" s="42">
        <v>18539550.109999999</v>
      </c>
      <c r="R84" s="48">
        <f t="shared" si="16"/>
        <v>0.8759013689226578</v>
      </c>
      <c r="S84" s="49"/>
      <c r="T84" s="157">
        <f>IFERROR(VLOOKUP(B84,[1]Todos!$A$2:$C$3021,3,FALSE),0)</f>
        <v>10.69</v>
      </c>
      <c r="U84" s="112">
        <f t="shared" si="18"/>
        <v>-0.16999999999999993</v>
      </c>
      <c r="W84" s="157">
        <f>IFERROR(VLOOKUP(B84,[1]Todos!$A$2:$B$3021,2,FALSE),0)</f>
        <v>296.54000000000002</v>
      </c>
      <c r="X84" s="112">
        <f t="shared" si="17"/>
        <v>31</v>
      </c>
    </row>
    <row r="85" spans="1:24" hidden="1" outlineLevel="2" x14ac:dyDescent="0.3">
      <c r="A85" s="40" t="str">
        <f>VLOOKUP(B85,Grupos!$A$2:$B$619,2,FALSE)</f>
        <v>CAJAS PLASTICAS LH</v>
      </c>
      <c r="B85" s="41" t="s">
        <v>116</v>
      </c>
      <c r="C85" s="41" t="s">
        <v>117</v>
      </c>
      <c r="D85" s="42">
        <v>12420</v>
      </c>
      <c r="E85" s="43">
        <v>224.71</v>
      </c>
      <c r="F85" s="43">
        <v>8.0500000000000007</v>
      </c>
      <c r="G85" s="126">
        <f t="shared" si="19"/>
        <v>232.76000000000002</v>
      </c>
      <c r="H85" s="127">
        <f t="shared" si="20"/>
        <v>2790898.2</v>
      </c>
      <c r="I85" s="128">
        <f t="shared" si="21"/>
        <v>99981.000000000015</v>
      </c>
      <c r="J85" s="128">
        <f t="shared" si="22"/>
        <v>2890879.2</v>
      </c>
      <c r="K85" s="44">
        <f t="shared" si="23"/>
        <v>1.8444499844031625E-3</v>
      </c>
      <c r="L85" s="45">
        <f t="shared" si="24"/>
        <v>66.429010035372713</v>
      </c>
      <c r="M85" s="45">
        <f t="shared" si="25"/>
        <v>52.827427584488071</v>
      </c>
      <c r="N85" s="45">
        <f t="shared" si="26"/>
        <v>352.01643761986082</v>
      </c>
      <c r="O85" s="46">
        <f t="shared" si="27"/>
        <v>4372044.1552386712</v>
      </c>
      <c r="P85" s="47">
        <f>Q85/D85</f>
        <v>497.60871497584543</v>
      </c>
      <c r="Q85" s="42">
        <v>6180300.2400000002</v>
      </c>
      <c r="R85" s="48">
        <f t="shared" si="16"/>
        <v>0.70741614249450624</v>
      </c>
      <c r="S85" s="49"/>
      <c r="T85" s="157">
        <f>IFERROR(VLOOKUP(B85,[1]Todos!$A$2:$C$3021,3,FALSE),0)</f>
        <v>8.2799999999999994</v>
      </c>
      <c r="U85" s="112">
        <f t="shared" si="18"/>
        <v>0.22999999999999865</v>
      </c>
      <c r="W85" s="157">
        <f>IFERROR(VLOOKUP(B85,[1]Todos!$A$2:$B$3021,2,FALSE),0)</f>
        <v>250.34</v>
      </c>
      <c r="X85" s="112">
        <f t="shared" si="17"/>
        <v>25.629999999999995</v>
      </c>
    </row>
    <row r="86" spans="1:24" s="93" customFormat="1" outlineLevel="1" collapsed="1" x14ac:dyDescent="0.3">
      <c r="A86" s="50" t="s">
        <v>1022</v>
      </c>
      <c r="B86" s="129"/>
      <c r="C86" s="129"/>
      <c r="D86" s="51">
        <f>SUBTOTAL(9,D83:D85)</f>
        <v>67770</v>
      </c>
      <c r="E86" s="52"/>
      <c r="F86" s="52"/>
      <c r="G86" s="130"/>
      <c r="H86" s="131">
        <f>SUBTOTAL(9,H83:H85)</f>
        <v>15883570.800000001</v>
      </c>
      <c r="I86" s="146">
        <f>SUBTOTAL(9,I83:I85)</f>
        <v>647341.19999999995</v>
      </c>
      <c r="J86" s="146">
        <f>SUBTOTAL(9,J83:J85)</f>
        <v>16530912</v>
      </c>
      <c r="K86" s="53"/>
      <c r="L86" s="54"/>
      <c r="M86" s="54"/>
      <c r="N86" s="54"/>
      <c r="O86" s="55">
        <f>SUBTOTAL(9,O83:O85)</f>
        <v>25496905.540839896</v>
      </c>
      <c r="P86" s="56"/>
      <c r="Q86" s="51">
        <f>SUBTOTAL(9,Q83:Q85)</f>
        <v>30577122.57</v>
      </c>
      <c r="R86" s="164">
        <f t="shared" si="16"/>
        <v>0.83385562138719893</v>
      </c>
      <c r="S86" s="58">
        <f>Q86/$Q$303</f>
        <v>7.638571578799728E-3</v>
      </c>
      <c r="T86" s="157">
        <f>IFERROR(VLOOKUP(B86,[1]Todos!$A$2:$C$3021,3,FALSE),0)</f>
        <v>0</v>
      </c>
      <c r="U86" s="112">
        <f t="shared" si="18"/>
        <v>0</v>
      </c>
      <c r="W86" s="157">
        <f>IFERROR(VLOOKUP(B86,[1]Todos!$A$2:$B$3021,2,FALSE),0)</f>
        <v>0</v>
      </c>
      <c r="X86" s="112">
        <f t="shared" si="17"/>
        <v>0</v>
      </c>
    </row>
    <row r="87" spans="1:24" hidden="1" outlineLevel="2" x14ac:dyDescent="0.3">
      <c r="A87" s="40" t="str">
        <f>VLOOKUP(B87,Grupos!$A$2:$B$619,2,FALSE)</f>
        <v>CAJAS TELEFONICAS</v>
      </c>
      <c r="B87" s="41" t="s">
        <v>632</v>
      </c>
      <c r="C87" s="41" t="s">
        <v>1059</v>
      </c>
      <c r="D87" s="42">
        <v>150</v>
      </c>
      <c r="E87" s="43">
        <v>4707.25</v>
      </c>
      <c r="F87" s="43">
        <v>472.08</v>
      </c>
      <c r="G87" s="126">
        <f t="shared" si="19"/>
        <v>5179.33</v>
      </c>
      <c r="H87" s="127">
        <f t="shared" si="20"/>
        <v>706087.5</v>
      </c>
      <c r="I87" s="128">
        <f t="shared" si="21"/>
        <v>70812</v>
      </c>
      <c r="J87" s="128">
        <f t="shared" si="22"/>
        <v>776899.5</v>
      </c>
      <c r="K87" s="44">
        <f t="shared" si="23"/>
        <v>4.9568043889825094E-4</v>
      </c>
      <c r="L87" s="45">
        <f t="shared" si="24"/>
        <v>1478.1653400348296</v>
      </c>
      <c r="M87" s="45">
        <f t="shared" si="25"/>
        <v>3097.9841011285871</v>
      </c>
      <c r="N87" s="45">
        <f t="shared" si="26"/>
        <v>9755.4794411634175</v>
      </c>
      <c r="O87" s="46">
        <f t="shared" si="27"/>
        <v>1463321.9161745126</v>
      </c>
      <c r="P87" s="47">
        <f t="shared" ref="P87:P92" si="28">Q87/D87</f>
        <v>27340.999666666667</v>
      </c>
      <c r="Q87" s="42">
        <v>4101149.95</v>
      </c>
      <c r="R87" s="48">
        <f t="shared" si="16"/>
        <v>0.35680770857318017</v>
      </c>
      <c r="S87" s="49"/>
      <c r="T87" s="157">
        <f>IFERROR(VLOOKUP(B87,[1]Todos!$A$2:$C$3021,3,FALSE),0)</f>
        <v>472.02</v>
      </c>
      <c r="U87" s="112">
        <f t="shared" si="18"/>
        <v>-6.0000000000002274E-2</v>
      </c>
      <c r="W87" s="157">
        <f>IFERROR(VLOOKUP(B87,[1]Todos!$A$2:$B$3021,2,FALSE),0)</f>
        <v>4707.25</v>
      </c>
      <c r="X87" s="112">
        <f t="shared" si="17"/>
        <v>0</v>
      </c>
    </row>
    <row r="88" spans="1:24" hidden="1" outlineLevel="2" x14ac:dyDescent="0.3">
      <c r="A88" s="40" t="str">
        <f>VLOOKUP(B88,Grupos!$A$2:$B$619,2,FALSE)</f>
        <v>CAJAS TELEFONICAS</v>
      </c>
      <c r="B88" s="41" t="s">
        <v>118</v>
      </c>
      <c r="C88" s="41" t="s">
        <v>119</v>
      </c>
      <c r="D88" s="42">
        <v>287</v>
      </c>
      <c r="E88" s="43">
        <v>5915.72</v>
      </c>
      <c r="F88" s="43">
        <v>579.65</v>
      </c>
      <c r="G88" s="126">
        <f t="shared" si="19"/>
        <v>6495.37</v>
      </c>
      <c r="H88" s="127">
        <f t="shared" si="20"/>
        <v>1697811.6400000001</v>
      </c>
      <c r="I88" s="128">
        <f t="shared" si="21"/>
        <v>166359.54999999999</v>
      </c>
      <c r="J88" s="128">
        <f t="shared" si="22"/>
        <v>1864171.19</v>
      </c>
      <c r="K88" s="44">
        <f t="shared" si="23"/>
        <v>1.1893857489169125E-3</v>
      </c>
      <c r="L88" s="45">
        <f t="shared" si="24"/>
        <v>1853.7592323142244</v>
      </c>
      <c r="M88" s="45">
        <f t="shared" si="25"/>
        <v>3803.902906751367</v>
      </c>
      <c r="N88" s="45">
        <f t="shared" si="26"/>
        <v>12153.032139065592</v>
      </c>
      <c r="O88" s="46">
        <f t="shared" si="27"/>
        <v>3487920.2239118246</v>
      </c>
      <c r="P88" s="47">
        <f t="shared" si="28"/>
        <v>33218.839965156796</v>
      </c>
      <c r="Q88" s="42">
        <v>9533807.0700000003</v>
      </c>
      <c r="R88" s="48">
        <f t="shared" si="16"/>
        <v>0.36584757781466459</v>
      </c>
      <c r="S88" s="49"/>
      <c r="T88" s="157">
        <f>IFERROR(VLOOKUP(B88,[1]Todos!$A$2:$C$3021,3,FALSE),0)</f>
        <v>572.53</v>
      </c>
      <c r="U88" s="112">
        <f t="shared" si="18"/>
        <v>-7.1200000000000045</v>
      </c>
      <c r="W88" s="157">
        <f>IFERROR(VLOOKUP(B88,[1]Todos!$A$2:$B$3021,2,FALSE),0)</f>
        <v>5915.72</v>
      </c>
      <c r="X88" s="112">
        <f t="shared" si="17"/>
        <v>0</v>
      </c>
    </row>
    <row r="89" spans="1:24" hidden="1" outlineLevel="2" x14ac:dyDescent="0.3">
      <c r="A89" s="40" t="str">
        <f>VLOOKUP(B89,Grupos!$A$2:$B$619,2,FALSE)</f>
        <v>CAJAS TELEFONICAS</v>
      </c>
      <c r="B89" s="41" t="s">
        <v>122</v>
      </c>
      <c r="C89" s="41" t="s">
        <v>123</v>
      </c>
      <c r="D89" s="42">
        <v>28</v>
      </c>
      <c r="E89" s="43">
        <v>11364.94</v>
      </c>
      <c r="F89" s="43">
        <v>484.76</v>
      </c>
      <c r="G89" s="126">
        <f t="shared" si="19"/>
        <v>11849.7</v>
      </c>
      <c r="H89" s="127">
        <f t="shared" si="20"/>
        <v>318218.32</v>
      </c>
      <c r="I89" s="128">
        <f t="shared" si="21"/>
        <v>13573.279999999999</v>
      </c>
      <c r="J89" s="128">
        <f t="shared" si="22"/>
        <v>331791.60000000003</v>
      </c>
      <c r="K89" s="44">
        <f t="shared" si="23"/>
        <v>2.1169096634861129E-4</v>
      </c>
      <c r="L89" s="45">
        <f t="shared" si="24"/>
        <v>3381.869050593556</v>
      </c>
      <c r="M89" s="45">
        <f t="shared" si="25"/>
        <v>3181.1955025908615</v>
      </c>
      <c r="N89" s="45">
        <f t="shared" si="26"/>
        <v>18412.764553184417</v>
      </c>
      <c r="O89" s="46">
        <f t="shared" si="27"/>
        <v>515557.40748916368</v>
      </c>
      <c r="P89" s="47">
        <f t="shared" si="28"/>
        <v>45066.001785714288</v>
      </c>
      <c r="Q89" s="42">
        <v>1261848.05</v>
      </c>
      <c r="R89" s="48">
        <f t="shared" si="16"/>
        <v>0.40857328858982955</v>
      </c>
      <c r="S89" s="49"/>
      <c r="T89" s="157">
        <f>IFERROR(VLOOKUP(B89,[1]Todos!$A$2:$C$3021,3,FALSE),0)</f>
        <v>524.96</v>
      </c>
      <c r="U89" s="112">
        <f t="shared" si="18"/>
        <v>40.200000000000045</v>
      </c>
      <c r="W89" s="157">
        <f>IFERROR(VLOOKUP(B89,[1]Todos!$A$2:$B$3021,2,FALSE),0)</f>
        <v>11364.94</v>
      </c>
      <c r="X89" s="112">
        <f t="shared" si="17"/>
        <v>0</v>
      </c>
    </row>
    <row r="90" spans="1:24" hidden="1" outlineLevel="2" x14ac:dyDescent="0.3">
      <c r="A90" s="40" t="str">
        <f>VLOOKUP(B90,Grupos!$A$2:$B$619,2,FALSE)</f>
        <v>CAJAS TELEFONICAS</v>
      </c>
      <c r="B90" s="41" t="s">
        <v>125</v>
      </c>
      <c r="C90" s="41" t="s">
        <v>126</v>
      </c>
      <c r="D90" s="42">
        <v>35</v>
      </c>
      <c r="E90" s="43">
        <v>20766.8</v>
      </c>
      <c r="F90" s="43">
        <v>513.19000000000005</v>
      </c>
      <c r="G90" s="126">
        <f t="shared" si="19"/>
        <v>21279.989999999998</v>
      </c>
      <c r="H90" s="127">
        <f t="shared" si="20"/>
        <v>726838</v>
      </c>
      <c r="I90" s="128">
        <f t="shared" si="21"/>
        <v>17961.650000000001</v>
      </c>
      <c r="J90" s="128">
        <f t="shared" si="22"/>
        <v>744799.64999999991</v>
      </c>
      <c r="K90" s="44">
        <f t="shared" si="23"/>
        <v>4.7519996782500654E-4</v>
      </c>
      <c r="L90" s="45">
        <f t="shared" si="24"/>
        <v>6073.245700561225</v>
      </c>
      <c r="M90" s="45">
        <f t="shared" si="25"/>
        <v>3367.7649145445257</v>
      </c>
      <c r="N90" s="45">
        <f t="shared" si="26"/>
        <v>30721.000615105746</v>
      </c>
      <c r="O90" s="46">
        <f t="shared" si="27"/>
        <v>1075235.0215287011</v>
      </c>
      <c r="P90" s="47">
        <f t="shared" si="28"/>
        <v>74129.285428571442</v>
      </c>
      <c r="Q90" s="42">
        <v>2594524.9900000002</v>
      </c>
      <c r="R90" s="48">
        <f t="shared" si="16"/>
        <v>0.41442461555504267</v>
      </c>
      <c r="S90" s="49"/>
      <c r="T90" s="157">
        <f>IFERROR(VLOOKUP(B90,[1]Todos!$A$2:$C$3021,3,FALSE),0)</f>
        <v>519.24</v>
      </c>
      <c r="U90" s="112">
        <f t="shared" si="18"/>
        <v>6.0499999999999545</v>
      </c>
      <c r="W90" s="157">
        <f>IFERROR(VLOOKUP(B90,[1]Todos!$A$2:$B$3021,2,FALSE),0)</f>
        <v>20766.8</v>
      </c>
      <c r="X90" s="112">
        <f t="shared" si="17"/>
        <v>0</v>
      </c>
    </row>
    <row r="91" spans="1:24" hidden="1" outlineLevel="2" x14ac:dyDescent="0.3">
      <c r="A91" s="40" t="str">
        <f>VLOOKUP(B91,Grupos!$A$2:$B$619,2,FALSE)</f>
        <v>CAJAS TELEFONICAS</v>
      </c>
      <c r="B91" s="41" t="s">
        <v>127</v>
      </c>
      <c r="C91" s="41" t="s">
        <v>128</v>
      </c>
      <c r="D91" s="42">
        <v>12</v>
      </c>
      <c r="E91" s="43">
        <v>22935.13</v>
      </c>
      <c r="F91" s="43">
        <v>520.91</v>
      </c>
      <c r="G91" s="126">
        <f t="shared" si="19"/>
        <v>23456.04</v>
      </c>
      <c r="H91" s="127">
        <f t="shared" si="20"/>
        <v>275221.56</v>
      </c>
      <c r="I91" s="128">
        <f t="shared" si="21"/>
        <v>6250.92</v>
      </c>
      <c r="J91" s="128">
        <f t="shared" si="22"/>
        <v>281472.48</v>
      </c>
      <c r="K91" s="44">
        <f t="shared" si="23"/>
        <v>1.7958616580932176E-4</v>
      </c>
      <c r="L91" s="45">
        <f t="shared" si="24"/>
        <v>6694.283882755215</v>
      </c>
      <c r="M91" s="45">
        <f t="shared" si="25"/>
        <v>3418.4267457187175</v>
      </c>
      <c r="N91" s="45">
        <f t="shared" si="26"/>
        <v>33568.750628473936</v>
      </c>
      <c r="O91" s="46">
        <f t="shared" si="27"/>
        <v>402825.00754168723</v>
      </c>
      <c r="P91" s="47">
        <f t="shared" si="28"/>
        <v>87432.505000000005</v>
      </c>
      <c r="Q91" s="42">
        <v>1049190.06</v>
      </c>
      <c r="R91" s="48">
        <f t="shared" si="16"/>
        <v>0.38393902391878093</v>
      </c>
      <c r="S91" s="49"/>
      <c r="T91" s="157">
        <f>IFERROR(VLOOKUP(B91,[1]Todos!$A$2:$C$3021,3,FALSE),0)</f>
        <v>503.76</v>
      </c>
      <c r="U91" s="112">
        <f t="shared" si="18"/>
        <v>-17.149999999999977</v>
      </c>
      <c r="W91" s="157">
        <f>IFERROR(VLOOKUP(B91,[1]Todos!$A$2:$B$3021,2,FALSE),0)</f>
        <v>22935.13</v>
      </c>
      <c r="X91" s="112">
        <f t="shared" si="17"/>
        <v>0</v>
      </c>
    </row>
    <row r="92" spans="1:24" hidden="1" outlineLevel="2" x14ac:dyDescent="0.3">
      <c r="A92" s="40" t="str">
        <f>VLOOKUP(B92,Grupos!$A$2:$B$619,2,FALSE)</f>
        <v>CAJAS TELEFONICAS</v>
      </c>
      <c r="B92" s="41" t="s">
        <v>129</v>
      </c>
      <c r="C92" s="41" t="s">
        <v>1061</v>
      </c>
      <c r="D92" s="42">
        <v>9</v>
      </c>
      <c r="E92" s="43">
        <v>27365.37</v>
      </c>
      <c r="F92" s="43">
        <v>1110.6099999999999</v>
      </c>
      <c r="G92" s="126">
        <f t="shared" si="19"/>
        <v>28475.98</v>
      </c>
      <c r="H92" s="127">
        <f t="shared" si="20"/>
        <v>246288.33</v>
      </c>
      <c r="I92" s="128">
        <f t="shared" si="21"/>
        <v>9995.49</v>
      </c>
      <c r="J92" s="128">
        <f t="shared" si="22"/>
        <v>256283.82</v>
      </c>
      <c r="K92" s="44">
        <f t="shared" si="23"/>
        <v>1.6351519904456158E-4</v>
      </c>
      <c r="L92" s="45">
        <f t="shared" si="24"/>
        <v>8126.9597920049528</v>
      </c>
      <c r="M92" s="45">
        <f t="shared" si="25"/>
        <v>7288.2819067836381</v>
      </c>
      <c r="N92" s="45">
        <f t="shared" si="26"/>
        <v>43891.221698788591</v>
      </c>
      <c r="O92" s="46">
        <f t="shared" si="27"/>
        <v>395020.99528909731</v>
      </c>
      <c r="P92" s="47">
        <f t="shared" si="28"/>
        <v>114023.00444444445</v>
      </c>
      <c r="Q92" s="42">
        <v>1026207.04</v>
      </c>
      <c r="R92" s="48">
        <f t="shared" si="16"/>
        <v>0.38493303971983789</v>
      </c>
      <c r="S92" s="49"/>
      <c r="T92" s="157">
        <f>IFERROR(VLOOKUP(B92,[1]Todos!$A$2:$C$3021,3,FALSE),0)</f>
        <v>1111.33</v>
      </c>
      <c r="U92" s="112">
        <f t="shared" si="18"/>
        <v>0.72000000000002728</v>
      </c>
      <c r="W92" s="157">
        <f>IFERROR(VLOOKUP(B92,[1]Todos!$A$2:$B$3021,2,FALSE),0)</f>
        <v>27365.37</v>
      </c>
      <c r="X92" s="112">
        <f t="shared" si="17"/>
        <v>0</v>
      </c>
    </row>
    <row r="93" spans="1:24" s="93" customFormat="1" outlineLevel="1" collapsed="1" x14ac:dyDescent="0.3">
      <c r="A93" s="50" t="s">
        <v>1023</v>
      </c>
      <c r="B93" s="129"/>
      <c r="C93" s="129"/>
      <c r="D93" s="51">
        <f>SUBTOTAL(9,D87:D92)</f>
        <v>521</v>
      </c>
      <c r="E93" s="52"/>
      <c r="F93" s="52"/>
      <c r="G93" s="130"/>
      <c r="H93" s="131">
        <f>SUBTOTAL(9,H87:H92)</f>
        <v>3970465.35</v>
      </c>
      <c r="I93" s="146">
        <f>SUBTOTAL(9,I87:I92)</f>
        <v>284952.88999999996</v>
      </c>
      <c r="J93" s="146">
        <f>SUBTOTAL(9,J87:J92)</f>
        <v>4255418.24</v>
      </c>
      <c r="K93" s="53"/>
      <c r="L93" s="54"/>
      <c r="M93" s="54"/>
      <c r="N93" s="54"/>
      <c r="O93" s="55">
        <f>SUBTOTAL(9,O87:O92)</f>
        <v>7339880.5719349869</v>
      </c>
      <c r="P93" s="56"/>
      <c r="Q93" s="51">
        <f>SUBTOTAL(9,Q87:Q92)</f>
        <v>19566727.16</v>
      </c>
      <c r="R93" s="164">
        <f t="shared" si="16"/>
        <v>0.37512050492224408</v>
      </c>
      <c r="S93" s="58">
        <f>Q93/$Q$303</f>
        <v>4.8880284805197976E-3</v>
      </c>
      <c r="T93" s="157">
        <f>IFERROR(VLOOKUP(B93,[1]Todos!$A$2:$C$3021,3,FALSE),0)</f>
        <v>0</v>
      </c>
      <c r="U93" s="112">
        <f t="shared" si="18"/>
        <v>0</v>
      </c>
      <c r="W93" s="157">
        <f>IFERROR(VLOOKUP(B93,[1]Todos!$A$2:$B$3021,2,FALSE),0)</f>
        <v>0</v>
      </c>
      <c r="X93" s="112">
        <f t="shared" si="17"/>
        <v>0</v>
      </c>
    </row>
    <row r="94" spans="1:24" hidden="1" outlineLevel="2" x14ac:dyDescent="0.3">
      <c r="A94" s="40" t="str">
        <f>VLOOKUP(B94,Grupos!$A$2:$B$619,2,FALSE)</f>
        <v>CE 125</v>
      </c>
      <c r="B94" s="41" t="s">
        <v>131</v>
      </c>
      <c r="C94" s="41" t="s">
        <v>132</v>
      </c>
      <c r="D94" s="42">
        <v>8520</v>
      </c>
      <c r="E94" s="43">
        <v>1987.78</v>
      </c>
      <c r="F94" s="192">
        <v>304.75</v>
      </c>
      <c r="G94" s="126">
        <f t="shared" si="19"/>
        <v>2292.5299999999997</v>
      </c>
      <c r="H94" s="127">
        <f t="shared" si="20"/>
        <v>16935885.600000001</v>
      </c>
      <c r="I94" s="128">
        <f t="shared" si="21"/>
        <v>2596470</v>
      </c>
      <c r="J94" s="128">
        <f t="shared" si="22"/>
        <v>19532355.599999998</v>
      </c>
      <c r="K94" s="44">
        <f t="shared" si="23"/>
        <v>1.2462109444689704E-2</v>
      </c>
      <c r="L94" s="45">
        <f t="shared" si="24"/>
        <v>654.28122691352883</v>
      </c>
      <c r="M94" s="45">
        <f t="shared" si="25"/>
        <v>1999.8954728413339</v>
      </c>
      <c r="N94" s="45">
        <f t="shared" si="26"/>
        <v>4946.7066997548627</v>
      </c>
      <c r="O94" s="46">
        <f t="shared" si="27"/>
        <v>42145941.08191143</v>
      </c>
      <c r="P94" s="47">
        <f t="shared" ref="P94:P99" si="29">Q94/D94</f>
        <v>4875.1971572769953</v>
      </c>
      <c r="Q94" s="42">
        <v>41536679.780000001</v>
      </c>
      <c r="R94" s="162">
        <f t="shared" si="16"/>
        <v>1.0146680308859157</v>
      </c>
      <c r="S94" s="49"/>
      <c r="T94" s="157">
        <f>IFERROR(VLOOKUP(B94,[1]Todos!$A$2:$C$3021,3,FALSE),0)</f>
        <v>304.75</v>
      </c>
      <c r="U94" s="112">
        <f t="shared" si="18"/>
        <v>0</v>
      </c>
      <c r="W94" s="157">
        <f>IFERROR(VLOOKUP(B94,[1]Todos!$A$2:$B$3021,2,FALSE),0)</f>
        <v>1987.78</v>
      </c>
      <c r="X94" s="112">
        <f t="shared" si="17"/>
        <v>0</v>
      </c>
    </row>
    <row r="95" spans="1:24" hidden="1" outlineLevel="2" x14ac:dyDescent="0.3">
      <c r="A95" s="40" t="str">
        <f>VLOOKUP(B95,Grupos!$A$2:$B$619,2,FALSE)</f>
        <v>CE 125</v>
      </c>
      <c r="B95" s="41" t="s">
        <v>133</v>
      </c>
      <c r="C95" s="41" t="s">
        <v>134</v>
      </c>
      <c r="D95" s="42">
        <v>520</v>
      </c>
      <c r="E95" s="43">
        <v>1946.49</v>
      </c>
      <c r="F95" s="192">
        <v>334.79</v>
      </c>
      <c r="G95" s="126">
        <f t="shared" si="19"/>
        <v>2281.2800000000002</v>
      </c>
      <c r="H95" s="127">
        <f t="shared" si="20"/>
        <v>1012174.8</v>
      </c>
      <c r="I95" s="128">
        <f t="shared" si="21"/>
        <v>174090.80000000002</v>
      </c>
      <c r="J95" s="128">
        <f t="shared" si="22"/>
        <v>1186265.6000000001</v>
      </c>
      <c r="K95" s="44">
        <f t="shared" si="23"/>
        <v>7.5686578927891838E-4</v>
      </c>
      <c r="L95" s="45">
        <f t="shared" si="24"/>
        <v>651.07051045495382</v>
      </c>
      <c r="M95" s="45">
        <f t="shared" si="25"/>
        <v>2197.0303703118957</v>
      </c>
      <c r="N95" s="45">
        <f t="shared" si="26"/>
        <v>5129.3808807668502</v>
      </c>
      <c r="O95" s="46">
        <f t="shared" si="27"/>
        <v>2667278.057998762</v>
      </c>
      <c r="P95" s="47">
        <f t="shared" si="29"/>
        <v>5442.4614615384617</v>
      </c>
      <c r="Q95" s="42">
        <v>2830079.96</v>
      </c>
      <c r="R95" s="162">
        <f t="shared" si="16"/>
        <v>0.94247445149880571</v>
      </c>
      <c r="S95" s="49"/>
      <c r="T95" s="157">
        <f>IFERROR(VLOOKUP(B95,[1]Todos!$A$2:$C$3021,3,FALSE),0)</f>
        <v>334.79</v>
      </c>
      <c r="U95" s="112">
        <f t="shared" si="18"/>
        <v>0</v>
      </c>
      <c r="W95" s="157">
        <f>IFERROR(VLOOKUP(B95,[1]Todos!$A$2:$B$3021,2,FALSE),0)</f>
        <v>1946.49</v>
      </c>
      <c r="X95" s="112">
        <f t="shared" si="17"/>
        <v>0</v>
      </c>
    </row>
    <row r="96" spans="1:24" hidden="1" outlineLevel="2" x14ac:dyDescent="0.3">
      <c r="A96" s="40" t="str">
        <f>VLOOKUP(B96,Grupos!$A$2:$B$619,2,FALSE)</f>
        <v>CE 125</v>
      </c>
      <c r="B96" s="41" t="s">
        <v>135</v>
      </c>
      <c r="C96" s="41" t="s">
        <v>1056</v>
      </c>
      <c r="D96" s="42">
        <v>1110</v>
      </c>
      <c r="E96" s="43">
        <v>1861.23</v>
      </c>
      <c r="F96" s="192">
        <v>369.61</v>
      </c>
      <c r="G96" s="126">
        <f t="shared" si="19"/>
        <v>2230.84</v>
      </c>
      <c r="H96" s="127">
        <f t="shared" si="20"/>
        <v>2065965.3</v>
      </c>
      <c r="I96" s="128">
        <f t="shared" si="21"/>
        <v>410267.10000000003</v>
      </c>
      <c r="J96" s="128">
        <f t="shared" si="22"/>
        <v>2476232.4000000004</v>
      </c>
      <c r="K96" s="44">
        <f t="shared" si="23"/>
        <v>1.5798954212817354E-3</v>
      </c>
      <c r="L96" s="45">
        <f t="shared" si="24"/>
        <v>636.67508483979589</v>
      </c>
      <c r="M96" s="45">
        <f t="shared" si="25"/>
        <v>2425.5336036649237</v>
      </c>
      <c r="N96" s="45">
        <f t="shared" si="26"/>
        <v>5293.0486885047194</v>
      </c>
      <c r="O96" s="46">
        <f t="shared" si="27"/>
        <v>5875284.0442402381</v>
      </c>
      <c r="P96" s="47">
        <f t="shared" si="29"/>
        <v>4979.6215855855853</v>
      </c>
      <c r="Q96" s="42">
        <v>5527379.96</v>
      </c>
      <c r="R96" s="162">
        <f t="shared" si="16"/>
        <v>1.062941952020291</v>
      </c>
      <c r="S96" s="49"/>
      <c r="T96" s="157">
        <f>IFERROR(VLOOKUP(B96,[1]Todos!$A$2:$C$3021,3,FALSE),0)</f>
        <v>369.61</v>
      </c>
      <c r="U96" s="112">
        <f t="shared" si="18"/>
        <v>0</v>
      </c>
      <c r="W96" s="157">
        <f>IFERROR(VLOOKUP(B96,[1]Todos!$A$2:$B$3021,2,FALSE),0)</f>
        <v>1861.23</v>
      </c>
      <c r="X96" s="112">
        <f t="shared" si="17"/>
        <v>0</v>
      </c>
    </row>
    <row r="97" spans="1:24" hidden="1" outlineLevel="2" x14ac:dyDescent="0.3">
      <c r="A97" s="40" t="str">
        <f>VLOOKUP(B97,Grupos!$A$2:$B$619,2,FALSE)</f>
        <v>CE 125</v>
      </c>
      <c r="B97" s="41" t="s">
        <v>138</v>
      </c>
      <c r="C97" s="41" t="s">
        <v>139</v>
      </c>
      <c r="D97" s="42">
        <v>14760</v>
      </c>
      <c r="E97" s="43">
        <v>1987.78</v>
      </c>
      <c r="F97" s="192">
        <v>324.11</v>
      </c>
      <c r="G97" s="126">
        <f t="shared" si="19"/>
        <v>2311.89</v>
      </c>
      <c r="H97" s="127">
        <f t="shared" si="20"/>
        <v>29339632.800000001</v>
      </c>
      <c r="I97" s="128">
        <f t="shared" si="21"/>
        <v>4783863.6000000006</v>
      </c>
      <c r="J97" s="128">
        <f t="shared" si="22"/>
        <v>34123496.399999999</v>
      </c>
      <c r="K97" s="44">
        <f t="shared" si="23"/>
        <v>2.1771605815546137E-2</v>
      </c>
      <c r="L97" s="45">
        <f t="shared" si="24"/>
        <v>659.80651319246351</v>
      </c>
      <c r="M97" s="45">
        <f t="shared" si="25"/>
        <v>2126.9437955786866</v>
      </c>
      <c r="N97" s="45">
        <f t="shared" si="26"/>
        <v>5098.6403087711496</v>
      </c>
      <c r="O97" s="46">
        <f t="shared" si="27"/>
        <v>75255930.957462162</v>
      </c>
      <c r="P97" s="47">
        <f t="shared" si="29"/>
        <v>4875.6585237127374</v>
      </c>
      <c r="Q97" s="42">
        <v>71964719.810000002</v>
      </c>
      <c r="R97" s="162">
        <f t="shared" si="16"/>
        <v>1.0457336755586844</v>
      </c>
      <c r="S97" s="49"/>
      <c r="T97" s="157">
        <f>IFERROR(VLOOKUP(B97,[1]Todos!$A$2:$C$3021,3,FALSE),0)</f>
        <v>324.11</v>
      </c>
      <c r="U97" s="112">
        <f t="shared" si="18"/>
        <v>0</v>
      </c>
      <c r="W97" s="157">
        <f>IFERROR(VLOOKUP(B97,[1]Todos!$A$2:$B$3021,2,FALSE),0)</f>
        <v>1987.78</v>
      </c>
      <c r="X97" s="112">
        <f t="shared" si="17"/>
        <v>0</v>
      </c>
    </row>
    <row r="98" spans="1:24" hidden="1" outlineLevel="2" x14ac:dyDescent="0.3">
      <c r="A98" s="40" t="str">
        <f>VLOOKUP(B98,Grupos!$A$2:$B$619,2,FALSE)</f>
        <v>CE 125</v>
      </c>
      <c r="B98" s="41" t="s">
        <v>140</v>
      </c>
      <c r="C98" s="41" t="s">
        <v>141</v>
      </c>
      <c r="D98" s="42">
        <v>3060</v>
      </c>
      <c r="E98" s="43">
        <v>1946.49</v>
      </c>
      <c r="F98" s="192">
        <v>311.52999999999997</v>
      </c>
      <c r="G98" s="126">
        <f t="shared" si="19"/>
        <v>2258.02</v>
      </c>
      <c r="H98" s="127">
        <f t="shared" si="20"/>
        <v>5956259.4000000004</v>
      </c>
      <c r="I98" s="128">
        <f t="shared" si="21"/>
        <v>953281.79999999993</v>
      </c>
      <c r="J98" s="128">
        <f t="shared" si="22"/>
        <v>6909541.2000000002</v>
      </c>
      <c r="K98" s="44">
        <f t="shared" si="23"/>
        <v>4.4084523346990803E-3</v>
      </c>
      <c r="L98" s="45">
        <f t="shared" si="24"/>
        <v>644.43217580371333</v>
      </c>
      <c r="M98" s="45">
        <f t="shared" si="25"/>
        <v>2044.3886354528654</v>
      </c>
      <c r="N98" s="45">
        <f t="shared" si="26"/>
        <v>4946.8408112565794</v>
      </c>
      <c r="O98" s="46">
        <f t="shared" si="27"/>
        <v>15137332.882445132</v>
      </c>
      <c r="P98" s="47">
        <f t="shared" si="29"/>
        <v>4893.6078594771243</v>
      </c>
      <c r="Q98" s="42">
        <v>14974440.050000001</v>
      </c>
      <c r="R98" s="162">
        <f t="shared" si="16"/>
        <v>1.0108780583381567</v>
      </c>
      <c r="S98" s="49"/>
      <c r="T98" s="157">
        <f>IFERROR(VLOOKUP(B98,[1]Todos!$A$2:$C$3021,3,FALSE),0)</f>
        <v>311.52999999999997</v>
      </c>
      <c r="U98" s="112">
        <f t="shared" si="18"/>
        <v>0</v>
      </c>
      <c r="W98" s="157">
        <f>IFERROR(VLOOKUP(B98,[1]Todos!$A$2:$B$3021,2,FALSE),0)</f>
        <v>1946.49</v>
      </c>
      <c r="X98" s="112">
        <f t="shared" si="17"/>
        <v>0</v>
      </c>
    </row>
    <row r="99" spans="1:24" hidden="1" outlineLevel="2" x14ac:dyDescent="0.3">
      <c r="A99" s="40" t="str">
        <f>VLOOKUP(B99,Grupos!$A$2:$B$619,2,FALSE)</f>
        <v>CE 125</v>
      </c>
      <c r="B99" s="41" t="s">
        <v>142</v>
      </c>
      <c r="C99" s="41" t="s">
        <v>143</v>
      </c>
      <c r="D99" s="42">
        <v>7200</v>
      </c>
      <c r="E99" s="43">
        <v>1984.17</v>
      </c>
      <c r="F99" s="192">
        <v>359.89</v>
      </c>
      <c r="G99" s="126">
        <f t="shared" si="19"/>
        <v>2344.06</v>
      </c>
      <c r="H99" s="127">
        <f t="shared" si="20"/>
        <v>14286024</v>
      </c>
      <c r="I99" s="128">
        <f t="shared" si="21"/>
        <v>2591208</v>
      </c>
      <c r="J99" s="128">
        <f t="shared" si="22"/>
        <v>16877232</v>
      </c>
      <c r="K99" s="44">
        <f t="shared" si="23"/>
        <v>1.0768077164610874E-2</v>
      </c>
      <c r="L99" s="45">
        <f t="shared" si="24"/>
        <v>668.98773527889568</v>
      </c>
      <c r="M99" s="45">
        <f t="shared" si="25"/>
        <v>2361.7469457616658</v>
      </c>
      <c r="N99" s="45">
        <f t="shared" si="26"/>
        <v>5374.794681040561</v>
      </c>
      <c r="O99" s="46">
        <f t="shared" si="27"/>
        <v>38698521.703492038</v>
      </c>
      <c r="P99" s="47">
        <f t="shared" si="29"/>
        <v>4842.2000111111111</v>
      </c>
      <c r="Q99" s="42">
        <v>34863840.079999998</v>
      </c>
      <c r="R99" s="162">
        <f t="shared" si="16"/>
        <v>1.1099902252503688</v>
      </c>
      <c r="S99" s="49"/>
      <c r="T99" s="157">
        <f>IFERROR(VLOOKUP(B99,[1]Todos!$A$2:$C$3021,3,FALSE),0)</f>
        <v>359.89</v>
      </c>
      <c r="U99" s="112">
        <f t="shared" si="18"/>
        <v>0</v>
      </c>
      <c r="W99" s="157">
        <f>IFERROR(VLOOKUP(B99,[1]Todos!$A$2:$B$3021,2,FALSE),0)</f>
        <v>1984.17</v>
      </c>
      <c r="X99" s="112">
        <f t="shared" si="17"/>
        <v>0</v>
      </c>
    </row>
    <row r="100" spans="1:24" s="93" customFormat="1" outlineLevel="1" collapsed="1" x14ac:dyDescent="0.3">
      <c r="A100" s="50" t="s">
        <v>1024</v>
      </c>
      <c r="B100" s="129"/>
      <c r="C100" s="129"/>
      <c r="D100" s="51">
        <f>SUBTOTAL(9,D94:D99)</f>
        <v>35170</v>
      </c>
      <c r="E100" s="52"/>
      <c r="F100" s="52"/>
      <c r="G100" s="130"/>
      <c r="H100" s="131">
        <f>SUBTOTAL(9,H94:H99)</f>
        <v>69595941.900000006</v>
      </c>
      <c r="I100" s="146">
        <f>SUBTOTAL(9,I94:I99)</f>
        <v>11509181.300000001</v>
      </c>
      <c r="J100" s="146">
        <f>SUBTOTAL(9,J94:J99)</f>
        <v>81105123.200000003</v>
      </c>
      <c r="K100" s="53"/>
      <c r="L100" s="54"/>
      <c r="M100" s="54"/>
      <c r="N100" s="54"/>
      <c r="O100" s="55">
        <f>SUBTOTAL(9,O94:O99)</f>
        <v>179780288.72754976</v>
      </c>
      <c r="P100" s="56"/>
      <c r="Q100" s="51">
        <f>SUBTOTAL(9,Q94:Q99)</f>
        <v>171697139.63999999</v>
      </c>
      <c r="R100" s="164">
        <f t="shared" si="16"/>
        <v>1.0470779484416446</v>
      </c>
      <c r="S100" s="58">
        <f>Q100/$Q$303</f>
        <v>4.2892227285705388E-2</v>
      </c>
      <c r="T100" s="157">
        <f>IFERROR(VLOOKUP(B100,[1]Todos!$A$2:$C$3021,3,FALSE),0)</f>
        <v>0</v>
      </c>
      <c r="U100" s="112">
        <f t="shared" si="18"/>
        <v>0</v>
      </c>
      <c r="W100" s="157">
        <f>IFERROR(VLOOKUP(B100,[1]Todos!$A$2:$B$3021,2,FALSE),0)</f>
        <v>0</v>
      </c>
      <c r="X100" s="112">
        <f t="shared" si="17"/>
        <v>0</v>
      </c>
    </row>
    <row r="101" spans="1:24" hidden="1" outlineLevel="2" x14ac:dyDescent="0.3">
      <c r="A101" s="40" t="str">
        <f>VLOOKUP(B101,Grupos!$A$2:$B$619,2,FALSE)</f>
        <v>EXCEDENTES INDUSTRIALES</v>
      </c>
      <c r="B101" s="41" t="s">
        <v>748</v>
      </c>
      <c r="C101" s="41" t="s">
        <v>749</v>
      </c>
      <c r="D101" s="42">
        <v>8</v>
      </c>
      <c r="E101" s="43">
        <v>0</v>
      </c>
      <c r="F101" s="43">
        <v>0</v>
      </c>
      <c r="G101" s="126">
        <f t="shared" si="19"/>
        <v>0</v>
      </c>
      <c r="H101" s="127">
        <f t="shared" si="20"/>
        <v>0</v>
      </c>
      <c r="I101" s="128">
        <f t="shared" si="21"/>
        <v>0</v>
      </c>
      <c r="J101" s="128">
        <f t="shared" si="22"/>
        <v>0</v>
      </c>
      <c r="K101" s="44">
        <f t="shared" si="23"/>
        <v>0</v>
      </c>
      <c r="L101" s="45">
        <f t="shared" si="24"/>
        <v>0</v>
      </c>
      <c r="M101" s="45">
        <f t="shared" si="25"/>
        <v>0</v>
      </c>
      <c r="N101" s="45">
        <f t="shared" si="26"/>
        <v>0</v>
      </c>
      <c r="O101" s="46">
        <f t="shared" si="27"/>
        <v>0</v>
      </c>
      <c r="P101" s="47">
        <f t="shared" ref="P101:P109" si="30">Q101/D101</f>
        <v>750</v>
      </c>
      <c r="Q101" s="42">
        <v>6000</v>
      </c>
      <c r="R101" s="48">
        <f t="shared" si="16"/>
        <v>0</v>
      </c>
      <c r="S101" s="49"/>
      <c r="T101" s="157">
        <f>IFERROR(VLOOKUP(B101,[1]Todos!$A$2:$C$3021,3,FALSE),0)</f>
        <v>0</v>
      </c>
      <c r="U101" s="112">
        <f t="shared" si="18"/>
        <v>0</v>
      </c>
      <c r="W101" s="157">
        <f>IFERROR(VLOOKUP(B101,[1]Todos!$A$2:$B$3021,2,FALSE),0)</f>
        <v>0</v>
      </c>
      <c r="X101" s="112">
        <f t="shared" si="17"/>
        <v>0</v>
      </c>
    </row>
    <row r="102" spans="1:24" hidden="1" outlineLevel="2" x14ac:dyDescent="0.3">
      <c r="A102" s="40" t="str">
        <f>VLOOKUP(B102,Grupos!$A$2:$B$619,2,FALSE)</f>
        <v>EXCEDENTES INDUSTRIALES</v>
      </c>
      <c r="B102" s="41" t="s">
        <v>716</v>
      </c>
      <c r="C102" s="41" t="s">
        <v>717</v>
      </c>
      <c r="D102" s="42">
        <v>45.1</v>
      </c>
      <c r="E102" s="43">
        <v>0</v>
      </c>
      <c r="F102" s="43">
        <v>0</v>
      </c>
      <c r="G102" s="126">
        <f t="shared" si="19"/>
        <v>0</v>
      </c>
      <c r="H102" s="127">
        <f t="shared" si="20"/>
        <v>0</v>
      </c>
      <c r="I102" s="128">
        <f t="shared" si="21"/>
        <v>0</v>
      </c>
      <c r="J102" s="128">
        <f t="shared" si="22"/>
        <v>0</v>
      </c>
      <c r="K102" s="44">
        <f t="shared" si="23"/>
        <v>0</v>
      </c>
      <c r="L102" s="45">
        <f t="shared" si="24"/>
        <v>0</v>
      </c>
      <c r="M102" s="45">
        <f t="shared" si="25"/>
        <v>0</v>
      </c>
      <c r="N102" s="45">
        <f t="shared" si="26"/>
        <v>0</v>
      </c>
      <c r="O102" s="46">
        <f t="shared" si="27"/>
        <v>0</v>
      </c>
      <c r="P102" s="47">
        <f t="shared" si="30"/>
        <v>500</v>
      </c>
      <c r="Q102" s="42">
        <v>22550</v>
      </c>
      <c r="R102" s="48">
        <f t="shared" si="16"/>
        <v>0</v>
      </c>
      <c r="S102" s="49"/>
      <c r="T102" s="157">
        <f>IFERROR(VLOOKUP(B102,[1]Todos!$A$2:$C$3021,3,FALSE),0)</f>
        <v>0</v>
      </c>
      <c r="U102" s="112">
        <f t="shared" si="18"/>
        <v>0</v>
      </c>
      <c r="W102" s="157">
        <f>IFERROR(VLOOKUP(B102,[1]Todos!$A$2:$B$3021,2,FALSE),0)</f>
        <v>0</v>
      </c>
      <c r="X102" s="112">
        <f t="shared" si="17"/>
        <v>0</v>
      </c>
    </row>
    <row r="103" spans="1:24" hidden="1" outlineLevel="2" x14ac:dyDescent="0.3">
      <c r="A103" s="40" t="str">
        <f>VLOOKUP(B103,Grupos!$A$2:$B$619,2,FALSE)</f>
        <v>EXCEDENTES INDUSTRIALES</v>
      </c>
      <c r="B103" s="41" t="s">
        <v>739</v>
      </c>
      <c r="C103" s="41" t="s">
        <v>740</v>
      </c>
      <c r="D103" s="42">
        <v>1228</v>
      </c>
      <c r="E103" s="43">
        <v>0</v>
      </c>
      <c r="F103" s="43">
        <v>0</v>
      </c>
      <c r="G103" s="126">
        <f t="shared" si="19"/>
        <v>0</v>
      </c>
      <c r="H103" s="127">
        <f t="shared" si="20"/>
        <v>0</v>
      </c>
      <c r="I103" s="128">
        <f t="shared" si="21"/>
        <v>0</v>
      </c>
      <c r="J103" s="128">
        <f t="shared" si="22"/>
        <v>0</v>
      </c>
      <c r="K103" s="44">
        <f t="shared" si="23"/>
        <v>0</v>
      </c>
      <c r="L103" s="45">
        <f t="shared" si="24"/>
        <v>0</v>
      </c>
      <c r="M103" s="45">
        <f t="shared" si="25"/>
        <v>0</v>
      </c>
      <c r="N103" s="45">
        <f t="shared" si="26"/>
        <v>0</v>
      </c>
      <c r="O103" s="46">
        <f t="shared" si="27"/>
        <v>0</v>
      </c>
      <c r="P103" s="47">
        <f t="shared" si="30"/>
        <v>300</v>
      </c>
      <c r="Q103" s="42">
        <v>368400</v>
      </c>
      <c r="R103" s="48">
        <f t="shared" si="16"/>
        <v>0</v>
      </c>
      <c r="S103" s="49"/>
      <c r="T103" s="157">
        <f>IFERROR(VLOOKUP(B103,[1]Todos!$A$2:$C$3021,3,FALSE),0)</f>
        <v>0</v>
      </c>
      <c r="U103" s="112">
        <f t="shared" si="18"/>
        <v>0</v>
      </c>
      <c r="W103" s="157">
        <f>IFERROR(VLOOKUP(B103,[1]Todos!$A$2:$B$3021,2,FALSE),0)</f>
        <v>0</v>
      </c>
      <c r="X103" s="112">
        <f t="shared" si="17"/>
        <v>0</v>
      </c>
    </row>
    <row r="104" spans="1:24" hidden="1" outlineLevel="2" x14ac:dyDescent="0.3">
      <c r="A104" s="40" t="str">
        <f>VLOOKUP(B104,Grupos!$A$2:$B$619,2,FALSE)</f>
        <v>EXCEDENTES INDUSTRIALES</v>
      </c>
      <c r="B104" s="41" t="s">
        <v>678</v>
      </c>
      <c r="C104" s="41" t="s">
        <v>679</v>
      </c>
      <c r="D104" s="42">
        <v>322</v>
      </c>
      <c r="E104" s="43">
        <v>0</v>
      </c>
      <c r="F104" s="43">
        <v>0</v>
      </c>
      <c r="G104" s="126">
        <f t="shared" si="19"/>
        <v>0</v>
      </c>
      <c r="H104" s="127">
        <f t="shared" si="20"/>
        <v>0</v>
      </c>
      <c r="I104" s="128">
        <f t="shared" si="21"/>
        <v>0</v>
      </c>
      <c r="J104" s="128">
        <f t="shared" si="22"/>
        <v>0</v>
      </c>
      <c r="K104" s="44">
        <f t="shared" si="23"/>
        <v>0</v>
      </c>
      <c r="L104" s="45">
        <f t="shared" si="24"/>
        <v>0</v>
      </c>
      <c r="M104" s="45">
        <f t="shared" si="25"/>
        <v>0</v>
      </c>
      <c r="N104" s="45">
        <f t="shared" si="26"/>
        <v>0</v>
      </c>
      <c r="O104" s="46">
        <f t="shared" si="27"/>
        <v>0</v>
      </c>
      <c r="P104" s="47">
        <f t="shared" si="30"/>
        <v>500</v>
      </c>
      <c r="Q104" s="42">
        <v>161000</v>
      </c>
      <c r="R104" s="48">
        <f t="shared" si="16"/>
        <v>0</v>
      </c>
      <c r="S104" s="49"/>
      <c r="T104" s="157">
        <f>IFERROR(VLOOKUP(B104,[1]Todos!$A$2:$C$3021,3,FALSE),0)</f>
        <v>0</v>
      </c>
      <c r="U104" s="112">
        <f t="shared" si="18"/>
        <v>0</v>
      </c>
      <c r="W104" s="157">
        <f>IFERROR(VLOOKUP(B104,[1]Todos!$A$2:$B$3021,2,FALSE),0)</f>
        <v>0</v>
      </c>
      <c r="X104" s="112">
        <f t="shared" si="17"/>
        <v>0</v>
      </c>
    </row>
    <row r="105" spans="1:24" hidden="1" outlineLevel="2" x14ac:dyDescent="0.3">
      <c r="A105" s="40" t="str">
        <f>VLOOKUP(B105,Grupos!$A$2:$B$619,2,FALSE)</f>
        <v>EXCEDENTES INDUSTRIALES</v>
      </c>
      <c r="B105" s="41" t="s">
        <v>680</v>
      </c>
      <c r="C105" s="41" t="s">
        <v>681</v>
      </c>
      <c r="D105" s="42">
        <v>166</v>
      </c>
      <c r="E105" s="43">
        <v>0</v>
      </c>
      <c r="F105" s="43">
        <v>0</v>
      </c>
      <c r="G105" s="126">
        <f t="shared" si="19"/>
        <v>0</v>
      </c>
      <c r="H105" s="127">
        <f t="shared" si="20"/>
        <v>0</v>
      </c>
      <c r="I105" s="128">
        <f t="shared" si="21"/>
        <v>0</v>
      </c>
      <c r="J105" s="128">
        <f t="shared" si="22"/>
        <v>0</v>
      </c>
      <c r="K105" s="44">
        <f t="shared" si="23"/>
        <v>0</v>
      </c>
      <c r="L105" s="45">
        <f t="shared" si="24"/>
        <v>0</v>
      </c>
      <c r="M105" s="45">
        <f t="shared" si="25"/>
        <v>0</v>
      </c>
      <c r="N105" s="45">
        <f t="shared" si="26"/>
        <v>0</v>
      </c>
      <c r="O105" s="46">
        <f t="shared" si="27"/>
        <v>0</v>
      </c>
      <c r="P105" s="47">
        <f t="shared" si="30"/>
        <v>1000</v>
      </c>
      <c r="Q105" s="42">
        <v>166000</v>
      </c>
      <c r="R105" s="48">
        <f t="shared" si="16"/>
        <v>0</v>
      </c>
      <c r="S105" s="49"/>
      <c r="T105" s="157">
        <f>IFERROR(VLOOKUP(B105,[1]Todos!$A$2:$C$3021,3,FALSE),0)</f>
        <v>0</v>
      </c>
      <c r="U105" s="112">
        <f t="shared" si="18"/>
        <v>0</v>
      </c>
      <c r="W105" s="157">
        <f>IFERROR(VLOOKUP(B105,[1]Todos!$A$2:$B$3021,2,FALSE),0)</f>
        <v>0</v>
      </c>
      <c r="X105" s="112">
        <f t="shared" si="17"/>
        <v>0</v>
      </c>
    </row>
    <row r="106" spans="1:24" hidden="1" outlineLevel="2" x14ac:dyDescent="0.3">
      <c r="A106" s="40" t="str">
        <f>VLOOKUP(B106,Grupos!$A$2:$B$619,2,FALSE)</f>
        <v>EXCEDENTES INDUSTRIALES</v>
      </c>
      <c r="B106" s="41" t="s">
        <v>720</v>
      </c>
      <c r="C106" s="41" t="s">
        <v>1107</v>
      </c>
      <c r="D106" s="42">
        <v>7</v>
      </c>
      <c r="E106" s="43">
        <v>0</v>
      </c>
      <c r="F106" s="43">
        <v>0</v>
      </c>
      <c r="G106" s="126">
        <f t="shared" si="19"/>
        <v>0</v>
      </c>
      <c r="H106" s="127">
        <f t="shared" si="20"/>
        <v>0</v>
      </c>
      <c r="I106" s="128">
        <f t="shared" si="21"/>
        <v>0</v>
      </c>
      <c r="J106" s="128">
        <f t="shared" si="22"/>
        <v>0</v>
      </c>
      <c r="K106" s="44">
        <f t="shared" si="23"/>
        <v>0</v>
      </c>
      <c r="L106" s="45">
        <f t="shared" si="24"/>
        <v>0</v>
      </c>
      <c r="M106" s="45">
        <f t="shared" si="25"/>
        <v>0</v>
      </c>
      <c r="N106" s="45">
        <f t="shared" si="26"/>
        <v>0</v>
      </c>
      <c r="O106" s="46">
        <f t="shared" si="27"/>
        <v>0</v>
      </c>
      <c r="P106" s="47">
        <f t="shared" si="30"/>
        <v>4000</v>
      </c>
      <c r="Q106" s="42">
        <v>28000</v>
      </c>
      <c r="R106" s="48">
        <f t="shared" si="16"/>
        <v>0</v>
      </c>
      <c r="S106" s="49"/>
      <c r="T106" s="157">
        <f>IFERROR(VLOOKUP(B106,[1]Todos!$A$2:$C$3021,3,FALSE),0)</f>
        <v>0</v>
      </c>
      <c r="U106" s="112">
        <f t="shared" si="18"/>
        <v>0</v>
      </c>
      <c r="W106" s="157">
        <f>IFERROR(VLOOKUP(B106,[1]Todos!$A$2:$B$3021,2,FALSE),0)</f>
        <v>0</v>
      </c>
      <c r="X106" s="112">
        <f t="shared" si="17"/>
        <v>0</v>
      </c>
    </row>
    <row r="107" spans="1:24" hidden="1" outlineLevel="2" x14ac:dyDescent="0.3">
      <c r="A107" s="40" t="str">
        <f>VLOOKUP(B107,Grupos!$A$2:$B$619,2,FALSE)</f>
        <v>EXCEDENTES INDUSTRIALES</v>
      </c>
      <c r="B107" s="41" t="s">
        <v>910</v>
      </c>
      <c r="C107" s="41" t="s">
        <v>1108</v>
      </c>
      <c r="D107" s="42">
        <v>169.9</v>
      </c>
      <c r="E107" s="43">
        <v>0</v>
      </c>
      <c r="F107" s="43">
        <v>0</v>
      </c>
      <c r="G107" s="126">
        <f t="shared" si="19"/>
        <v>0</v>
      </c>
      <c r="H107" s="127">
        <f t="shared" si="20"/>
        <v>0</v>
      </c>
      <c r="I107" s="128">
        <f t="shared" si="21"/>
        <v>0</v>
      </c>
      <c r="J107" s="128">
        <f t="shared" si="22"/>
        <v>0</v>
      </c>
      <c r="K107" s="44">
        <f t="shared" si="23"/>
        <v>0</v>
      </c>
      <c r="L107" s="45">
        <f t="shared" si="24"/>
        <v>0</v>
      </c>
      <c r="M107" s="45">
        <f t="shared" si="25"/>
        <v>0</v>
      </c>
      <c r="N107" s="45">
        <f t="shared" si="26"/>
        <v>0</v>
      </c>
      <c r="O107" s="46">
        <f t="shared" si="27"/>
        <v>0</v>
      </c>
      <c r="P107" s="47">
        <f t="shared" si="30"/>
        <v>6800</v>
      </c>
      <c r="Q107" s="42">
        <v>1155320</v>
      </c>
      <c r="R107" s="48">
        <f t="shared" si="16"/>
        <v>0</v>
      </c>
      <c r="S107" s="49"/>
      <c r="T107" s="157">
        <f>IFERROR(VLOOKUP(B107,[1]Todos!$A$2:$C$3021,3,FALSE),0)</f>
        <v>0</v>
      </c>
      <c r="U107" s="112">
        <f t="shared" si="18"/>
        <v>0</v>
      </c>
      <c r="W107" s="157">
        <f>IFERROR(VLOOKUP(B107,[1]Todos!$A$2:$B$3021,2,FALSE),0)</f>
        <v>0</v>
      </c>
      <c r="X107" s="112">
        <f t="shared" si="17"/>
        <v>0</v>
      </c>
    </row>
    <row r="108" spans="1:24" hidden="1" outlineLevel="2" x14ac:dyDescent="0.3">
      <c r="A108" s="40" t="str">
        <f>VLOOKUP(B108,Grupos!$A$2:$B$619,2,FALSE)</f>
        <v>EXCEDENTES INDUSTRIALES</v>
      </c>
      <c r="B108" s="41" t="s">
        <v>683</v>
      </c>
      <c r="C108" s="41" t="s">
        <v>1109</v>
      </c>
      <c r="D108" s="42">
        <v>245.7</v>
      </c>
      <c r="E108" s="43">
        <v>0</v>
      </c>
      <c r="F108" s="43">
        <v>0</v>
      </c>
      <c r="G108" s="126">
        <f t="shared" si="19"/>
        <v>0</v>
      </c>
      <c r="H108" s="127">
        <f t="shared" si="20"/>
        <v>0</v>
      </c>
      <c r="I108" s="128">
        <f t="shared" si="21"/>
        <v>0</v>
      </c>
      <c r="J108" s="128">
        <f t="shared" si="22"/>
        <v>0</v>
      </c>
      <c r="K108" s="44">
        <f t="shared" si="23"/>
        <v>0</v>
      </c>
      <c r="L108" s="45">
        <f t="shared" si="24"/>
        <v>0</v>
      </c>
      <c r="M108" s="45">
        <f t="shared" si="25"/>
        <v>0</v>
      </c>
      <c r="N108" s="45">
        <f t="shared" si="26"/>
        <v>0</v>
      </c>
      <c r="O108" s="46">
        <f t="shared" si="27"/>
        <v>0</v>
      </c>
      <c r="P108" s="47">
        <f t="shared" si="30"/>
        <v>40669.759869759873</v>
      </c>
      <c r="Q108" s="42">
        <v>9992560</v>
      </c>
      <c r="R108" s="48">
        <f t="shared" si="16"/>
        <v>0</v>
      </c>
      <c r="S108" s="49"/>
      <c r="T108" s="157">
        <f>IFERROR(VLOOKUP(B108,[1]Todos!$A$2:$C$3021,3,FALSE),0)</f>
        <v>0</v>
      </c>
      <c r="U108" s="112">
        <f t="shared" si="18"/>
        <v>0</v>
      </c>
      <c r="W108" s="157">
        <f>IFERROR(VLOOKUP(B108,[1]Todos!$A$2:$B$3021,2,FALSE),0)</f>
        <v>0</v>
      </c>
      <c r="X108" s="112">
        <f t="shared" si="17"/>
        <v>0</v>
      </c>
    </row>
    <row r="109" spans="1:24" hidden="1" outlineLevel="2" x14ac:dyDescent="0.3">
      <c r="A109" s="40" t="str">
        <f>VLOOKUP(B109,Grupos!$A$2:$B$619,2,FALSE)</f>
        <v>EXCEDENTES INDUSTRIALES</v>
      </c>
      <c r="B109" s="41" t="s">
        <v>478</v>
      </c>
      <c r="C109" s="41" t="s">
        <v>479</v>
      </c>
      <c r="D109" s="42">
        <v>2929</v>
      </c>
      <c r="E109" s="43">
        <v>0</v>
      </c>
      <c r="F109" s="43">
        <v>0</v>
      </c>
      <c r="G109" s="126">
        <f t="shared" si="19"/>
        <v>0</v>
      </c>
      <c r="H109" s="127">
        <f t="shared" si="20"/>
        <v>0</v>
      </c>
      <c r="I109" s="128">
        <f t="shared" si="21"/>
        <v>0</v>
      </c>
      <c r="J109" s="128">
        <f t="shared" si="22"/>
        <v>0</v>
      </c>
      <c r="K109" s="44">
        <f t="shared" si="23"/>
        <v>0</v>
      </c>
      <c r="L109" s="45">
        <f t="shared" si="24"/>
        <v>0</v>
      </c>
      <c r="M109" s="45">
        <f t="shared" si="25"/>
        <v>0</v>
      </c>
      <c r="N109" s="45">
        <f t="shared" si="26"/>
        <v>0</v>
      </c>
      <c r="O109" s="46">
        <f t="shared" si="27"/>
        <v>0</v>
      </c>
      <c r="P109" s="47">
        <f t="shared" si="30"/>
        <v>220</v>
      </c>
      <c r="Q109" s="42">
        <v>644380</v>
      </c>
      <c r="R109" s="48">
        <f t="shared" si="16"/>
        <v>0</v>
      </c>
      <c r="S109" s="49"/>
      <c r="T109" s="157">
        <f>IFERROR(VLOOKUP(B109,[1]Todos!$A$2:$C$3021,3,FALSE),0)</f>
        <v>0</v>
      </c>
      <c r="U109" s="112">
        <f t="shared" si="18"/>
        <v>0</v>
      </c>
      <c r="W109" s="157">
        <f>IFERROR(VLOOKUP(B109,[1]Todos!$A$2:$B$3021,2,FALSE),0)</f>
        <v>0</v>
      </c>
      <c r="X109" s="112">
        <f t="shared" si="17"/>
        <v>0</v>
      </c>
    </row>
    <row r="110" spans="1:24" s="93" customFormat="1" outlineLevel="1" collapsed="1" x14ac:dyDescent="0.3">
      <c r="A110" s="50" t="s">
        <v>1025</v>
      </c>
      <c r="B110" s="129"/>
      <c r="C110" s="129"/>
      <c r="D110" s="51">
        <f>SUBTOTAL(9,D101:D109)</f>
        <v>5120.7</v>
      </c>
      <c r="E110" s="52"/>
      <c r="F110" s="52"/>
      <c r="G110" s="130"/>
      <c r="H110" s="131">
        <f>SUBTOTAL(9,H101:H109)</f>
        <v>0</v>
      </c>
      <c r="I110" s="146">
        <f>SUBTOTAL(9,I101:I109)</f>
        <v>0</v>
      </c>
      <c r="J110" s="146">
        <f>SUBTOTAL(9,J101:J109)</f>
        <v>0</v>
      </c>
      <c r="K110" s="53"/>
      <c r="L110" s="54"/>
      <c r="M110" s="54"/>
      <c r="N110" s="54"/>
      <c r="O110" s="55">
        <f>SUBTOTAL(9,O101:O109)</f>
        <v>0</v>
      </c>
      <c r="P110" s="56"/>
      <c r="Q110" s="51">
        <f>SUBTOTAL(9,Q101:Q109)</f>
        <v>12544210</v>
      </c>
      <c r="R110" s="164">
        <f t="shared" si="16"/>
        <v>0</v>
      </c>
      <c r="S110" s="58">
        <f>Q110/$Q$303</f>
        <v>3.1337103667990868E-3</v>
      </c>
      <c r="T110" s="157">
        <f>IFERROR(VLOOKUP(B110,[1]Todos!$A$2:$C$3021,3,FALSE),0)</f>
        <v>0</v>
      </c>
      <c r="U110" s="112">
        <f t="shared" si="18"/>
        <v>0</v>
      </c>
      <c r="W110" s="157">
        <f>IFERROR(VLOOKUP(B110,[1]Todos!$A$2:$B$3021,2,FALSE),0)</f>
        <v>0</v>
      </c>
      <c r="X110" s="112">
        <f t="shared" si="17"/>
        <v>0</v>
      </c>
    </row>
    <row r="111" spans="1:24" hidden="1" outlineLevel="2" x14ac:dyDescent="0.3">
      <c r="A111" s="40" t="str">
        <f>VLOOKUP(B111,Grupos!$A$2:$B$619,2,FALSE)</f>
        <v>INTERIORES</v>
      </c>
      <c r="B111" s="41" t="s">
        <v>633</v>
      </c>
      <c r="C111" s="41" t="s">
        <v>634</v>
      </c>
      <c r="D111" s="42">
        <v>20</v>
      </c>
      <c r="E111" s="43">
        <v>15188.54</v>
      </c>
      <c r="F111" s="43">
        <v>858.39</v>
      </c>
      <c r="G111" s="126">
        <f t="shared" si="19"/>
        <v>16046.93</v>
      </c>
      <c r="H111" s="127">
        <f t="shared" si="20"/>
        <v>303770.80000000005</v>
      </c>
      <c r="I111" s="128">
        <f t="shared" si="21"/>
        <v>17167.8</v>
      </c>
      <c r="J111" s="128">
        <f t="shared" si="22"/>
        <v>320938.59999999998</v>
      </c>
      <c r="K111" s="44">
        <f t="shared" si="23"/>
        <v>2.0476649310160477E-4</v>
      </c>
      <c r="L111" s="45">
        <f t="shared" si="24"/>
        <v>4579.7459787202406</v>
      </c>
      <c r="M111" s="45">
        <f t="shared" si="25"/>
        <v>5633.1100079812059</v>
      </c>
      <c r="N111" s="45">
        <f t="shared" si="26"/>
        <v>26259.785986701445</v>
      </c>
      <c r="O111" s="46">
        <f t="shared" si="27"/>
        <v>525195.71973402891</v>
      </c>
      <c r="P111" s="47">
        <f t="shared" ref="P111:P120" si="31">Q111/D111</f>
        <v>64827.999499999998</v>
      </c>
      <c r="Q111" s="42">
        <v>1296559.99</v>
      </c>
      <c r="R111" s="48">
        <f t="shared" si="16"/>
        <v>0.40506858439618282</v>
      </c>
      <c r="S111" s="49"/>
      <c r="T111" s="157">
        <f>IFERROR(VLOOKUP(B111,[1]Todos!$A$2:$C$3021,3,FALSE),0)</f>
        <v>848.26</v>
      </c>
      <c r="U111" s="112">
        <f t="shared" si="18"/>
        <v>-10.129999999999995</v>
      </c>
      <c r="W111" s="157">
        <f>IFERROR(VLOOKUP(B111,[1]Todos!$A$2:$B$3021,2,FALSE),0)</f>
        <v>15188.54</v>
      </c>
      <c r="X111" s="112">
        <f t="shared" si="17"/>
        <v>0</v>
      </c>
    </row>
    <row r="112" spans="1:24" hidden="1" outlineLevel="2" x14ac:dyDescent="0.3">
      <c r="A112" s="40" t="str">
        <f>VLOOKUP(B112,Grupos!$A$2:$B$619,2,FALSE)</f>
        <v>INTERIORES</v>
      </c>
      <c r="B112" s="41" t="s">
        <v>997</v>
      </c>
      <c r="C112" s="41" t="s">
        <v>1067</v>
      </c>
      <c r="D112" s="42">
        <v>1</v>
      </c>
      <c r="E112" s="43">
        <v>8292.4</v>
      </c>
      <c r="F112" s="43">
        <v>996.23</v>
      </c>
      <c r="G112" s="126">
        <f t="shared" si="19"/>
        <v>9288.6299999999992</v>
      </c>
      <c r="H112" s="127">
        <f t="shared" si="20"/>
        <v>8292.4</v>
      </c>
      <c r="I112" s="128">
        <f t="shared" si="21"/>
        <v>996.23</v>
      </c>
      <c r="J112" s="128">
        <f t="shared" si="22"/>
        <v>9288.6299999999992</v>
      </c>
      <c r="K112" s="44">
        <f t="shared" si="23"/>
        <v>5.9263678186991508E-6</v>
      </c>
      <c r="L112" s="45">
        <f t="shared" si="24"/>
        <v>2650.9473083212924</v>
      </c>
      <c r="M112" s="45">
        <f t="shared" si="25"/>
        <v>6537.6730661483907</v>
      </c>
      <c r="N112" s="45">
        <f t="shared" si="26"/>
        <v>18477.250374469681</v>
      </c>
      <c r="O112" s="46">
        <f t="shared" si="27"/>
        <v>18477.250374469681</v>
      </c>
      <c r="P112" s="47">
        <f t="shared" si="31"/>
        <v>91980</v>
      </c>
      <c r="Q112" s="42">
        <v>91980</v>
      </c>
      <c r="R112" s="48">
        <f t="shared" si="16"/>
        <v>0.20088334827646967</v>
      </c>
      <c r="S112" s="49"/>
      <c r="T112" s="157">
        <f>IFERROR(VLOOKUP(B112,[1]Todos!$A$2:$C$3021,3,FALSE),0)</f>
        <v>0</v>
      </c>
      <c r="U112" s="112">
        <f t="shared" si="18"/>
        <v>-996.23</v>
      </c>
      <c r="W112" s="157">
        <f>IFERROR(VLOOKUP(B112,[1]Todos!$A$2:$B$3021,2,FALSE),0)</f>
        <v>0</v>
      </c>
      <c r="X112" s="112">
        <f t="shared" si="17"/>
        <v>-8292.4</v>
      </c>
    </row>
    <row r="113" spans="1:24" hidden="1" outlineLevel="2" x14ac:dyDescent="0.3">
      <c r="A113" s="40" t="str">
        <f>VLOOKUP(B113,Grupos!$A$2:$B$619,2,FALSE)</f>
        <v>INTERIORES</v>
      </c>
      <c r="B113" s="41" t="s">
        <v>635</v>
      </c>
      <c r="C113" s="41" t="s">
        <v>636</v>
      </c>
      <c r="D113" s="42">
        <v>4</v>
      </c>
      <c r="E113" s="43">
        <v>40097.47</v>
      </c>
      <c r="F113" s="43">
        <v>2260.46</v>
      </c>
      <c r="G113" s="126">
        <f t="shared" si="19"/>
        <v>42357.93</v>
      </c>
      <c r="H113" s="127">
        <f t="shared" si="20"/>
        <v>160389.88</v>
      </c>
      <c r="I113" s="128">
        <f t="shared" si="21"/>
        <v>9041.84</v>
      </c>
      <c r="J113" s="128">
        <f t="shared" si="22"/>
        <v>169431.72</v>
      </c>
      <c r="K113" s="44">
        <f t="shared" si="23"/>
        <v>1.0810148459728133E-4</v>
      </c>
      <c r="L113" s="45">
        <f t="shared" si="24"/>
        <v>12088.826933526443</v>
      </c>
      <c r="M113" s="45">
        <f t="shared" si="25"/>
        <v>14834.07291399154</v>
      </c>
      <c r="N113" s="45">
        <f t="shared" si="26"/>
        <v>69280.829847517976</v>
      </c>
      <c r="O113" s="46">
        <f t="shared" si="27"/>
        <v>277123.31939007191</v>
      </c>
      <c r="P113" s="47">
        <f t="shared" si="31"/>
        <v>143963</v>
      </c>
      <c r="Q113" s="42">
        <v>575852</v>
      </c>
      <c r="R113" s="48">
        <f t="shared" si="16"/>
        <v>0.48124052602069961</v>
      </c>
      <c r="S113" s="49"/>
      <c r="T113" s="157">
        <f>IFERROR(VLOOKUP(B113,[1]Todos!$A$2:$C$3021,3,FALSE),0)</f>
        <v>2027.61</v>
      </c>
      <c r="U113" s="112">
        <f t="shared" si="18"/>
        <v>-232.85000000000014</v>
      </c>
      <c r="W113" s="157">
        <f>IFERROR(VLOOKUP(B113,[1]Todos!$A$2:$B$3021,2,FALSE),0)</f>
        <v>40097.47</v>
      </c>
      <c r="X113" s="112">
        <f t="shared" si="17"/>
        <v>0</v>
      </c>
    </row>
    <row r="114" spans="1:24" hidden="1" outlineLevel="2" x14ac:dyDescent="0.3">
      <c r="A114" s="40" t="str">
        <f>VLOOKUP(B114,Grupos!$A$2:$B$619,2,FALSE)</f>
        <v>INTERIORES</v>
      </c>
      <c r="B114" s="41" t="s">
        <v>728</v>
      </c>
      <c r="C114" s="41" t="s">
        <v>1068</v>
      </c>
      <c r="D114" s="42">
        <v>1</v>
      </c>
      <c r="E114" s="43">
        <v>58797.23</v>
      </c>
      <c r="F114" s="43">
        <v>2751.28</v>
      </c>
      <c r="G114" s="126">
        <f t="shared" si="19"/>
        <v>61548.51</v>
      </c>
      <c r="H114" s="127">
        <f t="shared" si="20"/>
        <v>58797.23</v>
      </c>
      <c r="I114" s="128">
        <f t="shared" si="21"/>
        <v>2751.28</v>
      </c>
      <c r="J114" s="128">
        <f t="shared" si="22"/>
        <v>61548.51</v>
      </c>
      <c r="K114" s="44">
        <f t="shared" si="23"/>
        <v>3.9269419597172335E-5</v>
      </c>
      <c r="L114" s="45">
        <f t="shared" si="24"/>
        <v>17565.761249579988</v>
      </c>
      <c r="M114" s="45">
        <f t="shared" si="25"/>
        <v>18055.036641571471</v>
      </c>
      <c r="N114" s="45">
        <f t="shared" si="26"/>
        <v>97169.30789115146</v>
      </c>
      <c r="O114" s="46">
        <f t="shared" si="27"/>
        <v>97169.30789115146</v>
      </c>
      <c r="P114" s="47">
        <f t="shared" si="31"/>
        <v>395925</v>
      </c>
      <c r="Q114" s="42">
        <v>395925</v>
      </c>
      <c r="R114" s="48">
        <f t="shared" si="16"/>
        <v>0.24542352185679475</v>
      </c>
      <c r="S114" s="49"/>
      <c r="T114" s="157">
        <f>IFERROR(VLOOKUP(B114,[1]Todos!$A$2:$C$3021,3,FALSE),0)</f>
        <v>2622.81</v>
      </c>
      <c r="U114" s="112">
        <f t="shared" si="18"/>
        <v>-128.47000000000025</v>
      </c>
      <c r="W114" s="157">
        <f>IFERROR(VLOOKUP(B114,[1]Todos!$A$2:$B$3021,2,FALSE),0)</f>
        <v>58797.23</v>
      </c>
      <c r="X114" s="112">
        <f t="shared" si="17"/>
        <v>0</v>
      </c>
    </row>
    <row r="115" spans="1:24" hidden="1" outlineLevel="2" x14ac:dyDescent="0.3">
      <c r="A115" s="40" t="str">
        <f>VLOOKUP(B115,Grupos!$A$2:$B$619,2,FALSE)</f>
        <v>INTERIORES</v>
      </c>
      <c r="B115" s="41" t="s">
        <v>639</v>
      </c>
      <c r="C115" s="41" t="s">
        <v>640</v>
      </c>
      <c r="D115" s="42">
        <v>2</v>
      </c>
      <c r="E115" s="43">
        <v>26015.08</v>
      </c>
      <c r="F115" s="43">
        <v>1490.27</v>
      </c>
      <c r="G115" s="126">
        <f t="shared" si="19"/>
        <v>27505.350000000002</v>
      </c>
      <c r="H115" s="127">
        <f t="shared" si="20"/>
        <v>52030.16</v>
      </c>
      <c r="I115" s="128">
        <f t="shared" si="21"/>
        <v>2980.54</v>
      </c>
      <c r="J115" s="128">
        <f t="shared" si="22"/>
        <v>55010.700000000004</v>
      </c>
      <c r="K115" s="44">
        <f t="shared" si="23"/>
        <v>3.5098140647664232E-5</v>
      </c>
      <c r="L115" s="45">
        <f t="shared" si="24"/>
        <v>7849.9448838994631</v>
      </c>
      <c r="M115" s="45">
        <f t="shared" si="25"/>
        <v>9779.7677647621149</v>
      </c>
      <c r="N115" s="45">
        <f t="shared" si="26"/>
        <v>45135.06264866158</v>
      </c>
      <c r="O115" s="46">
        <f t="shared" si="27"/>
        <v>90270.12529732316</v>
      </c>
      <c r="P115" s="47">
        <f t="shared" si="31"/>
        <v>97337</v>
      </c>
      <c r="Q115" s="42">
        <v>194674</v>
      </c>
      <c r="R115" s="48">
        <f t="shared" si="16"/>
        <v>0.46369892896495246</v>
      </c>
      <c r="S115" s="49"/>
      <c r="T115" s="157">
        <f>IFERROR(VLOOKUP(B115,[1]Todos!$A$2:$C$3021,3,FALSE),0)</f>
        <v>1418.47</v>
      </c>
      <c r="U115" s="112">
        <f t="shared" si="18"/>
        <v>-71.799999999999955</v>
      </c>
      <c r="W115" s="157">
        <f>IFERROR(VLOOKUP(B115,[1]Todos!$A$2:$B$3021,2,FALSE),0)</f>
        <v>26015.08</v>
      </c>
      <c r="X115" s="112">
        <f t="shared" si="17"/>
        <v>0</v>
      </c>
    </row>
    <row r="116" spans="1:24" hidden="1" outlineLevel="2" x14ac:dyDescent="0.3">
      <c r="A116" s="40" t="str">
        <f>VLOOKUP(B116,Grupos!$A$2:$B$619,2,FALSE)</f>
        <v>INTERIORES</v>
      </c>
      <c r="B116" s="41" t="s">
        <v>147</v>
      </c>
      <c r="C116" s="41" t="s">
        <v>148</v>
      </c>
      <c r="D116" s="42">
        <v>3</v>
      </c>
      <c r="E116" s="43">
        <v>37890.61</v>
      </c>
      <c r="F116" s="43">
        <v>2170.38</v>
      </c>
      <c r="G116" s="126">
        <f t="shared" si="19"/>
        <v>40060.99</v>
      </c>
      <c r="H116" s="127">
        <f t="shared" si="20"/>
        <v>113671.83</v>
      </c>
      <c r="I116" s="128">
        <f t="shared" si="21"/>
        <v>6511.14</v>
      </c>
      <c r="J116" s="128">
        <f t="shared" si="22"/>
        <v>120182.97</v>
      </c>
      <c r="K116" s="44">
        <f t="shared" si="23"/>
        <v>7.6679605686057626E-5</v>
      </c>
      <c r="L116" s="45">
        <f t="shared" si="24"/>
        <v>11433.287105761154</v>
      </c>
      <c r="M116" s="45">
        <f t="shared" si="25"/>
        <v>14242.930718114436</v>
      </c>
      <c r="N116" s="45">
        <f t="shared" si="26"/>
        <v>65737.207823875593</v>
      </c>
      <c r="O116" s="46">
        <f t="shared" si="27"/>
        <v>197211.62347162678</v>
      </c>
      <c r="P116" s="47">
        <f t="shared" si="31"/>
        <v>128473.50333333334</v>
      </c>
      <c r="Q116" s="42">
        <v>385420.51</v>
      </c>
      <c r="R116" s="48">
        <f t="shared" si="16"/>
        <v>0.51167910984194065</v>
      </c>
      <c r="S116" s="49"/>
      <c r="T116" s="157">
        <f>IFERROR(VLOOKUP(B116,[1]Todos!$A$2:$C$3021,3,FALSE),0)</f>
        <v>1956.45</v>
      </c>
      <c r="U116" s="112">
        <f t="shared" si="18"/>
        <v>-213.93000000000006</v>
      </c>
      <c r="W116" s="157">
        <f>IFERROR(VLOOKUP(B116,[1]Todos!$A$2:$B$3021,2,FALSE),0)</f>
        <v>37890.61</v>
      </c>
      <c r="X116" s="112">
        <f t="shared" si="17"/>
        <v>0</v>
      </c>
    </row>
    <row r="117" spans="1:24" hidden="1" outlineLevel="2" x14ac:dyDescent="0.3">
      <c r="A117" s="40" t="str">
        <f>VLOOKUP(B117,Grupos!$A$2:$B$619,2,FALSE)</f>
        <v>INTERIORES</v>
      </c>
      <c r="B117" s="41" t="s">
        <v>149</v>
      </c>
      <c r="C117" s="41" t="s">
        <v>150</v>
      </c>
      <c r="D117" s="42">
        <v>3</v>
      </c>
      <c r="E117" s="43">
        <v>49777.86</v>
      </c>
      <c r="F117" s="43">
        <v>2367.67</v>
      </c>
      <c r="G117" s="126">
        <f t="shared" si="19"/>
        <v>52145.53</v>
      </c>
      <c r="H117" s="127">
        <f t="shared" si="20"/>
        <v>149333.58000000002</v>
      </c>
      <c r="I117" s="128">
        <f t="shared" si="21"/>
        <v>7103.01</v>
      </c>
      <c r="J117" s="128">
        <f t="shared" si="22"/>
        <v>156436.59</v>
      </c>
      <c r="K117" s="44">
        <f t="shared" si="23"/>
        <v>9.9810281240940091E-5</v>
      </c>
      <c r="L117" s="45">
        <f t="shared" si="24"/>
        <v>14882.178792188643</v>
      </c>
      <c r="M117" s="45">
        <f t="shared" si="25"/>
        <v>15537.629250803089</v>
      </c>
      <c r="N117" s="45">
        <f t="shared" si="26"/>
        <v>82565.338042991731</v>
      </c>
      <c r="O117" s="46">
        <f t="shared" si="27"/>
        <v>247696.01412897519</v>
      </c>
      <c r="P117" s="47">
        <f t="shared" si="31"/>
        <v>143963</v>
      </c>
      <c r="Q117" s="42">
        <v>431889</v>
      </c>
      <c r="R117" s="48">
        <f t="shared" si="16"/>
        <v>0.57351776527991027</v>
      </c>
      <c r="S117" s="49"/>
      <c r="T117" s="157">
        <f>IFERROR(VLOOKUP(B117,[1]Todos!$A$2:$C$3021,3,FALSE),0)</f>
        <v>2292.84</v>
      </c>
      <c r="U117" s="112">
        <f t="shared" si="18"/>
        <v>-74.829999999999927</v>
      </c>
      <c r="W117" s="157">
        <f>IFERROR(VLOOKUP(B117,[1]Todos!$A$2:$B$3021,2,FALSE),0)</f>
        <v>49777.86</v>
      </c>
      <c r="X117" s="112">
        <f t="shared" si="17"/>
        <v>0</v>
      </c>
    </row>
    <row r="118" spans="1:24" hidden="1" outlineLevel="2" x14ac:dyDescent="0.3">
      <c r="A118" s="40" t="str">
        <f>VLOOKUP(B118,Grupos!$A$2:$B$619,2,FALSE)</f>
        <v>INTERIORES</v>
      </c>
      <c r="B118" s="41" t="s">
        <v>151</v>
      </c>
      <c r="C118" s="41" t="s">
        <v>152</v>
      </c>
      <c r="D118" s="42">
        <v>2</v>
      </c>
      <c r="E118" s="43">
        <v>73810.09</v>
      </c>
      <c r="F118" s="43">
        <v>2703.4</v>
      </c>
      <c r="G118" s="126">
        <f t="shared" si="19"/>
        <v>76513.489999999991</v>
      </c>
      <c r="H118" s="127">
        <f t="shared" si="20"/>
        <v>147620.18</v>
      </c>
      <c r="I118" s="128">
        <f t="shared" si="21"/>
        <v>5406.8</v>
      </c>
      <c r="J118" s="128">
        <f t="shared" si="22"/>
        <v>153026.97999999998</v>
      </c>
      <c r="K118" s="44">
        <f t="shared" si="23"/>
        <v>9.7634868615147603E-5</v>
      </c>
      <c r="L118" s="45">
        <f t="shared" si="24"/>
        <v>21836.721924090863</v>
      </c>
      <c r="M118" s="45">
        <f t="shared" si="25"/>
        <v>17740.828289677644</v>
      </c>
      <c r="N118" s="45">
        <f t="shared" si="26"/>
        <v>116091.04021376849</v>
      </c>
      <c r="O118" s="46">
        <f t="shared" si="27"/>
        <v>232182.08042753697</v>
      </c>
      <c r="P118" s="47">
        <f t="shared" si="31"/>
        <v>200602</v>
      </c>
      <c r="Q118" s="42">
        <v>401204</v>
      </c>
      <c r="R118" s="48">
        <f t="shared" si="16"/>
        <v>0.57871327411376006</v>
      </c>
      <c r="S118" s="49"/>
      <c r="T118" s="157">
        <f>IFERROR(VLOOKUP(B118,[1]Todos!$A$2:$C$3021,3,FALSE),0)</f>
        <v>2817.76</v>
      </c>
      <c r="U118" s="112">
        <f t="shared" si="18"/>
        <v>114.36000000000013</v>
      </c>
      <c r="W118" s="157">
        <f>IFERROR(VLOOKUP(B118,[1]Todos!$A$2:$B$3021,2,FALSE),0)</f>
        <v>73810.09</v>
      </c>
      <c r="X118" s="112">
        <f t="shared" si="17"/>
        <v>0</v>
      </c>
    </row>
    <row r="119" spans="1:24" hidden="1" outlineLevel="2" x14ac:dyDescent="0.3">
      <c r="A119" s="40" t="str">
        <f>VLOOKUP(B119,Grupos!$A$2:$B$619,2,FALSE)</f>
        <v>INTERIORES</v>
      </c>
      <c r="B119" s="41" t="s">
        <v>153</v>
      </c>
      <c r="C119" s="41" t="s">
        <v>154</v>
      </c>
      <c r="D119" s="42">
        <v>9</v>
      </c>
      <c r="E119" s="43">
        <v>85949.06</v>
      </c>
      <c r="F119" s="43">
        <v>4131.3900000000003</v>
      </c>
      <c r="G119" s="126">
        <f t="shared" si="19"/>
        <v>90080.45</v>
      </c>
      <c r="H119" s="127">
        <f t="shared" si="20"/>
        <v>773541.54</v>
      </c>
      <c r="I119" s="128">
        <f t="shared" si="21"/>
        <v>37182.51</v>
      </c>
      <c r="J119" s="128">
        <f t="shared" si="22"/>
        <v>810724.04999999993</v>
      </c>
      <c r="K119" s="44">
        <f t="shared" si="23"/>
        <v>5.1726130976962595E-4</v>
      </c>
      <c r="L119" s="45">
        <f t="shared" si="24"/>
        <v>25708.691858742433</v>
      </c>
      <c r="M119" s="45">
        <f t="shared" si="25"/>
        <v>27111.888950096665</v>
      </c>
      <c r="N119" s="45">
        <f t="shared" si="26"/>
        <v>142901.0308088391</v>
      </c>
      <c r="O119" s="46">
        <f t="shared" si="27"/>
        <v>1286109.2772795518</v>
      </c>
      <c r="P119" s="47">
        <f t="shared" si="31"/>
        <v>229576.99777777778</v>
      </c>
      <c r="Q119" s="42">
        <v>2066192.98</v>
      </c>
      <c r="R119" s="48">
        <f t="shared" si="16"/>
        <v>0.6224536089942343</v>
      </c>
      <c r="S119" s="49"/>
      <c r="T119" s="157">
        <f>IFERROR(VLOOKUP(B119,[1]Todos!$A$2:$C$3021,3,FALSE),0)</f>
        <v>3956.03</v>
      </c>
      <c r="U119" s="112">
        <f t="shared" si="18"/>
        <v>-175.36000000000013</v>
      </c>
      <c r="W119" s="157">
        <f>IFERROR(VLOOKUP(B119,[1]Todos!$A$2:$B$3021,2,FALSE),0)</f>
        <v>85949.06</v>
      </c>
      <c r="X119" s="112">
        <f t="shared" si="17"/>
        <v>0</v>
      </c>
    </row>
    <row r="120" spans="1:24" hidden="1" outlineLevel="2" x14ac:dyDescent="0.3">
      <c r="A120" s="40" t="str">
        <f>VLOOKUP(B120,Grupos!$A$2:$B$619,2,FALSE)</f>
        <v>INTERIORES</v>
      </c>
      <c r="B120" s="41" t="s">
        <v>690</v>
      </c>
      <c r="C120" s="41" t="s">
        <v>691</v>
      </c>
      <c r="D120" s="42">
        <v>4</v>
      </c>
      <c r="E120" s="43">
        <v>11375.68</v>
      </c>
      <c r="F120" s="43">
        <v>873.74</v>
      </c>
      <c r="G120" s="126">
        <f t="shared" si="19"/>
        <v>12249.42</v>
      </c>
      <c r="H120" s="127">
        <f t="shared" si="20"/>
        <v>45502.720000000001</v>
      </c>
      <c r="I120" s="128">
        <f t="shared" si="21"/>
        <v>3494.96</v>
      </c>
      <c r="J120" s="128">
        <f t="shared" si="22"/>
        <v>48997.68</v>
      </c>
      <c r="K120" s="44">
        <f t="shared" si="23"/>
        <v>3.1261690253882329E-5</v>
      </c>
      <c r="L120" s="45">
        <f t="shared" si="24"/>
        <v>3495.9479468443687</v>
      </c>
      <c r="M120" s="45">
        <f t="shared" si="25"/>
        <v>5733.8430531267832</v>
      </c>
      <c r="N120" s="45">
        <f t="shared" si="26"/>
        <v>21479.210999971154</v>
      </c>
      <c r="O120" s="46">
        <f t="shared" si="27"/>
        <v>85916.843999884615</v>
      </c>
      <c r="P120" s="47">
        <f t="shared" si="31"/>
        <v>51642</v>
      </c>
      <c r="Q120" s="42">
        <v>206568</v>
      </c>
      <c r="R120" s="48">
        <f t="shared" si="16"/>
        <v>0.41592523527305592</v>
      </c>
      <c r="S120" s="49"/>
      <c r="T120" s="157">
        <f>IFERROR(VLOOKUP(B120,[1]Todos!$A$2:$C$3021,3,FALSE),0)</f>
        <v>808.04</v>
      </c>
      <c r="U120" s="112">
        <f t="shared" si="18"/>
        <v>-65.700000000000045</v>
      </c>
      <c r="W120" s="157">
        <f>IFERROR(VLOOKUP(B120,[1]Todos!$A$2:$B$3021,2,FALSE),0)</f>
        <v>11375.68</v>
      </c>
      <c r="X120" s="112">
        <f t="shared" si="17"/>
        <v>0</v>
      </c>
    </row>
    <row r="121" spans="1:24" s="93" customFormat="1" outlineLevel="1" collapsed="1" x14ac:dyDescent="0.3">
      <c r="A121" s="50" t="s">
        <v>1026</v>
      </c>
      <c r="B121" s="129"/>
      <c r="C121" s="129"/>
      <c r="D121" s="51">
        <f>SUBTOTAL(9,D111:D120)</f>
        <v>49</v>
      </c>
      <c r="E121" s="52"/>
      <c r="F121" s="52"/>
      <c r="G121" s="130"/>
      <c r="H121" s="131">
        <f>SUBTOTAL(9,H111:H120)</f>
        <v>1812950.32</v>
      </c>
      <c r="I121" s="146">
        <f>SUBTOTAL(9,I111:I120)</f>
        <v>92636.11</v>
      </c>
      <c r="J121" s="146">
        <f>SUBTOTAL(9,J111:J120)</f>
        <v>1905586.4299999997</v>
      </c>
      <c r="K121" s="53"/>
      <c r="L121" s="54"/>
      <c r="M121" s="54"/>
      <c r="N121" s="54"/>
      <c r="O121" s="55">
        <f>SUBTOTAL(9,O111:O120)</f>
        <v>3057351.5619946201</v>
      </c>
      <c r="P121" s="56"/>
      <c r="Q121" s="51">
        <f>SUBTOTAL(9,Q111:Q120)</f>
        <v>6046265.4800000004</v>
      </c>
      <c r="R121" s="164">
        <f t="shared" si="16"/>
        <v>0.50565949710739788</v>
      </c>
      <c r="S121" s="58">
        <f>Q121/$Q$303</f>
        <v>1.5104374699638683E-3</v>
      </c>
      <c r="T121" s="157">
        <f>IFERROR(VLOOKUP(B121,[1]Todos!$A$2:$C$3021,3,FALSE),0)</f>
        <v>0</v>
      </c>
      <c r="U121" s="112">
        <f t="shared" si="18"/>
        <v>0</v>
      </c>
      <c r="W121" s="157">
        <f>IFERROR(VLOOKUP(B121,[1]Todos!$A$2:$B$3021,2,FALSE),0)</f>
        <v>0</v>
      </c>
      <c r="X121" s="112">
        <f t="shared" si="17"/>
        <v>0</v>
      </c>
    </row>
    <row r="122" spans="1:24" hidden="1" outlineLevel="2" x14ac:dyDescent="0.3">
      <c r="A122" s="40" t="str">
        <f>VLOOKUP(B122,Grupos!$A$2:$B$619,2,FALSE)</f>
        <v>REGLETAS</v>
      </c>
      <c r="B122" s="41" t="s">
        <v>951</v>
      </c>
      <c r="C122" s="41" t="s">
        <v>1114</v>
      </c>
      <c r="D122" s="42">
        <v>8</v>
      </c>
      <c r="E122" s="43">
        <v>1630.76</v>
      </c>
      <c r="F122" s="43">
        <v>154.51</v>
      </c>
      <c r="G122" s="126">
        <f t="shared" si="19"/>
        <v>1785.27</v>
      </c>
      <c r="H122" s="127">
        <f t="shared" si="20"/>
        <v>13046.08</v>
      </c>
      <c r="I122" s="128">
        <f t="shared" si="21"/>
        <v>1236.08</v>
      </c>
      <c r="J122" s="128">
        <f t="shared" si="22"/>
        <v>14282.16</v>
      </c>
      <c r="K122" s="44">
        <f t="shared" si="23"/>
        <v>9.1123592397923344E-6</v>
      </c>
      <c r="L122" s="45">
        <f t="shared" si="24"/>
        <v>509.51073528892357</v>
      </c>
      <c r="M122" s="45">
        <f t="shared" si="25"/>
        <v>1013.9584889539442</v>
      </c>
      <c r="N122" s="45">
        <f t="shared" si="26"/>
        <v>3308.7392242428677</v>
      </c>
      <c r="O122" s="46">
        <f t="shared" si="27"/>
        <v>26469.913793942942</v>
      </c>
      <c r="P122" s="47">
        <f>Q122/D122</f>
        <v>12477.625</v>
      </c>
      <c r="Q122" s="42">
        <v>99821</v>
      </c>
      <c r="R122" s="48">
        <f t="shared" si="16"/>
        <v>0.2651737990397105</v>
      </c>
      <c r="S122" s="49"/>
      <c r="T122" s="157">
        <f>IFERROR(VLOOKUP(B122,[1]Todos!$A$2:$C$3021,3,FALSE),0)</f>
        <v>0</v>
      </c>
      <c r="U122" s="112">
        <f t="shared" si="18"/>
        <v>-154.51</v>
      </c>
      <c r="W122" s="157">
        <f>IFERROR(VLOOKUP(B122,[1]Todos!$A$2:$B$3021,2,FALSE),0)</f>
        <v>0</v>
      </c>
      <c r="X122" s="112">
        <f t="shared" si="17"/>
        <v>-1630.76</v>
      </c>
    </row>
    <row r="123" spans="1:24" hidden="1" outlineLevel="2" x14ac:dyDescent="0.3">
      <c r="A123" s="40" t="str">
        <f>VLOOKUP(B123,Grupos!$A$2:$B$619,2,FALSE)</f>
        <v>REGLETAS</v>
      </c>
      <c r="B123" s="41" t="s">
        <v>692</v>
      </c>
      <c r="C123" s="41" t="s">
        <v>693</v>
      </c>
      <c r="D123" s="42">
        <v>6</v>
      </c>
      <c r="E123" s="43">
        <v>4469.78</v>
      </c>
      <c r="F123" s="43">
        <v>443.78</v>
      </c>
      <c r="G123" s="126">
        <f t="shared" si="19"/>
        <v>4913.5599999999995</v>
      </c>
      <c r="H123" s="127">
        <f t="shared" si="20"/>
        <v>26818.68</v>
      </c>
      <c r="I123" s="128">
        <f t="shared" si="21"/>
        <v>2662.68</v>
      </c>
      <c r="J123" s="128">
        <f t="shared" si="22"/>
        <v>29481.359999999997</v>
      </c>
      <c r="K123" s="44">
        <f t="shared" si="23"/>
        <v>1.880981190503706E-5</v>
      </c>
      <c r="L123" s="45">
        <f t="shared" si="24"/>
        <v>1402.3153744174513</v>
      </c>
      <c r="M123" s="45">
        <f t="shared" si="25"/>
        <v>2912.2678029123122</v>
      </c>
      <c r="N123" s="45">
        <f t="shared" si="26"/>
        <v>9228.1431773297627</v>
      </c>
      <c r="O123" s="46">
        <f t="shared" si="27"/>
        <v>55368.859063978576</v>
      </c>
      <c r="P123" s="47">
        <f>Q123/D123</f>
        <v>17510.333333333332</v>
      </c>
      <c r="Q123" s="42">
        <v>105062</v>
      </c>
      <c r="R123" s="48">
        <f t="shared" si="16"/>
        <v>0.52701127966323291</v>
      </c>
      <c r="S123" s="49"/>
      <c r="T123" s="157">
        <f>IFERROR(VLOOKUP(B123,[1]Todos!$A$2:$C$3021,3,FALSE),0)</f>
        <v>0</v>
      </c>
      <c r="U123" s="112">
        <f t="shared" si="18"/>
        <v>-443.78</v>
      </c>
      <c r="W123" s="157">
        <f>IFERROR(VLOOKUP(B123,[1]Todos!$A$2:$B$3021,2,FALSE),0)</f>
        <v>0</v>
      </c>
      <c r="X123" s="112">
        <f t="shared" si="17"/>
        <v>-4469.78</v>
      </c>
    </row>
    <row r="124" spans="1:24" hidden="1" outlineLevel="2" x14ac:dyDescent="0.3">
      <c r="A124" s="40" t="str">
        <f>VLOOKUP(B124,Grupos!$A$2:$B$619,2,FALSE)</f>
        <v>REGLETAS</v>
      </c>
      <c r="B124" s="41" t="s">
        <v>959</v>
      </c>
      <c r="C124" s="41" t="s">
        <v>1115</v>
      </c>
      <c r="D124" s="42">
        <v>24</v>
      </c>
      <c r="E124" s="43">
        <v>6820</v>
      </c>
      <c r="F124" s="43">
        <v>682.48</v>
      </c>
      <c r="G124" s="126">
        <f t="shared" si="19"/>
        <v>7502.48</v>
      </c>
      <c r="H124" s="127">
        <f t="shared" si="20"/>
        <v>163680</v>
      </c>
      <c r="I124" s="128">
        <f t="shared" si="21"/>
        <v>16379.52</v>
      </c>
      <c r="J124" s="128">
        <f t="shared" si="22"/>
        <v>180059.51999999999</v>
      </c>
      <c r="K124" s="44">
        <f t="shared" si="23"/>
        <v>1.1488227486490646E-4</v>
      </c>
      <c r="L124" s="45">
        <f t="shared" si="24"/>
        <v>2141.1854236560534</v>
      </c>
      <c r="M124" s="45">
        <f t="shared" si="25"/>
        <v>4478.7158730262627</v>
      </c>
      <c r="N124" s="45">
        <f t="shared" si="26"/>
        <v>14122.381296682317</v>
      </c>
      <c r="O124" s="46">
        <f t="shared" si="27"/>
        <v>338937.15112037561</v>
      </c>
      <c r="P124" s="47">
        <f>Q124/D124</f>
        <v>20049.001250000001</v>
      </c>
      <c r="Q124" s="42">
        <v>481176.03</v>
      </c>
      <c r="R124" s="48">
        <f t="shared" si="16"/>
        <v>0.70439325732908098</v>
      </c>
      <c r="S124" s="49"/>
      <c r="T124" s="157">
        <f>IFERROR(VLOOKUP(B124,[1]Todos!$A$2:$C$3021,3,FALSE),0)</f>
        <v>0</v>
      </c>
      <c r="U124" s="112">
        <f t="shared" si="18"/>
        <v>-682.48</v>
      </c>
      <c r="W124" s="157">
        <f>IFERROR(VLOOKUP(B124,[1]Todos!$A$2:$B$3021,2,FALSE),0)</f>
        <v>0</v>
      </c>
      <c r="X124" s="112">
        <f t="shared" si="17"/>
        <v>-6820</v>
      </c>
    </row>
    <row r="125" spans="1:24" s="93" customFormat="1" outlineLevel="1" collapsed="1" x14ac:dyDescent="0.3">
      <c r="A125" s="50" t="s">
        <v>1027</v>
      </c>
      <c r="B125" s="129"/>
      <c r="C125" s="129"/>
      <c r="D125" s="51">
        <f>SUBTOTAL(9,D122:D124)</f>
        <v>38</v>
      </c>
      <c r="E125" s="52"/>
      <c r="F125" s="52"/>
      <c r="G125" s="130"/>
      <c r="H125" s="131">
        <f>SUBTOTAL(9,H122:H124)</f>
        <v>203544.76</v>
      </c>
      <c r="I125" s="146">
        <f>SUBTOTAL(9,I122:I124)</f>
        <v>20278.28</v>
      </c>
      <c r="J125" s="146">
        <f>SUBTOTAL(9,J122:J124)</f>
        <v>223823.03999999998</v>
      </c>
      <c r="K125" s="53"/>
      <c r="L125" s="54"/>
      <c r="M125" s="54"/>
      <c r="N125" s="54"/>
      <c r="O125" s="55">
        <f>SUBTOTAL(9,O122:O124)</f>
        <v>420775.92397829716</v>
      </c>
      <c r="P125" s="56"/>
      <c r="Q125" s="51">
        <f>SUBTOTAL(9,Q122:Q124)</f>
        <v>686059.03</v>
      </c>
      <c r="R125" s="164">
        <f t="shared" si="16"/>
        <v>0.61332320628196835</v>
      </c>
      <c r="S125" s="58">
        <f>Q125/$Q$303</f>
        <v>1.7138666321331721E-4</v>
      </c>
      <c r="T125" s="157">
        <f>IFERROR(VLOOKUP(B125,[1]Todos!$A$2:$C$3021,3,FALSE),0)</f>
        <v>0</v>
      </c>
      <c r="U125" s="112">
        <f t="shared" si="18"/>
        <v>0</v>
      </c>
      <c r="W125" s="157">
        <f>IFERROR(VLOOKUP(B125,[1]Todos!$A$2:$B$3021,2,FALSE),0)</f>
        <v>0</v>
      </c>
      <c r="X125" s="112">
        <f t="shared" si="17"/>
        <v>0</v>
      </c>
    </row>
    <row r="126" spans="1:24" hidden="1" outlineLevel="2" x14ac:dyDescent="0.3">
      <c r="A126" s="40" t="str">
        <f>VLOOKUP(B126,Grupos!$A$2:$B$619,2,FALSE)</f>
        <v>RITEL</v>
      </c>
      <c r="B126" s="41" t="s">
        <v>645</v>
      </c>
      <c r="C126" s="41" t="s">
        <v>646</v>
      </c>
      <c r="D126" s="42">
        <v>80</v>
      </c>
      <c r="E126" s="163">
        <v>27387.5</v>
      </c>
      <c r="F126" s="43">
        <v>4984.9399999999996</v>
      </c>
      <c r="G126" s="126">
        <f t="shared" si="19"/>
        <v>32372.44</v>
      </c>
      <c r="H126" s="127">
        <f t="shared" si="20"/>
        <v>2191000</v>
      </c>
      <c r="I126" s="128">
        <f t="shared" si="21"/>
        <v>398795.19999999995</v>
      </c>
      <c r="J126" s="128">
        <f t="shared" si="22"/>
        <v>2589795.1999999997</v>
      </c>
      <c r="K126" s="44">
        <f t="shared" si="23"/>
        <v>1.6523512003709406E-3</v>
      </c>
      <c r="L126" s="45">
        <f t="shared" si="24"/>
        <v>9238.9978588653576</v>
      </c>
      <c r="M126" s="45">
        <f t="shared" si="25"/>
        <v>32713.23687739353</v>
      </c>
      <c r="N126" s="45">
        <f t="shared" si="26"/>
        <v>74324.674736258894</v>
      </c>
      <c r="O126" s="46">
        <f t="shared" si="27"/>
        <v>5945973.978900712</v>
      </c>
      <c r="P126" s="47">
        <f t="shared" ref="P126:P133" si="32">Q126/D126</f>
        <v>78250</v>
      </c>
      <c r="Q126" s="42">
        <v>6260000</v>
      </c>
      <c r="R126" s="162">
        <f t="shared" si="16"/>
        <v>0.94983609886592846</v>
      </c>
      <c r="S126" s="49"/>
      <c r="T126" s="157">
        <f>IFERROR(VLOOKUP(B126,[1]Todos!$A$2:$C$3021,3,FALSE),0)</f>
        <v>0</v>
      </c>
      <c r="U126" s="112">
        <f t="shared" si="18"/>
        <v>-4984.9399999999996</v>
      </c>
      <c r="W126" s="157">
        <f>IFERROR(VLOOKUP(B126,[1]Todos!$A$2:$B$3021,2,FALSE),0)</f>
        <v>0</v>
      </c>
      <c r="X126" s="112">
        <f t="shared" si="17"/>
        <v>-27387.5</v>
      </c>
    </row>
    <row r="127" spans="1:24" hidden="1" outlineLevel="2" x14ac:dyDescent="0.3">
      <c r="A127" s="40" t="str">
        <f>VLOOKUP(B127,Grupos!$A$2:$B$619,2,FALSE)</f>
        <v>RITEL</v>
      </c>
      <c r="B127" s="41" t="s">
        <v>159</v>
      </c>
      <c r="C127" s="41" t="s">
        <v>160</v>
      </c>
      <c r="D127" s="42">
        <v>211</v>
      </c>
      <c r="E127" s="43">
        <v>98943.75</v>
      </c>
      <c r="F127" s="43">
        <v>3910.62</v>
      </c>
      <c r="G127" s="126">
        <f t="shared" si="19"/>
        <v>102854.37</v>
      </c>
      <c r="H127" s="127">
        <f t="shared" si="20"/>
        <v>20877131.25</v>
      </c>
      <c r="I127" s="128">
        <f t="shared" si="21"/>
        <v>825140.82</v>
      </c>
      <c r="J127" s="128">
        <f t="shared" si="22"/>
        <v>21702272.07</v>
      </c>
      <c r="K127" s="44">
        <f t="shared" si="23"/>
        <v>1.3846567985623436E-2</v>
      </c>
      <c r="L127" s="45">
        <f t="shared" si="24"/>
        <v>29354.330541811043</v>
      </c>
      <c r="M127" s="45">
        <f t="shared" si="25"/>
        <v>25663.104951608784</v>
      </c>
      <c r="N127" s="45">
        <f t="shared" si="26"/>
        <v>157871.80549341982</v>
      </c>
      <c r="O127" s="46">
        <f t="shared" si="27"/>
        <v>33310950.959111582</v>
      </c>
      <c r="P127" s="47">
        <f t="shared" si="32"/>
        <v>357789.09952606633</v>
      </c>
      <c r="Q127" s="42">
        <v>75493500</v>
      </c>
      <c r="R127" s="48">
        <f t="shared" si="16"/>
        <v>0.44124263624168414</v>
      </c>
      <c r="S127" s="49"/>
      <c r="T127" s="157">
        <f>IFERROR(VLOOKUP(B127,[1]Todos!$A$2:$C$3021,3,FALSE),0)</f>
        <v>4226.8599999999997</v>
      </c>
      <c r="U127" s="112">
        <f t="shared" si="18"/>
        <v>316.23999999999978</v>
      </c>
      <c r="W127" s="157">
        <f>IFERROR(VLOOKUP(B127,[1]Todos!$A$2:$B$3021,2,FALSE),0)</f>
        <v>99648.75</v>
      </c>
      <c r="X127" s="112">
        <f t="shared" si="17"/>
        <v>705</v>
      </c>
    </row>
    <row r="128" spans="1:24" hidden="1" outlineLevel="2" x14ac:dyDescent="0.3">
      <c r="A128" s="40" t="str">
        <f>VLOOKUP(B128,Grupos!$A$2:$B$619,2,FALSE)</f>
        <v>RITEL</v>
      </c>
      <c r="B128" s="41" t="s">
        <v>163</v>
      </c>
      <c r="C128" s="41" t="s">
        <v>164</v>
      </c>
      <c r="D128" s="42">
        <v>311</v>
      </c>
      <c r="E128" s="43">
        <v>71233.69</v>
      </c>
      <c r="F128" s="43">
        <v>4029.26</v>
      </c>
      <c r="G128" s="126">
        <f t="shared" si="19"/>
        <v>75262.95</v>
      </c>
      <c r="H128" s="127">
        <f t="shared" si="20"/>
        <v>22153677.59</v>
      </c>
      <c r="I128" s="128">
        <f t="shared" si="21"/>
        <v>1253099.8600000001</v>
      </c>
      <c r="J128" s="128">
        <f t="shared" si="22"/>
        <v>23406777.449999999</v>
      </c>
      <c r="K128" s="44">
        <f t="shared" si="23"/>
        <v>1.4934083133802614E-2</v>
      </c>
      <c r="L128" s="45">
        <f t="shared" si="24"/>
        <v>21479.82153652584</v>
      </c>
      <c r="M128" s="45">
        <f t="shared" si="25"/>
        <v>26441.669673176944</v>
      </c>
      <c r="N128" s="45">
        <f t="shared" si="26"/>
        <v>123184.44120970278</v>
      </c>
      <c r="O128" s="46">
        <f t="shared" si="27"/>
        <v>38310361.216217563</v>
      </c>
      <c r="P128" s="47">
        <f t="shared" si="32"/>
        <v>236060.77170418008</v>
      </c>
      <c r="Q128" s="42">
        <v>73414900</v>
      </c>
      <c r="R128" s="48">
        <f t="shared" si="16"/>
        <v>0.52183359530854856</v>
      </c>
      <c r="S128" s="49"/>
      <c r="T128" s="157">
        <f>IFERROR(VLOOKUP(B128,[1]Todos!$A$2:$C$3021,3,FALSE),0)</f>
        <v>3924.98</v>
      </c>
      <c r="U128" s="112">
        <f t="shared" si="18"/>
        <v>-104.2800000000002</v>
      </c>
      <c r="W128" s="157">
        <f>IFERROR(VLOOKUP(B128,[1]Todos!$A$2:$B$3021,2,FALSE),0)</f>
        <v>71740.69</v>
      </c>
      <c r="X128" s="112">
        <f t="shared" si="17"/>
        <v>507</v>
      </c>
    </row>
    <row r="129" spans="1:24" hidden="1" outlineLevel="2" x14ac:dyDescent="0.3">
      <c r="A129" s="40" t="str">
        <f>VLOOKUP(B129,Grupos!$A$2:$B$619,2,FALSE)</f>
        <v>RITEL</v>
      </c>
      <c r="B129" s="41" t="s">
        <v>166</v>
      </c>
      <c r="C129" s="41" t="s">
        <v>167</v>
      </c>
      <c r="D129" s="42">
        <v>391</v>
      </c>
      <c r="E129" s="43">
        <v>17761.330000000002</v>
      </c>
      <c r="F129" s="43">
        <v>830.79</v>
      </c>
      <c r="G129" s="126">
        <f t="shared" si="19"/>
        <v>18592.120000000003</v>
      </c>
      <c r="H129" s="127">
        <f t="shared" si="20"/>
        <v>6944680.0300000003</v>
      </c>
      <c r="I129" s="128">
        <f t="shared" si="21"/>
        <v>324838.89</v>
      </c>
      <c r="J129" s="128">
        <f t="shared" si="22"/>
        <v>7269518.9200000009</v>
      </c>
      <c r="K129" s="44">
        <f t="shared" si="23"/>
        <v>4.638126718893164E-3</v>
      </c>
      <c r="L129" s="45">
        <f t="shared" si="24"/>
        <v>5306.1356163380897</v>
      </c>
      <c r="M129" s="45">
        <f t="shared" si="25"/>
        <v>5451.9873991201039</v>
      </c>
      <c r="N129" s="45">
        <f t="shared" si="26"/>
        <v>29350.243015458196</v>
      </c>
      <c r="O129" s="46">
        <f t="shared" si="27"/>
        <v>11475945.019044155</v>
      </c>
      <c r="P129" s="47">
        <f t="shared" si="32"/>
        <v>66312.787723785164</v>
      </c>
      <c r="Q129" s="42">
        <v>25928300</v>
      </c>
      <c r="R129" s="48">
        <f t="shared" si="16"/>
        <v>0.44260306379686115</v>
      </c>
      <c r="S129" s="49"/>
      <c r="T129" s="157">
        <f>IFERROR(VLOOKUP(B129,[1]Todos!$A$2:$C$3021,3,FALSE),0)</f>
        <v>865.24</v>
      </c>
      <c r="U129" s="112">
        <f t="shared" si="18"/>
        <v>34.450000000000045</v>
      </c>
      <c r="W129" s="157">
        <f>IFERROR(VLOOKUP(B129,[1]Todos!$A$2:$B$3021,2,FALSE),0)</f>
        <v>17761.330000000002</v>
      </c>
      <c r="X129" s="112">
        <f t="shared" si="17"/>
        <v>0</v>
      </c>
    </row>
    <row r="130" spans="1:24" hidden="1" outlineLevel="2" x14ac:dyDescent="0.3">
      <c r="A130" s="40" t="str">
        <f>VLOOKUP(B130,Grupos!$A$2:$B$619,2,FALSE)</f>
        <v>RITEL</v>
      </c>
      <c r="B130" s="41" t="s">
        <v>168</v>
      </c>
      <c r="C130" s="41" t="s">
        <v>169</v>
      </c>
      <c r="D130" s="42">
        <v>5998</v>
      </c>
      <c r="E130" s="43">
        <v>13894.41</v>
      </c>
      <c r="F130" s="43">
        <v>501.47</v>
      </c>
      <c r="G130" s="126">
        <f t="shared" si="19"/>
        <v>14395.88</v>
      </c>
      <c r="H130" s="127">
        <f t="shared" si="20"/>
        <v>83338671.179999992</v>
      </c>
      <c r="I130" s="128">
        <f t="shared" si="21"/>
        <v>3007817.06</v>
      </c>
      <c r="J130" s="128">
        <f t="shared" si="22"/>
        <v>86346488.239999995</v>
      </c>
      <c r="K130" s="44">
        <f t="shared" si="23"/>
        <v>5.5091122066787103E-2</v>
      </c>
      <c r="L130" s="45">
        <f t="shared" si="24"/>
        <v>4108.5412312597582</v>
      </c>
      <c r="M130" s="45">
        <f t="shared" si="25"/>
        <v>3290.8534299122025</v>
      </c>
      <c r="N130" s="45">
        <f t="shared" si="26"/>
        <v>21795.274661171963</v>
      </c>
      <c r="O130" s="46">
        <f t="shared" si="27"/>
        <v>130728057.41770944</v>
      </c>
      <c r="P130" s="47">
        <f t="shared" si="32"/>
        <v>37598.199399799931</v>
      </c>
      <c r="Q130" s="42">
        <v>225514000</v>
      </c>
      <c r="R130" s="48">
        <f t="shared" si="16"/>
        <v>0.57968932047548904</v>
      </c>
      <c r="S130" s="49"/>
      <c r="T130" s="157">
        <f>IFERROR(VLOOKUP(B130,[1]Todos!$A$2:$C$3021,3,FALSE),0)</f>
        <v>522.83000000000004</v>
      </c>
      <c r="U130" s="112">
        <f t="shared" si="18"/>
        <v>21.360000000000014</v>
      </c>
      <c r="W130" s="157">
        <f>IFERROR(VLOOKUP(B130,[1]Todos!$A$2:$B$3021,2,FALSE),0)</f>
        <v>13894.41</v>
      </c>
      <c r="X130" s="112">
        <f t="shared" si="17"/>
        <v>0</v>
      </c>
    </row>
    <row r="131" spans="1:24" hidden="1" outlineLevel="2" x14ac:dyDescent="0.3">
      <c r="A131" s="40" t="str">
        <f>VLOOKUP(B131,Grupos!$A$2:$B$619,2,FALSE)</f>
        <v>RITEL</v>
      </c>
      <c r="B131" s="41" t="s">
        <v>773</v>
      </c>
      <c r="C131" s="41" t="s">
        <v>774</v>
      </c>
      <c r="D131" s="42">
        <v>783</v>
      </c>
      <c r="E131" s="43">
        <v>12766.98</v>
      </c>
      <c r="F131" s="43">
        <v>293.14999999999998</v>
      </c>
      <c r="G131" s="126">
        <f t="shared" si="19"/>
        <v>13060.13</v>
      </c>
      <c r="H131" s="127">
        <f t="shared" si="20"/>
        <v>9996545.3399999999</v>
      </c>
      <c r="I131" s="128">
        <f t="shared" si="21"/>
        <v>229536.44999999998</v>
      </c>
      <c r="J131" s="128">
        <f t="shared" si="22"/>
        <v>10226081.789999999</v>
      </c>
      <c r="K131" s="44">
        <f t="shared" si="23"/>
        <v>6.5244844537505967E-3</v>
      </c>
      <c r="L131" s="45">
        <f t="shared" si="24"/>
        <v>3727.3221637449396</v>
      </c>
      <c r="M131" s="45">
        <f t="shared" si="25"/>
        <v>1923.7714778127547</v>
      </c>
      <c r="N131" s="45">
        <f t="shared" si="26"/>
        <v>18711.223641557695</v>
      </c>
      <c r="O131" s="46">
        <f t="shared" si="27"/>
        <v>14650888.111339675</v>
      </c>
      <c r="P131" s="47">
        <f t="shared" si="32"/>
        <v>43044.699872286081</v>
      </c>
      <c r="Q131" s="42">
        <v>33704000</v>
      </c>
      <c r="R131" s="48">
        <f t="shared" si="16"/>
        <v>0.43469285875088048</v>
      </c>
      <c r="S131" s="49"/>
      <c r="T131" s="157">
        <f>IFERROR(VLOOKUP(B131,[1]Todos!$A$2:$C$3021,3,FALSE),0)</f>
        <v>280.39</v>
      </c>
      <c r="U131" s="112">
        <f t="shared" si="18"/>
        <v>-12.759999999999991</v>
      </c>
      <c r="W131" s="157">
        <f>IFERROR(VLOOKUP(B131,[1]Todos!$A$2:$B$3021,2,FALSE),0)</f>
        <v>12766.98</v>
      </c>
      <c r="X131" s="112">
        <f t="shared" si="17"/>
        <v>0</v>
      </c>
    </row>
    <row r="132" spans="1:24" hidden="1" outlineLevel="2" x14ac:dyDescent="0.3">
      <c r="A132" s="40" t="str">
        <f>VLOOKUP(B132,Grupos!$A$2:$B$619,2,FALSE)</f>
        <v>RITEL</v>
      </c>
      <c r="B132" s="41" t="s">
        <v>170</v>
      </c>
      <c r="C132" s="41" t="s">
        <v>171</v>
      </c>
      <c r="D132" s="42">
        <v>84</v>
      </c>
      <c r="E132" s="43">
        <v>14799.95</v>
      </c>
      <c r="F132" s="43">
        <v>1115</v>
      </c>
      <c r="G132" s="126">
        <f t="shared" si="19"/>
        <v>15914.95</v>
      </c>
      <c r="H132" s="127">
        <f t="shared" si="20"/>
        <v>1243195.8</v>
      </c>
      <c r="I132" s="128">
        <f t="shared" si="21"/>
        <v>93660</v>
      </c>
      <c r="J132" s="128">
        <f t="shared" si="22"/>
        <v>1336855.8</v>
      </c>
      <c r="K132" s="44">
        <f t="shared" si="23"/>
        <v>8.5294593404638887E-4</v>
      </c>
      <c r="L132" s="45">
        <f t="shared" si="24"/>
        <v>4542.0792802133319</v>
      </c>
      <c r="M132" s="45">
        <f t="shared" si="25"/>
        <v>7317.0909014539375</v>
      </c>
      <c r="N132" s="45">
        <f t="shared" si="26"/>
        <v>27774.120181667269</v>
      </c>
      <c r="O132" s="46">
        <f t="shared" si="27"/>
        <v>2333026.0952600506</v>
      </c>
      <c r="P132" s="47">
        <f t="shared" si="32"/>
        <v>60357.142857142855</v>
      </c>
      <c r="Q132" s="42">
        <v>5070000</v>
      </c>
      <c r="R132" s="48">
        <f t="shared" si="16"/>
        <v>0.46016293792111451</v>
      </c>
      <c r="S132" s="49"/>
      <c r="T132" s="157">
        <f>IFERROR(VLOOKUP(B132,[1]Todos!$A$2:$C$3021,3,FALSE),0)</f>
        <v>1154.7</v>
      </c>
      <c r="U132" s="112">
        <f t="shared" si="18"/>
        <v>39.700000000000045</v>
      </c>
      <c r="W132" s="157">
        <f>IFERROR(VLOOKUP(B132,[1]Todos!$A$2:$B$3021,2,FALSE),0)</f>
        <v>14799.95</v>
      </c>
      <c r="X132" s="112">
        <f t="shared" si="17"/>
        <v>0</v>
      </c>
    </row>
    <row r="133" spans="1:24" hidden="1" outlineLevel="2" x14ac:dyDescent="0.3">
      <c r="A133" s="40" t="str">
        <f>VLOOKUP(B133,Grupos!$A$2:$B$619,2,FALSE)</f>
        <v>RITEL</v>
      </c>
      <c r="B133" s="41" t="s">
        <v>696</v>
      </c>
      <c r="C133" s="41" t="s">
        <v>1077</v>
      </c>
      <c r="D133" s="42">
        <v>66</v>
      </c>
      <c r="E133" s="43">
        <v>15362.23</v>
      </c>
      <c r="F133" s="43">
        <v>580.02</v>
      </c>
      <c r="G133" s="126">
        <f t="shared" si="19"/>
        <v>15942.25</v>
      </c>
      <c r="H133" s="127">
        <f t="shared" si="20"/>
        <v>1013907.1799999999</v>
      </c>
      <c r="I133" s="128">
        <f t="shared" si="21"/>
        <v>38281.32</v>
      </c>
      <c r="J133" s="128">
        <f t="shared" si="22"/>
        <v>1052188.5</v>
      </c>
      <c r="K133" s="44">
        <f t="shared" si="23"/>
        <v>6.7132139676199089E-4</v>
      </c>
      <c r="L133" s="45">
        <f t="shared" si="24"/>
        <v>4549.8706188194737</v>
      </c>
      <c r="M133" s="45">
        <f t="shared" si="25"/>
        <v>3806.3309996962444</v>
      </c>
      <c r="N133" s="45">
        <f t="shared" si="26"/>
        <v>24298.451618515719</v>
      </c>
      <c r="O133" s="46">
        <f t="shared" si="27"/>
        <v>1603697.8068220376</v>
      </c>
      <c r="P133" s="47">
        <f t="shared" si="32"/>
        <v>48000</v>
      </c>
      <c r="Q133" s="42">
        <v>3168000</v>
      </c>
      <c r="R133" s="48">
        <f t="shared" ref="R133:R196" si="33">O133/Q133</f>
        <v>0.50621774205241088</v>
      </c>
      <c r="S133" s="49"/>
      <c r="T133" s="157">
        <f>IFERROR(VLOOKUP(B133,[1]Todos!$A$2:$C$3021,3,FALSE),0)</f>
        <v>0</v>
      </c>
      <c r="U133" s="112">
        <f t="shared" si="18"/>
        <v>-580.02</v>
      </c>
      <c r="W133" s="157">
        <f>IFERROR(VLOOKUP(B133,[1]Todos!$A$2:$B$3021,2,FALSE),0)</f>
        <v>0</v>
      </c>
      <c r="X133" s="112">
        <f t="shared" si="17"/>
        <v>-15362.23</v>
      </c>
    </row>
    <row r="134" spans="1:24" s="93" customFormat="1" outlineLevel="1" collapsed="1" x14ac:dyDescent="0.3">
      <c r="A134" s="50" t="s">
        <v>1028</v>
      </c>
      <c r="B134" s="129"/>
      <c r="C134" s="129"/>
      <c r="D134" s="51">
        <f>SUBTOTAL(9,D126:D133)</f>
        <v>7924</v>
      </c>
      <c r="E134" s="52"/>
      <c r="F134" s="52"/>
      <c r="G134" s="130"/>
      <c r="H134" s="131">
        <f>SUBTOTAL(9,H126:H133)</f>
        <v>147758808.37000003</v>
      </c>
      <c r="I134" s="146">
        <f>SUBTOTAL(9,I126:I133)</f>
        <v>6171169.6000000006</v>
      </c>
      <c r="J134" s="146">
        <f>SUBTOTAL(9,J126:J133)</f>
        <v>153929977.97</v>
      </c>
      <c r="K134" s="53"/>
      <c r="L134" s="54"/>
      <c r="M134" s="54"/>
      <c r="N134" s="54"/>
      <c r="O134" s="55">
        <f>SUBTOTAL(9,O126:O133)</f>
        <v>238358900.60440522</v>
      </c>
      <c r="P134" s="56"/>
      <c r="Q134" s="51">
        <f>SUBTOTAL(9,Q126:Q133)</f>
        <v>448552700</v>
      </c>
      <c r="R134" s="164">
        <f t="shared" si="33"/>
        <v>0.53139553190607303</v>
      </c>
      <c r="S134" s="58">
        <f>Q134/$Q$303</f>
        <v>0.11205442559122661</v>
      </c>
      <c r="T134" s="157">
        <f>IFERROR(VLOOKUP(B134,[1]Todos!$A$2:$C$3021,3,FALSE),0)</f>
        <v>0</v>
      </c>
      <c r="U134" s="112">
        <f t="shared" si="18"/>
        <v>0</v>
      </c>
      <c r="W134" s="157">
        <f>IFERROR(VLOOKUP(B134,[1]Todos!$A$2:$B$3021,2,FALSE),0)</f>
        <v>0</v>
      </c>
      <c r="X134" s="112">
        <f t="shared" ref="X134:X197" si="34">W134-E134</f>
        <v>0</v>
      </c>
    </row>
    <row r="135" spans="1:24" hidden="1" outlineLevel="2" x14ac:dyDescent="0.3">
      <c r="A135" s="40" t="str">
        <f>VLOOKUP(B135,Grupos!$A$2:$B$619,2,FALSE)</f>
        <v>TABLERO RIEL</v>
      </c>
      <c r="B135" s="41" t="s">
        <v>1097</v>
      </c>
      <c r="C135" s="41" t="s">
        <v>1098</v>
      </c>
      <c r="D135" s="42">
        <v>80</v>
      </c>
      <c r="E135" s="43">
        <v>13478.15</v>
      </c>
      <c r="F135" s="43">
        <v>77.42</v>
      </c>
      <c r="G135" s="126">
        <f t="shared" si="19"/>
        <v>13555.57</v>
      </c>
      <c r="H135" s="127">
        <f t="shared" si="20"/>
        <v>1078252</v>
      </c>
      <c r="I135" s="128">
        <f t="shared" si="21"/>
        <v>6193.6</v>
      </c>
      <c r="J135" s="128">
        <f t="shared" si="22"/>
        <v>1084445.6000000001</v>
      </c>
      <c r="K135" s="44">
        <f t="shared" si="23"/>
        <v>6.9190219709148635E-4</v>
      </c>
      <c r="L135" s="45">
        <f t="shared" si="24"/>
        <v>3868.7192626104029</v>
      </c>
      <c r="M135" s="45">
        <f t="shared" si="25"/>
        <v>508.06204268212002</v>
      </c>
      <c r="N135" s="45">
        <f t="shared" si="26"/>
        <v>17932.351305292523</v>
      </c>
      <c r="O135" s="46">
        <f t="shared" si="27"/>
        <v>1434588.1044234019</v>
      </c>
      <c r="P135" s="47">
        <f>Q135/D135</f>
        <v>35721.001375</v>
      </c>
      <c r="Q135" s="42">
        <v>2857680.11</v>
      </c>
      <c r="R135" s="48">
        <f t="shared" si="33"/>
        <v>0.50201143907020507</v>
      </c>
      <c r="S135" s="49"/>
      <c r="T135" s="157">
        <f>IFERROR(VLOOKUP(B135,[1]Todos!$A$2:$C$3021,3,FALSE),0)</f>
        <v>74.239999999999995</v>
      </c>
      <c r="U135" s="112">
        <f t="shared" ref="U135:U198" si="35">T135-F135</f>
        <v>-3.1800000000000068</v>
      </c>
      <c r="W135" s="157">
        <f>IFERROR(VLOOKUP(B135,[1]Todos!$A$2:$B$3021,2,FALSE),0)</f>
        <v>13478.15</v>
      </c>
      <c r="X135" s="112">
        <f t="shared" si="34"/>
        <v>0</v>
      </c>
    </row>
    <row r="136" spans="1:24" s="93" customFormat="1" outlineLevel="1" collapsed="1" x14ac:dyDescent="0.3">
      <c r="A136" s="50" t="s">
        <v>1029</v>
      </c>
      <c r="B136" s="129"/>
      <c r="C136" s="129"/>
      <c r="D136" s="51">
        <f>SUBTOTAL(9,D135:D135)</f>
        <v>80</v>
      </c>
      <c r="E136" s="52"/>
      <c r="F136" s="52"/>
      <c r="G136" s="130"/>
      <c r="H136" s="131">
        <f>SUBTOTAL(9,H135:H135)</f>
        <v>1078252</v>
      </c>
      <c r="I136" s="146">
        <f>SUBTOTAL(9,I135:I135)</f>
        <v>6193.6</v>
      </c>
      <c r="J136" s="146">
        <f>SUBTOTAL(9,J135:J135)</f>
        <v>1084445.6000000001</v>
      </c>
      <c r="K136" s="53"/>
      <c r="L136" s="54"/>
      <c r="M136" s="54"/>
      <c r="N136" s="54"/>
      <c r="O136" s="55">
        <f>SUBTOTAL(9,O135:O135)</f>
        <v>1434588.1044234019</v>
      </c>
      <c r="P136" s="56"/>
      <c r="Q136" s="51">
        <f>SUBTOTAL(9,Q135:Q135)</f>
        <v>2857680.11</v>
      </c>
      <c r="R136" s="164">
        <f t="shared" si="33"/>
        <v>0.50201143907020507</v>
      </c>
      <c r="S136" s="58">
        <f>Q136/$Q$303</f>
        <v>7.1388646919196615E-4</v>
      </c>
      <c r="T136" s="157">
        <f>IFERROR(VLOOKUP(B136,[1]Todos!$A$2:$C$3021,3,FALSE),0)</f>
        <v>0</v>
      </c>
      <c r="U136" s="112">
        <f t="shared" si="35"/>
        <v>0</v>
      </c>
      <c r="W136" s="157">
        <f>IFERROR(VLOOKUP(B136,[1]Todos!$A$2:$B$3021,2,FALSE),0)</f>
        <v>0</v>
      </c>
      <c r="X136" s="112">
        <f t="shared" si="34"/>
        <v>0</v>
      </c>
    </row>
    <row r="137" spans="1:24" hidden="1" outlineLevel="2" x14ac:dyDescent="0.3">
      <c r="A137" s="40" t="str">
        <f>VLOOKUP(B137,Grupos!$A$2:$B$619,2,FALSE)</f>
        <v>TABLEROS 100 AMP BIMETALICO 2 FASES</v>
      </c>
      <c r="B137" s="41" t="s">
        <v>173</v>
      </c>
      <c r="C137" s="41" t="s">
        <v>1083</v>
      </c>
      <c r="D137" s="42">
        <v>14</v>
      </c>
      <c r="E137" s="43">
        <v>21984.82</v>
      </c>
      <c r="F137" s="43">
        <v>1157.51</v>
      </c>
      <c r="G137" s="126">
        <f t="shared" si="19"/>
        <v>23142.329999999998</v>
      </c>
      <c r="H137" s="127">
        <f t="shared" si="20"/>
        <v>307787.48</v>
      </c>
      <c r="I137" s="128">
        <f t="shared" si="21"/>
        <v>16205.14</v>
      </c>
      <c r="J137" s="128">
        <f t="shared" si="22"/>
        <v>323992.62</v>
      </c>
      <c r="K137" s="44">
        <f t="shared" si="23"/>
        <v>2.0671503081337323E-4</v>
      </c>
      <c r="L137" s="45">
        <f t="shared" si="24"/>
        <v>6604.7519840690284</v>
      </c>
      <c r="M137" s="45">
        <f t="shared" si="25"/>
        <v>7596.0590935802211</v>
      </c>
      <c r="N137" s="45">
        <f t="shared" si="26"/>
        <v>37343.141077649248</v>
      </c>
      <c r="O137" s="46">
        <f t="shared" si="27"/>
        <v>522803.97508708946</v>
      </c>
      <c r="P137" s="47">
        <f t="shared" ref="P137:P146" si="36">Q137/D137</f>
        <v>85303.254285714283</v>
      </c>
      <c r="Q137" s="42">
        <v>1194245.56</v>
      </c>
      <c r="R137" s="48">
        <f t="shared" si="33"/>
        <v>0.43776924327613947</v>
      </c>
      <c r="S137" s="49"/>
      <c r="T137" s="157">
        <f>IFERROR(VLOOKUP(B137,[1]Todos!$A$2:$C$3021,3,FALSE),0)</f>
        <v>1017.37</v>
      </c>
      <c r="U137" s="112">
        <f t="shared" si="35"/>
        <v>-140.13999999999999</v>
      </c>
      <c r="W137" s="157">
        <f>IFERROR(VLOOKUP(B137,[1]Todos!$A$2:$B$3021,2,FALSE),0)</f>
        <v>21984.82</v>
      </c>
      <c r="X137" s="112">
        <f t="shared" si="34"/>
        <v>0</v>
      </c>
    </row>
    <row r="138" spans="1:24" hidden="1" outlineLevel="2" x14ac:dyDescent="0.3">
      <c r="A138" s="40" t="str">
        <f>VLOOKUP(B138,Grupos!$A$2:$B$619,2,FALSE)</f>
        <v>TABLEROS 100 AMP BIMETALICO 2 FASES</v>
      </c>
      <c r="B138" s="41" t="s">
        <v>174</v>
      </c>
      <c r="C138" s="41" t="s">
        <v>175</v>
      </c>
      <c r="D138" s="42">
        <v>60</v>
      </c>
      <c r="E138" s="43">
        <v>25688.959999999999</v>
      </c>
      <c r="F138" s="43">
        <v>1626.46</v>
      </c>
      <c r="G138" s="126">
        <f t="shared" si="19"/>
        <v>27315.42</v>
      </c>
      <c r="H138" s="127">
        <f t="shared" si="20"/>
        <v>1541337.5999999999</v>
      </c>
      <c r="I138" s="128">
        <f t="shared" si="21"/>
        <v>97587.6</v>
      </c>
      <c r="J138" s="128">
        <f t="shared" si="22"/>
        <v>1638925.2</v>
      </c>
      <c r="K138" s="44">
        <f t="shared" si="23"/>
        <v>1.0456734268169869E-3</v>
      </c>
      <c r="L138" s="45">
        <f t="shared" si="24"/>
        <v>7795.7394281681582</v>
      </c>
      <c r="M138" s="45">
        <f t="shared" si="25"/>
        <v>10673.502840877822</v>
      </c>
      <c r="N138" s="45">
        <f t="shared" si="26"/>
        <v>45784.662269045977</v>
      </c>
      <c r="O138" s="46">
        <f t="shared" si="27"/>
        <v>2747079.7361427587</v>
      </c>
      <c r="P138" s="47">
        <f t="shared" si="36"/>
        <v>86068.797333333336</v>
      </c>
      <c r="Q138" s="42">
        <v>5164127.84</v>
      </c>
      <c r="R138" s="48">
        <f t="shared" si="33"/>
        <v>0.53195424692328275</v>
      </c>
      <c r="S138" s="49"/>
      <c r="T138" s="157">
        <f>IFERROR(VLOOKUP(B138,[1]Todos!$A$2:$C$3021,3,FALSE),0)</f>
        <v>1640.66</v>
      </c>
      <c r="U138" s="112">
        <f t="shared" si="35"/>
        <v>14.200000000000045</v>
      </c>
      <c r="W138" s="157">
        <f>IFERROR(VLOOKUP(B138,[1]Todos!$A$2:$B$3021,2,FALSE),0)</f>
        <v>25688.959999999999</v>
      </c>
      <c r="X138" s="112">
        <f t="shared" si="34"/>
        <v>0</v>
      </c>
    </row>
    <row r="139" spans="1:24" hidden="1" outlineLevel="2" x14ac:dyDescent="0.3">
      <c r="A139" s="40" t="str">
        <f>VLOOKUP(B139,Grupos!$A$2:$B$619,2,FALSE)</f>
        <v>TABLEROS 100 AMP BIMETALICO 2 FASES</v>
      </c>
      <c r="B139" s="41" t="s">
        <v>176</v>
      </c>
      <c r="C139" s="41" t="s">
        <v>177</v>
      </c>
      <c r="D139" s="42">
        <v>1003</v>
      </c>
      <c r="E139" s="43">
        <v>25601.09</v>
      </c>
      <c r="F139" s="43">
        <v>1601.04</v>
      </c>
      <c r="G139" s="126">
        <f t="shared" si="19"/>
        <v>27202.13</v>
      </c>
      <c r="H139" s="127">
        <f t="shared" si="20"/>
        <v>25677893.27</v>
      </c>
      <c r="I139" s="128">
        <f t="shared" si="21"/>
        <v>1605843.1199999999</v>
      </c>
      <c r="J139" s="128">
        <f t="shared" si="22"/>
        <v>27283736.390000001</v>
      </c>
      <c r="K139" s="44">
        <f t="shared" si="23"/>
        <v>1.7407675546939318E-2</v>
      </c>
      <c r="L139" s="45">
        <f t="shared" si="24"/>
        <v>7763.4067999377612</v>
      </c>
      <c r="M139" s="45">
        <f t="shared" si="25"/>
        <v>10506.686293151401</v>
      </c>
      <c r="N139" s="45">
        <f t="shared" si="26"/>
        <v>45472.223093089167</v>
      </c>
      <c r="O139" s="46">
        <f t="shared" si="27"/>
        <v>45608639.762368433</v>
      </c>
      <c r="P139" s="47">
        <f t="shared" si="36"/>
        <v>83981.304825523417</v>
      </c>
      <c r="Q139" s="42">
        <v>84233248.739999995</v>
      </c>
      <c r="R139" s="48">
        <f t="shared" si="33"/>
        <v>0.54145649662815598</v>
      </c>
      <c r="S139" s="49"/>
      <c r="T139" s="157">
        <f>IFERROR(VLOOKUP(B139,[1]Todos!$A$2:$C$3021,3,FALSE),0)</f>
        <v>1609.68</v>
      </c>
      <c r="U139" s="112">
        <f t="shared" si="35"/>
        <v>8.6400000000001</v>
      </c>
      <c r="W139" s="157">
        <f>IFERROR(VLOOKUP(B139,[1]Todos!$A$2:$B$3021,2,FALSE),0)</f>
        <v>25601.09</v>
      </c>
      <c r="X139" s="112">
        <f t="shared" si="34"/>
        <v>0</v>
      </c>
    </row>
    <row r="140" spans="1:24" hidden="1" outlineLevel="2" x14ac:dyDescent="0.3">
      <c r="A140" s="40" t="str">
        <f>VLOOKUP(B140,Grupos!$A$2:$B$619,2,FALSE)</f>
        <v>TABLEROS 100 AMP BIMETALICO 2 FASES</v>
      </c>
      <c r="B140" s="41" t="s">
        <v>178</v>
      </c>
      <c r="C140" s="41" t="s">
        <v>179</v>
      </c>
      <c r="D140" s="42">
        <v>15</v>
      </c>
      <c r="E140" s="43">
        <v>32009.93</v>
      </c>
      <c r="F140" s="43">
        <v>1740.79</v>
      </c>
      <c r="G140" s="126">
        <f t="shared" si="19"/>
        <v>33750.720000000001</v>
      </c>
      <c r="H140" s="127">
        <f t="shared" si="20"/>
        <v>480148.95</v>
      </c>
      <c r="I140" s="128">
        <f t="shared" si="21"/>
        <v>26111.85</v>
      </c>
      <c r="J140" s="128">
        <f t="shared" si="22"/>
        <v>506260.80000000005</v>
      </c>
      <c r="K140" s="44">
        <f t="shared" si="23"/>
        <v>3.2300648351682513E-4</v>
      </c>
      <c r="L140" s="45">
        <f t="shared" si="24"/>
        <v>9632.354861578684</v>
      </c>
      <c r="M140" s="45">
        <f t="shared" si="25"/>
        <v>11423.783560844842</v>
      </c>
      <c r="N140" s="45">
        <f t="shared" si="26"/>
        <v>54806.858422423531</v>
      </c>
      <c r="O140" s="46">
        <f t="shared" si="27"/>
        <v>822102.87633635302</v>
      </c>
      <c r="P140" s="47">
        <f t="shared" si="36"/>
        <v>108432.99866666667</v>
      </c>
      <c r="Q140" s="42">
        <v>1626494.98</v>
      </c>
      <c r="R140" s="48">
        <f t="shared" si="33"/>
        <v>0.50544445967878304</v>
      </c>
      <c r="S140" s="49"/>
      <c r="T140" s="157">
        <f>IFERROR(VLOOKUP(B140,[1]Todos!$A$2:$C$3021,3,FALSE),0)</f>
        <v>1698.91</v>
      </c>
      <c r="U140" s="112">
        <f t="shared" si="35"/>
        <v>-41.879999999999882</v>
      </c>
      <c r="W140" s="157">
        <f>IFERROR(VLOOKUP(B140,[1]Todos!$A$2:$B$3021,2,FALSE),0)</f>
        <v>32009.93</v>
      </c>
      <c r="X140" s="112">
        <f t="shared" si="34"/>
        <v>0</v>
      </c>
    </row>
    <row r="141" spans="1:24" hidden="1" outlineLevel="2" x14ac:dyDescent="0.3">
      <c r="A141" s="40" t="str">
        <f>VLOOKUP(B141,Grupos!$A$2:$B$619,2,FALSE)</f>
        <v>TABLEROS 100 AMP BIMETALICO 2 FASES</v>
      </c>
      <c r="B141" s="41" t="s">
        <v>180</v>
      </c>
      <c r="C141" s="41" t="s">
        <v>181</v>
      </c>
      <c r="D141" s="42">
        <v>185</v>
      </c>
      <c r="E141" s="43">
        <v>31952.29</v>
      </c>
      <c r="F141" s="43">
        <v>1606.4</v>
      </c>
      <c r="G141" s="126">
        <f t="shared" si="19"/>
        <v>33558.69</v>
      </c>
      <c r="H141" s="127">
        <f t="shared" si="20"/>
        <v>5911173.6500000004</v>
      </c>
      <c r="I141" s="128">
        <f t="shared" si="21"/>
        <v>297184</v>
      </c>
      <c r="J141" s="128">
        <f t="shared" si="22"/>
        <v>6208357.6500000004</v>
      </c>
      <c r="K141" s="44">
        <f t="shared" si="23"/>
        <v>3.9610804805374628E-3</v>
      </c>
      <c r="L141" s="45">
        <f t="shared" si="24"/>
        <v>9577.5500721084481</v>
      </c>
      <c r="M141" s="45">
        <f t="shared" si="25"/>
        <v>10541.860828785297</v>
      </c>
      <c r="N141" s="45">
        <f t="shared" si="26"/>
        <v>53678.100900893747</v>
      </c>
      <c r="O141" s="46">
        <f t="shared" si="27"/>
        <v>9930448.6666653436</v>
      </c>
      <c r="P141" s="47">
        <f t="shared" si="36"/>
        <v>108276.75697297297</v>
      </c>
      <c r="Q141" s="42">
        <v>20031200.039999999</v>
      </c>
      <c r="R141" s="48">
        <f t="shared" si="33"/>
        <v>0.4957490638022376</v>
      </c>
      <c r="S141" s="49"/>
      <c r="T141" s="157">
        <f>IFERROR(VLOOKUP(B141,[1]Todos!$A$2:$C$3021,3,FALSE),0)</f>
        <v>1583.35</v>
      </c>
      <c r="U141" s="112">
        <f t="shared" si="35"/>
        <v>-23.050000000000182</v>
      </c>
      <c r="W141" s="157">
        <f>IFERROR(VLOOKUP(B141,[1]Todos!$A$2:$B$3021,2,FALSE),0)</f>
        <v>31952.29</v>
      </c>
      <c r="X141" s="112">
        <f t="shared" si="34"/>
        <v>0</v>
      </c>
    </row>
    <row r="142" spans="1:24" hidden="1" outlineLevel="2" x14ac:dyDescent="0.3">
      <c r="A142" s="40" t="str">
        <f>VLOOKUP(B142,Grupos!$A$2:$B$619,2,FALSE)</f>
        <v>TABLEROS 100 AMP BIMETALICO 2 FASES</v>
      </c>
      <c r="B142" s="41" t="s">
        <v>182</v>
      </c>
      <c r="C142" s="41" t="s">
        <v>183</v>
      </c>
      <c r="D142" s="42">
        <v>90</v>
      </c>
      <c r="E142" s="43">
        <v>20127.689999999999</v>
      </c>
      <c r="F142" s="43">
        <v>1168.3399999999999</v>
      </c>
      <c r="G142" s="126">
        <f t="shared" si="19"/>
        <v>21296.03</v>
      </c>
      <c r="H142" s="127">
        <f t="shared" si="20"/>
        <v>1811492.0999999999</v>
      </c>
      <c r="I142" s="128">
        <f t="shared" si="21"/>
        <v>105150.59999999999</v>
      </c>
      <c r="J142" s="128">
        <f t="shared" si="22"/>
        <v>1916642.7</v>
      </c>
      <c r="K142" s="44">
        <f t="shared" si="23"/>
        <v>1.2228638256906186E-3</v>
      </c>
      <c r="L142" s="45">
        <f t="shared" si="24"/>
        <v>6077.8234687386084</v>
      </c>
      <c r="M142" s="45">
        <f t="shared" si="25"/>
        <v>7667.1300303181097</v>
      </c>
      <c r="N142" s="45">
        <f t="shared" si="26"/>
        <v>35040.983499056718</v>
      </c>
      <c r="O142" s="46">
        <f t="shared" si="27"/>
        <v>3153688.5149151045</v>
      </c>
      <c r="P142" s="47">
        <f t="shared" si="36"/>
        <v>54198.138666666673</v>
      </c>
      <c r="Q142" s="42">
        <v>4877832.4800000004</v>
      </c>
      <c r="R142" s="48">
        <f t="shared" si="33"/>
        <v>0.64653481394570245</v>
      </c>
      <c r="S142" s="49"/>
      <c r="T142" s="157">
        <f>IFERROR(VLOOKUP(B142,[1]Todos!$A$2:$C$3021,3,FALSE),0)</f>
        <v>1132.23</v>
      </c>
      <c r="U142" s="112">
        <f t="shared" si="35"/>
        <v>-36.1099999999999</v>
      </c>
      <c r="W142" s="157">
        <f>IFERROR(VLOOKUP(B142,[1]Todos!$A$2:$B$3021,2,FALSE),0)</f>
        <v>20127.689999999999</v>
      </c>
      <c r="X142" s="112">
        <f t="shared" si="34"/>
        <v>0</v>
      </c>
    </row>
    <row r="143" spans="1:24" hidden="1" outlineLevel="2" x14ac:dyDescent="0.3">
      <c r="A143" s="40" t="str">
        <f>VLOOKUP(B143,Grupos!$A$2:$B$619,2,FALSE)</f>
        <v>TABLEROS 100 AMP BIMETALICO 2 FASES</v>
      </c>
      <c r="B143" s="41" t="s">
        <v>184</v>
      </c>
      <c r="C143" s="41" t="s">
        <v>1084</v>
      </c>
      <c r="D143" s="42">
        <v>24</v>
      </c>
      <c r="E143" s="43">
        <v>18702.21</v>
      </c>
      <c r="F143" s="43">
        <v>642.67999999999995</v>
      </c>
      <c r="G143" s="126">
        <f t="shared" si="19"/>
        <v>19344.89</v>
      </c>
      <c r="H143" s="127">
        <f t="shared" si="20"/>
        <v>448853.04</v>
      </c>
      <c r="I143" s="128">
        <f t="shared" si="21"/>
        <v>15424.32</v>
      </c>
      <c r="J143" s="128">
        <f t="shared" si="22"/>
        <v>464277.36</v>
      </c>
      <c r="K143" s="44">
        <f t="shared" si="23"/>
        <v>2.9622004593299556E-4</v>
      </c>
      <c r="L143" s="45">
        <f t="shared" si="24"/>
        <v>5520.9739299844523</v>
      </c>
      <c r="M143" s="45">
        <f t="shared" si="25"/>
        <v>4217.5318211178619</v>
      </c>
      <c r="N143" s="45">
        <f t="shared" si="26"/>
        <v>29083.395751102311</v>
      </c>
      <c r="O143" s="46">
        <f t="shared" si="27"/>
        <v>698001.49802645552</v>
      </c>
      <c r="P143" s="47">
        <f t="shared" si="36"/>
        <v>53159.996666666666</v>
      </c>
      <c r="Q143" s="42">
        <v>1275839.92</v>
      </c>
      <c r="R143" s="48">
        <f t="shared" si="33"/>
        <v>0.5470917527227519</v>
      </c>
      <c r="S143" s="49"/>
      <c r="T143" s="157">
        <f>IFERROR(VLOOKUP(B143,[1]Todos!$A$2:$C$3021,3,FALSE),0)</f>
        <v>663.69</v>
      </c>
      <c r="U143" s="112">
        <f t="shared" si="35"/>
        <v>21.010000000000105</v>
      </c>
      <c r="W143" s="157">
        <f>IFERROR(VLOOKUP(B143,[1]Todos!$A$2:$B$3021,2,FALSE),0)</f>
        <v>18702.21</v>
      </c>
      <c r="X143" s="112">
        <f t="shared" si="34"/>
        <v>0</v>
      </c>
    </row>
    <row r="144" spans="1:24" hidden="1" outlineLevel="2" x14ac:dyDescent="0.3">
      <c r="A144" s="40" t="str">
        <f>VLOOKUP(B144,Grupos!$A$2:$B$619,2,FALSE)</f>
        <v>TABLEROS 100 AMP BIMETALICO 2 FASES</v>
      </c>
      <c r="B144" s="41" t="s">
        <v>185</v>
      </c>
      <c r="C144" s="41" t="s">
        <v>186</v>
      </c>
      <c r="D144" s="42">
        <v>54</v>
      </c>
      <c r="E144" s="43">
        <v>18754.66</v>
      </c>
      <c r="F144" s="43">
        <v>850.68</v>
      </c>
      <c r="G144" s="126">
        <f t="shared" si="19"/>
        <v>19605.34</v>
      </c>
      <c r="H144" s="127">
        <f t="shared" si="20"/>
        <v>1012751.64</v>
      </c>
      <c r="I144" s="128">
        <f t="shared" si="21"/>
        <v>45936.719999999994</v>
      </c>
      <c r="J144" s="128">
        <f t="shared" si="22"/>
        <v>1058688.3600000001</v>
      </c>
      <c r="K144" s="44">
        <f t="shared" si="23"/>
        <v>6.7546846270498254E-4</v>
      </c>
      <c r="L144" s="45">
        <f t="shared" si="24"/>
        <v>5595.3055834631996</v>
      </c>
      <c r="M144" s="45">
        <f t="shared" si="25"/>
        <v>5582.5138009406592</v>
      </c>
      <c r="N144" s="45">
        <f t="shared" si="26"/>
        <v>30783.159384403858</v>
      </c>
      <c r="O144" s="46">
        <f t="shared" si="27"/>
        <v>1662290.6067578082</v>
      </c>
      <c r="P144" s="47">
        <f t="shared" si="36"/>
        <v>54852.002222222225</v>
      </c>
      <c r="Q144" s="42">
        <v>2962008.12</v>
      </c>
      <c r="R144" s="48">
        <f t="shared" si="33"/>
        <v>0.56120393307963257</v>
      </c>
      <c r="S144" s="49"/>
      <c r="T144" s="157">
        <f>IFERROR(VLOOKUP(B144,[1]Todos!$A$2:$C$3021,3,FALSE),0)</f>
        <v>852.63</v>
      </c>
      <c r="U144" s="112">
        <f t="shared" si="35"/>
        <v>1.9500000000000455</v>
      </c>
      <c r="W144" s="157">
        <f>IFERROR(VLOOKUP(B144,[1]Todos!$A$2:$B$3021,2,FALSE),0)</f>
        <v>18754.66</v>
      </c>
      <c r="X144" s="112">
        <f t="shared" si="34"/>
        <v>0</v>
      </c>
    </row>
    <row r="145" spans="1:24" hidden="1" outlineLevel="2" x14ac:dyDescent="0.3">
      <c r="A145" s="40" t="str">
        <f>VLOOKUP(B145,Grupos!$A$2:$B$619,2,FALSE)</f>
        <v>TABLEROS 100 AMP BIMETALICO 2 FASES</v>
      </c>
      <c r="B145" s="41" t="s">
        <v>187</v>
      </c>
      <c r="C145" s="41" t="s">
        <v>188</v>
      </c>
      <c r="D145" s="42">
        <v>168</v>
      </c>
      <c r="E145" s="43">
        <v>21991.71</v>
      </c>
      <c r="F145" s="43">
        <v>1469.56</v>
      </c>
      <c r="G145" s="126">
        <f t="shared" si="19"/>
        <v>23461.27</v>
      </c>
      <c r="H145" s="127">
        <f t="shared" si="20"/>
        <v>3694607.28</v>
      </c>
      <c r="I145" s="128">
        <f t="shared" si="21"/>
        <v>246886.08</v>
      </c>
      <c r="J145" s="128">
        <f t="shared" si="22"/>
        <v>3941493.36</v>
      </c>
      <c r="K145" s="44">
        <f t="shared" si="23"/>
        <v>2.5147669146386911E-3</v>
      </c>
      <c r="L145" s="45">
        <f t="shared" si="24"/>
        <v>6695.7765091621786</v>
      </c>
      <c r="M145" s="45">
        <f t="shared" si="25"/>
        <v>9643.8601839826442</v>
      </c>
      <c r="N145" s="45">
        <f t="shared" si="26"/>
        <v>39800.906693144825</v>
      </c>
      <c r="O145" s="46">
        <f t="shared" si="27"/>
        <v>6686552.3244483303</v>
      </c>
      <c r="P145" s="47">
        <f t="shared" si="36"/>
        <v>66803.250476190471</v>
      </c>
      <c r="Q145" s="42">
        <v>11222946.08</v>
      </c>
      <c r="R145" s="48">
        <f t="shared" si="33"/>
        <v>0.59579296530384207</v>
      </c>
      <c r="S145" s="49"/>
      <c r="T145" s="157">
        <f>IFERROR(VLOOKUP(B145,[1]Todos!$A$2:$C$3021,3,FALSE),0)</f>
        <v>1510.93</v>
      </c>
      <c r="U145" s="112">
        <f t="shared" si="35"/>
        <v>41.370000000000118</v>
      </c>
      <c r="W145" s="157">
        <f>IFERROR(VLOOKUP(B145,[1]Todos!$A$2:$B$3021,2,FALSE),0)</f>
        <v>21991.71</v>
      </c>
      <c r="X145" s="112">
        <f t="shared" si="34"/>
        <v>0</v>
      </c>
    </row>
    <row r="146" spans="1:24" hidden="1" outlineLevel="2" x14ac:dyDescent="0.3">
      <c r="A146" s="40" t="str">
        <f>VLOOKUP(B146,Grupos!$A$2:$B$619,2,FALSE)</f>
        <v>TABLEROS 100 AMP BIMETALICO 2 FASES</v>
      </c>
      <c r="B146" s="41" t="s">
        <v>189</v>
      </c>
      <c r="C146" s="41" t="s">
        <v>190</v>
      </c>
      <c r="D146" s="42">
        <v>664</v>
      </c>
      <c r="E146" s="43">
        <v>21996.36</v>
      </c>
      <c r="F146" s="43">
        <v>1450.73</v>
      </c>
      <c r="G146" s="126">
        <f t="shared" si="19"/>
        <v>23447.09</v>
      </c>
      <c r="H146" s="127">
        <f t="shared" si="20"/>
        <v>14605583.040000001</v>
      </c>
      <c r="I146" s="128">
        <f t="shared" si="21"/>
        <v>963284.72</v>
      </c>
      <c r="J146" s="128">
        <f t="shared" si="22"/>
        <v>15568867.76</v>
      </c>
      <c r="K146" s="44">
        <f t="shared" si="23"/>
        <v>9.9333095264260429E-3</v>
      </c>
      <c r="L146" s="45">
        <f t="shared" si="24"/>
        <v>6691.7295794392812</v>
      </c>
      <c r="M146" s="45">
        <f t="shared" si="25"/>
        <v>9520.2899403284937</v>
      </c>
      <c r="N146" s="45">
        <f t="shared" si="26"/>
        <v>39659.109519767779</v>
      </c>
      <c r="O146" s="46">
        <f t="shared" si="27"/>
        <v>26333648.721125804</v>
      </c>
      <c r="P146" s="47">
        <f t="shared" si="36"/>
        <v>66223.297756024098</v>
      </c>
      <c r="Q146" s="42">
        <v>43972269.710000001</v>
      </c>
      <c r="R146" s="48">
        <f t="shared" si="33"/>
        <v>0.59886944419285026</v>
      </c>
      <c r="S146" s="49"/>
      <c r="T146" s="157">
        <f>IFERROR(VLOOKUP(B146,[1]Todos!$A$2:$C$3021,3,FALSE),0)</f>
        <v>1450.08</v>
      </c>
      <c r="U146" s="112">
        <f t="shared" si="35"/>
        <v>-0.65000000000009095</v>
      </c>
      <c r="W146" s="157">
        <f>IFERROR(VLOOKUP(B146,[1]Todos!$A$2:$B$3021,2,FALSE),0)</f>
        <v>21996.36</v>
      </c>
      <c r="X146" s="112">
        <f t="shared" si="34"/>
        <v>0</v>
      </c>
    </row>
    <row r="147" spans="1:24" s="93" customFormat="1" outlineLevel="1" collapsed="1" x14ac:dyDescent="0.3">
      <c r="A147" s="50" t="s">
        <v>1030</v>
      </c>
      <c r="B147" s="129"/>
      <c r="C147" s="129"/>
      <c r="D147" s="51">
        <f>SUBTOTAL(9,D137:D146)</f>
        <v>2277</v>
      </c>
      <c r="E147" s="52"/>
      <c r="F147" s="52"/>
      <c r="G147" s="130"/>
      <c r="H147" s="131">
        <f>SUBTOTAL(9,H137:H146)</f>
        <v>55491628.049999997</v>
      </c>
      <c r="I147" s="146">
        <f>SUBTOTAL(9,I137:I146)</f>
        <v>3419614.1500000004</v>
      </c>
      <c r="J147" s="146">
        <f>SUBTOTAL(9,J137:J146)</f>
        <v>58911242.200000003</v>
      </c>
      <c r="K147" s="53"/>
      <c r="L147" s="54"/>
      <c r="M147" s="54"/>
      <c r="N147" s="54"/>
      <c r="O147" s="55">
        <f>SUBTOTAL(9,O137:O146)</f>
        <v>98165256.681873471</v>
      </c>
      <c r="P147" s="56"/>
      <c r="Q147" s="51">
        <f>SUBTOTAL(9,Q137:Q146)</f>
        <v>176560213.47</v>
      </c>
      <c r="R147" s="164">
        <f t="shared" si="33"/>
        <v>0.55598741501608506</v>
      </c>
      <c r="S147" s="58">
        <f>Q147/$Q$303</f>
        <v>4.4107087757236103E-2</v>
      </c>
      <c r="T147" s="157">
        <f>IFERROR(VLOOKUP(B147,[1]Todos!$A$2:$C$3021,3,FALSE),0)</f>
        <v>0</v>
      </c>
      <c r="U147" s="112">
        <f t="shared" si="35"/>
        <v>0</v>
      </c>
      <c r="W147" s="157">
        <f>IFERROR(VLOOKUP(B147,[1]Todos!$A$2:$B$3021,2,FALSE),0)</f>
        <v>0</v>
      </c>
      <c r="X147" s="112">
        <f t="shared" si="34"/>
        <v>0</v>
      </c>
    </row>
    <row r="148" spans="1:24" hidden="1" outlineLevel="2" x14ac:dyDescent="0.3">
      <c r="A148" s="40" t="str">
        <f>VLOOKUP(B148,Grupos!$A$2:$B$619,2,FALSE)</f>
        <v>TABLEROS 100 AMP BIMETALICO 3 FASES</v>
      </c>
      <c r="B148" s="41" t="s">
        <v>193</v>
      </c>
      <c r="C148" s="41" t="s">
        <v>194</v>
      </c>
      <c r="D148" s="42">
        <v>214</v>
      </c>
      <c r="E148" s="43">
        <v>22441.5</v>
      </c>
      <c r="F148" s="43">
        <v>1559.19</v>
      </c>
      <c r="G148" s="126">
        <f t="shared" ref="G148:G215" si="37">E148+F148</f>
        <v>24000.69</v>
      </c>
      <c r="H148" s="127">
        <f t="shared" ref="H148:H215" si="38">E148*D148</f>
        <v>4802481</v>
      </c>
      <c r="I148" s="128">
        <f t="shared" ref="I148:I215" si="39">F148*D148</f>
        <v>333666.66000000003</v>
      </c>
      <c r="J148" s="128">
        <f t="shared" ref="J148:J215" si="40">G148*D148</f>
        <v>5136147.66</v>
      </c>
      <c r="K148" s="44">
        <f t="shared" ref="K148:K215" si="41">J148/$J$303</f>
        <v>3.2769848948995652E-3</v>
      </c>
      <c r="L148" s="45">
        <f t="shared" ref="L148:L215" si="42">$K$373*K148/D148</f>
        <v>6849.7253689030313</v>
      </c>
      <c r="M148" s="45">
        <f t="shared" ref="M148:M215" si="43">F148*$M$372</f>
        <v>10232.049293845708</v>
      </c>
      <c r="N148" s="45">
        <f t="shared" ref="N148:N215" si="44">G148+L148+M148</f>
        <v>41082.464662748738</v>
      </c>
      <c r="O148" s="46">
        <f t="shared" ref="O148:O215" si="45">N148*D148</f>
        <v>8791647.4378282297</v>
      </c>
      <c r="P148" s="47">
        <f>Q148/D148</f>
        <v>62831.927196261684</v>
      </c>
      <c r="Q148" s="42">
        <v>13446032.42</v>
      </c>
      <c r="R148" s="48">
        <f t="shared" si="33"/>
        <v>0.65384696118620766</v>
      </c>
      <c r="S148" s="49"/>
      <c r="T148" s="157">
        <f>IFERROR(VLOOKUP(B148,[1]Todos!$A$2:$C$3021,3,FALSE),0)</f>
        <v>1629.32</v>
      </c>
      <c r="U148" s="112">
        <f t="shared" si="35"/>
        <v>70.129999999999882</v>
      </c>
      <c r="W148" s="157">
        <f>IFERROR(VLOOKUP(B148,[1]Todos!$A$2:$B$3021,2,FALSE),0)</f>
        <v>22441.5</v>
      </c>
      <c r="X148" s="112">
        <f t="shared" si="34"/>
        <v>0</v>
      </c>
    </row>
    <row r="149" spans="1:24" hidden="1" outlineLevel="2" x14ac:dyDescent="0.3">
      <c r="A149" s="40" t="str">
        <f>VLOOKUP(B149,Grupos!$A$2:$B$619,2,FALSE)</f>
        <v>TABLEROS 100 AMP BIMETALICO 3 FASES</v>
      </c>
      <c r="B149" s="41" t="s">
        <v>195</v>
      </c>
      <c r="C149" s="41" t="s">
        <v>196</v>
      </c>
      <c r="D149" s="42">
        <v>60</v>
      </c>
      <c r="E149" s="43">
        <v>27361.759999999998</v>
      </c>
      <c r="F149" s="43">
        <v>1731.24</v>
      </c>
      <c r="G149" s="126">
        <f t="shared" si="37"/>
        <v>29093</v>
      </c>
      <c r="H149" s="127">
        <f t="shared" si="38"/>
        <v>1641705.5999999999</v>
      </c>
      <c r="I149" s="128">
        <f t="shared" si="39"/>
        <v>103874.4</v>
      </c>
      <c r="J149" s="128">
        <f t="shared" si="40"/>
        <v>1745580</v>
      </c>
      <c r="K149" s="44">
        <f t="shared" si="41"/>
        <v>1.1137217368939083E-3</v>
      </c>
      <c r="L149" s="45">
        <f t="shared" si="42"/>
        <v>8303.0554603845103</v>
      </c>
      <c r="M149" s="45">
        <f t="shared" si="43"/>
        <v>11361.112513213555</v>
      </c>
      <c r="N149" s="45">
        <f t="shared" si="44"/>
        <v>48757.167973598065</v>
      </c>
      <c r="O149" s="46">
        <f t="shared" si="45"/>
        <v>2925430.0784158837</v>
      </c>
      <c r="P149" s="47">
        <f>Q149/D149</f>
        <v>96605.748333333337</v>
      </c>
      <c r="Q149" s="42">
        <v>5796344.9000000004</v>
      </c>
      <c r="R149" s="48">
        <f t="shared" si="33"/>
        <v>0.50470255460745328</v>
      </c>
      <c r="S149" s="49"/>
      <c r="T149" s="157">
        <f>IFERROR(VLOOKUP(B149,[1]Todos!$A$2:$C$3021,3,FALSE),0)</f>
        <v>1717.81</v>
      </c>
      <c r="U149" s="112">
        <f t="shared" si="35"/>
        <v>-13.430000000000064</v>
      </c>
      <c r="W149" s="157">
        <f>IFERROR(VLOOKUP(B149,[1]Todos!$A$2:$B$3021,2,FALSE),0)</f>
        <v>27361.759999999998</v>
      </c>
      <c r="X149" s="112">
        <f t="shared" si="34"/>
        <v>0</v>
      </c>
    </row>
    <row r="150" spans="1:24" hidden="1" outlineLevel="2" x14ac:dyDescent="0.3">
      <c r="A150" s="40" t="str">
        <f>VLOOKUP(B150,Grupos!$A$2:$B$619,2,FALSE)</f>
        <v>TABLEROS 100 AMP BIMETALICO 3 FASES</v>
      </c>
      <c r="B150" s="41" t="s">
        <v>197</v>
      </c>
      <c r="C150" s="41" t="s">
        <v>198</v>
      </c>
      <c r="D150" s="42">
        <v>302</v>
      </c>
      <c r="E150" s="43">
        <v>27273.89</v>
      </c>
      <c r="F150" s="43">
        <v>1758.23</v>
      </c>
      <c r="G150" s="126">
        <f t="shared" si="37"/>
        <v>29032.12</v>
      </c>
      <c r="H150" s="127">
        <f t="shared" si="38"/>
        <v>8236714.7800000003</v>
      </c>
      <c r="I150" s="128">
        <f t="shared" si="39"/>
        <v>530985.46</v>
      </c>
      <c r="J150" s="128">
        <f t="shared" si="40"/>
        <v>8767700.2400000002</v>
      </c>
      <c r="K150" s="44">
        <f t="shared" si="41"/>
        <v>5.594002188302992E-3</v>
      </c>
      <c r="L150" s="45">
        <f t="shared" si="42"/>
        <v>8285.6804898957926</v>
      </c>
      <c r="M150" s="45">
        <f t="shared" si="43"/>
        <v>11538.232049922291</v>
      </c>
      <c r="N150" s="45">
        <f t="shared" si="44"/>
        <v>48856.032539818079</v>
      </c>
      <c r="O150" s="46">
        <f t="shared" si="45"/>
        <v>14754521.82702506</v>
      </c>
      <c r="P150" s="47">
        <f>Q150/D150</f>
        <v>92596.540364238419</v>
      </c>
      <c r="Q150" s="42">
        <v>27964155.190000001</v>
      </c>
      <c r="R150" s="48">
        <f t="shared" si="33"/>
        <v>0.52762265574542677</v>
      </c>
      <c r="S150" s="49"/>
      <c r="T150" s="157">
        <f>IFERROR(VLOOKUP(B150,[1]Todos!$A$2:$C$3021,3,FALSE),0)</f>
        <v>1685.22</v>
      </c>
      <c r="U150" s="112">
        <f t="shared" si="35"/>
        <v>-73.009999999999991</v>
      </c>
      <c r="W150" s="157">
        <f>IFERROR(VLOOKUP(B150,[1]Todos!$A$2:$B$3021,2,FALSE),0)</f>
        <v>27273.89</v>
      </c>
      <c r="X150" s="112">
        <f t="shared" si="34"/>
        <v>0</v>
      </c>
    </row>
    <row r="151" spans="1:24" hidden="1" outlineLevel="2" x14ac:dyDescent="0.3">
      <c r="A151" s="40" t="str">
        <f>VLOOKUP(B151,Grupos!$A$2:$B$619,2,FALSE)</f>
        <v>TABLEROS 100 AMP BIMETALICO 3 FASES</v>
      </c>
      <c r="B151" s="41" t="s">
        <v>199</v>
      </c>
      <c r="C151" s="41" t="s">
        <v>200</v>
      </c>
      <c r="D151" s="42">
        <v>200</v>
      </c>
      <c r="E151" s="43">
        <v>34056.449999999997</v>
      </c>
      <c r="F151" s="43">
        <v>2074.4299999999998</v>
      </c>
      <c r="G151" s="126">
        <f t="shared" si="37"/>
        <v>36130.879999999997</v>
      </c>
      <c r="H151" s="127">
        <f t="shared" si="38"/>
        <v>6811289.9999999991</v>
      </c>
      <c r="I151" s="128">
        <f t="shared" si="39"/>
        <v>414885.99999999994</v>
      </c>
      <c r="J151" s="128">
        <f t="shared" si="40"/>
        <v>7226175.9999999991</v>
      </c>
      <c r="K151" s="44">
        <f t="shared" si="41"/>
        <v>4.6104729005952598E-3</v>
      </c>
      <c r="L151" s="45">
        <f t="shared" si="42"/>
        <v>10311.645429226872</v>
      </c>
      <c r="M151" s="45">
        <f t="shared" si="43"/>
        <v>13613.267155787524</v>
      </c>
      <c r="N151" s="45">
        <f t="shared" si="44"/>
        <v>60055.792585014387</v>
      </c>
      <c r="O151" s="46">
        <f t="shared" si="45"/>
        <v>12011158.517002877</v>
      </c>
      <c r="P151" s="47">
        <f>Q151/D151</f>
        <v>124765.95359999999</v>
      </c>
      <c r="Q151" s="42">
        <v>24953190.719999999</v>
      </c>
      <c r="R151" s="48">
        <f t="shared" si="33"/>
        <v>0.48134760206741517</v>
      </c>
      <c r="S151" s="49"/>
      <c r="T151" s="157">
        <f>IFERROR(VLOOKUP(B151,[1]Todos!$A$2:$C$3021,3,FALSE),0)</f>
        <v>1967.09</v>
      </c>
      <c r="U151" s="112">
        <f t="shared" si="35"/>
        <v>-107.33999999999992</v>
      </c>
      <c r="W151" s="157">
        <f>IFERROR(VLOOKUP(B151,[1]Todos!$A$2:$B$3021,2,FALSE),0)</f>
        <v>34056.449999999997</v>
      </c>
      <c r="X151" s="112">
        <f t="shared" si="34"/>
        <v>0</v>
      </c>
    </row>
    <row r="152" spans="1:24" s="93" customFormat="1" outlineLevel="1" collapsed="1" x14ac:dyDescent="0.3">
      <c r="A152" s="50" t="s">
        <v>1031</v>
      </c>
      <c r="B152" s="129"/>
      <c r="C152" s="129"/>
      <c r="D152" s="51">
        <f>SUBTOTAL(9,D148:D151)</f>
        <v>776</v>
      </c>
      <c r="E152" s="52"/>
      <c r="F152" s="52"/>
      <c r="G152" s="130"/>
      <c r="H152" s="131">
        <f>SUBTOTAL(9,H148:H151)</f>
        <v>21492191.379999999</v>
      </c>
      <c r="I152" s="146">
        <f>SUBTOTAL(9,I148:I151)</f>
        <v>1383412.52</v>
      </c>
      <c r="J152" s="146">
        <f>SUBTOTAL(9,J148:J151)</f>
        <v>22875603.899999999</v>
      </c>
      <c r="K152" s="53"/>
      <c r="L152" s="54"/>
      <c r="M152" s="54"/>
      <c r="N152" s="54"/>
      <c r="O152" s="55">
        <f>SUBTOTAL(9,O148:O151)</f>
        <v>38482757.86027205</v>
      </c>
      <c r="P152" s="56"/>
      <c r="Q152" s="51">
        <f>SUBTOTAL(9,Q148:Q151)</f>
        <v>72159723.230000004</v>
      </c>
      <c r="R152" s="164">
        <f t="shared" si="33"/>
        <v>0.53329968766112257</v>
      </c>
      <c r="S152" s="58">
        <f>Q152/$Q$303</f>
        <v>1.8026457843993673E-2</v>
      </c>
      <c r="T152" s="157">
        <f>IFERROR(VLOOKUP(B152,[1]Todos!$A$2:$C$3021,3,FALSE),0)</f>
        <v>0</v>
      </c>
      <c r="U152" s="112">
        <f t="shared" si="35"/>
        <v>0</v>
      </c>
      <c r="W152" s="157">
        <f>IFERROR(VLOOKUP(B152,[1]Todos!$A$2:$B$3021,2,FALSE),0)</f>
        <v>0</v>
      </c>
      <c r="X152" s="112">
        <f t="shared" si="34"/>
        <v>0</v>
      </c>
    </row>
    <row r="153" spans="1:24" hidden="1" outlineLevel="2" x14ac:dyDescent="0.3">
      <c r="A153" s="40" t="str">
        <f>VLOOKUP(B153,Grupos!$A$2:$B$619,2,FALSE)</f>
        <v>TABLEROS 125 AMP COBRE 2 FASES</v>
      </c>
      <c r="B153" s="41" t="s">
        <v>201</v>
      </c>
      <c r="C153" s="41" t="s">
        <v>202</v>
      </c>
      <c r="D153" s="42">
        <v>628</v>
      </c>
      <c r="E153" s="43">
        <v>35359.94</v>
      </c>
      <c r="F153" s="43">
        <v>1674.19</v>
      </c>
      <c r="G153" s="126">
        <f t="shared" si="37"/>
        <v>37034.130000000005</v>
      </c>
      <c r="H153" s="127">
        <f t="shared" si="38"/>
        <v>22206042.32</v>
      </c>
      <c r="I153" s="128">
        <f t="shared" si="39"/>
        <v>1051391.32</v>
      </c>
      <c r="J153" s="128">
        <f t="shared" si="40"/>
        <v>23257433.640000004</v>
      </c>
      <c r="K153" s="44">
        <f t="shared" si="41"/>
        <v>1.4838798215627825E-2</v>
      </c>
      <c r="L153" s="45">
        <f t="shared" si="42"/>
        <v>10569.43028622314</v>
      </c>
      <c r="M153" s="45">
        <f t="shared" si="43"/>
        <v>10986.726830766966</v>
      </c>
      <c r="N153" s="45">
        <f t="shared" si="44"/>
        <v>58590.287116990112</v>
      </c>
      <c r="O153" s="46">
        <f t="shared" si="45"/>
        <v>36794700.309469789</v>
      </c>
      <c r="P153" s="47">
        <f t="shared" ref="P153:P159" si="46">Q153/D153</f>
        <v>96071.064729299367</v>
      </c>
      <c r="Q153" s="42">
        <v>60332628.649999999</v>
      </c>
      <c r="R153" s="48">
        <f t="shared" si="33"/>
        <v>0.60986403431752001</v>
      </c>
      <c r="S153" s="49"/>
      <c r="T153" s="157">
        <f>IFERROR(VLOOKUP(B153,[1]Todos!$A$2:$C$3021,3,FALSE),0)</f>
        <v>1602.34</v>
      </c>
      <c r="U153" s="112">
        <f t="shared" si="35"/>
        <v>-71.850000000000136</v>
      </c>
      <c r="W153" s="157">
        <f>IFERROR(VLOOKUP(B153,[1]Todos!$A$2:$B$3021,2,FALSE),0)</f>
        <v>35359.94</v>
      </c>
      <c r="X153" s="112">
        <f t="shared" si="34"/>
        <v>0</v>
      </c>
    </row>
    <row r="154" spans="1:24" hidden="1" outlineLevel="2" x14ac:dyDescent="0.3">
      <c r="A154" s="40" t="str">
        <f>VLOOKUP(B154,Grupos!$A$2:$B$619,2,FALSE)</f>
        <v>TABLEROS 125 AMP COBRE 2 FASES</v>
      </c>
      <c r="B154" s="41" t="s">
        <v>203</v>
      </c>
      <c r="C154" s="41" t="s">
        <v>204</v>
      </c>
      <c r="D154" s="42">
        <v>1146</v>
      </c>
      <c r="E154" s="43">
        <v>35272.07</v>
      </c>
      <c r="F154" s="43">
        <v>1566.35</v>
      </c>
      <c r="G154" s="126">
        <f t="shared" si="37"/>
        <v>36838.42</v>
      </c>
      <c r="H154" s="127">
        <f t="shared" si="38"/>
        <v>40421792.219999999</v>
      </c>
      <c r="I154" s="128">
        <f t="shared" si="39"/>
        <v>1795037.0999999999</v>
      </c>
      <c r="J154" s="128">
        <f t="shared" si="40"/>
        <v>42216829.32</v>
      </c>
      <c r="K154" s="44">
        <f t="shared" si="41"/>
        <v>2.6935345544990247E-2</v>
      </c>
      <c r="L154" s="45">
        <f t="shared" si="42"/>
        <v>10513.575235724673</v>
      </c>
      <c r="M154" s="45">
        <f t="shared" si="43"/>
        <v>10279.036173535762</v>
      </c>
      <c r="N154" s="45">
        <f t="shared" si="44"/>
        <v>57631.031409260439</v>
      </c>
      <c r="O154" s="46">
        <f t="shared" si="45"/>
        <v>66045161.995012462</v>
      </c>
      <c r="P154" s="47">
        <f t="shared" si="46"/>
        <v>94826.259816753925</v>
      </c>
      <c r="Q154" s="42">
        <v>108670893.75</v>
      </c>
      <c r="R154" s="48">
        <f t="shared" si="33"/>
        <v>0.6077539230233161</v>
      </c>
      <c r="S154" s="49"/>
      <c r="T154" s="157">
        <f>IFERROR(VLOOKUP(B154,[1]Todos!$A$2:$C$3021,3,FALSE),0)</f>
        <v>1537.24</v>
      </c>
      <c r="U154" s="112">
        <f t="shared" si="35"/>
        <v>-29.1099999999999</v>
      </c>
      <c r="W154" s="157">
        <f>IFERROR(VLOOKUP(B154,[1]Todos!$A$2:$B$3021,2,FALSE),0)</f>
        <v>35272.07</v>
      </c>
      <c r="X154" s="112">
        <f t="shared" si="34"/>
        <v>0</v>
      </c>
    </row>
    <row r="155" spans="1:24" hidden="1" outlineLevel="2" x14ac:dyDescent="0.3">
      <c r="A155" s="40" t="str">
        <f>VLOOKUP(B155,Grupos!$A$2:$B$619,2,FALSE)</f>
        <v>TABLEROS 125 AMP COBRE 2 FASES</v>
      </c>
      <c r="B155" s="41" t="s">
        <v>205</v>
      </c>
      <c r="C155" s="41" t="s">
        <v>206</v>
      </c>
      <c r="D155" s="42">
        <v>210</v>
      </c>
      <c r="E155" s="43">
        <v>46968.33</v>
      </c>
      <c r="F155" s="43">
        <v>1742.02</v>
      </c>
      <c r="G155" s="126">
        <f t="shared" si="37"/>
        <v>48710.35</v>
      </c>
      <c r="H155" s="127">
        <f t="shared" si="38"/>
        <v>9863349.3000000007</v>
      </c>
      <c r="I155" s="128">
        <f t="shared" si="39"/>
        <v>365824.2</v>
      </c>
      <c r="J155" s="128">
        <f t="shared" si="40"/>
        <v>10229173.5</v>
      </c>
      <c r="K155" s="44">
        <f t="shared" si="41"/>
        <v>6.5264570385826712E-3</v>
      </c>
      <c r="L155" s="45">
        <f t="shared" si="42"/>
        <v>13901.788662040373</v>
      </c>
      <c r="M155" s="45">
        <f t="shared" si="43"/>
        <v>11431.855329283217</v>
      </c>
      <c r="N155" s="45">
        <f t="shared" si="44"/>
        <v>74043.993991323587</v>
      </c>
      <c r="O155" s="46">
        <f t="shared" si="45"/>
        <v>15549238.738177953</v>
      </c>
      <c r="P155" s="47">
        <f t="shared" si="46"/>
        <v>129628.10414285715</v>
      </c>
      <c r="Q155" s="42">
        <v>27221901.870000001</v>
      </c>
      <c r="R155" s="48">
        <f t="shared" si="33"/>
        <v>0.57120324701905012</v>
      </c>
      <c r="S155" s="49"/>
      <c r="T155" s="157">
        <f>IFERROR(VLOOKUP(B155,[1]Todos!$A$2:$C$3021,3,FALSE),0)</f>
        <v>1816.87</v>
      </c>
      <c r="U155" s="112">
        <f t="shared" si="35"/>
        <v>74.849999999999909</v>
      </c>
      <c r="W155" s="157">
        <f>IFERROR(VLOOKUP(B155,[1]Todos!$A$2:$B$3021,2,FALSE),0)</f>
        <v>46968.33</v>
      </c>
      <c r="X155" s="112">
        <f t="shared" si="34"/>
        <v>0</v>
      </c>
    </row>
    <row r="156" spans="1:24" hidden="1" outlineLevel="2" x14ac:dyDescent="0.3">
      <c r="A156" s="40" t="str">
        <f>VLOOKUP(B156,Grupos!$A$2:$B$619,2,FALSE)</f>
        <v>TABLEROS 125 AMP COBRE 2 FASES</v>
      </c>
      <c r="B156" s="41" t="s">
        <v>207</v>
      </c>
      <c r="C156" s="41" t="s">
        <v>208</v>
      </c>
      <c r="D156" s="42">
        <v>590</v>
      </c>
      <c r="E156" s="43">
        <v>46910.7</v>
      </c>
      <c r="F156" s="43">
        <v>1651.68</v>
      </c>
      <c r="G156" s="126">
        <f t="shared" si="37"/>
        <v>48562.38</v>
      </c>
      <c r="H156" s="127">
        <f t="shared" si="38"/>
        <v>27677313</v>
      </c>
      <c r="I156" s="128">
        <f t="shared" si="39"/>
        <v>974491.20000000007</v>
      </c>
      <c r="J156" s="128">
        <f t="shared" si="40"/>
        <v>28651804.199999999</v>
      </c>
      <c r="K156" s="44">
        <f t="shared" si="41"/>
        <v>1.8280535488931E-2</v>
      </c>
      <c r="L156" s="45">
        <f t="shared" si="42"/>
        <v>13859.558465207007</v>
      </c>
      <c r="M156" s="45">
        <f t="shared" si="43"/>
        <v>10839.006905931335</v>
      </c>
      <c r="N156" s="45">
        <f t="shared" si="44"/>
        <v>73260.945371138339</v>
      </c>
      <c r="O156" s="46">
        <f t="shared" si="45"/>
        <v>43223957.768971622</v>
      </c>
      <c r="P156" s="47">
        <f t="shared" si="46"/>
        <v>124364.405</v>
      </c>
      <c r="Q156" s="42">
        <v>73374998.950000003</v>
      </c>
      <c r="R156" s="48">
        <f t="shared" si="33"/>
        <v>0.58908290817729025</v>
      </c>
      <c r="S156" s="49"/>
      <c r="T156" s="157">
        <f>IFERROR(VLOOKUP(B156,[1]Todos!$A$2:$C$3021,3,FALSE),0)</f>
        <v>1689.18</v>
      </c>
      <c r="U156" s="112">
        <f t="shared" si="35"/>
        <v>37.5</v>
      </c>
      <c r="W156" s="157">
        <f>IFERROR(VLOOKUP(B156,[1]Todos!$A$2:$B$3021,2,FALSE),0)</f>
        <v>46910.7</v>
      </c>
      <c r="X156" s="112">
        <f t="shared" si="34"/>
        <v>0</v>
      </c>
    </row>
    <row r="157" spans="1:24" hidden="1" outlineLevel="2" x14ac:dyDescent="0.3">
      <c r="A157" s="40" t="str">
        <f>VLOOKUP(B157,Grupos!$A$2:$B$619,2,FALSE)</f>
        <v>TABLEROS 125 AMP COBRE 2 FASES</v>
      </c>
      <c r="B157" s="41" t="s">
        <v>209</v>
      </c>
      <c r="C157" s="41" t="s">
        <v>210</v>
      </c>
      <c r="D157" s="42">
        <v>48</v>
      </c>
      <c r="E157" s="43">
        <v>25348.880000000001</v>
      </c>
      <c r="F157" s="43">
        <v>831.53</v>
      </c>
      <c r="G157" s="126">
        <f t="shared" si="37"/>
        <v>26180.41</v>
      </c>
      <c r="H157" s="127">
        <f t="shared" si="38"/>
        <v>1216746.24</v>
      </c>
      <c r="I157" s="128">
        <f t="shared" si="39"/>
        <v>39913.440000000002</v>
      </c>
      <c r="J157" s="128">
        <f t="shared" si="40"/>
        <v>1256659.68</v>
      </c>
      <c r="K157" s="44">
        <f t="shared" si="41"/>
        <v>8.017788938313586E-4</v>
      </c>
      <c r="L157" s="45">
        <f t="shared" si="42"/>
        <v>7471.8109581550607</v>
      </c>
      <c r="M157" s="45">
        <f t="shared" si="43"/>
        <v>5456.8435850098585</v>
      </c>
      <c r="N157" s="45">
        <f t="shared" si="44"/>
        <v>39109.064543164925</v>
      </c>
      <c r="O157" s="46">
        <f t="shared" si="45"/>
        <v>1877235.0980719165</v>
      </c>
      <c r="P157" s="47">
        <f t="shared" si="46"/>
        <v>59411.417500000003</v>
      </c>
      <c r="Q157" s="42">
        <v>2851748.04</v>
      </c>
      <c r="R157" s="48">
        <f t="shared" si="33"/>
        <v>0.65827523039935765</v>
      </c>
      <c r="S157" s="49"/>
      <c r="T157" s="157">
        <f>IFERROR(VLOOKUP(B157,[1]Todos!$A$2:$C$3021,3,FALSE),0)</f>
        <v>834.49</v>
      </c>
      <c r="U157" s="112">
        <f t="shared" si="35"/>
        <v>2.9600000000000364</v>
      </c>
      <c r="W157" s="157">
        <f>IFERROR(VLOOKUP(B157,[1]Todos!$A$2:$B$3021,2,FALSE),0)</f>
        <v>25348.880000000001</v>
      </c>
      <c r="X157" s="112">
        <f t="shared" si="34"/>
        <v>0</v>
      </c>
    </row>
    <row r="158" spans="1:24" hidden="1" outlineLevel="2" x14ac:dyDescent="0.3">
      <c r="A158" s="40" t="str">
        <f>VLOOKUP(B158,Grupos!$A$2:$B$619,2,FALSE)</f>
        <v>TABLEROS 125 AMP COBRE 2 FASES</v>
      </c>
      <c r="B158" s="41" t="s">
        <v>211</v>
      </c>
      <c r="C158" s="41" t="s">
        <v>212</v>
      </c>
      <c r="D158" s="42">
        <v>206</v>
      </c>
      <c r="E158" s="43">
        <v>28638.38</v>
      </c>
      <c r="F158" s="43">
        <v>1455.74</v>
      </c>
      <c r="G158" s="126">
        <f t="shared" si="37"/>
        <v>30094.120000000003</v>
      </c>
      <c r="H158" s="127">
        <f t="shared" si="38"/>
        <v>5899506.2800000003</v>
      </c>
      <c r="I158" s="128">
        <f t="shared" si="39"/>
        <v>299882.44</v>
      </c>
      <c r="J158" s="128">
        <f t="shared" si="40"/>
        <v>6199388.7200000007</v>
      </c>
      <c r="K158" s="44">
        <f t="shared" si="41"/>
        <v>3.9553580889554784E-3</v>
      </c>
      <c r="L158" s="45">
        <f t="shared" si="42"/>
        <v>8588.7721235852841</v>
      </c>
      <c r="M158" s="45">
        <f t="shared" si="43"/>
        <v>9553.1676312848031</v>
      </c>
      <c r="N158" s="45">
        <f t="shared" si="44"/>
        <v>48236.05975487009</v>
      </c>
      <c r="O158" s="46">
        <f t="shared" si="45"/>
        <v>9936628.3095032386</v>
      </c>
      <c r="P158" s="47">
        <f t="shared" si="46"/>
        <v>80338.51820388349</v>
      </c>
      <c r="Q158" s="42">
        <v>16549734.75</v>
      </c>
      <c r="R158" s="48">
        <f t="shared" si="33"/>
        <v>0.60041012497213819</v>
      </c>
      <c r="S158" s="49"/>
      <c r="T158" s="157">
        <f>IFERROR(VLOOKUP(B158,[1]Todos!$A$2:$C$3021,3,FALSE),0)</f>
        <v>1449.17</v>
      </c>
      <c r="U158" s="112">
        <f t="shared" si="35"/>
        <v>-6.5699999999999363</v>
      </c>
      <c r="W158" s="157">
        <f>IFERROR(VLOOKUP(B158,[1]Todos!$A$2:$B$3021,2,FALSE),0)</f>
        <v>28638.38</v>
      </c>
      <c r="X158" s="112">
        <f t="shared" si="34"/>
        <v>0</v>
      </c>
    </row>
    <row r="159" spans="1:24" hidden="1" outlineLevel="2" x14ac:dyDescent="0.3">
      <c r="A159" s="40" t="str">
        <f>VLOOKUP(B159,Grupos!$A$2:$B$619,2,FALSE)</f>
        <v>TABLEROS 125 AMP COBRE 2 FASES</v>
      </c>
      <c r="B159" s="41" t="s">
        <v>213</v>
      </c>
      <c r="C159" s="41" t="s">
        <v>214</v>
      </c>
      <c r="D159" s="42">
        <v>1434</v>
      </c>
      <c r="E159" s="43">
        <v>28643.040000000001</v>
      </c>
      <c r="F159" s="43">
        <v>1445.51</v>
      </c>
      <c r="G159" s="126">
        <f t="shared" si="37"/>
        <v>30088.55</v>
      </c>
      <c r="H159" s="127">
        <f t="shared" si="38"/>
        <v>41074119.359999999</v>
      </c>
      <c r="I159" s="128">
        <f t="shared" si="39"/>
        <v>2072861.34</v>
      </c>
      <c r="J159" s="128">
        <f t="shared" si="40"/>
        <v>43146980.699999996</v>
      </c>
      <c r="K159" s="44">
        <f t="shared" si="41"/>
        <v>2.7528804344075859E-2</v>
      </c>
      <c r="L159" s="45">
        <f t="shared" si="42"/>
        <v>8587.182462192015</v>
      </c>
      <c r="M159" s="45">
        <f t="shared" si="43"/>
        <v>9486.0341425656334</v>
      </c>
      <c r="N159" s="45">
        <f t="shared" si="44"/>
        <v>48161.766604757649</v>
      </c>
      <c r="O159" s="46">
        <f t="shared" si="45"/>
        <v>69063973.311222464</v>
      </c>
      <c r="P159" s="47">
        <f t="shared" si="46"/>
        <v>75077.642670850764</v>
      </c>
      <c r="Q159" s="42">
        <v>107661339.59</v>
      </c>
      <c r="R159" s="48">
        <f t="shared" si="33"/>
        <v>0.64149279188085995</v>
      </c>
      <c r="S159" s="49"/>
      <c r="T159" s="157">
        <f>IFERROR(VLOOKUP(B159,[1]Todos!$A$2:$C$3021,3,FALSE),0)</f>
        <v>1417.78</v>
      </c>
      <c r="U159" s="112">
        <f t="shared" si="35"/>
        <v>-27.730000000000018</v>
      </c>
      <c r="W159" s="157">
        <f>IFERROR(VLOOKUP(B159,[1]Todos!$A$2:$B$3021,2,FALSE),0)</f>
        <v>28643.040000000001</v>
      </c>
      <c r="X159" s="112">
        <f t="shared" si="34"/>
        <v>0</v>
      </c>
    </row>
    <row r="160" spans="1:24" s="93" customFormat="1" outlineLevel="1" collapsed="1" x14ac:dyDescent="0.3">
      <c r="A160" s="50" t="s">
        <v>1032</v>
      </c>
      <c r="B160" s="129"/>
      <c r="C160" s="129"/>
      <c r="D160" s="51">
        <f>SUBTOTAL(9,D153:D159)</f>
        <v>4262</v>
      </c>
      <c r="E160" s="52"/>
      <c r="F160" s="52"/>
      <c r="G160" s="130"/>
      <c r="H160" s="131">
        <f>SUBTOTAL(9,H153:H159)</f>
        <v>148358868.72</v>
      </c>
      <c r="I160" s="146">
        <f>SUBTOTAL(9,I153:I159)</f>
        <v>6599401.040000001</v>
      </c>
      <c r="J160" s="146">
        <f>SUBTOTAL(9,J153:J159)</f>
        <v>154958269.76000002</v>
      </c>
      <c r="K160" s="53"/>
      <c r="L160" s="54"/>
      <c r="M160" s="54"/>
      <c r="N160" s="54"/>
      <c r="O160" s="55">
        <f>SUBTOTAL(9,O153:O159)</f>
        <v>242490895.53042942</v>
      </c>
      <c r="P160" s="56"/>
      <c r="Q160" s="51">
        <f>SUBTOTAL(9,Q153:Q159)</f>
        <v>396663245.60000002</v>
      </c>
      <c r="R160" s="164">
        <f t="shared" si="33"/>
        <v>0.61132685778243279</v>
      </c>
      <c r="S160" s="58">
        <f>Q160/$Q$303</f>
        <v>9.9091750286777108E-2</v>
      </c>
      <c r="T160" s="157">
        <f>IFERROR(VLOOKUP(B160,[1]Todos!$A$2:$C$3021,3,FALSE),0)</f>
        <v>0</v>
      </c>
      <c r="U160" s="112">
        <f t="shared" si="35"/>
        <v>0</v>
      </c>
      <c r="W160" s="157">
        <f>IFERROR(VLOOKUP(B160,[1]Todos!$A$2:$B$3021,2,FALSE),0)</f>
        <v>0</v>
      </c>
      <c r="X160" s="112">
        <f t="shared" si="34"/>
        <v>0</v>
      </c>
    </row>
    <row r="161" spans="1:24" hidden="1" outlineLevel="2" x14ac:dyDescent="0.3">
      <c r="A161" s="40" t="str">
        <f>VLOOKUP(B161,Grupos!$A$2:$B$619,2,FALSE)</f>
        <v>TABLEROS 125 AMP COBRE 3 FASES</v>
      </c>
      <c r="B161" s="41" t="s">
        <v>215</v>
      </c>
      <c r="C161" s="41" t="s">
        <v>216</v>
      </c>
      <c r="D161" s="42">
        <v>90</v>
      </c>
      <c r="E161" s="43">
        <v>29799.21</v>
      </c>
      <c r="F161" s="43">
        <v>1480.08</v>
      </c>
      <c r="G161" s="126">
        <f t="shared" si="37"/>
        <v>31279.29</v>
      </c>
      <c r="H161" s="127">
        <f t="shared" si="38"/>
        <v>2681928.9</v>
      </c>
      <c r="I161" s="128">
        <f t="shared" si="39"/>
        <v>133207.19999999998</v>
      </c>
      <c r="J161" s="128">
        <f t="shared" si="40"/>
        <v>2815136.1</v>
      </c>
      <c r="K161" s="44">
        <f t="shared" si="41"/>
        <v>1.7961240773179937E-3</v>
      </c>
      <c r="L161" s="45">
        <f t="shared" si="42"/>
        <v>8927.0161080483485</v>
      </c>
      <c r="M161" s="45">
        <f t="shared" si="43"/>
        <v>9712.8967725775274</v>
      </c>
      <c r="N161" s="45">
        <f t="shared" si="44"/>
        <v>49919.202880625875</v>
      </c>
      <c r="O161" s="46">
        <f t="shared" si="45"/>
        <v>4492728.2592563285</v>
      </c>
      <c r="P161" s="47">
        <f>Q161/D161</f>
        <v>77146.397111111117</v>
      </c>
      <c r="Q161" s="42">
        <v>6943175.7400000002</v>
      </c>
      <c r="R161" s="48">
        <f t="shared" si="33"/>
        <v>0.64707108497534993</v>
      </c>
      <c r="S161" s="49"/>
      <c r="T161" s="157">
        <f>IFERROR(VLOOKUP(B161,[1]Todos!$A$2:$C$3021,3,FALSE),0)</f>
        <v>1504.23</v>
      </c>
      <c r="U161" s="112">
        <f t="shared" si="35"/>
        <v>24.150000000000091</v>
      </c>
      <c r="W161" s="157">
        <f>IFERROR(VLOOKUP(B161,[1]Todos!$A$2:$B$3021,2,FALSE),0)</f>
        <v>29799.21</v>
      </c>
      <c r="X161" s="112">
        <f t="shared" si="34"/>
        <v>0</v>
      </c>
    </row>
    <row r="162" spans="1:24" hidden="1" outlineLevel="2" x14ac:dyDescent="0.3">
      <c r="A162" s="40" t="str">
        <f>VLOOKUP(B162,Grupos!$A$2:$B$619,2,FALSE)</f>
        <v>TABLEROS 125 AMP COBRE 3 FASES</v>
      </c>
      <c r="B162" s="41" t="s">
        <v>217</v>
      </c>
      <c r="C162" s="41" t="s">
        <v>218</v>
      </c>
      <c r="D162" s="42">
        <v>30</v>
      </c>
      <c r="E162" s="43">
        <v>29765.91</v>
      </c>
      <c r="F162" s="43">
        <v>1470.5</v>
      </c>
      <c r="G162" s="126">
        <f t="shared" si="37"/>
        <v>31236.41</v>
      </c>
      <c r="H162" s="127">
        <f t="shared" si="38"/>
        <v>892977.3</v>
      </c>
      <c r="I162" s="128">
        <f t="shared" si="39"/>
        <v>44115</v>
      </c>
      <c r="J162" s="128">
        <f t="shared" si="40"/>
        <v>937092.3</v>
      </c>
      <c r="K162" s="44">
        <f t="shared" si="41"/>
        <v>5.9788727184426234E-4</v>
      </c>
      <c r="L162" s="45">
        <f t="shared" si="42"/>
        <v>8914.7782838933526</v>
      </c>
      <c r="M162" s="45">
        <f t="shared" si="43"/>
        <v>9650.0288525453052</v>
      </c>
      <c r="N162" s="45">
        <f t="shared" si="44"/>
        <v>49801.21713643866</v>
      </c>
      <c r="O162" s="46">
        <f t="shared" si="45"/>
        <v>1494036.5140931597</v>
      </c>
      <c r="P162" s="47">
        <f>Q162/D162</f>
        <v>77941.00499999999</v>
      </c>
      <c r="Q162" s="42">
        <v>2338230.15</v>
      </c>
      <c r="R162" s="152">
        <f t="shared" si="33"/>
        <v>0.63896041802949111</v>
      </c>
      <c r="S162" s="49"/>
      <c r="T162" s="157">
        <f>IFERROR(VLOOKUP(B162,[1]Todos!$A$2:$C$3021,3,FALSE),0)</f>
        <v>1465.03</v>
      </c>
      <c r="U162" s="112">
        <f t="shared" si="35"/>
        <v>-5.4700000000000273</v>
      </c>
      <c r="W162" s="157">
        <f>IFERROR(VLOOKUP(B162,[1]Todos!$A$2:$B$3021,2,FALSE),0)</f>
        <v>29765.91</v>
      </c>
      <c r="X162" s="112">
        <f t="shared" si="34"/>
        <v>0</v>
      </c>
    </row>
    <row r="163" spans="1:24" hidden="1" outlineLevel="2" x14ac:dyDescent="0.3">
      <c r="A163" s="40" t="str">
        <f>VLOOKUP(B163,Grupos!$A$2:$B$619,2,FALSE)</f>
        <v>TABLEROS 125 AMP COBRE 3 FASES</v>
      </c>
      <c r="B163" s="41" t="s">
        <v>219</v>
      </c>
      <c r="C163" s="41" t="s">
        <v>220</v>
      </c>
      <c r="D163" s="42">
        <v>90</v>
      </c>
      <c r="E163" s="43">
        <v>40812.980000000003</v>
      </c>
      <c r="F163" s="43">
        <v>1979.33</v>
      </c>
      <c r="G163" s="126">
        <f t="shared" si="37"/>
        <v>42792.310000000005</v>
      </c>
      <c r="H163" s="127">
        <f t="shared" si="38"/>
        <v>3673168.2</v>
      </c>
      <c r="I163" s="128">
        <f t="shared" si="39"/>
        <v>178139.69999999998</v>
      </c>
      <c r="J163" s="128">
        <f t="shared" si="40"/>
        <v>3851307.9000000004</v>
      </c>
      <c r="K163" s="44">
        <f t="shared" si="41"/>
        <v>2.4572264368870125E-3</v>
      </c>
      <c r="L163" s="45">
        <f t="shared" si="42"/>
        <v>12212.797690439855</v>
      </c>
      <c r="M163" s="45">
        <f t="shared" si="43"/>
        <v>12989.181644820466</v>
      </c>
      <c r="N163" s="45">
        <f t="shared" si="44"/>
        <v>67994.289335260328</v>
      </c>
      <c r="O163" s="46">
        <f t="shared" si="45"/>
        <v>6119486.0401734291</v>
      </c>
      <c r="P163" s="47">
        <f>Q163/D163</f>
        <v>109922.39688888889</v>
      </c>
      <c r="Q163" s="42">
        <v>9893015.7200000007</v>
      </c>
      <c r="R163" s="48">
        <f t="shared" si="33"/>
        <v>0.61856629094423687</v>
      </c>
      <c r="S163" s="49"/>
      <c r="T163" s="157">
        <f>IFERROR(VLOOKUP(B163,[1]Todos!$A$2:$C$3021,3,FALSE),0)</f>
        <v>1915.8</v>
      </c>
      <c r="U163" s="112">
        <f t="shared" si="35"/>
        <v>-63.529999999999973</v>
      </c>
      <c r="W163" s="157">
        <f>IFERROR(VLOOKUP(B163,[1]Todos!$A$2:$B$3021,2,FALSE),0)</f>
        <v>40812.980000000003</v>
      </c>
      <c r="X163" s="112">
        <f t="shared" si="34"/>
        <v>0</v>
      </c>
    </row>
    <row r="164" spans="1:24" hidden="1" outlineLevel="2" x14ac:dyDescent="0.3">
      <c r="A164" s="40" t="str">
        <f>VLOOKUP(B164,Grupos!$A$2:$B$619,2,FALSE)</f>
        <v>TABLEROS 125 AMP COBRE 3 FASES</v>
      </c>
      <c r="B164" s="41" t="s">
        <v>221</v>
      </c>
      <c r="C164" s="41" t="s">
        <v>222</v>
      </c>
      <c r="D164" s="42">
        <v>240</v>
      </c>
      <c r="E164" s="43">
        <v>40772.43</v>
      </c>
      <c r="F164" s="43">
        <v>1759.01</v>
      </c>
      <c r="G164" s="126">
        <f t="shared" si="37"/>
        <v>42531.44</v>
      </c>
      <c r="H164" s="127">
        <f t="shared" si="38"/>
        <v>9785383.1999999993</v>
      </c>
      <c r="I164" s="128">
        <f t="shared" si="39"/>
        <v>422162.4</v>
      </c>
      <c r="J164" s="128">
        <f t="shared" si="40"/>
        <v>10207545.600000001</v>
      </c>
      <c r="K164" s="44">
        <f t="shared" si="41"/>
        <v>6.5126579217542439E-3</v>
      </c>
      <c r="L164" s="45">
        <f t="shared" si="42"/>
        <v>12138.346170213323</v>
      </c>
      <c r="M164" s="45">
        <f t="shared" si="43"/>
        <v>11543.350732346627</v>
      </c>
      <c r="N164" s="45">
        <f t="shared" si="44"/>
        <v>66213.136902559956</v>
      </c>
      <c r="O164" s="46">
        <f t="shared" si="45"/>
        <v>15891152.856614389</v>
      </c>
      <c r="P164" s="47">
        <f>Q164/D164</f>
        <v>108039.74791666666</v>
      </c>
      <c r="Q164" s="42">
        <v>25929539.5</v>
      </c>
      <c r="R164" s="48">
        <f t="shared" si="33"/>
        <v>0.6128590465948841</v>
      </c>
      <c r="S164" s="49"/>
      <c r="T164" s="157">
        <f>IFERROR(VLOOKUP(B164,[1]Todos!$A$2:$C$3021,3,FALSE),0)</f>
        <v>1719.23</v>
      </c>
      <c r="U164" s="112">
        <f t="shared" si="35"/>
        <v>-39.779999999999973</v>
      </c>
      <c r="W164" s="157">
        <f>IFERROR(VLOOKUP(B164,[1]Todos!$A$2:$B$3021,2,FALSE),0)</f>
        <v>40772.43</v>
      </c>
      <c r="X164" s="112">
        <f t="shared" si="34"/>
        <v>0</v>
      </c>
    </row>
    <row r="165" spans="1:24" hidden="1" outlineLevel="2" x14ac:dyDescent="0.3">
      <c r="A165" s="40" t="str">
        <f>VLOOKUP(B165,Grupos!$A$2:$B$619,2,FALSE)</f>
        <v>TABLEROS 125 AMP COBRE 3 FASES</v>
      </c>
      <c r="B165" s="41" t="s">
        <v>223</v>
      </c>
      <c r="C165" s="41" t="s">
        <v>224</v>
      </c>
      <c r="D165" s="42">
        <v>90</v>
      </c>
      <c r="E165" s="43">
        <v>55138.91</v>
      </c>
      <c r="F165" s="43">
        <v>2175.4499999999998</v>
      </c>
      <c r="G165" s="126">
        <f t="shared" si="37"/>
        <v>57314.36</v>
      </c>
      <c r="H165" s="127">
        <f t="shared" si="38"/>
        <v>4962501.9000000004</v>
      </c>
      <c r="I165" s="128">
        <f t="shared" si="39"/>
        <v>195790.49999999997</v>
      </c>
      <c r="J165" s="128">
        <f t="shared" si="40"/>
        <v>5158292.4000000004</v>
      </c>
      <c r="K165" s="44">
        <f t="shared" si="41"/>
        <v>3.2911137679938174E-3</v>
      </c>
      <c r="L165" s="45">
        <f t="shared" si="42"/>
        <v>16357.347463528808</v>
      </c>
      <c r="M165" s="45">
        <f t="shared" si="43"/>
        <v>14276.202153872615</v>
      </c>
      <c r="N165" s="45">
        <f t="shared" si="44"/>
        <v>87947.909617401427</v>
      </c>
      <c r="O165" s="46">
        <f t="shared" si="45"/>
        <v>7915311.8655661289</v>
      </c>
      <c r="P165" s="47">
        <f>Q165/D165</f>
        <v>150011.36111111112</v>
      </c>
      <c r="Q165" s="42">
        <v>13501022.5</v>
      </c>
      <c r="R165" s="48">
        <f t="shared" si="33"/>
        <v>0.58627499254712956</v>
      </c>
      <c r="S165" s="49"/>
      <c r="T165" s="157">
        <f>IFERROR(VLOOKUP(B165,[1]Todos!$A$2:$C$3021,3,FALSE),0)</f>
        <v>2162.14</v>
      </c>
      <c r="U165" s="112">
        <f t="shared" si="35"/>
        <v>-13.309999999999945</v>
      </c>
      <c r="W165" s="157">
        <f>IFERROR(VLOOKUP(B165,[1]Todos!$A$2:$B$3021,2,FALSE),0)</f>
        <v>55138.91</v>
      </c>
      <c r="X165" s="112">
        <f t="shared" si="34"/>
        <v>0</v>
      </c>
    </row>
    <row r="166" spans="1:24" s="93" customFormat="1" outlineLevel="1" collapsed="1" x14ac:dyDescent="0.3">
      <c r="A166" s="50" t="s">
        <v>1033</v>
      </c>
      <c r="B166" s="129"/>
      <c r="C166" s="129"/>
      <c r="D166" s="51">
        <f>SUBTOTAL(9,D161:D165)</f>
        <v>540</v>
      </c>
      <c r="E166" s="52"/>
      <c r="F166" s="52"/>
      <c r="G166" s="130"/>
      <c r="H166" s="131">
        <f>SUBTOTAL(9,H161:H165)</f>
        <v>21995959.5</v>
      </c>
      <c r="I166" s="146">
        <f>SUBTOTAL(9,I161:I165)</f>
        <v>973414.8</v>
      </c>
      <c r="J166" s="146">
        <f>SUBTOTAL(9,J161:J165)</f>
        <v>22969374.300000004</v>
      </c>
      <c r="K166" s="53"/>
      <c r="L166" s="54"/>
      <c r="M166" s="54"/>
      <c r="N166" s="54"/>
      <c r="O166" s="55">
        <f>SUBTOTAL(9,O161:O165)</f>
        <v>35912715.535703436</v>
      </c>
      <c r="P166" s="56"/>
      <c r="Q166" s="51">
        <f>SUBTOTAL(9,Q161:Q165)</f>
        <v>58604983.609999999</v>
      </c>
      <c r="R166" s="164">
        <f t="shared" si="33"/>
        <v>0.61279286032554248</v>
      </c>
      <c r="S166" s="58">
        <f>Q166/$Q$303</f>
        <v>1.4640303748482172E-2</v>
      </c>
      <c r="T166" s="157">
        <f>IFERROR(VLOOKUP(B166,[1]Todos!$A$2:$C$3021,3,FALSE),0)</f>
        <v>0</v>
      </c>
      <c r="U166" s="112">
        <f t="shared" si="35"/>
        <v>0</v>
      </c>
      <c r="W166" s="157">
        <f>IFERROR(VLOOKUP(B166,[1]Todos!$A$2:$B$3021,2,FALSE),0)</f>
        <v>0</v>
      </c>
      <c r="X166" s="112">
        <f t="shared" si="34"/>
        <v>0</v>
      </c>
    </row>
    <row r="167" spans="1:24" hidden="1" outlineLevel="2" x14ac:dyDescent="0.3">
      <c r="A167" s="40" t="str">
        <f>VLOOKUP(B167,Grupos!$A$2:$B$619,2,FALSE)</f>
        <v>TABLEROS 175 AMP BIMETALICO</v>
      </c>
      <c r="B167" s="41" t="s">
        <v>225</v>
      </c>
      <c r="C167" s="41" t="s">
        <v>226</v>
      </c>
      <c r="D167" s="42">
        <v>63</v>
      </c>
      <c r="E167" s="43">
        <v>40891.46</v>
      </c>
      <c r="F167" s="192">
        <v>6319.71</v>
      </c>
      <c r="G167" s="126">
        <f t="shared" si="37"/>
        <v>47211.17</v>
      </c>
      <c r="H167" s="127">
        <f t="shared" si="38"/>
        <v>2576161.98</v>
      </c>
      <c r="I167" s="128">
        <f t="shared" si="39"/>
        <v>398141.73</v>
      </c>
      <c r="J167" s="128">
        <f t="shared" si="40"/>
        <v>2974303.71</v>
      </c>
      <c r="K167" s="44">
        <f t="shared" si="41"/>
        <v>1.8976768145551595E-3</v>
      </c>
      <c r="L167" s="45">
        <f t="shared" si="42"/>
        <v>13473.92715978556</v>
      </c>
      <c r="M167" s="45">
        <f t="shared" si="43"/>
        <v>41472.549363970815</v>
      </c>
      <c r="N167" s="45">
        <f t="shared" si="44"/>
        <v>102157.64652375638</v>
      </c>
      <c r="O167" s="46">
        <f t="shared" si="45"/>
        <v>6435931.7309966525</v>
      </c>
      <c r="P167" s="47">
        <f t="shared" ref="P167:P177" si="47">Q167/D167</f>
        <v>120643.55142857143</v>
      </c>
      <c r="Q167" s="42">
        <v>7600543.7400000002</v>
      </c>
      <c r="R167" s="48">
        <f t="shared" si="33"/>
        <v>0.84677254038099281</v>
      </c>
      <c r="S167" s="49"/>
      <c r="T167" s="157">
        <f>IFERROR(VLOOKUP(B167,[1]Todos!$A$2:$C$3021,3,FALSE),0)</f>
        <v>6319.71</v>
      </c>
      <c r="U167" s="112">
        <f t="shared" si="35"/>
        <v>0</v>
      </c>
      <c r="W167" s="157">
        <f>IFERROR(VLOOKUP(B167,[1]Todos!$A$2:$B$3021,2,FALSE),0)</f>
        <v>40891.46</v>
      </c>
      <c r="X167" s="112">
        <f t="shared" si="34"/>
        <v>0</v>
      </c>
    </row>
    <row r="168" spans="1:24" hidden="1" outlineLevel="2" x14ac:dyDescent="0.3">
      <c r="A168" s="40" t="str">
        <f>VLOOKUP(B168,Grupos!$A$2:$B$619,2,FALSE)</f>
        <v>TABLEROS 175 AMP BIMETALICO</v>
      </c>
      <c r="B168" s="41" t="s">
        <v>227</v>
      </c>
      <c r="C168" s="41" t="s">
        <v>228</v>
      </c>
      <c r="D168" s="42">
        <v>150</v>
      </c>
      <c r="E168" s="43">
        <v>54850.44</v>
      </c>
      <c r="F168" s="192">
        <v>7019.5</v>
      </c>
      <c r="G168" s="126">
        <f t="shared" si="37"/>
        <v>61869.94</v>
      </c>
      <c r="H168" s="127">
        <f t="shared" si="38"/>
        <v>8227566</v>
      </c>
      <c r="I168" s="128">
        <f t="shared" si="39"/>
        <v>1052925</v>
      </c>
      <c r="J168" s="128">
        <f t="shared" si="40"/>
        <v>9280491</v>
      </c>
      <c r="K168" s="44">
        <f t="shared" si="41"/>
        <v>5.9211749422818111E-3</v>
      </c>
      <c r="L168" s="45">
        <f t="shared" si="42"/>
        <v>17657.496413249301</v>
      </c>
      <c r="M168" s="45">
        <f t="shared" si="43"/>
        <v>46064.860612337143</v>
      </c>
      <c r="N168" s="45">
        <f t="shared" si="44"/>
        <v>125592.29702558645</v>
      </c>
      <c r="O168" s="46">
        <f t="shared" si="45"/>
        <v>18838844.553837966</v>
      </c>
      <c r="P168" s="47">
        <f t="shared" si="47"/>
        <v>196833.94006666669</v>
      </c>
      <c r="Q168" s="42">
        <v>29525091.010000002</v>
      </c>
      <c r="R168" s="48">
        <f t="shared" si="33"/>
        <v>0.63806220097534472</v>
      </c>
      <c r="S168" s="49"/>
      <c r="T168" s="157">
        <f>IFERROR(VLOOKUP(B168,[1]Todos!$A$2:$C$3021,3,FALSE),0)</f>
        <v>7019.5</v>
      </c>
      <c r="U168" s="112">
        <f t="shared" si="35"/>
        <v>0</v>
      </c>
      <c r="W168" s="157">
        <f>IFERROR(VLOOKUP(B168,[1]Todos!$A$2:$B$3021,2,FALSE),0)</f>
        <v>54850.44</v>
      </c>
      <c r="X168" s="112">
        <f t="shared" si="34"/>
        <v>0</v>
      </c>
    </row>
    <row r="169" spans="1:24" hidden="1" outlineLevel="2" x14ac:dyDescent="0.3">
      <c r="A169" s="40" t="str">
        <f>VLOOKUP(B169,Grupos!$A$2:$B$619,2,FALSE)</f>
        <v>TABLEROS 175 AMP BIMETALICO</v>
      </c>
      <c r="B169" s="41" t="s">
        <v>229</v>
      </c>
      <c r="C169" s="41" t="s">
        <v>230</v>
      </c>
      <c r="D169" s="42">
        <v>59</v>
      </c>
      <c r="E169" s="43">
        <v>49897.08</v>
      </c>
      <c r="F169" s="192">
        <v>6824.13</v>
      </c>
      <c r="G169" s="126">
        <f t="shared" si="37"/>
        <v>56721.21</v>
      </c>
      <c r="H169" s="127">
        <f t="shared" si="38"/>
        <v>2943927.72</v>
      </c>
      <c r="I169" s="128">
        <f t="shared" si="39"/>
        <v>402623.67</v>
      </c>
      <c r="J169" s="128">
        <f t="shared" si="40"/>
        <v>3346551.39</v>
      </c>
      <c r="K169" s="44">
        <f t="shared" si="41"/>
        <v>2.1351797263233557E-3</v>
      </c>
      <c r="L169" s="45">
        <f t="shared" si="42"/>
        <v>16188.064221981796</v>
      </c>
      <c r="M169" s="45">
        <f t="shared" si="43"/>
        <v>44782.761913308394</v>
      </c>
      <c r="N169" s="45">
        <f t="shared" si="44"/>
        <v>117692.03613529018</v>
      </c>
      <c r="O169" s="46">
        <f t="shared" si="45"/>
        <v>6943830.1319821207</v>
      </c>
      <c r="P169" s="47">
        <f t="shared" si="47"/>
        <v>150078.03440677965</v>
      </c>
      <c r="Q169" s="42">
        <v>8854604.0299999993</v>
      </c>
      <c r="R169" s="48">
        <f t="shared" si="33"/>
        <v>0.7842056074394691</v>
      </c>
      <c r="S169" s="49"/>
      <c r="T169" s="157">
        <f>IFERROR(VLOOKUP(B169,[1]Todos!$A$2:$C$3021,3,FALSE),0)</f>
        <v>6824.13</v>
      </c>
      <c r="U169" s="112">
        <f t="shared" si="35"/>
        <v>0</v>
      </c>
      <c r="W169" s="157">
        <f>IFERROR(VLOOKUP(B169,[1]Todos!$A$2:$B$3021,2,FALSE),0)</f>
        <v>49897.08</v>
      </c>
      <c r="X169" s="112">
        <f t="shared" si="34"/>
        <v>0</v>
      </c>
    </row>
    <row r="170" spans="1:24" hidden="1" outlineLevel="2" x14ac:dyDescent="0.3">
      <c r="A170" s="40" t="str">
        <f>VLOOKUP(B170,Grupos!$A$2:$B$619,2,FALSE)</f>
        <v>TABLEROS 175 AMP BIMETALICO</v>
      </c>
      <c r="B170" s="41" t="s">
        <v>231</v>
      </c>
      <c r="C170" s="41" t="s">
        <v>232</v>
      </c>
      <c r="D170" s="42">
        <v>54</v>
      </c>
      <c r="E170" s="43">
        <v>64153.43</v>
      </c>
      <c r="F170" s="192">
        <v>7523.99</v>
      </c>
      <c r="G170" s="126">
        <f t="shared" si="37"/>
        <v>71677.42</v>
      </c>
      <c r="H170" s="127">
        <f t="shared" si="38"/>
        <v>3464285.22</v>
      </c>
      <c r="I170" s="128">
        <f t="shared" si="39"/>
        <v>406295.45999999996</v>
      </c>
      <c r="J170" s="128">
        <f t="shared" si="40"/>
        <v>3870580.6799999997</v>
      </c>
      <c r="K170" s="44">
        <f t="shared" si="41"/>
        <v>2.4695229308983858E-3</v>
      </c>
      <c r="L170" s="45">
        <f t="shared" si="42"/>
        <v>20456.521964640076</v>
      </c>
      <c r="M170" s="45">
        <f t="shared" si="43"/>
        <v>49375.532530610231</v>
      </c>
      <c r="N170" s="45">
        <f t="shared" si="44"/>
        <v>141509.47449525032</v>
      </c>
      <c r="O170" s="46">
        <f t="shared" si="45"/>
        <v>7641511.6227435172</v>
      </c>
      <c r="P170" s="47">
        <f t="shared" si="47"/>
        <v>242312.75759259259</v>
      </c>
      <c r="Q170" s="42">
        <v>13084888.91</v>
      </c>
      <c r="R170" s="48">
        <f t="shared" si="33"/>
        <v>0.58399514702058841</v>
      </c>
      <c r="S170" s="49"/>
      <c r="T170" s="157">
        <f>IFERROR(VLOOKUP(B170,[1]Todos!$A$2:$C$3021,3,FALSE),0)</f>
        <v>7523.99</v>
      </c>
      <c r="U170" s="112">
        <f t="shared" si="35"/>
        <v>0</v>
      </c>
      <c r="W170" s="157">
        <f>IFERROR(VLOOKUP(B170,[1]Todos!$A$2:$B$3021,2,FALSE),0)</f>
        <v>64153.43</v>
      </c>
      <c r="X170" s="112">
        <f t="shared" si="34"/>
        <v>0</v>
      </c>
    </row>
    <row r="171" spans="1:24" hidden="1" outlineLevel="2" x14ac:dyDescent="0.3">
      <c r="A171" s="40" t="str">
        <f>VLOOKUP(B171,Grupos!$A$2:$B$619,2,FALSE)</f>
        <v>TABLEROS 175 AMP BIMETALICO</v>
      </c>
      <c r="B171" s="41" t="s">
        <v>233</v>
      </c>
      <c r="C171" s="41" t="s">
        <v>234</v>
      </c>
      <c r="D171" s="42">
        <v>97</v>
      </c>
      <c r="E171" s="43">
        <v>58255.02</v>
      </c>
      <c r="F171" s="192">
        <v>6733.26</v>
      </c>
      <c r="G171" s="126">
        <f t="shared" si="37"/>
        <v>64988.28</v>
      </c>
      <c r="H171" s="127">
        <f t="shared" si="38"/>
        <v>5650736.9399999995</v>
      </c>
      <c r="I171" s="128">
        <f t="shared" si="39"/>
        <v>653126.22</v>
      </c>
      <c r="J171" s="128">
        <f t="shared" si="40"/>
        <v>6303863.1600000001</v>
      </c>
      <c r="K171" s="44">
        <f t="shared" si="41"/>
        <v>4.0220152772698602E-3</v>
      </c>
      <c r="L171" s="45">
        <f t="shared" si="42"/>
        <v>18547.46135204336</v>
      </c>
      <c r="M171" s="45">
        <f t="shared" si="43"/>
        <v>44186.43541087331</v>
      </c>
      <c r="N171" s="45">
        <f t="shared" si="44"/>
        <v>127722.17676291667</v>
      </c>
      <c r="O171" s="46">
        <f t="shared" si="45"/>
        <v>12389051.146002917</v>
      </c>
      <c r="P171" s="47">
        <f t="shared" si="47"/>
        <v>180705.61030927833</v>
      </c>
      <c r="Q171" s="42">
        <v>17528444.199999999</v>
      </c>
      <c r="R171" s="48">
        <f t="shared" si="33"/>
        <v>0.70679696410266213</v>
      </c>
      <c r="S171" s="49"/>
      <c r="T171" s="157">
        <f>IFERROR(VLOOKUP(B171,[1]Todos!$A$2:$C$3021,3,FALSE),0)</f>
        <v>6733.26</v>
      </c>
      <c r="U171" s="112">
        <f t="shared" si="35"/>
        <v>0</v>
      </c>
      <c r="W171" s="157">
        <f>IFERROR(VLOOKUP(B171,[1]Todos!$A$2:$B$3021,2,FALSE),0)</f>
        <v>58255.02</v>
      </c>
      <c r="X171" s="112">
        <f t="shared" si="34"/>
        <v>0</v>
      </c>
    </row>
    <row r="172" spans="1:24" hidden="1" outlineLevel="2" x14ac:dyDescent="0.3">
      <c r="A172" s="40" t="str">
        <f>VLOOKUP(B172,Grupos!$A$2:$B$619,2,FALSE)</f>
        <v>TABLEROS 175 AMP BIMETALICO</v>
      </c>
      <c r="B172" s="41" t="s">
        <v>235</v>
      </c>
      <c r="C172" s="41" t="s">
        <v>236</v>
      </c>
      <c r="D172" s="42">
        <v>79</v>
      </c>
      <c r="E172" s="43">
        <v>63662.01</v>
      </c>
      <c r="F172" s="192">
        <v>7772.76</v>
      </c>
      <c r="G172" s="126">
        <f t="shared" si="37"/>
        <v>71434.77</v>
      </c>
      <c r="H172" s="127">
        <f t="shared" si="38"/>
        <v>5029298.79</v>
      </c>
      <c r="I172" s="128">
        <f t="shared" si="39"/>
        <v>614048.04</v>
      </c>
      <c r="J172" s="128">
        <f t="shared" si="40"/>
        <v>5643346.8300000001</v>
      </c>
      <c r="K172" s="44">
        <f t="shared" si="41"/>
        <v>3.6005900808913551E-3</v>
      </c>
      <c r="L172" s="45">
        <f t="shared" si="42"/>
        <v>20387.270378091347</v>
      </c>
      <c r="M172" s="45">
        <f t="shared" si="43"/>
        <v>51008.064103305027</v>
      </c>
      <c r="N172" s="45">
        <f t="shared" si="44"/>
        <v>142830.10448139638</v>
      </c>
      <c r="O172" s="46">
        <f t="shared" si="45"/>
        <v>11283578.254030313</v>
      </c>
      <c r="P172" s="47">
        <f t="shared" si="47"/>
        <v>278450.29265822785</v>
      </c>
      <c r="Q172" s="42">
        <v>21997573.120000001</v>
      </c>
      <c r="R172" s="48">
        <f t="shared" si="33"/>
        <v>0.51294650516567131</v>
      </c>
      <c r="S172" s="49"/>
      <c r="T172" s="157">
        <f>IFERROR(VLOOKUP(B172,[1]Todos!$A$2:$C$3021,3,FALSE),0)</f>
        <v>7772.76</v>
      </c>
      <c r="U172" s="112">
        <f t="shared" si="35"/>
        <v>0</v>
      </c>
      <c r="W172" s="157">
        <f>IFERROR(VLOOKUP(B172,[1]Todos!$A$2:$B$3021,2,FALSE),0)</f>
        <v>63662.01</v>
      </c>
      <c r="X172" s="112">
        <f t="shared" si="34"/>
        <v>0</v>
      </c>
    </row>
    <row r="173" spans="1:24" hidden="1" outlineLevel="2" x14ac:dyDescent="0.3">
      <c r="A173" s="40" t="str">
        <f>VLOOKUP(B173,Grupos!$A$2:$B$619,2,FALSE)</f>
        <v>TABLEROS 175 AMP BIMETALICO</v>
      </c>
      <c r="B173" s="41" t="s">
        <v>237</v>
      </c>
      <c r="C173" s="41" t="s">
        <v>238</v>
      </c>
      <c r="D173" s="42">
        <v>19</v>
      </c>
      <c r="E173" s="43">
        <v>59420.81</v>
      </c>
      <c r="F173" s="192">
        <v>11113.38</v>
      </c>
      <c r="G173" s="126">
        <f t="shared" si="37"/>
        <v>70534.19</v>
      </c>
      <c r="H173" s="127">
        <f t="shared" si="38"/>
        <v>1128995.3899999999</v>
      </c>
      <c r="I173" s="128">
        <f t="shared" si="39"/>
        <v>211154.21999999997</v>
      </c>
      <c r="J173" s="128">
        <f t="shared" si="40"/>
        <v>1340149.6100000001</v>
      </c>
      <c r="K173" s="44">
        <f t="shared" si="41"/>
        <v>8.5504746350605185E-4</v>
      </c>
      <c r="L173" s="45">
        <f t="shared" si="42"/>
        <v>20130.247531134588</v>
      </c>
      <c r="M173" s="45">
        <f t="shared" si="43"/>
        <v>72930.593437130185</v>
      </c>
      <c r="N173" s="45">
        <f t="shared" si="44"/>
        <v>163595.03096826479</v>
      </c>
      <c r="O173" s="46">
        <f t="shared" si="45"/>
        <v>3108305.5883970312</v>
      </c>
      <c r="P173" s="47">
        <f t="shared" si="47"/>
        <v>171113.68263157897</v>
      </c>
      <c r="Q173" s="42">
        <v>3251159.97</v>
      </c>
      <c r="R173" s="48">
        <f t="shared" si="33"/>
        <v>0.95606048828075074</v>
      </c>
      <c r="S173" s="49"/>
      <c r="T173" s="157">
        <f>IFERROR(VLOOKUP(B173,[1]Todos!$A$2:$C$3021,3,FALSE),0)</f>
        <v>11113.38</v>
      </c>
      <c r="U173" s="112">
        <f t="shared" si="35"/>
        <v>0</v>
      </c>
      <c r="W173" s="157">
        <f>IFERROR(VLOOKUP(B173,[1]Todos!$A$2:$B$3021,2,FALSE),0)</f>
        <v>59420.81</v>
      </c>
      <c r="X173" s="112">
        <f t="shared" si="34"/>
        <v>0</v>
      </c>
    </row>
    <row r="174" spans="1:24" hidden="1" outlineLevel="2" x14ac:dyDescent="0.3">
      <c r="A174" s="40" t="str">
        <f>VLOOKUP(B174,Grupos!$A$2:$B$619,2,FALSE)</f>
        <v>TABLEROS 175 AMP BIMETALICO</v>
      </c>
      <c r="B174" s="41" t="s">
        <v>239</v>
      </c>
      <c r="C174" s="41" t="s">
        <v>240</v>
      </c>
      <c r="D174" s="42">
        <v>11</v>
      </c>
      <c r="E174" s="43">
        <v>74333.16</v>
      </c>
      <c r="F174" s="192">
        <v>11694.84</v>
      </c>
      <c r="G174" s="126">
        <f t="shared" si="37"/>
        <v>86028</v>
      </c>
      <c r="H174" s="127">
        <f t="shared" si="38"/>
        <v>817664.76</v>
      </c>
      <c r="I174" s="128">
        <f t="shared" si="39"/>
        <v>128643.24</v>
      </c>
      <c r="J174" s="128">
        <f t="shared" si="40"/>
        <v>946308</v>
      </c>
      <c r="K174" s="44">
        <f t="shared" si="41"/>
        <v>6.037671085808732E-4</v>
      </c>
      <c r="L174" s="45">
        <f t="shared" si="42"/>
        <v>24552.134710959974</v>
      </c>
      <c r="M174" s="45">
        <f t="shared" si="43"/>
        <v>76746.374312071363</v>
      </c>
      <c r="N174" s="45">
        <f t="shared" si="44"/>
        <v>187326.50902303134</v>
      </c>
      <c r="O174" s="46">
        <f t="shared" si="45"/>
        <v>2060591.5992533448</v>
      </c>
      <c r="P174" s="47">
        <f t="shared" si="47"/>
        <v>347553.00909090909</v>
      </c>
      <c r="Q174" s="42">
        <v>3823083.1</v>
      </c>
      <c r="R174" s="48">
        <f t="shared" si="33"/>
        <v>0.53898687142148305</v>
      </c>
      <c r="S174" s="49"/>
      <c r="T174" s="157">
        <f>IFERROR(VLOOKUP(B174,[1]Todos!$A$2:$C$3021,3,FALSE),0)</f>
        <v>11694.84</v>
      </c>
      <c r="U174" s="112">
        <f t="shared" si="35"/>
        <v>0</v>
      </c>
      <c r="W174" s="157">
        <f>IFERROR(VLOOKUP(B174,[1]Todos!$A$2:$B$3021,2,FALSE),0)</f>
        <v>74705.16</v>
      </c>
      <c r="X174" s="112">
        <f t="shared" si="34"/>
        <v>372</v>
      </c>
    </row>
    <row r="175" spans="1:24" hidden="1" outlineLevel="2" x14ac:dyDescent="0.3">
      <c r="A175" s="40" t="str">
        <f>VLOOKUP(B175,Grupos!$A$2:$B$619,2,FALSE)</f>
        <v>TABLEROS 175 AMP BIMETALICO</v>
      </c>
      <c r="B175" s="41" t="s">
        <v>241</v>
      </c>
      <c r="C175" s="41" t="s">
        <v>242</v>
      </c>
      <c r="D175" s="42">
        <v>29</v>
      </c>
      <c r="E175" s="43">
        <v>76519.41</v>
      </c>
      <c r="F175" s="192">
        <v>7722.66</v>
      </c>
      <c r="G175" s="126">
        <f t="shared" si="37"/>
        <v>84242.07</v>
      </c>
      <c r="H175" s="127">
        <f t="shared" si="38"/>
        <v>2219062.89</v>
      </c>
      <c r="I175" s="128">
        <f t="shared" si="39"/>
        <v>223957.13999999998</v>
      </c>
      <c r="J175" s="128">
        <f t="shared" si="40"/>
        <v>2443020.0300000003</v>
      </c>
      <c r="K175" s="44">
        <f t="shared" si="41"/>
        <v>1.5587051358735826E-3</v>
      </c>
      <c r="L175" s="45">
        <f t="shared" si="42"/>
        <v>24042.435613638816</v>
      </c>
      <c r="M175" s="45">
        <f t="shared" si="43"/>
        <v>50679.28719374194</v>
      </c>
      <c r="N175" s="45">
        <f t="shared" si="44"/>
        <v>158963.79280738076</v>
      </c>
      <c r="O175" s="46">
        <f t="shared" si="45"/>
        <v>4609949.9914140422</v>
      </c>
      <c r="P175" s="47">
        <f t="shared" si="47"/>
        <v>258067.97793103449</v>
      </c>
      <c r="Q175" s="42">
        <v>7483971.3600000003</v>
      </c>
      <c r="R175" s="48">
        <f t="shared" si="33"/>
        <v>0.61597643412334513</v>
      </c>
      <c r="S175" s="49"/>
      <c r="T175" s="157">
        <f>IFERROR(VLOOKUP(B175,[1]Todos!$A$2:$C$3021,3,FALSE),0)</f>
        <v>7722.66</v>
      </c>
      <c r="U175" s="112">
        <f t="shared" si="35"/>
        <v>0</v>
      </c>
      <c r="W175" s="157">
        <f>IFERROR(VLOOKUP(B175,[1]Todos!$A$2:$B$3021,2,FALSE),0)</f>
        <v>76519.41</v>
      </c>
      <c r="X175" s="112">
        <f t="shared" si="34"/>
        <v>0</v>
      </c>
    </row>
    <row r="176" spans="1:24" hidden="1" outlineLevel="2" x14ac:dyDescent="0.3">
      <c r="A176" s="40" t="str">
        <f>VLOOKUP(B176,Grupos!$A$2:$B$619,2,FALSE)</f>
        <v>TABLEROS 175 AMP BIMETALICO</v>
      </c>
      <c r="B176" s="41" t="s">
        <v>243</v>
      </c>
      <c r="C176" s="41" t="s">
        <v>244</v>
      </c>
      <c r="D176" s="42">
        <v>45</v>
      </c>
      <c r="E176" s="43">
        <v>91203.06</v>
      </c>
      <c r="F176" s="192">
        <v>8673.58</v>
      </c>
      <c r="G176" s="126">
        <f t="shared" si="37"/>
        <v>99876.64</v>
      </c>
      <c r="H176" s="127">
        <f t="shared" si="38"/>
        <v>4104137.6999999997</v>
      </c>
      <c r="I176" s="128">
        <f t="shared" si="39"/>
        <v>390311.1</v>
      </c>
      <c r="J176" s="128">
        <f t="shared" si="40"/>
        <v>4494448.8</v>
      </c>
      <c r="K176" s="44">
        <f t="shared" si="41"/>
        <v>2.8675656938763859E-3</v>
      </c>
      <c r="L176" s="45">
        <f t="shared" si="42"/>
        <v>28504.495277793896</v>
      </c>
      <c r="M176" s="45">
        <f t="shared" si="43"/>
        <v>56919.617310343354</v>
      </c>
      <c r="N176" s="45">
        <f t="shared" si="44"/>
        <v>185300.75258813723</v>
      </c>
      <c r="O176" s="46">
        <f t="shared" si="45"/>
        <v>8338533.8664661748</v>
      </c>
      <c r="P176" s="47">
        <f t="shared" si="47"/>
        <v>371906.35822222219</v>
      </c>
      <c r="Q176" s="42">
        <v>16735786.119999999</v>
      </c>
      <c r="R176" s="48">
        <f t="shared" si="33"/>
        <v>0.49824572366524572</v>
      </c>
      <c r="S176" s="49"/>
      <c r="T176" s="157">
        <f>IFERROR(VLOOKUP(B176,[1]Todos!$A$2:$C$3021,3,FALSE),0)</f>
        <v>8673.58</v>
      </c>
      <c r="U176" s="112">
        <f t="shared" si="35"/>
        <v>0</v>
      </c>
      <c r="W176" s="157">
        <f>IFERROR(VLOOKUP(B176,[1]Todos!$A$2:$B$3021,2,FALSE),0)</f>
        <v>91575.06</v>
      </c>
      <c r="X176" s="112">
        <f t="shared" si="34"/>
        <v>372</v>
      </c>
    </row>
    <row r="177" spans="1:24" hidden="1" outlineLevel="2" x14ac:dyDescent="0.3">
      <c r="A177" s="40" t="str">
        <f>VLOOKUP(B177,Grupos!$A$2:$B$619,2,FALSE)</f>
        <v>TABLEROS 175 AMP BIMETALICO</v>
      </c>
      <c r="B177" s="41" t="s">
        <v>647</v>
      </c>
      <c r="C177" s="41" t="s">
        <v>648</v>
      </c>
      <c r="D177" s="42">
        <v>6</v>
      </c>
      <c r="E177" s="43">
        <v>65667.759999999995</v>
      </c>
      <c r="F177" s="192">
        <v>6260.94</v>
      </c>
      <c r="G177" s="126">
        <f t="shared" si="37"/>
        <v>71928.7</v>
      </c>
      <c r="H177" s="127">
        <f t="shared" si="38"/>
        <v>394006.55999999994</v>
      </c>
      <c r="I177" s="128">
        <f t="shared" si="39"/>
        <v>37565.64</v>
      </c>
      <c r="J177" s="128">
        <f t="shared" si="40"/>
        <v>431572.19999999995</v>
      </c>
      <c r="K177" s="44">
        <f t="shared" si="41"/>
        <v>2.7535337262063334E-4</v>
      </c>
      <c r="L177" s="45">
        <f t="shared" si="42"/>
        <v>20528.236527458812</v>
      </c>
      <c r="M177" s="45">
        <f t="shared" si="43"/>
        <v>41086.876330537227</v>
      </c>
      <c r="N177" s="45">
        <f t="shared" si="44"/>
        <v>133543.81285799603</v>
      </c>
      <c r="O177" s="46">
        <f t="shared" si="45"/>
        <v>801262.87714797619</v>
      </c>
      <c r="P177" s="47">
        <f t="shared" si="47"/>
        <v>335276.32500000001</v>
      </c>
      <c r="Q177" s="42">
        <v>2011657.95</v>
      </c>
      <c r="R177" s="48">
        <f t="shared" si="33"/>
        <v>0.39830970128295229</v>
      </c>
      <c r="S177" s="49"/>
      <c r="T177" s="157">
        <f>IFERROR(VLOOKUP(B177,[1]Todos!$A$2:$C$3021,3,FALSE),0)</f>
        <v>6260.94</v>
      </c>
      <c r="U177" s="112">
        <f t="shared" si="35"/>
        <v>0</v>
      </c>
      <c r="W177" s="157">
        <f>IFERROR(VLOOKUP(B177,[1]Todos!$A$2:$B$3021,2,FALSE),0)</f>
        <v>65667.759999999995</v>
      </c>
      <c r="X177" s="112">
        <f t="shared" si="34"/>
        <v>0</v>
      </c>
    </row>
    <row r="178" spans="1:24" s="93" customFormat="1" outlineLevel="1" collapsed="1" x14ac:dyDescent="0.3">
      <c r="A178" s="50" t="s">
        <v>1034</v>
      </c>
      <c r="B178" s="129"/>
      <c r="C178" s="129"/>
      <c r="D178" s="51">
        <f>SUBTOTAL(9,D167:D177)</f>
        <v>612</v>
      </c>
      <c r="E178" s="52"/>
      <c r="F178" s="52"/>
      <c r="G178" s="130"/>
      <c r="H178" s="131">
        <f>SUBTOTAL(9,H167:H177)</f>
        <v>36555843.950000003</v>
      </c>
      <c r="I178" s="146">
        <f>SUBTOTAL(9,I167:I177)</f>
        <v>4518791.46</v>
      </c>
      <c r="J178" s="146">
        <f>SUBTOTAL(9,J167:J177)</f>
        <v>41074635.410000004</v>
      </c>
      <c r="K178" s="53"/>
      <c r="L178" s="54"/>
      <c r="M178" s="54"/>
      <c r="N178" s="54"/>
      <c r="O178" s="55">
        <f>SUBTOTAL(9,O167:O177)</f>
        <v>82451391.362272069</v>
      </c>
      <c r="P178" s="56"/>
      <c r="Q178" s="51">
        <f>SUBTOTAL(9,Q167:Q177)</f>
        <v>131896803.51000001</v>
      </c>
      <c r="R178" s="164">
        <f t="shared" si="33"/>
        <v>0.62512046666863208</v>
      </c>
      <c r="S178" s="58">
        <f>Q178/$Q$303</f>
        <v>3.2949574385867993E-2</v>
      </c>
      <c r="T178" s="157">
        <f>IFERROR(VLOOKUP(B178,[1]Todos!$A$2:$C$3021,3,FALSE),0)</f>
        <v>0</v>
      </c>
      <c r="U178" s="112">
        <f t="shared" si="35"/>
        <v>0</v>
      </c>
      <c r="W178" s="157">
        <f>IFERROR(VLOOKUP(B178,[1]Todos!$A$2:$B$3021,2,FALSE),0)</f>
        <v>0</v>
      </c>
      <c r="X178" s="112">
        <f t="shared" si="34"/>
        <v>0</v>
      </c>
    </row>
    <row r="179" spans="1:24" hidden="1" outlineLevel="2" x14ac:dyDescent="0.3">
      <c r="A179" s="40" t="str">
        <f>VLOOKUP(B179,Grupos!$A$2:$B$619,2,FALSE)</f>
        <v>TABLEROS 225 AMP COBRE</v>
      </c>
      <c r="B179" s="41" t="s">
        <v>247</v>
      </c>
      <c r="C179" s="41" t="s">
        <v>248</v>
      </c>
      <c r="D179" s="42">
        <v>83</v>
      </c>
      <c r="E179" s="43">
        <v>71237.61</v>
      </c>
      <c r="F179" s="192">
        <v>2824.89</v>
      </c>
      <c r="G179" s="126">
        <f t="shared" si="37"/>
        <v>74062.5</v>
      </c>
      <c r="H179" s="127">
        <f t="shared" si="38"/>
        <v>5912721.6299999999</v>
      </c>
      <c r="I179" s="128">
        <f t="shared" si="39"/>
        <v>234465.87</v>
      </c>
      <c r="J179" s="128">
        <f t="shared" si="40"/>
        <v>6147187.5</v>
      </c>
      <c r="K179" s="44">
        <f t="shared" si="41"/>
        <v>3.9220524636582235E-3</v>
      </c>
      <c r="L179" s="45">
        <f t="shared" si="42"/>
        <v>21137.216685619485</v>
      </c>
      <c r="M179" s="45">
        <f t="shared" si="43"/>
        <v>18538.09588933472</v>
      </c>
      <c r="N179" s="45">
        <f t="shared" si="44"/>
        <v>113737.81257495421</v>
      </c>
      <c r="O179" s="46">
        <f t="shared" si="45"/>
        <v>9440238.4437211994</v>
      </c>
      <c r="P179" s="47">
        <f t="shared" ref="P179:P220" si="48">Q179/D179</f>
        <v>231496.08542168676</v>
      </c>
      <c r="Q179" s="42">
        <v>19214175.09</v>
      </c>
      <c r="R179" s="48">
        <f t="shared" si="33"/>
        <v>0.49131635365571136</v>
      </c>
      <c r="S179" s="49"/>
      <c r="T179" s="157">
        <f>IFERROR(VLOOKUP(B179,[1]Todos!$A$2:$C$3021,3,FALSE),0)</f>
        <v>2824.89</v>
      </c>
      <c r="U179" s="112">
        <f t="shared" si="35"/>
        <v>0</v>
      </c>
      <c r="W179" s="157">
        <f>IFERROR(VLOOKUP(B179,[1]Todos!$A$2:$B$3021,2,FALSE),0)</f>
        <v>71237.61</v>
      </c>
      <c r="X179" s="112">
        <f t="shared" si="34"/>
        <v>0</v>
      </c>
    </row>
    <row r="180" spans="1:24" hidden="1" outlineLevel="2" x14ac:dyDescent="0.3">
      <c r="A180" s="40" t="str">
        <f>VLOOKUP(B180,Grupos!$A$2:$B$619,2,FALSE)</f>
        <v>TABLEROS 225 AMP COBRE</v>
      </c>
      <c r="B180" s="41" t="s">
        <v>249</v>
      </c>
      <c r="C180" s="41" t="s">
        <v>250</v>
      </c>
      <c r="D180" s="42">
        <v>120</v>
      </c>
      <c r="E180" s="43">
        <v>72361.87</v>
      </c>
      <c r="F180" s="192">
        <v>7005.76</v>
      </c>
      <c r="G180" s="126">
        <f t="shared" si="37"/>
        <v>79367.62999999999</v>
      </c>
      <c r="H180" s="127">
        <f t="shared" si="38"/>
        <v>8683424.3999999985</v>
      </c>
      <c r="I180" s="128">
        <f t="shared" si="39"/>
        <v>840691.20000000007</v>
      </c>
      <c r="J180" s="128">
        <f t="shared" si="40"/>
        <v>9524115.5999999996</v>
      </c>
      <c r="K180" s="44">
        <f t="shared" si="41"/>
        <v>6.0766132565739572E-3</v>
      </c>
      <c r="L180" s="45">
        <f t="shared" si="42"/>
        <v>22651.28497058665</v>
      </c>
      <c r="M180" s="45">
        <f t="shared" si="43"/>
        <v>45974.693052708462</v>
      </c>
      <c r="N180" s="45">
        <f t="shared" si="44"/>
        <v>147993.60802329512</v>
      </c>
      <c r="O180" s="46">
        <f t="shared" si="45"/>
        <v>17759232.962795414</v>
      </c>
      <c r="P180" s="47">
        <f t="shared" si="48"/>
        <v>219874.52174999999</v>
      </c>
      <c r="Q180" s="42">
        <v>26384942.609999999</v>
      </c>
      <c r="R180" s="48">
        <f t="shared" si="33"/>
        <v>0.67308211449603805</v>
      </c>
      <c r="S180" s="49"/>
      <c r="T180" s="157">
        <f>IFERROR(VLOOKUP(B180,[1]Todos!$A$2:$C$3021,3,FALSE),0)</f>
        <v>7005.76</v>
      </c>
      <c r="U180" s="112">
        <f t="shared" si="35"/>
        <v>0</v>
      </c>
      <c r="W180" s="157">
        <f>IFERROR(VLOOKUP(B180,[1]Todos!$A$2:$B$3021,2,FALSE),0)</f>
        <v>72361.87</v>
      </c>
      <c r="X180" s="112">
        <f t="shared" si="34"/>
        <v>0</v>
      </c>
    </row>
    <row r="181" spans="1:24" hidden="1" outlineLevel="2" x14ac:dyDescent="0.3">
      <c r="A181" s="40" t="str">
        <f>VLOOKUP(B181,Grupos!$A$2:$B$619,2,FALSE)</f>
        <v>TABLEROS 225 AMP COBRE</v>
      </c>
      <c r="B181" s="41" t="s">
        <v>251</v>
      </c>
      <c r="C181" s="41" t="s">
        <v>252</v>
      </c>
      <c r="D181" s="42">
        <v>17</v>
      </c>
      <c r="E181" s="43">
        <v>74286.210000000006</v>
      </c>
      <c r="F181" s="192">
        <v>2151.94</v>
      </c>
      <c r="G181" s="126">
        <f t="shared" si="37"/>
        <v>76438.150000000009</v>
      </c>
      <c r="H181" s="127">
        <f t="shared" si="38"/>
        <v>1262865.57</v>
      </c>
      <c r="I181" s="128">
        <f t="shared" si="39"/>
        <v>36582.980000000003</v>
      </c>
      <c r="J181" s="128">
        <f t="shared" si="40"/>
        <v>1299448.55</v>
      </c>
      <c r="K181" s="44">
        <f t="shared" si="41"/>
        <v>8.2907921499459822E-4</v>
      </c>
      <c r="L181" s="45">
        <f t="shared" si="42"/>
        <v>21815.220112714062</v>
      </c>
      <c r="M181" s="45">
        <f t="shared" si="43"/>
        <v>14121.919815672454</v>
      </c>
      <c r="N181" s="45">
        <f t="shared" si="44"/>
        <v>112375.28992838653</v>
      </c>
      <c r="O181" s="46">
        <f t="shared" si="45"/>
        <v>1910379.9287825709</v>
      </c>
      <c r="P181" s="47">
        <f t="shared" si="48"/>
        <v>177262</v>
      </c>
      <c r="Q181" s="42">
        <v>3013454</v>
      </c>
      <c r="R181" s="152">
        <f t="shared" si="33"/>
        <v>0.6339502540216545</v>
      </c>
      <c r="S181" s="49"/>
      <c r="T181" s="157">
        <f>IFERROR(VLOOKUP(B181,[1]Todos!$A$2:$C$3021,3,FALSE),0)</f>
        <v>2151.94</v>
      </c>
      <c r="U181" s="112">
        <f t="shared" si="35"/>
        <v>0</v>
      </c>
      <c r="W181" s="157">
        <f>IFERROR(VLOOKUP(B181,[1]Todos!$A$2:$B$3021,2,FALSE),0)</f>
        <v>74286.210000000006</v>
      </c>
      <c r="X181" s="112">
        <f t="shared" si="34"/>
        <v>0</v>
      </c>
    </row>
    <row r="182" spans="1:24" hidden="1" outlineLevel="2" x14ac:dyDescent="0.3">
      <c r="A182" s="40" t="str">
        <f>VLOOKUP(B182,Grupos!$A$2:$B$619,2,FALSE)</f>
        <v>TABLEROS 225 AMP COBRE</v>
      </c>
      <c r="B182" s="41" t="s">
        <v>253</v>
      </c>
      <c r="C182" s="41" t="s">
        <v>254</v>
      </c>
      <c r="D182" s="42">
        <v>5</v>
      </c>
      <c r="E182" s="43">
        <v>75188.23</v>
      </c>
      <c r="F182" s="192">
        <v>6485.47</v>
      </c>
      <c r="G182" s="126">
        <f t="shared" si="37"/>
        <v>81673.7</v>
      </c>
      <c r="H182" s="127">
        <f t="shared" si="38"/>
        <v>375941.14999999997</v>
      </c>
      <c r="I182" s="128">
        <f t="shared" si="39"/>
        <v>32427.350000000002</v>
      </c>
      <c r="J182" s="128">
        <f t="shared" si="40"/>
        <v>408368.5</v>
      </c>
      <c r="K182" s="44">
        <f t="shared" si="41"/>
        <v>2.6054885775086793E-4</v>
      </c>
      <c r="L182" s="45">
        <f t="shared" si="42"/>
        <v>23309.430473131211</v>
      </c>
      <c r="M182" s="45">
        <f t="shared" si="43"/>
        <v>42560.335003275752</v>
      </c>
      <c r="N182" s="45">
        <f t="shared" si="44"/>
        <v>147543.46547640697</v>
      </c>
      <c r="O182" s="46">
        <f t="shared" si="45"/>
        <v>737717.32738203485</v>
      </c>
      <c r="P182" s="47">
        <f t="shared" si="48"/>
        <v>164767.99799999999</v>
      </c>
      <c r="Q182" s="42">
        <v>823839.99</v>
      </c>
      <c r="R182" s="152">
        <f t="shared" si="33"/>
        <v>0.89546190563295536</v>
      </c>
      <c r="S182" s="49"/>
      <c r="T182" s="157">
        <f>IFERROR(VLOOKUP(B182,[1]Todos!$A$2:$C$3021,3,FALSE),0)</f>
        <v>6485.47</v>
      </c>
      <c r="U182" s="112">
        <f t="shared" si="35"/>
        <v>0</v>
      </c>
      <c r="W182" s="157">
        <f>IFERROR(VLOOKUP(B182,[1]Todos!$A$2:$B$3021,2,FALSE),0)</f>
        <v>75188.23</v>
      </c>
      <c r="X182" s="112">
        <f t="shared" si="34"/>
        <v>0</v>
      </c>
    </row>
    <row r="183" spans="1:24" hidden="1" outlineLevel="2" x14ac:dyDescent="0.3">
      <c r="A183" s="40" t="str">
        <f>VLOOKUP(B183,Grupos!$A$2:$B$619,2,FALSE)</f>
        <v>TABLEROS 225 AMP COBRE</v>
      </c>
      <c r="B183" s="41" t="s">
        <v>255</v>
      </c>
      <c r="C183" s="41" t="s">
        <v>256</v>
      </c>
      <c r="D183" s="42">
        <v>52</v>
      </c>
      <c r="E183" s="43">
        <v>88227.96</v>
      </c>
      <c r="F183" s="192">
        <v>3428.16</v>
      </c>
      <c r="G183" s="126">
        <f t="shared" si="37"/>
        <v>91656.12000000001</v>
      </c>
      <c r="H183" s="127">
        <f t="shared" si="38"/>
        <v>4587853.92</v>
      </c>
      <c r="I183" s="128">
        <f t="shared" si="39"/>
        <v>178264.32000000001</v>
      </c>
      <c r="J183" s="128">
        <f t="shared" si="40"/>
        <v>4766118.24</v>
      </c>
      <c r="K183" s="44">
        <f t="shared" si="41"/>
        <v>3.0408972859992311E-3</v>
      </c>
      <c r="L183" s="45">
        <f t="shared" si="42"/>
        <v>26158.383378945375</v>
      </c>
      <c r="M183" s="45">
        <f t="shared" si="43"/>
        <v>22497.002999756347</v>
      </c>
      <c r="N183" s="45">
        <f t="shared" si="44"/>
        <v>140311.50637870174</v>
      </c>
      <c r="O183" s="46">
        <f t="shared" si="45"/>
        <v>7296198.3316924907</v>
      </c>
      <c r="P183" s="47">
        <f t="shared" si="48"/>
        <v>275243.70653846156</v>
      </c>
      <c r="Q183" s="42">
        <v>14312672.74</v>
      </c>
      <c r="R183" s="48">
        <f t="shared" si="33"/>
        <v>0.50977189685205437</v>
      </c>
      <c r="S183" s="49"/>
      <c r="T183" s="157">
        <f>IFERROR(VLOOKUP(B183,[1]Todos!$A$2:$C$3021,3,FALSE),0)</f>
        <v>3428.16</v>
      </c>
      <c r="U183" s="112">
        <f t="shared" si="35"/>
        <v>0</v>
      </c>
      <c r="W183" s="157">
        <f>IFERROR(VLOOKUP(B183,[1]Todos!$A$2:$B$3021,2,FALSE),0)</f>
        <v>88227.96</v>
      </c>
      <c r="X183" s="112">
        <f t="shared" si="34"/>
        <v>0</v>
      </c>
    </row>
    <row r="184" spans="1:24" hidden="1" outlineLevel="2" x14ac:dyDescent="0.3">
      <c r="A184" s="40" t="str">
        <f>VLOOKUP(B184,Grupos!$A$2:$B$619,2,FALSE)</f>
        <v>TABLEROS 225 AMP COBRE</v>
      </c>
      <c r="B184" s="41" t="s">
        <v>257</v>
      </c>
      <c r="C184" s="41" t="s">
        <v>258</v>
      </c>
      <c r="D184" s="42">
        <v>84</v>
      </c>
      <c r="E184" s="43">
        <v>89418.63</v>
      </c>
      <c r="F184" s="192">
        <v>7164.73</v>
      </c>
      <c r="G184" s="126">
        <f t="shared" si="37"/>
        <v>96583.360000000001</v>
      </c>
      <c r="H184" s="127">
        <f t="shared" si="38"/>
        <v>7511164.9199999999</v>
      </c>
      <c r="I184" s="128">
        <f t="shared" si="39"/>
        <v>601837.31999999995</v>
      </c>
      <c r="J184" s="128">
        <f t="shared" si="40"/>
        <v>8113002.2400000002</v>
      </c>
      <c r="K184" s="44">
        <f t="shared" si="41"/>
        <v>5.1762892254476845E-3</v>
      </c>
      <c r="L184" s="45">
        <f t="shared" si="42"/>
        <v>27564.602984576453</v>
      </c>
      <c r="M184" s="45">
        <f t="shared" si="43"/>
        <v>47017.919905268216</v>
      </c>
      <c r="N184" s="45">
        <f t="shared" si="44"/>
        <v>171165.88288984468</v>
      </c>
      <c r="O184" s="46">
        <f t="shared" si="45"/>
        <v>14377934.162746953</v>
      </c>
      <c r="P184" s="47">
        <f t="shared" si="48"/>
        <v>277649.07130952377</v>
      </c>
      <c r="Q184" s="42">
        <v>23322521.989999998</v>
      </c>
      <c r="R184" s="152">
        <f t="shared" si="33"/>
        <v>0.61648282157957801</v>
      </c>
      <c r="S184" s="49"/>
      <c r="T184" s="157">
        <f>IFERROR(VLOOKUP(B184,[1]Todos!$A$2:$C$3021,3,FALSE),0)</f>
        <v>7164.73</v>
      </c>
      <c r="U184" s="112">
        <f t="shared" si="35"/>
        <v>0</v>
      </c>
      <c r="W184" s="157">
        <f>IFERROR(VLOOKUP(B184,[1]Todos!$A$2:$B$3021,2,FALSE),0)</f>
        <v>89418.63</v>
      </c>
      <c r="X184" s="112">
        <f t="shared" si="34"/>
        <v>0</v>
      </c>
    </row>
    <row r="185" spans="1:24" hidden="1" outlineLevel="2" x14ac:dyDescent="0.3">
      <c r="A185" s="40" t="str">
        <f>VLOOKUP(B185,Grupos!$A$2:$B$619,2,FALSE)</f>
        <v>TABLEROS 225 AMP COBRE</v>
      </c>
      <c r="B185" s="41" t="s">
        <v>259</v>
      </c>
      <c r="C185" s="41" t="s">
        <v>260</v>
      </c>
      <c r="D185" s="42">
        <v>101</v>
      </c>
      <c r="E185" s="43">
        <v>90103.98</v>
      </c>
      <c r="F185" s="192">
        <v>2457.17</v>
      </c>
      <c r="G185" s="126">
        <f t="shared" si="37"/>
        <v>92561.15</v>
      </c>
      <c r="H185" s="127">
        <f t="shared" si="38"/>
        <v>9100501.9800000004</v>
      </c>
      <c r="I185" s="128">
        <f t="shared" si="39"/>
        <v>248174.17</v>
      </c>
      <c r="J185" s="128">
        <f t="shared" si="40"/>
        <v>9348676.1499999985</v>
      </c>
      <c r="K185" s="44">
        <f t="shared" si="41"/>
        <v>5.9646786967292561E-3</v>
      </c>
      <c r="L185" s="45">
        <f t="shared" si="42"/>
        <v>26416.676242634639</v>
      </c>
      <c r="M185" s="45">
        <f t="shared" si="43"/>
        <v>16124.965246928763</v>
      </c>
      <c r="N185" s="45">
        <f t="shared" si="44"/>
        <v>135102.79148956339</v>
      </c>
      <c r="O185" s="46">
        <f t="shared" si="45"/>
        <v>13645381.940445902</v>
      </c>
      <c r="P185" s="47">
        <f t="shared" si="48"/>
        <v>215929.52346534654</v>
      </c>
      <c r="Q185" s="42">
        <v>21808881.870000001</v>
      </c>
      <c r="R185" s="152">
        <f t="shared" si="33"/>
        <v>0.62568003356542101</v>
      </c>
      <c r="S185" s="49"/>
      <c r="T185" s="157">
        <f>IFERROR(VLOOKUP(B185,[1]Todos!$A$2:$C$3021,3,FALSE),0)</f>
        <v>2457.17</v>
      </c>
      <c r="U185" s="112">
        <f t="shared" si="35"/>
        <v>0</v>
      </c>
      <c r="W185" s="157">
        <f>IFERROR(VLOOKUP(B185,[1]Todos!$A$2:$B$3021,2,FALSE),0)</f>
        <v>90103.98</v>
      </c>
      <c r="X185" s="112">
        <f t="shared" si="34"/>
        <v>0</v>
      </c>
    </row>
    <row r="186" spans="1:24" hidden="1" outlineLevel="2" x14ac:dyDescent="0.3">
      <c r="A186" s="40" t="str">
        <f>VLOOKUP(B186,Grupos!$A$2:$B$619,2,FALSE)</f>
        <v>TABLEROS 225 AMP COBRE</v>
      </c>
      <c r="B186" s="41" t="s">
        <v>261</v>
      </c>
      <c r="C186" s="41" t="s">
        <v>262</v>
      </c>
      <c r="D186" s="42">
        <v>134</v>
      </c>
      <c r="E186" s="43">
        <v>91072.39</v>
      </c>
      <c r="F186" s="192">
        <v>6673.61</v>
      </c>
      <c r="G186" s="126">
        <f t="shared" si="37"/>
        <v>97746</v>
      </c>
      <c r="H186" s="127">
        <f t="shared" si="38"/>
        <v>12203700.26</v>
      </c>
      <c r="I186" s="128">
        <f t="shared" si="39"/>
        <v>894263.74</v>
      </c>
      <c r="J186" s="128">
        <f t="shared" si="40"/>
        <v>13097964</v>
      </c>
      <c r="K186" s="44">
        <f t="shared" si="41"/>
        <v>8.3568139047502168E-3</v>
      </c>
      <c r="L186" s="45">
        <f t="shared" si="42"/>
        <v>27896.416974211814</v>
      </c>
      <c r="M186" s="45">
        <f t="shared" si="43"/>
        <v>43794.987453678928</v>
      </c>
      <c r="N186" s="45">
        <f t="shared" si="44"/>
        <v>169437.40442789072</v>
      </c>
      <c r="O186" s="46">
        <f t="shared" si="45"/>
        <v>22704612.193337359</v>
      </c>
      <c r="P186" s="47">
        <f t="shared" si="48"/>
        <v>207543.72738805969</v>
      </c>
      <c r="Q186" s="42">
        <v>27810859.469999999</v>
      </c>
      <c r="R186" s="48">
        <f t="shared" si="33"/>
        <v>0.8163937622218822</v>
      </c>
      <c r="S186" s="49"/>
      <c r="T186" s="157">
        <f>IFERROR(VLOOKUP(B186,[1]Todos!$A$2:$C$3021,3,FALSE),0)</f>
        <v>6673.61</v>
      </c>
      <c r="U186" s="112">
        <f t="shared" si="35"/>
        <v>0</v>
      </c>
      <c r="W186" s="157">
        <f>IFERROR(VLOOKUP(B186,[1]Todos!$A$2:$B$3021,2,FALSE),0)</f>
        <v>91072.39</v>
      </c>
      <c r="X186" s="112">
        <f t="shared" si="34"/>
        <v>0</v>
      </c>
    </row>
    <row r="187" spans="1:24" hidden="1" outlineLevel="2" x14ac:dyDescent="0.3">
      <c r="A187" s="40" t="str">
        <f>VLOOKUP(B187,Grupos!$A$2:$B$619,2,FALSE)</f>
        <v>TABLEROS 225 AMP COBRE</v>
      </c>
      <c r="B187" s="41" t="s">
        <v>263</v>
      </c>
      <c r="C187" s="41" t="s">
        <v>264</v>
      </c>
      <c r="D187" s="42">
        <v>42</v>
      </c>
      <c r="E187" s="43">
        <v>95392.05</v>
      </c>
      <c r="F187" s="192">
        <v>2988.43</v>
      </c>
      <c r="G187" s="126">
        <f t="shared" si="37"/>
        <v>98380.479999999996</v>
      </c>
      <c r="H187" s="127">
        <f t="shared" si="38"/>
        <v>4006466.1</v>
      </c>
      <c r="I187" s="128">
        <f t="shared" si="39"/>
        <v>125514.06</v>
      </c>
      <c r="J187" s="128">
        <f t="shared" si="40"/>
        <v>4131980.1599999997</v>
      </c>
      <c r="K187" s="44">
        <f t="shared" si="41"/>
        <v>2.6363020432213758E-3</v>
      </c>
      <c r="L187" s="45">
        <f t="shared" si="42"/>
        <v>28077.495674535079</v>
      </c>
      <c r="M187" s="45">
        <f t="shared" si="43"/>
        <v>19611.312970970394</v>
      </c>
      <c r="N187" s="45">
        <f t="shared" si="44"/>
        <v>146069.28864550547</v>
      </c>
      <c r="O187" s="46">
        <f t="shared" si="45"/>
        <v>6134910.1231112294</v>
      </c>
      <c r="P187" s="47">
        <f t="shared" si="48"/>
        <v>316723.41785714286</v>
      </c>
      <c r="Q187" s="42">
        <v>13302383.550000001</v>
      </c>
      <c r="R187" s="48">
        <f t="shared" si="33"/>
        <v>0.46118878620901205</v>
      </c>
      <c r="S187" s="49"/>
      <c r="T187" s="157">
        <f>IFERROR(VLOOKUP(B187,[1]Todos!$A$2:$C$3021,3,FALSE),0)</f>
        <v>2988.43</v>
      </c>
      <c r="U187" s="112">
        <f t="shared" si="35"/>
        <v>0</v>
      </c>
      <c r="W187" s="157">
        <f>IFERROR(VLOOKUP(B187,[1]Todos!$A$2:$B$3021,2,FALSE),0)</f>
        <v>95392.05</v>
      </c>
      <c r="X187" s="112">
        <f t="shared" si="34"/>
        <v>0</v>
      </c>
    </row>
    <row r="188" spans="1:24" hidden="1" outlineLevel="2" x14ac:dyDescent="0.3">
      <c r="A188" s="40" t="str">
        <f>VLOOKUP(B188,Grupos!$A$2:$B$619,2,FALSE)</f>
        <v>TABLEROS 225 AMP COBRE</v>
      </c>
      <c r="B188" s="41" t="s">
        <v>265</v>
      </c>
      <c r="C188" s="41" t="s">
        <v>266</v>
      </c>
      <c r="D188" s="42">
        <v>78</v>
      </c>
      <c r="E188" s="43">
        <v>96649.13</v>
      </c>
      <c r="F188" s="192">
        <v>7390.11</v>
      </c>
      <c r="G188" s="126">
        <f t="shared" si="37"/>
        <v>104039.24</v>
      </c>
      <c r="H188" s="127">
        <f t="shared" si="38"/>
        <v>7538632.1400000006</v>
      </c>
      <c r="I188" s="128">
        <f t="shared" si="39"/>
        <v>576428.57999999996</v>
      </c>
      <c r="J188" s="128">
        <f t="shared" si="40"/>
        <v>8115060.7200000007</v>
      </c>
      <c r="K188" s="44">
        <f t="shared" si="41"/>
        <v>5.1776025848588618E-3</v>
      </c>
      <c r="L188" s="45">
        <f t="shared" si="42"/>
        <v>29692.488907168547</v>
      </c>
      <c r="M188" s="45">
        <f t="shared" si="43"/>
        <v>48496.956629366592</v>
      </c>
      <c r="N188" s="45">
        <f t="shared" si="44"/>
        <v>182228.68553653514</v>
      </c>
      <c r="O188" s="46">
        <f t="shared" si="45"/>
        <v>14213837.471849741</v>
      </c>
      <c r="P188" s="47">
        <f t="shared" si="48"/>
        <v>320975.87769230769</v>
      </c>
      <c r="Q188" s="42">
        <v>25036118.460000001</v>
      </c>
      <c r="R188" s="152">
        <f t="shared" si="33"/>
        <v>0.56773327281379782</v>
      </c>
      <c r="S188" s="49"/>
      <c r="T188" s="157">
        <f>IFERROR(VLOOKUP(B188,[1]Todos!$A$2:$C$3021,3,FALSE),0)</f>
        <v>7390.11</v>
      </c>
      <c r="U188" s="112">
        <f t="shared" si="35"/>
        <v>0</v>
      </c>
      <c r="W188" s="157">
        <f>IFERROR(VLOOKUP(B188,[1]Todos!$A$2:$B$3021,2,FALSE),0)</f>
        <v>96649.13</v>
      </c>
      <c r="X188" s="112">
        <f t="shared" si="34"/>
        <v>0</v>
      </c>
    </row>
    <row r="189" spans="1:24" hidden="1" outlineLevel="2" x14ac:dyDescent="0.3">
      <c r="A189" s="40" t="str">
        <f>VLOOKUP(B189,Grupos!$A$2:$B$619,2,FALSE)</f>
        <v>TABLEROS 225 AMP COBRE</v>
      </c>
      <c r="B189" s="41" t="s">
        <v>267</v>
      </c>
      <c r="C189" s="41" t="s">
        <v>268</v>
      </c>
      <c r="D189" s="42">
        <v>9</v>
      </c>
      <c r="E189" s="43">
        <v>123241.93</v>
      </c>
      <c r="F189" s="192">
        <v>2726.25</v>
      </c>
      <c r="G189" s="126">
        <f t="shared" si="37"/>
        <v>125968.18</v>
      </c>
      <c r="H189" s="127">
        <f t="shared" si="38"/>
        <v>1109177.3699999999</v>
      </c>
      <c r="I189" s="128">
        <f t="shared" si="39"/>
        <v>24536.25</v>
      </c>
      <c r="J189" s="128">
        <f t="shared" si="40"/>
        <v>1133713.6199999999</v>
      </c>
      <c r="K189" s="44">
        <f t="shared" si="41"/>
        <v>7.2333637072301488E-4</v>
      </c>
      <c r="L189" s="45">
        <f t="shared" si="42"/>
        <v>35950.943002911314</v>
      </c>
      <c r="M189" s="45">
        <f t="shared" si="43"/>
        <v>17890.779435057215</v>
      </c>
      <c r="N189" s="45">
        <f t="shared" si="44"/>
        <v>179809.90243796853</v>
      </c>
      <c r="O189" s="46">
        <f t="shared" si="45"/>
        <v>1618289.1219417169</v>
      </c>
      <c r="P189" s="47">
        <f t="shared" si="48"/>
        <v>382842.82</v>
      </c>
      <c r="Q189" s="42">
        <v>3445585.38</v>
      </c>
      <c r="R189" s="48">
        <f t="shared" si="33"/>
        <v>0.46967030082467931</v>
      </c>
      <c r="S189" s="49"/>
      <c r="T189" s="157">
        <f>IFERROR(VLOOKUP(B189,[1]Todos!$A$2:$C$3021,3,FALSE),0)</f>
        <v>2726.25</v>
      </c>
      <c r="U189" s="112">
        <f t="shared" si="35"/>
        <v>0</v>
      </c>
      <c r="W189" s="157">
        <f>IFERROR(VLOOKUP(B189,[1]Todos!$A$2:$B$3021,2,FALSE),0)</f>
        <v>123613.93</v>
      </c>
      <c r="X189" s="112">
        <f t="shared" si="34"/>
        <v>372</v>
      </c>
    </row>
    <row r="190" spans="1:24" hidden="1" outlineLevel="2" x14ac:dyDescent="0.3">
      <c r="A190" s="40" t="str">
        <f>VLOOKUP(B190,Grupos!$A$2:$B$619,2,FALSE)</f>
        <v>TABLEROS 225 AMP COBRE</v>
      </c>
      <c r="B190" s="41" t="s">
        <v>269</v>
      </c>
      <c r="C190" s="41" t="s">
        <v>270</v>
      </c>
      <c r="D190" s="42">
        <v>8</v>
      </c>
      <c r="E190" s="43">
        <v>124564.02</v>
      </c>
      <c r="F190" s="192">
        <v>6937.78</v>
      </c>
      <c r="G190" s="126">
        <f t="shared" si="37"/>
        <v>131501.80000000002</v>
      </c>
      <c r="H190" s="127">
        <f t="shared" si="38"/>
        <v>996512.16</v>
      </c>
      <c r="I190" s="128">
        <f t="shared" si="39"/>
        <v>55502.239999999998</v>
      </c>
      <c r="J190" s="128">
        <f t="shared" si="40"/>
        <v>1052014.4000000001</v>
      </c>
      <c r="K190" s="44">
        <f t="shared" si="41"/>
        <v>6.7121031680324194E-4</v>
      </c>
      <c r="L190" s="45">
        <f t="shared" si="42"/>
        <v>37530.221652644686</v>
      </c>
      <c r="M190" s="45">
        <f t="shared" si="43"/>
        <v>45528.580192187525</v>
      </c>
      <c r="N190" s="45">
        <f t="shared" si="44"/>
        <v>214560.60184483224</v>
      </c>
      <c r="O190" s="46">
        <f t="shared" si="45"/>
        <v>1716484.8147586579</v>
      </c>
      <c r="P190" s="47">
        <f t="shared" si="48"/>
        <v>364942.50124999997</v>
      </c>
      <c r="Q190" s="42">
        <v>2919540.01</v>
      </c>
      <c r="R190" s="48">
        <f t="shared" si="33"/>
        <v>0.58792988240591304</v>
      </c>
      <c r="S190" s="49"/>
      <c r="T190" s="157">
        <f>IFERROR(VLOOKUP(B190,[1]Todos!$A$2:$C$3021,3,FALSE),0)</f>
        <v>6937.78</v>
      </c>
      <c r="U190" s="112">
        <f t="shared" si="35"/>
        <v>0</v>
      </c>
      <c r="W190" s="157">
        <f>IFERROR(VLOOKUP(B190,[1]Todos!$A$2:$B$3021,2,FALSE),0)</f>
        <v>124936.02</v>
      </c>
      <c r="X190" s="112">
        <f t="shared" si="34"/>
        <v>372</v>
      </c>
    </row>
    <row r="191" spans="1:24" hidden="1" outlineLevel="2" x14ac:dyDescent="0.3">
      <c r="A191" s="40" t="str">
        <f>VLOOKUP(B191,Grupos!$A$2:$B$619,2,FALSE)</f>
        <v>TABLEROS 225 AMP COBRE</v>
      </c>
      <c r="B191" s="41" t="s">
        <v>271</v>
      </c>
      <c r="C191" s="41" t="s">
        <v>272</v>
      </c>
      <c r="D191" s="42">
        <v>27</v>
      </c>
      <c r="E191" s="43">
        <v>124679.23</v>
      </c>
      <c r="F191" s="192">
        <v>3578.98</v>
      </c>
      <c r="G191" s="126">
        <f t="shared" si="37"/>
        <v>128258.20999999999</v>
      </c>
      <c r="H191" s="127">
        <f t="shared" si="38"/>
        <v>3366339.21</v>
      </c>
      <c r="I191" s="128">
        <f t="shared" si="39"/>
        <v>96632.46</v>
      </c>
      <c r="J191" s="128">
        <f t="shared" si="40"/>
        <v>3462971.67</v>
      </c>
      <c r="K191" s="44">
        <f t="shared" si="41"/>
        <v>2.2094586459095534E-3</v>
      </c>
      <c r="L191" s="45">
        <f t="shared" si="42"/>
        <v>36604.510737278484</v>
      </c>
      <c r="M191" s="45">
        <f t="shared" si="43"/>
        <v>23486.746183395167</v>
      </c>
      <c r="N191" s="45">
        <f t="shared" si="44"/>
        <v>188349.46692067361</v>
      </c>
      <c r="O191" s="46">
        <f t="shared" si="45"/>
        <v>5085435.6068581874</v>
      </c>
      <c r="P191" s="47">
        <f t="shared" si="48"/>
        <v>293631.73296296294</v>
      </c>
      <c r="Q191" s="42">
        <v>7928056.79</v>
      </c>
      <c r="R191" s="48">
        <f t="shared" si="33"/>
        <v>0.64144792873742618</v>
      </c>
      <c r="S191" s="49"/>
      <c r="T191" s="157">
        <f>IFERROR(VLOOKUP(B191,[1]Todos!$A$2:$C$3021,3,FALSE),0)</f>
        <v>3578.98</v>
      </c>
      <c r="U191" s="112">
        <f t="shared" si="35"/>
        <v>0</v>
      </c>
      <c r="W191" s="157">
        <f>IFERROR(VLOOKUP(B191,[1]Todos!$A$2:$B$3021,2,FALSE),0)</f>
        <v>124679.23</v>
      </c>
      <c r="X191" s="112">
        <f t="shared" si="34"/>
        <v>0</v>
      </c>
    </row>
    <row r="192" spans="1:24" hidden="1" outlineLevel="2" x14ac:dyDescent="0.3">
      <c r="A192" s="40" t="str">
        <f>VLOOKUP(B192,Grupos!$A$2:$B$619,2,FALSE)</f>
        <v>TABLEROS 225 AMP COBRE</v>
      </c>
      <c r="B192" s="41" t="s">
        <v>273</v>
      </c>
      <c r="C192" s="41" t="s">
        <v>274</v>
      </c>
      <c r="D192" s="42">
        <v>17</v>
      </c>
      <c r="E192" s="43">
        <v>125800.77</v>
      </c>
      <c r="F192" s="192">
        <v>7605.78</v>
      </c>
      <c r="G192" s="126">
        <f t="shared" si="37"/>
        <v>133406.55000000002</v>
      </c>
      <c r="H192" s="127">
        <f t="shared" si="38"/>
        <v>2138613.09</v>
      </c>
      <c r="I192" s="128">
        <f t="shared" si="39"/>
        <v>129298.26</v>
      </c>
      <c r="J192" s="128">
        <f t="shared" si="40"/>
        <v>2267911.35</v>
      </c>
      <c r="K192" s="44">
        <f t="shared" si="41"/>
        <v>1.4469816151900278E-3</v>
      </c>
      <c r="L192" s="45">
        <f t="shared" si="42"/>
        <v>38073.831623708771</v>
      </c>
      <c r="M192" s="45">
        <f t="shared" si="43"/>
        <v>49912.272319695359</v>
      </c>
      <c r="N192" s="45">
        <f t="shared" si="44"/>
        <v>221392.65394340415</v>
      </c>
      <c r="O192" s="46">
        <f t="shared" si="45"/>
        <v>3763675.1170378705</v>
      </c>
      <c r="P192" s="47">
        <f t="shared" si="48"/>
        <v>296594.47588235291</v>
      </c>
      <c r="Q192" s="42">
        <v>5042106.09</v>
      </c>
      <c r="R192" s="48">
        <f t="shared" si="33"/>
        <v>0.74644901353867998</v>
      </c>
      <c r="S192" s="49"/>
      <c r="T192" s="157">
        <f>IFERROR(VLOOKUP(B192,[1]Todos!$A$2:$C$3021,3,FALSE),0)</f>
        <v>7605.78</v>
      </c>
      <c r="U192" s="112">
        <f t="shared" si="35"/>
        <v>0</v>
      </c>
      <c r="W192" s="157">
        <f>IFERROR(VLOOKUP(B192,[1]Todos!$A$2:$B$3021,2,FALSE),0)</f>
        <v>125800.77</v>
      </c>
      <c r="X192" s="112">
        <f t="shared" si="34"/>
        <v>0</v>
      </c>
    </row>
    <row r="193" spans="1:24" hidden="1" outlineLevel="2" x14ac:dyDescent="0.3">
      <c r="A193" s="40" t="str">
        <f>VLOOKUP(B193,Grupos!$A$2:$B$619,2,FALSE)</f>
        <v>TABLEROS 225 AMP COBRE</v>
      </c>
      <c r="B193" s="41" t="s">
        <v>275</v>
      </c>
      <c r="C193" s="41" t="s">
        <v>276</v>
      </c>
      <c r="D193" s="42">
        <v>34</v>
      </c>
      <c r="E193" s="43">
        <v>138952.10999999999</v>
      </c>
      <c r="F193" s="192">
        <v>4163.6099999999997</v>
      </c>
      <c r="G193" s="126">
        <f t="shared" si="37"/>
        <v>143115.71999999997</v>
      </c>
      <c r="H193" s="127">
        <f t="shared" si="38"/>
        <v>4724371.7399999993</v>
      </c>
      <c r="I193" s="128">
        <f t="shared" si="39"/>
        <v>141562.74</v>
      </c>
      <c r="J193" s="128">
        <f t="shared" si="40"/>
        <v>4865934.4799999986</v>
      </c>
      <c r="K193" s="44">
        <f t="shared" si="41"/>
        <v>3.1045824314425894E-3</v>
      </c>
      <c r="L193" s="45">
        <f t="shared" si="42"/>
        <v>40844.799794206861</v>
      </c>
      <c r="M193" s="45">
        <f t="shared" si="43"/>
        <v>27323.329908701904</v>
      </c>
      <c r="N193" s="45">
        <f t="shared" si="44"/>
        <v>211283.84970290874</v>
      </c>
      <c r="O193" s="46">
        <f t="shared" si="45"/>
        <v>7183650.8898988971</v>
      </c>
      <c r="P193" s="47">
        <f t="shared" si="48"/>
        <v>412657.48558823531</v>
      </c>
      <c r="Q193" s="42">
        <v>14030354.51</v>
      </c>
      <c r="R193" s="48">
        <f t="shared" si="33"/>
        <v>0.51200779600963175</v>
      </c>
      <c r="S193" s="49"/>
      <c r="T193" s="157">
        <f>IFERROR(VLOOKUP(B193,[1]Todos!$A$2:$C$3021,3,FALSE),0)</f>
        <v>4163.6099999999997</v>
      </c>
      <c r="U193" s="112">
        <f t="shared" si="35"/>
        <v>0</v>
      </c>
      <c r="W193" s="157">
        <f>IFERROR(VLOOKUP(B193,[1]Todos!$A$2:$B$3021,2,FALSE),0)</f>
        <v>139324.10999999999</v>
      </c>
      <c r="X193" s="112">
        <f t="shared" si="34"/>
        <v>372</v>
      </c>
    </row>
    <row r="194" spans="1:24" hidden="1" outlineLevel="2" x14ac:dyDescent="0.3">
      <c r="A194" s="40" t="str">
        <f>VLOOKUP(B194,Grupos!$A$2:$B$619,2,FALSE)</f>
        <v>TABLEROS 225 AMP COBRE</v>
      </c>
      <c r="B194" s="41" t="s">
        <v>277</v>
      </c>
      <c r="C194" s="41" t="s">
        <v>278</v>
      </c>
      <c r="D194" s="42">
        <v>13</v>
      </c>
      <c r="E194" s="43">
        <v>140340.60999999999</v>
      </c>
      <c r="F194" s="192">
        <v>8455.7000000000007</v>
      </c>
      <c r="G194" s="126">
        <f t="shared" si="37"/>
        <v>148796.31</v>
      </c>
      <c r="H194" s="127">
        <f t="shared" si="38"/>
        <v>1824427.9299999997</v>
      </c>
      <c r="I194" s="128">
        <f t="shared" si="39"/>
        <v>109924.1</v>
      </c>
      <c r="J194" s="128">
        <f t="shared" si="40"/>
        <v>1934352.03</v>
      </c>
      <c r="K194" s="44">
        <f t="shared" si="41"/>
        <v>1.2341628012556614E-3</v>
      </c>
      <c r="L194" s="45">
        <f t="shared" si="42"/>
        <v>42466.023243755066</v>
      </c>
      <c r="M194" s="45">
        <f t="shared" si="43"/>
        <v>55489.798686478978</v>
      </c>
      <c r="N194" s="45">
        <f t="shared" si="44"/>
        <v>246752.13193023406</v>
      </c>
      <c r="O194" s="46">
        <f t="shared" si="45"/>
        <v>3207777.7150930427</v>
      </c>
      <c r="P194" s="47">
        <f t="shared" si="48"/>
        <v>430026.16538461542</v>
      </c>
      <c r="Q194" s="42">
        <v>5590340.1500000004</v>
      </c>
      <c r="R194" s="48">
        <f t="shared" si="33"/>
        <v>0.57380725126234799</v>
      </c>
      <c r="S194" s="49"/>
      <c r="T194" s="157">
        <f>IFERROR(VLOOKUP(B194,[1]Todos!$A$2:$C$3021,3,FALSE),0)</f>
        <v>8455.7000000000007</v>
      </c>
      <c r="U194" s="112">
        <f t="shared" si="35"/>
        <v>0</v>
      </c>
      <c r="W194" s="157">
        <f>IFERROR(VLOOKUP(B194,[1]Todos!$A$2:$B$3021,2,FALSE),0)</f>
        <v>140712.60999999999</v>
      </c>
      <c r="X194" s="112">
        <f t="shared" si="34"/>
        <v>372</v>
      </c>
    </row>
    <row r="195" spans="1:24" hidden="1" outlineLevel="2" x14ac:dyDescent="0.3">
      <c r="A195" s="40" t="str">
        <f>VLOOKUP(B195,Grupos!$A$2:$B$619,2,FALSE)</f>
        <v>TABLEROS 225 AMP COBRE</v>
      </c>
      <c r="B195" s="41" t="s">
        <v>279</v>
      </c>
      <c r="C195" s="41" t="s">
        <v>280</v>
      </c>
      <c r="D195" s="42">
        <v>37</v>
      </c>
      <c r="E195" s="43">
        <v>40485.870000000003</v>
      </c>
      <c r="F195" s="192">
        <v>2069.3000000000002</v>
      </c>
      <c r="G195" s="126">
        <f t="shared" si="37"/>
        <v>42555.170000000006</v>
      </c>
      <c r="H195" s="127">
        <f t="shared" si="38"/>
        <v>1497977.1900000002</v>
      </c>
      <c r="I195" s="128">
        <f t="shared" si="39"/>
        <v>76564.100000000006</v>
      </c>
      <c r="J195" s="128">
        <f t="shared" si="40"/>
        <v>1574541.2900000003</v>
      </c>
      <c r="K195" s="44">
        <f t="shared" si="41"/>
        <v>1.0045949542902505E-3</v>
      </c>
      <c r="L195" s="45">
        <f t="shared" si="42"/>
        <v>12145.118641463278</v>
      </c>
      <c r="M195" s="45">
        <f t="shared" si="43"/>
        <v>13579.601975227473</v>
      </c>
      <c r="N195" s="45">
        <f t="shared" si="44"/>
        <v>68279.890616690755</v>
      </c>
      <c r="O195" s="46">
        <f t="shared" si="45"/>
        <v>2526355.9528175578</v>
      </c>
      <c r="P195" s="47">
        <f t="shared" si="48"/>
        <v>105326.26972972973</v>
      </c>
      <c r="Q195" s="42">
        <v>3897071.98</v>
      </c>
      <c r="R195" s="48">
        <f t="shared" si="33"/>
        <v>0.64827028235120199</v>
      </c>
      <c r="S195" s="49"/>
      <c r="T195" s="157">
        <f>IFERROR(VLOOKUP(B195,[1]Todos!$A$2:$C$3021,3,FALSE),0)</f>
        <v>2069.3000000000002</v>
      </c>
      <c r="U195" s="112">
        <f t="shared" si="35"/>
        <v>0</v>
      </c>
      <c r="W195" s="157">
        <f>IFERROR(VLOOKUP(B195,[1]Todos!$A$2:$B$3021,2,FALSE),0)</f>
        <v>40485.870000000003</v>
      </c>
      <c r="X195" s="112">
        <f t="shared" si="34"/>
        <v>0</v>
      </c>
    </row>
    <row r="196" spans="1:24" hidden="1" outlineLevel="2" x14ac:dyDescent="0.3">
      <c r="A196" s="40" t="str">
        <f>VLOOKUP(B196,Grupos!$A$2:$B$619,2,FALSE)</f>
        <v>TABLEROS 225 AMP COBRE</v>
      </c>
      <c r="B196" s="41" t="s">
        <v>281</v>
      </c>
      <c r="C196" s="41" t="s">
        <v>282</v>
      </c>
      <c r="D196" s="42">
        <v>36</v>
      </c>
      <c r="E196" s="43">
        <v>41191.58</v>
      </c>
      <c r="F196" s="192">
        <v>1977.41</v>
      </c>
      <c r="G196" s="126">
        <f t="shared" si="37"/>
        <v>43168.990000000005</v>
      </c>
      <c r="H196" s="127">
        <f t="shared" si="38"/>
        <v>1482896.8800000001</v>
      </c>
      <c r="I196" s="128">
        <f t="shared" si="39"/>
        <v>71186.760000000009</v>
      </c>
      <c r="J196" s="128">
        <f t="shared" si="40"/>
        <v>1554083.6400000001</v>
      </c>
      <c r="K196" s="44">
        <f t="shared" si="41"/>
        <v>9.9154248491573429E-4</v>
      </c>
      <c r="L196" s="45">
        <f t="shared" si="42"/>
        <v>12320.301039383505</v>
      </c>
      <c r="M196" s="45">
        <f t="shared" si="43"/>
        <v>12976.581811160566</v>
      </c>
      <c r="N196" s="45">
        <f t="shared" si="44"/>
        <v>68465.872850544081</v>
      </c>
      <c r="O196" s="46">
        <f t="shared" si="45"/>
        <v>2464771.4226195868</v>
      </c>
      <c r="P196" s="47">
        <f t="shared" si="48"/>
        <v>98239.668888888889</v>
      </c>
      <c r="Q196" s="42">
        <v>3536628.08</v>
      </c>
      <c r="R196" s="48">
        <f t="shared" si="33"/>
        <v>0.69692695043567787</v>
      </c>
      <c r="S196" s="49"/>
      <c r="T196" s="157">
        <f>IFERROR(VLOOKUP(B196,[1]Todos!$A$2:$C$3021,3,FALSE),0)</f>
        <v>1977.41</v>
      </c>
      <c r="U196" s="112">
        <f t="shared" si="35"/>
        <v>0</v>
      </c>
      <c r="W196" s="157">
        <f>IFERROR(VLOOKUP(B196,[1]Todos!$A$2:$B$3021,2,FALSE),0)</f>
        <v>41191.58</v>
      </c>
      <c r="X196" s="112">
        <f t="shared" si="34"/>
        <v>0</v>
      </c>
    </row>
    <row r="197" spans="1:24" hidden="1" outlineLevel="2" x14ac:dyDescent="0.3">
      <c r="A197" s="40" t="str">
        <f>VLOOKUP(B197,Grupos!$A$2:$B$619,2,FALSE)</f>
        <v>TABLEROS 225 AMP COBRE</v>
      </c>
      <c r="B197" s="41" t="s">
        <v>283</v>
      </c>
      <c r="C197" s="41" t="s">
        <v>284</v>
      </c>
      <c r="D197" s="42">
        <v>150</v>
      </c>
      <c r="E197" s="43">
        <v>61935.58</v>
      </c>
      <c r="F197" s="192">
        <v>2093.4899999999998</v>
      </c>
      <c r="G197" s="126">
        <f t="shared" si="37"/>
        <v>64029.07</v>
      </c>
      <c r="H197" s="127">
        <f t="shared" si="38"/>
        <v>9290337</v>
      </c>
      <c r="I197" s="128">
        <f t="shared" si="39"/>
        <v>314023.49999999994</v>
      </c>
      <c r="J197" s="128">
        <f t="shared" si="40"/>
        <v>9604360.5</v>
      </c>
      <c r="K197" s="44">
        <f t="shared" si="41"/>
        <v>6.1278114195942018E-3</v>
      </c>
      <c r="L197" s="45">
        <f t="shared" si="42"/>
        <v>18273.705677889593</v>
      </c>
      <c r="M197" s="45">
        <f t="shared" si="43"/>
        <v>13738.346754515516</v>
      </c>
      <c r="N197" s="45">
        <f t="shared" si="44"/>
        <v>96041.1224324051</v>
      </c>
      <c r="O197" s="46">
        <f t="shared" si="45"/>
        <v>14406168.364860766</v>
      </c>
      <c r="P197" s="47">
        <f t="shared" si="48"/>
        <v>140278.44066666669</v>
      </c>
      <c r="Q197" s="42">
        <v>21041766.100000001</v>
      </c>
      <c r="R197" s="48">
        <f t="shared" ref="R197:R260" si="49">O197/Q197</f>
        <v>0.68464635032991672</v>
      </c>
      <c r="S197" s="49"/>
      <c r="T197" s="157">
        <f>IFERROR(VLOOKUP(B197,[1]Todos!$A$2:$C$3021,3,FALSE),0)</f>
        <v>2093.4899999999998</v>
      </c>
      <c r="U197" s="112">
        <f t="shared" si="35"/>
        <v>0</v>
      </c>
      <c r="W197" s="157">
        <f>IFERROR(VLOOKUP(B197,[1]Todos!$A$2:$B$3021,2,FALSE),0)</f>
        <v>61935.58</v>
      </c>
      <c r="X197" s="112">
        <f t="shared" si="34"/>
        <v>0</v>
      </c>
    </row>
    <row r="198" spans="1:24" hidden="1" outlineLevel="2" x14ac:dyDescent="0.3">
      <c r="A198" s="40" t="str">
        <f>VLOOKUP(B198,Grupos!$A$2:$B$619,2,FALSE)</f>
        <v>TABLEROS 225 AMP COBRE</v>
      </c>
      <c r="B198" s="41" t="s">
        <v>285</v>
      </c>
      <c r="C198" s="41" t="s">
        <v>286</v>
      </c>
      <c r="D198" s="42">
        <v>183</v>
      </c>
      <c r="E198" s="43">
        <v>62772.55</v>
      </c>
      <c r="F198" s="192">
        <v>6390.55</v>
      </c>
      <c r="G198" s="126">
        <f t="shared" si="37"/>
        <v>69163.100000000006</v>
      </c>
      <c r="H198" s="127">
        <f t="shared" si="38"/>
        <v>11487376.65</v>
      </c>
      <c r="I198" s="128">
        <f t="shared" si="39"/>
        <v>1169470.6500000001</v>
      </c>
      <c r="J198" s="128">
        <f t="shared" si="40"/>
        <v>12656847.300000001</v>
      </c>
      <c r="K198" s="44">
        <f t="shared" si="41"/>
        <v>8.0753709131388858E-3</v>
      </c>
      <c r="L198" s="45">
        <f t="shared" si="42"/>
        <v>19738.942532984565</v>
      </c>
      <c r="M198" s="45">
        <f t="shared" si="43"/>
        <v>41937.430726714316</v>
      </c>
      <c r="N198" s="45">
        <f t="shared" si="44"/>
        <v>130839.47325969889</v>
      </c>
      <c r="O198" s="46">
        <f t="shared" si="45"/>
        <v>23943623.606524896</v>
      </c>
      <c r="P198" s="47">
        <f t="shared" si="48"/>
        <v>137714.29830601093</v>
      </c>
      <c r="Q198" s="42">
        <v>25201716.59</v>
      </c>
      <c r="R198" s="48">
        <f t="shared" si="49"/>
        <v>0.95007907580492701</v>
      </c>
      <c r="S198" s="49"/>
      <c r="T198" s="157">
        <f>IFERROR(VLOOKUP(B198,[1]Todos!$A$2:$C$3021,3,FALSE),0)</f>
        <v>6390.55</v>
      </c>
      <c r="U198" s="112">
        <f t="shared" si="35"/>
        <v>0</v>
      </c>
      <c r="W198" s="157">
        <f>IFERROR(VLOOKUP(B198,[1]Todos!$A$2:$B$3021,2,FALSE),0)</f>
        <v>62772.55</v>
      </c>
      <c r="X198" s="112">
        <f t="shared" ref="X198:X261" si="50">W198-E198</f>
        <v>0</v>
      </c>
    </row>
    <row r="199" spans="1:24" hidden="1" outlineLevel="2" x14ac:dyDescent="0.3">
      <c r="A199" s="40" t="str">
        <f>VLOOKUP(B199,Grupos!$A$2:$B$619,2,FALSE)</f>
        <v>TABLEROS 225 AMP COBRE</v>
      </c>
      <c r="B199" s="41" t="s">
        <v>287</v>
      </c>
      <c r="C199" s="41" t="s">
        <v>288</v>
      </c>
      <c r="D199" s="42">
        <v>95</v>
      </c>
      <c r="E199" s="43">
        <v>75607.27</v>
      </c>
      <c r="F199" s="192">
        <v>2765.52</v>
      </c>
      <c r="G199" s="126">
        <f t="shared" si="37"/>
        <v>78372.790000000008</v>
      </c>
      <c r="H199" s="127">
        <f t="shared" si="38"/>
        <v>7182690.6500000004</v>
      </c>
      <c r="I199" s="128">
        <f t="shared" si="39"/>
        <v>262724.40000000002</v>
      </c>
      <c r="J199" s="128">
        <f t="shared" si="40"/>
        <v>7445415.0500000007</v>
      </c>
      <c r="K199" s="44">
        <f t="shared" si="41"/>
        <v>4.7503526514866383E-3</v>
      </c>
      <c r="L199" s="45">
        <f t="shared" si="42"/>
        <v>22367.360600662305</v>
      </c>
      <c r="M199" s="45">
        <f t="shared" si="43"/>
        <v>18148.485407882414</v>
      </c>
      <c r="N199" s="45">
        <f t="shared" si="44"/>
        <v>118888.63600854472</v>
      </c>
      <c r="O199" s="46">
        <f t="shared" si="45"/>
        <v>11294420.420811748</v>
      </c>
      <c r="P199" s="47">
        <f t="shared" si="48"/>
        <v>235354.04242105264</v>
      </c>
      <c r="Q199" s="42">
        <v>22358634.030000001</v>
      </c>
      <c r="R199" s="48">
        <f t="shared" si="49"/>
        <v>0.50514805178425959</v>
      </c>
      <c r="S199" s="49"/>
      <c r="T199" s="157">
        <f>IFERROR(VLOOKUP(B199,[1]Todos!$A$2:$C$3021,3,FALSE),0)</f>
        <v>2765.52</v>
      </c>
      <c r="U199" s="112">
        <f t="shared" ref="U199:U262" si="51">T199-F199</f>
        <v>0</v>
      </c>
      <c r="W199" s="157">
        <f>IFERROR(VLOOKUP(B199,[1]Todos!$A$2:$B$3021,2,FALSE),0)</f>
        <v>75607.27</v>
      </c>
      <c r="X199" s="112">
        <f t="shared" si="50"/>
        <v>0</v>
      </c>
    </row>
    <row r="200" spans="1:24" hidden="1" outlineLevel="2" x14ac:dyDescent="0.3">
      <c r="A200" s="40" t="str">
        <f>VLOOKUP(B200,Grupos!$A$2:$B$619,2,FALSE)</f>
        <v>TABLEROS 225 AMP COBRE</v>
      </c>
      <c r="B200" s="41" t="s">
        <v>289</v>
      </c>
      <c r="C200" s="41" t="s">
        <v>290</v>
      </c>
      <c r="D200" s="42">
        <v>124</v>
      </c>
      <c r="E200" s="43">
        <v>76731.53</v>
      </c>
      <c r="F200" s="192">
        <v>6731.65</v>
      </c>
      <c r="G200" s="126">
        <f t="shared" si="37"/>
        <v>83463.179999999993</v>
      </c>
      <c r="H200" s="127">
        <f t="shared" si="38"/>
        <v>9514709.7200000007</v>
      </c>
      <c r="I200" s="128">
        <f t="shared" si="39"/>
        <v>834724.6</v>
      </c>
      <c r="J200" s="128">
        <f t="shared" si="40"/>
        <v>10349434.319999998</v>
      </c>
      <c r="K200" s="44">
        <f t="shared" si="41"/>
        <v>6.6031863144283415E-3</v>
      </c>
      <c r="L200" s="45">
        <f t="shared" si="42"/>
        <v>23820.142729868185</v>
      </c>
      <c r="M200" s="45">
        <f t="shared" si="43"/>
        <v>44175.869925356405</v>
      </c>
      <c r="N200" s="45">
        <f t="shared" si="44"/>
        <v>151459.19265522459</v>
      </c>
      <c r="O200" s="46">
        <f t="shared" si="45"/>
        <v>18780939.88924785</v>
      </c>
      <c r="P200" s="47">
        <f t="shared" si="48"/>
        <v>226190.09</v>
      </c>
      <c r="Q200" s="42">
        <v>28047571.16</v>
      </c>
      <c r="R200" s="48">
        <f t="shared" si="49"/>
        <v>0.66961020553652284</v>
      </c>
      <c r="S200" s="49"/>
      <c r="T200" s="157">
        <f>IFERROR(VLOOKUP(B200,[1]Todos!$A$2:$C$3021,3,FALSE),0)</f>
        <v>6731.65</v>
      </c>
      <c r="U200" s="112">
        <f t="shared" si="51"/>
        <v>0</v>
      </c>
      <c r="W200" s="157">
        <f>IFERROR(VLOOKUP(B200,[1]Todos!$A$2:$B$3021,2,FALSE),0)</f>
        <v>76731.53</v>
      </c>
      <c r="X200" s="112">
        <f t="shared" si="50"/>
        <v>0</v>
      </c>
    </row>
    <row r="201" spans="1:24" hidden="1" outlineLevel="2" x14ac:dyDescent="0.3">
      <c r="A201" s="40" t="str">
        <f>VLOOKUP(B201,Grupos!$A$2:$B$619,2,FALSE)</f>
        <v>TABLEROS 225 AMP COBRE</v>
      </c>
      <c r="B201" s="41" t="s">
        <v>291</v>
      </c>
      <c r="C201" s="41" t="s">
        <v>292</v>
      </c>
      <c r="D201" s="42">
        <v>89</v>
      </c>
      <c r="E201" s="43">
        <v>80539.5</v>
      </c>
      <c r="F201" s="192">
        <v>2445.36</v>
      </c>
      <c r="G201" s="126">
        <f t="shared" si="37"/>
        <v>82984.86</v>
      </c>
      <c r="H201" s="127">
        <f t="shared" si="38"/>
        <v>7168015.5</v>
      </c>
      <c r="I201" s="128">
        <f t="shared" si="39"/>
        <v>217637.04</v>
      </c>
      <c r="J201" s="128">
        <f t="shared" si="40"/>
        <v>7385652.54</v>
      </c>
      <c r="K201" s="44">
        <f t="shared" si="41"/>
        <v>4.712222742551877E-3</v>
      </c>
      <c r="L201" s="45">
        <f t="shared" si="42"/>
        <v>23683.631627960131</v>
      </c>
      <c r="M201" s="45">
        <f t="shared" si="43"/>
        <v>16047.463145093632</v>
      </c>
      <c r="N201" s="45">
        <f t="shared" si="44"/>
        <v>122715.95477305376</v>
      </c>
      <c r="O201" s="46">
        <f t="shared" si="45"/>
        <v>10921719.974801784</v>
      </c>
      <c r="P201" s="47">
        <f t="shared" si="48"/>
        <v>181693.52314606743</v>
      </c>
      <c r="Q201" s="42">
        <v>16170723.560000001</v>
      </c>
      <c r="R201" s="48">
        <f t="shared" si="49"/>
        <v>0.67540082138425872</v>
      </c>
      <c r="S201" s="49"/>
      <c r="T201" s="157">
        <f>IFERROR(VLOOKUP(B201,[1]Todos!$A$2:$C$3021,3,FALSE),0)</f>
        <v>2445.36</v>
      </c>
      <c r="U201" s="112">
        <f t="shared" si="51"/>
        <v>0</v>
      </c>
      <c r="W201" s="157">
        <f>IFERROR(VLOOKUP(B201,[1]Todos!$A$2:$B$3021,2,FALSE),0)</f>
        <v>80539.5</v>
      </c>
      <c r="X201" s="112">
        <f t="shared" si="50"/>
        <v>0</v>
      </c>
    </row>
    <row r="202" spans="1:24" hidden="1" outlineLevel="2" x14ac:dyDescent="0.3">
      <c r="A202" s="40" t="str">
        <f>VLOOKUP(B202,Grupos!$A$2:$B$619,2,FALSE)</f>
        <v>TABLEROS 225 AMP COBRE</v>
      </c>
      <c r="B202" s="41" t="s">
        <v>293</v>
      </c>
      <c r="C202" s="41" t="s">
        <v>294</v>
      </c>
      <c r="D202" s="42">
        <v>166</v>
      </c>
      <c r="E202" s="43">
        <v>81441.52</v>
      </c>
      <c r="F202" s="192">
        <v>6711.62</v>
      </c>
      <c r="G202" s="126">
        <f t="shared" si="37"/>
        <v>88153.14</v>
      </c>
      <c r="H202" s="127">
        <f t="shared" si="38"/>
        <v>13519292.32</v>
      </c>
      <c r="I202" s="128">
        <f t="shared" si="39"/>
        <v>1114128.92</v>
      </c>
      <c r="J202" s="128">
        <f t="shared" si="40"/>
        <v>14633421.24</v>
      </c>
      <c r="K202" s="44">
        <f t="shared" si="41"/>
        <v>9.3364723015347401E-3</v>
      </c>
      <c r="L202" s="45">
        <f t="shared" si="42"/>
        <v>25158.643330940093</v>
      </c>
      <c r="M202" s="45">
        <f t="shared" si="43"/>
        <v>44044.424785664822</v>
      </c>
      <c r="N202" s="45">
        <f t="shared" si="44"/>
        <v>157356.20811660492</v>
      </c>
      <c r="O202" s="46">
        <f t="shared" si="45"/>
        <v>26121130.547356416</v>
      </c>
      <c r="P202" s="47">
        <f t="shared" si="48"/>
        <v>164767.99789156625</v>
      </c>
      <c r="Q202" s="42">
        <v>27351487.649999999</v>
      </c>
      <c r="R202" s="48">
        <f t="shared" si="49"/>
        <v>0.95501681230696855</v>
      </c>
      <c r="S202" s="49"/>
      <c r="T202" s="157">
        <f>IFERROR(VLOOKUP(B202,[1]Todos!$A$2:$C$3021,3,FALSE),0)</f>
        <v>6711.62</v>
      </c>
      <c r="U202" s="112">
        <f t="shared" si="51"/>
        <v>0</v>
      </c>
      <c r="W202" s="157">
        <f>IFERROR(VLOOKUP(B202,[1]Todos!$A$2:$B$3021,2,FALSE),0)</f>
        <v>81441.52</v>
      </c>
      <c r="X202" s="112">
        <f t="shared" si="50"/>
        <v>0</v>
      </c>
    </row>
    <row r="203" spans="1:24" hidden="1" outlineLevel="2" x14ac:dyDescent="0.3">
      <c r="A203" s="40" t="str">
        <f>VLOOKUP(B203,Grupos!$A$2:$B$619,2,FALSE)</f>
        <v>TABLEROS 225 AMP COBRE</v>
      </c>
      <c r="B203" s="41" t="s">
        <v>295</v>
      </c>
      <c r="C203" s="41" t="s">
        <v>296</v>
      </c>
      <c r="D203" s="42">
        <v>82</v>
      </c>
      <c r="E203" s="43">
        <v>94507.21</v>
      </c>
      <c r="F203" s="192">
        <v>3461.64</v>
      </c>
      <c r="G203" s="126">
        <f t="shared" si="37"/>
        <v>97968.85</v>
      </c>
      <c r="H203" s="127">
        <f t="shared" si="38"/>
        <v>7749591.2200000007</v>
      </c>
      <c r="I203" s="128">
        <f t="shared" si="39"/>
        <v>283854.48</v>
      </c>
      <c r="J203" s="128">
        <f t="shared" si="40"/>
        <v>8033445.7000000002</v>
      </c>
      <c r="K203" s="44">
        <f t="shared" si="41"/>
        <v>5.1255302525503839E-3</v>
      </c>
      <c r="L203" s="45">
        <f t="shared" si="42"/>
        <v>27960.017699793454</v>
      </c>
      <c r="M203" s="45">
        <f t="shared" si="43"/>
        <v>22716.712599200902</v>
      </c>
      <c r="N203" s="45">
        <f t="shared" si="44"/>
        <v>148645.58029899435</v>
      </c>
      <c r="O203" s="46">
        <f t="shared" si="45"/>
        <v>12188937.584517537</v>
      </c>
      <c r="P203" s="47">
        <f t="shared" si="48"/>
        <v>284268.64268292685</v>
      </c>
      <c r="Q203" s="42">
        <v>23310028.699999999</v>
      </c>
      <c r="R203" s="48">
        <f t="shared" si="49"/>
        <v>0.5229053014644095</v>
      </c>
      <c r="S203" s="49"/>
      <c r="T203" s="157">
        <f>IFERROR(VLOOKUP(B203,[1]Todos!$A$2:$C$3021,3,FALSE),0)</f>
        <v>3461.64</v>
      </c>
      <c r="U203" s="112">
        <f t="shared" si="51"/>
        <v>0</v>
      </c>
      <c r="W203" s="157">
        <f>IFERROR(VLOOKUP(B203,[1]Todos!$A$2:$B$3021,2,FALSE),0)</f>
        <v>94507.21</v>
      </c>
      <c r="X203" s="112">
        <f t="shared" si="50"/>
        <v>0</v>
      </c>
    </row>
    <row r="204" spans="1:24" hidden="1" outlineLevel="2" x14ac:dyDescent="0.3">
      <c r="A204" s="40" t="str">
        <f>VLOOKUP(B204,Grupos!$A$2:$B$619,2,FALSE)</f>
        <v>TABLEROS 225 AMP COBRE</v>
      </c>
      <c r="B204" s="41" t="s">
        <v>297</v>
      </c>
      <c r="C204" s="41" t="s">
        <v>298</v>
      </c>
      <c r="D204" s="42">
        <v>104</v>
      </c>
      <c r="E204" s="43">
        <v>95697.87</v>
      </c>
      <c r="F204" s="192">
        <v>7317.32</v>
      </c>
      <c r="G204" s="126">
        <f t="shared" si="37"/>
        <v>103015.19</v>
      </c>
      <c r="H204" s="127">
        <f t="shared" si="38"/>
        <v>9952578.4800000004</v>
      </c>
      <c r="I204" s="128">
        <f t="shared" si="39"/>
        <v>761001.28</v>
      </c>
      <c r="J204" s="128">
        <f t="shared" si="40"/>
        <v>10713579.76</v>
      </c>
      <c r="K204" s="44">
        <f t="shared" si="41"/>
        <v>6.8355198035372896E-3</v>
      </c>
      <c r="L204" s="45">
        <f t="shared" si="42"/>
        <v>29400.228090332646</v>
      </c>
      <c r="M204" s="45">
        <f t="shared" si="43"/>
        <v>48019.278560562263</v>
      </c>
      <c r="N204" s="45">
        <f t="shared" si="44"/>
        <v>180434.69665089491</v>
      </c>
      <c r="O204" s="46">
        <f t="shared" si="45"/>
        <v>18765208.451693069</v>
      </c>
      <c r="P204" s="47">
        <f t="shared" si="48"/>
        <v>279942.72721153847</v>
      </c>
      <c r="Q204" s="42">
        <v>29114043.629999999</v>
      </c>
      <c r="R204" s="48">
        <f t="shared" si="49"/>
        <v>0.64454146906466903</v>
      </c>
      <c r="S204" s="49"/>
      <c r="T204" s="157">
        <f>IFERROR(VLOOKUP(B204,[1]Todos!$A$2:$C$3021,3,FALSE),0)</f>
        <v>7317.32</v>
      </c>
      <c r="U204" s="112">
        <f t="shared" si="51"/>
        <v>0</v>
      </c>
      <c r="W204" s="157">
        <f>IFERROR(VLOOKUP(B204,[1]Todos!$A$2:$B$3021,2,FALSE),0)</f>
        <v>95697.87</v>
      </c>
      <c r="X204" s="112">
        <f t="shared" si="50"/>
        <v>0</v>
      </c>
    </row>
    <row r="205" spans="1:24" hidden="1" outlineLevel="2" x14ac:dyDescent="0.3">
      <c r="A205" s="40" t="str">
        <f>VLOOKUP(B205,Grupos!$A$2:$B$619,2,FALSE)</f>
        <v>TABLEROS 225 AMP COBRE</v>
      </c>
      <c r="B205" s="41" t="s">
        <v>299</v>
      </c>
      <c r="C205" s="41" t="s">
        <v>300</v>
      </c>
      <c r="D205" s="42">
        <v>60</v>
      </c>
      <c r="E205" s="43">
        <v>99954.11</v>
      </c>
      <c r="F205" s="192">
        <v>2850.14</v>
      </c>
      <c r="G205" s="126">
        <f t="shared" si="37"/>
        <v>102804.25</v>
      </c>
      <c r="H205" s="127">
        <f t="shared" si="38"/>
        <v>5997246.5999999996</v>
      </c>
      <c r="I205" s="128">
        <f t="shared" si="39"/>
        <v>171008.4</v>
      </c>
      <c r="J205" s="128">
        <f t="shared" si="40"/>
        <v>6168255</v>
      </c>
      <c r="K205" s="44">
        <f t="shared" si="41"/>
        <v>3.9354940319003048E-3</v>
      </c>
      <c r="L205" s="45">
        <f t="shared" si="42"/>
        <v>29340.026443241815</v>
      </c>
      <c r="M205" s="45">
        <f t="shared" si="43"/>
        <v>18703.79682678917</v>
      </c>
      <c r="N205" s="45">
        <f t="shared" si="44"/>
        <v>150848.07327003096</v>
      </c>
      <c r="O205" s="46">
        <f t="shared" si="45"/>
        <v>9050884.3962018583</v>
      </c>
      <c r="P205" s="47">
        <f t="shared" si="48"/>
        <v>223734.62</v>
      </c>
      <c r="Q205" s="42">
        <v>13424077.199999999</v>
      </c>
      <c r="R205" s="48">
        <f t="shared" si="49"/>
        <v>0.6742276777283327</v>
      </c>
      <c r="S205" s="49"/>
      <c r="T205" s="157">
        <f>IFERROR(VLOOKUP(B205,[1]Todos!$A$2:$C$3021,3,FALSE),0)</f>
        <v>2850.14</v>
      </c>
      <c r="U205" s="112">
        <f t="shared" si="51"/>
        <v>0</v>
      </c>
      <c r="W205" s="157">
        <f>IFERROR(VLOOKUP(B205,[1]Todos!$A$2:$B$3021,2,FALSE),0)</f>
        <v>99954.11</v>
      </c>
      <c r="X205" s="112">
        <f t="shared" si="50"/>
        <v>0</v>
      </c>
    </row>
    <row r="206" spans="1:24" hidden="1" outlineLevel="2" x14ac:dyDescent="0.3">
      <c r="A206" s="40" t="str">
        <f>VLOOKUP(B206,Grupos!$A$2:$B$619,2,FALSE)</f>
        <v>TABLEROS 225 AMP COBRE</v>
      </c>
      <c r="B206" s="41" t="s">
        <v>301</v>
      </c>
      <c r="C206" s="41" t="s">
        <v>302</v>
      </c>
      <c r="D206" s="42">
        <v>109</v>
      </c>
      <c r="E206" s="43">
        <v>100922.53</v>
      </c>
      <c r="F206" s="192">
        <v>6892.31</v>
      </c>
      <c r="G206" s="126">
        <f t="shared" si="37"/>
        <v>107814.84</v>
      </c>
      <c r="H206" s="127">
        <f t="shared" si="38"/>
        <v>11000555.77</v>
      </c>
      <c r="I206" s="128">
        <f t="shared" si="39"/>
        <v>751261.79</v>
      </c>
      <c r="J206" s="128">
        <f t="shared" si="40"/>
        <v>11751817.560000001</v>
      </c>
      <c r="K206" s="44">
        <f t="shared" si="41"/>
        <v>7.4979403204571164E-3</v>
      </c>
      <c r="L206" s="45">
        <f t="shared" si="42"/>
        <v>30770.033890368206</v>
      </c>
      <c r="M206" s="45">
        <f t="shared" si="43"/>
        <v>45230.187256502228</v>
      </c>
      <c r="N206" s="45">
        <f t="shared" si="44"/>
        <v>183815.06114687043</v>
      </c>
      <c r="O206" s="46">
        <f t="shared" si="45"/>
        <v>20035841.665008876</v>
      </c>
      <c r="P206" s="47">
        <f t="shared" si="48"/>
        <v>203589.78908256881</v>
      </c>
      <c r="Q206" s="42">
        <v>22191287.010000002</v>
      </c>
      <c r="R206" s="48">
        <f t="shared" si="49"/>
        <v>0.90286974594939795</v>
      </c>
      <c r="S206" s="49"/>
      <c r="T206" s="157">
        <f>IFERROR(VLOOKUP(B206,[1]Todos!$A$2:$C$3021,3,FALSE),0)</f>
        <v>6892.31</v>
      </c>
      <c r="U206" s="112">
        <f t="shared" si="51"/>
        <v>0</v>
      </c>
      <c r="W206" s="157">
        <f>IFERROR(VLOOKUP(B206,[1]Todos!$A$2:$B$3021,2,FALSE),0)</f>
        <v>100922.53</v>
      </c>
      <c r="X206" s="112">
        <f t="shared" si="50"/>
        <v>0</v>
      </c>
    </row>
    <row r="207" spans="1:24" hidden="1" outlineLevel="2" x14ac:dyDescent="0.3">
      <c r="A207" s="40" t="str">
        <f>VLOOKUP(B207,Grupos!$A$2:$B$619,2,FALSE)</f>
        <v>TABLEROS 225 AMP COBRE</v>
      </c>
      <c r="B207" s="41" t="s">
        <v>303</v>
      </c>
      <c r="C207" s="41" t="s">
        <v>304</v>
      </c>
      <c r="D207" s="42">
        <v>51</v>
      </c>
      <c r="E207" s="43">
        <v>105072.44</v>
      </c>
      <c r="F207" s="192">
        <v>3539.41</v>
      </c>
      <c r="G207" s="126">
        <f t="shared" si="37"/>
        <v>108611.85</v>
      </c>
      <c r="H207" s="127">
        <f t="shared" si="38"/>
        <v>5358694.4400000004</v>
      </c>
      <c r="I207" s="128">
        <f t="shared" si="39"/>
        <v>180509.91</v>
      </c>
      <c r="J207" s="128">
        <f t="shared" si="40"/>
        <v>5539204.3500000006</v>
      </c>
      <c r="K207" s="44">
        <f t="shared" si="41"/>
        <v>3.5341446909865452E-3</v>
      </c>
      <c r="L207" s="45">
        <f t="shared" si="42"/>
        <v>30997.498168114784</v>
      </c>
      <c r="M207" s="45">
        <f t="shared" si="43"/>
        <v>23227.07148656061</v>
      </c>
      <c r="N207" s="45">
        <f t="shared" si="44"/>
        <v>162836.41965467538</v>
      </c>
      <c r="O207" s="46">
        <f t="shared" si="45"/>
        <v>8304657.4023884442</v>
      </c>
      <c r="P207" s="47">
        <f t="shared" si="48"/>
        <v>326870.16333333333</v>
      </c>
      <c r="Q207" s="42">
        <v>16670378.33</v>
      </c>
      <c r="R207" s="48">
        <f t="shared" si="49"/>
        <v>0.49816850211751879</v>
      </c>
      <c r="S207" s="49"/>
      <c r="T207" s="157">
        <f>IFERROR(VLOOKUP(B207,[1]Todos!$A$2:$C$3021,3,FALSE),0)</f>
        <v>3539.41</v>
      </c>
      <c r="U207" s="112">
        <f t="shared" si="51"/>
        <v>0</v>
      </c>
      <c r="W207" s="157">
        <f>IFERROR(VLOOKUP(B207,[1]Todos!$A$2:$B$3021,2,FALSE),0)</f>
        <v>105072.44</v>
      </c>
      <c r="X207" s="112">
        <f t="shared" si="50"/>
        <v>0</v>
      </c>
    </row>
    <row r="208" spans="1:24" hidden="1" outlineLevel="2" x14ac:dyDescent="0.3">
      <c r="A208" s="40" t="str">
        <f>VLOOKUP(B208,Grupos!$A$2:$B$619,2,FALSE)</f>
        <v>TABLEROS 225 AMP COBRE</v>
      </c>
      <c r="B208" s="41" t="s">
        <v>305</v>
      </c>
      <c r="C208" s="41" t="s">
        <v>306</v>
      </c>
      <c r="D208" s="42">
        <v>113</v>
      </c>
      <c r="E208" s="43">
        <v>106329.52</v>
      </c>
      <c r="F208" s="192">
        <v>7569.93</v>
      </c>
      <c r="G208" s="126">
        <f t="shared" si="37"/>
        <v>113899.45000000001</v>
      </c>
      <c r="H208" s="127">
        <f t="shared" si="38"/>
        <v>12015235.76</v>
      </c>
      <c r="I208" s="128">
        <f t="shared" si="39"/>
        <v>855402.09000000008</v>
      </c>
      <c r="J208" s="128">
        <f t="shared" si="40"/>
        <v>12870637.850000001</v>
      </c>
      <c r="K208" s="44">
        <f t="shared" si="41"/>
        <v>8.2117743908812421E-3</v>
      </c>
      <c r="L208" s="45">
        <f t="shared" si="42"/>
        <v>32506.563443346939</v>
      </c>
      <c r="M208" s="45">
        <f t="shared" si="43"/>
        <v>49677.009800576867</v>
      </c>
      <c r="N208" s="45">
        <f t="shared" si="44"/>
        <v>196083.02324392382</v>
      </c>
      <c r="O208" s="46">
        <f t="shared" si="45"/>
        <v>22157381.626563393</v>
      </c>
      <c r="P208" s="47">
        <f t="shared" si="48"/>
        <v>310969.96823008847</v>
      </c>
      <c r="Q208" s="42">
        <v>35139606.409999996</v>
      </c>
      <c r="R208" s="48">
        <f t="shared" si="49"/>
        <v>0.63055292560869047</v>
      </c>
      <c r="S208" s="49"/>
      <c r="T208" s="157">
        <f>IFERROR(VLOOKUP(B208,[1]Todos!$A$2:$C$3021,3,FALSE),0)</f>
        <v>7569.93</v>
      </c>
      <c r="U208" s="112">
        <f t="shared" si="51"/>
        <v>0</v>
      </c>
      <c r="W208" s="157">
        <f>IFERROR(VLOOKUP(B208,[1]Todos!$A$2:$B$3021,2,FALSE),0)</f>
        <v>106329.52</v>
      </c>
      <c r="X208" s="112">
        <f t="shared" si="50"/>
        <v>0</v>
      </c>
    </row>
    <row r="209" spans="1:24" hidden="1" outlineLevel="2" x14ac:dyDescent="0.3">
      <c r="A209" s="40" t="str">
        <f>VLOOKUP(B209,Grupos!$A$2:$B$619,2,FALSE)</f>
        <v>TABLEROS 225 AMP COBRE</v>
      </c>
      <c r="B209" s="41" t="s">
        <v>307</v>
      </c>
      <c r="C209" s="41" t="s">
        <v>308</v>
      </c>
      <c r="D209" s="42">
        <v>13</v>
      </c>
      <c r="E209" s="43">
        <v>120185.12</v>
      </c>
      <c r="F209" s="192">
        <v>2948.41</v>
      </c>
      <c r="G209" s="126">
        <f t="shared" si="37"/>
        <v>123133.53</v>
      </c>
      <c r="H209" s="127">
        <f t="shared" si="38"/>
        <v>1562406.56</v>
      </c>
      <c r="I209" s="128">
        <f t="shared" si="39"/>
        <v>38329.33</v>
      </c>
      <c r="J209" s="128">
        <f t="shared" si="40"/>
        <v>1600735.89</v>
      </c>
      <c r="K209" s="44">
        <f t="shared" si="41"/>
        <v>1.0213077348040285E-3</v>
      </c>
      <c r="L209" s="45">
        <f t="shared" si="42"/>
        <v>35141.942344306866</v>
      </c>
      <c r="M209" s="45">
        <f t="shared" si="43"/>
        <v>19348.685188121795</v>
      </c>
      <c r="N209" s="45">
        <f t="shared" si="44"/>
        <v>177624.15753242868</v>
      </c>
      <c r="O209" s="46">
        <f t="shared" si="45"/>
        <v>2309114.0479215728</v>
      </c>
      <c r="P209" s="47">
        <f t="shared" si="48"/>
        <v>269639.98307692306</v>
      </c>
      <c r="Q209" s="42">
        <v>3505319.78</v>
      </c>
      <c r="R209" s="48">
        <f t="shared" si="49"/>
        <v>0.65874561890087324</v>
      </c>
      <c r="S209" s="49"/>
      <c r="T209" s="157">
        <f>IFERROR(VLOOKUP(B209,[1]Todos!$A$2:$C$3021,3,FALSE),0)</f>
        <v>2948.41</v>
      </c>
      <c r="U209" s="112">
        <f t="shared" si="51"/>
        <v>0</v>
      </c>
      <c r="W209" s="157">
        <f>IFERROR(VLOOKUP(B209,[1]Todos!$A$2:$B$3021,2,FALSE),0)</f>
        <v>120185.12</v>
      </c>
      <c r="X209" s="112">
        <f t="shared" si="50"/>
        <v>0</v>
      </c>
    </row>
    <row r="210" spans="1:24" hidden="1" outlineLevel="2" x14ac:dyDescent="0.3">
      <c r="A210" s="40" t="str">
        <f>VLOOKUP(B210,Grupos!$A$2:$B$619,2,FALSE)</f>
        <v>TABLEROS 225 AMP COBRE</v>
      </c>
      <c r="B210" s="41" t="s">
        <v>309</v>
      </c>
      <c r="C210" s="41" t="s">
        <v>310</v>
      </c>
      <c r="D210" s="42">
        <v>15</v>
      </c>
      <c r="E210" s="43">
        <v>121240.25</v>
      </c>
      <c r="F210" s="192">
        <v>7224.29</v>
      </c>
      <c r="G210" s="126">
        <f t="shared" si="37"/>
        <v>128464.54</v>
      </c>
      <c r="H210" s="127">
        <f t="shared" si="38"/>
        <v>1818603.75</v>
      </c>
      <c r="I210" s="128">
        <f t="shared" si="39"/>
        <v>108364.35</v>
      </c>
      <c r="J210" s="128">
        <f t="shared" si="40"/>
        <v>1926968.0999999999</v>
      </c>
      <c r="K210" s="44">
        <f t="shared" si="41"/>
        <v>1.229451677534776E-3</v>
      </c>
      <c r="L210" s="45">
        <f t="shared" si="42"/>
        <v>36663.396704113846</v>
      </c>
      <c r="M210" s="45">
        <f t="shared" si="43"/>
        <v>47408.777245259786</v>
      </c>
      <c r="N210" s="45">
        <f t="shared" si="44"/>
        <v>212536.71394937363</v>
      </c>
      <c r="O210" s="46">
        <f t="shared" si="45"/>
        <v>3188050.7092406047</v>
      </c>
      <c r="P210" s="47">
        <f t="shared" si="48"/>
        <v>262176.26466666668</v>
      </c>
      <c r="Q210" s="42">
        <v>3932643.97</v>
      </c>
      <c r="R210" s="48">
        <f t="shared" si="49"/>
        <v>0.81066344514288802</v>
      </c>
      <c r="S210" s="49"/>
      <c r="T210" s="157">
        <f>IFERROR(VLOOKUP(B210,[1]Todos!$A$2:$C$3021,3,FALSE),0)</f>
        <v>7224.29</v>
      </c>
      <c r="U210" s="112">
        <f t="shared" si="51"/>
        <v>0</v>
      </c>
      <c r="W210" s="157">
        <f>IFERROR(VLOOKUP(B210,[1]Todos!$A$2:$B$3021,2,FALSE),0)</f>
        <v>121240.25</v>
      </c>
      <c r="X210" s="112">
        <f t="shared" si="50"/>
        <v>0</v>
      </c>
    </row>
    <row r="211" spans="1:24" hidden="1" outlineLevel="2" x14ac:dyDescent="0.3">
      <c r="A211" s="40" t="str">
        <f>VLOOKUP(B211,Grupos!$A$2:$B$619,2,FALSE)</f>
        <v>TABLEROS 225 AMP COBRE</v>
      </c>
      <c r="B211" s="41" t="s">
        <v>311</v>
      </c>
      <c r="C211" s="41" t="s">
        <v>312</v>
      </c>
      <c r="D211" s="42">
        <v>10</v>
      </c>
      <c r="E211" s="43">
        <v>134830.51999999999</v>
      </c>
      <c r="F211" s="192">
        <v>3402.52</v>
      </c>
      <c r="G211" s="126">
        <f t="shared" si="37"/>
        <v>138233.03999999998</v>
      </c>
      <c r="H211" s="127">
        <f t="shared" si="38"/>
        <v>1348305.2</v>
      </c>
      <c r="I211" s="128">
        <f t="shared" si="39"/>
        <v>34025.199999999997</v>
      </c>
      <c r="J211" s="128">
        <f t="shared" si="40"/>
        <v>1382330.4</v>
      </c>
      <c r="K211" s="44">
        <f t="shared" si="41"/>
        <v>8.8195981510400608E-4</v>
      </c>
      <c r="L211" s="45">
        <f t="shared" si="42"/>
        <v>39451.297479721936</v>
      </c>
      <c r="M211" s="45">
        <f t="shared" si="43"/>
        <v>22328.742721089729</v>
      </c>
      <c r="N211" s="45">
        <f t="shared" si="44"/>
        <v>200013.08020081167</v>
      </c>
      <c r="O211" s="46">
        <f t="shared" si="45"/>
        <v>2000130.8020081166</v>
      </c>
      <c r="P211" s="47">
        <f t="shared" si="48"/>
        <v>386059.97700000001</v>
      </c>
      <c r="Q211" s="42">
        <v>3860599.77</v>
      </c>
      <c r="R211" s="48">
        <f t="shared" si="49"/>
        <v>0.51808810059793287</v>
      </c>
      <c r="S211" s="49"/>
      <c r="T211" s="157">
        <f>IFERROR(VLOOKUP(B211,[1]Todos!$A$2:$C$3021,3,FALSE),0)</f>
        <v>3402.52</v>
      </c>
      <c r="U211" s="112">
        <f t="shared" si="51"/>
        <v>0</v>
      </c>
      <c r="W211" s="157">
        <f>IFERROR(VLOOKUP(B211,[1]Todos!$A$2:$B$3021,2,FALSE),0)</f>
        <v>135202.51999999999</v>
      </c>
      <c r="X211" s="112">
        <f t="shared" si="50"/>
        <v>372</v>
      </c>
    </row>
    <row r="212" spans="1:24" hidden="1" outlineLevel="2" x14ac:dyDescent="0.3">
      <c r="A212" s="40" t="str">
        <f>VLOOKUP(B212,Grupos!$A$2:$B$619,2,FALSE)</f>
        <v>TABLEROS 225 AMP COBRE</v>
      </c>
      <c r="B212" s="41" t="s">
        <v>313</v>
      </c>
      <c r="C212" s="41" t="s">
        <v>314</v>
      </c>
      <c r="D212" s="42">
        <v>15</v>
      </c>
      <c r="E212" s="43">
        <v>136152.6</v>
      </c>
      <c r="F212" s="192">
        <v>7621.55</v>
      </c>
      <c r="G212" s="126">
        <f t="shared" si="37"/>
        <v>143774.15</v>
      </c>
      <c r="H212" s="127">
        <f t="shared" si="38"/>
        <v>2042289</v>
      </c>
      <c r="I212" s="128">
        <f t="shared" si="39"/>
        <v>114323.25</v>
      </c>
      <c r="J212" s="128">
        <f t="shared" si="40"/>
        <v>2156612.25</v>
      </c>
      <c r="K212" s="44">
        <f t="shared" si="41"/>
        <v>1.3759701307741151E-3</v>
      </c>
      <c r="L212" s="45">
        <f t="shared" si="42"/>
        <v>41032.713753124168</v>
      </c>
      <c r="M212" s="45">
        <f t="shared" si="43"/>
        <v>50015.761578454039</v>
      </c>
      <c r="N212" s="45">
        <f t="shared" si="44"/>
        <v>234822.62533157819</v>
      </c>
      <c r="O212" s="46">
        <f t="shared" si="45"/>
        <v>3522339.3799736728</v>
      </c>
      <c r="P212" s="47">
        <f t="shared" si="48"/>
        <v>364922.98599999998</v>
      </c>
      <c r="Q212" s="42">
        <v>5473844.79</v>
      </c>
      <c r="R212" s="48">
        <f t="shared" si="49"/>
        <v>0.64348543210588049</v>
      </c>
      <c r="S212" s="49"/>
      <c r="T212" s="157">
        <f>IFERROR(VLOOKUP(B212,[1]Todos!$A$2:$C$3021,3,FALSE),0)</f>
        <v>7621.55</v>
      </c>
      <c r="U212" s="112">
        <f t="shared" si="51"/>
        <v>0</v>
      </c>
      <c r="W212" s="157">
        <f>IFERROR(VLOOKUP(B212,[1]Todos!$A$2:$B$3021,2,FALSE),0)</f>
        <v>136524.6</v>
      </c>
      <c r="X212" s="112">
        <f t="shared" si="50"/>
        <v>372</v>
      </c>
    </row>
    <row r="213" spans="1:24" hidden="1" outlineLevel="2" x14ac:dyDescent="0.3">
      <c r="A213" s="40" t="str">
        <f>VLOOKUP(B213,Grupos!$A$2:$B$619,2,FALSE)</f>
        <v>TABLEROS 225 AMP COBRE</v>
      </c>
      <c r="B213" s="41" t="s">
        <v>315</v>
      </c>
      <c r="C213" s="41" t="s">
        <v>316</v>
      </c>
      <c r="D213" s="42">
        <v>30</v>
      </c>
      <c r="E213" s="43">
        <v>139692.1</v>
      </c>
      <c r="F213" s="192">
        <v>3665.93</v>
      </c>
      <c r="G213" s="126">
        <f t="shared" si="37"/>
        <v>143358.03</v>
      </c>
      <c r="H213" s="127">
        <f t="shared" si="38"/>
        <v>4190763</v>
      </c>
      <c r="I213" s="128">
        <f t="shared" si="39"/>
        <v>109977.9</v>
      </c>
      <c r="J213" s="128">
        <f t="shared" si="40"/>
        <v>4300740.9000000004</v>
      </c>
      <c r="K213" s="44">
        <f t="shared" si="41"/>
        <v>2.7439754265508719E-3</v>
      </c>
      <c r="L213" s="45">
        <f t="shared" si="42"/>
        <v>40913.9543457693</v>
      </c>
      <c r="M213" s="45">
        <f t="shared" si="43"/>
        <v>24057.348025441283</v>
      </c>
      <c r="N213" s="45">
        <f t="shared" si="44"/>
        <v>208329.33237121059</v>
      </c>
      <c r="O213" s="46">
        <f t="shared" si="45"/>
        <v>6249879.9711363176</v>
      </c>
      <c r="P213" s="47">
        <f t="shared" si="48"/>
        <v>294727.01566666667</v>
      </c>
      <c r="Q213" s="42">
        <v>8841810.4700000007</v>
      </c>
      <c r="R213" s="48">
        <f t="shared" si="49"/>
        <v>0.70685522974530768</v>
      </c>
      <c r="S213" s="49"/>
      <c r="T213" s="157">
        <f>IFERROR(VLOOKUP(B213,[1]Todos!$A$2:$C$3021,3,FALSE),0)</f>
        <v>3665.93</v>
      </c>
      <c r="U213" s="112">
        <f t="shared" si="51"/>
        <v>0</v>
      </c>
      <c r="W213" s="157">
        <f>IFERROR(VLOOKUP(B213,[1]Todos!$A$2:$B$3021,2,FALSE),0)</f>
        <v>139692.1</v>
      </c>
      <c r="X213" s="112">
        <f t="shared" si="50"/>
        <v>0</v>
      </c>
    </row>
    <row r="214" spans="1:24" hidden="1" outlineLevel="2" x14ac:dyDescent="0.3">
      <c r="A214" s="40" t="str">
        <f>VLOOKUP(B214,Grupos!$A$2:$B$619,2,FALSE)</f>
        <v>TABLEROS 225 AMP COBRE</v>
      </c>
      <c r="B214" s="41" t="s">
        <v>317</v>
      </c>
      <c r="C214" s="41" t="s">
        <v>318</v>
      </c>
      <c r="D214" s="42">
        <v>28</v>
      </c>
      <c r="E214" s="43">
        <v>140771.03</v>
      </c>
      <c r="F214" s="192">
        <v>7561.91</v>
      </c>
      <c r="G214" s="126">
        <f t="shared" si="37"/>
        <v>148332.94</v>
      </c>
      <c r="H214" s="127">
        <f t="shared" si="38"/>
        <v>3941588.84</v>
      </c>
      <c r="I214" s="128">
        <f t="shared" si="39"/>
        <v>211733.47999999998</v>
      </c>
      <c r="J214" s="128">
        <f t="shared" si="40"/>
        <v>4153322.3200000003</v>
      </c>
      <c r="K214" s="44">
        <f t="shared" si="41"/>
        <v>2.6499188511042962E-3</v>
      </c>
      <c r="L214" s="45">
        <f t="shared" si="42"/>
        <v>42333.778827274182</v>
      </c>
      <c r="M214" s="45">
        <f t="shared" si="43"/>
        <v>49624.379245393313</v>
      </c>
      <c r="N214" s="45">
        <f t="shared" si="44"/>
        <v>240291.09807266749</v>
      </c>
      <c r="O214" s="46">
        <f t="shared" si="45"/>
        <v>6728150.7460346892</v>
      </c>
      <c r="P214" s="47">
        <f t="shared" si="48"/>
        <v>291964.05285714287</v>
      </c>
      <c r="Q214" s="42">
        <v>8174993.4800000004</v>
      </c>
      <c r="R214" s="48">
        <f t="shared" si="49"/>
        <v>0.8230160381772792</v>
      </c>
      <c r="S214" s="49"/>
      <c r="T214" s="157">
        <f>IFERROR(VLOOKUP(B214,[1]Todos!$A$2:$C$3021,3,FALSE),0)</f>
        <v>7561.91</v>
      </c>
      <c r="U214" s="112">
        <f t="shared" si="51"/>
        <v>0</v>
      </c>
      <c r="W214" s="157">
        <f>IFERROR(VLOOKUP(B214,[1]Todos!$A$2:$B$3021,2,FALSE),0)</f>
        <v>140771.03</v>
      </c>
      <c r="X214" s="112">
        <f t="shared" si="50"/>
        <v>0</v>
      </c>
    </row>
    <row r="215" spans="1:24" hidden="1" outlineLevel="2" x14ac:dyDescent="0.3">
      <c r="A215" s="40" t="str">
        <f>VLOOKUP(B215,Grupos!$A$2:$B$619,2,FALSE)</f>
        <v>TABLEROS 225 AMP COBRE</v>
      </c>
      <c r="B215" s="41" t="s">
        <v>319</v>
      </c>
      <c r="C215" s="41" t="s">
        <v>320</v>
      </c>
      <c r="D215" s="42">
        <v>39</v>
      </c>
      <c r="E215" s="43">
        <v>153964.97</v>
      </c>
      <c r="F215" s="192">
        <v>4491.3900000000003</v>
      </c>
      <c r="G215" s="126">
        <f t="shared" si="37"/>
        <v>158456.36000000002</v>
      </c>
      <c r="H215" s="127">
        <f t="shared" si="38"/>
        <v>6004633.8300000001</v>
      </c>
      <c r="I215" s="128">
        <f t="shared" si="39"/>
        <v>175164.21000000002</v>
      </c>
      <c r="J215" s="128">
        <f t="shared" si="40"/>
        <v>6179798.040000001</v>
      </c>
      <c r="K215" s="44">
        <f t="shared" si="41"/>
        <v>3.9428587671503862E-3</v>
      </c>
      <c r="L215" s="45">
        <f t="shared" si="42"/>
        <v>45222.972712702496</v>
      </c>
      <c r="M215" s="45">
        <f t="shared" si="43"/>
        <v>29474.357761328432</v>
      </c>
      <c r="N215" s="45">
        <f t="shared" si="44"/>
        <v>233153.69047403094</v>
      </c>
      <c r="O215" s="46">
        <f t="shared" si="45"/>
        <v>9092993.9284872059</v>
      </c>
      <c r="P215" s="47">
        <f t="shared" si="48"/>
        <v>413903.58717948716</v>
      </c>
      <c r="Q215" s="42">
        <v>16142239.9</v>
      </c>
      <c r="R215" s="48">
        <f t="shared" si="49"/>
        <v>0.56330434839388088</v>
      </c>
      <c r="S215" s="49"/>
      <c r="T215" s="157">
        <f>IFERROR(VLOOKUP(B215,[1]Todos!$A$2:$C$3021,3,FALSE),0)</f>
        <v>4491.3900000000003</v>
      </c>
      <c r="U215" s="112">
        <f t="shared" si="51"/>
        <v>0</v>
      </c>
      <c r="W215" s="157">
        <f>IFERROR(VLOOKUP(B215,[1]Todos!$A$2:$B$3021,2,FALSE),0)</f>
        <v>154336.97</v>
      </c>
      <c r="X215" s="112">
        <f t="shared" si="50"/>
        <v>372</v>
      </c>
    </row>
    <row r="216" spans="1:24" hidden="1" outlineLevel="2" x14ac:dyDescent="0.3">
      <c r="A216" s="40" t="str">
        <f>VLOOKUP(B216,Grupos!$A$2:$B$619,2,FALSE)</f>
        <v>TABLEROS 225 AMP COBRE</v>
      </c>
      <c r="B216" s="41" t="s">
        <v>321</v>
      </c>
      <c r="C216" s="41" t="s">
        <v>322</v>
      </c>
      <c r="D216" s="42">
        <v>57</v>
      </c>
      <c r="E216" s="43">
        <v>155353.47</v>
      </c>
      <c r="F216" s="192">
        <v>9184.11</v>
      </c>
      <c r="G216" s="126">
        <f t="shared" ref="G216:G287" si="52">E216+F216</f>
        <v>164537.58000000002</v>
      </c>
      <c r="H216" s="127">
        <f t="shared" ref="H216:H287" si="53">E216*D216</f>
        <v>8855147.790000001</v>
      </c>
      <c r="I216" s="128">
        <f t="shared" ref="I216:I287" si="54">F216*D216</f>
        <v>523494.27</v>
      </c>
      <c r="J216" s="128">
        <f t="shared" ref="J216:J287" si="55">G216*D216</f>
        <v>9378642.0600000005</v>
      </c>
      <c r="K216" s="44">
        <f t="shared" ref="K216:K287" si="56">J216/$J$303</f>
        <v>5.9837976631088021E-3</v>
      </c>
      <c r="L216" s="45">
        <f t="shared" ref="L216:L287" si="57">$K$373*K216/D216</f>
        <v>46958.53476978837</v>
      </c>
      <c r="M216" s="45">
        <f t="shared" ref="M216:M287" si="58">F216*$M$372</f>
        <v>60269.926205338226</v>
      </c>
      <c r="N216" s="45">
        <f t="shared" ref="N216:N287" si="59">G216+L216+M216</f>
        <v>271766.04097512661</v>
      </c>
      <c r="O216" s="46">
        <f t="shared" ref="O216:O287" si="60">N216*D216</f>
        <v>15490664.335582217</v>
      </c>
      <c r="P216" s="47">
        <f t="shared" si="48"/>
        <v>413999.64701754384</v>
      </c>
      <c r="Q216" s="42">
        <v>23597979.879999999</v>
      </c>
      <c r="R216" s="48">
        <f t="shared" si="49"/>
        <v>0.65644027219088463</v>
      </c>
      <c r="S216" s="49"/>
      <c r="T216" s="157">
        <f>IFERROR(VLOOKUP(B216,[1]Todos!$A$2:$C$3021,3,FALSE),0)</f>
        <v>9184.11</v>
      </c>
      <c r="U216" s="112">
        <f t="shared" si="51"/>
        <v>0</v>
      </c>
      <c r="W216" s="157">
        <f>IFERROR(VLOOKUP(B216,[1]Todos!$A$2:$B$3021,2,FALSE),0)</f>
        <v>155725.47</v>
      </c>
      <c r="X216" s="112">
        <f t="shared" si="50"/>
        <v>372</v>
      </c>
    </row>
    <row r="217" spans="1:24" hidden="1" outlineLevel="2" x14ac:dyDescent="0.3">
      <c r="A217" s="40" t="str">
        <f>VLOOKUP(B217,Grupos!$A$2:$B$619,2,FALSE)</f>
        <v>TABLEROS 225 AMP COBRE</v>
      </c>
      <c r="B217" s="41" t="s">
        <v>323</v>
      </c>
      <c r="C217" s="41" t="s">
        <v>324</v>
      </c>
      <c r="D217" s="42">
        <v>15</v>
      </c>
      <c r="E217" s="43">
        <v>150708.57</v>
      </c>
      <c r="F217" s="192">
        <v>3953.93</v>
      </c>
      <c r="G217" s="126">
        <f t="shared" si="52"/>
        <v>154662.5</v>
      </c>
      <c r="H217" s="127">
        <f t="shared" si="53"/>
        <v>2260628.5500000003</v>
      </c>
      <c r="I217" s="128">
        <f t="shared" si="54"/>
        <v>59308.95</v>
      </c>
      <c r="J217" s="128">
        <f t="shared" si="55"/>
        <v>2319937.5</v>
      </c>
      <c r="K217" s="44">
        <f t="shared" si="56"/>
        <v>1.4801755416453623E-3</v>
      </c>
      <c r="L217" s="45">
        <f t="shared" si="57"/>
        <v>44140.216379944286</v>
      </c>
      <c r="M217" s="45">
        <f t="shared" si="58"/>
        <v>25947.323074426695</v>
      </c>
      <c r="N217" s="45">
        <f t="shared" si="59"/>
        <v>224750.039454371</v>
      </c>
      <c r="O217" s="46">
        <f t="shared" si="60"/>
        <v>3371250.5918155648</v>
      </c>
      <c r="P217" s="47">
        <f t="shared" si="48"/>
        <v>355781.98533333337</v>
      </c>
      <c r="Q217" s="42">
        <v>5336729.78</v>
      </c>
      <c r="R217" s="48">
        <f t="shared" si="49"/>
        <v>0.6317071935044769</v>
      </c>
      <c r="S217" s="49"/>
      <c r="T217" s="157">
        <f>IFERROR(VLOOKUP(B217,[1]Todos!$A$2:$C$3021,3,FALSE),0)</f>
        <v>3953.93</v>
      </c>
      <c r="U217" s="112">
        <f t="shared" si="51"/>
        <v>0</v>
      </c>
      <c r="W217" s="157">
        <f>IFERROR(VLOOKUP(B217,[1]Todos!$A$2:$B$3021,2,FALSE),0)</f>
        <v>150708.57</v>
      </c>
      <c r="X217" s="112">
        <f t="shared" si="50"/>
        <v>0</v>
      </c>
    </row>
    <row r="218" spans="1:24" hidden="1" outlineLevel="2" x14ac:dyDescent="0.3">
      <c r="A218" s="40" t="str">
        <f>VLOOKUP(B218,Grupos!$A$2:$B$619,2,FALSE)</f>
        <v>TABLEROS 225 AMP COBRE</v>
      </c>
      <c r="B218" s="41" t="s">
        <v>325</v>
      </c>
      <c r="C218" s="41" t="s">
        <v>326</v>
      </c>
      <c r="D218" s="42">
        <v>19</v>
      </c>
      <c r="E218" s="43">
        <v>151896.51999999999</v>
      </c>
      <c r="F218" s="192">
        <v>8243.17</v>
      </c>
      <c r="G218" s="126">
        <f t="shared" si="52"/>
        <v>160139.69</v>
      </c>
      <c r="H218" s="127">
        <f t="shared" si="53"/>
        <v>2886033.88</v>
      </c>
      <c r="I218" s="128">
        <f t="shared" si="54"/>
        <v>156620.23000000001</v>
      </c>
      <c r="J218" s="128">
        <f t="shared" si="55"/>
        <v>3042654.11</v>
      </c>
      <c r="K218" s="44">
        <f t="shared" si="56"/>
        <v>1.941286002449953E-3</v>
      </c>
      <c r="L218" s="45">
        <f t="shared" si="57"/>
        <v>45703.390075921445</v>
      </c>
      <c r="M218" s="45">
        <f t="shared" si="58"/>
        <v>54095.088974114842</v>
      </c>
      <c r="N218" s="45">
        <f t="shared" si="59"/>
        <v>259938.16905003629</v>
      </c>
      <c r="O218" s="46">
        <f t="shared" si="60"/>
        <v>4938825.2119506896</v>
      </c>
      <c r="P218" s="47">
        <f t="shared" si="48"/>
        <v>338954.62789473683</v>
      </c>
      <c r="Q218" s="42">
        <v>6440137.9299999997</v>
      </c>
      <c r="R218" s="48">
        <f t="shared" si="49"/>
        <v>0.76688189998916523</v>
      </c>
      <c r="S218" s="49"/>
      <c r="T218" s="157">
        <f>IFERROR(VLOOKUP(B218,[1]Todos!$A$2:$C$3021,3,FALSE),0)</f>
        <v>8243.17</v>
      </c>
      <c r="U218" s="112">
        <f t="shared" si="51"/>
        <v>0</v>
      </c>
      <c r="W218" s="157">
        <f>IFERROR(VLOOKUP(B218,[1]Todos!$A$2:$B$3021,2,FALSE),0)</f>
        <v>151896.51999999999</v>
      </c>
      <c r="X218" s="112">
        <f t="shared" si="50"/>
        <v>0</v>
      </c>
    </row>
    <row r="219" spans="1:24" hidden="1" outlineLevel="2" x14ac:dyDescent="0.3">
      <c r="A219" s="40" t="str">
        <f>VLOOKUP(B219,Grupos!$A$2:$B$619,2,FALSE)</f>
        <v>TABLEROS 225 AMP COBRE</v>
      </c>
      <c r="B219" s="41" t="s">
        <v>327</v>
      </c>
      <c r="C219" s="41" t="s">
        <v>328</v>
      </c>
      <c r="D219" s="42">
        <v>28</v>
      </c>
      <c r="E219" s="43">
        <v>172685.75</v>
      </c>
      <c r="F219" s="192">
        <v>4724.13</v>
      </c>
      <c r="G219" s="126">
        <f t="shared" si="52"/>
        <v>177409.88</v>
      </c>
      <c r="H219" s="127">
        <f t="shared" si="53"/>
        <v>4835201</v>
      </c>
      <c r="I219" s="128">
        <f t="shared" si="54"/>
        <v>132275.64000000001</v>
      </c>
      <c r="J219" s="128">
        <f t="shared" si="55"/>
        <v>4967476.6400000006</v>
      </c>
      <c r="K219" s="44">
        <f t="shared" si="56"/>
        <v>3.1693687550732228E-3</v>
      </c>
      <c r="L219" s="45">
        <f t="shared" si="57"/>
        <v>50632.250811540944</v>
      </c>
      <c r="M219" s="45">
        <f t="shared" si="58"/>
        <v>31001.693847789764</v>
      </c>
      <c r="N219" s="45">
        <f t="shared" si="59"/>
        <v>259043.82465933071</v>
      </c>
      <c r="O219" s="46">
        <f t="shared" si="60"/>
        <v>7253227.0904612597</v>
      </c>
      <c r="P219" s="47">
        <f t="shared" si="48"/>
        <v>444837.23678571434</v>
      </c>
      <c r="Q219" s="42">
        <v>12455442.630000001</v>
      </c>
      <c r="R219" s="48">
        <f t="shared" si="49"/>
        <v>0.58233394877442901</v>
      </c>
      <c r="S219" s="49"/>
      <c r="T219" s="157">
        <f>IFERROR(VLOOKUP(B219,[1]Todos!$A$2:$C$3021,3,FALSE),0)</f>
        <v>4724.13</v>
      </c>
      <c r="U219" s="112">
        <f t="shared" si="51"/>
        <v>0</v>
      </c>
      <c r="W219" s="157">
        <f>IFERROR(VLOOKUP(B219,[1]Todos!$A$2:$B$3021,2,FALSE),0)</f>
        <v>173057.75</v>
      </c>
      <c r="X219" s="112">
        <f t="shared" si="50"/>
        <v>372</v>
      </c>
    </row>
    <row r="220" spans="1:24" hidden="1" outlineLevel="2" x14ac:dyDescent="0.3">
      <c r="A220" s="40" t="str">
        <f>VLOOKUP(B220,Grupos!$A$2:$B$619,2,FALSE)</f>
        <v>TABLEROS 225 AMP COBRE</v>
      </c>
      <c r="B220" s="41" t="s">
        <v>329</v>
      </c>
      <c r="C220" s="41" t="s">
        <v>330</v>
      </c>
      <c r="D220" s="42">
        <v>66</v>
      </c>
      <c r="E220" s="43">
        <v>174127.09</v>
      </c>
      <c r="F220" s="192">
        <v>9084.8799999999992</v>
      </c>
      <c r="G220" s="126">
        <f t="shared" si="52"/>
        <v>183211.97</v>
      </c>
      <c r="H220" s="127">
        <f t="shared" si="53"/>
        <v>11492387.939999999</v>
      </c>
      <c r="I220" s="128">
        <f t="shared" si="54"/>
        <v>599602.07999999996</v>
      </c>
      <c r="J220" s="128">
        <f t="shared" si="55"/>
        <v>12091990.02</v>
      </c>
      <c r="K220" s="44">
        <f t="shared" si="56"/>
        <v>7.7149784756804073E-3</v>
      </c>
      <c r="L220" s="45">
        <f t="shared" si="57"/>
        <v>52288.149998841742</v>
      </c>
      <c r="M220" s="45">
        <f t="shared" si="58"/>
        <v>59618.737927175636</v>
      </c>
      <c r="N220" s="45">
        <f t="shared" si="59"/>
        <v>295118.85792601737</v>
      </c>
      <c r="O220" s="46">
        <f t="shared" si="60"/>
        <v>19477844.623117145</v>
      </c>
      <c r="P220" s="47">
        <f t="shared" si="48"/>
        <v>440919.44030303031</v>
      </c>
      <c r="Q220" s="42">
        <v>29100683.059999999</v>
      </c>
      <c r="R220" s="48">
        <f t="shared" si="49"/>
        <v>0.66932602863505242</v>
      </c>
      <c r="S220" s="49"/>
      <c r="T220" s="157">
        <f>IFERROR(VLOOKUP(B220,[1]Todos!$A$2:$C$3021,3,FALSE),0)</f>
        <v>9084.8799999999992</v>
      </c>
      <c r="U220" s="112">
        <f t="shared" si="51"/>
        <v>0</v>
      </c>
      <c r="W220" s="157">
        <f>IFERROR(VLOOKUP(B220,[1]Todos!$A$2:$B$3021,2,FALSE),0)</f>
        <v>174499.09</v>
      </c>
      <c r="X220" s="112">
        <f t="shared" si="50"/>
        <v>372</v>
      </c>
    </row>
    <row r="221" spans="1:24" s="93" customFormat="1" outlineLevel="1" collapsed="1" x14ac:dyDescent="0.3">
      <c r="A221" s="50" t="s">
        <v>1035</v>
      </c>
      <c r="B221" s="129"/>
      <c r="C221" s="129"/>
      <c r="D221" s="51">
        <f>SUBTOTAL(9,D179:D220)</f>
        <v>2558</v>
      </c>
      <c r="E221" s="52"/>
      <c r="F221" s="52"/>
      <c r="G221" s="130"/>
      <c r="H221" s="131">
        <f>SUBTOTAL(9,H179:H220)</f>
        <v>239797901.08999997</v>
      </c>
      <c r="I221" s="146">
        <f>SUBTOTAL(9,I179:I220)</f>
        <v>13652822.449999999</v>
      </c>
      <c r="J221" s="146">
        <f>SUBTOTAL(9,J179:J220)</f>
        <v>253450723.53999999</v>
      </c>
      <c r="K221" s="53"/>
      <c r="L221" s="54"/>
      <c r="M221" s="54"/>
      <c r="N221" s="54"/>
      <c r="O221" s="55">
        <f>SUBTOTAL(9,O179:O220)</f>
        <v>415380268.89459604</v>
      </c>
      <c r="P221" s="56"/>
      <c r="Q221" s="51">
        <f>SUBTOTAL(9,Q179:Q220)</f>
        <v>628303278.56999993</v>
      </c>
      <c r="R221" s="164">
        <f t="shared" si="49"/>
        <v>0.66111427882405693</v>
      </c>
      <c r="S221" s="58">
        <f>Q221/$Q$303</f>
        <v>0.15695850894944066</v>
      </c>
      <c r="T221" s="157">
        <f>IFERROR(VLOOKUP(B221,[1]Todos!$A$2:$C$3021,3,FALSE),0)</f>
        <v>0</v>
      </c>
      <c r="U221" s="112">
        <f t="shared" si="51"/>
        <v>0</v>
      </c>
      <c r="W221" s="157">
        <f>IFERROR(VLOOKUP(B221,[1]Todos!$A$2:$B$3021,2,FALSE),0)</f>
        <v>0</v>
      </c>
      <c r="X221" s="112">
        <f t="shared" si="50"/>
        <v>0</v>
      </c>
    </row>
    <row r="222" spans="1:24" hidden="1" outlineLevel="2" x14ac:dyDescent="0.3">
      <c r="A222" s="40" t="str">
        <f>VLOOKUP(B222,Grupos!$A$2:$B$619,2,FALSE)</f>
        <v>TABLEROS 75 AMP BIMETALICO CON PUERTA</v>
      </c>
      <c r="B222" s="41" t="s">
        <v>331</v>
      </c>
      <c r="C222" s="41" t="s">
        <v>332</v>
      </c>
      <c r="D222" s="42">
        <v>216</v>
      </c>
      <c r="E222" s="43">
        <v>8388.35</v>
      </c>
      <c r="F222" s="43">
        <v>875.86</v>
      </c>
      <c r="G222" s="126">
        <f t="shared" si="52"/>
        <v>9264.2100000000009</v>
      </c>
      <c r="H222" s="127">
        <f t="shared" si="53"/>
        <v>1811883.6</v>
      </c>
      <c r="I222" s="128">
        <f t="shared" si="54"/>
        <v>189185.76</v>
      </c>
      <c r="J222" s="128">
        <f t="shared" si="55"/>
        <v>2001069.36</v>
      </c>
      <c r="K222" s="44">
        <f t="shared" si="56"/>
        <v>1.2767300514811017E-3</v>
      </c>
      <c r="L222" s="45">
        <f t="shared" si="57"/>
        <v>2643.9779131285459</v>
      </c>
      <c r="M222" s="45">
        <f t="shared" si="58"/>
        <v>5747.7553694595927</v>
      </c>
      <c r="N222" s="45">
        <f t="shared" si="59"/>
        <v>17655.943282588138</v>
      </c>
      <c r="O222" s="46">
        <f t="shared" si="60"/>
        <v>3813683.7490390376</v>
      </c>
      <c r="P222" s="47">
        <f t="shared" ref="P222:P227" si="61">Q222/D222</f>
        <v>29138.08388888889</v>
      </c>
      <c r="Q222" s="42">
        <v>6293826.1200000001</v>
      </c>
      <c r="R222" s="48">
        <f t="shared" si="49"/>
        <v>0.60594043691805033</v>
      </c>
      <c r="S222" s="49"/>
      <c r="T222" s="157">
        <f>IFERROR(VLOOKUP(B222,[1]Todos!$A$2:$C$3021,3,FALSE),0)</f>
        <v>881.25</v>
      </c>
      <c r="U222" s="112">
        <f t="shared" si="51"/>
        <v>5.3899999999999864</v>
      </c>
      <c r="W222" s="157">
        <f>IFERROR(VLOOKUP(B222,[1]Todos!$A$2:$B$3021,2,FALSE),0)</f>
        <v>8388.35</v>
      </c>
      <c r="X222" s="112">
        <f t="shared" si="50"/>
        <v>0</v>
      </c>
    </row>
    <row r="223" spans="1:24" hidden="1" outlineLevel="2" x14ac:dyDescent="0.3">
      <c r="A223" s="40" t="str">
        <f>VLOOKUP(B223,Grupos!$A$2:$B$619,2,FALSE)</f>
        <v>TABLEROS 75 AMP BIMETALICO CON PUERTA</v>
      </c>
      <c r="B223" s="41" t="s">
        <v>333</v>
      </c>
      <c r="C223" s="41" t="s">
        <v>334</v>
      </c>
      <c r="D223" s="42">
        <v>378</v>
      </c>
      <c r="E223" s="43">
        <v>8718.8700000000008</v>
      </c>
      <c r="F223" s="43">
        <v>998.35</v>
      </c>
      <c r="G223" s="126">
        <f t="shared" si="52"/>
        <v>9717.2200000000012</v>
      </c>
      <c r="H223" s="127">
        <f t="shared" si="53"/>
        <v>3295732.8600000003</v>
      </c>
      <c r="I223" s="128">
        <f t="shared" si="54"/>
        <v>377376.3</v>
      </c>
      <c r="J223" s="128">
        <f t="shared" si="55"/>
        <v>3673109.1600000006</v>
      </c>
      <c r="K223" s="44">
        <f t="shared" si="56"/>
        <v>2.3435313841107972E-3</v>
      </c>
      <c r="L223" s="45">
        <f t="shared" si="57"/>
        <v>2773.2656164973559</v>
      </c>
      <c r="M223" s="45">
        <f t="shared" si="58"/>
        <v>6551.5853824812002</v>
      </c>
      <c r="N223" s="45">
        <f t="shared" si="59"/>
        <v>19042.070998978557</v>
      </c>
      <c r="O223" s="46">
        <f t="shared" si="60"/>
        <v>7197902.8376138946</v>
      </c>
      <c r="P223" s="47">
        <f t="shared" si="61"/>
        <v>27898.33367724868</v>
      </c>
      <c r="Q223" s="42">
        <v>10545570.130000001</v>
      </c>
      <c r="R223" s="48">
        <f t="shared" si="49"/>
        <v>0.68255227065792545</v>
      </c>
      <c r="S223" s="49"/>
      <c r="T223" s="157">
        <f>IFERROR(VLOOKUP(B223,[1]Todos!$A$2:$C$3021,3,FALSE),0)</f>
        <v>986.4</v>
      </c>
      <c r="U223" s="112">
        <f t="shared" si="51"/>
        <v>-11.950000000000045</v>
      </c>
      <c r="W223" s="157">
        <f>IFERROR(VLOOKUP(B223,[1]Todos!$A$2:$B$3021,2,FALSE),0)</f>
        <v>8718.8700000000008</v>
      </c>
      <c r="X223" s="112">
        <f t="shared" si="50"/>
        <v>0</v>
      </c>
    </row>
    <row r="224" spans="1:24" hidden="1" outlineLevel="2" x14ac:dyDescent="0.3">
      <c r="A224" s="40" t="str">
        <f>VLOOKUP(B224,Grupos!$A$2:$B$619,2,FALSE)</f>
        <v>TABLEROS 75 AMP BIMETALICO CON PUERTA</v>
      </c>
      <c r="B224" s="41" t="s">
        <v>335</v>
      </c>
      <c r="C224" s="41" t="s">
        <v>336</v>
      </c>
      <c r="D224" s="42">
        <v>96</v>
      </c>
      <c r="E224" s="43">
        <v>10223.36</v>
      </c>
      <c r="F224" s="43">
        <v>1083.96</v>
      </c>
      <c r="G224" s="126">
        <f t="shared" si="52"/>
        <v>11307.32</v>
      </c>
      <c r="H224" s="127">
        <f t="shared" si="53"/>
        <v>981442.56000000006</v>
      </c>
      <c r="I224" s="128">
        <f t="shared" si="54"/>
        <v>104060.16</v>
      </c>
      <c r="J224" s="128">
        <f t="shared" si="55"/>
        <v>1085502.72</v>
      </c>
      <c r="K224" s="44">
        <f t="shared" si="56"/>
        <v>6.9257666490304764E-4</v>
      </c>
      <c r="L224" s="45">
        <f t="shared" si="57"/>
        <v>3227.0754156778253</v>
      </c>
      <c r="M224" s="45">
        <f t="shared" si="58"/>
        <v>7113.3935906188426</v>
      </c>
      <c r="N224" s="45">
        <f t="shared" si="59"/>
        <v>21647.789006296669</v>
      </c>
      <c r="O224" s="46">
        <f t="shared" si="60"/>
        <v>2078187.7446044802</v>
      </c>
      <c r="P224" s="47">
        <f t="shared" si="61"/>
        <v>35527.416145833333</v>
      </c>
      <c r="Q224" s="42">
        <v>3410631.95</v>
      </c>
      <c r="R224" s="152">
        <f t="shared" si="49"/>
        <v>0.60932629936938232</v>
      </c>
      <c r="S224" s="49"/>
      <c r="T224" s="157">
        <f>IFERROR(VLOOKUP(B224,[1]Todos!$A$2:$C$3021,3,FALSE),0)</f>
        <v>1096.9000000000001</v>
      </c>
      <c r="U224" s="112">
        <f t="shared" si="51"/>
        <v>12.940000000000055</v>
      </c>
      <c r="W224" s="157">
        <f>IFERROR(VLOOKUP(B224,[1]Todos!$A$2:$B$3021,2,FALSE),0)</f>
        <v>10223.36</v>
      </c>
      <c r="X224" s="112">
        <f t="shared" si="50"/>
        <v>0</v>
      </c>
    </row>
    <row r="225" spans="1:24" hidden="1" outlineLevel="2" x14ac:dyDescent="0.3">
      <c r="A225" s="40" t="str">
        <f>VLOOKUP(B225,Grupos!$A$2:$B$619,2,FALSE)</f>
        <v>TABLEROS 75 AMP BIMETALICO CON PUERTA</v>
      </c>
      <c r="B225" s="41" t="s">
        <v>337</v>
      </c>
      <c r="C225" s="41" t="s">
        <v>338</v>
      </c>
      <c r="D225" s="42">
        <v>210</v>
      </c>
      <c r="E225" s="43">
        <v>10543.15</v>
      </c>
      <c r="F225" s="43">
        <v>1153.75</v>
      </c>
      <c r="G225" s="126">
        <f t="shared" si="52"/>
        <v>11696.9</v>
      </c>
      <c r="H225" s="127">
        <f t="shared" si="53"/>
        <v>2214061.5</v>
      </c>
      <c r="I225" s="128">
        <f t="shared" si="54"/>
        <v>242287.5</v>
      </c>
      <c r="J225" s="128">
        <f t="shared" si="55"/>
        <v>2456349</v>
      </c>
      <c r="K225" s="44">
        <f t="shared" si="56"/>
        <v>1.5672093371244028E-3</v>
      </c>
      <c r="L225" s="45">
        <f t="shared" si="57"/>
        <v>3338.2603861606426</v>
      </c>
      <c r="M225" s="45">
        <f t="shared" si="58"/>
        <v>7571.3844193295781</v>
      </c>
      <c r="N225" s="45">
        <f t="shared" si="59"/>
        <v>22606.544805490219</v>
      </c>
      <c r="O225" s="46">
        <f t="shared" si="60"/>
        <v>4747374.4091529464</v>
      </c>
      <c r="P225" s="47">
        <f t="shared" si="61"/>
        <v>33737.357095238098</v>
      </c>
      <c r="Q225" s="42">
        <v>7084844.9900000002</v>
      </c>
      <c r="R225" s="152">
        <f t="shared" si="49"/>
        <v>0.67007456279617861</v>
      </c>
      <c r="S225" s="49"/>
      <c r="T225" s="157">
        <f>IFERROR(VLOOKUP(B225,[1]Todos!$A$2:$C$3021,3,FALSE),0)</f>
        <v>1154.1300000000001</v>
      </c>
      <c r="U225" s="112">
        <f t="shared" si="51"/>
        <v>0.38000000000010914</v>
      </c>
      <c r="W225" s="157">
        <f>IFERROR(VLOOKUP(B225,[1]Todos!$A$2:$B$3021,2,FALSE),0)</f>
        <v>10543.15</v>
      </c>
      <c r="X225" s="112">
        <f t="shared" si="50"/>
        <v>0</v>
      </c>
    </row>
    <row r="226" spans="1:24" hidden="1" outlineLevel="2" x14ac:dyDescent="0.3">
      <c r="A226" s="40" t="str">
        <f>VLOOKUP(B226,Grupos!$A$2:$B$619,2,FALSE)</f>
        <v>TABLEROS 75 AMP BIMETALICO CON PUERTA</v>
      </c>
      <c r="B226" s="41" t="s">
        <v>339</v>
      </c>
      <c r="C226" s="41" t="s">
        <v>340</v>
      </c>
      <c r="D226" s="42">
        <v>96</v>
      </c>
      <c r="E226" s="43">
        <v>12844.46</v>
      </c>
      <c r="F226" s="43">
        <v>1379.33</v>
      </c>
      <c r="G226" s="126">
        <f t="shared" si="52"/>
        <v>14223.789999999999</v>
      </c>
      <c r="H226" s="127">
        <f t="shared" si="53"/>
        <v>1233068.1599999999</v>
      </c>
      <c r="I226" s="128">
        <f t="shared" si="54"/>
        <v>132415.67999999999</v>
      </c>
      <c r="J226" s="128">
        <f t="shared" si="55"/>
        <v>1365483.8399999999</v>
      </c>
      <c r="K226" s="44">
        <f t="shared" si="56"/>
        <v>8.7121130740806124E-4</v>
      </c>
      <c r="L226" s="45">
        <f t="shared" si="57"/>
        <v>4059.427258339208</v>
      </c>
      <c r="M226" s="45">
        <f t="shared" si="58"/>
        <v>9051.7336261008604</v>
      </c>
      <c r="N226" s="45">
        <f t="shared" si="59"/>
        <v>27334.950884440066</v>
      </c>
      <c r="O226" s="46">
        <f t="shared" si="60"/>
        <v>2624155.2849062462</v>
      </c>
      <c r="P226" s="47">
        <f t="shared" si="61"/>
        <v>58657.498229166667</v>
      </c>
      <c r="Q226" s="42">
        <v>5631119.8300000001</v>
      </c>
      <c r="R226" s="48">
        <f t="shared" si="49"/>
        <v>0.46600949085223892</v>
      </c>
      <c r="S226" s="49"/>
      <c r="T226" s="157">
        <f>IFERROR(VLOOKUP(B226,[1]Todos!$A$2:$C$3021,3,FALSE),0)</f>
        <v>1557.61</v>
      </c>
      <c r="U226" s="112">
        <f t="shared" si="51"/>
        <v>178.27999999999997</v>
      </c>
      <c r="W226" s="157">
        <f>IFERROR(VLOOKUP(B226,[1]Todos!$A$2:$B$3021,2,FALSE),0)</f>
        <v>12844.46</v>
      </c>
      <c r="X226" s="112">
        <f t="shared" si="50"/>
        <v>0</v>
      </c>
    </row>
    <row r="227" spans="1:24" hidden="1" outlineLevel="2" x14ac:dyDescent="0.3">
      <c r="A227" s="40" t="str">
        <f>VLOOKUP(B227,Grupos!$A$2:$B$619,2,FALSE)</f>
        <v>TABLEROS 75 AMP BIMETALICO CON PUERTA</v>
      </c>
      <c r="B227" s="41" t="s">
        <v>341</v>
      </c>
      <c r="C227" s="41" t="s">
        <v>342</v>
      </c>
      <c r="D227" s="42">
        <v>179</v>
      </c>
      <c r="E227" s="43">
        <v>13190.16</v>
      </c>
      <c r="F227" s="43">
        <v>1426.79</v>
      </c>
      <c r="G227" s="126">
        <f t="shared" si="52"/>
        <v>14616.95</v>
      </c>
      <c r="H227" s="127">
        <f t="shared" si="53"/>
        <v>2361038.64</v>
      </c>
      <c r="I227" s="128">
        <f t="shared" si="54"/>
        <v>255395.41</v>
      </c>
      <c r="J227" s="128">
        <f t="shared" si="55"/>
        <v>2616434.0500000003</v>
      </c>
      <c r="K227" s="44">
        <f t="shared" si="56"/>
        <v>1.6693474229965762E-3</v>
      </c>
      <c r="L227" s="45">
        <f t="shared" si="57"/>
        <v>4171.633950148399</v>
      </c>
      <c r="M227" s="45">
        <f t="shared" si="58"/>
        <v>9363.1857643815802</v>
      </c>
      <c r="N227" s="45">
        <f t="shared" si="59"/>
        <v>28151.769714529983</v>
      </c>
      <c r="O227" s="46">
        <f t="shared" si="60"/>
        <v>5039166.7789008673</v>
      </c>
      <c r="P227" s="47">
        <f t="shared" si="61"/>
        <v>54696.913910614523</v>
      </c>
      <c r="Q227" s="42">
        <v>9790747.5899999999</v>
      </c>
      <c r="R227" s="48">
        <f t="shared" si="49"/>
        <v>0.51468661944137273</v>
      </c>
      <c r="S227" s="49"/>
      <c r="T227" s="157">
        <f>IFERROR(VLOOKUP(B227,[1]Todos!$A$2:$C$3021,3,FALSE),0)</f>
        <v>1626.88</v>
      </c>
      <c r="U227" s="112">
        <f t="shared" si="51"/>
        <v>200.09000000000015</v>
      </c>
      <c r="W227" s="157">
        <f>IFERROR(VLOOKUP(B227,[1]Todos!$A$2:$B$3021,2,FALSE),0)</f>
        <v>13190.16</v>
      </c>
      <c r="X227" s="112">
        <f t="shared" si="50"/>
        <v>0</v>
      </c>
    </row>
    <row r="228" spans="1:24" s="93" customFormat="1" outlineLevel="1" collapsed="1" x14ac:dyDescent="0.3">
      <c r="A228" s="50" t="s">
        <v>1036</v>
      </c>
      <c r="B228" s="129"/>
      <c r="C228" s="129"/>
      <c r="D228" s="51">
        <f>SUBTOTAL(9,D222:D227)</f>
        <v>1175</v>
      </c>
      <c r="E228" s="52"/>
      <c r="F228" s="52"/>
      <c r="G228" s="130"/>
      <c r="H228" s="131">
        <f>SUBTOTAL(9,H222:H227)</f>
        <v>11897227.320000002</v>
      </c>
      <c r="I228" s="146">
        <f>SUBTOTAL(9,I222:I227)</f>
        <v>1300720.81</v>
      </c>
      <c r="J228" s="146">
        <f>SUBTOTAL(9,J222:J227)</f>
        <v>13197948.130000001</v>
      </c>
      <c r="K228" s="53"/>
      <c r="L228" s="54"/>
      <c r="M228" s="54"/>
      <c r="N228" s="54"/>
      <c r="O228" s="55">
        <f>SUBTOTAL(9,O222:O227)</f>
        <v>25500470.804217473</v>
      </c>
      <c r="P228" s="56"/>
      <c r="Q228" s="51">
        <f>SUBTOTAL(9,Q222:Q227)</f>
        <v>42756740.609999999</v>
      </c>
      <c r="R228" s="164">
        <f t="shared" si="49"/>
        <v>0.59640820231870972</v>
      </c>
      <c r="S228" s="58">
        <f>Q228/$Q$303</f>
        <v>1.0681202028672711E-2</v>
      </c>
      <c r="T228" s="157">
        <f>IFERROR(VLOOKUP(B228,[1]Todos!$A$2:$C$3021,3,FALSE),0)</f>
        <v>0</v>
      </c>
      <c r="U228" s="112">
        <f t="shared" si="51"/>
        <v>0</v>
      </c>
      <c r="W228" s="157">
        <f>IFERROR(VLOOKUP(B228,[1]Todos!$A$2:$B$3021,2,FALSE),0)</f>
        <v>0</v>
      </c>
      <c r="X228" s="112">
        <f t="shared" si="50"/>
        <v>0</v>
      </c>
    </row>
    <row r="229" spans="1:24" hidden="1" outlineLevel="2" x14ac:dyDescent="0.3">
      <c r="A229" s="40" t="str">
        <f>VLOOKUP(B229,Grupos!$A$2:$B$619,2,FALSE)</f>
        <v>TABLEROS 75 AMP BIMETALICO TAPA LISA</v>
      </c>
      <c r="B229" s="41" t="s">
        <v>343</v>
      </c>
      <c r="C229" s="41" t="s">
        <v>1086</v>
      </c>
      <c r="D229" s="42">
        <v>48</v>
      </c>
      <c r="E229" s="43">
        <v>6098.85</v>
      </c>
      <c r="F229" s="192">
        <v>461.27</v>
      </c>
      <c r="G229" s="126">
        <f t="shared" si="52"/>
        <v>6560.1200000000008</v>
      </c>
      <c r="H229" s="127">
        <f t="shared" si="53"/>
        <v>292744.80000000005</v>
      </c>
      <c r="I229" s="128">
        <f t="shared" si="54"/>
        <v>22140.959999999999</v>
      </c>
      <c r="J229" s="128">
        <f t="shared" si="55"/>
        <v>314885.76000000001</v>
      </c>
      <c r="K229" s="44">
        <f t="shared" si="56"/>
        <v>2.0090463659663745E-4</v>
      </c>
      <c r="L229" s="45">
        <f t="shared" si="57"/>
        <v>1872.2386892646903</v>
      </c>
      <c r="M229" s="45">
        <f t="shared" si="58"/>
        <v>3027.0444126579887</v>
      </c>
      <c r="N229" s="45">
        <f t="shared" si="59"/>
        <v>11459.403101922679</v>
      </c>
      <c r="O229" s="46">
        <f t="shared" si="60"/>
        <v>550051.34889228852</v>
      </c>
      <c r="P229" s="47">
        <f t="shared" ref="P229:P243" si="62">Q229/D229</f>
        <v>14818.500208333333</v>
      </c>
      <c r="Q229" s="42">
        <v>711288.01</v>
      </c>
      <c r="R229" s="48">
        <f t="shared" si="49"/>
        <v>0.773317335817721</v>
      </c>
      <c r="S229" s="49"/>
      <c r="T229" s="157">
        <f>IFERROR(VLOOKUP(B229,[1]Todos!$A$2:$C$3021,3,FALSE),0)</f>
        <v>461.27</v>
      </c>
      <c r="U229" s="112">
        <f t="shared" si="51"/>
        <v>0</v>
      </c>
      <c r="W229" s="157">
        <f>IFERROR(VLOOKUP(B229,[1]Todos!$A$2:$B$3021,2,FALSE),0)</f>
        <v>6098.85</v>
      </c>
      <c r="X229" s="112">
        <f t="shared" si="50"/>
        <v>0</v>
      </c>
    </row>
    <row r="230" spans="1:24" hidden="1" outlineLevel="2" x14ac:dyDescent="0.3">
      <c r="A230" s="40" t="str">
        <f>VLOOKUP(B230,Grupos!$A$2:$B$619,2,FALSE)</f>
        <v>TABLEROS 75 AMP BIMETALICO TAPA LISA</v>
      </c>
      <c r="B230" s="41" t="s">
        <v>344</v>
      </c>
      <c r="C230" s="41" t="s">
        <v>345</v>
      </c>
      <c r="D230" s="42">
        <v>48</v>
      </c>
      <c r="E230" s="43">
        <v>5756.34</v>
      </c>
      <c r="F230" s="192">
        <v>449.37</v>
      </c>
      <c r="G230" s="126">
        <f t="shared" si="52"/>
        <v>6205.71</v>
      </c>
      <c r="H230" s="127">
        <f t="shared" si="53"/>
        <v>276304.32</v>
      </c>
      <c r="I230" s="128">
        <f t="shared" si="54"/>
        <v>21569.760000000002</v>
      </c>
      <c r="J230" s="128">
        <f t="shared" si="55"/>
        <v>297874.08</v>
      </c>
      <c r="K230" s="44">
        <f t="shared" si="56"/>
        <v>1.900507783964499E-4</v>
      </c>
      <c r="L230" s="45">
        <f t="shared" si="57"/>
        <v>1771.0911319239251</v>
      </c>
      <c r="M230" s="45">
        <f t="shared" si="58"/>
        <v>2948.9516936200498</v>
      </c>
      <c r="N230" s="45">
        <f t="shared" si="59"/>
        <v>10925.752825543976</v>
      </c>
      <c r="O230" s="46">
        <f t="shared" si="60"/>
        <v>524436.13562611083</v>
      </c>
      <c r="P230" s="47">
        <f t="shared" si="62"/>
        <v>16169.000208333333</v>
      </c>
      <c r="Q230" s="42">
        <v>776112.01</v>
      </c>
      <c r="R230" s="48">
        <f t="shared" si="49"/>
        <v>0.67572222677769256</v>
      </c>
      <c r="S230" s="49"/>
      <c r="T230" s="157">
        <f>IFERROR(VLOOKUP(B230,[1]Todos!$A$2:$C$3021,3,FALSE),0)</f>
        <v>449.37</v>
      </c>
      <c r="U230" s="112">
        <f t="shared" si="51"/>
        <v>0</v>
      </c>
      <c r="W230" s="157">
        <f>IFERROR(VLOOKUP(B230,[1]Todos!$A$2:$B$3021,2,FALSE),0)</f>
        <v>5756.34</v>
      </c>
      <c r="X230" s="112">
        <f t="shared" si="50"/>
        <v>0</v>
      </c>
    </row>
    <row r="231" spans="1:24" hidden="1" outlineLevel="2" x14ac:dyDescent="0.3">
      <c r="A231" s="40" t="str">
        <f>VLOOKUP(B231,Grupos!$A$2:$B$619,2,FALSE)</f>
        <v>TABLEROS 75 AMP BIMETALICO TAPA LISA</v>
      </c>
      <c r="B231" s="41" t="s">
        <v>346</v>
      </c>
      <c r="C231" s="41" t="s">
        <v>347</v>
      </c>
      <c r="D231" s="42">
        <v>720</v>
      </c>
      <c r="E231" s="43">
        <v>5399.91</v>
      </c>
      <c r="F231" s="192">
        <v>428.72</v>
      </c>
      <c r="G231" s="126">
        <f t="shared" si="52"/>
        <v>5828.63</v>
      </c>
      <c r="H231" s="127">
        <f t="shared" si="53"/>
        <v>3887935.1999999997</v>
      </c>
      <c r="I231" s="128">
        <f t="shared" si="54"/>
        <v>308678.40000000002</v>
      </c>
      <c r="J231" s="128">
        <f t="shared" si="55"/>
        <v>4196613.5999999996</v>
      </c>
      <c r="K231" s="44">
        <f t="shared" si="56"/>
        <v>2.6775397218486677E-3</v>
      </c>
      <c r="L231" s="45">
        <f t="shared" si="57"/>
        <v>1663.4736241728581</v>
      </c>
      <c r="M231" s="45">
        <f t="shared" si="58"/>
        <v>2813.4378576424501</v>
      </c>
      <c r="N231" s="45">
        <f t="shared" si="59"/>
        <v>10305.541481815308</v>
      </c>
      <c r="O231" s="46">
        <f t="shared" si="60"/>
        <v>7419989.866907021</v>
      </c>
      <c r="P231" s="47">
        <f t="shared" si="62"/>
        <v>16020.00048611111</v>
      </c>
      <c r="Q231" s="42">
        <v>11534400.35</v>
      </c>
      <c r="R231" s="48">
        <f t="shared" si="49"/>
        <v>0.64329220780922702</v>
      </c>
      <c r="S231" s="49"/>
      <c r="T231" s="157">
        <f>IFERROR(VLOOKUP(B231,[1]Todos!$A$2:$C$3021,3,FALSE),0)</f>
        <v>428.72</v>
      </c>
      <c r="U231" s="112">
        <f t="shared" si="51"/>
        <v>0</v>
      </c>
      <c r="W231" s="157">
        <f>IFERROR(VLOOKUP(B231,[1]Todos!$A$2:$B$3021,2,FALSE),0)</f>
        <v>5399.91</v>
      </c>
      <c r="X231" s="112">
        <f t="shared" si="50"/>
        <v>0</v>
      </c>
    </row>
    <row r="232" spans="1:24" hidden="1" outlineLevel="2" x14ac:dyDescent="0.3">
      <c r="A232" s="40" t="str">
        <f>VLOOKUP(B232,Grupos!$A$2:$B$619,2,FALSE)</f>
        <v>TABLEROS 75 AMP BIMETALICO TAPA LISA</v>
      </c>
      <c r="B232" s="41" t="s">
        <v>348</v>
      </c>
      <c r="C232" s="41" t="s">
        <v>349</v>
      </c>
      <c r="D232" s="42">
        <v>100</v>
      </c>
      <c r="E232" s="43">
        <v>8246.8799999999992</v>
      </c>
      <c r="F232" s="192">
        <v>884.52</v>
      </c>
      <c r="G232" s="126">
        <f t="shared" si="52"/>
        <v>9131.4</v>
      </c>
      <c r="H232" s="127">
        <f t="shared" si="53"/>
        <v>824687.99999999988</v>
      </c>
      <c r="I232" s="128">
        <f t="shared" si="54"/>
        <v>88452</v>
      </c>
      <c r="J232" s="128">
        <f t="shared" si="55"/>
        <v>913140</v>
      </c>
      <c r="K232" s="44">
        <f t="shared" si="56"/>
        <v>5.8260513229259239E-4</v>
      </c>
      <c r="L232" s="45">
        <f t="shared" si="57"/>
        <v>2606.0743350962466</v>
      </c>
      <c r="M232" s="45">
        <f t="shared" si="58"/>
        <v>5804.5858691964449</v>
      </c>
      <c r="N232" s="45">
        <f t="shared" si="59"/>
        <v>17542.060204292691</v>
      </c>
      <c r="O232" s="46">
        <f t="shared" si="60"/>
        <v>1754206.0204292692</v>
      </c>
      <c r="P232" s="47">
        <f t="shared" si="62"/>
        <v>19503.201000000001</v>
      </c>
      <c r="Q232" s="42">
        <v>1950320.1</v>
      </c>
      <c r="R232" s="48">
        <f t="shared" si="49"/>
        <v>0.89944518360307579</v>
      </c>
      <c r="S232" s="49"/>
      <c r="T232" s="157">
        <f>IFERROR(VLOOKUP(B232,[1]Todos!$A$2:$C$3021,3,FALSE),0)</f>
        <v>884.52</v>
      </c>
      <c r="U232" s="112">
        <f t="shared" si="51"/>
        <v>0</v>
      </c>
      <c r="W232" s="157">
        <f>IFERROR(VLOOKUP(B232,[1]Todos!$A$2:$B$3021,2,FALSE),0)</f>
        <v>8246.8799999999992</v>
      </c>
      <c r="X232" s="112">
        <f t="shared" si="50"/>
        <v>0</v>
      </c>
    </row>
    <row r="233" spans="1:24" hidden="1" outlineLevel="2" x14ac:dyDescent="0.3">
      <c r="A233" s="40" t="str">
        <f>VLOOKUP(B233,Grupos!$A$2:$B$619,2,FALSE)</f>
        <v>TABLEROS 75 AMP BIMETALICO TAPA LISA</v>
      </c>
      <c r="B233" s="41" t="s">
        <v>350</v>
      </c>
      <c r="C233" s="41" t="s">
        <v>351</v>
      </c>
      <c r="D233" s="42">
        <v>760</v>
      </c>
      <c r="E233" s="43">
        <v>7325.64</v>
      </c>
      <c r="F233" s="192">
        <v>724.35</v>
      </c>
      <c r="G233" s="126">
        <f t="shared" si="52"/>
        <v>8049.9900000000007</v>
      </c>
      <c r="H233" s="127">
        <f t="shared" si="53"/>
        <v>5567486.4000000004</v>
      </c>
      <c r="I233" s="128">
        <f t="shared" si="54"/>
        <v>550506</v>
      </c>
      <c r="J233" s="128">
        <f t="shared" si="55"/>
        <v>6117992.4000000004</v>
      </c>
      <c r="K233" s="44">
        <f t="shared" si="56"/>
        <v>3.9034252924711162E-3</v>
      </c>
      <c r="L233" s="45">
        <f t="shared" si="57"/>
        <v>2297.4431452768945</v>
      </c>
      <c r="M233" s="45">
        <f t="shared" si="58"/>
        <v>4753.4841205992461</v>
      </c>
      <c r="N233" s="45">
        <f t="shared" si="59"/>
        <v>15100.917265876142</v>
      </c>
      <c r="O233" s="46">
        <f t="shared" si="60"/>
        <v>11476697.122065868</v>
      </c>
      <c r="P233" s="47">
        <f t="shared" si="62"/>
        <v>18040.197184210527</v>
      </c>
      <c r="Q233" s="42">
        <v>13710549.859999999</v>
      </c>
      <c r="R233" s="48">
        <f t="shared" si="49"/>
        <v>0.83707052155134121</v>
      </c>
      <c r="S233" s="49"/>
      <c r="T233" s="157">
        <f>IFERROR(VLOOKUP(B233,[1]Todos!$A$2:$C$3021,3,FALSE),0)</f>
        <v>724.35</v>
      </c>
      <c r="U233" s="112">
        <f t="shared" si="51"/>
        <v>0</v>
      </c>
      <c r="W233" s="157">
        <f>IFERROR(VLOOKUP(B233,[1]Todos!$A$2:$B$3021,2,FALSE),0)</f>
        <v>7325.64</v>
      </c>
      <c r="X233" s="112">
        <f t="shared" si="50"/>
        <v>0</v>
      </c>
    </row>
    <row r="234" spans="1:24" hidden="1" outlineLevel="2" x14ac:dyDescent="0.3">
      <c r="A234" s="40" t="str">
        <f>VLOOKUP(B234,Grupos!$A$2:$B$619,2,FALSE)</f>
        <v>TABLEROS 75 AMP BIMETALICO TAPA LISA</v>
      </c>
      <c r="B234" s="41" t="s">
        <v>352</v>
      </c>
      <c r="C234" s="41" t="s">
        <v>353</v>
      </c>
      <c r="D234" s="42">
        <v>1180</v>
      </c>
      <c r="E234" s="43">
        <v>7779.89</v>
      </c>
      <c r="F234" s="192">
        <v>900.79</v>
      </c>
      <c r="G234" s="126">
        <f t="shared" si="52"/>
        <v>8680.68</v>
      </c>
      <c r="H234" s="127">
        <f t="shared" si="53"/>
        <v>9180270.2000000011</v>
      </c>
      <c r="I234" s="128">
        <f t="shared" si="54"/>
        <v>1062932.2</v>
      </c>
      <c r="J234" s="128">
        <f t="shared" si="55"/>
        <v>10243202.4</v>
      </c>
      <c r="K234" s="44">
        <f t="shared" si="56"/>
        <v>6.5354078118928099E-3</v>
      </c>
      <c r="L234" s="45">
        <f t="shared" si="57"/>
        <v>2477.4401908998939</v>
      </c>
      <c r="M234" s="45">
        <f t="shared" si="58"/>
        <v>5911.3563346373912</v>
      </c>
      <c r="N234" s="45">
        <f t="shared" si="59"/>
        <v>17069.476525537284</v>
      </c>
      <c r="O234" s="46">
        <f t="shared" si="60"/>
        <v>20141982.300133996</v>
      </c>
      <c r="P234" s="47">
        <f t="shared" si="62"/>
        <v>22172.177533898302</v>
      </c>
      <c r="Q234" s="42">
        <v>26163169.489999998</v>
      </c>
      <c r="R234" s="48">
        <f t="shared" si="49"/>
        <v>0.76986017721716016</v>
      </c>
      <c r="S234" s="49"/>
      <c r="T234" s="157">
        <f>IFERROR(VLOOKUP(B234,[1]Todos!$A$2:$C$3021,3,FALSE),0)</f>
        <v>900.79</v>
      </c>
      <c r="U234" s="112">
        <f t="shared" si="51"/>
        <v>0</v>
      </c>
      <c r="W234" s="157">
        <f>IFERROR(VLOOKUP(B234,[1]Todos!$A$2:$B$3021,2,FALSE),0)</f>
        <v>7779.89</v>
      </c>
      <c r="X234" s="112">
        <f t="shared" si="50"/>
        <v>0</v>
      </c>
    </row>
    <row r="235" spans="1:24" hidden="1" outlineLevel="2" x14ac:dyDescent="0.3">
      <c r="A235" s="40" t="str">
        <f>VLOOKUP(B235,Grupos!$A$2:$B$619,2,FALSE)</f>
        <v>TABLEROS 75 AMP BIMETALICO TAPA LISA</v>
      </c>
      <c r="B235" s="41" t="s">
        <v>754</v>
      </c>
      <c r="C235" s="41" t="s">
        <v>1126</v>
      </c>
      <c r="D235" s="42">
        <v>6180</v>
      </c>
      <c r="E235" s="43">
        <v>9295.81</v>
      </c>
      <c r="F235" s="192">
        <v>738.77</v>
      </c>
      <c r="G235" s="126">
        <f t="shared" si="52"/>
        <v>10034.58</v>
      </c>
      <c r="H235" s="127">
        <f t="shared" si="53"/>
        <v>57448105.799999997</v>
      </c>
      <c r="I235" s="128">
        <f t="shared" si="54"/>
        <v>4565598.5999999996</v>
      </c>
      <c r="J235" s="128">
        <f t="shared" si="55"/>
        <v>62013704.399999999</v>
      </c>
      <c r="K235" s="44">
        <f t="shared" si="56"/>
        <v>3.9566224736530785E-2</v>
      </c>
      <c r="L235" s="45">
        <f t="shared" si="57"/>
        <v>2863.8392143012129</v>
      </c>
      <c r="M235" s="45">
        <f t="shared" si="58"/>
        <v>4848.1141213158071</v>
      </c>
      <c r="N235" s="45">
        <f t="shared" si="59"/>
        <v>17746.533335617019</v>
      </c>
      <c r="O235" s="46">
        <f t="shared" si="60"/>
        <v>109673576.01411319</v>
      </c>
      <c r="P235" s="47">
        <f t="shared" si="62"/>
        <v>18987</v>
      </c>
      <c r="Q235" s="42">
        <v>117339660</v>
      </c>
      <c r="R235" s="48">
        <f t="shared" si="49"/>
        <v>0.93466757969226422</v>
      </c>
      <c r="S235" s="49"/>
      <c r="T235" s="157">
        <f>IFERROR(VLOOKUP(B235,[1]Todos!$A$2:$C$3021,3,FALSE),0)</f>
        <v>738.77</v>
      </c>
      <c r="U235" s="112">
        <f t="shared" si="51"/>
        <v>0</v>
      </c>
      <c r="W235" s="157">
        <f>IFERROR(VLOOKUP(B235,[1]Todos!$A$2:$B$3021,2,FALSE),0)</f>
        <v>9295.81</v>
      </c>
      <c r="X235" s="112">
        <f t="shared" si="50"/>
        <v>0</v>
      </c>
    </row>
    <row r="236" spans="1:24" hidden="1" outlineLevel="2" x14ac:dyDescent="0.3">
      <c r="A236" s="40" t="str">
        <f>VLOOKUP(B236,Grupos!$A$2:$B$619,2,FALSE)</f>
        <v>TABLEROS 75 AMP BIMETALICO TAPA LISA</v>
      </c>
      <c r="B236" s="41" t="s">
        <v>354</v>
      </c>
      <c r="C236" s="41" t="s">
        <v>355</v>
      </c>
      <c r="D236" s="42">
        <v>683</v>
      </c>
      <c r="E236" s="43">
        <v>7768.74</v>
      </c>
      <c r="F236" s="192">
        <v>806.59</v>
      </c>
      <c r="G236" s="126">
        <f t="shared" si="52"/>
        <v>8575.33</v>
      </c>
      <c r="H236" s="127">
        <f t="shared" si="53"/>
        <v>5306049.42</v>
      </c>
      <c r="I236" s="128">
        <f t="shared" si="54"/>
        <v>550900.97</v>
      </c>
      <c r="J236" s="128">
        <f t="shared" si="55"/>
        <v>5856950.3899999997</v>
      </c>
      <c r="K236" s="44">
        <f t="shared" si="56"/>
        <v>3.7368742545470582E-3</v>
      </c>
      <c r="L236" s="45">
        <f t="shared" si="57"/>
        <v>2447.3736149967035</v>
      </c>
      <c r="M236" s="45">
        <f t="shared" si="58"/>
        <v>5293.1769956984135</v>
      </c>
      <c r="N236" s="45">
        <f t="shared" si="59"/>
        <v>16315.880610695116</v>
      </c>
      <c r="O236" s="46">
        <f t="shared" si="60"/>
        <v>11143746.457104765</v>
      </c>
      <c r="P236" s="47">
        <f t="shared" si="62"/>
        <v>20968.304670571011</v>
      </c>
      <c r="Q236" s="42">
        <v>14321352.09</v>
      </c>
      <c r="R236" s="48">
        <f t="shared" si="49"/>
        <v>0.77812111503675518</v>
      </c>
      <c r="S236" s="49"/>
      <c r="T236" s="157">
        <f>IFERROR(VLOOKUP(B236,[1]Todos!$A$2:$C$3021,3,FALSE),0)</f>
        <v>806.59</v>
      </c>
      <c r="U236" s="112">
        <f t="shared" si="51"/>
        <v>0</v>
      </c>
      <c r="W236" s="157">
        <f>IFERROR(VLOOKUP(B236,[1]Todos!$A$2:$B$3021,2,FALSE),0)</f>
        <v>7768.74</v>
      </c>
      <c r="X236" s="112">
        <f t="shared" si="50"/>
        <v>0</v>
      </c>
    </row>
    <row r="237" spans="1:24" hidden="1" outlineLevel="2" x14ac:dyDescent="0.3">
      <c r="A237" s="40" t="str">
        <f>VLOOKUP(B237,Grupos!$A$2:$B$619,2,FALSE)</f>
        <v>TABLEROS 75 AMP BIMETALICO TAPA LISA</v>
      </c>
      <c r="B237" s="41" t="s">
        <v>356</v>
      </c>
      <c r="C237" s="41" t="s">
        <v>357</v>
      </c>
      <c r="D237" s="42">
        <v>200</v>
      </c>
      <c r="E237" s="43">
        <v>7472.13</v>
      </c>
      <c r="F237" s="192">
        <v>823.37</v>
      </c>
      <c r="G237" s="126">
        <f t="shared" si="52"/>
        <v>8295.5</v>
      </c>
      <c r="H237" s="127">
        <f t="shared" si="53"/>
        <v>1494426</v>
      </c>
      <c r="I237" s="128">
        <f t="shared" si="54"/>
        <v>164674</v>
      </c>
      <c r="J237" s="128">
        <f t="shared" si="55"/>
        <v>1659100</v>
      </c>
      <c r="K237" s="44">
        <f t="shared" si="56"/>
        <v>1.0585454311350286E-3</v>
      </c>
      <c r="L237" s="45">
        <f t="shared" si="57"/>
        <v>2367.5109672986523</v>
      </c>
      <c r="M237" s="45">
        <f t="shared" si="58"/>
        <v>5403.2942919552715</v>
      </c>
      <c r="N237" s="45">
        <f t="shared" si="59"/>
        <v>16066.305259253924</v>
      </c>
      <c r="O237" s="46">
        <f t="shared" si="60"/>
        <v>3213261.051850785</v>
      </c>
      <c r="P237" s="47">
        <f t="shared" si="62"/>
        <v>22845.949900000003</v>
      </c>
      <c r="Q237" s="42">
        <v>4569189.9800000004</v>
      </c>
      <c r="R237" s="48">
        <f t="shared" si="49"/>
        <v>0.70324522856692084</v>
      </c>
      <c r="S237" s="49"/>
      <c r="T237" s="157">
        <f>IFERROR(VLOOKUP(B237,[1]Todos!$A$2:$C$3021,3,FALSE),0)</f>
        <v>823.37</v>
      </c>
      <c r="U237" s="112">
        <f t="shared" si="51"/>
        <v>0</v>
      </c>
      <c r="W237" s="157">
        <f>IFERROR(VLOOKUP(B237,[1]Todos!$A$2:$B$3021,2,FALSE),0)</f>
        <v>7472.13</v>
      </c>
      <c r="X237" s="112">
        <f t="shared" si="50"/>
        <v>0</v>
      </c>
    </row>
    <row r="238" spans="1:24" hidden="1" outlineLevel="2" x14ac:dyDescent="0.3">
      <c r="A238" s="40" t="str">
        <f>VLOOKUP(B238,Grupos!$A$2:$B$619,2,FALSE)</f>
        <v>TABLEROS 75 AMP BIMETALICO TAPA LISA</v>
      </c>
      <c r="B238" s="41" t="s">
        <v>358</v>
      </c>
      <c r="C238" s="41" t="s">
        <v>359</v>
      </c>
      <c r="D238" s="42">
        <v>1580</v>
      </c>
      <c r="E238" s="43">
        <v>7438.22</v>
      </c>
      <c r="F238" s="192">
        <v>779.32</v>
      </c>
      <c r="G238" s="126">
        <f t="shared" si="52"/>
        <v>8217.5400000000009</v>
      </c>
      <c r="H238" s="127">
        <f t="shared" si="53"/>
        <v>11752387.6</v>
      </c>
      <c r="I238" s="128">
        <f t="shared" si="54"/>
        <v>1231325.6000000001</v>
      </c>
      <c r="J238" s="128">
        <f t="shared" si="55"/>
        <v>12983713.200000001</v>
      </c>
      <c r="K238" s="44">
        <f t="shared" si="56"/>
        <v>8.2839191652266681E-3</v>
      </c>
      <c r="L238" s="45">
        <f t="shared" si="57"/>
        <v>2345.2614157332737</v>
      </c>
      <c r="M238" s="45">
        <f t="shared" si="58"/>
        <v>5114.2199832476081</v>
      </c>
      <c r="N238" s="45">
        <f t="shared" si="59"/>
        <v>15677.021398980884</v>
      </c>
      <c r="O238" s="46">
        <f t="shared" si="60"/>
        <v>24769693.810389794</v>
      </c>
      <c r="P238" s="47">
        <f t="shared" si="62"/>
        <v>22004.152879746835</v>
      </c>
      <c r="Q238" s="42">
        <v>34766561.549999997</v>
      </c>
      <c r="R238" s="48">
        <f t="shared" si="49"/>
        <v>0.7124573931410193</v>
      </c>
      <c r="S238" s="49"/>
      <c r="T238" s="157">
        <f>IFERROR(VLOOKUP(B238,[1]Todos!$A$2:$C$3021,3,FALSE),0)</f>
        <v>779.32</v>
      </c>
      <c r="U238" s="112">
        <f t="shared" si="51"/>
        <v>0</v>
      </c>
      <c r="W238" s="157">
        <f>IFERROR(VLOOKUP(B238,[1]Todos!$A$2:$B$3021,2,FALSE),0)</f>
        <v>7438.22</v>
      </c>
      <c r="X238" s="112">
        <f t="shared" si="50"/>
        <v>0</v>
      </c>
    </row>
    <row r="239" spans="1:24" hidden="1" outlineLevel="2" x14ac:dyDescent="0.3">
      <c r="A239" s="40" t="str">
        <f>VLOOKUP(B239,Grupos!$A$2:$B$619,2,FALSE)</f>
        <v>TABLEROS 75 AMP BIMETALICO TAPA LISA</v>
      </c>
      <c r="B239" s="41" t="s">
        <v>360</v>
      </c>
      <c r="C239" s="41" t="s">
        <v>361</v>
      </c>
      <c r="D239" s="42">
        <v>80</v>
      </c>
      <c r="E239" s="43">
        <v>9403.9500000000007</v>
      </c>
      <c r="F239" s="192">
        <v>1069.07</v>
      </c>
      <c r="G239" s="126">
        <f t="shared" si="52"/>
        <v>10473.02</v>
      </c>
      <c r="H239" s="127">
        <f t="shared" si="53"/>
        <v>752316</v>
      </c>
      <c r="I239" s="128">
        <f t="shared" si="54"/>
        <v>85525.599999999991</v>
      </c>
      <c r="J239" s="128">
        <f t="shared" si="55"/>
        <v>837841.60000000009</v>
      </c>
      <c r="K239" s="44">
        <f t="shared" si="56"/>
        <v>5.3456295443002973E-4</v>
      </c>
      <c r="L239" s="45">
        <f t="shared" si="57"/>
        <v>2988.9686831098952</v>
      </c>
      <c r="M239" s="45">
        <f t="shared" si="58"/>
        <v>7015.6792556209512</v>
      </c>
      <c r="N239" s="45">
        <f t="shared" si="59"/>
        <v>20477.667938730847</v>
      </c>
      <c r="O239" s="46">
        <f t="shared" si="60"/>
        <v>1638213.4350984679</v>
      </c>
      <c r="P239" s="47">
        <f t="shared" si="62"/>
        <v>30853.249125000002</v>
      </c>
      <c r="Q239" s="42">
        <v>2468259.9300000002</v>
      </c>
      <c r="R239" s="48">
        <f t="shared" si="49"/>
        <v>0.66371187863446279</v>
      </c>
      <c r="S239" s="49"/>
      <c r="T239" s="157">
        <f>IFERROR(VLOOKUP(B239,[1]Todos!$A$2:$C$3021,3,FALSE),0)</f>
        <v>1069.07</v>
      </c>
      <c r="U239" s="112">
        <f t="shared" si="51"/>
        <v>0</v>
      </c>
      <c r="W239" s="157">
        <f>IFERROR(VLOOKUP(B239,[1]Todos!$A$2:$B$3021,2,FALSE),0)</f>
        <v>9403.9500000000007</v>
      </c>
      <c r="X239" s="112">
        <f t="shared" si="50"/>
        <v>0</v>
      </c>
    </row>
    <row r="240" spans="1:24" hidden="1" outlineLevel="2" x14ac:dyDescent="0.3">
      <c r="A240" s="40" t="str">
        <f>VLOOKUP(B240,Grupos!$A$2:$B$619,2,FALSE)</f>
        <v>TABLEROS 75 AMP BIMETALICO TAPA LISA</v>
      </c>
      <c r="B240" s="41" t="s">
        <v>362</v>
      </c>
      <c r="C240" s="41" t="s">
        <v>363</v>
      </c>
      <c r="D240" s="42">
        <v>360</v>
      </c>
      <c r="E240" s="43">
        <v>9403.61</v>
      </c>
      <c r="F240" s="192">
        <v>985.89</v>
      </c>
      <c r="G240" s="126">
        <f t="shared" si="52"/>
        <v>10389.5</v>
      </c>
      <c r="H240" s="127">
        <f t="shared" si="53"/>
        <v>3385299.6</v>
      </c>
      <c r="I240" s="128">
        <f t="shared" si="54"/>
        <v>354920.4</v>
      </c>
      <c r="J240" s="128">
        <f t="shared" si="55"/>
        <v>3740220</v>
      </c>
      <c r="K240" s="44">
        <f t="shared" si="56"/>
        <v>2.3863497031160609E-3</v>
      </c>
      <c r="L240" s="45">
        <f t="shared" si="57"/>
        <v>2965.1323241214332</v>
      </c>
      <c r="M240" s="45">
        <f t="shared" si="58"/>
        <v>6469.8177119591228</v>
      </c>
      <c r="N240" s="45">
        <f t="shared" si="59"/>
        <v>19824.450036080558</v>
      </c>
      <c r="O240" s="46">
        <f t="shared" si="60"/>
        <v>7136802.0129890004</v>
      </c>
      <c r="P240" s="47">
        <f t="shared" si="62"/>
        <v>26332.000833333335</v>
      </c>
      <c r="Q240" s="42">
        <v>9479520.3000000007</v>
      </c>
      <c r="R240" s="152">
        <f t="shared" si="49"/>
        <v>0.75286531249782751</v>
      </c>
      <c r="S240" s="49"/>
      <c r="T240" s="157">
        <f>IFERROR(VLOOKUP(B240,[1]Todos!$A$2:$C$3021,3,FALSE),0)</f>
        <v>985.89</v>
      </c>
      <c r="U240" s="112">
        <f t="shared" si="51"/>
        <v>0</v>
      </c>
      <c r="W240" s="157">
        <f>IFERROR(VLOOKUP(B240,[1]Todos!$A$2:$B$3021,2,FALSE),0)</f>
        <v>9403.61</v>
      </c>
      <c r="X240" s="112">
        <f t="shared" si="50"/>
        <v>0</v>
      </c>
    </row>
    <row r="241" spans="1:24" hidden="1" outlineLevel="2" x14ac:dyDescent="0.3">
      <c r="A241" s="40" t="str">
        <f>VLOOKUP(B241,Grupos!$A$2:$B$619,2,FALSE)</f>
        <v>TABLEROS 75 AMP BIMETALICO TAPA LISA</v>
      </c>
      <c r="B241" s="41" t="s">
        <v>365</v>
      </c>
      <c r="C241" s="41" t="s">
        <v>366</v>
      </c>
      <c r="D241" s="42">
        <v>1386</v>
      </c>
      <c r="E241" s="43">
        <v>9083.82</v>
      </c>
      <c r="F241" s="192">
        <v>959.53</v>
      </c>
      <c r="G241" s="126">
        <f t="shared" si="52"/>
        <v>10043.35</v>
      </c>
      <c r="H241" s="127">
        <f t="shared" si="53"/>
        <v>12590174.52</v>
      </c>
      <c r="I241" s="128">
        <f t="shared" si="54"/>
        <v>1329908.58</v>
      </c>
      <c r="J241" s="128">
        <f t="shared" si="55"/>
        <v>13920083.1</v>
      </c>
      <c r="K241" s="44">
        <f t="shared" si="56"/>
        <v>8.8813455286148677E-3</v>
      </c>
      <c r="L241" s="45">
        <f t="shared" si="57"/>
        <v>2866.3421461538092</v>
      </c>
      <c r="M241" s="45">
        <f t="shared" si="58"/>
        <v>6296.8324956700417</v>
      </c>
      <c r="N241" s="45">
        <f t="shared" si="59"/>
        <v>19206.524641823853</v>
      </c>
      <c r="O241" s="46">
        <f t="shared" si="60"/>
        <v>26620243.153567862</v>
      </c>
      <c r="P241" s="47">
        <f t="shared" si="62"/>
        <v>27432.606572871573</v>
      </c>
      <c r="Q241" s="42">
        <v>38021592.710000001</v>
      </c>
      <c r="R241" s="152">
        <f t="shared" si="49"/>
        <v>0.70013487747888348</v>
      </c>
      <c r="S241" s="49"/>
      <c r="T241" s="157">
        <f>IFERROR(VLOOKUP(B241,[1]Todos!$A$2:$C$3021,3,FALSE),0)</f>
        <v>959.53</v>
      </c>
      <c r="U241" s="112">
        <f t="shared" si="51"/>
        <v>0</v>
      </c>
      <c r="W241" s="157">
        <f>IFERROR(VLOOKUP(B241,[1]Todos!$A$2:$B$3021,2,FALSE),0)</f>
        <v>9083.82</v>
      </c>
      <c r="X241" s="112">
        <f t="shared" si="50"/>
        <v>0</v>
      </c>
    </row>
    <row r="242" spans="1:24" hidden="1" outlineLevel="2" x14ac:dyDescent="0.3">
      <c r="A242" s="40" t="str">
        <f>VLOOKUP(B242,Grupos!$A$2:$B$619,2,FALSE)</f>
        <v>TABLEROS 75 AMP BIMETALICO TAPA LISA</v>
      </c>
      <c r="B242" s="41" t="s">
        <v>651</v>
      </c>
      <c r="C242" s="41" t="s">
        <v>652</v>
      </c>
      <c r="D242" s="42">
        <v>180</v>
      </c>
      <c r="E242" s="43">
        <v>11201.28</v>
      </c>
      <c r="F242" s="192">
        <v>887.05</v>
      </c>
      <c r="G242" s="126">
        <f t="shared" si="52"/>
        <v>12088.33</v>
      </c>
      <c r="H242" s="127">
        <f t="shared" si="53"/>
        <v>2016230.4000000001</v>
      </c>
      <c r="I242" s="128">
        <f t="shared" si="54"/>
        <v>159669</v>
      </c>
      <c r="J242" s="128">
        <f t="shared" si="55"/>
        <v>2175899.4</v>
      </c>
      <c r="K242" s="44">
        <f t="shared" si="56"/>
        <v>1.3882757931887469E-3</v>
      </c>
      <c r="L242" s="45">
        <f t="shared" si="57"/>
        <v>3449.973341127758</v>
      </c>
      <c r="M242" s="45">
        <f t="shared" si="58"/>
        <v>5821.1887750087126</v>
      </c>
      <c r="N242" s="45">
        <f t="shared" si="59"/>
        <v>21359.492116136469</v>
      </c>
      <c r="O242" s="46">
        <f t="shared" si="60"/>
        <v>3844708.5809045644</v>
      </c>
      <c r="P242" s="47">
        <f t="shared" si="62"/>
        <v>33890.500944444444</v>
      </c>
      <c r="Q242" s="42">
        <v>6100290.1699999999</v>
      </c>
      <c r="R242" s="152">
        <f t="shared" si="49"/>
        <v>0.63025011495552585</v>
      </c>
      <c r="S242" s="49"/>
      <c r="T242" s="157">
        <f>IFERROR(VLOOKUP(B242,[1]Todos!$A$2:$C$3021,3,FALSE),0)</f>
        <v>887.05</v>
      </c>
      <c r="U242" s="112">
        <f t="shared" si="51"/>
        <v>0</v>
      </c>
      <c r="W242" s="157">
        <f>IFERROR(VLOOKUP(B242,[1]Todos!$A$2:$B$3021,2,FALSE),0)</f>
        <v>11201.28</v>
      </c>
      <c r="X242" s="112">
        <f t="shared" si="50"/>
        <v>0</v>
      </c>
    </row>
    <row r="243" spans="1:24" hidden="1" outlineLevel="2" x14ac:dyDescent="0.3">
      <c r="A243" s="40" t="str">
        <f>VLOOKUP(B243,Grupos!$A$2:$B$619,2,FALSE)</f>
        <v>TABLEROS 75 AMP BIMETALICO TAPA LISA</v>
      </c>
      <c r="B243" s="41" t="s">
        <v>367</v>
      </c>
      <c r="C243" s="41" t="s">
        <v>368</v>
      </c>
      <c r="D243" s="42">
        <v>495</v>
      </c>
      <c r="E243" s="43">
        <v>10855.39</v>
      </c>
      <c r="F243" s="192">
        <v>972.71</v>
      </c>
      <c r="G243" s="126">
        <f t="shared" si="52"/>
        <v>11828.099999999999</v>
      </c>
      <c r="H243" s="127">
        <f t="shared" si="53"/>
        <v>5373418.0499999998</v>
      </c>
      <c r="I243" s="128">
        <f t="shared" si="54"/>
        <v>481491.45</v>
      </c>
      <c r="J243" s="128">
        <f t="shared" si="55"/>
        <v>5854909.4999999991</v>
      </c>
      <c r="K243" s="44">
        <f t="shared" si="56"/>
        <v>3.7355721179760559E-3</v>
      </c>
      <c r="L243" s="45">
        <f t="shared" si="57"/>
        <v>3375.704474993091</v>
      </c>
      <c r="M243" s="45">
        <f t="shared" si="58"/>
        <v>6383.3251038145827</v>
      </c>
      <c r="N243" s="45">
        <f t="shared" si="59"/>
        <v>21587.129578807671</v>
      </c>
      <c r="O243" s="46">
        <f t="shared" si="60"/>
        <v>10685629.141509797</v>
      </c>
      <c r="P243" s="47">
        <f t="shared" si="62"/>
        <v>34367.046121212115</v>
      </c>
      <c r="Q243" s="42">
        <v>17011687.829999998</v>
      </c>
      <c r="R243" s="152">
        <f t="shared" si="49"/>
        <v>0.62813456538191126</v>
      </c>
      <c r="S243" s="49"/>
      <c r="T243" s="157">
        <f>IFERROR(VLOOKUP(B243,[1]Todos!$A$2:$C$3021,3,FALSE),0)</f>
        <v>972.71</v>
      </c>
      <c r="U243" s="112">
        <f t="shared" si="51"/>
        <v>0</v>
      </c>
      <c r="W243" s="157">
        <f>IFERROR(VLOOKUP(B243,[1]Todos!$A$2:$B$3021,2,FALSE),0)</f>
        <v>10855.39</v>
      </c>
      <c r="X243" s="112">
        <f t="shared" si="50"/>
        <v>0</v>
      </c>
    </row>
    <row r="244" spans="1:24" s="93" customFormat="1" outlineLevel="1" collapsed="1" x14ac:dyDescent="0.3">
      <c r="A244" s="50" t="s">
        <v>1037</v>
      </c>
      <c r="B244" s="129"/>
      <c r="C244" s="129"/>
      <c r="D244" s="51">
        <f>SUBTOTAL(9,D229:D243)</f>
        <v>14000</v>
      </c>
      <c r="E244" s="52"/>
      <c r="F244" s="52"/>
      <c r="G244" s="130"/>
      <c r="H244" s="131">
        <f>SUBTOTAL(9,H229:H243)</f>
        <v>120147836.30999999</v>
      </c>
      <c r="I244" s="146">
        <f>SUBTOTAL(9,I229:I243)</f>
        <v>10978293.52</v>
      </c>
      <c r="J244" s="146">
        <f>SUBTOTAL(9,J229:J243)</f>
        <v>131126129.83</v>
      </c>
      <c r="K244" s="53"/>
      <c r="L244" s="54"/>
      <c r="M244" s="54"/>
      <c r="N244" s="54"/>
      <c r="O244" s="55">
        <f>SUBTOTAL(9,O229:O243)</f>
        <v>240593236.45158282</v>
      </c>
      <c r="P244" s="56"/>
      <c r="Q244" s="51">
        <f>SUBTOTAL(9,Q229:Q243)</f>
        <v>298923954.38</v>
      </c>
      <c r="R244" s="164">
        <f t="shared" si="49"/>
        <v>0.80486435739350071</v>
      </c>
      <c r="S244" s="58">
        <f>Q244/$Q$303</f>
        <v>7.4675176414073369E-2</v>
      </c>
      <c r="T244" s="157">
        <f>IFERROR(VLOOKUP(B244,[1]Todos!$A$2:$C$3021,3,FALSE),0)</f>
        <v>0</v>
      </c>
      <c r="U244" s="112">
        <f t="shared" si="51"/>
        <v>0</v>
      </c>
      <c r="W244" s="157">
        <f>IFERROR(VLOOKUP(B244,[1]Todos!$A$2:$B$3021,2,FALSE),0)</f>
        <v>0</v>
      </c>
      <c r="X244" s="112">
        <f t="shared" si="50"/>
        <v>0</v>
      </c>
    </row>
    <row r="245" spans="1:24" hidden="1" outlineLevel="2" x14ac:dyDescent="0.3">
      <c r="A245" s="40" t="str">
        <f>VLOOKUP(B245,Grupos!$A$2:$B$619,2,FALSE)</f>
        <v>TABLEROS 75 AMP BIMETALICO TAPA PLASTICA</v>
      </c>
      <c r="B245" s="41" t="s">
        <v>369</v>
      </c>
      <c r="C245" s="41" t="s">
        <v>370</v>
      </c>
      <c r="D245" s="42">
        <v>390</v>
      </c>
      <c r="E245" s="43">
        <v>7871.02</v>
      </c>
      <c r="F245" s="43">
        <v>859.56</v>
      </c>
      <c r="G245" s="126">
        <f t="shared" si="52"/>
        <v>8730.58</v>
      </c>
      <c r="H245" s="127">
        <f t="shared" si="53"/>
        <v>3069697.8000000003</v>
      </c>
      <c r="I245" s="128">
        <f t="shared" si="54"/>
        <v>335228.39999999997</v>
      </c>
      <c r="J245" s="128">
        <f t="shared" si="55"/>
        <v>3404926.2</v>
      </c>
      <c r="K245" s="44">
        <f t="shared" si="56"/>
        <v>2.1724242495099483E-3</v>
      </c>
      <c r="L245" s="45">
        <f t="shared" si="57"/>
        <v>2491.6815021250404</v>
      </c>
      <c r="M245" s="45">
        <f t="shared" si="58"/>
        <v>5640.7880316177088</v>
      </c>
      <c r="N245" s="45">
        <f t="shared" si="59"/>
        <v>16863.049533742749</v>
      </c>
      <c r="O245" s="46">
        <f t="shared" si="60"/>
        <v>6576589.3181596724</v>
      </c>
      <c r="P245" s="47">
        <f>Q245/D245</f>
        <v>21826.673384615384</v>
      </c>
      <c r="Q245" s="42">
        <v>8512402.6199999992</v>
      </c>
      <c r="R245" s="48">
        <f t="shared" si="49"/>
        <v>0.77258908110242475</v>
      </c>
      <c r="S245" s="49"/>
      <c r="T245" s="157">
        <f>IFERROR(VLOOKUP(B245,[1]Todos!$A$2:$C$3021,3,FALSE),0)</f>
        <v>859.56</v>
      </c>
      <c r="U245" s="112">
        <f t="shared" si="51"/>
        <v>0</v>
      </c>
      <c r="W245" s="157">
        <f>IFERROR(VLOOKUP(B245,[1]Todos!$A$2:$B$3021,2,FALSE),0)</f>
        <v>7871.02</v>
      </c>
      <c r="X245" s="112">
        <f t="shared" si="50"/>
        <v>0</v>
      </c>
    </row>
    <row r="246" spans="1:24" hidden="1" outlineLevel="2" x14ac:dyDescent="0.3">
      <c r="A246" s="40" t="str">
        <f>VLOOKUP(B246,Grupos!$A$2:$B$619,2,FALSE)</f>
        <v>TABLEROS 75 AMP BIMETALICO TAPA PLASTICA</v>
      </c>
      <c r="B246" s="41" t="s">
        <v>371</v>
      </c>
      <c r="C246" s="41" t="s">
        <v>372</v>
      </c>
      <c r="D246" s="42">
        <v>357</v>
      </c>
      <c r="E246" s="43">
        <v>7540.5</v>
      </c>
      <c r="F246" s="43">
        <v>749.32</v>
      </c>
      <c r="G246" s="126">
        <f t="shared" si="52"/>
        <v>8289.82</v>
      </c>
      <c r="H246" s="127">
        <f t="shared" si="53"/>
        <v>2691958.5</v>
      </c>
      <c r="I246" s="128">
        <f t="shared" si="54"/>
        <v>267507.24</v>
      </c>
      <c r="J246" s="128">
        <f t="shared" si="55"/>
        <v>2959465.7399999998</v>
      </c>
      <c r="K246" s="44">
        <f t="shared" si="56"/>
        <v>1.8882098352586622E-3</v>
      </c>
      <c r="L246" s="45">
        <f t="shared" si="57"/>
        <v>2365.8899122333451</v>
      </c>
      <c r="M246" s="45">
        <f t="shared" si="58"/>
        <v>4917.3475823116278</v>
      </c>
      <c r="N246" s="45">
        <f t="shared" si="59"/>
        <v>15573.057494544973</v>
      </c>
      <c r="O246" s="46">
        <f t="shared" si="60"/>
        <v>5559581.5255525559</v>
      </c>
      <c r="P246" s="47">
        <f>Q246/D246</f>
        <v>21434.348683473392</v>
      </c>
      <c r="Q246" s="42">
        <v>7652062.4800000004</v>
      </c>
      <c r="R246" s="48">
        <f t="shared" si="49"/>
        <v>0.72654680226193813</v>
      </c>
      <c r="S246" s="49"/>
      <c r="T246" s="157">
        <f>IFERROR(VLOOKUP(B246,[1]Todos!$A$2:$C$3021,3,FALSE),0)</f>
        <v>749.32</v>
      </c>
      <c r="U246" s="112">
        <f t="shared" si="51"/>
        <v>0</v>
      </c>
      <c r="W246" s="157">
        <f>IFERROR(VLOOKUP(B246,[1]Todos!$A$2:$B$3021,2,FALSE),0)</f>
        <v>7540.5</v>
      </c>
      <c r="X246" s="112">
        <f t="shared" si="50"/>
        <v>0</v>
      </c>
    </row>
    <row r="247" spans="1:24" hidden="1" outlineLevel="2" x14ac:dyDescent="0.3">
      <c r="A247" s="40" t="str">
        <f>VLOOKUP(B247,Grupos!$A$2:$B$619,2,FALSE)</f>
        <v>TABLEROS 75 AMP BIMETALICO TAPA PLASTICA</v>
      </c>
      <c r="B247" s="41" t="s">
        <v>373</v>
      </c>
      <c r="C247" s="41" t="s">
        <v>374</v>
      </c>
      <c r="D247" s="42">
        <v>401</v>
      </c>
      <c r="E247" s="43">
        <v>9378.31</v>
      </c>
      <c r="F247" s="43">
        <v>917.82</v>
      </c>
      <c r="G247" s="126">
        <f t="shared" si="52"/>
        <v>10296.129999999999</v>
      </c>
      <c r="H247" s="127">
        <f t="shared" si="53"/>
        <v>3760702.3099999996</v>
      </c>
      <c r="I247" s="128">
        <f t="shared" si="54"/>
        <v>368045.82</v>
      </c>
      <c r="J247" s="128">
        <f t="shared" si="55"/>
        <v>4128748.13</v>
      </c>
      <c r="K247" s="44">
        <f t="shared" si="56"/>
        <v>2.6342399308774598E-3</v>
      </c>
      <c r="L247" s="45">
        <f t="shared" si="57"/>
        <v>2938.4848045003523</v>
      </c>
      <c r="M247" s="45">
        <f t="shared" si="58"/>
        <v>6023.1142342353842</v>
      </c>
      <c r="N247" s="45">
        <f t="shared" si="59"/>
        <v>19257.729038735735</v>
      </c>
      <c r="O247" s="46">
        <f t="shared" si="60"/>
        <v>7722349.3445330299</v>
      </c>
      <c r="P247" s="47">
        <f>Q247/D247</f>
        <v>26540.319052369076</v>
      </c>
      <c r="Q247" s="42">
        <v>10642667.939999999</v>
      </c>
      <c r="R247" s="48">
        <f t="shared" si="49"/>
        <v>0.72560277066513745</v>
      </c>
      <c r="S247" s="49"/>
      <c r="T247" s="157">
        <f>IFERROR(VLOOKUP(B247,[1]Todos!$A$2:$C$3021,3,FALSE),0)</f>
        <v>917.82</v>
      </c>
      <c r="U247" s="112">
        <f t="shared" si="51"/>
        <v>0</v>
      </c>
      <c r="W247" s="157">
        <f>IFERROR(VLOOKUP(B247,[1]Todos!$A$2:$B$3021,2,FALSE),0)</f>
        <v>9378.31</v>
      </c>
      <c r="X247" s="112">
        <f t="shared" si="50"/>
        <v>0</v>
      </c>
    </row>
    <row r="248" spans="1:24" hidden="1" outlineLevel="2" x14ac:dyDescent="0.3">
      <c r="A248" s="40" t="str">
        <f>VLOOKUP(B248,Grupos!$A$2:$B$619,2,FALSE)</f>
        <v>TABLEROS 75 AMP BIMETALICO TAPA PLASTICA</v>
      </c>
      <c r="B248" s="41" t="s">
        <v>375</v>
      </c>
      <c r="C248" s="41" t="s">
        <v>376</v>
      </c>
      <c r="D248" s="42">
        <v>795</v>
      </c>
      <c r="E248" s="43">
        <v>9062.74</v>
      </c>
      <c r="F248" s="43">
        <v>875.23</v>
      </c>
      <c r="G248" s="126">
        <f t="shared" si="52"/>
        <v>9937.9699999999993</v>
      </c>
      <c r="H248" s="127">
        <f t="shared" si="53"/>
        <v>7204878.2999999998</v>
      </c>
      <c r="I248" s="128">
        <f t="shared" si="54"/>
        <v>695807.85</v>
      </c>
      <c r="J248" s="128">
        <f t="shared" si="55"/>
        <v>7900686.1499999994</v>
      </c>
      <c r="K248" s="44">
        <f t="shared" si="56"/>
        <v>5.0408264884059424E-3</v>
      </c>
      <c r="L248" s="45">
        <f t="shared" si="57"/>
        <v>2836.2670083400621</v>
      </c>
      <c r="M248" s="45">
        <f t="shared" si="58"/>
        <v>5743.6210490399371</v>
      </c>
      <c r="N248" s="45">
        <f t="shared" si="59"/>
        <v>18517.858057379999</v>
      </c>
      <c r="O248" s="46">
        <f t="shared" si="60"/>
        <v>14721697.155617099</v>
      </c>
      <c r="P248" s="47">
        <f>Q248/D248</f>
        <v>25710.962150943396</v>
      </c>
      <c r="Q248" s="42">
        <v>20440214.91</v>
      </c>
      <c r="R248" s="48">
        <f t="shared" si="49"/>
        <v>0.72023201421501581</v>
      </c>
      <c r="S248" s="49"/>
      <c r="T248" s="157">
        <f>IFERROR(VLOOKUP(B248,[1]Todos!$A$2:$C$3021,3,FALSE),0)</f>
        <v>875.23</v>
      </c>
      <c r="U248" s="112">
        <f t="shared" si="51"/>
        <v>0</v>
      </c>
      <c r="W248" s="157">
        <f>IFERROR(VLOOKUP(B248,[1]Todos!$A$2:$B$3021,2,FALSE),0)</f>
        <v>9062.74</v>
      </c>
      <c r="X248" s="112">
        <f t="shared" si="50"/>
        <v>0</v>
      </c>
    </row>
    <row r="249" spans="1:24" s="93" customFormat="1" outlineLevel="1" collapsed="1" x14ac:dyDescent="0.3">
      <c r="A249" s="50" t="s">
        <v>1038</v>
      </c>
      <c r="B249" s="129"/>
      <c r="C249" s="129"/>
      <c r="D249" s="51">
        <f>SUBTOTAL(9,D245:D248)</f>
        <v>1943</v>
      </c>
      <c r="E249" s="52"/>
      <c r="F249" s="52"/>
      <c r="G249" s="130"/>
      <c r="H249" s="131">
        <f>SUBTOTAL(9,H245:H248)</f>
        <v>16727236.91</v>
      </c>
      <c r="I249" s="146">
        <f>SUBTOTAL(9,I245:I248)</f>
        <v>1666589.31</v>
      </c>
      <c r="J249" s="146">
        <f>SUBTOTAL(9,J245:J248)</f>
        <v>18393826.219999999</v>
      </c>
      <c r="K249" s="53"/>
      <c r="L249" s="54"/>
      <c r="M249" s="54"/>
      <c r="N249" s="54"/>
      <c r="O249" s="55">
        <f>SUBTOTAL(9,O245:O248)</f>
        <v>34580217.343862355</v>
      </c>
      <c r="P249" s="56"/>
      <c r="Q249" s="51">
        <f>SUBTOTAL(9,Q245:Q248)</f>
        <v>47247347.950000003</v>
      </c>
      <c r="R249" s="164">
        <f t="shared" si="49"/>
        <v>0.73189753169759342</v>
      </c>
      <c r="S249" s="58">
        <f>Q249/$Q$303</f>
        <v>1.1803015421033177E-2</v>
      </c>
      <c r="T249" s="157">
        <f>IFERROR(VLOOKUP(B249,[1]Todos!$A$2:$C$3021,3,FALSE),0)</f>
        <v>0</v>
      </c>
      <c r="U249" s="112">
        <f t="shared" si="51"/>
        <v>0</v>
      </c>
      <c r="W249" s="157">
        <f>IFERROR(VLOOKUP(B249,[1]Todos!$A$2:$B$3021,2,FALSE),0)</f>
        <v>0</v>
      </c>
      <c r="X249" s="112">
        <f t="shared" si="50"/>
        <v>0</v>
      </c>
    </row>
    <row r="250" spans="1:24" hidden="1" outlineLevel="2" x14ac:dyDescent="0.3">
      <c r="A250" s="40" t="str">
        <f>VLOOKUP(B250,Grupos!$A$2:$B$619,2,FALSE)</f>
        <v>TABLEROS 75 AMP COBRE CON PUERTA</v>
      </c>
      <c r="B250" s="41" t="s">
        <v>377</v>
      </c>
      <c r="C250" s="41" t="s">
        <v>1088</v>
      </c>
      <c r="D250" s="42">
        <v>252</v>
      </c>
      <c r="E250" s="196">
        <v>10726.54</v>
      </c>
      <c r="F250" s="192">
        <v>1041.76</v>
      </c>
      <c r="G250" s="126">
        <f t="shared" si="52"/>
        <v>11768.300000000001</v>
      </c>
      <c r="H250" s="127">
        <f t="shared" si="53"/>
        <v>2703088.08</v>
      </c>
      <c r="I250" s="128">
        <f t="shared" si="54"/>
        <v>262523.52000000002</v>
      </c>
      <c r="J250" s="128">
        <f t="shared" si="55"/>
        <v>2965611.6</v>
      </c>
      <c r="K250" s="44">
        <f t="shared" si="56"/>
        <v>1.8921310407456105E-3</v>
      </c>
      <c r="L250" s="45">
        <f t="shared" si="57"/>
        <v>3358.6377332843995</v>
      </c>
      <c r="M250" s="45">
        <f t="shared" si="58"/>
        <v>6836.4597466355635</v>
      </c>
      <c r="N250" s="45">
        <f t="shared" si="59"/>
        <v>21963.397479919964</v>
      </c>
      <c r="O250" s="46">
        <f t="shared" si="60"/>
        <v>5534776.164939831</v>
      </c>
      <c r="P250" s="47">
        <f t="shared" ref="P250:P256" si="63">Q250/D250</f>
        <v>32446.429246031745</v>
      </c>
      <c r="Q250" s="42">
        <v>8176500.1699999999</v>
      </c>
      <c r="R250" s="48">
        <f t="shared" si="49"/>
        <v>0.67691262152078335</v>
      </c>
      <c r="S250" s="49"/>
      <c r="T250" s="157">
        <f>IFERROR(VLOOKUP(B250,[1]Todos!$A$2:$C$3021,3,FALSE),0)</f>
        <v>1041.76</v>
      </c>
      <c r="U250" s="112">
        <f t="shared" si="51"/>
        <v>0</v>
      </c>
      <c r="W250" s="157">
        <f>IFERROR(VLOOKUP(B250,[1]Todos!$A$2:$B$3021,2,FALSE),0)</f>
        <v>10726.54</v>
      </c>
      <c r="X250" s="112">
        <f t="shared" si="50"/>
        <v>0</v>
      </c>
    </row>
    <row r="251" spans="1:24" hidden="1" outlineLevel="2" x14ac:dyDescent="0.3">
      <c r="A251" s="40" t="str">
        <f>VLOOKUP(B251,Grupos!$A$2:$B$619,2,FALSE)</f>
        <v>TABLEROS 75 AMP COBRE CON PUERTA</v>
      </c>
      <c r="B251" s="41" t="s">
        <v>378</v>
      </c>
      <c r="C251" s="41" t="s">
        <v>379</v>
      </c>
      <c r="D251" s="42">
        <v>630</v>
      </c>
      <c r="E251" s="196">
        <v>10980.11</v>
      </c>
      <c r="F251" s="192">
        <v>1067.55</v>
      </c>
      <c r="G251" s="126">
        <f t="shared" si="52"/>
        <v>12047.66</v>
      </c>
      <c r="H251" s="127">
        <f t="shared" si="53"/>
        <v>6917469.3000000007</v>
      </c>
      <c r="I251" s="128">
        <f t="shared" si="54"/>
        <v>672556.5</v>
      </c>
      <c r="J251" s="128">
        <f t="shared" si="55"/>
        <v>7590025.7999999998</v>
      </c>
      <c r="K251" s="44">
        <f t="shared" si="56"/>
        <v>4.8426177643222171E-3</v>
      </c>
      <c r="L251" s="45">
        <f t="shared" si="57"/>
        <v>3438.3662443837356</v>
      </c>
      <c r="M251" s="45">
        <f t="shared" si="58"/>
        <v>7005.7043873068615</v>
      </c>
      <c r="N251" s="45">
        <f t="shared" si="59"/>
        <v>22491.730631690596</v>
      </c>
      <c r="O251" s="46">
        <f t="shared" si="60"/>
        <v>14169790.297965076</v>
      </c>
      <c r="P251" s="47">
        <f t="shared" si="63"/>
        <v>34770.342984126983</v>
      </c>
      <c r="Q251" s="42">
        <v>21905316.079999998</v>
      </c>
      <c r="R251" s="48">
        <f t="shared" si="49"/>
        <v>0.64686536575029763</v>
      </c>
      <c r="S251" s="49"/>
      <c r="T251" s="157">
        <f>IFERROR(VLOOKUP(B251,[1]Todos!$A$2:$C$3021,3,FALSE),0)</f>
        <v>1067.55</v>
      </c>
      <c r="U251" s="112">
        <f t="shared" si="51"/>
        <v>0</v>
      </c>
      <c r="W251" s="157">
        <f>IFERROR(VLOOKUP(B251,[1]Todos!$A$2:$B$3021,2,FALSE),0)</f>
        <v>10980.11</v>
      </c>
      <c r="X251" s="112">
        <f t="shared" si="50"/>
        <v>0</v>
      </c>
    </row>
    <row r="252" spans="1:24" s="93" customFormat="1" hidden="1" outlineLevel="2" x14ac:dyDescent="0.3">
      <c r="A252" s="40" t="str">
        <f>VLOOKUP(B252,Grupos!$A$2:$B$619,2,FALSE)</f>
        <v>TABLEROS 75 AMP COBRE CON PUERTA</v>
      </c>
      <c r="B252" s="41" t="s">
        <v>380</v>
      </c>
      <c r="C252" s="41" t="s">
        <v>381</v>
      </c>
      <c r="D252" s="42">
        <v>1175</v>
      </c>
      <c r="E252" s="196">
        <v>10984.02</v>
      </c>
      <c r="F252" s="192">
        <v>1048.3900000000001</v>
      </c>
      <c r="G252" s="126">
        <f t="shared" si="52"/>
        <v>12032.41</v>
      </c>
      <c r="H252" s="127">
        <f t="shared" si="53"/>
        <v>12906223.5</v>
      </c>
      <c r="I252" s="128">
        <f t="shared" si="54"/>
        <v>1231858.2500000002</v>
      </c>
      <c r="J252" s="128">
        <f t="shared" si="55"/>
        <v>14138081.75</v>
      </c>
      <c r="K252" s="44">
        <f t="shared" si="56"/>
        <v>9.0204338746766501E-3</v>
      </c>
      <c r="L252" s="45">
        <f t="shared" si="57"/>
        <v>3434.0139398510009</v>
      </c>
      <c r="M252" s="45">
        <f t="shared" si="58"/>
        <v>6879.9685472424162</v>
      </c>
      <c r="N252" s="45">
        <f t="shared" si="59"/>
        <v>22346.392487093417</v>
      </c>
      <c r="O252" s="46">
        <f t="shared" si="60"/>
        <v>26257011.172334764</v>
      </c>
      <c r="P252" s="47">
        <f t="shared" si="63"/>
        <v>31585.208068085103</v>
      </c>
      <c r="Q252" s="42">
        <v>37112619.479999997</v>
      </c>
      <c r="R252" s="48">
        <f t="shared" si="49"/>
        <v>0.70749549722526794</v>
      </c>
      <c r="S252" s="58"/>
      <c r="T252" s="157">
        <f>IFERROR(VLOOKUP(B252,[1]Todos!$A$2:$C$3021,3,FALSE),0)</f>
        <v>1048.3900000000001</v>
      </c>
      <c r="U252" s="112">
        <f t="shared" si="51"/>
        <v>0</v>
      </c>
      <c r="W252" s="157">
        <f>IFERROR(VLOOKUP(B252,[1]Todos!$A$2:$B$3021,2,FALSE),0)</f>
        <v>10984.02</v>
      </c>
      <c r="X252" s="112">
        <f t="shared" si="50"/>
        <v>0</v>
      </c>
    </row>
    <row r="253" spans="1:24" hidden="1" outlineLevel="2" x14ac:dyDescent="0.3">
      <c r="A253" s="40" t="str">
        <f>VLOOKUP(B253,Grupos!$A$2:$B$619,2,FALSE)</f>
        <v>TABLEROS 75 AMP COBRE CON PUERTA</v>
      </c>
      <c r="B253" s="41" t="s">
        <v>382</v>
      </c>
      <c r="C253" s="41" t="s">
        <v>383</v>
      </c>
      <c r="D253" s="42">
        <v>80</v>
      </c>
      <c r="E253" s="196">
        <v>13616.87</v>
      </c>
      <c r="F253" s="192">
        <v>1289.9000000000001</v>
      </c>
      <c r="G253" s="126">
        <f t="shared" si="52"/>
        <v>14906.77</v>
      </c>
      <c r="H253" s="127">
        <f t="shared" si="53"/>
        <v>1089349.6000000001</v>
      </c>
      <c r="I253" s="128">
        <f t="shared" si="54"/>
        <v>103192</v>
      </c>
      <c r="J253" s="128">
        <f t="shared" si="55"/>
        <v>1192541.6000000001</v>
      </c>
      <c r="K253" s="44">
        <f t="shared" si="56"/>
        <v>7.6087002719453739E-4</v>
      </c>
      <c r="L253" s="45">
        <f t="shared" si="57"/>
        <v>4254.3477140616642</v>
      </c>
      <c r="M253" s="45">
        <f t="shared" si="58"/>
        <v>8464.8569989107036</v>
      </c>
      <c r="N253" s="45">
        <f t="shared" si="59"/>
        <v>27625.974712972369</v>
      </c>
      <c r="O253" s="46">
        <f t="shared" si="60"/>
        <v>2210077.9770377893</v>
      </c>
      <c r="P253" s="47">
        <f t="shared" si="63"/>
        <v>40368.597999999998</v>
      </c>
      <c r="Q253" s="42">
        <v>3229487.84</v>
      </c>
      <c r="R253" s="48">
        <f t="shared" si="49"/>
        <v>0.68434317964107561</v>
      </c>
      <c r="S253" s="49"/>
      <c r="T253" s="157">
        <f>IFERROR(VLOOKUP(B253,[1]Todos!$A$2:$C$3021,3,FALSE),0)</f>
        <v>1289.9000000000001</v>
      </c>
      <c r="U253" s="112">
        <f t="shared" si="51"/>
        <v>0</v>
      </c>
      <c r="W253" s="157">
        <f>IFERROR(VLOOKUP(B253,[1]Todos!$A$2:$B$3021,2,FALSE),0)</f>
        <v>13616.87</v>
      </c>
      <c r="X253" s="112">
        <f t="shared" si="50"/>
        <v>0</v>
      </c>
    </row>
    <row r="254" spans="1:24" hidden="1" outlineLevel="2" x14ac:dyDescent="0.3">
      <c r="A254" s="40" t="str">
        <f>VLOOKUP(B254,Grupos!$A$2:$B$619,2,FALSE)</f>
        <v>TABLEROS 75 AMP COBRE CON PUERTA</v>
      </c>
      <c r="B254" s="41" t="s">
        <v>384</v>
      </c>
      <c r="C254" s="41" t="s">
        <v>385</v>
      </c>
      <c r="D254" s="42">
        <v>384</v>
      </c>
      <c r="E254" s="196">
        <v>13603.85</v>
      </c>
      <c r="F254" s="192">
        <v>1291.69</v>
      </c>
      <c r="G254" s="126">
        <f t="shared" si="52"/>
        <v>14895.54</v>
      </c>
      <c r="H254" s="127">
        <f t="shared" si="53"/>
        <v>5223878.4000000004</v>
      </c>
      <c r="I254" s="128">
        <f t="shared" si="54"/>
        <v>496008.96000000002</v>
      </c>
      <c r="J254" s="128">
        <f t="shared" si="55"/>
        <v>5719887.3600000003</v>
      </c>
      <c r="K254" s="44">
        <f t="shared" si="56"/>
        <v>3.6494247673648371E-3</v>
      </c>
      <c r="L254" s="45">
        <f t="shared" si="57"/>
        <v>4251.1427055434597</v>
      </c>
      <c r="M254" s="45">
        <f t="shared" si="58"/>
        <v>8476.6037188332157</v>
      </c>
      <c r="N254" s="45">
        <f t="shared" si="59"/>
        <v>27623.286424376678</v>
      </c>
      <c r="O254" s="46">
        <f t="shared" si="60"/>
        <v>10607341.986960644</v>
      </c>
      <c r="P254" s="47">
        <f t="shared" si="63"/>
        <v>39607.875</v>
      </c>
      <c r="Q254" s="42">
        <v>15209424</v>
      </c>
      <c r="R254" s="152">
        <f t="shared" si="49"/>
        <v>0.6974190467016137</v>
      </c>
      <c r="S254" s="49"/>
      <c r="T254" s="157">
        <f>IFERROR(VLOOKUP(B254,[1]Todos!$A$2:$C$3021,3,FALSE),0)</f>
        <v>1291.69</v>
      </c>
      <c r="U254" s="112">
        <f t="shared" si="51"/>
        <v>0</v>
      </c>
      <c r="W254" s="157">
        <f>IFERROR(VLOOKUP(B254,[1]Todos!$A$2:$B$3021,2,FALSE),0)</f>
        <v>13603.85</v>
      </c>
      <c r="X254" s="112">
        <f t="shared" si="50"/>
        <v>0</v>
      </c>
    </row>
    <row r="255" spans="1:24" hidden="1" outlineLevel="2" x14ac:dyDescent="0.3">
      <c r="A255" s="40" t="str">
        <f>VLOOKUP(B255,Grupos!$A$2:$B$619,2,FALSE)</f>
        <v>TABLEROS 75 AMP COBRE CON PUERTA</v>
      </c>
      <c r="B255" s="41" t="s">
        <v>386</v>
      </c>
      <c r="C255" s="41" t="s">
        <v>387</v>
      </c>
      <c r="D255" s="42">
        <v>650</v>
      </c>
      <c r="E255" s="196">
        <v>13794.44</v>
      </c>
      <c r="F255" s="192">
        <v>1354.08</v>
      </c>
      <c r="G255" s="126">
        <f t="shared" si="52"/>
        <v>15148.52</v>
      </c>
      <c r="H255" s="127">
        <f t="shared" si="53"/>
        <v>8966386</v>
      </c>
      <c r="I255" s="128">
        <f t="shared" si="54"/>
        <v>880152</v>
      </c>
      <c r="J255" s="128">
        <f t="shared" si="55"/>
        <v>9846538</v>
      </c>
      <c r="K255" s="44">
        <f t="shared" si="56"/>
        <v>6.2823264495192833E-3</v>
      </c>
      <c r="L255" s="45">
        <f t="shared" si="57"/>
        <v>4323.3424432937118</v>
      </c>
      <c r="M255" s="45">
        <f t="shared" si="58"/>
        <v>8886.03268864641</v>
      </c>
      <c r="N255" s="45">
        <f t="shared" si="59"/>
        <v>28357.895131940124</v>
      </c>
      <c r="O255" s="46">
        <f t="shared" si="60"/>
        <v>18432631.835761081</v>
      </c>
      <c r="P255" s="47">
        <f t="shared" si="63"/>
        <v>42044.906507692307</v>
      </c>
      <c r="Q255" s="42">
        <v>27329189.23</v>
      </c>
      <c r="R255" s="48">
        <f t="shared" si="49"/>
        <v>0.67446683765967985</v>
      </c>
      <c r="S255" s="58"/>
      <c r="T255" s="157">
        <f>IFERROR(VLOOKUP(B255,[1]Todos!$A$2:$C$3021,3,FALSE),0)</f>
        <v>1354.08</v>
      </c>
      <c r="U255" s="112">
        <f t="shared" si="51"/>
        <v>0</v>
      </c>
      <c r="W255" s="157">
        <f>IFERROR(VLOOKUP(B255,[1]Todos!$A$2:$B$3021,2,FALSE),0)</f>
        <v>13794.44</v>
      </c>
      <c r="X255" s="112">
        <f t="shared" si="50"/>
        <v>0</v>
      </c>
    </row>
    <row r="256" spans="1:24" hidden="1" outlineLevel="2" x14ac:dyDescent="0.3">
      <c r="A256" s="40" t="str">
        <f>VLOOKUP(B256,Grupos!$A$2:$B$619,2,FALSE)</f>
        <v>TABLEROS 75 AMP COBRE CON PUERTA</v>
      </c>
      <c r="B256" s="41" t="s">
        <v>388</v>
      </c>
      <c r="C256" s="41" t="s">
        <v>1090</v>
      </c>
      <c r="D256" s="42">
        <v>1232</v>
      </c>
      <c r="E256" s="196">
        <v>13781.43</v>
      </c>
      <c r="F256" s="192">
        <v>1373.63</v>
      </c>
      <c r="G256" s="126">
        <f t="shared" si="52"/>
        <v>15155.060000000001</v>
      </c>
      <c r="H256" s="127">
        <f t="shared" si="53"/>
        <v>16978721.760000002</v>
      </c>
      <c r="I256" s="128">
        <f t="shared" si="54"/>
        <v>1692312.1600000001</v>
      </c>
      <c r="J256" s="128">
        <f t="shared" si="55"/>
        <v>18671033.920000002</v>
      </c>
      <c r="K256" s="44">
        <f t="shared" si="56"/>
        <v>1.1912565638347987E-2</v>
      </c>
      <c r="L256" s="45">
        <f t="shared" si="57"/>
        <v>4325.208939794964</v>
      </c>
      <c r="M256" s="45">
        <f t="shared" si="58"/>
        <v>9014.327869923025</v>
      </c>
      <c r="N256" s="45">
        <f t="shared" si="59"/>
        <v>28494.59680971799</v>
      </c>
      <c r="O256" s="46">
        <f t="shared" si="60"/>
        <v>35105343.269572563</v>
      </c>
      <c r="P256" s="47">
        <f t="shared" si="63"/>
        <v>39354.662077922076</v>
      </c>
      <c r="Q256" s="42">
        <v>48484943.68</v>
      </c>
      <c r="R256" s="152">
        <f t="shared" si="49"/>
        <v>0.72404628334246146</v>
      </c>
      <c r="S256" s="49"/>
      <c r="T256" s="157">
        <f>IFERROR(VLOOKUP(B256,[1]Todos!$A$2:$C$3021,3,FALSE),0)</f>
        <v>1373.63</v>
      </c>
      <c r="U256" s="112">
        <f t="shared" si="51"/>
        <v>0</v>
      </c>
      <c r="W256" s="157">
        <f>IFERROR(VLOOKUP(B256,[1]Todos!$A$2:$B$3021,2,FALSE),0)</f>
        <v>13781.43</v>
      </c>
      <c r="X256" s="112">
        <f t="shared" si="50"/>
        <v>0</v>
      </c>
    </row>
    <row r="257" spans="1:24" s="93" customFormat="1" outlineLevel="1" collapsed="1" x14ac:dyDescent="0.3">
      <c r="A257" s="50" t="s">
        <v>1039</v>
      </c>
      <c r="B257" s="129"/>
      <c r="C257" s="129"/>
      <c r="D257" s="51">
        <f>SUBTOTAL(9,D250:D256)</f>
        <v>4403</v>
      </c>
      <c r="E257" s="52"/>
      <c r="F257" s="52"/>
      <c r="G257" s="130"/>
      <c r="H257" s="131">
        <f>SUBTOTAL(9,H250:H256)</f>
        <v>54785116.640000001</v>
      </c>
      <c r="I257" s="146">
        <f>SUBTOTAL(9,I250:I256)</f>
        <v>5338603.3900000006</v>
      </c>
      <c r="J257" s="146">
        <f>SUBTOTAL(9,J250:J256)</f>
        <v>60123720.030000001</v>
      </c>
      <c r="K257" s="53"/>
      <c r="L257" s="54"/>
      <c r="M257" s="54"/>
      <c r="N257" s="54"/>
      <c r="O257" s="55">
        <f>SUBTOTAL(9,O250:O256)</f>
        <v>112316972.70457175</v>
      </c>
      <c r="P257" s="56"/>
      <c r="Q257" s="51">
        <f>SUBTOTAL(9,Q250:Q256)</f>
        <v>161447480.47999999</v>
      </c>
      <c r="R257" s="164">
        <f t="shared" si="49"/>
        <v>0.69568736762346384</v>
      </c>
      <c r="S257" s="58">
        <f>Q257/$Q$303</f>
        <v>4.0331726212632694E-2</v>
      </c>
      <c r="T257" s="157">
        <f>IFERROR(VLOOKUP(B257,[1]Todos!$A$2:$C$3021,3,FALSE),0)</f>
        <v>0</v>
      </c>
      <c r="U257" s="112">
        <f t="shared" si="51"/>
        <v>0</v>
      </c>
      <c r="W257" s="157">
        <f>IFERROR(VLOOKUP(B257,[1]Todos!$A$2:$B$3021,2,FALSE),0)</f>
        <v>0</v>
      </c>
      <c r="X257" s="112">
        <f t="shared" si="50"/>
        <v>0</v>
      </c>
    </row>
    <row r="258" spans="1:24" hidden="1" outlineLevel="2" x14ac:dyDescent="0.3">
      <c r="A258" s="40" t="str">
        <f>VLOOKUP(B258,Grupos!$A$2:$B$619,2,FALSE)</f>
        <v>TABLEROS 75 AMP COBRE TAPA LISA</v>
      </c>
      <c r="B258" s="41" t="s">
        <v>391</v>
      </c>
      <c r="C258" s="41" t="s">
        <v>392</v>
      </c>
      <c r="D258" s="42">
        <v>1462</v>
      </c>
      <c r="E258" s="43">
        <v>7184.37</v>
      </c>
      <c r="F258" s="192">
        <v>420.86</v>
      </c>
      <c r="G258" s="126">
        <f t="shared" si="52"/>
        <v>7605.23</v>
      </c>
      <c r="H258" s="127">
        <f t="shared" si="53"/>
        <v>10503548.939999999</v>
      </c>
      <c r="I258" s="128">
        <f t="shared" si="54"/>
        <v>615297.32000000007</v>
      </c>
      <c r="J258" s="128">
        <f t="shared" si="55"/>
        <v>11118846.26</v>
      </c>
      <c r="K258" s="44">
        <f t="shared" si="56"/>
        <v>7.0940895111902842E-3</v>
      </c>
      <c r="L258" s="45">
        <f t="shared" si="57"/>
        <v>2170.5099673110394</v>
      </c>
      <c r="M258" s="45">
        <f t="shared" si="58"/>
        <v>2761.8572885972235</v>
      </c>
      <c r="N258" s="45">
        <f t="shared" si="59"/>
        <v>12537.597255908262</v>
      </c>
      <c r="O258" s="46">
        <f t="shared" si="60"/>
        <v>18329967.188137878</v>
      </c>
      <c r="P258" s="47">
        <f t="shared" ref="P258:P270" si="64">Q258/D258</f>
        <v>17036.870417236663</v>
      </c>
      <c r="Q258" s="42">
        <v>24907904.550000001</v>
      </c>
      <c r="R258" s="48">
        <f t="shared" si="49"/>
        <v>0.73590964472111231</v>
      </c>
      <c r="S258" s="49"/>
      <c r="T258" s="157">
        <f>IFERROR(VLOOKUP(B258,[1]Todos!$A$2:$C$3021,3,FALSE),0)</f>
        <v>420.86</v>
      </c>
      <c r="U258" s="112">
        <f t="shared" si="51"/>
        <v>0</v>
      </c>
      <c r="W258" s="157">
        <f>IFERROR(VLOOKUP(B258,[1]Todos!$A$2:$B$3021,2,FALSE),0)</f>
        <v>7184.37</v>
      </c>
      <c r="X258" s="112">
        <f t="shared" si="50"/>
        <v>0</v>
      </c>
    </row>
    <row r="259" spans="1:24" hidden="1" outlineLevel="2" x14ac:dyDescent="0.3">
      <c r="A259" s="40" t="str">
        <f>VLOOKUP(B259,Grupos!$A$2:$B$619,2,FALSE)</f>
        <v>TABLEROS 75 AMP COBRE TAPA LISA</v>
      </c>
      <c r="B259" s="41" t="s">
        <v>393</v>
      </c>
      <c r="C259" s="41" t="s">
        <v>1087</v>
      </c>
      <c r="D259" s="42">
        <v>264</v>
      </c>
      <c r="E259" s="196">
        <v>6870.72</v>
      </c>
      <c r="F259" s="192">
        <v>537.73</v>
      </c>
      <c r="G259" s="126">
        <f t="shared" si="52"/>
        <v>7408.4500000000007</v>
      </c>
      <c r="H259" s="127">
        <f t="shared" si="53"/>
        <v>1813870.08</v>
      </c>
      <c r="I259" s="128">
        <f t="shared" si="54"/>
        <v>141960.72</v>
      </c>
      <c r="J259" s="128">
        <f t="shared" si="55"/>
        <v>1955830.8000000003</v>
      </c>
      <c r="K259" s="44">
        <f t="shared" si="56"/>
        <v>1.2478667695818024E-3</v>
      </c>
      <c r="L259" s="45">
        <f t="shared" si="57"/>
        <v>2114.3495420027371</v>
      </c>
      <c r="M259" s="45">
        <f t="shared" si="58"/>
        <v>3528.8065385101577</v>
      </c>
      <c r="N259" s="45">
        <f t="shared" si="59"/>
        <v>13051.606080512896</v>
      </c>
      <c r="O259" s="46">
        <f t="shared" si="60"/>
        <v>3445624.0052554049</v>
      </c>
      <c r="P259" s="47">
        <f t="shared" si="64"/>
        <v>17973.363257575758</v>
      </c>
      <c r="Q259" s="42">
        <v>4744967.9000000004</v>
      </c>
      <c r="R259" s="48">
        <f t="shared" si="49"/>
        <v>0.72616381772686056</v>
      </c>
      <c r="S259" s="49"/>
      <c r="T259" s="157">
        <f>IFERROR(VLOOKUP(B259,[1]Todos!$A$2:$C$3021,3,FALSE),0)</f>
        <v>537.73</v>
      </c>
      <c r="U259" s="112">
        <f t="shared" si="51"/>
        <v>0</v>
      </c>
      <c r="W259" s="157">
        <f>IFERROR(VLOOKUP(B259,[1]Todos!$A$2:$B$3021,2,FALSE),0)</f>
        <v>6870.72</v>
      </c>
      <c r="X259" s="112">
        <f t="shared" si="50"/>
        <v>0</v>
      </c>
    </row>
    <row r="260" spans="1:24" hidden="1" outlineLevel="2" x14ac:dyDescent="0.3">
      <c r="A260" s="40" t="str">
        <f>VLOOKUP(B260,Grupos!$A$2:$B$619,2,FALSE)</f>
        <v>TABLEROS 75 AMP COBRE TAPA LISA</v>
      </c>
      <c r="B260" s="41" t="s">
        <v>394</v>
      </c>
      <c r="C260" s="41" t="s">
        <v>395</v>
      </c>
      <c r="D260" s="42">
        <v>336</v>
      </c>
      <c r="E260" s="196">
        <v>7209.97</v>
      </c>
      <c r="F260" s="192">
        <v>493.13</v>
      </c>
      <c r="G260" s="126">
        <f t="shared" si="52"/>
        <v>7703.1</v>
      </c>
      <c r="H260" s="127">
        <f t="shared" si="53"/>
        <v>2422549.92</v>
      </c>
      <c r="I260" s="128">
        <f t="shared" si="54"/>
        <v>165691.68</v>
      </c>
      <c r="J260" s="128">
        <f t="shared" si="55"/>
        <v>2588241.6</v>
      </c>
      <c r="K260" s="44">
        <f t="shared" si="56"/>
        <v>1.6513599664598978E-3</v>
      </c>
      <c r="L260" s="45">
        <f t="shared" si="57"/>
        <v>2198.4417735155503</v>
      </c>
      <c r="M260" s="45">
        <f t="shared" si="58"/>
        <v>3236.1229024519998</v>
      </c>
      <c r="N260" s="45">
        <f t="shared" si="59"/>
        <v>13137.66467596755</v>
      </c>
      <c r="O260" s="46">
        <f t="shared" si="60"/>
        <v>4414255.3311250964</v>
      </c>
      <c r="P260" s="47">
        <f t="shared" si="64"/>
        <v>18010.928601190477</v>
      </c>
      <c r="Q260" s="42">
        <v>6051672.0099999998</v>
      </c>
      <c r="R260" s="48">
        <f t="shared" si="49"/>
        <v>0.72942739193909101</v>
      </c>
      <c r="S260" s="49"/>
      <c r="T260" s="157">
        <f>IFERROR(VLOOKUP(B260,[1]Todos!$A$2:$C$3021,3,FALSE),0)</f>
        <v>493.13</v>
      </c>
      <c r="U260" s="112">
        <f t="shared" si="51"/>
        <v>0</v>
      </c>
      <c r="W260" s="157">
        <f>IFERROR(VLOOKUP(B260,[1]Todos!$A$2:$B$3021,2,FALSE),0)</f>
        <v>7209.97</v>
      </c>
      <c r="X260" s="112">
        <f t="shared" si="50"/>
        <v>0</v>
      </c>
    </row>
    <row r="261" spans="1:24" hidden="1" outlineLevel="2" x14ac:dyDescent="0.3">
      <c r="A261" s="40" t="str">
        <f>VLOOKUP(B261,Grupos!$A$2:$B$619,2,FALSE)</f>
        <v>TABLEROS 75 AMP COBRE TAPA LISA</v>
      </c>
      <c r="B261" s="41" t="s">
        <v>402</v>
      </c>
      <c r="C261" s="41" t="s">
        <v>403</v>
      </c>
      <c r="D261" s="42">
        <v>300</v>
      </c>
      <c r="E261" s="196">
        <v>10183.83</v>
      </c>
      <c r="F261" s="192">
        <v>1004.85</v>
      </c>
      <c r="G261" s="126">
        <f t="shared" si="52"/>
        <v>11188.68</v>
      </c>
      <c r="H261" s="127">
        <f t="shared" si="53"/>
        <v>3055149</v>
      </c>
      <c r="I261" s="128">
        <f t="shared" si="54"/>
        <v>301455</v>
      </c>
      <c r="J261" s="128">
        <f t="shared" si="55"/>
        <v>3356604</v>
      </c>
      <c r="K261" s="44">
        <f t="shared" si="56"/>
        <v>2.1415935316313433E-3</v>
      </c>
      <c r="L261" s="45">
        <f t="shared" si="57"/>
        <v>3193.2159133982382</v>
      </c>
      <c r="M261" s="45">
        <f t="shared" si="58"/>
        <v>6594.2410693506627</v>
      </c>
      <c r="N261" s="45">
        <f t="shared" si="59"/>
        <v>20976.136982748903</v>
      </c>
      <c r="O261" s="46">
        <f t="shared" si="60"/>
        <v>6292841.0948246708</v>
      </c>
      <c r="P261" s="47">
        <f t="shared" si="64"/>
        <v>25792.499166666668</v>
      </c>
      <c r="Q261" s="42">
        <v>7737749.75</v>
      </c>
      <c r="R261" s="48">
        <f t="shared" ref="R261:R301" si="65">O261/Q261</f>
        <v>0.81326500573692895</v>
      </c>
      <c r="S261" s="49"/>
      <c r="T261" s="157">
        <f>IFERROR(VLOOKUP(B261,[1]Todos!$A$2:$C$3021,3,FALSE),0)</f>
        <v>1004.85</v>
      </c>
      <c r="U261" s="112">
        <f t="shared" si="51"/>
        <v>0</v>
      </c>
      <c r="W261" s="157">
        <f>IFERROR(VLOOKUP(B261,[1]Todos!$A$2:$B$3021,2,FALSE),0)</f>
        <v>10183.83</v>
      </c>
      <c r="X261" s="112">
        <f t="shared" si="50"/>
        <v>0</v>
      </c>
    </row>
    <row r="262" spans="1:24" hidden="1" outlineLevel="2" x14ac:dyDescent="0.3">
      <c r="A262" s="40" t="str">
        <f>VLOOKUP(B262,Grupos!$A$2:$B$619,2,FALSE)</f>
        <v>TABLEROS 75 AMP COBRE TAPA LISA</v>
      </c>
      <c r="B262" s="41" t="s">
        <v>404</v>
      </c>
      <c r="C262" s="41" t="s">
        <v>405</v>
      </c>
      <c r="D262" s="42">
        <v>1260</v>
      </c>
      <c r="E262" s="196">
        <v>10081.67</v>
      </c>
      <c r="F262" s="192">
        <v>944.2</v>
      </c>
      <c r="G262" s="126">
        <f t="shared" si="52"/>
        <v>11025.87</v>
      </c>
      <c r="H262" s="127">
        <f t="shared" si="53"/>
        <v>12702904.199999999</v>
      </c>
      <c r="I262" s="128">
        <f t="shared" si="54"/>
        <v>1189692</v>
      </c>
      <c r="J262" s="128">
        <f t="shared" si="55"/>
        <v>13892596.200000001</v>
      </c>
      <c r="K262" s="44">
        <f t="shared" si="56"/>
        <v>8.8638082298317534E-3</v>
      </c>
      <c r="L262" s="45">
        <f t="shared" si="57"/>
        <v>3146.7504248097393</v>
      </c>
      <c r="M262" s="45">
        <f t="shared" si="58"/>
        <v>6196.2306987917555</v>
      </c>
      <c r="N262" s="45">
        <f t="shared" si="59"/>
        <v>20368.851123601497</v>
      </c>
      <c r="O262" s="46">
        <f t="shared" si="60"/>
        <v>25664752.415737886</v>
      </c>
      <c r="P262" s="47">
        <f t="shared" si="64"/>
        <v>24205.332952380952</v>
      </c>
      <c r="Q262" s="42">
        <v>30498719.52</v>
      </c>
      <c r="R262" s="48">
        <f t="shared" si="65"/>
        <v>0.84150262108243046</v>
      </c>
      <c r="S262" s="49"/>
      <c r="T262" s="157">
        <f>IFERROR(VLOOKUP(B262,[1]Todos!$A$2:$C$3021,3,FALSE),0)</f>
        <v>944.2</v>
      </c>
      <c r="U262" s="112">
        <f t="shared" si="51"/>
        <v>0</v>
      </c>
      <c r="W262" s="157">
        <f>IFERROR(VLOOKUP(B262,[1]Todos!$A$2:$B$3021,2,FALSE),0)</f>
        <v>10081.67</v>
      </c>
      <c r="X262" s="112">
        <f t="shared" ref="X262:X299" si="66">W262-E262</f>
        <v>0</v>
      </c>
    </row>
    <row r="263" spans="1:24" hidden="1" outlineLevel="2" x14ac:dyDescent="0.3">
      <c r="A263" s="40" t="str">
        <f>VLOOKUP(B263,Grupos!$A$2:$B$619,2,FALSE)</f>
        <v>TABLEROS 75 AMP COBRE TAPA LISA</v>
      </c>
      <c r="B263" s="41" t="s">
        <v>406</v>
      </c>
      <c r="C263" s="41" t="s">
        <v>407</v>
      </c>
      <c r="D263" s="42">
        <v>440</v>
      </c>
      <c r="E263" s="196">
        <v>9810.1</v>
      </c>
      <c r="F263" s="192">
        <v>1027.1600000000001</v>
      </c>
      <c r="G263" s="126">
        <f t="shared" si="52"/>
        <v>10837.26</v>
      </c>
      <c r="H263" s="127">
        <f t="shared" si="53"/>
        <v>4316444</v>
      </c>
      <c r="I263" s="128">
        <f t="shared" si="54"/>
        <v>451950.4</v>
      </c>
      <c r="J263" s="128">
        <f t="shared" si="55"/>
        <v>4768394.4000000004</v>
      </c>
      <c r="K263" s="44">
        <f t="shared" si="56"/>
        <v>3.0423495304501579E-3</v>
      </c>
      <c r="L263" s="45">
        <f t="shared" si="57"/>
        <v>3092.9216931429082</v>
      </c>
      <c r="M263" s="45">
        <f t="shared" si="58"/>
        <v>6740.6485115133873</v>
      </c>
      <c r="N263" s="45">
        <f t="shared" si="59"/>
        <v>20670.830204656297</v>
      </c>
      <c r="O263" s="46">
        <f t="shared" si="60"/>
        <v>9095165.2900487706</v>
      </c>
      <c r="P263" s="47">
        <f t="shared" si="64"/>
        <v>26664.47631818182</v>
      </c>
      <c r="Q263" s="42">
        <v>11732369.58</v>
      </c>
      <c r="R263" s="48">
        <f t="shared" si="65"/>
        <v>0.77521980773203447</v>
      </c>
      <c r="S263" s="49"/>
      <c r="T263" s="157">
        <f>IFERROR(VLOOKUP(B263,[1]Todos!$A$2:$C$3021,3,FALSE),0)</f>
        <v>1027.1600000000001</v>
      </c>
      <c r="U263" s="112">
        <f t="shared" ref="U263:U299" si="67">T263-F263</f>
        <v>0</v>
      </c>
      <c r="W263" s="157">
        <f>IFERROR(VLOOKUP(B263,[1]Todos!$A$2:$B$3021,2,FALSE),0)</f>
        <v>9810.1</v>
      </c>
      <c r="X263" s="112">
        <f t="shared" si="66"/>
        <v>0</v>
      </c>
    </row>
    <row r="264" spans="1:24" hidden="1" outlineLevel="2" x14ac:dyDescent="0.3">
      <c r="A264" s="40" t="str">
        <f>VLOOKUP(B264,Grupos!$A$2:$B$619,2,FALSE)</f>
        <v>TABLEROS 75 AMP COBRE TAPA LISA</v>
      </c>
      <c r="B264" s="41" t="s">
        <v>408</v>
      </c>
      <c r="C264" s="41" t="s">
        <v>409</v>
      </c>
      <c r="D264" s="42">
        <v>680</v>
      </c>
      <c r="E264" s="196">
        <v>9776.19</v>
      </c>
      <c r="F264" s="192">
        <v>906.96</v>
      </c>
      <c r="G264" s="126">
        <f t="shared" si="52"/>
        <v>10683.150000000001</v>
      </c>
      <c r="H264" s="127">
        <f t="shared" si="53"/>
        <v>6647809.2000000002</v>
      </c>
      <c r="I264" s="128">
        <f t="shared" si="54"/>
        <v>616732.80000000005</v>
      </c>
      <c r="J264" s="128">
        <f t="shared" si="55"/>
        <v>7264542.0000000009</v>
      </c>
      <c r="K264" s="44">
        <f t="shared" si="56"/>
        <v>4.6349513250488368E-3</v>
      </c>
      <c r="L264" s="45">
        <f t="shared" si="57"/>
        <v>3048.939158615708</v>
      </c>
      <c r="M264" s="45">
        <f t="shared" si="58"/>
        <v>5951.846425096559</v>
      </c>
      <c r="N264" s="45">
        <f t="shared" si="59"/>
        <v>19683.935583712268</v>
      </c>
      <c r="O264" s="46">
        <f t="shared" si="60"/>
        <v>13385076.196924342</v>
      </c>
      <c r="P264" s="47">
        <f t="shared" si="64"/>
        <v>24198.792897058822</v>
      </c>
      <c r="Q264" s="42">
        <v>16455179.17</v>
      </c>
      <c r="R264" s="48">
        <f t="shared" si="65"/>
        <v>0.81342634186123797</v>
      </c>
      <c r="S264" s="49"/>
      <c r="T264" s="157">
        <f>IFERROR(VLOOKUP(B264,[1]Todos!$A$2:$C$3021,3,FALSE),0)</f>
        <v>906.96</v>
      </c>
      <c r="U264" s="112">
        <f t="shared" si="67"/>
        <v>0</v>
      </c>
      <c r="W264" s="157">
        <f>IFERROR(VLOOKUP(B264,[1]Todos!$A$2:$B$3021,2,FALSE),0)</f>
        <v>9776.19</v>
      </c>
      <c r="X264" s="112">
        <f t="shared" si="66"/>
        <v>0</v>
      </c>
    </row>
    <row r="265" spans="1:24" hidden="1" outlineLevel="2" x14ac:dyDescent="0.3">
      <c r="A265" s="40" t="str">
        <f>VLOOKUP(B265,Grupos!$A$2:$B$619,2,FALSE)</f>
        <v>TABLEROS 75 AMP COBRE TAPA LISA</v>
      </c>
      <c r="B265" s="41" t="s">
        <v>412</v>
      </c>
      <c r="C265" s="41" t="s">
        <v>413</v>
      </c>
      <c r="D265" s="42">
        <v>600</v>
      </c>
      <c r="E265" s="196">
        <v>12641.9</v>
      </c>
      <c r="F265" s="192">
        <v>1201.76</v>
      </c>
      <c r="G265" s="126">
        <f t="shared" si="52"/>
        <v>13843.66</v>
      </c>
      <c r="H265" s="127">
        <f t="shared" si="53"/>
        <v>7585140</v>
      </c>
      <c r="I265" s="128">
        <f t="shared" si="54"/>
        <v>721056</v>
      </c>
      <c r="J265" s="128">
        <f t="shared" si="55"/>
        <v>8306196</v>
      </c>
      <c r="K265" s="44">
        <f t="shared" si="56"/>
        <v>5.2995514591718702E-3</v>
      </c>
      <c r="L265" s="45">
        <f t="shared" si="57"/>
        <v>3950.9392896815939</v>
      </c>
      <c r="M265" s="45">
        <f t="shared" si="58"/>
        <v>7886.4458849607927</v>
      </c>
      <c r="N265" s="45">
        <f t="shared" si="59"/>
        <v>25681.045174642386</v>
      </c>
      <c r="O265" s="46">
        <f t="shared" si="60"/>
        <v>15408627.104785431</v>
      </c>
      <c r="P265" s="47">
        <f t="shared" si="64"/>
        <v>30440.666450000001</v>
      </c>
      <c r="Q265" s="42">
        <v>18264399.870000001</v>
      </c>
      <c r="R265" s="152">
        <f t="shared" si="65"/>
        <v>0.84364267178001895</v>
      </c>
      <c r="S265" s="49"/>
      <c r="T265" s="157">
        <f>IFERROR(VLOOKUP(B265,[1]Todos!$A$2:$C$3021,3,FALSE),0)</f>
        <v>1201.76</v>
      </c>
      <c r="U265" s="112">
        <f t="shared" si="67"/>
        <v>0</v>
      </c>
      <c r="W265" s="157">
        <f>IFERROR(VLOOKUP(B265,[1]Todos!$A$2:$B$3021,2,FALSE),0)</f>
        <v>12641.9</v>
      </c>
      <c r="X265" s="112">
        <f t="shared" si="66"/>
        <v>0</v>
      </c>
    </row>
    <row r="266" spans="1:24" hidden="1" outlineLevel="2" x14ac:dyDescent="0.3">
      <c r="A266" s="40" t="str">
        <f>VLOOKUP(B266,Grupos!$A$2:$B$619,2,FALSE)</f>
        <v>TABLEROS 75 AMP COBRE TAPA LISA</v>
      </c>
      <c r="B266" s="41" t="s">
        <v>414</v>
      </c>
      <c r="C266" s="41" t="s">
        <v>415</v>
      </c>
      <c r="D266" s="42">
        <v>100</v>
      </c>
      <c r="E266" s="196">
        <v>12464.65</v>
      </c>
      <c r="F266" s="192">
        <v>1199.3900000000001</v>
      </c>
      <c r="G266" s="126">
        <f t="shared" si="52"/>
        <v>13664.039999999999</v>
      </c>
      <c r="H266" s="127">
        <f t="shared" si="53"/>
        <v>1246465</v>
      </c>
      <c r="I266" s="128">
        <f t="shared" si="54"/>
        <v>119939.00000000001</v>
      </c>
      <c r="J266" s="128">
        <f t="shared" si="55"/>
        <v>1366404</v>
      </c>
      <c r="K266" s="44">
        <f t="shared" si="56"/>
        <v>8.7179839146804149E-4</v>
      </c>
      <c r="L266" s="45">
        <f t="shared" si="57"/>
        <v>3899.6762772114371</v>
      </c>
      <c r="M266" s="45">
        <f t="shared" si="58"/>
        <v>7870.8929652868501</v>
      </c>
      <c r="N266" s="45">
        <f t="shared" si="59"/>
        <v>25434.609242498285</v>
      </c>
      <c r="O266" s="46">
        <f t="shared" si="60"/>
        <v>2543460.9242498283</v>
      </c>
      <c r="P266" s="47">
        <f t="shared" si="64"/>
        <v>32330.998799999998</v>
      </c>
      <c r="Q266" s="42">
        <v>3233099.88</v>
      </c>
      <c r="R266" s="152">
        <f t="shared" si="65"/>
        <v>0.78669420019582825</v>
      </c>
      <c r="S266" s="49"/>
      <c r="T266" s="157">
        <f>IFERROR(VLOOKUP(B266,[1]Todos!$A$2:$C$3021,3,FALSE),0)</f>
        <v>1199.3900000000001</v>
      </c>
      <c r="U266" s="112">
        <f t="shared" si="67"/>
        <v>0</v>
      </c>
      <c r="W266" s="157">
        <f>IFERROR(VLOOKUP(B266,[1]Todos!$A$2:$B$3021,2,FALSE),0)</f>
        <v>12464.65</v>
      </c>
      <c r="X266" s="112">
        <f t="shared" si="66"/>
        <v>0</v>
      </c>
    </row>
    <row r="267" spans="1:24" hidden="1" outlineLevel="2" x14ac:dyDescent="0.3">
      <c r="A267" s="40" t="str">
        <f>VLOOKUP(B267,Grupos!$A$2:$B$619,2,FALSE)</f>
        <v>TABLEROS 75 AMP COBRE TAPA LISA</v>
      </c>
      <c r="B267" s="41" t="s">
        <v>416</v>
      </c>
      <c r="C267" s="41" t="s">
        <v>417</v>
      </c>
      <c r="D267" s="42">
        <v>360</v>
      </c>
      <c r="E267" s="196">
        <v>12464.32</v>
      </c>
      <c r="F267" s="192">
        <v>1121.73</v>
      </c>
      <c r="G267" s="126">
        <f t="shared" si="52"/>
        <v>13586.05</v>
      </c>
      <c r="H267" s="127">
        <f t="shared" si="53"/>
        <v>4487155.2</v>
      </c>
      <c r="I267" s="128">
        <f t="shared" si="54"/>
        <v>403822.8</v>
      </c>
      <c r="J267" s="128">
        <f t="shared" si="55"/>
        <v>4890978</v>
      </c>
      <c r="K267" s="44">
        <f t="shared" si="56"/>
        <v>3.1205607954203725E-3</v>
      </c>
      <c r="L267" s="45">
        <f t="shared" si="57"/>
        <v>3877.4181637355018</v>
      </c>
      <c r="M267" s="45">
        <f t="shared" si="58"/>
        <v>7361.2559433972419</v>
      </c>
      <c r="N267" s="45">
        <f t="shared" si="59"/>
        <v>24824.724107132744</v>
      </c>
      <c r="O267" s="46">
        <f t="shared" si="60"/>
        <v>8936900.6785677876</v>
      </c>
      <c r="P267" s="47">
        <f t="shared" si="64"/>
        <v>30714.442944444447</v>
      </c>
      <c r="Q267" s="42">
        <v>11057199.460000001</v>
      </c>
      <c r="R267" s="48">
        <f t="shared" si="65"/>
        <v>0.80824269390251069</v>
      </c>
      <c r="S267" s="49"/>
      <c r="T267" s="157">
        <f>IFERROR(VLOOKUP(B267,[1]Todos!$A$2:$C$3021,3,FALSE),0)</f>
        <v>1121.73</v>
      </c>
      <c r="U267" s="112">
        <f t="shared" si="67"/>
        <v>0</v>
      </c>
      <c r="W267" s="157">
        <f>IFERROR(VLOOKUP(B267,[1]Todos!$A$2:$B$3021,2,FALSE),0)</f>
        <v>12464.32</v>
      </c>
      <c r="X267" s="112">
        <f t="shared" si="66"/>
        <v>0</v>
      </c>
    </row>
    <row r="268" spans="1:24" hidden="1" outlineLevel="2" x14ac:dyDescent="0.3">
      <c r="A268" s="40" t="str">
        <f>VLOOKUP(B268,Grupos!$A$2:$B$619,2,FALSE)</f>
        <v>TABLEROS 75 AMP COBRE TAPA LISA</v>
      </c>
      <c r="B268" s="41" t="s">
        <v>418</v>
      </c>
      <c r="C268" s="41" t="s">
        <v>1091</v>
      </c>
      <c r="D268" s="42">
        <v>135</v>
      </c>
      <c r="E268" s="196">
        <v>15672.92</v>
      </c>
      <c r="F268" s="192">
        <v>1183.22</v>
      </c>
      <c r="G268" s="126">
        <f t="shared" si="52"/>
        <v>16856.14</v>
      </c>
      <c r="H268" s="127">
        <f t="shared" si="53"/>
        <v>2115844.2000000002</v>
      </c>
      <c r="I268" s="128">
        <f t="shared" si="54"/>
        <v>159734.70000000001</v>
      </c>
      <c r="J268" s="128">
        <f t="shared" si="55"/>
        <v>2275578.9</v>
      </c>
      <c r="K268" s="44">
        <f t="shared" si="56"/>
        <v>1.4518736952457804E-3</v>
      </c>
      <c r="L268" s="45">
        <f t="shared" si="57"/>
        <v>4810.6921000930033</v>
      </c>
      <c r="M268" s="45">
        <f t="shared" si="58"/>
        <v>7764.7787411823565</v>
      </c>
      <c r="N268" s="45">
        <f t="shared" si="59"/>
        <v>29431.610841275357</v>
      </c>
      <c r="O268" s="46">
        <f t="shared" si="60"/>
        <v>3973267.4635721729</v>
      </c>
      <c r="P268" s="47">
        <f t="shared" si="64"/>
        <v>40544.276222222223</v>
      </c>
      <c r="Q268" s="42">
        <v>5473477.29</v>
      </c>
      <c r="R268" s="152">
        <f t="shared" si="65"/>
        <v>0.72591284352842778</v>
      </c>
      <c r="S268" s="49"/>
      <c r="T268" s="157">
        <f>IFERROR(VLOOKUP(B268,[1]Todos!$A$2:$C$3021,3,FALSE),0)</f>
        <v>1183.22</v>
      </c>
      <c r="U268" s="112">
        <f t="shared" si="67"/>
        <v>0</v>
      </c>
      <c r="W268" s="157">
        <f>IFERROR(VLOOKUP(B268,[1]Todos!$A$2:$B$3021,2,FALSE),0)</f>
        <v>15672.92</v>
      </c>
      <c r="X268" s="112">
        <f t="shared" si="66"/>
        <v>0</v>
      </c>
    </row>
    <row r="269" spans="1:24" hidden="1" outlineLevel="2" x14ac:dyDescent="0.3">
      <c r="A269" s="40" t="str">
        <f>VLOOKUP(B269,Grupos!$A$2:$B$619,2,FALSE)</f>
        <v>TABLEROS 75 AMP COBRE TAPA LISA</v>
      </c>
      <c r="B269" s="41" t="s">
        <v>420</v>
      </c>
      <c r="C269" s="41" t="s">
        <v>1093</v>
      </c>
      <c r="D269" s="42">
        <v>60</v>
      </c>
      <c r="E269" s="196">
        <v>15456.56</v>
      </c>
      <c r="F269" s="192">
        <v>1159.3900000000001</v>
      </c>
      <c r="G269" s="126">
        <f t="shared" si="52"/>
        <v>16615.95</v>
      </c>
      <c r="H269" s="127">
        <f t="shared" si="53"/>
        <v>927393.6</v>
      </c>
      <c r="I269" s="128">
        <f t="shared" si="54"/>
        <v>69563.400000000009</v>
      </c>
      <c r="J269" s="128">
        <f t="shared" si="55"/>
        <v>996957</v>
      </c>
      <c r="K269" s="44">
        <f t="shared" si="56"/>
        <v>6.3608238044004866E-4</v>
      </c>
      <c r="L269" s="45">
        <f t="shared" si="57"/>
        <v>4742.1425902098772</v>
      </c>
      <c r="M269" s="45">
        <f t="shared" si="58"/>
        <v>7608.396430705543</v>
      </c>
      <c r="N269" s="45">
        <f t="shared" si="59"/>
        <v>28966.489020915422</v>
      </c>
      <c r="O269" s="46">
        <f t="shared" si="60"/>
        <v>1737989.3412549254</v>
      </c>
      <c r="P269" s="47">
        <f t="shared" si="64"/>
        <v>39880.999500000005</v>
      </c>
      <c r="Q269" s="42">
        <v>2392859.9700000002</v>
      </c>
      <c r="R269" s="152">
        <f t="shared" si="65"/>
        <v>0.72632304566277028</v>
      </c>
      <c r="S269" s="49"/>
      <c r="T269" s="157">
        <f>IFERROR(VLOOKUP(B269,[1]Todos!$A$2:$C$3021,3,FALSE),0)</f>
        <v>1159.3900000000001</v>
      </c>
      <c r="U269" s="112">
        <f t="shared" si="67"/>
        <v>0</v>
      </c>
      <c r="W269" s="157">
        <f>IFERROR(VLOOKUP(B269,[1]Todos!$A$2:$B$3021,2,FALSE),0)</f>
        <v>15456.56</v>
      </c>
      <c r="X269" s="112">
        <f t="shared" si="66"/>
        <v>0</v>
      </c>
    </row>
    <row r="270" spans="1:24" hidden="1" outlineLevel="2" x14ac:dyDescent="0.3">
      <c r="A270" s="40" t="str">
        <f>VLOOKUP(B270,Grupos!$A$2:$B$619,2,FALSE)</f>
        <v>TABLEROS 75 AMP COBRE TAPA LISA</v>
      </c>
      <c r="B270" s="41" t="s">
        <v>421</v>
      </c>
      <c r="C270" s="41" t="s">
        <v>1094</v>
      </c>
      <c r="D270" s="42">
        <v>15</v>
      </c>
      <c r="E270" s="196">
        <v>15439.85</v>
      </c>
      <c r="F270" s="192">
        <v>1034.33</v>
      </c>
      <c r="G270" s="126">
        <f t="shared" si="52"/>
        <v>16474.18</v>
      </c>
      <c r="H270" s="127">
        <f t="shared" si="53"/>
        <v>231597.75</v>
      </c>
      <c r="I270" s="128">
        <f t="shared" si="54"/>
        <v>15514.949999999999</v>
      </c>
      <c r="J270" s="128">
        <f t="shared" si="55"/>
        <v>247112.7</v>
      </c>
      <c r="K270" s="44">
        <f t="shared" si="56"/>
        <v>1.5766380541283891E-4</v>
      </c>
      <c r="L270" s="45">
        <f t="shared" si="57"/>
        <v>4701.6818548914616</v>
      </c>
      <c r="M270" s="45">
        <f t="shared" si="58"/>
        <v>6787.7010153370857</v>
      </c>
      <c r="N270" s="45">
        <f t="shared" si="59"/>
        <v>27963.562870228547</v>
      </c>
      <c r="O270" s="46">
        <f t="shared" si="60"/>
        <v>419453.4430534282</v>
      </c>
      <c r="P270" s="47">
        <f t="shared" si="64"/>
        <v>38279.998</v>
      </c>
      <c r="Q270" s="42">
        <v>574199.97</v>
      </c>
      <c r="R270" s="152">
        <f t="shared" si="65"/>
        <v>0.73050063561206424</v>
      </c>
      <c r="S270" s="49"/>
      <c r="T270" s="157">
        <f>IFERROR(VLOOKUP(B270,[1]Todos!$A$2:$C$3021,3,FALSE),0)</f>
        <v>1034.33</v>
      </c>
      <c r="U270" s="112">
        <f t="shared" si="67"/>
        <v>0</v>
      </c>
      <c r="W270" s="157">
        <f>IFERROR(VLOOKUP(B270,[1]Todos!$A$2:$B$3021,2,FALSE),0)</f>
        <v>15439.85</v>
      </c>
      <c r="X270" s="112">
        <f t="shared" si="66"/>
        <v>0</v>
      </c>
    </row>
    <row r="271" spans="1:24" s="93" customFormat="1" outlineLevel="1" collapsed="1" x14ac:dyDescent="0.3">
      <c r="A271" s="50" t="s">
        <v>1040</v>
      </c>
      <c r="B271" s="129"/>
      <c r="C271" s="129"/>
      <c r="D271" s="51">
        <f>SUBTOTAL(9,D258:D270)</f>
        <v>6012</v>
      </c>
      <c r="E271" s="52"/>
      <c r="F271" s="52"/>
      <c r="G271" s="130"/>
      <c r="H271" s="131">
        <f>SUBTOTAL(9,H258:H270)</f>
        <v>58055871.090000011</v>
      </c>
      <c r="I271" s="146">
        <f>SUBTOTAL(9,I258:I270)</f>
        <v>4972410.7700000005</v>
      </c>
      <c r="J271" s="146">
        <f>SUBTOTAL(9,J258:J270)</f>
        <v>63028281.859999999</v>
      </c>
      <c r="K271" s="53"/>
      <c r="L271" s="54"/>
      <c r="M271" s="54"/>
      <c r="N271" s="54"/>
      <c r="O271" s="55">
        <f>SUBTOTAL(9,O258:O270)</f>
        <v>113647380.47753762</v>
      </c>
      <c r="P271" s="56"/>
      <c r="Q271" s="51">
        <f>SUBTOTAL(9,Q258:Q270)</f>
        <v>143123798.91999999</v>
      </c>
      <c r="R271" s="164">
        <f t="shared" si="65"/>
        <v>0.79404949655550705</v>
      </c>
      <c r="S271" s="58">
        <f>Q271/$Q$303</f>
        <v>3.5754227042697137E-2</v>
      </c>
      <c r="T271" s="157">
        <f>IFERROR(VLOOKUP(B271,[1]Todos!$A$2:$C$3021,3,FALSE),0)</f>
        <v>0</v>
      </c>
      <c r="U271" s="112">
        <f t="shared" si="67"/>
        <v>0</v>
      </c>
      <c r="W271" s="157">
        <f>IFERROR(VLOOKUP(B271,[1]Todos!$A$2:$B$3021,2,FALSE),0)</f>
        <v>0</v>
      </c>
      <c r="X271" s="112">
        <f t="shared" si="66"/>
        <v>0</v>
      </c>
    </row>
    <row r="272" spans="1:24" hidden="1" outlineLevel="2" x14ac:dyDescent="0.3">
      <c r="A272" s="40" t="str">
        <f>VLOOKUP(B272,Grupos!$A$2:$B$619,2,FALSE)</f>
        <v>TABLEROS 75 AMP COBRE TAPA PLASTICA</v>
      </c>
      <c r="B272" s="41" t="s">
        <v>422</v>
      </c>
      <c r="C272" s="41" t="s">
        <v>423</v>
      </c>
      <c r="D272" s="42">
        <v>11</v>
      </c>
      <c r="E272" s="196">
        <v>9419.26</v>
      </c>
      <c r="F272" s="192">
        <v>1028.3900000000001</v>
      </c>
      <c r="G272" s="126">
        <f t="shared" si="52"/>
        <v>10447.65</v>
      </c>
      <c r="H272" s="127">
        <f t="shared" si="53"/>
        <v>103611.86</v>
      </c>
      <c r="I272" s="128">
        <f t="shared" si="54"/>
        <v>11312.29</v>
      </c>
      <c r="J272" s="128">
        <f t="shared" si="55"/>
        <v>114924.15</v>
      </c>
      <c r="K272" s="44">
        <f t="shared" si="56"/>
        <v>7.3324352907948109E-5</v>
      </c>
      <c r="L272" s="45">
        <f t="shared" si="57"/>
        <v>2981.7281607495347</v>
      </c>
      <c r="M272" s="45">
        <f t="shared" si="58"/>
        <v>6748.7202799517627</v>
      </c>
      <c r="N272" s="45">
        <f t="shared" si="59"/>
        <v>20178.098440701298</v>
      </c>
      <c r="O272" s="46">
        <f t="shared" si="60"/>
        <v>221959.08284771428</v>
      </c>
      <c r="P272" s="47">
        <f>Q272/D272</f>
        <v>27880.00181818182</v>
      </c>
      <c r="Q272" s="42">
        <v>306680.02</v>
      </c>
      <c r="R272" s="48">
        <f t="shared" si="65"/>
        <v>0.72374810347186713</v>
      </c>
      <c r="S272" s="49"/>
      <c r="T272" s="157">
        <f>IFERROR(VLOOKUP(B272,[1]Todos!$A$2:$C$3021,3,FALSE),0)</f>
        <v>1028.3900000000001</v>
      </c>
      <c r="U272" s="112">
        <f t="shared" si="67"/>
        <v>0</v>
      </c>
      <c r="W272" s="157">
        <f>IFERROR(VLOOKUP(B272,[1]Todos!$A$2:$B$3021,2,FALSE),0)</f>
        <v>9419.26</v>
      </c>
      <c r="X272" s="112">
        <f t="shared" si="66"/>
        <v>0</v>
      </c>
    </row>
    <row r="273" spans="1:24" hidden="1" outlineLevel="2" x14ac:dyDescent="0.3">
      <c r="A273" s="40" t="str">
        <f>VLOOKUP(B273,Grupos!$A$2:$B$619,2,FALSE)</f>
        <v>TABLEROS 75 AMP COBRE TAPA PLASTICA</v>
      </c>
      <c r="B273" s="41" t="s">
        <v>424</v>
      </c>
      <c r="C273" s="41" t="s">
        <v>425</v>
      </c>
      <c r="D273" s="42">
        <v>1035</v>
      </c>
      <c r="E273" s="196">
        <v>10136.17</v>
      </c>
      <c r="F273" s="192">
        <v>933.55</v>
      </c>
      <c r="G273" s="126">
        <f t="shared" si="52"/>
        <v>11069.72</v>
      </c>
      <c r="H273" s="127">
        <f t="shared" si="53"/>
        <v>10490935.949999999</v>
      </c>
      <c r="I273" s="128">
        <f t="shared" si="54"/>
        <v>966224.25</v>
      </c>
      <c r="J273" s="128">
        <f t="shared" si="55"/>
        <v>11457160.199999999</v>
      </c>
      <c r="K273" s="44">
        <f t="shared" si="56"/>
        <v>7.3099418862588696E-3</v>
      </c>
      <c r="L273" s="45">
        <f t="shared" si="57"/>
        <v>3159.2650840727183</v>
      </c>
      <c r="M273" s="45">
        <f t="shared" si="58"/>
        <v>6126.3409964594821</v>
      </c>
      <c r="N273" s="45">
        <f t="shared" si="59"/>
        <v>20355.326080532199</v>
      </c>
      <c r="O273" s="46">
        <f t="shared" si="60"/>
        <v>21067762.493350826</v>
      </c>
      <c r="P273" s="47">
        <f>Q273/D273</f>
        <v>24870.148115942029</v>
      </c>
      <c r="Q273" s="42">
        <v>25740603.300000001</v>
      </c>
      <c r="R273" s="48">
        <f t="shared" si="65"/>
        <v>0.81846420799899533</v>
      </c>
      <c r="S273" s="49"/>
      <c r="T273" s="157">
        <f>IFERROR(VLOOKUP(B273,[1]Todos!$A$2:$C$3021,3,FALSE),0)</f>
        <v>933.55</v>
      </c>
      <c r="U273" s="112">
        <f t="shared" si="67"/>
        <v>0</v>
      </c>
      <c r="W273" s="157">
        <f>IFERROR(VLOOKUP(B273,[1]Todos!$A$2:$B$3021,2,FALSE),0)</f>
        <v>10136.17</v>
      </c>
      <c r="X273" s="112">
        <f t="shared" si="66"/>
        <v>0</v>
      </c>
    </row>
    <row r="274" spans="1:24" hidden="1" outlineLevel="2" x14ac:dyDescent="0.3">
      <c r="A274" s="40" t="str">
        <f>VLOOKUP(B274,Grupos!$A$2:$B$619,2,FALSE)</f>
        <v>TABLEROS 75 AMP COBRE TAPA PLASTICA</v>
      </c>
      <c r="B274" s="41" t="s">
        <v>426</v>
      </c>
      <c r="C274" s="41" t="s">
        <v>427</v>
      </c>
      <c r="D274" s="42">
        <v>75</v>
      </c>
      <c r="E274" s="196">
        <v>9878.4599999999991</v>
      </c>
      <c r="F274" s="192">
        <v>893.04</v>
      </c>
      <c r="G274" s="126">
        <f t="shared" si="52"/>
        <v>10771.5</v>
      </c>
      <c r="H274" s="127">
        <f t="shared" si="53"/>
        <v>740884.49999999988</v>
      </c>
      <c r="I274" s="128">
        <f t="shared" si="54"/>
        <v>66978</v>
      </c>
      <c r="J274" s="128">
        <f t="shared" si="55"/>
        <v>807862.5</v>
      </c>
      <c r="K274" s="44">
        <f t="shared" si="56"/>
        <v>5.1543557251541318E-4</v>
      </c>
      <c r="L274" s="45">
        <f t="shared" si="57"/>
        <v>3074.1539852037167</v>
      </c>
      <c r="M274" s="45">
        <f t="shared" si="58"/>
        <v>5860.4976310622633</v>
      </c>
      <c r="N274" s="45">
        <f t="shared" si="59"/>
        <v>19706.151616265979</v>
      </c>
      <c r="O274" s="46">
        <f t="shared" si="60"/>
        <v>1477961.3712199484</v>
      </c>
      <c r="P274" s="47">
        <f>Q274/D274</f>
        <v>24359.998533333332</v>
      </c>
      <c r="Q274" s="42">
        <v>1826999.89</v>
      </c>
      <c r="R274" s="48">
        <f t="shared" si="65"/>
        <v>0.8089553695703553</v>
      </c>
      <c r="S274" s="49"/>
      <c r="T274" s="157">
        <f>IFERROR(VLOOKUP(B274,[1]Todos!$A$2:$C$3021,3,FALSE),0)</f>
        <v>893.04</v>
      </c>
      <c r="U274" s="112">
        <f t="shared" si="67"/>
        <v>0</v>
      </c>
      <c r="W274" s="157">
        <f>IFERROR(VLOOKUP(B274,[1]Todos!$A$2:$B$3021,2,FALSE),0)</f>
        <v>9878.4599999999991</v>
      </c>
      <c r="X274" s="112">
        <f t="shared" si="66"/>
        <v>0</v>
      </c>
    </row>
    <row r="275" spans="1:24" hidden="1" outlineLevel="2" x14ac:dyDescent="0.3">
      <c r="A275" s="40" t="str">
        <f>VLOOKUP(B275,Grupos!$A$2:$B$619,2,FALSE)</f>
        <v>TABLEROS 75 AMP COBRE TAPA PLASTICA</v>
      </c>
      <c r="B275" s="41" t="s">
        <v>430</v>
      </c>
      <c r="C275" s="41" t="s">
        <v>431</v>
      </c>
      <c r="D275" s="42">
        <v>1107</v>
      </c>
      <c r="E275" s="196">
        <v>12616.59</v>
      </c>
      <c r="F275" s="192">
        <v>1124.95</v>
      </c>
      <c r="G275" s="126">
        <f t="shared" si="52"/>
        <v>13741.54</v>
      </c>
      <c r="H275" s="127">
        <f t="shared" si="53"/>
        <v>13966565.130000001</v>
      </c>
      <c r="I275" s="128">
        <f t="shared" si="54"/>
        <v>1245319.6500000001</v>
      </c>
      <c r="J275" s="128">
        <f t="shared" si="55"/>
        <v>15211884.780000001</v>
      </c>
      <c r="K275" s="44">
        <f t="shared" si="56"/>
        <v>9.7055458578876996E-3</v>
      </c>
      <c r="L275" s="45">
        <f t="shared" si="57"/>
        <v>3921.7945461482886</v>
      </c>
      <c r="M275" s="45">
        <f t="shared" si="58"/>
        <v>7382.3869144310374</v>
      </c>
      <c r="N275" s="45">
        <f t="shared" si="59"/>
        <v>25045.721460579327</v>
      </c>
      <c r="O275" s="46">
        <f t="shared" si="60"/>
        <v>27725613.656861316</v>
      </c>
      <c r="P275" s="47">
        <f>Q275/D275</f>
        <v>30646.973685636854</v>
      </c>
      <c r="Q275" s="42">
        <v>33926199.869999997</v>
      </c>
      <c r="R275" s="48">
        <f t="shared" si="65"/>
        <v>0.81723310488948431</v>
      </c>
      <c r="S275" s="49"/>
      <c r="T275" s="157">
        <f>IFERROR(VLOOKUP(B275,[1]Todos!$A$2:$C$3021,3,FALSE),0)</f>
        <v>1124.95</v>
      </c>
      <c r="U275" s="112">
        <f t="shared" si="67"/>
        <v>0</v>
      </c>
      <c r="W275" s="157">
        <f>IFERROR(VLOOKUP(B275,[1]Todos!$A$2:$B$3021,2,FALSE),0)</f>
        <v>12616.59</v>
      </c>
      <c r="X275" s="112">
        <f t="shared" si="66"/>
        <v>0</v>
      </c>
    </row>
    <row r="276" spans="1:24" hidden="1" outlineLevel="2" x14ac:dyDescent="0.3">
      <c r="A276" s="40" t="str">
        <f>VLOOKUP(B276,Grupos!$A$2:$B$619,2,FALSE)</f>
        <v>TABLEROS 75 AMP COBRE TAPA PLASTICA</v>
      </c>
      <c r="B276" s="41" t="s">
        <v>432</v>
      </c>
      <c r="C276" s="41" t="s">
        <v>433</v>
      </c>
      <c r="D276" s="42">
        <v>77</v>
      </c>
      <c r="E276" s="196">
        <v>12443.23</v>
      </c>
      <c r="F276" s="192">
        <v>1073.3599999999999</v>
      </c>
      <c r="G276" s="126">
        <f t="shared" si="52"/>
        <v>13516.59</v>
      </c>
      <c r="H276" s="127">
        <f t="shared" si="53"/>
        <v>958128.71</v>
      </c>
      <c r="I276" s="128">
        <f t="shared" si="54"/>
        <v>82648.719999999987</v>
      </c>
      <c r="J276" s="128">
        <f t="shared" si="55"/>
        <v>1040777.43</v>
      </c>
      <c r="K276" s="44">
        <f t="shared" si="56"/>
        <v>6.6404086152429458E-4</v>
      </c>
      <c r="L276" s="45">
        <f t="shared" si="57"/>
        <v>3857.5944868277134</v>
      </c>
      <c r="M276" s="45">
        <f t="shared" si="58"/>
        <v>7043.832008954796</v>
      </c>
      <c r="N276" s="45">
        <f t="shared" si="59"/>
        <v>24418.016495782511</v>
      </c>
      <c r="O276" s="46">
        <f t="shared" si="60"/>
        <v>1880187.2701752533</v>
      </c>
      <c r="P276" s="47">
        <f>Q276/D276</f>
        <v>30069.99896103896</v>
      </c>
      <c r="Q276" s="42">
        <v>2315389.92</v>
      </c>
      <c r="R276" s="48">
        <f t="shared" si="65"/>
        <v>0.81203915329097287</v>
      </c>
      <c r="S276" s="49"/>
      <c r="T276" s="157">
        <f>IFERROR(VLOOKUP(B276,[1]Todos!$A$2:$C$3021,3,FALSE),0)</f>
        <v>1073.3599999999999</v>
      </c>
      <c r="U276" s="112">
        <f t="shared" si="67"/>
        <v>0</v>
      </c>
      <c r="W276" s="157">
        <f>IFERROR(VLOOKUP(B276,[1]Todos!$A$2:$B$3021,2,FALSE),0)</f>
        <v>12443.23</v>
      </c>
      <c r="X276" s="112">
        <f t="shared" si="66"/>
        <v>0</v>
      </c>
    </row>
    <row r="277" spans="1:24" s="93" customFormat="1" outlineLevel="1" collapsed="1" x14ac:dyDescent="0.3">
      <c r="A277" s="50" t="s">
        <v>1041</v>
      </c>
      <c r="B277" s="129"/>
      <c r="C277" s="129"/>
      <c r="D277" s="51">
        <f>SUBTOTAL(9,D272:D276)</f>
        <v>2305</v>
      </c>
      <c r="E277" s="52"/>
      <c r="F277" s="52"/>
      <c r="G277" s="130"/>
      <c r="H277" s="131">
        <f>SUBTOTAL(9,H272:H276)</f>
        <v>26260126.149999999</v>
      </c>
      <c r="I277" s="146">
        <f>SUBTOTAL(9,I272:I276)</f>
        <v>2372482.9100000006</v>
      </c>
      <c r="J277" s="146">
        <f>SUBTOTAL(9,J272:J276)</f>
        <v>28632609.060000002</v>
      </c>
      <c r="K277" s="53"/>
      <c r="L277" s="54"/>
      <c r="M277" s="54"/>
      <c r="N277" s="54"/>
      <c r="O277" s="55">
        <f>SUBTOTAL(9,O272:O276)</f>
        <v>52373483.874455057</v>
      </c>
      <c r="P277" s="56"/>
      <c r="Q277" s="51">
        <f>SUBTOTAL(9,Q272:Q276)</f>
        <v>64115873</v>
      </c>
      <c r="R277" s="164">
        <f t="shared" si="65"/>
        <v>0.81685675362253984</v>
      </c>
      <c r="S277" s="58">
        <f>Q277/$Q$303</f>
        <v>1.6016997156175928E-2</v>
      </c>
      <c r="T277" s="157">
        <f>IFERROR(VLOOKUP(B277,[1]Todos!$A$2:$C$3021,3,FALSE),0)</f>
        <v>0</v>
      </c>
      <c r="U277" s="112">
        <f t="shared" si="67"/>
        <v>0</v>
      </c>
      <c r="W277" s="157">
        <f>IFERROR(VLOOKUP(B277,[1]Todos!$A$2:$B$3021,2,FALSE),0)</f>
        <v>0</v>
      </c>
      <c r="X277" s="112">
        <f t="shared" si="66"/>
        <v>0</v>
      </c>
    </row>
    <row r="278" spans="1:24" hidden="1" outlineLevel="2" x14ac:dyDescent="0.3">
      <c r="A278" s="40" t="str">
        <f>VLOOKUP(B278,Grupos!$A$2:$B$619,2,FALSE)</f>
        <v>TABLEROS 85 AMP BIMETALICO</v>
      </c>
      <c r="B278" s="41" t="s">
        <v>436</v>
      </c>
      <c r="C278" s="41" t="s">
        <v>437</v>
      </c>
      <c r="D278" s="42">
        <v>466</v>
      </c>
      <c r="E278" s="43">
        <v>14942.96</v>
      </c>
      <c r="F278" s="192">
        <v>873.49</v>
      </c>
      <c r="G278" s="126">
        <f t="shared" si="52"/>
        <v>15816.449999999999</v>
      </c>
      <c r="H278" s="127">
        <f t="shared" si="53"/>
        <v>6963419.3599999994</v>
      </c>
      <c r="I278" s="128">
        <f t="shared" si="54"/>
        <v>407046.34</v>
      </c>
      <c r="J278" s="128">
        <f t="shared" si="55"/>
        <v>7370465.6999999993</v>
      </c>
      <c r="K278" s="44">
        <f t="shared" si="56"/>
        <v>4.7025331758618772E-3</v>
      </c>
      <c r="L278" s="45">
        <f t="shared" si="57"/>
        <v>4513.9676738871403</v>
      </c>
      <c r="M278" s="45">
        <f t="shared" si="58"/>
        <v>5732.2024497856501</v>
      </c>
      <c r="N278" s="45">
        <f t="shared" si="59"/>
        <v>26062.62012367279</v>
      </c>
      <c r="O278" s="46">
        <f t="shared" si="60"/>
        <v>12145180.97763152</v>
      </c>
      <c r="P278" s="47">
        <f>Q278/D278</f>
        <v>47145.014163090134</v>
      </c>
      <c r="Q278" s="42">
        <v>21969576.600000001</v>
      </c>
      <c r="R278" s="48">
        <f t="shared" si="65"/>
        <v>0.55281816298778919</v>
      </c>
      <c r="S278" s="49"/>
      <c r="T278" s="157">
        <f>IFERROR(VLOOKUP(B278,[1]Todos!$A$2:$C$3021,3,FALSE),0)</f>
        <v>873.49</v>
      </c>
      <c r="U278" s="112">
        <f t="shared" si="67"/>
        <v>0</v>
      </c>
      <c r="W278" s="157">
        <f>IFERROR(VLOOKUP(B278,[1]Todos!$A$2:$B$3021,2,FALSE),0)</f>
        <v>14942.96</v>
      </c>
      <c r="X278" s="112">
        <f t="shared" si="66"/>
        <v>0</v>
      </c>
    </row>
    <row r="279" spans="1:24" hidden="1" outlineLevel="2" x14ac:dyDescent="0.3">
      <c r="A279" s="40" t="str">
        <f>VLOOKUP(B279,Grupos!$A$2:$B$619,2,FALSE)</f>
        <v>TABLEROS 85 AMP BIMETALICO</v>
      </c>
      <c r="B279" s="41" t="s">
        <v>653</v>
      </c>
      <c r="C279" s="41" t="s">
        <v>654</v>
      </c>
      <c r="D279" s="42">
        <v>60</v>
      </c>
      <c r="E279" s="43">
        <v>13859.75</v>
      </c>
      <c r="F279" s="192">
        <v>834.13</v>
      </c>
      <c r="G279" s="126">
        <f t="shared" si="52"/>
        <v>14693.88</v>
      </c>
      <c r="H279" s="127">
        <f t="shared" si="53"/>
        <v>831585</v>
      </c>
      <c r="I279" s="128">
        <f t="shared" si="54"/>
        <v>50047.8</v>
      </c>
      <c r="J279" s="128">
        <f t="shared" si="55"/>
        <v>881632.79999999993</v>
      </c>
      <c r="K279" s="44">
        <f t="shared" si="56"/>
        <v>5.6250278607605471E-4</v>
      </c>
      <c r="L279" s="45">
        <f t="shared" si="57"/>
        <v>4193.5895427846808</v>
      </c>
      <c r="M279" s="45">
        <f t="shared" si="58"/>
        <v>5473.9058597576432</v>
      </c>
      <c r="N279" s="45">
        <f t="shared" si="59"/>
        <v>24361.375402542326</v>
      </c>
      <c r="O279" s="46">
        <f t="shared" si="60"/>
        <v>1461682.5241525397</v>
      </c>
      <c r="P279" s="47">
        <f>Q279/D279</f>
        <v>45547.998</v>
      </c>
      <c r="Q279" s="42">
        <v>2732879.88</v>
      </c>
      <c r="R279" s="48">
        <f t="shared" si="65"/>
        <v>0.53485062949511697</v>
      </c>
      <c r="S279" s="49"/>
      <c r="T279" s="157">
        <f>IFERROR(VLOOKUP(B279,[1]Todos!$A$2:$C$3021,3,FALSE),0)</f>
        <v>834.13</v>
      </c>
      <c r="U279" s="112">
        <f t="shared" si="67"/>
        <v>0</v>
      </c>
      <c r="W279" s="157">
        <f>IFERROR(VLOOKUP(B279,[1]Todos!$A$2:$B$3021,2,FALSE),0)</f>
        <v>13859.75</v>
      </c>
      <c r="X279" s="112">
        <f t="shared" si="66"/>
        <v>0</v>
      </c>
    </row>
    <row r="280" spans="1:24" hidden="1" outlineLevel="2" x14ac:dyDescent="0.3">
      <c r="A280" s="40" t="str">
        <f>VLOOKUP(B280,Grupos!$A$2:$B$619,2,FALSE)</f>
        <v>TABLEROS 85 AMP BIMETALICO</v>
      </c>
      <c r="B280" s="41" t="s">
        <v>438</v>
      </c>
      <c r="C280" s="41" t="s">
        <v>439</v>
      </c>
      <c r="D280" s="42">
        <v>1008</v>
      </c>
      <c r="E280" s="43">
        <v>11715.37</v>
      </c>
      <c r="F280" s="192">
        <v>823.91</v>
      </c>
      <c r="G280" s="126">
        <f t="shared" si="52"/>
        <v>12539.28</v>
      </c>
      <c r="H280" s="127">
        <f t="shared" si="53"/>
        <v>11809092.960000001</v>
      </c>
      <c r="I280" s="128">
        <f t="shared" si="54"/>
        <v>830501.27999999991</v>
      </c>
      <c r="J280" s="128">
        <f t="shared" si="55"/>
        <v>12639594.24</v>
      </c>
      <c r="K280" s="44">
        <f t="shared" si="56"/>
        <v>8.0643630487328213E-3</v>
      </c>
      <c r="L280" s="45">
        <f t="shared" si="57"/>
        <v>3578.6731266383754</v>
      </c>
      <c r="M280" s="45">
        <f t="shared" si="58"/>
        <v>5406.837995172119</v>
      </c>
      <c r="N280" s="45">
        <f t="shared" si="59"/>
        <v>21524.791121810496</v>
      </c>
      <c r="O280" s="46">
        <f t="shared" si="60"/>
        <v>21696989.450784981</v>
      </c>
      <c r="P280" s="47">
        <f>Q280/D280</f>
        <v>38211.190853174608</v>
      </c>
      <c r="Q280" s="42">
        <v>38516880.380000003</v>
      </c>
      <c r="R280" s="48">
        <f t="shared" si="65"/>
        <v>0.56331118295995752</v>
      </c>
      <c r="S280" s="49"/>
      <c r="T280" s="157">
        <f>IFERROR(VLOOKUP(B280,[1]Todos!$A$2:$C$3021,3,FALSE),0)</f>
        <v>823.91</v>
      </c>
      <c r="U280" s="112">
        <f t="shared" si="67"/>
        <v>0</v>
      </c>
      <c r="W280" s="157">
        <f>IFERROR(VLOOKUP(B280,[1]Todos!$A$2:$B$3021,2,FALSE),0)</f>
        <v>11715.37</v>
      </c>
      <c r="X280" s="112">
        <f t="shared" si="66"/>
        <v>0</v>
      </c>
    </row>
    <row r="281" spans="1:24" hidden="1" outlineLevel="2" x14ac:dyDescent="0.3">
      <c r="A281" s="40" t="str">
        <f>VLOOKUP(B281,Grupos!$A$2:$B$619,2,FALSE)</f>
        <v>TABLEROS 85 AMP BIMETALICO</v>
      </c>
      <c r="B281" s="41" t="s">
        <v>440</v>
      </c>
      <c r="C281" s="41" t="s">
        <v>441</v>
      </c>
      <c r="D281" s="42">
        <v>364</v>
      </c>
      <c r="E281" s="43">
        <v>10652.97</v>
      </c>
      <c r="F281" s="192">
        <v>698.92</v>
      </c>
      <c r="G281" s="126">
        <f t="shared" si="52"/>
        <v>11351.89</v>
      </c>
      <c r="H281" s="127">
        <f t="shared" si="53"/>
        <v>3877681.0799999996</v>
      </c>
      <c r="I281" s="128">
        <f t="shared" si="54"/>
        <v>254406.87999999998</v>
      </c>
      <c r="J281" s="128">
        <f t="shared" si="55"/>
        <v>4132087.96</v>
      </c>
      <c r="K281" s="44">
        <f t="shared" si="56"/>
        <v>2.6363708221964085E-3</v>
      </c>
      <c r="L281" s="45">
        <f t="shared" si="57"/>
        <v>3239.795560794154</v>
      </c>
      <c r="M281" s="45">
        <f t="shared" si="58"/>
        <v>4586.6019487391795</v>
      </c>
      <c r="N281" s="45">
        <f t="shared" si="59"/>
        <v>19178.287509533333</v>
      </c>
      <c r="O281" s="46">
        <f t="shared" si="60"/>
        <v>6980896.6534701334</v>
      </c>
      <c r="P281" s="47">
        <f>Q281/D281</f>
        <v>36586.643351648352</v>
      </c>
      <c r="Q281" s="42">
        <v>13317538.18</v>
      </c>
      <c r="R281" s="48">
        <f t="shared" si="65"/>
        <v>0.52418822151033129</v>
      </c>
      <c r="S281" s="49"/>
      <c r="T281" s="157">
        <f>IFERROR(VLOOKUP(B281,[1]Todos!$A$2:$C$3021,3,FALSE),0)</f>
        <v>698.92</v>
      </c>
      <c r="U281" s="112">
        <f t="shared" si="67"/>
        <v>0</v>
      </c>
      <c r="W281" s="157">
        <f>IFERROR(VLOOKUP(B281,[1]Todos!$A$2:$B$3021,2,FALSE),0)</f>
        <v>10652.97</v>
      </c>
      <c r="X281" s="112">
        <f t="shared" si="66"/>
        <v>0</v>
      </c>
    </row>
    <row r="282" spans="1:24" s="93" customFormat="1" outlineLevel="1" collapsed="1" x14ac:dyDescent="0.3">
      <c r="A282" s="50" t="s">
        <v>1042</v>
      </c>
      <c r="B282" s="129"/>
      <c r="C282" s="129"/>
      <c r="D282" s="51">
        <f>SUBTOTAL(9,D278:D281)</f>
        <v>1898</v>
      </c>
      <c r="E282" s="52"/>
      <c r="F282" s="52"/>
      <c r="G282" s="130"/>
      <c r="H282" s="131">
        <f>SUBTOTAL(9,H278:H281)</f>
        <v>23481778.399999999</v>
      </c>
      <c r="I282" s="146">
        <f>SUBTOTAL(9,I278:I281)</f>
        <v>1542002.2999999998</v>
      </c>
      <c r="J282" s="146">
        <f>SUBTOTAL(9,J278:J281)</f>
        <v>25023780.699999999</v>
      </c>
      <c r="K282" s="53"/>
      <c r="L282" s="54"/>
      <c r="M282" s="54"/>
      <c r="N282" s="54"/>
      <c r="O282" s="55">
        <f>SUBTOTAL(9,O278:O281)</f>
        <v>42284749.606039174</v>
      </c>
      <c r="P282" s="56"/>
      <c r="Q282" s="51">
        <f>SUBTOTAL(9,Q278:Q281)</f>
        <v>76536875.039999992</v>
      </c>
      <c r="R282" s="164">
        <f t="shared" si="65"/>
        <v>0.55247551698367825</v>
      </c>
      <c r="S282" s="58">
        <f>Q282/$Q$303</f>
        <v>1.9119928537170077E-2</v>
      </c>
      <c r="T282" s="157">
        <f>IFERROR(VLOOKUP(B282,[1]Todos!$A$2:$C$3021,3,FALSE),0)</f>
        <v>0</v>
      </c>
      <c r="U282" s="112">
        <f t="shared" si="67"/>
        <v>0</v>
      </c>
      <c r="W282" s="157">
        <f>IFERROR(VLOOKUP(B282,[1]Todos!$A$2:$B$3021,2,FALSE),0)</f>
        <v>0</v>
      </c>
      <c r="X282" s="112">
        <f t="shared" si="66"/>
        <v>0</v>
      </c>
    </row>
    <row r="283" spans="1:24" hidden="1" outlineLevel="2" x14ac:dyDescent="0.3">
      <c r="A283" s="40" t="str">
        <f>VLOOKUP(B283,Grupos!$A$2:$B$619,2,FALSE)</f>
        <v>TABLEROS 95 AMP COBRE</v>
      </c>
      <c r="B283" s="41" t="s">
        <v>442</v>
      </c>
      <c r="C283" s="41" t="s">
        <v>443</v>
      </c>
      <c r="D283" s="42">
        <v>328</v>
      </c>
      <c r="E283" s="43">
        <v>23092.76</v>
      </c>
      <c r="F283" s="192">
        <v>885.23</v>
      </c>
      <c r="G283" s="126">
        <f t="shared" si="52"/>
        <v>23977.989999999998</v>
      </c>
      <c r="H283" s="127">
        <f t="shared" si="53"/>
        <v>7574425.2799999993</v>
      </c>
      <c r="I283" s="128">
        <f t="shared" si="54"/>
        <v>290355.44</v>
      </c>
      <c r="J283" s="128">
        <f t="shared" si="55"/>
        <v>7864780.7199999997</v>
      </c>
      <c r="K283" s="44">
        <f t="shared" si="56"/>
        <v>5.0179179663883194E-3</v>
      </c>
      <c r="L283" s="45">
        <f t="shared" si="57"/>
        <v>6843.2468565821719</v>
      </c>
      <c r="M283" s="45">
        <f t="shared" si="58"/>
        <v>5809.2451826852639</v>
      </c>
      <c r="N283" s="45">
        <f t="shared" si="59"/>
        <v>36630.482039267437</v>
      </c>
      <c r="O283" s="46">
        <f t="shared" si="60"/>
        <v>12014798.108879719</v>
      </c>
      <c r="P283" s="47">
        <f t="shared" ref="P283:P288" si="68">Q283/D283</f>
        <v>61039.569847560975</v>
      </c>
      <c r="Q283" s="42">
        <v>20020978.91</v>
      </c>
      <c r="R283" s="48">
        <f t="shared" si="65"/>
        <v>0.60011042231699341</v>
      </c>
      <c r="S283" s="49"/>
      <c r="T283" s="157">
        <f>IFERROR(VLOOKUP(B283,[1]Todos!$A$2:$C$3021,3,FALSE),0)</f>
        <v>885.23</v>
      </c>
      <c r="U283" s="112">
        <f t="shared" si="67"/>
        <v>0</v>
      </c>
      <c r="W283" s="157">
        <f>IFERROR(VLOOKUP(B283,[1]Todos!$A$2:$B$3021,2,FALSE),0)</f>
        <v>23092.76</v>
      </c>
      <c r="X283" s="112">
        <f t="shared" si="66"/>
        <v>0</v>
      </c>
    </row>
    <row r="284" spans="1:24" hidden="1" outlineLevel="2" x14ac:dyDescent="0.3">
      <c r="A284" s="40" t="str">
        <f>VLOOKUP(B284,Grupos!$A$2:$B$619,2,FALSE)</f>
        <v>TABLEROS 95 AMP COBRE</v>
      </c>
      <c r="B284" s="41" t="s">
        <v>444</v>
      </c>
      <c r="C284" s="41" t="s">
        <v>445</v>
      </c>
      <c r="D284" s="42">
        <v>570</v>
      </c>
      <c r="E284" s="43">
        <v>23071.759999999998</v>
      </c>
      <c r="F284" s="192">
        <v>765.65</v>
      </c>
      <c r="G284" s="126">
        <f t="shared" si="52"/>
        <v>23837.41</v>
      </c>
      <c r="H284" s="127">
        <f t="shared" si="53"/>
        <v>13150903.199999999</v>
      </c>
      <c r="I284" s="128">
        <f t="shared" si="54"/>
        <v>436420.5</v>
      </c>
      <c r="J284" s="128">
        <f t="shared" si="55"/>
        <v>13587323.699999999</v>
      </c>
      <c r="K284" s="44">
        <f t="shared" si="56"/>
        <v>8.6690370827482918E-3</v>
      </c>
      <c r="L284" s="45">
        <f t="shared" si="57"/>
        <v>6803.1257437158174</v>
      </c>
      <c r="M284" s="45">
        <f t="shared" si="58"/>
        <v>5024.5117925544455</v>
      </c>
      <c r="N284" s="45">
        <f t="shared" si="59"/>
        <v>35665.047536270264</v>
      </c>
      <c r="O284" s="46">
        <f t="shared" si="60"/>
        <v>20329077.095674049</v>
      </c>
      <c r="P284" s="47">
        <f t="shared" si="68"/>
        <v>57623.543859649122</v>
      </c>
      <c r="Q284" s="42">
        <v>32845420</v>
      </c>
      <c r="R284" s="48">
        <f t="shared" si="65"/>
        <v>0.61893186616806994</v>
      </c>
      <c r="S284" s="49"/>
      <c r="T284" s="157">
        <f>IFERROR(VLOOKUP(B284,[1]Todos!$A$2:$C$3021,3,FALSE),0)</f>
        <v>765.65</v>
      </c>
      <c r="U284" s="112">
        <f t="shared" si="67"/>
        <v>0</v>
      </c>
      <c r="W284" s="157">
        <f>IFERROR(VLOOKUP(B284,[1]Todos!$A$2:$B$3021,2,FALSE),0)</f>
        <v>23071.759999999998</v>
      </c>
      <c r="X284" s="112">
        <f t="shared" si="66"/>
        <v>0</v>
      </c>
    </row>
    <row r="285" spans="1:24" hidden="1" outlineLevel="2" x14ac:dyDescent="0.3">
      <c r="A285" s="40" t="str">
        <f>VLOOKUP(B285,Grupos!$A$2:$B$619,2,FALSE)</f>
        <v>TABLEROS 95 AMP COBRE</v>
      </c>
      <c r="B285" s="41" t="s">
        <v>446</v>
      </c>
      <c r="C285" s="41" t="s">
        <v>447</v>
      </c>
      <c r="D285" s="42">
        <v>40</v>
      </c>
      <c r="E285" s="43">
        <v>18875.86</v>
      </c>
      <c r="F285" s="192">
        <v>789.51</v>
      </c>
      <c r="G285" s="126">
        <f t="shared" si="52"/>
        <v>19665.37</v>
      </c>
      <c r="H285" s="127">
        <f t="shared" si="53"/>
        <v>755034.4</v>
      </c>
      <c r="I285" s="128">
        <f t="shared" si="54"/>
        <v>31580.400000000001</v>
      </c>
      <c r="J285" s="128">
        <f t="shared" si="55"/>
        <v>786614.79999999993</v>
      </c>
      <c r="K285" s="44">
        <f t="shared" si="56"/>
        <v>5.0187903236887125E-4</v>
      </c>
      <c r="L285" s="45">
        <f t="shared" si="57"/>
        <v>5612.4379664861544</v>
      </c>
      <c r="M285" s="45">
        <f t="shared" si="58"/>
        <v>5181.0909754321956</v>
      </c>
      <c r="N285" s="45">
        <f t="shared" si="59"/>
        <v>30458.898941918349</v>
      </c>
      <c r="O285" s="46">
        <f t="shared" si="60"/>
        <v>1218355.9576767338</v>
      </c>
      <c r="P285" s="47">
        <f t="shared" si="68"/>
        <v>52857.002</v>
      </c>
      <c r="Q285" s="42">
        <v>2114280.08</v>
      </c>
      <c r="R285" s="48">
        <f t="shared" si="65"/>
        <v>0.5762509750726752</v>
      </c>
      <c r="S285" s="49"/>
      <c r="T285" s="157">
        <f>IFERROR(VLOOKUP(B285,[1]Todos!$A$2:$C$3021,3,FALSE),0)</f>
        <v>789.51</v>
      </c>
      <c r="U285" s="112">
        <f t="shared" si="67"/>
        <v>0</v>
      </c>
      <c r="W285" s="157">
        <f>IFERROR(VLOOKUP(B285,[1]Todos!$A$2:$B$3021,2,FALSE),0)</f>
        <v>18875.86</v>
      </c>
      <c r="X285" s="112">
        <f t="shared" si="66"/>
        <v>0</v>
      </c>
    </row>
    <row r="286" spans="1:24" hidden="1" outlineLevel="2" x14ac:dyDescent="0.3">
      <c r="A286" s="40" t="str">
        <f>VLOOKUP(B286,Grupos!$A$2:$B$619,2,FALSE)</f>
        <v>TABLEROS 95 AMP COBRE</v>
      </c>
      <c r="B286" s="41" t="s">
        <v>448</v>
      </c>
      <c r="C286" s="41" t="s">
        <v>449</v>
      </c>
      <c r="D286" s="42">
        <v>470</v>
      </c>
      <c r="E286" s="43">
        <v>17391</v>
      </c>
      <c r="F286" s="192">
        <v>842.36</v>
      </c>
      <c r="G286" s="126">
        <f t="shared" si="52"/>
        <v>18233.36</v>
      </c>
      <c r="H286" s="127">
        <f t="shared" si="53"/>
        <v>8173770</v>
      </c>
      <c r="I286" s="128">
        <f t="shared" si="54"/>
        <v>395909.2</v>
      </c>
      <c r="J286" s="128">
        <f t="shared" si="55"/>
        <v>8569679.2000000011</v>
      </c>
      <c r="K286" s="44">
        <f t="shared" si="56"/>
        <v>5.4676600346289491E-3</v>
      </c>
      <c r="L286" s="45">
        <f t="shared" si="57"/>
        <v>5203.7465819666768</v>
      </c>
      <c r="M286" s="45">
        <f t="shared" si="58"/>
        <v>5527.9145217477471</v>
      </c>
      <c r="N286" s="45">
        <f t="shared" si="59"/>
        <v>28965.021103714425</v>
      </c>
      <c r="O286" s="46">
        <f t="shared" si="60"/>
        <v>13613559.91874578</v>
      </c>
      <c r="P286" s="47">
        <f t="shared" si="68"/>
        <v>45544.077893617017</v>
      </c>
      <c r="Q286" s="42">
        <v>21405716.609999999</v>
      </c>
      <c r="R286" s="48">
        <f t="shared" si="65"/>
        <v>0.63597777018060697</v>
      </c>
      <c r="S286" s="49"/>
      <c r="T286" s="157">
        <f>IFERROR(VLOOKUP(B286,[1]Todos!$A$2:$C$3021,3,FALSE),0)</f>
        <v>842.36</v>
      </c>
      <c r="U286" s="112">
        <f t="shared" si="67"/>
        <v>0</v>
      </c>
      <c r="W286" s="157">
        <f>IFERROR(VLOOKUP(B286,[1]Todos!$A$2:$B$3021,2,FALSE),0)</f>
        <v>17391</v>
      </c>
      <c r="X286" s="112">
        <f t="shared" si="66"/>
        <v>0</v>
      </c>
    </row>
    <row r="287" spans="1:24" hidden="1" outlineLevel="2" x14ac:dyDescent="0.3">
      <c r="A287" s="40" t="str">
        <f>VLOOKUP(B287,Grupos!$A$2:$B$619,2,FALSE)</f>
        <v>TABLEROS 95 AMP COBRE</v>
      </c>
      <c r="B287" s="41" t="s">
        <v>450</v>
      </c>
      <c r="C287" s="41" t="s">
        <v>451</v>
      </c>
      <c r="D287" s="42">
        <v>1230</v>
      </c>
      <c r="E287" s="43">
        <v>17287.38</v>
      </c>
      <c r="F287" s="192">
        <v>789.26</v>
      </c>
      <c r="G287" s="126">
        <f t="shared" si="52"/>
        <v>18076.64</v>
      </c>
      <c r="H287" s="127">
        <f t="shared" si="53"/>
        <v>21263477.400000002</v>
      </c>
      <c r="I287" s="128">
        <f t="shared" si="54"/>
        <v>970789.8</v>
      </c>
      <c r="J287" s="128">
        <f t="shared" si="55"/>
        <v>22234267.199999999</v>
      </c>
      <c r="K287" s="44">
        <f t="shared" si="56"/>
        <v>1.418599358639951E-2</v>
      </c>
      <c r="L287" s="45">
        <f t="shared" si="57"/>
        <v>5159.0191612210856</v>
      </c>
      <c r="M287" s="45">
        <f t="shared" si="58"/>
        <v>5179.4503720910625</v>
      </c>
      <c r="N287" s="45">
        <f t="shared" si="59"/>
        <v>28415.109533312145</v>
      </c>
      <c r="O287" s="46">
        <f t="shared" si="60"/>
        <v>34950584.725973941</v>
      </c>
      <c r="P287" s="47">
        <f t="shared" si="68"/>
        <v>43233.116089430892</v>
      </c>
      <c r="Q287" s="42">
        <v>53176732.789999999</v>
      </c>
      <c r="R287" s="48">
        <f t="shared" si="65"/>
        <v>0.65725333039916423</v>
      </c>
      <c r="S287" s="49"/>
      <c r="T287" s="157">
        <f>IFERROR(VLOOKUP(B287,[1]Todos!$A$2:$C$3021,3,FALSE),0)</f>
        <v>789.26</v>
      </c>
      <c r="U287" s="112">
        <f t="shared" si="67"/>
        <v>0</v>
      </c>
      <c r="W287" s="157">
        <f>IFERROR(VLOOKUP(B287,[1]Todos!$A$2:$B$3021,2,FALSE),0)</f>
        <v>17287.38</v>
      </c>
      <c r="X287" s="112">
        <f t="shared" si="66"/>
        <v>0</v>
      </c>
    </row>
    <row r="288" spans="1:24" ht="85.2" hidden="1" outlineLevel="2" x14ac:dyDescent="0.3">
      <c r="A288" s="40" t="str">
        <f>VLOOKUP(B288,Grupos!$A$2:$B$619,2,FALSE)</f>
        <v>TABLEROS 95 AMP COBRE</v>
      </c>
      <c r="B288" s="41" t="s">
        <v>452</v>
      </c>
      <c r="C288" s="41" t="s">
        <v>453</v>
      </c>
      <c r="D288" s="42">
        <v>69</v>
      </c>
      <c r="E288" s="43">
        <v>14552.77</v>
      </c>
      <c r="F288" s="192">
        <v>748.48</v>
      </c>
      <c r="G288" s="126">
        <f t="shared" ref="G288:G354" si="69">E288+F288</f>
        <v>15301.25</v>
      </c>
      <c r="H288" s="127">
        <f t="shared" ref="H288:H354" si="70">E288*D288</f>
        <v>1004141.13</v>
      </c>
      <c r="I288" s="128">
        <f t="shared" ref="I288:I300" si="71">F288*D288</f>
        <v>51645.120000000003</v>
      </c>
      <c r="J288" s="128">
        <f t="shared" ref="J288:J300" si="72">G288*D288</f>
        <v>1055786.25</v>
      </c>
      <c r="K288" s="44">
        <f t="shared" ref="K288:K300" si="73">J288/$J$303</f>
        <v>6.7361684720190773E-4</v>
      </c>
      <c r="L288" s="45">
        <f t="shared" ref="L288:L300" si="74">$K$373*K288/D288</f>
        <v>4366.9311299353267</v>
      </c>
      <c r="M288" s="45">
        <f t="shared" ref="M288:M300" si="75">F288*$M$372</f>
        <v>4911.8351550854195</v>
      </c>
      <c r="N288" s="45">
        <f t="shared" ref="N288:N354" si="76">G288+L288+M288</f>
        <v>24580.016285020749</v>
      </c>
      <c r="O288" s="46">
        <f t="shared" ref="O288:O354" si="77">N288*D288</f>
        <v>1696021.1236664318</v>
      </c>
      <c r="P288" s="47">
        <f t="shared" si="68"/>
        <v>39450.933623188408</v>
      </c>
      <c r="Q288" s="42">
        <v>2722114.42</v>
      </c>
      <c r="R288" s="48">
        <f t="shared" si="65"/>
        <v>0.62305284127859395</v>
      </c>
      <c r="S288" s="49"/>
      <c r="T288" s="157">
        <f>IFERROR(VLOOKUP(B288,[1]Todos!$A$2:$C$3021,3,FALSE),0)</f>
        <v>748.48</v>
      </c>
      <c r="U288" s="112">
        <f t="shared" si="67"/>
        <v>0</v>
      </c>
      <c r="W288" s="157">
        <f>IFERROR(VLOOKUP(B288,[1]Todos!$A$2:$B$3021,2,FALSE),0)</f>
        <v>14552.77</v>
      </c>
      <c r="X288" s="112">
        <f t="shared" si="66"/>
        <v>0</v>
      </c>
    </row>
    <row r="289" spans="1:24" s="93" customFormat="1" outlineLevel="1" collapsed="1" x14ac:dyDescent="0.3">
      <c r="A289" s="50" t="s">
        <v>1043</v>
      </c>
      <c r="B289" s="129"/>
      <c r="C289" s="129"/>
      <c r="D289" s="51">
        <f>SUBTOTAL(9,D283:D288)</f>
        <v>2707</v>
      </c>
      <c r="E289" s="52"/>
      <c r="F289" s="52"/>
      <c r="G289" s="130"/>
      <c r="H289" s="131">
        <f>SUBTOTAL(9,H283:H288)</f>
        <v>51921751.410000004</v>
      </c>
      <c r="I289" s="146">
        <f>SUBTOTAL(9,I283:I288)</f>
        <v>2176700.46</v>
      </c>
      <c r="J289" s="146">
        <f>SUBTOTAL(9,J283:J288)</f>
        <v>54098451.870000005</v>
      </c>
      <c r="K289" s="53"/>
      <c r="L289" s="54"/>
      <c r="M289" s="54"/>
      <c r="N289" s="54"/>
      <c r="O289" s="55">
        <f>SUBTOTAL(9,O283:O288)</f>
        <v>83822396.930616647</v>
      </c>
      <c r="P289" s="56"/>
      <c r="Q289" s="51">
        <f>SUBTOTAL(9,Q283:Q288)</f>
        <v>132285242.80999999</v>
      </c>
      <c r="R289" s="164">
        <f t="shared" si="65"/>
        <v>0.63364888743493442</v>
      </c>
      <c r="S289" s="58">
        <f>Q289/$Q$303</f>
        <v>3.304661168525011E-2</v>
      </c>
      <c r="T289" s="157">
        <f>IFERROR(VLOOKUP(B289,[1]Todos!$A$2:$C$3021,3,FALSE),0)</f>
        <v>0</v>
      </c>
      <c r="U289" s="112">
        <f t="shared" si="67"/>
        <v>0</v>
      </c>
      <c r="W289" s="157">
        <f>IFERROR(VLOOKUP(B289,[1]Todos!$A$2:$B$3021,2,FALSE),0)</f>
        <v>0</v>
      </c>
      <c r="X289" s="112">
        <f t="shared" si="66"/>
        <v>0</v>
      </c>
    </row>
    <row r="290" spans="1:24" hidden="1" outlineLevel="2" x14ac:dyDescent="0.3">
      <c r="A290" s="40" t="str">
        <f>VLOOKUP(B290,Grupos!$A$2:$B$619,2,FALSE)</f>
        <v>TAPAS PLASTICAS</v>
      </c>
      <c r="B290" s="41" t="s">
        <v>454</v>
      </c>
      <c r="C290" s="41" t="s">
        <v>455</v>
      </c>
      <c r="D290" s="42">
        <v>2</v>
      </c>
      <c r="E290" s="43">
        <v>1629.99</v>
      </c>
      <c r="F290" s="43">
        <v>66.34</v>
      </c>
      <c r="G290" s="126">
        <f t="shared" si="69"/>
        <v>1696.33</v>
      </c>
      <c r="H290" s="127">
        <f t="shared" si="70"/>
        <v>3259.98</v>
      </c>
      <c r="I290" s="128">
        <f t="shared" si="71"/>
        <v>132.68</v>
      </c>
      <c r="J290" s="128">
        <f t="shared" si="72"/>
        <v>3392.66</v>
      </c>
      <c r="K290" s="44">
        <f t="shared" si="73"/>
        <v>2.1645981209056514E-6</v>
      </c>
      <c r="L290" s="45">
        <f t="shared" si="74"/>
        <v>484.12752445997506</v>
      </c>
      <c r="M290" s="45">
        <f t="shared" si="75"/>
        <v>435.35050260309794</v>
      </c>
      <c r="N290" s="45">
        <f t="shared" si="76"/>
        <v>2615.808027063073</v>
      </c>
      <c r="O290" s="46">
        <f t="shared" si="77"/>
        <v>5231.6160541261461</v>
      </c>
      <c r="P290" s="47">
        <f t="shared" ref="P290:P300" si="78">Q290/D290</f>
        <v>10982</v>
      </c>
      <c r="Q290" s="42">
        <v>21964</v>
      </c>
      <c r="R290" s="48">
        <f t="shared" si="65"/>
        <v>0.23819049599918712</v>
      </c>
      <c r="S290" s="49"/>
      <c r="T290" s="157">
        <f>IFERROR(VLOOKUP(B290,[1]Todos!$A$2:$C$3021,3,FALSE),0)</f>
        <v>66.239999999999995</v>
      </c>
      <c r="U290" s="112">
        <f t="shared" si="67"/>
        <v>-0.10000000000000853</v>
      </c>
      <c r="W290" s="157">
        <f>IFERROR(VLOOKUP(B290,[1]Todos!$A$2:$B$3021,2,FALSE),0)</f>
        <v>1629.99</v>
      </c>
      <c r="X290" s="112">
        <f t="shared" si="66"/>
        <v>0</v>
      </c>
    </row>
    <row r="291" spans="1:24" hidden="1" outlineLevel="2" x14ac:dyDescent="0.3">
      <c r="A291" s="40" t="str">
        <f>VLOOKUP(B291,Grupos!$A$2:$B$619,2,FALSE)</f>
        <v>TAPAS PLASTICAS</v>
      </c>
      <c r="B291" s="41" t="s">
        <v>456</v>
      </c>
      <c r="C291" s="41" t="s">
        <v>457</v>
      </c>
      <c r="D291" s="42">
        <v>7</v>
      </c>
      <c r="E291" s="43">
        <v>1065.73</v>
      </c>
      <c r="F291" s="43">
        <v>57.03</v>
      </c>
      <c r="G291" s="126">
        <f t="shared" si="69"/>
        <v>1122.76</v>
      </c>
      <c r="H291" s="127">
        <f t="shared" si="70"/>
        <v>7460.1100000000006</v>
      </c>
      <c r="I291" s="128">
        <f t="shared" si="71"/>
        <v>399.21000000000004</v>
      </c>
      <c r="J291" s="128">
        <f t="shared" si="72"/>
        <v>7859.32</v>
      </c>
      <c r="K291" s="44">
        <f t="shared" si="73"/>
        <v>5.0144338965873986E-6</v>
      </c>
      <c r="L291" s="45">
        <f t="shared" si="74"/>
        <v>320.43235653598151</v>
      </c>
      <c r="M291" s="45">
        <f t="shared" si="75"/>
        <v>374.2544341792987</v>
      </c>
      <c r="N291" s="45">
        <f t="shared" si="76"/>
        <v>1817.4467907152803</v>
      </c>
      <c r="O291" s="46">
        <f t="shared" si="77"/>
        <v>12722.127535006963</v>
      </c>
      <c r="P291" s="47">
        <f t="shared" si="78"/>
        <v>4693</v>
      </c>
      <c r="Q291" s="42">
        <v>32851</v>
      </c>
      <c r="R291" s="48">
        <f t="shared" si="65"/>
        <v>0.38726758804928202</v>
      </c>
      <c r="S291" s="49"/>
      <c r="T291" s="157">
        <f>IFERROR(VLOOKUP(B291,[1]Todos!$A$2:$C$3021,3,FALSE),0)</f>
        <v>0</v>
      </c>
      <c r="U291" s="112">
        <f t="shared" si="67"/>
        <v>-57.03</v>
      </c>
      <c r="W291" s="157">
        <f>IFERROR(VLOOKUP(B291,[1]Todos!$A$2:$B$3021,2,FALSE),0)</f>
        <v>0</v>
      </c>
      <c r="X291" s="112">
        <f t="shared" si="66"/>
        <v>-1065.73</v>
      </c>
    </row>
    <row r="292" spans="1:24" hidden="1" outlineLevel="2" x14ac:dyDescent="0.3">
      <c r="A292" s="40" t="str">
        <f>VLOOKUP(B292,Grupos!$A$2:$B$619,2,FALSE)</f>
        <v>TAPAS PLASTICAS</v>
      </c>
      <c r="B292" s="41" t="s">
        <v>459</v>
      </c>
      <c r="C292" s="41" t="s">
        <v>460</v>
      </c>
      <c r="D292" s="42">
        <v>1129</v>
      </c>
      <c r="E292" s="43">
        <v>1181.74</v>
      </c>
      <c r="F292" s="43">
        <v>60.81</v>
      </c>
      <c r="G292" s="126">
        <f t="shared" si="69"/>
        <v>1242.55</v>
      </c>
      <c r="H292" s="127">
        <f t="shared" si="70"/>
        <v>1334184.46</v>
      </c>
      <c r="I292" s="128">
        <f t="shared" si="71"/>
        <v>68654.490000000005</v>
      </c>
      <c r="J292" s="128">
        <f t="shared" si="72"/>
        <v>1402838.95</v>
      </c>
      <c r="K292" s="44">
        <f t="shared" si="73"/>
        <v>8.9504475989437703E-4</v>
      </c>
      <c r="L292" s="45">
        <f t="shared" si="74"/>
        <v>354.62006538688934</v>
      </c>
      <c r="M292" s="45">
        <f t="shared" si="75"/>
        <v>399.06035669723224</v>
      </c>
      <c r="N292" s="45">
        <f t="shared" si="76"/>
        <v>1996.2304220841215</v>
      </c>
      <c r="O292" s="46">
        <f t="shared" si="77"/>
        <v>2253744.1465329733</v>
      </c>
      <c r="P292" s="47">
        <f t="shared" si="78"/>
        <v>6319.9338263950403</v>
      </c>
      <c r="Q292" s="42">
        <v>7135205.29</v>
      </c>
      <c r="R292" s="48">
        <f t="shared" si="65"/>
        <v>0.31586255124174195</v>
      </c>
      <c r="S292" s="49"/>
      <c r="T292" s="157">
        <f>IFERROR(VLOOKUP(B292,[1]Todos!$A$2:$C$3021,3,FALSE),0)</f>
        <v>0</v>
      </c>
      <c r="U292" s="112">
        <f t="shared" si="67"/>
        <v>-60.81</v>
      </c>
      <c r="W292" s="157">
        <f>IFERROR(VLOOKUP(B292,[1]Todos!$A$2:$B$3021,2,FALSE),0)</f>
        <v>0</v>
      </c>
      <c r="X292" s="112">
        <f t="shared" si="66"/>
        <v>-1181.74</v>
      </c>
    </row>
    <row r="293" spans="1:24" hidden="1" outlineLevel="2" x14ac:dyDescent="0.3">
      <c r="A293" s="40" t="str">
        <f>VLOOKUP(B293,Grupos!$A$2:$B$619,2,FALSE)</f>
        <v>TAPAS PLASTICAS</v>
      </c>
      <c r="B293" s="41" t="s">
        <v>461</v>
      </c>
      <c r="C293" s="41" t="s">
        <v>462</v>
      </c>
      <c r="D293" s="42">
        <v>24</v>
      </c>
      <c r="E293" s="43">
        <v>1496.86</v>
      </c>
      <c r="F293" s="43">
        <v>56.02</v>
      </c>
      <c r="G293" s="126">
        <f t="shared" si="69"/>
        <v>1552.8799999999999</v>
      </c>
      <c r="H293" s="127">
        <f t="shared" si="70"/>
        <v>35924.639999999999</v>
      </c>
      <c r="I293" s="128">
        <f t="shared" si="71"/>
        <v>1344.48</v>
      </c>
      <c r="J293" s="128">
        <f t="shared" si="72"/>
        <v>37269.119999999995</v>
      </c>
      <c r="K293" s="44">
        <f t="shared" si="73"/>
        <v>2.3778588812261537E-5</v>
      </c>
      <c r="L293" s="45">
        <f t="shared" si="74"/>
        <v>443.18732215041058</v>
      </c>
      <c r="M293" s="45">
        <f t="shared" si="75"/>
        <v>367.6263966811207</v>
      </c>
      <c r="N293" s="45">
        <f t="shared" si="76"/>
        <v>2363.6937188315314</v>
      </c>
      <c r="O293" s="46">
        <f t="shared" si="77"/>
        <v>56728.649251956755</v>
      </c>
      <c r="P293" s="47">
        <f t="shared" si="78"/>
        <v>8611</v>
      </c>
      <c r="Q293" s="42">
        <v>206664</v>
      </c>
      <c r="R293" s="48">
        <f t="shared" si="65"/>
        <v>0.27449700601922328</v>
      </c>
      <c r="S293" s="49"/>
      <c r="T293" s="157">
        <f>IFERROR(VLOOKUP(B293,[1]Todos!$A$2:$C$3021,3,FALSE),0)</f>
        <v>56.49</v>
      </c>
      <c r="U293" s="112">
        <f t="shared" si="67"/>
        <v>0.46999999999999886</v>
      </c>
      <c r="W293" s="157">
        <f>IFERROR(VLOOKUP(B293,[1]Todos!$A$2:$B$3021,2,FALSE),0)</f>
        <v>1496.86</v>
      </c>
      <c r="X293" s="112">
        <f t="shared" si="66"/>
        <v>0</v>
      </c>
    </row>
    <row r="294" spans="1:24" hidden="1" outlineLevel="2" x14ac:dyDescent="0.3">
      <c r="A294" s="40" t="str">
        <f>VLOOKUP(B294,Grupos!$A$2:$B$619,2,FALSE)</f>
        <v>TAPAS PLASTICAS</v>
      </c>
      <c r="B294" s="41" t="s">
        <v>463</v>
      </c>
      <c r="C294" s="41" t="s">
        <v>464</v>
      </c>
      <c r="D294" s="42">
        <v>9200</v>
      </c>
      <c r="E294" s="43">
        <v>21.3</v>
      </c>
      <c r="F294" s="43">
        <v>9.0399999999999991</v>
      </c>
      <c r="G294" s="126">
        <f t="shared" si="69"/>
        <v>30.34</v>
      </c>
      <c r="H294" s="127">
        <f t="shared" si="70"/>
        <v>195960</v>
      </c>
      <c r="I294" s="128">
        <f t="shared" si="71"/>
        <v>83167.999999999985</v>
      </c>
      <c r="J294" s="128">
        <f t="shared" si="72"/>
        <v>279128</v>
      </c>
      <c r="K294" s="44">
        <f t="shared" si="73"/>
        <v>1.7809033156642655E-4</v>
      </c>
      <c r="L294" s="45">
        <f t="shared" si="74"/>
        <v>8.6589455425039024</v>
      </c>
      <c r="M294" s="45">
        <f t="shared" si="75"/>
        <v>59.324216815375415</v>
      </c>
      <c r="N294" s="45">
        <f t="shared" si="76"/>
        <v>98.323162357879312</v>
      </c>
      <c r="O294" s="46">
        <f t="shared" si="77"/>
        <v>904573.09369248967</v>
      </c>
      <c r="P294" s="47">
        <f t="shared" si="78"/>
        <v>415.77174891304344</v>
      </c>
      <c r="Q294" s="42">
        <v>3825100.09</v>
      </c>
      <c r="R294" s="48">
        <f t="shared" si="65"/>
        <v>0.23648350955765179</v>
      </c>
      <c r="S294" s="49"/>
      <c r="T294" s="157">
        <f>IFERROR(VLOOKUP(B294,[1]Todos!$A$2:$C$3021,3,FALSE),0)</f>
        <v>9.2200000000000006</v>
      </c>
      <c r="U294" s="112">
        <f t="shared" si="67"/>
        <v>0.18000000000000149</v>
      </c>
      <c r="W294" s="157">
        <f>IFERROR(VLOOKUP(B294,[1]Todos!$A$2:$B$3021,2,FALSE),0)</f>
        <v>21.3</v>
      </c>
      <c r="X294" s="112">
        <f t="shared" si="66"/>
        <v>0</v>
      </c>
    </row>
    <row r="295" spans="1:24" hidden="1" outlineLevel="2" x14ac:dyDescent="0.3">
      <c r="A295" s="40" t="str">
        <f>VLOOKUP(B295,Grupos!$A$2:$B$619,2,FALSE)</f>
        <v>TAPAS PLASTICAS</v>
      </c>
      <c r="B295" s="41" t="s">
        <v>465</v>
      </c>
      <c r="C295" s="41" t="s">
        <v>466</v>
      </c>
      <c r="D295" s="42">
        <v>161640</v>
      </c>
      <c r="E295" s="43">
        <v>74.7</v>
      </c>
      <c r="F295" s="43">
        <v>7.71</v>
      </c>
      <c r="G295" s="126">
        <f t="shared" si="69"/>
        <v>82.41</v>
      </c>
      <c r="H295" s="127">
        <f t="shared" si="70"/>
        <v>12074508</v>
      </c>
      <c r="I295" s="128">
        <f t="shared" si="71"/>
        <v>1246244.3999999999</v>
      </c>
      <c r="J295" s="128">
        <f t="shared" si="72"/>
        <v>13320752.4</v>
      </c>
      <c r="K295" s="44">
        <f t="shared" si="73"/>
        <v>8.4989582257253733E-3</v>
      </c>
      <c r="L295" s="45">
        <f t="shared" si="74"/>
        <v>23.51956829788222</v>
      </c>
      <c r="M295" s="45">
        <f t="shared" si="75"/>
        <v>50.596207040546958</v>
      </c>
      <c r="N295" s="45">
        <f t="shared" si="76"/>
        <v>156.52577533842918</v>
      </c>
      <c r="O295" s="46">
        <f t="shared" si="77"/>
        <v>25300826.325703692</v>
      </c>
      <c r="P295" s="47">
        <f t="shared" si="78"/>
        <v>227.03675216530561</v>
      </c>
      <c r="Q295" s="42">
        <v>36698220.619999997</v>
      </c>
      <c r="R295" s="48">
        <f t="shared" si="65"/>
        <v>0.68942923929982336</v>
      </c>
      <c r="S295" s="49"/>
      <c r="T295" s="157">
        <f>IFERROR(VLOOKUP(B295,[1]Todos!$A$2:$C$3021,3,FALSE),0)</f>
        <v>7.69</v>
      </c>
      <c r="U295" s="112">
        <f t="shared" si="67"/>
        <v>-1.9999999999999574E-2</v>
      </c>
      <c r="W295" s="157">
        <f>IFERROR(VLOOKUP(B295,[1]Todos!$A$2:$B$3021,2,FALSE),0)</f>
        <v>74.7</v>
      </c>
      <c r="X295" s="112">
        <f t="shared" si="66"/>
        <v>0</v>
      </c>
    </row>
    <row r="296" spans="1:24" hidden="1" outlineLevel="2" x14ac:dyDescent="0.3">
      <c r="A296" s="40" t="str">
        <f>VLOOKUP(B296,Grupos!$A$2:$B$619,2,FALSE)</f>
        <v>TAPAS PLASTICAS</v>
      </c>
      <c r="B296" s="41" t="s">
        <v>467</v>
      </c>
      <c r="C296" s="41" t="s">
        <v>468</v>
      </c>
      <c r="D296" s="42">
        <v>15840</v>
      </c>
      <c r="E296" s="43">
        <v>77.16</v>
      </c>
      <c r="F296" s="43">
        <v>9.26</v>
      </c>
      <c r="G296" s="126">
        <f t="shared" si="69"/>
        <v>86.42</v>
      </c>
      <c r="H296" s="127">
        <f t="shared" si="70"/>
        <v>1222214.3999999999</v>
      </c>
      <c r="I296" s="128">
        <f t="shared" si="71"/>
        <v>146678.39999999999</v>
      </c>
      <c r="J296" s="128">
        <f t="shared" si="72"/>
        <v>1368892.8</v>
      </c>
      <c r="K296" s="44">
        <f t="shared" si="73"/>
        <v>8.7338630531832713E-4</v>
      </c>
      <c r="L296" s="45">
        <f t="shared" si="74"/>
        <v>24.664010342227659</v>
      </c>
      <c r="M296" s="45">
        <f t="shared" si="75"/>
        <v>60.767947755572607</v>
      </c>
      <c r="N296" s="45">
        <f t="shared" si="76"/>
        <v>171.85195809780026</v>
      </c>
      <c r="O296" s="46">
        <f t="shared" si="77"/>
        <v>2722135.0162691562</v>
      </c>
      <c r="P296" s="47">
        <f t="shared" si="78"/>
        <v>225.87500694444444</v>
      </c>
      <c r="Q296" s="42">
        <v>3577860.11</v>
      </c>
      <c r="R296" s="48">
        <f t="shared" si="65"/>
        <v>0.76082768263098921</v>
      </c>
      <c r="S296" s="49"/>
      <c r="T296" s="157">
        <f>IFERROR(VLOOKUP(B296,[1]Todos!$A$2:$C$3021,3,FALSE),0)</f>
        <v>9.11</v>
      </c>
      <c r="U296" s="112">
        <f t="shared" si="67"/>
        <v>-0.15000000000000036</v>
      </c>
      <c r="W296" s="157">
        <f>IFERROR(VLOOKUP(B296,[1]Todos!$A$2:$B$3021,2,FALSE),0)</f>
        <v>77.11</v>
      </c>
      <c r="X296" s="112">
        <f t="shared" si="66"/>
        <v>-4.9999999999997158E-2</v>
      </c>
    </row>
    <row r="297" spans="1:24" hidden="1" outlineLevel="2" x14ac:dyDescent="0.3">
      <c r="A297" s="40" t="str">
        <f>VLOOKUP(B297,Grupos!$A$2:$B$619,2,FALSE)</f>
        <v>TAPAS PLASTICAS</v>
      </c>
      <c r="B297" s="41" t="s">
        <v>469</v>
      </c>
      <c r="C297" s="41" t="s">
        <v>470</v>
      </c>
      <c r="D297" s="42">
        <v>19000</v>
      </c>
      <c r="E297" s="43">
        <v>65.040000000000006</v>
      </c>
      <c r="F297" s="43">
        <v>19.239999999999998</v>
      </c>
      <c r="G297" s="126">
        <f t="shared" si="69"/>
        <v>84.28</v>
      </c>
      <c r="H297" s="127">
        <f t="shared" si="70"/>
        <v>1235760.0000000002</v>
      </c>
      <c r="I297" s="128">
        <f t="shared" si="71"/>
        <v>365559.99999999994</v>
      </c>
      <c r="J297" s="128">
        <f t="shared" si="72"/>
        <v>1601320</v>
      </c>
      <c r="K297" s="44">
        <f t="shared" si="73"/>
        <v>1.0216804109367394E-3</v>
      </c>
      <c r="L297" s="45">
        <f t="shared" si="74"/>
        <v>24.053260722552039</v>
      </c>
      <c r="M297" s="45">
        <f t="shared" si="75"/>
        <v>126.26083313360873</v>
      </c>
      <c r="N297" s="45">
        <f t="shared" si="76"/>
        <v>234.59409385616078</v>
      </c>
      <c r="O297" s="46">
        <f t="shared" si="77"/>
        <v>4457287.7832670547</v>
      </c>
      <c r="P297" s="47">
        <f t="shared" si="78"/>
        <v>235.36843368421054</v>
      </c>
      <c r="Q297" s="42">
        <v>4472000.24</v>
      </c>
      <c r="R297" s="48">
        <f t="shared" si="65"/>
        <v>0.9967100948248282</v>
      </c>
      <c r="S297" s="49"/>
      <c r="T297" s="157">
        <f>IFERROR(VLOOKUP(B297,[1]Todos!$A$2:$C$3021,3,FALSE),0)</f>
        <v>19.579999999999998</v>
      </c>
      <c r="U297" s="112">
        <f t="shared" si="67"/>
        <v>0.33999999999999986</v>
      </c>
      <c r="W297" s="157">
        <f>IFERROR(VLOOKUP(B297,[1]Todos!$A$2:$B$3021,2,FALSE),0)</f>
        <v>65.040000000000006</v>
      </c>
      <c r="X297" s="112">
        <f t="shared" si="66"/>
        <v>0</v>
      </c>
    </row>
    <row r="298" spans="1:24" hidden="1" outlineLevel="2" x14ac:dyDescent="0.3">
      <c r="A298" s="40" t="str">
        <f>VLOOKUP(B298,Grupos!$A$2:$B$619,2,FALSE)</f>
        <v>TAPAS PLASTICAS</v>
      </c>
      <c r="B298" s="41" t="s">
        <v>471</v>
      </c>
      <c r="C298" s="41" t="s">
        <v>472</v>
      </c>
      <c r="D298" s="42">
        <v>5500</v>
      </c>
      <c r="E298" s="43">
        <v>62.15</v>
      </c>
      <c r="F298" s="43">
        <v>18.68</v>
      </c>
      <c r="G298" s="126">
        <f t="shared" si="69"/>
        <v>80.83</v>
      </c>
      <c r="H298" s="127">
        <f t="shared" si="70"/>
        <v>341825</v>
      </c>
      <c r="I298" s="128">
        <f t="shared" si="71"/>
        <v>102740</v>
      </c>
      <c r="J298" s="128">
        <f t="shared" si="72"/>
        <v>444565</v>
      </c>
      <c r="K298" s="44">
        <f t="shared" si="73"/>
        <v>2.836430893813176E-4</v>
      </c>
      <c r="L298" s="45">
        <f t="shared" si="74"/>
        <v>23.068641008589005</v>
      </c>
      <c r="M298" s="45">
        <f t="shared" si="75"/>
        <v>122.58588164947044</v>
      </c>
      <c r="N298" s="45">
        <f t="shared" si="76"/>
        <v>226.48452265805946</v>
      </c>
      <c r="O298" s="46">
        <f t="shared" si="77"/>
        <v>1245664.874619327</v>
      </c>
      <c r="P298" s="47">
        <f t="shared" si="78"/>
        <v>229.86364909090909</v>
      </c>
      <c r="Q298" s="42">
        <v>1264250.07</v>
      </c>
      <c r="R298" s="48">
        <f t="shared" si="65"/>
        <v>0.98529943100523376</v>
      </c>
      <c r="S298" s="49"/>
      <c r="T298" s="157">
        <f>IFERROR(VLOOKUP(B298,[1]Todos!$A$2:$C$3021,3,FALSE),0)</f>
        <v>19.79</v>
      </c>
      <c r="U298" s="112">
        <f t="shared" si="67"/>
        <v>1.1099999999999994</v>
      </c>
      <c r="W298" s="157">
        <f>IFERROR(VLOOKUP(B298,[1]Todos!$A$2:$B$3021,2,FALSE),0)</f>
        <v>62.15</v>
      </c>
      <c r="X298" s="112">
        <f t="shared" si="66"/>
        <v>0</v>
      </c>
    </row>
    <row r="299" spans="1:24" hidden="1" outlineLevel="2" x14ac:dyDescent="0.3">
      <c r="A299" s="40" t="str">
        <f>VLOOKUP(B299,Grupos!$A$2:$B$619,2,FALSE)</f>
        <v>TAPAS PLASTICAS</v>
      </c>
      <c r="B299" s="41" t="s">
        <v>473</v>
      </c>
      <c r="C299" s="41" t="s">
        <v>474</v>
      </c>
      <c r="D299" s="42">
        <v>13680</v>
      </c>
      <c r="E299" s="43">
        <v>91.58</v>
      </c>
      <c r="F299" s="192">
        <v>19.79</v>
      </c>
      <c r="G299" s="126">
        <f t="shared" si="69"/>
        <v>111.37</v>
      </c>
      <c r="H299" s="127">
        <f t="shared" si="70"/>
        <v>1252814.3999999999</v>
      </c>
      <c r="I299" s="128">
        <f t="shared" si="71"/>
        <v>270727.2</v>
      </c>
      <c r="J299" s="128">
        <f t="shared" si="72"/>
        <v>1523541.6</v>
      </c>
      <c r="K299" s="44">
        <f t="shared" si="73"/>
        <v>9.7205593383409771E-4</v>
      </c>
      <c r="L299" s="45">
        <f t="shared" si="74"/>
        <v>31.784665954800907</v>
      </c>
      <c r="M299" s="45">
        <f t="shared" si="75"/>
        <v>129.87016048410172</v>
      </c>
      <c r="N299" s="45">
        <f t="shared" si="76"/>
        <v>273.02482643890266</v>
      </c>
      <c r="O299" s="46">
        <f t="shared" si="77"/>
        <v>3734979.6256841887</v>
      </c>
      <c r="P299" s="47">
        <f t="shared" si="78"/>
        <v>277.18751242690058</v>
      </c>
      <c r="Q299" s="42">
        <v>3791925.17</v>
      </c>
      <c r="R299" s="152">
        <f t="shared" si="65"/>
        <v>0.98498241875490089</v>
      </c>
      <c r="S299" s="49"/>
      <c r="T299" s="157">
        <f>IFERROR(VLOOKUP(B299,[1]Todos!$A$2:$C$3021,3,FALSE),0)</f>
        <v>20.57</v>
      </c>
      <c r="U299" s="112">
        <f t="shared" si="67"/>
        <v>0.78000000000000114</v>
      </c>
      <c r="W299" s="157">
        <f>IFERROR(VLOOKUP(B299,[1]Todos!$A$2:$B$3021,2,FALSE),0)</f>
        <v>91.58</v>
      </c>
      <c r="X299" s="112">
        <f t="shared" si="66"/>
        <v>0</v>
      </c>
    </row>
    <row r="300" spans="1:24" hidden="1" outlineLevel="2" x14ac:dyDescent="0.3">
      <c r="A300" s="40" t="str">
        <f>VLOOKUP(B300,Grupos!$A$2:$B$619,2,FALSE)</f>
        <v>TAPAS PLASTICAS</v>
      </c>
      <c r="B300" s="41" t="s">
        <v>475</v>
      </c>
      <c r="C300" s="41" t="s">
        <v>476</v>
      </c>
      <c r="D300" s="42">
        <v>33060</v>
      </c>
      <c r="E300" s="43">
        <v>96.41</v>
      </c>
      <c r="F300" s="192">
        <v>20.57</v>
      </c>
      <c r="G300" s="126">
        <f t="shared" si="69"/>
        <v>116.97999999999999</v>
      </c>
      <c r="H300" s="127">
        <f t="shared" si="70"/>
        <v>3187314.6</v>
      </c>
      <c r="I300" s="128">
        <f t="shared" si="71"/>
        <v>680044.2</v>
      </c>
      <c r="J300" s="128">
        <f t="shared" si="72"/>
        <v>3867358.8</v>
      </c>
      <c r="K300" s="44">
        <f t="shared" si="73"/>
        <v>2.4674672944969243E-3</v>
      </c>
      <c r="L300" s="45">
        <f t="shared" si="74"/>
        <v>33.385743228810362</v>
      </c>
      <c r="M300" s="45">
        <f t="shared" si="75"/>
        <v>134.98884290843722</v>
      </c>
      <c r="N300" s="45">
        <f t="shared" si="76"/>
        <v>285.35458613724757</v>
      </c>
      <c r="O300" s="46">
        <f t="shared" si="77"/>
        <v>9433822.6176974047</v>
      </c>
      <c r="P300" s="47">
        <f t="shared" si="78"/>
        <v>279.31035995160312</v>
      </c>
      <c r="Q300" s="42">
        <v>9234000.5</v>
      </c>
      <c r="R300" s="162">
        <f t="shared" si="65"/>
        <v>1.0216398209743875</v>
      </c>
      <c r="S300" s="49"/>
      <c r="U300" s="112"/>
    </row>
    <row r="301" spans="1:24" s="93" customFormat="1" outlineLevel="1" collapsed="1" x14ac:dyDescent="0.3">
      <c r="A301" s="50" t="s">
        <v>1044</v>
      </c>
      <c r="B301" s="129"/>
      <c r="C301" s="129"/>
      <c r="D301" s="51">
        <f>SUBTOTAL(9,D290:D300)</f>
        <v>259082</v>
      </c>
      <c r="E301" s="52"/>
      <c r="F301" s="52"/>
      <c r="G301" s="130"/>
      <c r="H301" s="131">
        <f>SUBTOTAL(9,H290:H300)</f>
        <v>20891225.59</v>
      </c>
      <c r="I301" s="146">
        <f>SUBTOTAL(9,I290:I300)</f>
        <v>2965693.0599999996</v>
      </c>
      <c r="J301" s="146">
        <f>SUBTOTAL(9,J290:J300)</f>
        <v>23856918.650000002</v>
      </c>
      <c r="K301" s="53"/>
      <c r="L301" s="54"/>
      <c r="M301" s="54"/>
      <c r="N301" s="54"/>
      <c r="O301" s="55">
        <f>SUBTOTAL(9,O290:O300)</f>
        <v>50127715.876307376</v>
      </c>
      <c r="P301" s="56"/>
      <c r="Q301" s="51">
        <f>SUBTOTAL(9,Q290:Q300)</f>
        <v>70260041.090000004</v>
      </c>
      <c r="R301" s="164">
        <f t="shared" si="65"/>
        <v>0.7134598144071107</v>
      </c>
      <c r="S301" s="58">
        <f>Q301/$Q$303</f>
        <v>1.7551891999214204E-2</v>
      </c>
      <c r="T301" s="158"/>
      <c r="U301" s="147"/>
    </row>
    <row r="302" spans="1:24" x14ac:dyDescent="0.3">
      <c r="A302" s="50" t="s">
        <v>477</v>
      </c>
      <c r="B302" s="41"/>
      <c r="C302" s="41"/>
      <c r="D302" s="42">
        <f>SUBTOTAL(9,D5:D300)</f>
        <v>2446741.7000000002</v>
      </c>
      <c r="E302" s="43"/>
      <c r="F302" s="43"/>
      <c r="G302" s="126"/>
      <c r="H302" s="127">
        <f>SUBTOTAL(9,H5:H300)</f>
        <v>1460564618.3000002</v>
      </c>
      <c r="I302" s="128">
        <f>SUBTOTAL(9,I5:I300)</f>
        <v>106774818.63000005</v>
      </c>
      <c r="J302" s="128">
        <f>SUBTOTAL(9,J5:J300)</f>
        <v>1567339436.9300001</v>
      </c>
      <c r="K302" s="44"/>
      <c r="L302" s="45"/>
      <c r="M302" s="45"/>
      <c r="N302" s="45"/>
      <c r="O302" s="46">
        <f>SUBTOTAL(9,O5:O300)</f>
        <v>2715353936.0430655</v>
      </c>
      <c r="P302" s="47"/>
      <c r="Q302" s="42">
        <f>SUBTOTAL(9,Q5:Q300)</f>
        <v>4002989597.5399995</v>
      </c>
      <c r="R302" s="48"/>
      <c r="S302" s="49"/>
      <c r="U302" s="112"/>
    </row>
    <row r="303" spans="1:24" x14ac:dyDescent="0.3">
      <c r="A303" s="50" t="s">
        <v>1011</v>
      </c>
      <c r="B303" s="41"/>
      <c r="C303" s="41"/>
      <c r="D303" s="51">
        <v>2446741.7000000002</v>
      </c>
      <c r="E303" s="43"/>
      <c r="F303" s="43"/>
      <c r="G303" s="126"/>
      <c r="H303" s="161">
        <f>H302</f>
        <v>1460564618.3000002</v>
      </c>
      <c r="I303" s="161">
        <f>I302</f>
        <v>106774818.63000005</v>
      </c>
      <c r="J303" s="161">
        <f>J302</f>
        <v>1567339436.9300001</v>
      </c>
      <c r="K303" s="53">
        <f>J303/$J$303</f>
        <v>1</v>
      </c>
      <c r="L303" s="45"/>
      <c r="M303" s="45"/>
      <c r="N303" s="45"/>
      <c r="O303" s="161">
        <f>O302</f>
        <v>2715353936.0430655</v>
      </c>
      <c r="P303" s="47"/>
      <c r="Q303" s="161">
        <f>Q302</f>
        <v>4002989597.5399995</v>
      </c>
      <c r="R303" s="57">
        <f t="shared" ref="R303:R334" si="79">O303/Q303</f>
        <v>0.67833149946524007</v>
      </c>
      <c r="S303" s="58">
        <f>Q303/Q367</f>
        <v>0.73866688565364724</v>
      </c>
      <c r="U303" s="112"/>
    </row>
    <row r="304" spans="1:24" x14ac:dyDescent="0.3">
      <c r="A304" s="40" t="str">
        <f>VLOOKUP(B304,Grupos!$A$2:$B$619,2,FALSE)</f>
        <v>BREAKERS</v>
      </c>
      <c r="B304" s="41" t="s">
        <v>481</v>
      </c>
      <c r="C304" s="41" t="s">
        <v>482</v>
      </c>
      <c r="D304" s="42">
        <v>1860</v>
      </c>
      <c r="E304" s="43">
        <v>5808.8315907531278</v>
      </c>
      <c r="F304" s="43"/>
      <c r="G304" s="126">
        <f t="shared" si="69"/>
        <v>5808.8315907531278</v>
      </c>
      <c r="H304" s="127">
        <f t="shared" si="70"/>
        <v>10804426.758800818</v>
      </c>
      <c r="I304" s="128">
        <f t="shared" ref="I304:I351" si="80">F304*D304</f>
        <v>0</v>
      </c>
      <c r="J304" s="128">
        <f t="shared" ref="J304:J351" si="81">G304*D304</f>
        <v>10804426.758800818</v>
      </c>
      <c r="K304" s="44">
        <f>J304/$J$352</f>
        <v>2.9380510121263644E-2</v>
      </c>
      <c r="L304" s="45"/>
      <c r="M304" s="45">
        <f t="shared" ref="M304:M351" si="82">F304*$M$372</f>
        <v>0</v>
      </c>
      <c r="N304" s="45">
        <f t="shared" si="76"/>
        <v>5808.8315907531278</v>
      </c>
      <c r="O304" s="46">
        <f t="shared" si="77"/>
        <v>10804426.758800818</v>
      </c>
      <c r="P304" s="47">
        <f t="shared" ref="P304:P351" si="83">Q304/D304</f>
        <v>6934.3548118279568</v>
      </c>
      <c r="Q304" s="42">
        <v>12897899.949999999</v>
      </c>
      <c r="R304" s="48">
        <f t="shared" si="79"/>
        <v>0.83768883311897746</v>
      </c>
      <c r="S304" s="49"/>
      <c r="U304" s="112"/>
    </row>
    <row r="305" spans="1:21" x14ac:dyDescent="0.3">
      <c r="A305" s="40" t="str">
        <f>VLOOKUP(B305,Grupos!$A$2:$B$619,2,FALSE)</f>
        <v>BREAKERS</v>
      </c>
      <c r="B305" s="41" t="s">
        <v>483</v>
      </c>
      <c r="C305" s="41" t="s">
        <v>484</v>
      </c>
      <c r="D305" s="42">
        <v>2508</v>
      </c>
      <c r="E305" s="43">
        <v>5815.0243200861933</v>
      </c>
      <c r="F305" s="43"/>
      <c r="G305" s="126">
        <f t="shared" si="69"/>
        <v>5815.0243200861933</v>
      </c>
      <c r="H305" s="127">
        <f t="shared" si="70"/>
        <v>14584080.994776173</v>
      </c>
      <c r="I305" s="128">
        <f t="shared" si="80"/>
        <v>0</v>
      </c>
      <c r="J305" s="128">
        <f t="shared" si="81"/>
        <v>14584080.994776173</v>
      </c>
      <c r="K305" s="44">
        <f t="shared" ref="K305:K352" si="84">J305/$J$352</f>
        <v>3.9658535232081848E-2</v>
      </c>
      <c r="L305" s="45"/>
      <c r="M305" s="45">
        <f t="shared" si="82"/>
        <v>0</v>
      </c>
      <c r="N305" s="45">
        <f t="shared" si="76"/>
        <v>5815.0243200861933</v>
      </c>
      <c r="O305" s="46">
        <f t="shared" si="77"/>
        <v>14584080.994776173</v>
      </c>
      <c r="P305" s="47">
        <f t="shared" si="83"/>
        <v>6875.8373205741627</v>
      </c>
      <c r="Q305" s="42">
        <v>17244600</v>
      </c>
      <c r="R305" s="48">
        <f t="shared" si="79"/>
        <v>0.84571871744060012</v>
      </c>
      <c r="S305" s="49"/>
      <c r="U305" s="112"/>
    </row>
    <row r="306" spans="1:21" x14ac:dyDescent="0.3">
      <c r="A306" s="40" t="str">
        <f>VLOOKUP(B306,Grupos!$A$2:$B$619,2,FALSE)</f>
        <v>BREAKERS</v>
      </c>
      <c r="B306" s="41" t="s">
        <v>485</v>
      </c>
      <c r="C306" s="41" t="s">
        <v>486</v>
      </c>
      <c r="D306" s="42">
        <v>25202</v>
      </c>
      <c r="E306" s="43">
        <v>5006.9822721338787</v>
      </c>
      <c r="F306" s="43"/>
      <c r="G306" s="126">
        <f t="shared" si="69"/>
        <v>5006.9822721338787</v>
      </c>
      <c r="H306" s="127">
        <f t="shared" si="70"/>
        <v>126185967.22231801</v>
      </c>
      <c r="I306" s="128">
        <f t="shared" si="80"/>
        <v>0</v>
      </c>
      <c r="J306" s="128">
        <f t="shared" si="81"/>
        <v>126185967.22231801</v>
      </c>
      <c r="K306" s="44">
        <f t="shared" si="84"/>
        <v>0.34313787949155772</v>
      </c>
      <c r="L306" s="45"/>
      <c r="M306" s="45">
        <f t="shared" si="82"/>
        <v>0</v>
      </c>
      <c r="N306" s="45">
        <f t="shared" si="76"/>
        <v>5006.9822721338787</v>
      </c>
      <c r="O306" s="46">
        <f t="shared" si="77"/>
        <v>126185967.22231801</v>
      </c>
      <c r="P306" s="47">
        <f t="shared" si="83"/>
        <v>6903.2457725577342</v>
      </c>
      <c r="Q306" s="42">
        <v>173975599.96000001</v>
      </c>
      <c r="R306" s="48">
        <f t="shared" si="79"/>
        <v>0.72530841825710235</v>
      </c>
      <c r="S306" s="49"/>
      <c r="U306" s="112"/>
    </row>
    <row r="307" spans="1:21" x14ac:dyDescent="0.3">
      <c r="A307" s="40" t="str">
        <f>VLOOKUP(B307,Grupos!$A$2:$B$619,2,FALSE)</f>
        <v>BREAKERS</v>
      </c>
      <c r="B307" s="41" t="s">
        <v>487</v>
      </c>
      <c r="C307" s="41" t="s">
        <v>488</v>
      </c>
      <c r="D307" s="42">
        <v>11328</v>
      </c>
      <c r="E307" s="43">
        <v>5006.9822721338787</v>
      </c>
      <c r="F307" s="43"/>
      <c r="G307" s="126">
        <f t="shared" si="69"/>
        <v>5006.9822721338787</v>
      </c>
      <c r="H307" s="127">
        <f t="shared" si="70"/>
        <v>56719095.178732581</v>
      </c>
      <c r="I307" s="128">
        <f t="shared" si="80"/>
        <v>0</v>
      </c>
      <c r="J307" s="128">
        <f t="shared" si="81"/>
        <v>56719095.178732581</v>
      </c>
      <c r="K307" s="44">
        <f t="shared" si="84"/>
        <v>0.1542364057963799</v>
      </c>
      <c r="L307" s="45"/>
      <c r="M307" s="45">
        <f t="shared" si="82"/>
        <v>0</v>
      </c>
      <c r="N307" s="45">
        <f t="shared" si="76"/>
        <v>5006.9822721338787</v>
      </c>
      <c r="O307" s="46">
        <f t="shared" si="77"/>
        <v>56719095.178732581</v>
      </c>
      <c r="P307" s="47">
        <f t="shared" si="83"/>
        <v>6947.9872881355932</v>
      </c>
      <c r="Q307" s="42">
        <v>78706800</v>
      </c>
      <c r="R307" s="48">
        <f t="shared" si="79"/>
        <v>0.72063779976739728</v>
      </c>
      <c r="S307" s="49"/>
      <c r="U307" s="112"/>
    </row>
    <row r="308" spans="1:21" x14ac:dyDescent="0.3">
      <c r="A308" s="40" t="str">
        <f>VLOOKUP(B308,Grupos!$A$2:$B$619,2,FALSE)</f>
        <v>BREAKERS</v>
      </c>
      <c r="B308" s="41" t="s">
        <v>489</v>
      </c>
      <c r="C308" s="41" t="s">
        <v>490</v>
      </c>
      <c r="D308" s="42">
        <v>3816</v>
      </c>
      <c r="E308" s="43">
        <v>5006.9822721338787</v>
      </c>
      <c r="F308" s="43"/>
      <c r="G308" s="126">
        <f t="shared" si="69"/>
        <v>5006.9822721338787</v>
      </c>
      <c r="H308" s="127">
        <f t="shared" si="70"/>
        <v>19106644.35046288</v>
      </c>
      <c r="I308" s="128">
        <f t="shared" si="80"/>
        <v>0</v>
      </c>
      <c r="J308" s="128">
        <f t="shared" si="81"/>
        <v>19106644.35046288</v>
      </c>
      <c r="K308" s="44">
        <f t="shared" si="84"/>
        <v>5.1956755342424582E-2</v>
      </c>
      <c r="L308" s="45"/>
      <c r="M308" s="45">
        <f t="shared" si="82"/>
        <v>0</v>
      </c>
      <c r="N308" s="45">
        <f t="shared" si="76"/>
        <v>5006.9822721338787</v>
      </c>
      <c r="O308" s="46">
        <f t="shared" si="77"/>
        <v>19106644.35046288</v>
      </c>
      <c r="P308" s="47">
        <f t="shared" si="83"/>
        <v>6942.6886766247371</v>
      </c>
      <c r="Q308" s="42">
        <v>26493299.989999998</v>
      </c>
      <c r="R308" s="48">
        <f t="shared" si="79"/>
        <v>0.72118778550330687</v>
      </c>
      <c r="S308" s="49"/>
      <c r="U308" s="112"/>
    </row>
    <row r="309" spans="1:21" x14ac:dyDescent="0.3">
      <c r="A309" s="40" t="str">
        <f>VLOOKUP(B309,Grupos!$A$2:$B$619,2,FALSE)</f>
        <v>BREAKERS</v>
      </c>
      <c r="B309" s="41" t="s">
        <v>491</v>
      </c>
      <c r="C309" s="41" t="s">
        <v>492</v>
      </c>
      <c r="D309" s="42">
        <v>2844</v>
      </c>
      <c r="E309" s="43">
        <v>4937.5</v>
      </c>
      <c r="F309" s="43"/>
      <c r="G309" s="126">
        <f t="shared" si="69"/>
        <v>4937.5</v>
      </c>
      <c r="H309" s="127">
        <f t="shared" si="70"/>
        <v>14042250</v>
      </c>
      <c r="I309" s="128">
        <f t="shared" si="80"/>
        <v>0</v>
      </c>
      <c r="J309" s="128">
        <f t="shared" si="81"/>
        <v>14042250</v>
      </c>
      <c r="K309" s="44">
        <f t="shared" si="84"/>
        <v>3.8185132581351811E-2</v>
      </c>
      <c r="L309" s="45"/>
      <c r="M309" s="45">
        <f t="shared" si="82"/>
        <v>0</v>
      </c>
      <c r="N309" s="45">
        <f t="shared" si="76"/>
        <v>4937.5</v>
      </c>
      <c r="O309" s="46">
        <f t="shared" si="77"/>
        <v>14042250</v>
      </c>
      <c r="P309" s="47">
        <f t="shared" si="83"/>
        <v>6946.835443037975</v>
      </c>
      <c r="Q309" s="42">
        <v>19756800</v>
      </c>
      <c r="R309" s="48">
        <f t="shared" si="79"/>
        <v>0.71075528425655976</v>
      </c>
      <c r="S309" s="49"/>
      <c r="U309" s="112"/>
    </row>
    <row r="310" spans="1:21" x14ac:dyDescent="0.3">
      <c r="A310" s="40" t="str">
        <f>VLOOKUP(B310,Grupos!$A$2:$B$619,2,FALSE)</f>
        <v>BREAKERS</v>
      </c>
      <c r="B310" s="41" t="s">
        <v>493</v>
      </c>
      <c r="C310" s="41" t="s">
        <v>494</v>
      </c>
      <c r="D310" s="42">
        <v>1188</v>
      </c>
      <c r="E310" s="43">
        <v>5322.0336488562234</v>
      </c>
      <c r="F310" s="43"/>
      <c r="G310" s="126">
        <f t="shared" si="69"/>
        <v>5322.0336488562234</v>
      </c>
      <c r="H310" s="127">
        <f t="shared" si="70"/>
        <v>6322575.9748411933</v>
      </c>
      <c r="I310" s="128">
        <f t="shared" si="80"/>
        <v>0</v>
      </c>
      <c r="J310" s="128">
        <f t="shared" si="81"/>
        <v>6322575.9748411933</v>
      </c>
      <c r="K310" s="44">
        <f t="shared" si="84"/>
        <v>1.7192999829441908E-2</v>
      </c>
      <c r="L310" s="45"/>
      <c r="M310" s="45">
        <f t="shared" si="82"/>
        <v>0</v>
      </c>
      <c r="N310" s="45">
        <f t="shared" si="76"/>
        <v>5322.0336488562234</v>
      </c>
      <c r="O310" s="46">
        <f t="shared" si="77"/>
        <v>6322575.9748411933</v>
      </c>
      <c r="P310" s="47">
        <f t="shared" si="83"/>
        <v>6932.8282744107746</v>
      </c>
      <c r="Q310" s="42">
        <v>8236199.9900000002</v>
      </c>
      <c r="R310" s="48">
        <f t="shared" si="79"/>
        <v>0.76765692704375343</v>
      </c>
      <c r="S310" s="49"/>
      <c r="U310" s="112"/>
    </row>
    <row r="311" spans="1:21" x14ac:dyDescent="0.3">
      <c r="A311" s="40" t="str">
        <f>VLOOKUP(B311,Grupos!$A$2:$B$619,2,FALSE)</f>
        <v>BREAKERS</v>
      </c>
      <c r="B311" s="41" t="s">
        <v>495</v>
      </c>
      <c r="C311" s="41" t="s">
        <v>496</v>
      </c>
      <c r="D311" s="42">
        <v>1428</v>
      </c>
      <c r="E311" s="43">
        <v>5255</v>
      </c>
      <c r="F311" s="43"/>
      <c r="G311" s="126">
        <f t="shared" si="69"/>
        <v>5255</v>
      </c>
      <c r="H311" s="127">
        <f t="shared" si="70"/>
        <v>7504140</v>
      </c>
      <c r="I311" s="128">
        <f t="shared" si="80"/>
        <v>0</v>
      </c>
      <c r="J311" s="128">
        <f t="shared" si="81"/>
        <v>7504140</v>
      </c>
      <c r="K311" s="44">
        <f t="shared" si="84"/>
        <v>2.0406030430239124E-2</v>
      </c>
      <c r="L311" s="45"/>
      <c r="M311" s="45">
        <f t="shared" si="82"/>
        <v>0</v>
      </c>
      <c r="N311" s="45">
        <f t="shared" si="76"/>
        <v>5255</v>
      </c>
      <c r="O311" s="46">
        <f t="shared" si="77"/>
        <v>7504140</v>
      </c>
      <c r="P311" s="47">
        <f t="shared" si="83"/>
        <v>6923.9495798319331</v>
      </c>
      <c r="Q311" s="42">
        <v>9887400</v>
      </c>
      <c r="R311" s="48">
        <f t="shared" si="79"/>
        <v>0.7589598883427392</v>
      </c>
      <c r="S311" s="49"/>
      <c r="U311" s="112"/>
    </row>
    <row r="312" spans="1:21" x14ac:dyDescent="0.3">
      <c r="A312" s="40" t="str">
        <f>VLOOKUP(B312,Grupos!$A$2:$B$619,2,FALSE)</f>
        <v>BREAKERS</v>
      </c>
      <c r="B312" s="41" t="s">
        <v>497</v>
      </c>
      <c r="C312" s="41" t="s">
        <v>498</v>
      </c>
      <c r="D312" s="42">
        <v>336</v>
      </c>
      <c r="E312" s="43">
        <v>6052.9657142857141</v>
      </c>
      <c r="F312" s="43"/>
      <c r="G312" s="126">
        <f t="shared" si="69"/>
        <v>6052.9657142857141</v>
      </c>
      <c r="H312" s="127">
        <f t="shared" si="70"/>
        <v>2033796.48</v>
      </c>
      <c r="I312" s="128">
        <f t="shared" si="80"/>
        <v>0</v>
      </c>
      <c r="J312" s="128">
        <f t="shared" si="81"/>
        <v>2033796.48</v>
      </c>
      <c r="K312" s="44">
        <f t="shared" si="84"/>
        <v>5.5305088737407906E-3</v>
      </c>
      <c r="L312" s="45"/>
      <c r="M312" s="45">
        <f t="shared" si="82"/>
        <v>0</v>
      </c>
      <c r="N312" s="45">
        <f t="shared" si="76"/>
        <v>6052.9657142857141</v>
      </c>
      <c r="O312" s="46">
        <f t="shared" si="77"/>
        <v>2033796.48</v>
      </c>
      <c r="P312" s="47">
        <f t="shared" si="83"/>
        <v>7003.5714285714284</v>
      </c>
      <c r="Q312" s="42">
        <v>2353200</v>
      </c>
      <c r="R312" s="48">
        <f t="shared" si="79"/>
        <v>0.86426843447220802</v>
      </c>
      <c r="S312" s="49"/>
      <c r="U312" s="112"/>
    </row>
    <row r="313" spans="1:21" x14ac:dyDescent="0.3">
      <c r="A313" s="40" t="str">
        <f>VLOOKUP(B313,Grupos!$A$2:$B$619,2,FALSE)</f>
        <v>BREAKERS</v>
      </c>
      <c r="B313" s="41" t="s">
        <v>499</v>
      </c>
      <c r="C313" s="41" t="s">
        <v>500</v>
      </c>
      <c r="D313" s="42">
        <v>132</v>
      </c>
      <c r="E313" s="43">
        <v>5255</v>
      </c>
      <c r="F313" s="43"/>
      <c r="G313" s="126">
        <f t="shared" si="69"/>
        <v>5255</v>
      </c>
      <c r="H313" s="127">
        <f t="shared" si="70"/>
        <v>693660</v>
      </c>
      <c r="I313" s="128">
        <f t="shared" si="80"/>
        <v>0</v>
      </c>
      <c r="J313" s="128">
        <f t="shared" si="81"/>
        <v>693660</v>
      </c>
      <c r="K313" s="44">
        <f t="shared" si="84"/>
        <v>1.8862717204422722E-3</v>
      </c>
      <c r="L313" s="45"/>
      <c r="M313" s="45">
        <f t="shared" si="82"/>
        <v>0</v>
      </c>
      <c r="N313" s="45">
        <f t="shared" si="76"/>
        <v>5255</v>
      </c>
      <c r="O313" s="46">
        <f t="shared" si="77"/>
        <v>693660</v>
      </c>
      <c r="P313" s="47">
        <f t="shared" si="83"/>
        <v>6872.727272727273</v>
      </c>
      <c r="Q313" s="42">
        <v>907200</v>
      </c>
      <c r="R313" s="48">
        <f t="shared" si="79"/>
        <v>0.76461640211640214</v>
      </c>
      <c r="S313" s="49"/>
      <c r="U313" s="112"/>
    </row>
    <row r="314" spans="1:21" x14ac:dyDescent="0.3">
      <c r="A314" s="40" t="str">
        <f>VLOOKUP(B314,Grupos!$A$2:$B$619,2,FALSE)</f>
        <v>BREAKERS</v>
      </c>
      <c r="B314" s="41" t="s">
        <v>501</v>
      </c>
      <c r="C314" s="41" t="s">
        <v>502</v>
      </c>
      <c r="D314" s="42">
        <v>108</v>
      </c>
      <c r="E314" s="43">
        <v>6066.47</v>
      </c>
      <c r="F314" s="43"/>
      <c r="G314" s="126">
        <f t="shared" si="69"/>
        <v>6066.47</v>
      </c>
      <c r="H314" s="127">
        <f t="shared" si="70"/>
        <v>655178.76</v>
      </c>
      <c r="I314" s="128">
        <f t="shared" si="80"/>
        <v>0</v>
      </c>
      <c r="J314" s="128">
        <f t="shared" si="81"/>
        <v>655178.76</v>
      </c>
      <c r="K314" s="44">
        <f t="shared" si="84"/>
        <v>1.7816295689854315E-3</v>
      </c>
      <c r="L314" s="45"/>
      <c r="M314" s="45">
        <f t="shared" si="82"/>
        <v>0</v>
      </c>
      <c r="N314" s="45">
        <f t="shared" si="76"/>
        <v>6066.47</v>
      </c>
      <c r="O314" s="46">
        <f t="shared" si="77"/>
        <v>655178.76</v>
      </c>
      <c r="P314" s="47">
        <f t="shared" si="83"/>
        <v>6955.5555555555557</v>
      </c>
      <c r="Q314" s="42">
        <v>751200</v>
      </c>
      <c r="R314" s="48">
        <f t="shared" si="79"/>
        <v>0.87217619808306712</v>
      </c>
      <c r="S314" s="49"/>
      <c r="U314" s="112"/>
    </row>
    <row r="315" spans="1:21" x14ac:dyDescent="0.3">
      <c r="A315" s="40" t="str">
        <f>VLOOKUP(B315,Grupos!$A$2:$B$619,2,FALSE)</f>
        <v>BREAKERS</v>
      </c>
      <c r="B315" s="41" t="s">
        <v>503</v>
      </c>
      <c r="C315" s="41" t="s">
        <v>504</v>
      </c>
      <c r="D315" s="42">
        <v>60</v>
      </c>
      <c r="E315" s="43">
        <v>6093.0433333333331</v>
      </c>
      <c r="F315" s="43"/>
      <c r="G315" s="126">
        <f t="shared" si="69"/>
        <v>6093.0433333333331</v>
      </c>
      <c r="H315" s="127">
        <f t="shared" si="70"/>
        <v>365582.6</v>
      </c>
      <c r="I315" s="128">
        <f t="shared" si="80"/>
        <v>0</v>
      </c>
      <c r="J315" s="128">
        <f t="shared" si="81"/>
        <v>365582.6</v>
      </c>
      <c r="K315" s="44">
        <f t="shared" si="84"/>
        <v>9.9412986169846742E-4</v>
      </c>
      <c r="L315" s="45"/>
      <c r="M315" s="45">
        <f t="shared" si="82"/>
        <v>0</v>
      </c>
      <c r="N315" s="45">
        <f t="shared" si="76"/>
        <v>6093.0433333333331</v>
      </c>
      <c r="O315" s="46">
        <f t="shared" si="77"/>
        <v>365582.6</v>
      </c>
      <c r="P315" s="47">
        <f t="shared" si="83"/>
        <v>6960</v>
      </c>
      <c r="Q315" s="42">
        <v>417600</v>
      </c>
      <c r="R315" s="48">
        <f t="shared" si="79"/>
        <v>0.87543726053639837</v>
      </c>
      <c r="S315" s="49"/>
      <c r="U315" s="112"/>
    </row>
    <row r="316" spans="1:21" x14ac:dyDescent="0.3">
      <c r="A316" s="40" t="str">
        <f>VLOOKUP(B316,Grupos!$A$2:$B$619,2,FALSE)</f>
        <v>BREAKERS</v>
      </c>
      <c r="B316" s="41" t="s">
        <v>505</v>
      </c>
      <c r="C316" s="41" t="s">
        <v>506</v>
      </c>
      <c r="D316" s="42">
        <v>180</v>
      </c>
      <c r="E316" s="43">
        <v>11626.752</v>
      </c>
      <c r="F316" s="43"/>
      <c r="G316" s="126">
        <f t="shared" si="69"/>
        <v>11626.752</v>
      </c>
      <c r="H316" s="127">
        <f t="shared" si="70"/>
        <v>2092815.3600000001</v>
      </c>
      <c r="I316" s="128">
        <f t="shared" si="80"/>
        <v>0</v>
      </c>
      <c r="J316" s="128">
        <f t="shared" si="81"/>
        <v>2092815.3600000001</v>
      </c>
      <c r="K316" s="44">
        <f t="shared" si="84"/>
        <v>5.6909990913058461E-3</v>
      </c>
      <c r="L316" s="45"/>
      <c r="M316" s="45">
        <f t="shared" si="82"/>
        <v>0</v>
      </c>
      <c r="N316" s="45">
        <f t="shared" si="76"/>
        <v>11626.752</v>
      </c>
      <c r="O316" s="46">
        <f t="shared" si="77"/>
        <v>2092815.3600000001</v>
      </c>
      <c r="P316" s="47">
        <f t="shared" si="83"/>
        <v>14670</v>
      </c>
      <c r="Q316" s="42">
        <v>2640600</v>
      </c>
      <c r="R316" s="48">
        <f t="shared" si="79"/>
        <v>0.79255296523517382</v>
      </c>
      <c r="S316" s="49"/>
      <c r="U316" s="112"/>
    </row>
    <row r="317" spans="1:21" x14ac:dyDescent="0.3">
      <c r="A317" s="40" t="str">
        <f>VLOOKUP(B317,Grupos!$A$2:$B$619,2,FALSE)</f>
        <v>BREAKERS</v>
      </c>
      <c r="B317" s="41" t="s">
        <v>507</v>
      </c>
      <c r="C317" s="41" t="s">
        <v>1071</v>
      </c>
      <c r="D317" s="42">
        <v>6</v>
      </c>
      <c r="E317" s="43">
        <v>11648.010689655173</v>
      </c>
      <c r="F317" s="43"/>
      <c r="G317" s="126">
        <f t="shared" si="69"/>
        <v>11648.010689655173</v>
      </c>
      <c r="H317" s="127">
        <f t="shared" si="70"/>
        <v>69888.06413793104</v>
      </c>
      <c r="I317" s="128">
        <f t="shared" si="80"/>
        <v>0</v>
      </c>
      <c r="J317" s="128">
        <f t="shared" si="81"/>
        <v>69888.06413793104</v>
      </c>
      <c r="K317" s="44">
        <f t="shared" si="84"/>
        <v>1.9004682262179604E-4</v>
      </c>
      <c r="L317" s="45"/>
      <c r="M317" s="45">
        <f t="shared" si="82"/>
        <v>0</v>
      </c>
      <c r="N317" s="45">
        <f t="shared" si="76"/>
        <v>11648.010689655173</v>
      </c>
      <c r="O317" s="46">
        <f t="shared" si="77"/>
        <v>69888.06413793104</v>
      </c>
      <c r="P317" s="47">
        <f t="shared" si="83"/>
        <v>14600</v>
      </c>
      <c r="Q317" s="42">
        <v>87600</v>
      </c>
      <c r="R317" s="48">
        <f t="shared" si="79"/>
        <v>0.79780895134624474</v>
      </c>
      <c r="S317" s="49"/>
      <c r="U317" s="112"/>
    </row>
    <row r="318" spans="1:21" x14ac:dyDescent="0.3">
      <c r="A318" s="40" t="str">
        <f>VLOOKUP(B318,Grupos!$A$2:$B$619,2,FALSE)</f>
        <v>BREAKERS</v>
      </c>
      <c r="B318" s="41" t="s">
        <v>508</v>
      </c>
      <c r="C318" s="41" t="s">
        <v>509</v>
      </c>
      <c r="D318" s="42">
        <v>2346</v>
      </c>
      <c r="E318" s="43">
        <v>10013.631210934424</v>
      </c>
      <c r="F318" s="43"/>
      <c r="G318" s="126">
        <f t="shared" si="69"/>
        <v>10013.631210934424</v>
      </c>
      <c r="H318" s="127">
        <f t="shared" si="70"/>
        <v>23491978.820852157</v>
      </c>
      <c r="I318" s="128">
        <f t="shared" si="80"/>
        <v>0</v>
      </c>
      <c r="J318" s="128">
        <f t="shared" si="81"/>
        <v>23491978.820852157</v>
      </c>
      <c r="K318" s="44">
        <f t="shared" si="84"/>
        <v>6.3881808533002071E-2</v>
      </c>
      <c r="L318" s="45"/>
      <c r="M318" s="45">
        <f t="shared" si="82"/>
        <v>0</v>
      </c>
      <c r="N318" s="45">
        <f t="shared" si="76"/>
        <v>10013.631210934424</v>
      </c>
      <c r="O318" s="46">
        <f t="shared" si="77"/>
        <v>23491978.820852157</v>
      </c>
      <c r="P318" s="47">
        <f t="shared" si="83"/>
        <v>15059.910464620632</v>
      </c>
      <c r="Q318" s="42">
        <v>35330549.950000003</v>
      </c>
      <c r="R318" s="48">
        <f t="shared" si="79"/>
        <v>0.66491970416815305</v>
      </c>
      <c r="S318" s="49"/>
      <c r="U318" s="112"/>
    </row>
    <row r="319" spans="1:21" x14ac:dyDescent="0.3">
      <c r="A319" s="40" t="str">
        <f>VLOOKUP(B319,Grupos!$A$2:$B$619,2,FALSE)</f>
        <v>BREAKERS</v>
      </c>
      <c r="B319" s="41" t="s">
        <v>510</v>
      </c>
      <c r="C319" s="41" t="s">
        <v>511</v>
      </c>
      <c r="D319" s="42">
        <v>2352</v>
      </c>
      <c r="E319" s="43">
        <v>9887</v>
      </c>
      <c r="F319" s="43"/>
      <c r="G319" s="126">
        <f t="shared" si="69"/>
        <v>9887</v>
      </c>
      <c r="H319" s="127">
        <f t="shared" si="70"/>
        <v>23254224</v>
      </c>
      <c r="I319" s="128">
        <f t="shared" si="80"/>
        <v>0</v>
      </c>
      <c r="J319" s="128">
        <f t="shared" si="81"/>
        <v>23254224</v>
      </c>
      <c r="K319" s="44">
        <f t="shared" si="84"/>
        <v>6.3235281134893143E-2</v>
      </c>
      <c r="L319" s="45"/>
      <c r="M319" s="45">
        <f t="shared" si="82"/>
        <v>0</v>
      </c>
      <c r="N319" s="45">
        <f t="shared" si="76"/>
        <v>9887</v>
      </c>
      <c r="O319" s="46">
        <f t="shared" si="77"/>
        <v>23254224</v>
      </c>
      <c r="P319" s="47">
        <f t="shared" si="83"/>
        <v>14505.357142857143</v>
      </c>
      <c r="Q319" s="42">
        <v>34116600</v>
      </c>
      <c r="R319" s="48">
        <f t="shared" si="79"/>
        <v>0.68161024252123603</v>
      </c>
      <c r="S319" s="49"/>
      <c r="U319" s="112"/>
    </row>
    <row r="320" spans="1:21" x14ac:dyDescent="0.3">
      <c r="A320" s="40" t="str">
        <f>VLOOKUP(B320,Grupos!$A$2:$B$619,2,FALSE)</f>
        <v>BREAKERS</v>
      </c>
      <c r="B320" s="41" t="s">
        <v>512</v>
      </c>
      <c r="C320" s="41" t="s">
        <v>513</v>
      </c>
      <c r="D320" s="42">
        <v>1032</v>
      </c>
      <c r="E320" s="43">
        <v>10013.631210934424</v>
      </c>
      <c r="F320" s="43"/>
      <c r="G320" s="126">
        <f t="shared" si="69"/>
        <v>10013.631210934424</v>
      </c>
      <c r="H320" s="127">
        <f t="shared" si="70"/>
        <v>10334067.409684325</v>
      </c>
      <c r="I320" s="128">
        <f t="shared" si="80"/>
        <v>0</v>
      </c>
      <c r="J320" s="128">
        <f t="shared" si="81"/>
        <v>10334067.409684325</v>
      </c>
      <c r="K320" s="44">
        <f t="shared" si="84"/>
        <v>2.8101460531141573E-2</v>
      </c>
      <c r="L320" s="45"/>
      <c r="M320" s="45">
        <f t="shared" si="82"/>
        <v>0</v>
      </c>
      <c r="N320" s="45">
        <f t="shared" si="76"/>
        <v>10013.631210934424</v>
      </c>
      <c r="O320" s="46">
        <f t="shared" si="77"/>
        <v>10334067.409684325</v>
      </c>
      <c r="P320" s="47">
        <f t="shared" si="83"/>
        <v>14829.738362403101</v>
      </c>
      <c r="Q320" s="42">
        <v>15304289.99</v>
      </c>
      <c r="R320" s="48">
        <f t="shared" si="79"/>
        <v>0.67523991092933577</v>
      </c>
      <c r="S320" s="49"/>
      <c r="U320" s="112"/>
    </row>
    <row r="321" spans="1:21" x14ac:dyDescent="0.3">
      <c r="A321" s="40" t="str">
        <f>VLOOKUP(B321,Grupos!$A$2:$B$619,2,FALSE)</f>
        <v>BREAKERS</v>
      </c>
      <c r="B321" s="41" t="s">
        <v>514</v>
      </c>
      <c r="C321" s="41" t="s">
        <v>515</v>
      </c>
      <c r="D321" s="42">
        <v>450</v>
      </c>
      <c r="E321" s="43">
        <v>9874.5</v>
      </c>
      <c r="F321" s="43"/>
      <c r="G321" s="126">
        <f t="shared" si="69"/>
        <v>9874.5</v>
      </c>
      <c r="H321" s="127">
        <f t="shared" si="70"/>
        <v>4443525</v>
      </c>
      <c r="I321" s="128">
        <f t="shared" si="80"/>
        <v>0</v>
      </c>
      <c r="J321" s="128">
        <f t="shared" si="81"/>
        <v>4443525</v>
      </c>
      <c r="K321" s="44">
        <f t="shared" si="84"/>
        <v>1.2083290872442186E-2</v>
      </c>
      <c r="L321" s="45"/>
      <c r="M321" s="45">
        <f t="shared" si="82"/>
        <v>0</v>
      </c>
      <c r="N321" s="45">
        <f t="shared" si="76"/>
        <v>9874.5</v>
      </c>
      <c r="O321" s="46">
        <f t="shared" si="77"/>
        <v>4443525</v>
      </c>
      <c r="P321" s="47">
        <f t="shared" si="83"/>
        <v>14750.666666666666</v>
      </c>
      <c r="Q321" s="42">
        <v>6637800</v>
      </c>
      <c r="R321" s="48">
        <f t="shared" si="79"/>
        <v>0.66942737051432699</v>
      </c>
      <c r="S321" s="49"/>
      <c r="U321" s="112"/>
    </row>
    <row r="322" spans="1:21" x14ac:dyDescent="0.3">
      <c r="A322" s="40" t="str">
        <f>VLOOKUP(B322,Grupos!$A$2:$B$619,2,FALSE)</f>
        <v>BREAKERS</v>
      </c>
      <c r="B322" s="41" t="s">
        <v>516</v>
      </c>
      <c r="C322" s="41" t="s">
        <v>517</v>
      </c>
      <c r="D322" s="42">
        <v>456</v>
      </c>
      <c r="E322" s="43">
        <v>10644.400631045779</v>
      </c>
      <c r="F322" s="43"/>
      <c r="G322" s="126">
        <f t="shared" si="69"/>
        <v>10644.400631045779</v>
      </c>
      <c r="H322" s="127">
        <f t="shared" si="70"/>
        <v>4853846.6877568755</v>
      </c>
      <c r="I322" s="128">
        <f t="shared" si="80"/>
        <v>0</v>
      </c>
      <c r="J322" s="128">
        <f t="shared" si="81"/>
        <v>4853846.6877568755</v>
      </c>
      <c r="K322" s="44">
        <f t="shared" si="84"/>
        <v>1.3199079869789502E-2</v>
      </c>
      <c r="L322" s="45"/>
      <c r="M322" s="45">
        <f t="shared" si="82"/>
        <v>0</v>
      </c>
      <c r="N322" s="45">
        <f t="shared" si="76"/>
        <v>10644.400631045779</v>
      </c>
      <c r="O322" s="46">
        <f t="shared" si="77"/>
        <v>4853846.6877568755</v>
      </c>
      <c r="P322" s="47">
        <f t="shared" si="83"/>
        <v>14771.052631578947</v>
      </c>
      <c r="Q322" s="42">
        <v>6735600</v>
      </c>
      <c r="R322" s="48">
        <f t="shared" si="79"/>
        <v>0.72062573308344846</v>
      </c>
      <c r="S322" s="49"/>
      <c r="U322" s="112"/>
    </row>
    <row r="323" spans="1:21" x14ac:dyDescent="0.3">
      <c r="A323" s="40" t="str">
        <f>VLOOKUP(B323,Grupos!$A$2:$B$619,2,FALSE)</f>
        <v>BREAKERS</v>
      </c>
      <c r="B323" s="41" t="s">
        <v>518</v>
      </c>
      <c r="C323" s="41" t="s">
        <v>519</v>
      </c>
      <c r="D323" s="42">
        <v>972</v>
      </c>
      <c r="E323" s="43">
        <v>12071.710467310158</v>
      </c>
      <c r="F323" s="43"/>
      <c r="G323" s="126">
        <f t="shared" si="69"/>
        <v>12071.710467310158</v>
      </c>
      <c r="H323" s="127">
        <f t="shared" si="70"/>
        <v>11733702.574225474</v>
      </c>
      <c r="I323" s="128">
        <f t="shared" si="80"/>
        <v>0</v>
      </c>
      <c r="J323" s="128">
        <f t="shared" si="81"/>
        <v>11733702.574225474</v>
      </c>
      <c r="K323" s="44">
        <f t="shared" si="84"/>
        <v>3.1907492635934322E-2</v>
      </c>
      <c r="L323" s="45"/>
      <c r="M323" s="45">
        <f t="shared" si="82"/>
        <v>0</v>
      </c>
      <c r="N323" s="45">
        <f t="shared" si="76"/>
        <v>12071.710467310158</v>
      </c>
      <c r="O323" s="46">
        <f t="shared" si="77"/>
        <v>11733702.574225474</v>
      </c>
      <c r="P323" s="47">
        <f t="shared" si="83"/>
        <v>15040.123456790123</v>
      </c>
      <c r="Q323" s="42">
        <v>14619000</v>
      </c>
      <c r="R323" s="48">
        <f t="shared" si="79"/>
        <v>0.80263373515462577</v>
      </c>
      <c r="S323" s="49"/>
      <c r="U323" s="112"/>
    </row>
    <row r="324" spans="1:21" x14ac:dyDescent="0.3">
      <c r="A324" s="40" t="str">
        <f>VLOOKUP(B324,Grupos!$A$2:$B$619,2,FALSE)</f>
        <v>BREAKERS</v>
      </c>
      <c r="B324" s="41" t="s">
        <v>520</v>
      </c>
      <c r="C324" s="41" t="s">
        <v>521</v>
      </c>
      <c r="D324" s="42">
        <v>108</v>
      </c>
      <c r="E324" s="43">
        <v>11981.988311688312</v>
      </c>
      <c r="F324" s="43"/>
      <c r="G324" s="126">
        <f t="shared" si="69"/>
        <v>11981.988311688312</v>
      </c>
      <c r="H324" s="127">
        <f t="shared" si="70"/>
        <v>1294054.7376623377</v>
      </c>
      <c r="I324" s="128">
        <f t="shared" si="80"/>
        <v>0</v>
      </c>
      <c r="J324" s="128">
        <f t="shared" si="81"/>
        <v>1294054.7376623377</v>
      </c>
      <c r="K324" s="44">
        <f t="shared" si="84"/>
        <v>3.5189269330173439E-3</v>
      </c>
      <c r="L324" s="45"/>
      <c r="M324" s="45">
        <f t="shared" si="82"/>
        <v>0</v>
      </c>
      <c r="N324" s="45">
        <f t="shared" si="76"/>
        <v>11981.988311688312</v>
      </c>
      <c r="O324" s="46">
        <f t="shared" si="77"/>
        <v>1294054.7376623377</v>
      </c>
      <c r="P324" s="47">
        <f t="shared" si="83"/>
        <v>14733.333333333334</v>
      </c>
      <c r="Q324" s="42">
        <v>1591200</v>
      </c>
      <c r="R324" s="48">
        <f t="shared" si="79"/>
        <v>0.81325712522771354</v>
      </c>
      <c r="S324" s="49"/>
      <c r="U324" s="112"/>
    </row>
    <row r="325" spans="1:21" x14ac:dyDescent="0.3">
      <c r="A325" s="40" t="str">
        <f>VLOOKUP(B325,Grupos!$A$2:$B$619,2,FALSE)</f>
        <v>BREAKERS</v>
      </c>
      <c r="B325" s="41" t="s">
        <v>522</v>
      </c>
      <c r="C325" s="41" t="s">
        <v>523</v>
      </c>
      <c r="D325" s="42">
        <v>144</v>
      </c>
      <c r="E325" s="43">
        <v>10940.201893137339</v>
      </c>
      <c r="F325" s="43"/>
      <c r="G325" s="126">
        <f t="shared" si="69"/>
        <v>10940.201893137339</v>
      </c>
      <c r="H325" s="127">
        <f t="shared" si="70"/>
        <v>1575389.0726117766</v>
      </c>
      <c r="I325" s="128">
        <f t="shared" si="80"/>
        <v>0</v>
      </c>
      <c r="J325" s="128">
        <f t="shared" si="81"/>
        <v>1575389.0726117766</v>
      </c>
      <c r="K325" s="44">
        <f t="shared" si="84"/>
        <v>4.2839602346414259E-3</v>
      </c>
      <c r="L325" s="45"/>
      <c r="M325" s="45">
        <f t="shared" si="82"/>
        <v>0</v>
      </c>
      <c r="N325" s="45">
        <f t="shared" si="76"/>
        <v>10940.201893137339</v>
      </c>
      <c r="O325" s="46">
        <f t="shared" si="77"/>
        <v>1575389.0726117766</v>
      </c>
      <c r="P325" s="47">
        <f t="shared" si="83"/>
        <v>14487.5</v>
      </c>
      <c r="Q325" s="42">
        <v>2086200</v>
      </c>
      <c r="R325" s="48">
        <f t="shared" si="79"/>
        <v>0.75514767165745211</v>
      </c>
      <c r="S325" s="49"/>
      <c r="U325" s="112"/>
    </row>
    <row r="326" spans="1:21" x14ac:dyDescent="0.3">
      <c r="A326" s="40" t="str">
        <f>VLOOKUP(B326,Grupos!$A$2:$B$619,2,FALSE)</f>
        <v>BREAKERS</v>
      </c>
      <c r="B326" s="41" t="s">
        <v>524</v>
      </c>
      <c r="C326" s="41" t="s">
        <v>525</v>
      </c>
      <c r="D326" s="42">
        <v>36</v>
      </c>
      <c r="E326" s="43">
        <v>12107.165217391304</v>
      </c>
      <c r="F326" s="43"/>
      <c r="G326" s="126">
        <f t="shared" si="69"/>
        <v>12107.165217391304</v>
      </c>
      <c r="H326" s="127">
        <f t="shared" si="70"/>
        <v>435857.94782608695</v>
      </c>
      <c r="I326" s="128">
        <f t="shared" si="80"/>
        <v>0</v>
      </c>
      <c r="J326" s="128">
        <f t="shared" si="81"/>
        <v>435857.94782608695</v>
      </c>
      <c r="K326" s="44">
        <f t="shared" si="84"/>
        <v>1.1852298260161334E-3</v>
      </c>
      <c r="L326" s="45"/>
      <c r="M326" s="45">
        <f t="shared" si="82"/>
        <v>0</v>
      </c>
      <c r="N326" s="45">
        <f t="shared" si="76"/>
        <v>12107.165217391304</v>
      </c>
      <c r="O326" s="46">
        <f t="shared" si="77"/>
        <v>435857.94782608695</v>
      </c>
      <c r="P326" s="47">
        <f t="shared" si="83"/>
        <v>14750</v>
      </c>
      <c r="Q326" s="42">
        <v>531000</v>
      </c>
      <c r="R326" s="48">
        <f t="shared" si="79"/>
        <v>0.82082476050110542</v>
      </c>
      <c r="S326" s="49"/>
      <c r="U326" s="112"/>
    </row>
    <row r="327" spans="1:21" x14ac:dyDescent="0.3">
      <c r="A327" s="40" t="str">
        <f>VLOOKUP(B327,Grupos!$A$2:$B$619,2,FALSE)</f>
        <v>BREAKERS</v>
      </c>
      <c r="B327" s="41" t="s">
        <v>526</v>
      </c>
      <c r="C327" s="41" t="s">
        <v>527</v>
      </c>
      <c r="D327" s="42">
        <v>108</v>
      </c>
      <c r="E327" s="43">
        <v>10644.400631045779</v>
      </c>
      <c r="F327" s="43"/>
      <c r="G327" s="126">
        <f t="shared" si="69"/>
        <v>10644.400631045779</v>
      </c>
      <c r="H327" s="127">
        <f t="shared" si="70"/>
        <v>1149595.268152944</v>
      </c>
      <c r="I327" s="128">
        <f t="shared" si="80"/>
        <v>0</v>
      </c>
      <c r="J327" s="128">
        <f t="shared" si="81"/>
        <v>1149595.268152944</v>
      </c>
      <c r="K327" s="44">
        <f t="shared" si="84"/>
        <v>3.126097863897513E-3</v>
      </c>
      <c r="L327" s="45"/>
      <c r="M327" s="45">
        <f t="shared" si="82"/>
        <v>0</v>
      </c>
      <c r="N327" s="45">
        <f t="shared" si="76"/>
        <v>10644.400631045779</v>
      </c>
      <c r="O327" s="46">
        <f t="shared" si="77"/>
        <v>1149595.268152944</v>
      </c>
      <c r="P327" s="47">
        <f t="shared" si="83"/>
        <v>14283.333333333334</v>
      </c>
      <c r="Q327" s="42">
        <v>1542600</v>
      </c>
      <c r="R327" s="48">
        <f t="shared" si="79"/>
        <v>0.74523224954812917</v>
      </c>
      <c r="S327" s="49"/>
      <c r="U327" s="112"/>
    </row>
    <row r="328" spans="1:21" x14ac:dyDescent="0.3">
      <c r="A328" s="40" t="str">
        <f>VLOOKUP(B328,Grupos!$A$2:$B$619,2,FALSE)</f>
        <v>BREAKERS</v>
      </c>
      <c r="B328" s="41" t="s">
        <v>528</v>
      </c>
      <c r="C328" s="41" t="s">
        <v>529</v>
      </c>
      <c r="D328" s="42">
        <v>12</v>
      </c>
      <c r="E328" s="43">
        <v>17348.938399999999</v>
      </c>
      <c r="F328" s="43"/>
      <c r="G328" s="126">
        <f t="shared" si="69"/>
        <v>17348.938399999999</v>
      </c>
      <c r="H328" s="127">
        <f t="shared" si="70"/>
        <v>208187.26079999999</v>
      </c>
      <c r="I328" s="128">
        <f t="shared" si="80"/>
        <v>0</v>
      </c>
      <c r="J328" s="128">
        <f t="shared" si="81"/>
        <v>208187.26079999999</v>
      </c>
      <c r="K328" s="44">
        <f t="shared" si="84"/>
        <v>5.6612424329409211E-4</v>
      </c>
      <c r="L328" s="45"/>
      <c r="M328" s="45">
        <f t="shared" si="82"/>
        <v>0</v>
      </c>
      <c r="N328" s="45">
        <f t="shared" si="76"/>
        <v>17348.938399999999</v>
      </c>
      <c r="O328" s="46">
        <f t="shared" si="77"/>
        <v>208187.26079999999</v>
      </c>
      <c r="P328" s="47">
        <f t="shared" si="83"/>
        <v>23500</v>
      </c>
      <c r="Q328" s="42">
        <v>282000</v>
      </c>
      <c r="R328" s="48">
        <f t="shared" si="79"/>
        <v>0.73825269787234038</v>
      </c>
      <c r="S328" s="49"/>
      <c r="U328" s="112"/>
    </row>
    <row r="329" spans="1:21" x14ac:dyDescent="0.3">
      <c r="A329" s="40" t="str">
        <f>VLOOKUP(B329,Grupos!$A$2:$B$619,2,FALSE)</f>
        <v>BREAKERS</v>
      </c>
      <c r="B329" s="41" t="s">
        <v>530</v>
      </c>
      <c r="C329" s="41" t="s">
        <v>531</v>
      </c>
      <c r="D329" s="42">
        <v>8</v>
      </c>
      <c r="E329" s="43">
        <v>15437.840449204912</v>
      </c>
      <c r="F329" s="43"/>
      <c r="G329" s="126">
        <f t="shared" si="69"/>
        <v>15437.840449204912</v>
      </c>
      <c r="H329" s="127">
        <f t="shared" si="70"/>
        <v>123502.7235936393</v>
      </c>
      <c r="I329" s="128">
        <f t="shared" si="80"/>
        <v>0</v>
      </c>
      <c r="J329" s="128">
        <f t="shared" si="81"/>
        <v>123502.7235936393</v>
      </c>
      <c r="K329" s="44">
        <f t="shared" si="84"/>
        <v>3.3584132703670438E-4</v>
      </c>
      <c r="L329" s="45"/>
      <c r="M329" s="45">
        <f t="shared" si="82"/>
        <v>0</v>
      </c>
      <c r="N329" s="45">
        <f t="shared" si="76"/>
        <v>15437.840449204912</v>
      </c>
      <c r="O329" s="46">
        <f t="shared" si="77"/>
        <v>123502.7235936393</v>
      </c>
      <c r="P329" s="47">
        <f t="shared" si="83"/>
        <v>23700</v>
      </c>
      <c r="Q329" s="42">
        <v>189600</v>
      </c>
      <c r="R329" s="48">
        <f t="shared" si="79"/>
        <v>0.6513856729622326</v>
      </c>
      <c r="S329" s="49"/>
      <c r="U329" s="112"/>
    </row>
    <row r="330" spans="1:21" x14ac:dyDescent="0.3">
      <c r="A330" s="40" t="str">
        <f>VLOOKUP(B330,Grupos!$A$2:$B$619,2,FALSE)</f>
        <v>BREAKERS</v>
      </c>
      <c r="B330" s="41" t="s">
        <v>532</v>
      </c>
      <c r="C330" s="41" t="s">
        <v>533</v>
      </c>
      <c r="D330" s="42">
        <v>84</v>
      </c>
      <c r="E330" s="43">
        <v>14792</v>
      </c>
      <c r="F330" s="43"/>
      <c r="G330" s="126">
        <f t="shared" si="69"/>
        <v>14792</v>
      </c>
      <c r="H330" s="127">
        <f t="shared" si="70"/>
        <v>1242528</v>
      </c>
      <c r="I330" s="128">
        <f t="shared" si="80"/>
        <v>0</v>
      </c>
      <c r="J330" s="128">
        <f t="shared" si="81"/>
        <v>1242528</v>
      </c>
      <c r="K330" s="44">
        <f t="shared" si="84"/>
        <v>3.378810120603315E-3</v>
      </c>
      <c r="L330" s="45"/>
      <c r="M330" s="45">
        <f t="shared" si="82"/>
        <v>0</v>
      </c>
      <c r="N330" s="45">
        <f t="shared" si="76"/>
        <v>14792</v>
      </c>
      <c r="O330" s="46">
        <f t="shared" si="77"/>
        <v>1242528</v>
      </c>
      <c r="P330" s="47">
        <f t="shared" si="83"/>
        <v>23552.380952380954</v>
      </c>
      <c r="Q330" s="42">
        <v>1978400</v>
      </c>
      <c r="R330" s="48">
        <f t="shared" si="79"/>
        <v>0.62804690659118478</v>
      </c>
      <c r="S330" s="49"/>
      <c r="U330" s="112"/>
    </row>
    <row r="331" spans="1:21" x14ac:dyDescent="0.3">
      <c r="A331" s="40" t="str">
        <f>VLOOKUP(B331,Grupos!$A$2:$B$619,2,FALSE)</f>
        <v>BREAKERS</v>
      </c>
      <c r="B331" s="41" t="s">
        <v>534</v>
      </c>
      <c r="C331" s="41" t="s">
        <v>535</v>
      </c>
      <c r="D331" s="42">
        <v>272</v>
      </c>
      <c r="E331" s="43">
        <v>17526.31986951</v>
      </c>
      <c r="F331" s="43"/>
      <c r="G331" s="126">
        <f t="shared" si="69"/>
        <v>17526.31986951</v>
      </c>
      <c r="H331" s="127">
        <f t="shared" si="70"/>
        <v>4767159.0045067202</v>
      </c>
      <c r="I331" s="128">
        <f t="shared" si="80"/>
        <v>0</v>
      </c>
      <c r="J331" s="128">
        <f t="shared" si="81"/>
        <v>4767159.0045067202</v>
      </c>
      <c r="K331" s="44">
        <f t="shared" si="84"/>
        <v>1.2963349792481562E-2</v>
      </c>
      <c r="L331" s="45"/>
      <c r="M331" s="45">
        <f t="shared" si="82"/>
        <v>0</v>
      </c>
      <c r="N331" s="45">
        <f t="shared" si="76"/>
        <v>17526.31986951</v>
      </c>
      <c r="O331" s="46">
        <f t="shared" si="77"/>
        <v>4767159.0045067202</v>
      </c>
      <c r="P331" s="47">
        <f t="shared" si="83"/>
        <v>23650</v>
      </c>
      <c r="Q331" s="42">
        <v>6432800</v>
      </c>
      <c r="R331" s="48">
        <f t="shared" si="79"/>
        <v>0.74107060759027488</v>
      </c>
      <c r="S331" s="49"/>
      <c r="U331" s="112"/>
    </row>
    <row r="332" spans="1:21" x14ac:dyDescent="0.3">
      <c r="A332" s="40" t="str">
        <f>VLOOKUP(B332,Grupos!$A$2:$B$619,2,FALSE)</f>
        <v>BREAKERS</v>
      </c>
      <c r="B332" s="41" t="s">
        <v>536</v>
      </c>
      <c r="C332" s="41" t="s">
        <v>537</v>
      </c>
      <c r="D332" s="42">
        <v>28</v>
      </c>
      <c r="E332" s="43">
        <v>14831</v>
      </c>
      <c r="F332" s="43"/>
      <c r="G332" s="126">
        <f t="shared" si="69"/>
        <v>14831</v>
      </c>
      <c r="H332" s="127">
        <f t="shared" si="70"/>
        <v>415268</v>
      </c>
      <c r="I332" s="128">
        <f t="shared" si="80"/>
        <v>0</v>
      </c>
      <c r="J332" s="128">
        <f t="shared" si="81"/>
        <v>415268</v>
      </c>
      <c r="K332" s="44">
        <f t="shared" si="84"/>
        <v>1.129239519079407E-3</v>
      </c>
      <c r="L332" s="45"/>
      <c r="M332" s="45">
        <f t="shared" si="82"/>
        <v>0</v>
      </c>
      <c r="N332" s="45">
        <f t="shared" si="76"/>
        <v>14831</v>
      </c>
      <c r="O332" s="46">
        <f t="shared" si="77"/>
        <v>415268</v>
      </c>
      <c r="P332" s="47">
        <f t="shared" si="83"/>
        <v>24014.285714285714</v>
      </c>
      <c r="Q332" s="42">
        <v>672400</v>
      </c>
      <c r="R332" s="48">
        <f t="shared" si="79"/>
        <v>0.61759071980963709</v>
      </c>
      <c r="S332" s="49"/>
      <c r="U332" s="112"/>
    </row>
    <row r="333" spans="1:21" x14ac:dyDescent="0.3">
      <c r="A333" s="40" t="str">
        <f>VLOOKUP(B333,Grupos!$A$2:$B$619,2,FALSE)</f>
        <v>BREAKERS</v>
      </c>
      <c r="B333" s="41" t="s">
        <v>538</v>
      </c>
      <c r="C333" s="41" t="s">
        <v>539</v>
      </c>
      <c r="D333" s="42">
        <v>102</v>
      </c>
      <c r="E333" s="43">
        <v>15765</v>
      </c>
      <c r="F333" s="43"/>
      <c r="G333" s="126">
        <f t="shared" si="69"/>
        <v>15765</v>
      </c>
      <c r="H333" s="127">
        <f t="shared" si="70"/>
        <v>1608030</v>
      </c>
      <c r="I333" s="128">
        <f t="shared" si="80"/>
        <v>0</v>
      </c>
      <c r="J333" s="128">
        <f t="shared" si="81"/>
        <v>1608030</v>
      </c>
      <c r="K333" s="44">
        <f t="shared" si="84"/>
        <v>4.3727208064798127E-3</v>
      </c>
      <c r="L333" s="45"/>
      <c r="M333" s="45">
        <f t="shared" si="82"/>
        <v>0</v>
      </c>
      <c r="N333" s="45">
        <f t="shared" si="76"/>
        <v>15765</v>
      </c>
      <c r="O333" s="46">
        <f t="shared" si="77"/>
        <v>1608030</v>
      </c>
      <c r="P333" s="47">
        <f t="shared" si="83"/>
        <v>23637.254901960783</v>
      </c>
      <c r="Q333" s="42">
        <v>2411000</v>
      </c>
      <c r="R333" s="48">
        <f t="shared" si="79"/>
        <v>0.66695562007465781</v>
      </c>
      <c r="S333" s="49"/>
      <c r="U333" s="112"/>
    </row>
    <row r="334" spans="1:21" x14ac:dyDescent="0.3">
      <c r="A334" s="40" t="str">
        <f>VLOOKUP(B334,Grupos!$A$2:$B$619,2,FALSE)</f>
        <v>BREAKERS</v>
      </c>
      <c r="B334" s="41" t="s">
        <v>540</v>
      </c>
      <c r="C334" s="41" t="s">
        <v>541</v>
      </c>
      <c r="D334" s="42">
        <v>28</v>
      </c>
      <c r="E334" s="43">
        <v>15765</v>
      </c>
      <c r="F334" s="43"/>
      <c r="G334" s="126">
        <f t="shared" si="69"/>
        <v>15765</v>
      </c>
      <c r="H334" s="127">
        <f t="shared" si="70"/>
        <v>441420</v>
      </c>
      <c r="I334" s="128">
        <f t="shared" si="80"/>
        <v>0</v>
      </c>
      <c r="J334" s="128">
        <f t="shared" si="81"/>
        <v>441420</v>
      </c>
      <c r="K334" s="44">
        <f t="shared" si="84"/>
        <v>1.2003547311905368E-3</v>
      </c>
      <c r="L334" s="45"/>
      <c r="M334" s="45">
        <f t="shared" si="82"/>
        <v>0</v>
      </c>
      <c r="N334" s="45">
        <f t="shared" si="76"/>
        <v>15765</v>
      </c>
      <c r="O334" s="46">
        <f t="shared" si="77"/>
        <v>441420</v>
      </c>
      <c r="P334" s="47">
        <f t="shared" si="83"/>
        <v>23642.857142857141</v>
      </c>
      <c r="Q334" s="42">
        <v>662000</v>
      </c>
      <c r="R334" s="48">
        <f t="shared" si="79"/>
        <v>0.666797583081571</v>
      </c>
      <c r="S334" s="49"/>
      <c r="U334" s="112"/>
    </row>
    <row r="335" spans="1:21" x14ac:dyDescent="0.3">
      <c r="A335" s="40" t="str">
        <f>VLOOKUP(B335,Grupos!$A$2:$B$619,2,FALSE)</f>
        <v>BREAKERS</v>
      </c>
      <c r="B335" s="41" t="s">
        <v>542</v>
      </c>
      <c r="C335" s="41" t="s">
        <v>543</v>
      </c>
      <c r="D335" s="42">
        <v>100</v>
      </c>
      <c r="E335" s="43">
        <v>15966.434279902003</v>
      </c>
      <c r="F335" s="43"/>
      <c r="G335" s="126">
        <f t="shared" si="69"/>
        <v>15966.434279902003</v>
      </c>
      <c r="H335" s="127">
        <f t="shared" si="70"/>
        <v>1596643.4279902002</v>
      </c>
      <c r="I335" s="128">
        <f t="shared" si="80"/>
        <v>0</v>
      </c>
      <c r="J335" s="128">
        <f t="shared" si="81"/>
        <v>1596643.4279902002</v>
      </c>
      <c r="K335" s="44">
        <f t="shared" si="84"/>
        <v>4.3417572670298443E-3</v>
      </c>
      <c r="L335" s="45"/>
      <c r="M335" s="45">
        <f t="shared" si="82"/>
        <v>0</v>
      </c>
      <c r="N335" s="45">
        <f t="shared" si="76"/>
        <v>15966.434279902003</v>
      </c>
      <c r="O335" s="46">
        <f t="shared" si="77"/>
        <v>1596643.4279902002</v>
      </c>
      <c r="P335" s="47">
        <f t="shared" si="83"/>
        <v>23434</v>
      </c>
      <c r="Q335" s="42">
        <v>2343400</v>
      </c>
      <c r="R335" s="48">
        <f t="shared" ref="R335:R366" si="85">O335/Q335</f>
        <v>0.68133627549295905</v>
      </c>
      <c r="S335" s="49"/>
      <c r="U335" s="112"/>
    </row>
    <row r="336" spans="1:21" x14ac:dyDescent="0.3">
      <c r="A336" s="40" t="str">
        <f>VLOOKUP(B336,Grupos!$A$2:$B$619,2,FALSE)</f>
        <v>BREAKERS</v>
      </c>
      <c r="B336" s="41" t="s">
        <v>544</v>
      </c>
      <c r="C336" s="41" t="s">
        <v>545</v>
      </c>
      <c r="D336" s="42">
        <v>40</v>
      </c>
      <c r="E336" s="43">
        <v>17765.919433427869</v>
      </c>
      <c r="F336" s="43"/>
      <c r="G336" s="126">
        <f t="shared" si="69"/>
        <v>17765.919433427869</v>
      </c>
      <c r="H336" s="127">
        <f t="shared" si="70"/>
        <v>710636.77733711479</v>
      </c>
      <c r="I336" s="128">
        <f t="shared" si="80"/>
        <v>0</v>
      </c>
      <c r="J336" s="128">
        <f t="shared" si="81"/>
        <v>710636.77733711479</v>
      </c>
      <c r="K336" s="44">
        <f t="shared" si="84"/>
        <v>1.9324367220212083E-3</v>
      </c>
      <c r="L336" s="45"/>
      <c r="M336" s="45">
        <f t="shared" si="82"/>
        <v>0</v>
      </c>
      <c r="N336" s="45">
        <f t="shared" si="76"/>
        <v>17765.919433427869</v>
      </c>
      <c r="O336" s="46">
        <f t="shared" si="77"/>
        <v>710636.77733711479</v>
      </c>
      <c r="P336" s="47">
        <f t="shared" si="83"/>
        <v>23750</v>
      </c>
      <c r="Q336" s="42">
        <v>950000</v>
      </c>
      <c r="R336" s="48">
        <f t="shared" si="85"/>
        <v>0.74803871298643665</v>
      </c>
      <c r="S336" s="49"/>
      <c r="U336" s="112"/>
    </row>
    <row r="337" spans="1:21" x14ac:dyDescent="0.3">
      <c r="A337" s="40" t="str">
        <f>VLOOKUP(B337,Grupos!$A$2:$B$619,2,FALSE)</f>
        <v>BREAKERS</v>
      </c>
      <c r="B337" s="41" t="s">
        <v>546</v>
      </c>
      <c r="C337" s="41" t="s">
        <v>1072</v>
      </c>
      <c r="D337" s="42">
        <v>76</v>
      </c>
      <c r="E337" s="43">
        <v>18204.602468305799</v>
      </c>
      <c r="F337" s="43"/>
      <c r="G337" s="126">
        <f t="shared" si="69"/>
        <v>18204.602468305799</v>
      </c>
      <c r="H337" s="127">
        <f t="shared" si="70"/>
        <v>1383549.7875912406</v>
      </c>
      <c r="I337" s="128">
        <f t="shared" si="80"/>
        <v>0</v>
      </c>
      <c r="J337" s="128">
        <f t="shared" si="81"/>
        <v>1383549.7875912406</v>
      </c>
      <c r="K337" s="44">
        <f t="shared" si="84"/>
        <v>3.7622910909628198E-3</v>
      </c>
      <c r="L337" s="45"/>
      <c r="M337" s="45">
        <f t="shared" si="82"/>
        <v>0</v>
      </c>
      <c r="N337" s="45">
        <f t="shared" si="76"/>
        <v>18204.602468305799</v>
      </c>
      <c r="O337" s="46">
        <f t="shared" si="77"/>
        <v>1383549.7875912406</v>
      </c>
      <c r="P337" s="47">
        <f t="shared" si="83"/>
        <v>24342.105263157893</v>
      </c>
      <c r="Q337" s="42">
        <v>1850000</v>
      </c>
      <c r="R337" s="48">
        <f t="shared" si="85"/>
        <v>0.74786475004931929</v>
      </c>
      <c r="S337" s="49"/>
      <c r="U337" s="112"/>
    </row>
    <row r="338" spans="1:21" x14ac:dyDescent="0.3">
      <c r="A338" s="40" t="str">
        <f>VLOOKUP(B338,Grupos!$A$2:$B$619,2,FALSE)</f>
        <v>BREAKERS</v>
      </c>
      <c r="B338" s="41" t="s">
        <v>547</v>
      </c>
      <c r="C338" s="41" t="s">
        <v>548</v>
      </c>
      <c r="D338" s="42">
        <v>24</v>
      </c>
      <c r="E338" s="43">
        <v>15765</v>
      </c>
      <c r="F338" s="43"/>
      <c r="G338" s="126">
        <f t="shared" si="69"/>
        <v>15765</v>
      </c>
      <c r="H338" s="127">
        <f t="shared" si="70"/>
        <v>378360</v>
      </c>
      <c r="I338" s="128">
        <f t="shared" si="80"/>
        <v>0</v>
      </c>
      <c r="J338" s="128">
        <f t="shared" si="81"/>
        <v>378360</v>
      </c>
      <c r="K338" s="44">
        <f t="shared" si="84"/>
        <v>1.028875483877603E-3</v>
      </c>
      <c r="L338" s="45"/>
      <c r="M338" s="45">
        <f t="shared" si="82"/>
        <v>0</v>
      </c>
      <c r="N338" s="45">
        <f t="shared" si="76"/>
        <v>15765</v>
      </c>
      <c r="O338" s="46">
        <f t="shared" si="77"/>
        <v>378360</v>
      </c>
      <c r="P338" s="47">
        <f t="shared" si="83"/>
        <v>23550</v>
      </c>
      <c r="Q338" s="42">
        <v>565200</v>
      </c>
      <c r="R338" s="48">
        <f t="shared" si="85"/>
        <v>0.66942675159235665</v>
      </c>
      <c r="S338" s="49"/>
      <c r="U338" s="112"/>
    </row>
    <row r="339" spans="1:21" x14ac:dyDescent="0.3">
      <c r="A339" s="40" t="str">
        <f>VLOOKUP(B339,Grupos!$A$2:$B$619,2,FALSE)</f>
        <v>BREAKERS</v>
      </c>
      <c r="B339" s="41" t="s">
        <v>779</v>
      </c>
      <c r="C339" s="41" t="s">
        <v>780</v>
      </c>
      <c r="D339" s="42">
        <v>12</v>
      </c>
      <c r="E339" s="43">
        <v>4866</v>
      </c>
      <c r="F339" s="43"/>
      <c r="G339" s="126">
        <f t="shared" si="69"/>
        <v>4866</v>
      </c>
      <c r="H339" s="127">
        <f t="shared" si="70"/>
        <v>58392</v>
      </c>
      <c r="I339" s="128">
        <f t="shared" si="80"/>
        <v>0</v>
      </c>
      <c r="J339" s="128">
        <f t="shared" si="81"/>
        <v>58392</v>
      </c>
      <c r="K339" s="44">
        <f t="shared" si="84"/>
        <v>1.5878554089909344E-4</v>
      </c>
      <c r="L339" s="45"/>
      <c r="M339" s="45">
        <f t="shared" si="82"/>
        <v>0</v>
      </c>
      <c r="N339" s="45">
        <f t="shared" si="76"/>
        <v>4866</v>
      </c>
      <c r="O339" s="46">
        <f t="shared" si="77"/>
        <v>58392</v>
      </c>
      <c r="P339" s="47">
        <f t="shared" si="83"/>
        <v>6950</v>
      </c>
      <c r="Q339" s="42">
        <v>83400</v>
      </c>
      <c r="R339" s="48">
        <f t="shared" si="85"/>
        <v>0.70014388489208634</v>
      </c>
      <c r="S339" s="49"/>
      <c r="U339" s="112"/>
    </row>
    <row r="340" spans="1:21" x14ac:dyDescent="0.3">
      <c r="A340" s="40" t="str">
        <f>VLOOKUP(B340,Grupos!$A$2:$B$619,2,FALSE)</f>
        <v>BREAKERS</v>
      </c>
      <c r="B340" s="41" t="s">
        <v>781</v>
      </c>
      <c r="C340" s="41" t="s">
        <v>782</v>
      </c>
      <c r="D340" s="42">
        <v>204</v>
      </c>
      <c r="E340" s="43">
        <v>4866</v>
      </c>
      <c r="F340" s="43"/>
      <c r="G340" s="126">
        <f t="shared" si="69"/>
        <v>4866</v>
      </c>
      <c r="H340" s="127">
        <f t="shared" si="70"/>
        <v>992664</v>
      </c>
      <c r="I340" s="128">
        <f t="shared" si="80"/>
        <v>0</v>
      </c>
      <c r="J340" s="128">
        <f t="shared" si="81"/>
        <v>992664</v>
      </c>
      <c r="K340" s="44">
        <f t="shared" si="84"/>
        <v>2.6993541952845881E-3</v>
      </c>
      <c r="L340" s="45"/>
      <c r="M340" s="45">
        <f t="shared" si="82"/>
        <v>0</v>
      </c>
      <c r="N340" s="45">
        <f t="shared" si="76"/>
        <v>4866</v>
      </c>
      <c r="O340" s="46">
        <f t="shared" si="77"/>
        <v>992664</v>
      </c>
      <c r="P340" s="47">
        <f t="shared" si="83"/>
        <v>6650</v>
      </c>
      <c r="Q340" s="42">
        <v>1356600</v>
      </c>
      <c r="R340" s="152">
        <f t="shared" si="85"/>
        <v>0.73172932330827067</v>
      </c>
      <c r="S340" s="49"/>
      <c r="U340" s="112"/>
    </row>
    <row r="341" spans="1:21" x14ac:dyDescent="0.3">
      <c r="A341" s="40" t="str">
        <f>VLOOKUP(B341,Grupos!$A$2:$B$619,2,FALSE)</f>
        <v>BREAKERS</v>
      </c>
      <c r="B341" s="41" t="s">
        <v>783</v>
      </c>
      <c r="C341" s="41" t="s">
        <v>784</v>
      </c>
      <c r="D341" s="42">
        <v>12</v>
      </c>
      <c r="E341" s="43">
        <v>4866</v>
      </c>
      <c r="F341" s="43"/>
      <c r="G341" s="126">
        <f t="shared" si="69"/>
        <v>4866</v>
      </c>
      <c r="H341" s="127">
        <f t="shared" si="70"/>
        <v>58392</v>
      </c>
      <c r="I341" s="128">
        <f t="shared" si="80"/>
        <v>0</v>
      </c>
      <c r="J341" s="128">
        <f t="shared" si="81"/>
        <v>58392</v>
      </c>
      <c r="K341" s="44">
        <f t="shared" si="84"/>
        <v>1.5878554089909344E-4</v>
      </c>
      <c r="L341" s="45"/>
      <c r="M341" s="45">
        <f t="shared" si="82"/>
        <v>0</v>
      </c>
      <c r="N341" s="45">
        <f t="shared" si="76"/>
        <v>4866</v>
      </c>
      <c r="O341" s="46">
        <f t="shared" si="77"/>
        <v>58392</v>
      </c>
      <c r="P341" s="47">
        <f t="shared" si="83"/>
        <v>6650</v>
      </c>
      <c r="Q341" s="42">
        <v>79800</v>
      </c>
      <c r="R341" s="152">
        <f t="shared" si="85"/>
        <v>0.73172932330827067</v>
      </c>
      <c r="S341" s="49"/>
      <c r="U341" s="112"/>
    </row>
    <row r="342" spans="1:21" x14ac:dyDescent="0.3">
      <c r="A342" s="40" t="str">
        <f>VLOOKUP(B342,Grupos!$A$2:$B$619,2,FALSE)</f>
        <v>BREAKERS</v>
      </c>
      <c r="B342" s="41" t="s">
        <v>785</v>
      </c>
      <c r="C342" s="41" t="s">
        <v>786</v>
      </c>
      <c r="D342" s="42">
        <v>324</v>
      </c>
      <c r="E342" s="43">
        <v>5255</v>
      </c>
      <c r="F342" s="43"/>
      <c r="G342" s="126">
        <f t="shared" si="69"/>
        <v>5255</v>
      </c>
      <c r="H342" s="127">
        <f t="shared" si="70"/>
        <v>1702620</v>
      </c>
      <c r="I342" s="128">
        <f t="shared" si="80"/>
        <v>0</v>
      </c>
      <c r="J342" s="128">
        <f t="shared" si="81"/>
        <v>1702620</v>
      </c>
      <c r="K342" s="44">
        <f t="shared" si="84"/>
        <v>4.6299396774492135E-3</v>
      </c>
      <c r="L342" s="45"/>
      <c r="M342" s="45">
        <f t="shared" si="82"/>
        <v>0</v>
      </c>
      <c r="N342" s="45">
        <f t="shared" si="76"/>
        <v>5255</v>
      </c>
      <c r="O342" s="46">
        <f t="shared" si="77"/>
        <v>1702620</v>
      </c>
      <c r="P342" s="47">
        <f t="shared" si="83"/>
        <v>6607.4074074074078</v>
      </c>
      <c r="Q342" s="42">
        <v>2140800</v>
      </c>
      <c r="R342" s="152">
        <f t="shared" si="85"/>
        <v>0.79531950672645735</v>
      </c>
      <c r="S342" s="49"/>
      <c r="U342" s="112"/>
    </row>
    <row r="343" spans="1:21" x14ac:dyDescent="0.3">
      <c r="A343" s="40" t="str">
        <f>VLOOKUP(B343,Grupos!$A$2:$B$619,2,FALSE)</f>
        <v>BREAKERS</v>
      </c>
      <c r="B343" s="41" t="s">
        <v>792</v>
      </c>
      <c r="C343" s="41" t="s">
        <v>793</v>
      </c>
      <c r="D343" s="42">
        <v>24</v>
      </c>
      <c r="E343" s="43">
        <v>9732</v>
      </c>
      <c r="F343" s="43"/>
      <c r="G343" s="126">
        <f t="shared" si="69"/>
        <v>9732</v>
      </c>
      <c r="H343" s="127">
        <f t="shared" si="70"/>
        <v>233568</v>
      </c>
      <c r="I343" s="128">
        <f t="shared" si="80"/>
        <v>0</v>
      </c>
      <c r="J343" s="128">
        <f t="shared" si="81"/>
        <v>233568</v>
      </c>
      <c r="K343" s="44">
        <f t="shared" si="84"/>
        <v>6.3514216359637375E-4</v>
      </c>
      <c r="L343" s="45"/>
      <c r="M343" s="45">
        <f t="shared" si="82"/>
        <v>0</v>
      </c>
      <c r="N343" s="45">
        <f t="shared" si="76"/>
        <v>9732</v>
      </c>
      <c r="O343" s="46">
        <f t="shared" si="77"/>
        <v>233568</v>
      </c>
      <c r="P343" s="47">
        <f t="shared" si="83"/>
        <v>13300</v>
      </c>
      <c r="Q343" s="42">
        <v>319200</v>
      </c>
      <c r="R343" s="48">
        <f t="shared" si="85"/>
        <v>0.73172932330827067</v>
      </c>
      <c r="S343" s="49"/>
      <c r="U343" s="112"/>
    </row>
    <row r="344" spans="1:21" x14ac:dyDescent="0.3">
      <c r="A344" s="40" t="str">
        <f>VLOOKUP(B344,Grupos!$A$2:$B$619,2,FALSE)</f>
        <v>BREAKERS</v>
      </c>
      <c r="B344" s="41" t="s">
        <v>794</v>
      </c>
      <c r="C344" s="41" t="s">
        <v>795</v>
      </c>
      <c r="D344" s="42">
        <v>36</v>
      </c>
      <c r="E344" s="43">
        <v>9732</v>
      </c>
      <c r="F344" s="43"/>
      <c r="G344" s="126">
        <f t="shared" si="69"/>
        <v>9732</v>
      </c>
      <c r="H344" s="127">
        <f t="shared" si="70"/>
        <v>350352</v>
      </c>
      <c r="I344" s="128">
        <f t="shared" si="80"/>
        <v>0</v>
      </c>
      <c r="J344" s="128">
        <f t="shared" si="81"/>
        <v>350352</v>
      </c>
      <c r="K344" s="44">
        <f t="shared" si="84"/>
        <v>9.5271324539456057E-4</v>
      </c>
      <c r="L344" s="45"/>
      <c r="M344" s="45">
        <f t="shared" si="82"/>
        <v>0</v>
      </c>
      <c r="N344" s="45">
        <f t="shared" si="76"/>
        <v>9732</v>
      </c>
      <c r="O344" s="46">
        <f t="shared" si="77"/>
        <v>350352</v>
      </c>
      <c r="P344" s="47">
        <f t="shared" si="83"/>
        <v>13400</v>
      </c>
      <c r="Q344" s="42">
        <v>482400</v>
      </c>
      <c r="R344" s="48">
        <f t="shared" si="85"/>
        <v>0.72626865671641794</v>
      </c>
      <c r="S344" s="49"/>
      <c r="U344" s="112"/>
    </row>
    <row r="345" spans="1:21" x14ac:dyDescent="0.3">
      <c r="A345" s="40" t="str">
        <f>VLOOKUP(B345,Grupos!$A$2:$B$619,2,FALSE)</f>
        <v>BREAKERS</v>
      </c>
      <c r="B345" s="41" t="s">
        <v>796</v>
      </c>
      <c r="C345" s="41" t="s">
        <v>797</v>
      </c>
      <c r="D345" s="42">
        <v>582</v>
      </c>
      <c r="E345" s="43">
        <v>10510</v>
      </c>
      <c r="F345" s="43"/>
      <c r="G345" s="126">
        <f t="shared" si="69"/>
        <v>10510</v>
      </c>
      <c r="H345" s="127">
        <f t="shared" si="70"/>
        <v>6116820</v>
      </c>
      <c r="I345" s="128">
        <f t="shared" si="80"/>
        <v>0</v>
      </c>
      <c r="J345" s="128">
        <f t="shared" si="81"/>
        <v>6116820</v>
      </c>
      <c r="K345" s="44">
        <f t="shared" si="84"/>
        <v>1.663348698935458E-2</v>
      </c>
      <c r="L345" s="45"/>
      <c r="M345" s="45">
        <f t="shared" si="82"/>
        <v>0</v>
      </c>
      <c r="N345" s="45">
        <f t="shared" si="76"/>
        <v>10510</v>
      </c>
      <c r="O345" s="46">
        <f t="shared" si="77"/>
        <v>6116820</v>
      </c>
      <c r="P345" s="47">
        <f t="shared" si="83"/>
        <v>12766.59793814433</v>
      </c>
      <c r="Q345" s="42">
        <v>7430160</v>
      </c>
      <c r="R345" s="48">
        <f t="shared" si="85"/>
        <v>0.82324202978132366</v>
      </c>
      <c r="S345" s="49"/>
      <c r="U345" s="112"/>
    </row>
    <row r="346" spans="1:21" x14ac:dyDescent="0.3">
      <c r="A346" s="40" t="str">
        <f>VLOOKUP(B346,Grupos!$A$2:$B$619,2,FALSE)</f>
        <v>BREAKERS</v>
      </c>
      <c r="B346" s="41" t="s">
        <v>798</v>
      </c>
      <c r="C346" s="41" t="s">
        <v>799</v>
      </c>
      <c r="D346" s="42">
        <v>36</v>
      </c>
      <c r="E346" s="43">
        <v>10510</v>
      </c>
      <c r="F346" s="43"/>
      <c r="G346" s="126">
        <f t="shared" si="69"/>
        <v>10510</v>
      </c>
      <c r="H346" s="127">
        <f t="shared" si="70"/>
        <v>378360</v>
      </c>
      <c r="I346" s="128">
        <f t="shared" si="80"/>
        <v>0</v>
      </c>
      <c r="J346" s="128">
        <f t="shared" si="81"/>
        <v>378360</v>
      </c>
      <c r="K346" s="44">
        <f t="shared" si="84"/>
        <v>1.028875483877603E-3</v>
      </c>
      <c r="L346" s="45"/>
      <c r="M346" s="45">
        <f t="shared" si="82"/>
        <v>0</v>
      </c>
      <c r="N346" s="45">
        <f t="shared" si="76"/>
        <v>10510</v>
      </c>
      <c r="O346" s="46">
        <f t="shared" si="77"/>
        <v>378360</v>
      </c>
      <c r="P346" s="47">
        <f t="shared" si="83"/>
        <v>13400</v>
      </c>
      <c r="Q346" s="42">
        <v>482400</v>
      </c>
      <c r="R346" s="48">
        <f t="shared" si="85"/>
        <v>0.78432835820895519</v>
      </c>
      <c r="S346" s="49"/>
      <c r="U346" s="112"/>
    </row>
    <row r="347" spans="1:21" x14ac:dyDescent="0.3">
      <c r="A347" s="40" t="str">
        <f>VLOOKUP(B347,Grupos!$A$2:$B$619,2,FALSE)</f>
        <v>BREAKERS</v>
      </c>
      <c r="B347" s="41" t="s">
        <v>804</v>
      </c>
      <c r="C347" s="41" t="s">
        <v>805</v>
      </c>
      <c r="D347" s="42">
        <v>4</v>
      </c>
      <c r="E347" s="43">
        <v>14597</v>
      </c>
      <c r="F347" s="43"/>
      <c r="G347" s="126">
        <f t="shared" si="69"/>
        <v>14597</v>
      </c>
      <c r="H347" s="127">
        <f t="shared" si="70"/>
        <v>58388</v>
      </c>
      <c r="I347" s="128">
        <f t="shared" si="80"/>
        <v>0</v>
      </c>
      <c r="J347" s="128">
        <f t="shared" si="81"/>
        <v>58388</v>
      </c>
      <c r="K347" s="44">
        <f t="shared" si="84"/>
        <v>1.5877466368708501E-4</v>
      </c>
      <c r="L347" s="45"/>
      <c r="M347" s="45">
        <f t="shared" si="82"/>
        <v>0</v>
      </c>
      <c r="N347" s="45">
        <f t="shared" si="76"/>
        <v>14597</v>
      </c>
      <c r="O347" s="46">
        <f t="shared" si="77"/>
        <v>58388</v>
      </c>
      <c r="P347" s="47">
        <f t="shared" si="83"/>
        <v>20150</v>
      </c>
      <c r="Q347" s="42">
        <v>80600</v>
      </c>
      <c r="R347" s="48">
        <f t="shared" si="85"/>
        <v>0.72441687344913153</v>
      </c>
      <c r="S347" s="49"/>
      <c r="U347" s="112"/>
    </row>
    <row r="348" spans="1:21" x14ac:dyDescent="0.3">
      <c r="A348" s="40" t="str">
        <f>VLOOKUP(B348,Grupos!$A$2:$B$619,2,FALSE)</f>
        <v>BREAKERS</v>
      </c>
      <c r="B348" s="41" t="s">
        <v>806</v>
      </c>
      <c r="C348" s="41" t="s">
        <v>807</v>
      </c>
      <c r="D348" s="42">
        <v>24</v>
      </c>
      <c r="E348" s="43">
        <v>14597</v>
      </c>
      <c r="F348" s="43"/>
      <c r="G348" s="126">
        <f t="shared" si="69"/>
        <v>14597</v>
      </c>
      <c r="H348" s="127">
        <f t="shared" si="70"/>
        <v>350328</v>
      </c>
      <c r="I348" s="128">
        <f t="shared" si="80"/>
        <v>0</v>
      </c>
      <c r="J348" s="128">
        <f t="shared" si="81"/>
        <v>350328</v>
      </c>
      <c r="K348" s="44">
        <f t="shared" si="84"/>
        <v>9.5264798212250999E-4</v>
      </c>
      <c r="L348" s="45"/>
      <c r="M348" s="45">
        <f t="shared" si="82"/>
        <v>0</v>
      </c>
      <c r="N348" s="45">
        <f t="shared" si="76"/>
        <v>14597</v>
      </c>
      <c r="O348" s="46">
        <f t="shared" si="77"/>
        <v>350328</v>
      </c>
      <c r="P348" s="47">
        <f t="shared" si="83"/>
        <v>14150</v>
      </c>
      <c r="Q348" s="42">
        <v>339600</v>
      </c>
      <c r="R348" s="162">
        <f t="shared" si="85"/>
        <v>1.0315901060070671</v>
      </c>
      <c r="S348" s="49"/>
      <c r="U348" s="112"/>
    </row>
    <row r="349" spans="1:21" x14ac:dyDescent="0.3">
      <c r="A349" s="40" t="str">
        <f>VLOOKUP(B349,Grupos!$A$2:$B$619,2,FALSE)</f>
        <v>BREAKERS</v>
      </c>
      <c r="B349" s="41" t="s">
        <v>808</v>
      </c>
      <c r="C349" s="41" t="s">
        <v>809</v>
      </c>
      <c r="D349" s="42">
        <v>12</v>
      </c>
      <c r="E349" s="43">
        <v>15765</v>
      </c>
      <c r="F349" s="43"/>
      <c r="G349" s="126">
        <f t="shared" si="69"/>
        <v>15765</v>
      </c>
      <c r="H349" s="127">
        <f t="shared" si="70"/>
        <v>189180</v>
      </c>
      <c r="I349" s="128">
        <f t="shared" si="80"/>
        <v>0</v>
      </c>
      <c r="J349" s="128">
        <f t="shared" si="81"/>
        <v>189180</v>
      </c>
      <c r="K349" s="44">
        <f t="shared" si="84"/>
        <v>5.1443774193880149E-4</v>
      </c>
      <c r="L349" s="45"/>
      <c r="M349" s="45">
        <f t="shared" si="82"/>
        <v>0</v>
      </c>
      <c r="N349" s="45">
        <f t="shared" si="76"/>
        <v>15765</v>
      </c>
      <c r="O349" s="46">
        <f t="shared" si="77"/>
        <v>189180</v>
      </c>
      <c r="P349" s="47">
        <f t="shared" si="83"/>
        <v>19716.666666666668</v>
      </c>
      <c r="Q349" s="42">
        <v>236600</v>
      </c>
      <c r="R349" s="48">
        <f t="shared" si="85"/>
        <v>0.79957734573119188</v>
      </c>
      <c r="S349" s="49"/>
      <c r="U349" s="112"/>
    </row>
    <row r="350" spans="1:21" x14ac:dyDescent="0.3">
      <c r="A350" s="40" t="str">
        <f>VLOOKUP(B350,Grupos!$A$2:$B$619,2,FALSE)</f>
        <v>BREAKERS</v>
      </c>
      <c r="B350" s="41" t="s">
        <v>810</v>
      </c>
      <c r="C350" s="41" t="s">
        <v>811</v>
      </c>
      <c r="D350" s="42">
        <v>32</v>
      </c>
      <c r="E350" s="43">
        <v>15765</v>
      </c>
      <c r="F350" s="43"/>
      <c r="G350" s="126">
        <f t="shared" si="69"/>
        <v>15765</v>
      </c>
      <c r="H350" s="127">
        <f t="shared" si="70"/>
        <v>504480</v>
      </c>
      <c r="I350" s="128">
        <f t="shared" si="80"/>
        <v>0</v>
      </c>
      <c r="J350" s="128">
        <f t="shared" si="81"/>
        <v>504480</v>
      </c>
      <c r="K350" s="44">
        <f t="shared" si="84"/>
        <v>1.3718339785034706E-3</v>
      </c>
      <c r="L350" s="45"/>
      <c r="M350" s="45">
        <f t="shared" si="82"/>
        <v>0</v>
      </c>
      <c r="N350" s="45">
        <f t="shared" si="76"/>
        <v>15765</v>
      </c>
      <c r="O350" s="46">
        <f t="shared" si="77"/>
        <v>504480</v>
      </c>
      <c r="P350" s="47">
        <f t="shared" si="83"/>
        <v>19812.5</v>
      </c>
      <c r="Q350" s="42">
        <v>634000</v>
      </c>
      <c r="R350" s="48">
        <f t="shared" si="85"/>
        <v>0.79570977917981067</v>
      </c>
      <c r="S350" s="49"/>
      <c r="U350" s="112"/>
    </row>
    <row r="351" spans="1:21" x14ac:dyDescent="0.3">
      <c r="A351" s="40" t="str">
        <f>VLOOKUP(B351,Grupos!$A$2:$B$619,2,FALSE)</f>
        <v>BREAKERS</v>
      </c>
      <c r="B351" s="41" t="s">
        <v>812</v>
      </c>
      <c r="C351" s="41" t="s">
        <v>813</v>
      </c>
      <c r="D351" s="42">
        <v>8</v>
      </c>
      <c r="E351" s="43">
        <v>15765</v>
      </c>
      <c r="F351" s="43"/>
      <c r="G351" s="126">
        <f t="shared" si="69"/>
        <v>15765</v>
      </c>
      <c r="H351" s="127">
        <f t="shared" si="70"/>
        <v>126120</v>
      </c>
      <c r="I351" s="128">
        <f t="shared" si="80"/>
        <v>0</v>
      </c>
      <c r="J351" s="128">
        <f t="shared" si="81"/>
        <v>126120</v>
      </c>
      <c r="K351" s="44">
        <f t="shared" si="84"/>
        <v>3.4295849462586764E-4</v>
      </c>
      <c r="L351" s="45"/>
      <c r="M351" s="45">
        <f t="shared" si="82"/>
        <v>0</v>
      </c>
      <c r="N351" s="45">
        <f t="shared" si="76"/>
        <v>15765</v>
      </c>
      <c r="O351" s="46">
        <f t="shared" si="77"/>
        <v>126120</v>
      </c>
      <c r="P351" s="47">
        <f t="shared" si="83"/>
        <v>19500</v>
      </c>
      <c r="Q351" s="42">
        <v>156000</v>
      </c>
      <c r="R351" s="48">
        <f t="shared" si="85"/>
        <v>0.80846153846153845</v>
      </c>
      <c r="S351" s="49"/>
      <c r="U351" s="112"/>
    </row>
    <row r="352" spans="1:21" x14ac:dyDescent="0.3">
      <c r="A352" s="50" t="s">
        <v>1012</v>
      </c>
      <c r="B352" s="41"/>
      <c r="C352" s="41"/>
      <c r="D352" s="51">
        <f>SUM(D304:D351)</f>
        <v>61084</v>
      </c>
      <c r="E352" s="43"/>
      <c r="F352" s="43"/>
      <c r="G352" s="126"/>
      <c r="H352" s="131">
        <f>SUM(H304:H351)</f>
        <v>367741292.24466044</v>
      </c>
      <c r="I352" s="128"/>
      <c r="J352" s="131">
        <f>SUM(J304:J351)</f>
        <v>367741292.24466044</v>
      </c>
      <c r="K352" s="53">
        <f t="shared" si="84"/>
        <v>1</v>
      </c>
      <c r="L352" s="45"/>
      <c r="M352" s="45"/>
      <c r="N352" s="45"/>
      <c r="O352" s="55">
        <f>SUM(O304:O351)</f>
        <v>367741292.24466044</v>
      </c>
      <c r="P352" s="47"/>
      <c r="Q352" s="51">
        <f>SUM(Q304:Q351)</f>
        <v>505009199.82999998</v>
      </c>
      <c r="R352" s="57">
        <f t="shared" si="85"/>
        <v>0.72818731296073869</v>
      </c>
      <c r="S352" s="58">
        <f>Q352/Q367</f>
        <v>9.3188744006257429E-2</v>
      </c>
      <c r="U352" s="112"/>
    </row>
    <row r="353" spans="1:21" x14ac:dyDescent="0.3">
      <c r="A353" s="40" t="str">
        <f>VLOOKUP(B353,Grupos!$A$2:$B$619,2,FALSE)</f>
        <v>VARILLAS</v>
      </c>
      <c r="B353" s="41" t="s">
        <v>549</v>
      </c>
      <c r="C353" s="41" t="s">
        <v>550</v>
      </c>
      <c r="D353" s="42">
        <v>145</v>
      </c>
      <c r="E353" s="43">
        <v>94500</v>
      </c>
      <c r="F353" s="43">
        <v>78.290000000000006</v>
      </c>
      <c r="G353" s="126">
        <f t="shared" si="69"/>
        <v>94578.29</v>
      </c>
      <c r="H353" s="127">
        <f t="shared" si="70"/>
        <v>13702500</v>
      </c>
      <c r="I353" s="128">
        <f>F353*D353</f>
        <v>11352.050000000001</v>
      </c>
      <c r="J353" s="128">
        <f>G353*D353</f>
        <v>13713852.049999999</v>
      </c>
      <c r="K353" s="44">
        <f>J353/$J$366</f>
        <v>1.6339554816871483E-2</v>
      </c>
      <c r="L353" s="45"/>
      <c r="M353" s="45">
        <f t="shared" ref="M353:M365" si="86">F353*$M$372</f>
        <v>513.77134230926345</v>
      </c>
      <c r="N353" s="45">
        <f t="shared" si="76"/>
        <v>95092.061342309258</v>
      </c>
      <c r="O353" s="46">
        <f t="shared" si="77"/>
        <v>13788348.894634843</v>
      </c>
      <c r="P353" s="47">
        <f t="shared" ref="P353:P365" si="87">Q353/D353</f>
        <v>104017.24137931035</v>
      </c>
      <c r="Q353" s="42">
        <v>15082500</v>
      </c>
      <c r="R353" s="48">
        <f t="shared" si="85"/>
        <v>0.91419518611867012</v>
      </c>
      <c r="S353" s="49"/>
      <c r="U353" s="112"/>
    </row>
    <row r="354" spans="1:21" x14ac:dyDescent="0.3">
      <c r="A354" s="40" t="str">
        <f>VLOOKUP(B354,Grupos!$A$2:$B$619,2,FALSE)</f>
        <v>VARILLAS</v>
      </c>
      <c r="B354" s="41" t="s">
        <v>551</v>
      </c>
      <c r="C354" s="41" t="s">
        <v>552</v>
      </c>
      <c r="D354" s="42">
        <v>236</v>
      </c>
      <c r="E354" s="43">
        <v>117950</v>
      </c>
      <c r="F354" s="43">
        <v>88.88</v>
      </c>
      <c r="G354" s="126">
        <f t="shared" si="69"/>
        <v>118038.88</v>
      </c>
      <c r="H354" s="127">
        <f t="shared" si="70"/>
        <v>27836200</v>
      </c>
      <c r="I354" s="128">
        <f t="shared" ref="I354:I365" si="88">F354*D354</f>
        <v>20975.68</v>
      </c>
      <c r="J354" s="128">
        <f t="shared" ref="J354:J365" si="89">G354*D354</f>
        <v>27857175.68</v>
      </c>
      <c r="K354" s="44">
        <f t="shared" ref="K354:K366" si="90">J354/$J$366</f>
        <v>3.3190809366109436E-2</v>
      </c>
      <c r="L354" s="45"/>
      <c r="M354" s="45">
        <f t="shared" si="86"/>
        <v>583.26729983966447</v>
      </c>
      <c r="N354" s="45">
        <f t="shared" si="76"/>
        <v>118622.14729983966</v>
      </c>
      <c r="O354" s="46">
        <f t="shared" si="77"/>
        <v>27994826.762762159</v>
      </c>
      <c r="P354" s="47">
        <f t="shared" si="87"/>
        <v>129640.67796610169</v>
      </c>
      <c r="Q354" s="42">
        <v>30595200</v>
      </c>
      <c r="R354" s="48">
        <f t="shared" si="85"/>
        <v>0.91500715023147938</v>
      </c>
      <c r="S354" s="49"/>
      <c r="U354" s="112"/>
    </row>
    <row r="355" spans="1:21" x14ac:dyDescent="0.3">
      <c r="A355" s="40" t="str">
        <f>VLOOKUP(B355,Grupos!$A$2:$B$619,2,FALSE)</f>
        <v>VARILLAS</v>
      </c>
      <c r="B355" s="41" t="s">
        <v>553</v>
      </c>
      <c r="C355" s="41" t="s">
        <v>554</v>
      </c>
      <c r="D355" s="42">
        <v>284</v>
      </c>
      <c r="E355" s="43">
        <v>141227.13333333333</v>
      </c>
      <c r="F355" s="43">
        <v>104.61</v>
      </c>
      <c r="G355" s="126">
        <f t="shared" ref="G355:G365" si="91">E355+F355</f>
        <v>141331.74333333332</v>
      </c>
      <c r="H355" s="127">
        <f t="shared" ref="H355:H365" si="92">E355*D355</f>
        <v>40108505.866666667</v>
      </c>
      <c r="I355" s="128">
        <f t="shared" si="88"/>
        <v>29709.24</v>
      </c>
      <c r="J355" s="128">
        <f t="shared" si="89"/>
        <v>40138215.106666662</v>
      </c>
      <c r="K355" s="44">
        <f t="shared" si="90"/>
        <v>4.7823220171516939E-2</v>
      </c>
      <c r="L355" s="45"/>
      <c r="M355" s="45">
        <f t="shared" si="86"/>
        <v>686.49406206376352</v>
      </c>
      <c r="N355" s="45">
        <f t="shared" ref="N355:N365" si="93">G355+L355+M355</f>
        <v>142018.23739539707</v>
      </c>
      <c r="O355" s="46">
        <f t="shared" ref="O355:O365" si="94">N355*D355</f>
        <v>40333179.420292765</v>
      </c>
      <c r="P355" s="47">
        <f t="shared" si="87"/>
        <v>154016.19718309859</v>
      </c>
      <c r="Q355" s="42">
        <v>43740600</v>
      </c>
      <c r="R355" s="48">
        <f t="shared" si="85"/>
        <v>0.92209936352708388</v>
      </c>
      <c r="S355" s="49"/>
      <c r="U355" s="112"/>
    </row>
    <row r="356" spans="1:21" x14ac:dyDescent="0.3">
      <c r="A356" s="40" t="str">
        <f>VLOOKUP(B356,Grupos!$A$2:$B$619,2,FALSE)</f>
        <v>VARILLAS</v>
      </c>
      <c r="B356" s="41" t="s">
        <v>555</v>
      </c>
      <c r="C356" s="41" t="s">
        <v>556</v>
      </c>
      <c r="D356" s="42">
        <v>2458</v>
      </c>
      <c r="E356" s="43">
        <v>188227.03289473685</v>
      </c>
      <c r="F356" s="43">
        <v>75.62</v>
      </c>
      <c r="G356" s="126">
        <f t="shared" si="91"/>
        <v>188302.65289473685</v>
      </c>
      <c r="H356" s="127">
        <f t="shared" si="92"/>
        <v>462662046.85526317</v>
      </c>
      <c r="I356" s="128">
        <f t="shared" si="88"/>
        <v>185873.96000000002</v>
      </c>
      <c r="J356" s="128">
        <f t="shared" si="89"/>
        <v>462847920.81526315</v>
      </c>
      <c r="K356" s="44">
        <f t="shared" si="90"/>
        <v>0.55146642580528527</v>
      </c>
      <c r="L356" s="45"/>
      <c r="M356" s="45">
        <f t="shared" si="86"/>
        <v>496.24969862596123</v>
      </c>
      <c r="N356" s="45">
        <f t="shared" si="93"/>
        <v>188798.90259336281</v>
      </c>
      <c r="O356" s="46">
        <f t="shared" si="94"/>
        <v>464067702.57448578</v>
      </c>
      <c r="P356" s="47">
        <f t="shared" si="87"/>
        <v>202483.72660699754</v>
      </c>
      <c r="Q356" s="42">
        <v>497705000</v>
      </c>
      <c r="R356" s="48">
        <f t="shared" si="85"/>
        <v>0.93241519087508817</v>
      </c>
      <c r="S356" s="49"/>
      <c r="U356" s="112"/>
    </row>
    <row r="357" spans="1:21" x14ac:dyDescent="0.3">
      <c r="A357" s="40" t="str">
        <f>VLOOKUP(B357,Grupos!$A$2:$B$619,2,FALSE)</f>
        <v>VARILLAS</v>
      </c>
      <c r="B357" s="41" t="s">
        <v>557</v>
      </c>
      <c r="C357" s="41" t="s">
        <v>558</v>
      </c>
      <c r="D357" s="42">
        <v>1061</v>
      </c>
      <c r="E357" s="43">
        <v>77552.380952380947</v>
      </c>
      <c r="F357" s="43">
        <v>0</v>
      </c>
      <c r="G357" s="126">
        <f t="shared" si="91"/>
        <v>77552.380952380947</v>
      </c>
      <c r="H357" s="127">
        <f t="shared" si="92"/>
        <v>82283076.190476179</v>
      </c>
      <c r="I357" s="128">
        <f t="shared" si="88"/>
        <v>0</v>
      </c>
      <c r="J357" s="128">
        <f t="shared" si="89"/>
        <v>82283076.190476179</v>
      </c>
      <c r="K357" s="44">
        <f t="shared" si="90"/>
        <v>9.8037285878047539E-2</v>
      </c>
      <c r="L357" s="45"/>
      <c r="M357" s="45">
        <f t="shared" si="86"/>
        <v>0</v>
      </c>
      <c r="N357" s="45">
        <f t="shared" si="93"/>
        <v>77552.380952380947</v>
      </c>
      <c r="O357" s="46">
        <f t="shared" si="94"/>
        <v>82283076.190476179</v>
      </c>
      <c r="P357" s="47">
        <f t="shared" si="87"/>
        <v>85192.224316682376</v>
      </c>
      <c r="Q357" s="42">
        <v>90388950</v>
      </c>
      <c r="R357" s="48">
        <f t="shared" si="85"/>
        <v>0.91032229260851216</v>
      </c>
      <c r="S357" s="49"/>
      <c r="U357" s="112"/>
    </row>
    <row r="358" spans="1:21" x14ac:dyDescent="0.3">
      <c r="A358" s="40" t="str">
        <f>VLOOKUP(B358,Grupos!$A$2:$B$619,2,FALSE)</f>
        <v>VARILLAS</v>
      </c>
      <c r="B358" s="41" t="s">
        <v>559</v>
      </c>
      <c r="C358" s="41" t="s">
        <v>560</v>
      </c>
      <c r="D358" s="42">
        <v>984</v>
      </c>
      <c r="E358" s="43">
        <v>97350</v>
      </c>
      <c r="F358" s="43">
        <v>0</v>
      </c>
      <c r="G358" s="126">
        <f t="shared" si="91"/>
        <v>97350</v>
      </c>
      <c r="H358" s="127">
        <f t="shared" si="92"/>
        <v>95792400</v>
      </c>
      <c r="I358" s="128">
        <f t="shared" si="88"/>
        <v>0</v>
      </c>
      <c r="J358" s="128">
        <f t="shared" si="89"/>
        <v>95792400</v>
      </c>
      <c r="K358" s="44">
        <f t="shared" si="90"/>
        <v>0.11413315275190532</v>
      </c>
      <c r="L358" s="45"/>
      <c r="M358" s="45">
        <f t="shared" si="86"/>
        <v>0</v>
      </c>
      <c r="N358" s="45">
        <f t="shared" si="93"/>
        <v>97350</v>
      </c>
      <c r="O358" s="46">
        <f t="shared" si="94"/>
        <v>95792400</v>
      </c>
      <c r="P358" s="47">
        <f t="shared" si="87"/>
        <v>106681.22967479675</v>
      </c>
      <c r="Q358" s="42">
        <v>104974330</v>
      </c>
      <c r="R358" s="48">
        <f t="shared" si="85"/>
        <v>0.91253166369340011</v>
      </c>
      <c r="S358" s="49"/>
      <c r="U358" s="112"/>
    </row>
    <row r="359" spans="1:21" x14ac:dyDescent="0.3">
      <c r="A359" s="40" t="str">
        <f>VLOOKUP(B359,Grupos!$A$2:$B$619,2,FALSE)</f>
        <v>VARILLAS</v>
      </c>
      <c r="B359" s="41" t="s">
        <v>657</v>
      </c>
      <c r="C359" s="41" t="s">
        <v>658</v>
      </c>
      <c r="D359" s="42">
        <v>397</v>
      </c>
      <c r="E359" s="43">
        <v>116160</v>
      </c>
      <c r="F359" s="43">
        <v>0</v>
      </c>
      <c r="G359" s="126">
        <f t="shared" si="91"/>
        <v>116160</v>
      </c>
      <c r="H359" s="127">
        <f t="shared" si="92"/>
        <v>46115520</v>
      </c>
      <c r="I359" s="128">
        <f t="shared" si="88"/>
        <v>0</v>
      </c>
      <c r="J359" s="128">
        <f t="shared" si="89"/>
        <v>46115520</v>
      </c>
      <c r="K359" s="44">
        <f t="shared" si="90"/>
        <v>5.4944961065737409E-2</v>
      </c>
      <c r="L359" s="45"/>
      <c r="M359" s="45">
        <f t="shared" si="86"/>
        <v>0</v>
      </c>
      <c r="N359" s="45">
        <f t="shared" si="93"/>
        <v>116160</v>
      </c>
      <c r="O359" s="46">
        <f t="shared" si="94"/>
        <v>46115520</v>
      </c>
      <c r="P359" s="47">
        <f t="shared" si="87"/>
        <v>125811.58690176322</v>
      </c>
      <c r="Q359" s="42">
        <v>49947200</v>
      </c>
      <c r="R359" s="48">
        <f t="shared" si="85"/>
        <v>0.92328538937117599</v>
      </c>
      <c r="S359" s="49"/>
      <c r="U359" s="112"/>
    </row>
    <row r="360" spans="1:21" x14ac:dyDescent="0.3">
      <c r="A360" s="40" t="str">
        <f>VLOOKUP(B360,Grupos!$A$2:$B$619,2,FALSE)</f>
        <v>VARILLAS</v>
      </c>
      <c r="B360" s="41" t="s">
        <v>561</v>
      </c>
      <c r="C360" s="41" t="s">
        <v>562</v>
      </c>
      <c r="D360" s="42">
        <v>293</v>
      </c>
      <c r="E360" s="43">
        <v>154941.90476190476</v>
      </c>
      <c r="F360" s="43">
        <v>0</v>
      </c>
      <c r="G360" s="126">
        <f t="shared" si="91"/>
        <v>154941.90476190476</v>
      </c>
      <c r="H360" s="127">
        <f t="shared" si="92"/>
        <v>45397978.095238097</v>
      </c>
      <c r="I360" s="128">
        <f t="shared" si="88"/>
        <v>0</v>
      </c>
      <c r="J360" s="128">
        <f t="shared" si="89"/>
        <v>45397978.095238097</v>
      </c>
      <c r="K360" s="44">
        <f t="shared" si="90"/>
        <v>5.4090036042227368E-2</v>
      </c>
      <c r="L360" s="45"/>
      <c r="M360" s="45">
        <f t="shared" si="86"/>
        <v>0</v>
      </c>
      <c r="N360" s="45">
        <f t="shared" si="93"/>
        <v>154941.90476190476</v>
      </c>
      <c r="O360" s="46">
        <f t="shared" si="94"/>
        <v>45397978.095238097</v>
      </c>
      <c r="P360" s="47">
        <f t="shared" si="87"/>
        <v>168537.88395904438</v>
      </c>
      <c r="Q360" s="42">
        <v>49381600</v>
      </c>
      <c r="R360" s="48">
        <f t="shared" si="85"/>
        <v>0.91932983328280371</v>
      </c>
      <c r="S360" s="49"/>
      <c r="U360" s="112"/>
    </row>
    <row r="361" spans="1:21" x14ac:dyDescent="0.3">
      <c r="A361" s="40" t="str">
        <f>VLOOKUP(B361,Grupos!$A$2:$B$619,2,FALSE)</f>
        <v>VARILLAS</v>
      </c>
      <c r="B361" s="41" t="s">
        <v>1004</v>
      </c>
      <c r="C361" s="41" t="s">
        <v>1005</v>
      </c>
      <c r="D361" s="42">
        <v>360</v>
      </c>
      <c r="E361" s="43">
        <v>9215</v>
      </c>
      <c r="F361" s="43">
        <v>9.42</v>
      </c>
      <c r="G361" s="126">
        <f t="shared" si="91"/>
        <v>9224.42</v>
      </c>
      <c r="H361" s="127">
        <f t="shared" si="92"/>
        <v>3317400</v>
      </c>
      <c r="I361" s="128">
        <f t="shared" si="88"/>
        <v>3391.2</v>
      </c>
      <c r="J361" s="128">
        <f t="shared" si="89"/>
        <v>3320791.2</v>
      </c>
      <c r="K361" s="44">
        <f t="shared" si="90"/>
        <v>3.956601664503478E-3</v>
      </c>
      <c r="L361" s="45"/>
      <c r="M361" s="45">
        <f t="shared" si="86"/>
        <v>61.817933893897838</v>
      </c>
      <c r="N361" s="45">
        <f t="shared" si="93"/>
        <v>9286.2379338938972</v>
      </c>
      <c r="O361" s="46">
        <f t="shared" si="94"/>
        <v>3343045.6562018031</v>
      </c>
      <c r="P361" s="47">
        <f t="shared" si="87"/>
        <v>10587.222222222223</v>
      </c>
      <c r="Q361" s="42">
        <v>3811400</v>
      </c>
      <c r="R361" s="48">
        <f t="shared" si="85"/>
        <v>0.87711750438206515</v>
      </c>
      <c r="S361" s="49"/>
      <c r="U361" s="112"/>
    </row>
    <row r="362" spans="1:21" x14ac:dyDescent="0.3">
      <c r="A362" s="40" t="str">
        <f>VLOOKUP(B362,Grupos!$A$2:$B$619,2,FALSE)</f>
        <v>VARILLAS</v>
      </c>
      <c r="B362" s="41" t="s">
        <v>1006</v>
      </c>
      <c r="C362" s="41" t="s">
        <v>1007</v>
      </c>
      <c r="D362" s="42">
        <v>1280</v>
      </c>
      <c r="E362" s="43">
        <v>10379</v>
      </c>
      <c r="F362" s="43">
        <v>9.83</v>
      </c>
      <c r="G362" s="126">
        <f t="shared" si="91"/>
        <v>10388.83</v>
      </c>
      <c r="H362" s="127">
        <f t="shared" si="92"/>
        <v>13285120</v>
      </c>
      <c r="I362" s="128">
        <f t="shared" si="88"/>
        <v>12582.4</v>
      </c>
      <c r="J362" s="128">
        <f t="shared" si="89"/>
        <v>13297702.4</v>
      </c>
      <c r="K362" s="44">
        <f t="shared" si="90"/>
        <v>1.5843727678485745E-2</v>
      </c>
      <c r="L362" s="45"/>
      <c r="M362" s="45">
        <f t="shared" si="86"/>
        <v>64.50852337335624</v>
      </c>
      <c r="N362" s="45">
        <f t="shared" si="93"/>
        <v>10453.338523373357</v>
      </c>
      <c r="O362" s="46">
        <f t="shared" si="94"/>
        <v>13380273.309917897</v>
      </c>
      <c r="P362" s="47">
        <f t="shared" si="87"/>
        <v>11733.59375</v>
      </c>
      <c r="Q362" s="42">
        <v>15019000</v>
      </c>
      <c r="R362" s="48">
        <f t="shared" si="85"/>
        <v>0.89088976029814881</v>
      </c>
      <c r="S362" s="49"/>
      <c r="U362" s="112"/>
    </row>
    <row r="363" spans="1:21" x14ac:dyDescent="0.3">
      <c r="A363" s="40" t="str">
        <f>VLOOKUP(B363,Grupos!$A$2:$B$619,2,FALSE)</f>
        <v>VARILLAS</v>
      </c>
      <c r="B363" s="41" t="s">
        <v>1008</v>
      </c>
      <c r="C363" s="41" t="s">
        <v>1009</v>
      </c>
      <c r="D363" s="42">
        <v>350</v>
      </c>
      <c r="E363" s="43">
        <v>12125</v>
      </c>
      <c r="F363" s="43">
        <v>50.29</v>
      </c>
      <c r="G363" s="126">
        <f t="shared" si="91"/>
        <v>12175.29</v>
      </c>
      <c r="H363" s="127">
        <f t="shared" si="92"/>
        <v>4243750</v>
      </c>
      <c r="I363" s="128">
        <f t="shared" si="88"/>
        <v>17601.5</v>
      </c>
      <c r="J363" s="128">
        <f t="shared" si="89"/>
        <v>4261351.5</v>
      </c>
      <c r="K363" s="44">
        <f t="shared" si="90"/>
        <v>5.0772449764183887E-3</v>
      </c>
      <c r="L363" s="45"/>
      <c r="M363" s="45">
        <f t="shared" si="86"/>
        <v>330.02376810234841</v>
      </c>
      <c r="N363" s="45">
        <f t="shared" si="93"/>
        <v>12505.313768102349</v>
      </c>
      <c r="O363" s="46">
        <f t="shared" si="94"/>
        <v>4376859.8188358219</v>
      </c>
      <c r="P363" s="47">
        <f t="shared" si="87"/>
        <v>13568.571428571429</v>
      </c>
      <c r="Q363" s="42">
        <v>4749000</v>
      </c>
      <c r="R363" s="48">
        <f t="shared" si="85"/>
        <v>0.92163820148153752</v>
      </c>
      <c r="S363" s="49"/>
      <c r="U363" s="112"/>
    </row>
    <row r="364" spans="1:21" x14ac:dyDescent="0.3">
      <c r="A364" s="40" t="str">
        <f>VLOOKUP(B364,Grupos!$A$2:$B$619,2,FALSE)</f>
        <v>VARILLAS</v>
      </c>
      <c r="B364" s="41" t="s">
        <v>1128</v>
      </c>
      <c r="C364" s="41" t="s">
        <v>1129</v>
      </c>
      <c r="D364" s="42">
        <v>50</v>
      </c>
      <c r="E364" s="43">
        <v>18430</v>
      </c>
      <c r="F364" s="43">
        <v>0</v>
      </c>
      <c r="G364" s="126">
        <f t="shared" si="91"/>
        <v>18430</v>
      </c>
      <c r="H364" s="127">
        <f t="shared" si="92"/>
        <v>921500</v>
      </c>
      <c r="I364" s="128">
        <f t="shared" si="88"/>
        <v>0</v>
      </c>
      <c r="J364" s="128">
        <f t="shared" si="89"/>
        <v>921500</v>
      </c>
      <c r="K364" s="44">
        <f t="shared" si="90"/>
        <v>1.0979336592556481E-3</v>
      </c>
      <c r="L364" s="45"/>
      <c r="M364" s="45">
        <f t="shared" si="86"/>
        <v>0</v>
      </c>
      <c r="N364" s="45">
        <f t="shared" si="93"/>
        <v>18430</v>
      </c>
      <c r="O364" s="46">
        <f t="shared" si="94"/>
        <v>921500</v>
      </c>
      <c r="P364" s="47">
        <f t="shared" si="87"/>
        <v>39500</v>
      </c>
      <c r="Q364" s="42">
        <v>1975000</v>
      </c>
      <c r="R364" s="48">
        <f t="shared" si="85"/>
        <v>0.46658227848101264</v>
      </c>
      <c r="S364" s="49"/>
      <c r="U364" s="112"/>
    </row>
    <row r="365" spans="1:21" x14ac:dyDescent="0.3">
      <c r="A365" s="40" t="str">
        <f>VLOOKUP(B365,Grupos!$A$2:$B$619,2,FALSE)</f>
        <v>VARILLAS</v>
      </c>
      <c r="B365" s="41" t="s">
        <v>1102</v>
      </c>
      <c r="C365" s="41" t="s">
        <v>1103</v>
      </c>
      <c r="D365" s="42">
        <v>100</v>
      </c>
      <c r="E365" s="43">
        <v>33500</v>
      </c>
      <c r="F365" s="43">
        <v>64.150000000000006</v>
      </c>
      <c r="G365" s="126">
        <f t="shared" si="91"/>
        <v>33564.15</v>
      </c>
      <c r="H365" s="127">
        <f t="shared" si="92"/>
        <v>3350000</v>
      </c>
      <c r="I365" s="128">
        <f t="shared" si="88"/>
        <v>6415.0000000000009</v>
      </c>
      <c r="J365" s="128">
        <f t="shared" si="89"/>
        <v>3356415</v>
      </c>
      <c r="K365" s="44">
        <f t="shared" si="90"/>
        <v>3.9990461236359695E-3</v>
      </c>
      <c r="L365" s="45"/>
      <c r="M365" s="45">
        <f t="shared" si="86"/>
        <v>420.97881733477141</v>
      </c>
      <c r="N365" s="45">
        <f t="shared" si="93"/>
        <v>33985.128817334771</v>
      </c>
      <c r="O365" s="46">
        <f t="shared" si="94"/>
        <v>3398512.8817334771</v>
      </c>
      <c r="P365" s="47">
        <f t="shared" si="87"/>
        <v>38395.599999999999</v>
      </c>
      <c r="Q365" s="42">
        <v>3839560</v>
      </c>
      <c r="R365" s="48">
        <f t="shared" si="85"/>
        <v>0.8851308175242677</v>
      </c>
      <c r="S365" s="49"/>
      <c r="U365" s="112"/>
    </row>
    <row r="366" spans="1:21" x14ac:dyDescent="0.3">
      <c r="A366" s="50" t="s">
        <v>1013</v>
      </c>
      <c r="B366" s="41"/>
      <c r="C366" s="41"/>
      <c r="D366" s="51">
        <f>SUM(D353:D365)</f>
        <v>7998</v>
      </c>
      <c r="E366" s="43"/>
      <c r="F366" s="43"/>
      <c r="G366" s="126"/>
      <c r="H366" s="131">
        <f>SUM(H353:H365)</f>
        <v>839015997.00764406</v>
      </c>
      <c r="I366" s="131">
        <f>SUM(I353:I365)</f>
        <v>287901.03000000003</v>
      </c>
      <c r="J366" s="131">
        <f>SUM(J353:J365)</f>
        <v>839303898.03764415</v>
      </c>
      <c r="K366" s="53">
        <f t="shared" si="90"/>
        <v>1</v>
      </c>
      <c r="L366" s="45"/>
      <c r="M366" s="45"/>
      <c r="N366" s="45"/>
      <c r="O366" s="55">
        <f>SUM(O353:O365)</f>
        <v>841193223.60457897</v>
      </c>
      <c r="P366" s="47"/>
      <c r="Q366" s="51">
        <f>SUM(Q353:Q365)</f>
        <v>911209340</v>
      </c>
      <c r="R366" s="57">
        <f t="shared" si="85"/>
        <v>0.92316132712662824</v>
      </c>
      <c r="S366" s="58">
        <f>Q366/Q367</f>
        <v>0.16814437034009547</v>
      </c>
      <c r="U366" s="112"/>
    </row>
    <row r="367" spans="1:21" x14ac:dyDescent="0.3">
      <c r="A367" s="132" t="s">
        <v>1131</v>
      </c>
      <c r="B367" s="41"/>
      <c r="C367" s="41"/>
      <c r="D367" s="51">
        <f>SUM(D366,D352,D303)</f>
        <v>2515823.7000000002</v>
      </c>
      <c r="E367" s="43"/>
      <c r="F367" s="43"/>
      <c r="G367" s="126"/>
      <c r="H367" s="131">
        <f>SUM(H366,H352,H303)</f>
        <v>2667321907.5523047</v>
      </c>
      <c r="I367" s="131">
        <f>SUM(I366,I352,I303)</f>
        <v>107062719.66000006</v>
      </c>
      <c r="J367" s="131">
        <f>SUM(J366,J352,J303)</f>
        <v>2774384627.2123046</v>
      </c>
      <c r="K367" s="44"/>
      <c r="L367" s="45"/>
      <c r="M367" s="45"/>
      <c r="N367" s="45"/>
      <c r="O367" s="131">
        <f>SUM(O366,O352,O303)</f>
        <v>3924288451.8923049</v>
      </c>
      <c r="P367" s="47"/>
      <c r="Q367" s="131">
        <f>SUM(Q366,Q352,Q303)</f>
        <v>5419208137.3699989</v>
      </c>
      <c r="R367" s="65">
        <f t="shared" ref="R367" si="95">O367/Q367</f>
        <v>0.72414425731889398</v>
      </c>
      <c r="S367" s="148"/>
      <c r="U367" s="112"/>
    </row>
    <row r="368" spans="1:21" x14ac:dyDescent="0.3">
      <c r="A368" s="132" t="s">
        <v>1015</v>
      </c>
      <c r="B368" s="41"/>
      <c r="C368" s="41"/>
      <c r="D368" s="51"/>
      <c r="E368" s="43"/>
      <c r="F368" s="43"/>
      <c r="G368" s="126"/>
      <c r="H368" s="131"/>
      <c r="I368" s="131"/>
      <c r="J368" s="131"/>
      <c r="K368" s="44"/>
      <c r="L368" s="45"/>
      <c r="M368" s="45"/>
      <c r="N368" s="45"/>
      <c r="O368" s="131">
        <v>-11448416</v>
      </c>
      <c r="P368" s="47"/>
      <c r="Q368" s="131">
        <v>-152769789.41999999</v>
      </c>
      <c r="R368" s="65"/>
      <c r="S368" s="144"/>
      <c r="U368" s="112"/>
    </row>
    <row r="369" spans="1:21" x14ac:dyDescent="0.3">
      <c r="A369" s="133" t="s">
        <v>1016</v>
      </c>
      <c r="B369" s="134"/>
      <c r="C369" s="134"/>
      <c r="D369" s="135">
        <f>D367+D368</f>
        <v>2515823.7000000002</v>
      </c>
      <c r="E369" s="136"/>
      <c r="F369" s="136"/>
      <c r="G369" s="137"/>
      <c r="H369" s="138">
        <f>H367+H368</f>
        <v>2667321907.5523047</v>
      </c>
      <c r="I369" s="138">
        <f>I367+I368</f>
        <v>107062719.66000006</v>
      </c>
      <c r="J369" s="138">
        <f>J367+J368</f>
        <v>2774384627.2123046</v>
      </c>
      <c r="K369" s="139"/>
      <c r="L369" s="140"/>
      <c r="M369" s="140"/>
      <c r="N369" s="140"/>
      <c r="O369" s="138">
        <f>O367+O368</f>
        <v>3912840035.8923049</v>
      </c>
      <c r="P369" s="141"/>
      <c r="Q369" s="138">
        <f>Q367+Q368</f>
        <v>5266438347.9499989</v>
      </c>
      <c r="R369" s="142">
        <f>O369/Q369</f>
        <v>0.74297651987427282</v>
      </c>
      <c r="S369" s="145"/>
      <c r="U369" s="112"/>
    </row>
    <row r="370" spans="1:21" x14ac:dyDescent="0.3">
      <c r="A370" s="59"/>
      <c r="B370" s="59"/>
      <c r="C370" s="59"/>
      <c r="D370" s="60"/>
      <c r="E370" s="60"/>
      <c r="F370" s="60"/>
      <c r="G370" s="63"/>
      <c r="H370" s="63"/>
      <c r="I370" s="63"/>
      <c r="J370" s="63"/>
      <c r="K370" s="64"/>
      <c r="L370" s="59"/>
      <c r="M370" s="59"/>
      <c r="N370" s="59"/>
      <c r="O370" s="60"/>
      <c r="P370" s="59"/>
      <c r="Q370" s="124"/>
      <c r="R370" s="65"/>
      <c r="S370" s="66"/>
      <c r="U370" s="112"/>
    </row>
    <row r="371" spans="1:21" x14ac:dyDescent="0.3">
      <c r="A371" s="67"/>
      <c r="B371" s="62"/>
      <c r="C371" s="62"/>
      <c r="D371" s="68"/>
      <c r="E371" s="68"/>
      <c r="F371" s="68"/>
      <c r="G371" s="69"/>
      <c r="H371" s="69" t="s">
        <v>563</v>
      </c>
      <c r="I371" s="70"/>
      <c r="J371" s="70"/>
      <c r="K371" s="71">
        <f>H369</f>
        <v>2667321907.5523047</v>
      </c>
      <c r="L371" s="44">
        <f>K371/Q367</f>
        <v>0.49219772334612438</v>
      </c>
      <c r="M371" s="45"/>
      <c r="N371" s="62"/>
      <c r="O371" s="61"/>
      <c r="P371" s="72"/>
      <c r="Q371" s="73"/>
      <c r="R371" s="74"/>
      <c r="S371" s="75"/>
      <c r="U371" s="112"/>
    </row>
    <row r="372" spans="1:21" x14ac:dyDescent="0.3">
      <c r="A372" s="67"/>
      <c r="B372" s="62"/>
      <c r="C372" s="62"/>
      <c r="D372" s="68"/>
      <c r="E372" s="68"/>
      <c r="F372" s="68"/>
      <c r="G372" s="76"/>
      <c r="H372" s="76" t="s">
        <v>564</v>
      </c>
      <c r="I372" s="77"/>
      <c r="J372" s="77"/>
      <c r="K372" s="78">
        <v>809652542</v>
      </c>
      <c r="L372" s="44">
        <f>K372/Q367</f>
        <v>0.14940421579617225</v>
      </c>
      <c r="M372" s="125">
        <f>K372/I367-1</f>
        <v>6.562413364532679</v>
      </c>
      <c r="N372" s="62"/>
      <c r="O372" s="62"/>
      <c r="P372" s="72"/>
      <c r="Q372" s="73"/>
      <c r="R372" s="74"/>
      <c r="S372" s="75"/>
      <c r="U372" s="112"/>
    </row>
    <row r="373" spans="1:21" x14ac:dyDescent="0.3">
      <c r="A373" s="67"/>
      <c r="B373" s="62"/>
      <c r="C373" s="62"/>
      <c r="D373" s="68"/>
      <c r="E373" s="68"/>
      <c r="F373" s="68"/>
      <c r="G373" s="76"/>
      <c r="H373" s="76" t="s">
        <v>565</v>
      </c>
      <c r="I373" s="77"/>
      <c r="J373" s="77"/>
      <c r="K373" s="78">
        <f>390961748+P373</f>
        <v>447314002.33999997</v>
      </c>
      <c r="L373" s="44">
        <f>K373/Q367</f>
        <v>8.2542318176597351E-2</v>
      </c>
      <c r="M373" s="79"/>
      <c r="N373" s="80" t="s">
        <v>566</v>
      </c>
      <c r="O373" s="68"/>
      <c r="P373" s="81">
        <v>56352254.339999996</v>
      </c>
      <c r="Q373" s="151"/>
      <c r="R373" s="74"/>
      <c r="S373" s="75"/>
      <c r="U373" s="112"/>
    </row>
    <row r="374" spans="1:21" x14ac:dyDescent="0.3">
      <c r="A374" s="67"/>
      <c r="B374" s="62"/>
      <c r="C374" s="62"/>
      <c r="D374" s="68"/>
      <c r="E374" s="68"/>
      <c r="F374" s="68"/>
      <c r="G374" s="82"/>
      <c r="H374" s="82" t="s">
        <v>567</v>
      </c>
      <c r="I374" s="83"/>
      <c r="J374" s="83"/>
      <c r="K374" s="84">
        <f>SUM(K371:K373)</f>
        <v>3924288451.8923049</v>
      </c>
      <c r="L374" s="53"/>
      <c r="M374" s="85"/>
      <c r="N374" s="62"/>
      <c r="O374" s="62"/>
      <c r="P374" s="72"/>
      <c r="Q374" s="73"/>
      <c r="R374" s="74"/>
      <c r="S374" s="75"/>
    </row>
    <row r="375" spans="1:21" s="157" customFormat="1" x14ac:dyDescent="0.3">
      <c r="A375" s="62"/>
      <c r="B375" s="62"/>
      <c r="C375" s="62"/>
      <c r="D375" s="68"/>
      <c r="E375" s="43"/>
      <c r="F375" s="68"/>
      <c r="G375" s="68"/>
      <c r="H375" s="68"/>
      <c r="I375" s="61"/>
      <c r="J375" s="61"/>
      <c r="K375" s="149"/>
      <c r="L375" s="62"/>
      <c r="M375" s="62"/>
      <c r="N375" s="62"/>
      <c r="O375" s="61"/>
      <c r="P375" s="62"/>
      <c r="Q375" s="68"/>
      <c r="R375" s="62"/>
      <c r="S375" s="75"/>
      <c r="U375"/>
    </row>
    <row r="376" spans="1:21" s="157" customFormat="1" x14ac:dyDescent="0.3">
      <c r="A376" s="62"/>
      <c r="B376" s="62"/>
      <c r="C376" s="62"/>
      <c r="D376" s="68"/>
      <c r="E376" s="68"/>
      <c r="F376" s="68"/>
      <c r="G376" s="68"/>
      <c r="H376" s="68"/>
      <c r="I376" s="61"/>
      <c r="J376" s="61"/>
      <c r="K376" s="86"/>
      <c r="L376" s="62"/>
      <c r="M376" s="62"/>
      <c r="N376" s="62"/>
      <c r="O376" s="159"/>
      <c r="P376" s="62"/>
      <c r="Q376" s="68"/>
      <c r="R376" s="62"/>
      <c r="S376" s="75"/>
      <c r="U376"/>
    </row>
    <row r="377" spans="1:21" s="157" customFormat="1" x14ac:dyDescent="0.3">
      <c r="A377" s="62"/>
      <c r="B377" s="62"/>
      <c r="C377" s="62"/>
      <c r="D377" s="68"/>
      <c r="E377" s="68"/>
      <c r="F377" s="68"/>
      <c r="G377" s="68"/>
      <c r="H377" s="68"/>
      <c r="I377" s="61"/>
      <c r="J377" s="95" t="s">
        <v>568</v>
      </c>
      <c r="K377" s="96">
        <f>K372+K373-P373</f>
        <v>1200614290</v>
      </c>
      <c r="L377" s="62"/>
      <c r="M377" s="62"/>
      <c r="N377" s="62"/>
      <c r="O377" s="159"/>
      <c r="P377" s="62"/>
      <c r="Q377" s="68"/>
      <c r="R377" s="62"/>
      <c r="S377" s="75"/>
      <c r="U377"/>
    </row>
    <row r="378" spans="1:21" s="157" customFormat="1" x14ac:dyDescent="0.3">
      <c r="A378" s="87"/>
      <c r="B378" s="87"/>
      <c r="C378" s="87"/>
      <c r="D378" s="88"/>
      <c r="E378" s="88"/>
      <c r="F378" s="88"/>
      <c r="G378" s="88"/>
      <c r="H378" s="88"/>
      <c r="I378" s="89"/>
      <c r="J378" s="89"/>
      <c r="K378" s="87" t="s">
        <v>569</v>
      </c>
      <c r="L378" s="87"/>
      <c r="M378" s="87"/>
      <c r="N378" s="87"/>
      <c r="O378" s="160"/>
      <c r="P378" s="87"/>
      <c r="Q378" s="88"/>
      <c r="R378" s="87"/>
      <c r="S378" s="90"/>
      <c r="U378"/>
    </row>
    <row r="379" spans="1:21" s="157" customFormat="1" x14ac:dyDescent="0.3">
      <c r="A379"/>
      <c r="B379"/>
      <c r="C379"/>
      <c r="D379"/>
      <c r="E379"/>
      <c r="F379"/>
      <c r="G379"/>
      <c r="H379"/>
      <c r="I379"/>
      <c r="J379"/>
      <c r="K379" s="153"/>
      <c r="L379"/>
      <c r="M379"/>
      <c r="N379"/>
      <c r="O379"/>
      <c r="P379"/>
      <c r="Q379"/>
      <c r="R379"/>
      <c r="S379"/>
      <c r="U379"/>
    </row>
    <row r="380" spans="1:21" s="157" customFormat="1" x14ac:dyDescent="0.3">
      <c r="A380"/>
      <c r="B380"/>
      <c r="C380"/>
      <c r="D380"/>
      <c r="E380"/>
      <c r="F380"/>
      <c r="G380"/>
      <c r="H380"/>
      <c r="I380"/>
      <c r="J380"/>
      <c r="K380" s="92"/>
      <c r="L380"/>
      <c r="M380"/>
      <c r="N380"/>
      <c r="O380"/>
      <c r="P380"/>
      <c r="Q380"/>
      <c r="R380"/>
      <c r="S380"/>
      <c r="U380"/>
    </row>
  </sheetData>
  <autoFilter ref="A4:S374" xr:uid="{B7459B2F-3037-4CB2-A5A4-89B2C340197F}">
    <sortState xmlns:xlrd2="http://schemas.microsoft.com/office/spreadsheetml/2017/richdata2" ref="A4:S374">
      <sortCondition ref="A4:A374"/>
    </sortState>
  </autoFilter>
  <sortState xmlns:xlrd2="http://schemas.microsoft.com/office/spreadsheetml/2017/richdata2" ref="A5:R365">
    <sortCondition ref="A5:A365"/>
  </sortState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9AB3-DDA5-4E6C-9CD7-6D42A0548FF4}">
  <dimension ref="A1:V340"/>
  <sheetViews>
    <sheetView showGridLines="0" zoomScale="76" zoomScaleNormal="76" workbookViewId="0">
      <pane xSplit="3" ySplit="4" topLeftCell="D326" activePane="bottomRight" state="frozen"/>
      <selection pane="topRight" activeCell="D1" sqref="D1"/>
      <selection pane="bottomLeft" activeCell="A5" sqref="A5"/>
      <selection pane="bottomRight" activeCell="E331" sqref="E331"/>
    </sheetView>
  </sheetViews>
  <sheetFormatPr baseColWidth="10" defaultColWidth="50.33203125" defaultRowHeight="14.4" x14ac:dyDescent="0.3"/>
  <cols>
    <col min="1" max="1" width="50.44140625" bestFit="1" customWidth="1"/>
    <col min="2" max="2" width="22.88671875" bestFit="1" customWidth="1"/>
    <col min="3" max="3" width="58.5546875" hidden="1" customWidth="1"/>
    <col min="4" max="4" width="12.44140625" bestFit="1" customWidth="1"/>
    <col min="5" max="5" width="21.6640625" bestFit="1" customWidth="1"/>
    <col min="6" max="6" width="13" bestFit="1" customWidth="1"/>
    <col min="7" max="7" width="14.6640625" bestFit="1" customWidth="1"/>
    <col min="8" max="8" width="37.88671875" hidden="1" customWidth="1"/>
    <col min="9" max="9" width="12.88671875" hidden="1" customWidth="1"/>
    <col min="10" max="10" width="15.77734375" hidden="1" customWidth="1"/>
    <col min="11" max="11" width="14" hidden="1" customWidth="1"/>
    <col min="12" max="13" width="10.6640625" bestFit="1" customWidth="1"/>
    <col min="14" max="14" width="14.6640625" bestFit="1" customWidth="1"/>
    <col min="15" max="15" width="14" hidden="1" customWidth="1"/>
    <col min="16" max="16" width="11.44140625" bestFit="1" customWidth="1"/>
    <col min="17" max="19" width="14" customWidth="1"/>
    <col min="20" max="20" width="18" bestFit="1" customWidth="1"/>
    <col min="21" max="21" width="11.6640625" bestFit="1" customWidth="1"/>
    <col min="22" max="22" width="12.109375" bestFit="1" customWidth="1"/>
  </cols>
  <sheetData>
    <row r="1" spans="1:22" x14ac:dyDescent="0.3">
      <c r="A1" s="1"/>
      <c r="B1" s="1"/>
      <c r="C1" s="1"/>
      <c r="D1" s="2"/>
      <c r="E1" s="3"/>
      <c r="F1" s="3"/>
      <c r="G1" s="3"/>
      <c r="H1" s="3"/>
      <c r="I1" s="4"/>
      <c r="J1" s="4"/>
      <c r="K1" s="5"/>
      <c r="L1" s="6"/>
      <c r="M1" s="5"/>
      <c r="N1" s="7"/>
      <c r="O1" s="7"/>
      <c r="P1" s="8"/>
      <c r="Q1" s="7"/>
      <c r="R1" s="7"/>
      <c r="S1" s="7"/>
      <c r="T1" s="9"/>
      <c r="U1" s="10"/>
      <c r="V1" s="11"/>
    </row>
    <row r="2" spans="1:22" ht="15" thickBot="1" x14ac:dyDescent="0.35">
      <c r="A2" s="12" t="s">
        <v>1000</v>
      </c>
      <c r="B2" s="1"/>
      <c r="C2" s="13"/>
      <c r="D2" s="14"/>
      <c r="E2" s="15"/>
      <c r="F2" s="15"/>
      <c r="G2" s="15"/>
      <c r="H2" s="15"/>
      <c r="I2" s="16"/>
      <c r="J2" s="16"/>
      <c r="K2" s="13"/>
      <c r="L2" s="13"/>
      <c r="M2" s="13"/>
      <c r="N2" s="13"/>
      <c r="O2" s="13"/>
      <c r="P2" s="17"/>
      <c r="Q2" s="13"/>
      <c r="R2" s="13"/>
      <c r="S2" s="13"/>
      <c r="T2" s="14"/>
      <c r="U2" s="13"/>
      <c r="V2" s="18"/>
    </row>
    <row r="3" spans="1:22" x14ac:dyDescent="0.3">
      <c r="A3" s="13"/>
      <c r="B3" s="13"/>
      <c r="C3" s="13"/>
      <c r="D3" s="14"/>
      <c r="E3" s="19" t="s">
        <v>0</v>
      </c>
      <c r="F3" s="20"/>
      <c r="G3" s="21"/>
      <c r="H3" s="19" t="s">
        <v>1</v>
      </c>
      <c r="I3" s="22"/>
      <c r="J3" s="23"/>
      <c r="K3" s="24"/>
      <c r="L3" s="24"/>
      <c r="M3" s="24"/>
      <c r="N3" s="25"/>
      <c r="O3" s="26"/>
      <c r="P3" s="27"/>
      <c r="Q3" s="26"/>
      <c r="R3" s="26"/>
      <c r="S3" s="26"/>
      <c r="T3" s="28"/>
      <c r="U3" s="29"/>
      <c r="V3" s="30"/>
    </row>
    <row r="4" spans="1:22" ht="15" thickBot="1" x14ac:dyDescent="0.35">
      <c r="A4" s="31" t="s">
        <v>2</v>
      </c>
      <c r="B4" s="32" t="s">
        <v>3</v>
      </c>
      <c r="C4" s="31" t="s">
        <v>4</v>
      </c>
      <c r="D4" s="33" t="s">
        <v>5</v>
      </c>
      <c r="E4" s="34" t="s">
        <v>6</v>
      </c>
      <c r="F4" s="34" t="s">
        <v>7</v>
      </c>
      <c r="G4" s="34" t="s">
        <v>1010</v>
      </c>
      <c r="H4" s="34" t="s">
        <v>8</v>
      </c>
      <c r="I4" s="35" t="s">
        <v>9</v>
      </c>
      <c r="J4" s="35" t="s">
        <v>10</v>
      </c>
      <c r="K4" s="36" t="s">
        <v>11</v>
      </c>
      <c r="L4" s="36" t="s">
        <v>12</v>
      </c>
      <c r="M4" s="36" t="s">
        <v>13</v>
      </c>
      <c r="N4" s="36" t="s">
        <v>14</v>
      </c>
      <c r="O4" s="36" t="s">
        <v>15</v>
      </c>
      <c r="P4" s="37" t="s">
        <v>16</v>
      </c>
      <c r="Q4" s="190" t="s">
        <v>1138</v>
      </c>
      <c r="R4" s="190" t="s">
        <v>1139</v>
      </c>
      <c r="S4" s="190" t="s">
        <v>1141</v>
      </c>
      <c r="T4" s="33" t="s">
        <v>17</v>
      </c>
      <c r="U4" s="38" t="s">
        <v>18</v>
      </c>
      <c r="V4" s="39" t="s">
        <v>19</v>
      </c>
    </row>
    <row r="5" spans="1:22" x14ac:dyDescent="0.3">
      <c r="A5" s="40" t="str">
        <f>VLOOKUP(B5,Grupos!$A$2:$B$619,2,FALSE)</f>
        <v>ACCESORIOS</v>
      </c>
      <c r="B5" s="41">
        <v>997</v>
      </c>
      <c r="C5" s="41" t="s">
        <v>1047</v>
      </c>
      <c r="D5" s="42">
        <v>-3</v>
      </c>
      <c r="E5" s="43">
        <v>0</v>
      </c>
      <c r="F5" s="43">
        <v>0</v>
      </c>
      <c r="G5" s="126">
        <f>E5+F5</f>
        <v>0</v>
      </c>
      <c r="H5" s="127">
        <f>E5*D5</f>
        <v>0</v>
      </c>
      <c r="I5" s="128">
        <f>F5*D5</f>
        <v>0</v>
      </c>
      <c r="J5" s="128">
        <f>G5*D5</f>
        <v>0</v>
      </c>
      <c r="K5" s="44">
        <f t="shared" ref="K5:K68" si="0">J5/$J$274</f>
        <v>0</v>
      </c>
      <c r="L5" s="45">
        <v>0</v>
      </c>
      <c r="M5" s="45">
        <v>0</v>
      </c>
      <c r="N5" s="45">
        <f>G5+L5+M5</f>
        <v>0</v>
      </c>
      <c r="O5" s="46">
        <f>N5*D5</f>
        <v>0</v>
      </c>
      <c r="P5" s="47">
        <f t="shared" ref="P5:P68" si="1">T5/D5</f>
        <v>4288368.333333333</v>
      </c>
      <c r="Q5" s="46"/>
      <c r="R5" s="46"/>
      <c r="S5" s="46"/>
      <c r="T5" s="42">
        <v>-12865105</v>
      </c>
      <c r="U5" s="48">
        <f t="shared" ref="U5:U68" si="2">O5/T5</f>
        <v>0</v>
      </c>
      <c r="V5" s="49"/>
    </row>
    <row r="6" spans="1:22" x14ac:dyDescent="0.3">
      <c r="A6" s="40" t="str">
        <f>VLOOKUP(B6,Grupos!$A$2:$B$619,2,FALSE)</f>
        <v>ACCESORIOS</v>
      </c>
      <c r="B6" s="41" t="s">
        <v>603</v>
      </c>
      <c r="C6" s="41" t="s">
        <v>1051</v>
      </c>
      <c r="D6" s="42">
        <v>1</v>
      </c>
      <c r="E6" s="43">
        <v>1902.46</v>
      </c>
      <c r="F6" s="43">
        <v>121.38</v>
      </c>
      <c r="G6" s="126">
        <f t="shared" ref="G6:G69" si="3">E6+F6</f>
        <v>2023.8400000000001</v>
      </c>
      <c r="H6" s="127">
        <f t="shared" ref="H6:H69" si="4">E6*D6</f>
        <v>1902.46</v>
      </c>
      <c r="I6" s="128">
        <f t="shared" ref="I6:I69" si="5">F6*D6</f>
        <v>121.38</v>
      </c>
      <c r="J6" s="128">
        <f t="shared" ref="J6:J69" si="6">G6*D6</f>
        <v>2023.8400000000001</v>
      </c>
      <c r="K6" s="44">
        <f t="shared" si="0"/>
        <v>1.2796369804253985E-6</v>
      </c>
      <c r="L6" s="45">
        <v>572.39953925635723</v>
      </c>
      <c r="M6" s="45">
        <v>796.54573418697657</v>
      </c>
      <c r="N6" s="45">
        <f t="shared" ref="N6:N69" si="7">G6+L6+M6</f>
        <v>3392.7852734433341</v>
      </c>
      <c r="O6" s="46">
        <f t="shared" ref="O6:O69" si="8">N6*D6</f>
        <v>3392.7852734433341</v>
      </c>
      <c r="P6" s="47">
        <f t="shared" si="1"/>
        <v>10374</v>
      </c>
      <c r="Q6" s="46">
        <v>26600</v>
      </c>
      <c r="R6" s="47">
        <f>Q6-P6</f>
        <v>16226</v>
      </c>
      <c r="S6" s="191">
        <f>R6/Q6</f>
        <v>0.61</v>
      </c>
      <c r="T6" s="42">
        <v>10374</v>
      </c>
      <c r="U6" s="48">
        <f t="shared" si="2"/>
        <v>0.32704697064231097</v>
      </c>
      <c r="V6" s="49"/>
    </row>
    <row r="7" spans="1:22" x14ac:dyDescent="0.3">
      <c r="A7" s="40" t="str">
        <f>VLOOKUP(B7,Grupos!$A$2:$B$619,2,FALSE)</f>
        <v>ACCESORIOS</v>
      </c>
      <c r="B7" s="41" t="s">
        <v>659</v>
      </c>
      <c r="C7" s="41" t="s">
        <v>660</v>
      </c>
      <c r="D7" s="42">
        <v>1</v>
      </c>
      <c r="E7" s="43">
        <v>2116.58</v>
      </c>
      <c r="F7" s="43">
        <v>79.180000000000007</v>
      </c>
      <c r="G7" s="126">
        <f t="shared" si="3"/>
        <v>2195.7599999999998</v>
      </c>
      <c r="H7" s="127">
        <f t="shared" si="4"/>
        <v>2116.58</v>
      </c>
      <c r="I7" s="128">
        <f t="shared" si="5"/>
        <v>79.180000000000007</v>
      </c>
      <c r="J7" s="128">
        <f t="shared" si="6"/>
        <v>2195.7599999999998</v>
      </c>
      <c r="K7" s="44">
        <f t="shared" si="0"/>
        <v>1.3883388489894817E-6</v>
      </c>
      <c r="L7" s="45">
        <v>621.02340714559386</v>
      </c>
      <c r="M7" s="45">
        <v>519.61189020369761</v>
      </c>
      <c r="N7" s="45">
        <f t="shared" si="7"/>
        <v>3336.3952973492915</v>
      </c>
      <c r="O7" s="46">
        <f t="shared" si="8"/>
        <v>3336.3952973492915</v>
      </c>
      <c r="P7" s="47">
        <f t="shared" si="1"/>
        <v>26700</v>
      </c>
      <c r="Q7" s="46">
        <v>33600</v>
      </c>
      <c r="R7" s="47">
        <f t="shared" ref="R7:R70" si="9">Q7-P7</f>
        <v>6900</v>
      </c>
      <c r="S7" s="191">
        <f t="shared" ref="S7:S70" si="10">R7/Q7</f>
        <v>0.20535714285714285</v>
      </c>
      <c r="T7" s="42">
        <v>26700</v>
      </c>
      <c r="U7" s="152">
        <f t="shared" si="2"/>
        <v>0.12495862536888733</v>
      </c>
      <c r="V7" s="49"/>
    </row>
    <row r="8" spans="1:22" x14ac:dyDescent="0.3">
      <c r="A8" s="40" t="str">
        <f>VLOOKUP(B8,Grupos!$A$2:$B$619,2,FALSE)</f>
        <v>ACCESORIOS</v>
      </c>
      <c r="B8" s="41" t="s">
        <v>604</v>
      </c>
      <c r="C8" s="41" t="s">
        <v>1052</v>
      </c>
      <c r="D8" s="42">
        <v>1</v>
      </c>
      <c r="E8" s="43">
        <v>2926.65</v>
      </c>
      <c r="F8" s="43">
        <v>152.80000000000001</v>
      </c>
      <c r="G8" s="126">
        <f t="shared" si="3"/>
        <v>3079.4500000000003</v>
      </c>
      <c r="H8" s="127">
        <f t="shared" si="4"/>
        <v>2926.65</v>
      </c>
      <c r="I8" s="128">
        <f t="shared" si="5"/>
        <v>152.80000000000001</v>
      </c>
      <c r="J8" s="128">
        <f t="shared" si="6"/>
        <v>3079.4500000000003</v>
      </c>
      <c r="K8" s="44">
        <f t="shared" si="0"/>
        <v>1.9470798577807501E-6</v>
      </c>
      <c r="L8" s="45">
        <v>870.95608405950532</v>
      </c>
      <c r="M8" s="45">
        <v>1002.7367621005934</v>
      </c>
      <c r="N8" s="45">
        <f t="shared" si="7"/>
        <v>4953.142846160099</v>
      </c>
      <c r="O8" s="46">
        <f t="shared" si="8"/>
        <v>4953.142846160099</v>
      </c>
      <c r="P8" s="47">
        <f t="shared" si="1"/>
        <v>20580</v>
      </c>
      <c r="Q8" s="46">
        <v>51450</v>
      </c>
      <c r="R8" s="47">
        <f t="shared" si="9"/>
        <v>30870</v>
      </c>
      <c r="S8" s="191">
        <f t="shared" si="10"/>
        <v>0.6</v>
      </c>
      <c r="T8" s="42">
        <v>20580</v>
      </c>
      <c r="U8" s="152">
        <f t="shared" si="2"/>
        <v>0.24067749495432939</v>
      </c>
      <c r="V8" s="49"/>
    </row>
    <row r="9" spans="1:22" x14ac:dyDescent="0.3">
      <c r="A9" s="40" t="str">
        <f>VLOOKUP(B9,Grupos!$A$2:$B$619,2,FALSE)</f>
        <v>ACCESORIOS</v>
      </c>
      <c r="B9" s="41" t="s">
        <v>662</v>
      </c>
      <c r="C9" s="41" t="s">
        <v>1053</v>
      </c>
      <c r="D9" s="42">
        <v>1</v>
      </c>
      <c r="E9" s="43">
        <v>1927.16</v>
      </c>
      <c r="F9" s="43">
        <v>63.69</v>
      </c>
      <c r="G9" s="126">
        <f t="shared" si="3"/>
        <v>1990.8500000000001</v>
      </c>
      <c r="H9" s="127">
        <f t="shared" si="4"/>
        <v>1927.16</v>
      </c>
      <c r="I9" s="128">
        <f t="shared" si="5"/>
        <v>63.69</v>
      </c>
      <c r="J9" s="128">
        <f t="shared" si="6"/>
        <v>1990.8500000000001</v>
      </c>
      <c r="K9" s="44">
        <f t="shared" si="0"/>
        <v>1.2587780073918415E-6</v>
      </c>
      <c r="L9" s="45">
        <v>563.06902854401471</v>
      </c>
      <c r="M9" s="45">
        <v>417.96010718708629</v>
      </c>
      <c r="N9" s="45">
        <f t="shared" si="7"/>
        <v>2971.8791357311011</v>
      </c>
      <c r="O9" s="46">
        <f t="shared" si="8"/>
        <v>2971.8791357311011</v>
      </c>
      <c r="P9" s="47">
        <f t="shared" si="1"/>
        <v>17218.5</v>
      </c>
      <c r="Q9" s="46">
        <v>44150</v>
      </c>
      <c r="R9" s="47">
        <f t="shared" si="9"/>
        <v>26931.5</v>
      </c>
      <c r="S9" s="191">
        <f t="shared" si="10"/>
        <v>0.61</v>
      </c>
      <c r="T9" s="42">
        <v>17218.5</v>
      </c>
      <c r="U9" s="48">
        <f t="shared" si="2"/>
        <v>0.17259802745483643</v>
      </c>
      <c r="V9" s="49"/>
    </row>
    <row r="10" spans="1:22" x14ac:dyDescent="0.3">
      <c r="A10" s="40" t="str">
        <f>VLOOKUP(B10,Grupos!$A$2:$B$619,2,FALSE)</f>
        <v>ACCESORIOS</v>
      </c>
      <c r="B10" s="41" t="s">
        <v>21</v>
      </c>
      <c r="C10" s="41" t="s">
        <v>1058</v>
      </c>
      <c r="D10" s="42">
        <v>15</v>
      </c>
      <c r="E10" s="43">
        <v>68.150000000000006</v>
      </c>
      <c r="F10" s="43">
        <v>12.36</v>
      </c>
      <c r="G10" s="126">
        <f t="shared" si="3"/>
        <v>80.510000000000005</v>
      </c>
      <c r="H10" s="127">
        <f t="shared" si="4"/>
        <v>1022.2500000000001</v>
      </c>
      <c r="I10" s="128">
        <f t="shared" si="5"/>
        <v>185.39999999999998</v>
      </c>
      <c r="J10" s="128">
        <f t="shared" si="6"/>
        <v>1207.6500000000001</v>
      </c>
      <c r="K10" s="44">
        <f t="shared" si="0"/>
        <v>7.635749858737512E-7</v>
      </c>
      <c r="L10" s="45">
        <v>22.770518867859774</v>
      </c>
      <c r="M10" s="45">
        <v>81.111429185623905</v>
      </c>
      <c r="N10" s="45">
        <f t="shared" si="7"/>
        <v>184.3919480534837</v>
      </c>
      <c r="O10" s="46">
        <f t="shared" si="8"/>
        <v>2765.8792208022555</v>
      </c>
      <c r="P10" s="47">
        <f t="shared" si="1"/>
        <v>2887.5</v>
      </c>
      <c r="Q10" s="46">
        <v>3850</v>
      </c>
      <c r="R10" s="47">
        <f t="shared" si="9"/>
        <v>962.5</v>
      </c>
      <c r="S10" s="191">
        <f t="shared" si="10"/>
        <v>0.25</v>
      </c>
      <c r="T10" s="42">
        <v>43312.5</v>
      </c>
      <c r="U10" s="48">
        <f t="shared" si="2"/>
        <v>6.3858683308565783E-2</v>
      </c>
      <c r="V10" s="49"/>
    </row>
    <row r="11" spans="1:22" x14ac:dyDescent="0.3">
      <c r="A11" s="40" t="str">
        <f>VLOOKUP(B11,Grupos!$A$2:$B$619,2,FALSE)</f>
        <v>ACCESORIOS</v>
      </c>
      <c r="B11" s="41" t="s">
        <v>23</v>
      </c>
      <c r="C11" s="41" t="s">
        <v>24</v>
      </c>
      <c r="D11" s="42">
        <v>8400</v>
      </c>
      <c r="E11" s="43">
        <v>55.77</v>
      </c>
      <c r="F11" s="43">
        <v>28.94</v>
      </c>
      <c r="G11" s="126">
        <f t="shared" si="3"/>
        <v>84.710000000000008</v>
      </c>
      <c r="H11" s="127">
        <f t="shared" si="4"/>
        <v>468468</v>
      </c>
      <c r="I11" s="128">
        <f t="shared" si="5"/>
        <v>243096</v>
      </c>
      <c r="J11" s="128">
        <f t="shared" si="6"/>
        <v>711564.00000000012</v>
      </c>
      <c r="K11" s="44">
        <f t="shared" si="0"/>
        <v>4.4990889019854254E-4</v>
      </c>
      <c r="L11" s="45">
        <v>23.958398376554484</v>
      </c>
      <c r="M11" s="45">
        <v>189.91624276957575</v>
      </c>
      <c r="N11" s="45">
        <f t="shared" si="7"/>
        <v>298.58464114613025</v>
      </c>
      <c r="O11" s="46">
        <f t="shared" si="8"/>
        <v>2508110.9856274943</v>
      </c>
      <c r="P11" s="47">
        <f t="shared" si="1"/>
        <v>125.4857130952381</v>
      </c>
      <c r="Q11" s="46">
        <v>300</v>
      </c>
      <c r="R11" s="47">
        <f t="shared" si="9"/>
        <v>174.51428690476189</v>
      </c>
      <c r="S11" s="191">
        <f t="shared" si="10"/>
        <v>0.58171428968253958</v>
      </c>
      <c r="T11" s="42">
        <v>1054079.99</v>
      </c>
      <c r="U11" s="162">
        <f t="shared" si="2"/>
        <v>2.3794313613974345</v>
      </c>
      <c r="V11" s="49"/>
    </row>
    <row r="12" spans="1:22" x14ac:dyDescent="0.3">
      <c r="A12" s="40" t="str">
        <f>VLOOKUP(B12,Grupos!$A$2:$B$619,2,FALSE)</f>
        <v>ACCESORIOS</v>
      </c>
      <c r="B12" s="41" t="s">
        <v>25</v>
      </c>
      <c r="C12" s="41" t="s">
        <v>26</v>
      </c>
      <c r="D12" s="42">
        <v>8400</v>
      </c>
      <c r="E12" s="43">
        <v>40.380000000000003</v>
      </c>
      <c r="F12" s="43">
        <v>44.51</v>
      </c>
      <c r="G12" s="126">
        <f t="shared" si="3"/>
        <v>84.89</v>
      </c>
      <c r="H12" s="127">
        <f t="shared" si="4"/>
        <v>339192</v>
      </c>
      <c r="I12" s="128">
        <f t="shared" si="5"/>
        <v>373884</v>
      </c>
      <c r="J12" s="128">
        <f t="shared" si="6"/>
        <v>713076</v>
      </c>
      <c r="K12" s="44">
        <f t="shared" si="0"/>
        <v>4.5086490011750997E-4</v>
      </c>
      <c r="L12" s="45">
        <v>24.009307498355682</v>
      </c>
      <c r="M12" s="45">
        <v>292.09301885534956</v>
      </c>
      <c r="N12" s="45">
        <f t="shared" si="7"/>
        <v>400.99232635370527</v>
      </c>
      <c r="O12" s="46">
        <f t="shared" si="8"/>
        <v>3368335.5413711243</v>
      </c>
      <c r="P12" s="47">
        <f t="shared" si="1"/>
        <v>106.78571785714286</v>
      </c>
      <c r="Q12" s="46">
        <v>250</v>
      </c>
      <c r="R12" s="47">
        <f t="shared" si="9"/>
        <v>143.21428214285714</v>
      </c>
      <c r="S12" s="191">
        <f t="shared" si="10"/>
        <v>0.57285712857142856</v>
      </c>
      <c r="T12" s="42">
        <v>897000.03</v>
      </c>
      <c r="U12" s="162">
        <f t="shared" si="2"/>
        <v>3.755111960666405</v>
      </c>
      <c r="V12" s="49"/>
    </row>
    <row r="13" spans="1:22" x14ac:dyDescent="0.3">
      <c r="A13" s="40" t="str">
        <f>VLOOKUP(B13,Grupos!$A$2:$B$619,2,FALSE)</f>
        <v>ACCESORIOS</v>
      </c>
      <c r="B13" s="41" t="s">
        <v>708</v>
      </c>
      <c r="C13" s="41" t="s">
        <v>709</v>
      </c>
      <c r="D13" s="42">
        <v>1</v>
      </c>
      <c r="E13" s="43">
        <v>3042.06</v>
      </c>
      <c r="F13" s="43">
        <v>0</v>
      </c>
      <c r="G13" s="126">
        <f t="shared" si="3"/>
        <v>3042.06</v>
      </c>
      <c r="H13" s="127">
        <f t="shared" si="4"/>
        <v>3042.06</v>
      </c>
      <c r="I13" s="128">
        <f t="shared" si="5"/>
        <v>0</v>
      </c>
      <c r="J13" s="128">
        <f t="shared" si="6"/>
        <v>3042.06</v>
      </c>
      <c r="K13" s="44">
        <f t="shared" si="0"/>
        <v>1.9234388453004623E-6</v>
      </c>
      <c r="L13" s="45">
        <v>860.3811281475779</v>
      </c>
      <c r="M13" s="45">
        <v>0</v>
      </c>
      <c r="N13" s="45">
        <f t="shared" si="7"/>
        <v>3902.4411281475777</v>
      </c>
      <c r="O13" s="46">
        <f t="shared" si="8"/>
        <v>3902.4411281475777</v>
      </c>
      <c r="P13" s="47">
        <f t="shared" si="1"/>
        <v>32812.5</v>
      </c>
      <c r="Q13" s="46">
        <v>43750</v>
      </c>
      <c r="R13" s="47">
        <f t="shared" si="9"/>
        <v>10937.5</v>
      </c>
      <c r="S13" s="191">
        <f t="shared" si="10"/>
        <v>0.25</v>
      </c>
      <c r="T13" s="42">
        <v>32812.5</v>
      </c>
      <c r="U13" s="48">
        <f t="shared" si="2"/>
        <v>0.11893153914354522</v>
      </c>
      <c r="V13" s="49"/>
    </row>
    <row r="14" spans="1:22" x14ac:dyDescent="0.3">
      <c r="A14" s="40" t="str">
        <f>VLOOKUP(B14,Grupos!$A$2:$B$619,2,FALSE)</f>
        <v>ACCESORIOS</v>
      </c>
      <c r="B14" s="41" t="s">
        <v>1110</v>
      </c>
      <c r="C14" s="41" t="s">
        <v>1111</v>
      </c>
      <c r="D14" s="42">
        <v>412</v>
      </c>
      <c r="E14" s="43">
        <v>4402</v>
      </c>
      <c r="F14" s="43">
        <v>0</v>
      </c>
      <c r="G14" s="126">
        <f t="shared" si="3"/>
        <v>4402</v>
      </c>
      <c r="H14" s="127">
        <f t="shared" si="4"/>
        <v>1813624</v>
      </c>
      <c r="I14" s="128">
        <f t="shared" si="5"/>
        <v>0</v>
      </c>
      <c r="J14" s="128">
        <f t="shared" si="6"/>
        <v>1813624</v>
      </c>
      <c r="K14" s="44">
        <f t="shared" si="0"/>
        <v>1.1467212521676776E-3</v>
      </c>
      <c r="L14" s="45">
        <v>1245.0108564938357</v>
      </c>
      <c r="M14" s="45">
        <v>0</v>
      </c>
      <c r="N14" s="45">
        <f t="shared" si="7"/>
        <v>5647.0108564938355</v>
      </c>
      <c r="O14" s="46">
        <f t="shared" si="8"/>
        <v>2326568.4728754601</v>
      </c>
      <c r="P14" s="47">
        <f t="shared" si="1"/>
        <v>30000</v>
      </c>
      <c r="Q14" s="46">
        <v>55300</v>
      </c>
      <c r="R14" s="47">
        <f t="shared" si="9"/>
        <v>25300</v>
      </c>
      <c r="S14" s="191">
        <f t="shared" si="10"/>
        <v>0.45750452079566006</v>
      </c>
      <c r="T14" s="42">
        <v>12360000</v>
      </c>
      <c r="U14" s="48">
        <f t="shared" si="2"/>
        <v>0.18823369521646116</v>
      </c>
      <c r="V14" s="49"/>
    </row>
    <row r="15" spans="1:22" x14ac:dyDescent="0.3">
      <c r="A15" s="40" t="str">
        <f>VLOOKUP(B15,Grupos!$A$2:$B$619,2,FALSE)</f>
        <v>ACCESORIOS</v>
      </c>
      <c r="B15" s="41" t="s">
        <v>611</v>
      </c>
      <c r="C15" s="41" t="s">
        <v>1112</v>
      </c>
      <c r="D15" s="42">
        <v>1</v>
      </c>
      <c r="E15" s="43">
        <v>13631.16</v>
      </c>
      <c r="F15" s="43">
        <v>0</v>
      </c>
      <c r="G15" s="126">
        <f t="shared" si="3"/>
        <v>13631.16</v>
      </c>
      <c r="H15" s="127">
        <f t="shared" si="4"/>
        <v>13631.16</v>
      </c>
      <c r="I15" s="128">
        <f t="shared" si="5"/>
        <v>0</v>
      </c>
      <c r="J15" s="128">
        <f t="shared" si="6"/>
        <v>13631.16</v>
      </c>
      <c r="K15" s="44">
        <f t="shared" si="0"/>
        <v>8.6187329147044594E-6</v>
      </c>
      <c r="L15" s="45">
        <v>3855.2799151759455</v>
      </c>
      <c r="M15" s="45">
        <v>0</v>
      </c>
      <c r="N15" s="45">
        <f t="shared" si="7"/>
        <v>17486.439915175946</v>
      </c>
      <c r="O15" s="46">
        <f t="shared" si="8"/>
        <v>17486.439915175946</v>
      </c>
      <c r="P15" s="47">
        <f t="shared" si="1"/>
        <v>39280</v>
      </c>
      <c r="Q15" s="46">
        <v>98200</v>
      </c>
      <c r="R15" s="47">
        <f t="shared" si="9"/>
        <v>58920</v>
      </c>
      <c r="S15" s="191">
        <f t="shared" si="10"/>
        <v>0.6</v>
      </c>
      <c r="T15" s="42">
        <v>39280</v>
      </c>
      <c r="U15" s="48">
        <f t="shared" si="2"/>
        <v>0.44517413226008012</v>
      </c>
      <c r="V15" s="49"/>
    </row>
    <row r="16" spans="1:22" x14ac:dyDescent="0.3">
      <c r="A16" s="40" t="str">
        <f>VLOOKUP(B16,Grupos!$A$2:$B$619,2,FALSE)</f>
        <v>ACCESORIOS</v>
      </c>
      <c r="B16" s="41" t="s">
        <v>34</v>
      </c>
      <c r="C16" s="41" t="s">
        <v>35</v>
      </c>
      <c r="D16" s="42">
        <v>49</v>
      </c>
      <c r="E16" s="43">
        <v>1229.3900000000001</v>
      </c>
      <c r="F16" s="43">
        <v>0</v>
      </c>
      <c r="G16" s="126">
        <f t="shared" si="3"/>
        <v>1229.3900000000001</v>
      </c>
      <c r="H16" s="127">
        <f t="shared" si="4"/>
        <v>60240.110000000008</v>
      </c>
      <c r="I16" s="128">
        <f t="shared" si="5"/>
        <v>0</v>
      </c>
      <c r="J16" s="128">
        <f t="shared" si="6"/>
        <v>60240.110000000008</v>
      </c>
      <c r="K16" s="44">
        <f t="shared" si="0"/>
        <v>3.8088718703501198E-5</v>
      </c>
      <c r="L16" s="45">
        <v>347.70647361766396</v>
      </c>
      <c r="M16" s="45">
        <v>0</v>
      </c>
      <c r="N16" s="45">
        <f t="shared" si="7"/>
        <v>1577.0964736176641</v>
      </c>
      <c r="O16" s="46">
        <f t="shared" si="8"/>
        <v>77277.727207265532</v>
      </c>
      <c r="P16" s="47">
        <f t="shared" si="1"/>
        <v>6159.999591836734</v>
      </c>
      <c r="Q16" s="46">
        <v>15400</v>
      </c>
      <c r="R16" s="47">
        <f t="shared" si="9"/>
        <v>9240.0004081632651</v>
      </c>
      <c r="S16" s="191">
        <f t="shared" si="10"/>
        <v>0.60000002650410811</v>
      </c>
      <c r="T16" s="42">
        <v>301839.98</v>
      </c>
      <c r="U16" s="48">
        <f t="shared" si="2"/>
        <v>0.25602217177216063</v>
      </c>
      <c r="V16" s="49"/>
    </row>
    <row r="17" spans="1:22" x14ac:dyDescent="0.3">
      <c r="A17" s="40" t="str">
        <f>VLOOKUP(B17,Grupos!$A$2:$B$619,2,FALSE)</f>
        <v>ACCESORIOS</v>
      </c>
      <c r="B17" s="41" t="s">
        <v>36</v>
      </c>
      <c r="C17" s="41" t="s">
        <v>37</v>
      </c>
      <c r="D17" s="42">
        <v>13</v>
      </c>
      <c r="E17" s="43">
        <v>1583.66</v>
      </c>
      <c r="F17" s="43">
        <v>0</v>
      </c>
      <c r="G17" s="126">
        <f t="shared" si="3"/>
        <v>1583.66</v>
      </c>
      <c r="H17" s="127">
        <f t="shared" si="4"/>
        <v>20587.580000000002</v>
      </c>
      <c r="I17" s="128">
        <f t="shared" si="5"/>
        <v>0</v>
      </c>
      <c r="J17" s="128">
        <f t="shared" si="6"/>
        <v>20587.580000000002</v>
      </c>
      <c r="K17" s="44">
        <f t="shared" si="0"/>
        <v>1.3017149925619775E-5</v>
      </c>
      <c r="L17" s="45">
        <v>447.9041101760626</v>
      </c>
      <c r="M17" s="45">
        <v>0</v>
      </c>
      <c r="N17" s="45">
        <f t="shared" si="7"/>
        <v>2031.5641101760627</v>
      </c>
      <c r="O17" s="46">
        <f t="shared" si="8"/>
        <v>26410.333432288815</v>
      </c>
      <c r="P17" s="47">
        <f t="shared" si="1"/>
        <v>9240</v>
      </c>
      <c r="Q17" s="46">
        <v>22000</v>
      </c>
      <c r="R17" s="47">
        <f t="shared" si="9"/>
        <v>12760</v>
      </c>
      <c r="S17" s="191">
        <f t="shared" si="10"/>
        <v>0.57999999999999996</v>
      </c>
      <c r="T17" s="42">
        <v>120120</v>
      </c>
      <c r="U17" s="48">
        <f t="shared" si="2"/>
        <v>0.21986624569005009</v>
      </c>
      <c r="V17" s="49"/>
    </row>
    <row r="18" spans="1:22" x14ac:dyDescent="0.3">
      <c r="A18" s="40" t="str">
        <f>VLOOKUP(B18,Grupos!$A$2:$B$619,2,FALSE)</f>
        <v>ACCESORIOS</v>
      </c>
      <c r="B18" s="41" t="s">
        <v>731</v>
      </c>
      <c r="C18" s="41" t="s">
        <v>732</v>
      </c>
      <c r="D18" s="42">
        <v>45</v>
      </c>
      <c r="E18" s="43">
        <v>1185</v>
      </c>
      <c r="F18" s="43">
        <v>0</v>
      </c>
      <c r="G18" s="126">
        <f t="shared" si="3"/>
        <v>1185</v>
      </c>
      <c r="H18" s="127">
        <f t="shared" si="4"/>
        <v>53325</v>
      </c>
      <c r="I18" s="128">
        <f t="shared" si="5"/>
        <v>0</v>
      </c>
      <c r="J18" s="128">
        <f t="shared" si="6"/>
        <v>53325</v>
      </c>
      <c r="K18" s="44">
        <f t="shared" si="0"/>
        <v>3.3716421249300525E-5</v>
      </c>
      <c r="L18" s="45">
        <v>335.15171852457865</v>
      </c>
      <c r="M18" s="45">
        <v>0</v>
      </c>
      <c r="N18" s="45">
        <f t="shared" si="7"/>
        <v>1520.1517185245787</v>
      </c>
      <c r="O18" s="46">
        <f t="shared" si="8"/>
        <v>68406.827333606037</v>
      </c>
      <c r="P18" s="47">
        <f t="shared" si="1"/>
        <v>8799.9995555555543</v>
      </c>
      <c r="Q18" s="46">
        <v>22000</v>
      </c>
      <c r="R18" s="47">
        <f t="shared" si="9"/>
        <v>13200.000444444446</v>
      </c>
      <c r="S18" s="191">
        <f t="shared" si="10"/>
        <v>0.60000002020202026</v>
      </c>
      <c r="T18" s="42">
        <v>395999.98</v>
      </c>
      <c r="U18" s="48">
        <f t="shared" si="2"/>
        <v>0.17274452219317293</v>
      </c>
      <c r="V18" s="49"/>
    </row>
    <row r="19" spans="1:22" x14ac:dyDescent="0.3">
      <c r="A19" s="40" t="str">
        <f>VLOOKUP(B19,Grupos!$A$2:$B$619,2,FALSE)</f>
        <v>ACCESORIOS</v>
      </c>
      <c r="B19" s="41" t="s">
        <v>612</v>
      </c>
      <c r="C19" s="41" t="s">
        <v>1113</v>
      </c>
      <c r="D19" s="42">
        <v>2</v>
      </c>
      <c r="E19" s="43">
        <v>337.03</v>
      </c>
      <c r="F19" s="43">
        <v>23.18</v>
      </c>
      <c r="G19" s="126">
        <f t="shared" si="3"/>
        <v>360.21</v>
      </c>
      <c r="H19" s="127">
        <f t="shared" si="4"/>
        <v>674.06</v>
      </c>
      <c r="I19" s="128">
        <f t="shared" si="5"/>
        <v>46.36</v>
      </c>
      <c r="J19" s="128">
        <f t="shared" si="6"/>
        <v>720.42</v>
      </c>
      <c r="K19" s="44">
        <f t="shared" si="0"/>
        <v>4.5550837686678075E-7</v>
      </c>
      <c r="L19" s="45">
        <v>101.87763757783837</v>
      </c>
      <c r="M19" s="45">
        <v>152.11674178986749</v>
      </c>
      <c r="N19" s="45">
        <f t="shared" si="7"/>
        <v>614.20437936770577</v>
      </c>
      <c r="O19" s="46">
        <f t="shared" si="8"/>
        <v>1228.4087587354115</v>
      </c>
      <c r="P19" s="47">
        <f t="shared" si="1"/>
        <v>2537</v>
      </c>
      <c r="Q19" s="46">
        <v>5900</v>
      </c>
      <c r="R19" s="47">
        <f t="shared" si="9"/>
        <v>3363</v>
      </c>
      <c r="S19" s="191">
        <f t="shared" si="10"/>
        <v>0.56999999999999995</v>
      </c>
      <c r="T19" s="42">
        <v>5074</v>
      </c>
      <c r="U19" s="48">
        <f t="shared" si="2"/>
        <v>0.24209869111852808</v>
      </c>
      <c r="V19" s="49"/>
    </row>
    <row r="20" spans="1:22" x14ac:dyDescent="0.3">
      <c r="A20" s="40" t="str">
        <f>VLOOKUP(B20,Grupos!$A$2:$B$619,2,FALSE)</f>
        <v>ACCESORIOS</v>
      </c>
      <c r="B20" s="41" t="s">
        <v>41</v>
      </c>
      <c r="C20" s="41" t="s">
        <v>1079</v>
      </c>
      <c r="D20" s="42">
        <v>115</v>
      </c>
      <c r="E20" s="43">
        <v>47.32</v>
      </c>
      <c r="F20" s="43">
        <v>8.34</v>
      </c>
      <c r="G20" s="126">
        <f t="shared" si="3"/>
        <v>55.66</v>
      </c>
      <c r="H20" s="127">
        <f t="shared" si="4"/>
        <v>5441.8</v>
      </c>
      <c r="I20" s="128">
        <f t="shared" si="5"/>
        <v>959.1</v>
      </c>
      <c r="J20" s="128">
        <f t="shared" si="6"/>
        <v>6400.9</v>
      </c>
      <c r="K20" s="44">
        <f t="shared" si="0"/>
        <v>4.0471718851316962E-6</v>
      </c>
      <c r="L20" s="45">
        <v>15.742231774749406</v>
      </c>
      <c r="M20" s="45">
        <v>54.730527460202545</v>
      </c>
      <c r="N20" s="45">
        <f t="shared" si="7"/>
        <v>126.13275923495195</v>
      </c>
      <c r="O20" s="46">
        <f t="shared" si="8"/>
        <v>14505.267312019474</v>
      </c>
      <c r="P20" s="47">
        <f t="shared" si="1"/>
        <v>380</v>
      </c>
      <c r="Q20" s="46">
        <v>950</v>
      </c>
      <c r="R20" s="47">
        <f t="shared" si="9"/>
        <v>570</v>
      </c>
      <c r="S20" s="191">
        <f t="shared" si="10"/>
        <v>0.6</v>
      </c>
      <c r="T20" s="42">
        <v>43700</v>
      </c>
      <c r="U20" s="48">
        <f t="shared" si="2"/>
        <v>0.33192831377618931</v>
      </c>
      <c r="V20" s="49"/>
    </row>
    <row r="21" spans="1:22" x14ac:dyDescent="0.3">
      <c r="A21" s="40" t="str">
        <f>VLOOKUP(B21,Grupos!$A$2:$B$619,2,FALSE)</f>
        <v>ACCESORIOS</v>
      </c>
      <c r="B21" s="41" t="s">
        <v>614</v>
      </c>
      <c r="C21" s="41" t="s">
        <v>615</v>
      </c>
      <c r="D21" s="42">
        <v>150</v>
      </c>
      <c r="E21" s="43">
        <v>84.21</v>
      </c>
      <c r="F21" s="43">
        <v>0</v>
      </c>
      <c r="G21" s="126">
        <f t="shared" si="3"/>
        <v>84.21</v>
      </c>
      <c r="H21" s="127">
        <f t="shared" si="4"/>
        <v>12631.499999999998</v>
      </c>
      <c r="I21" s="128">
        <f t="shared" si="5"/>
        <v>0</v>
      </c>
      <c r="J21" s="128">
        <f t="shared" si="6"/>
        <v>12631.499999999998</v>
      </c>
      <c r="K21" s="44">
        <f t="shared" si="0"/>
        <v>7.9866661980410596E-6</v>
      </c>
      <c r="L21" s="45">
        <v>23.816984149328917</v>
      </c>
      <c r="M21" s="45">
        <v>0</v>
      </c>
      <c r="N21" s="45">
        <f t="shared" si="7"/>
        <v>108.02698414932891</v>
      </c>
      <c r="O21" s="46">
        <f t="shared" si="8"/>
        <v>16204.047622399337</v>
      </c>
      <c r="P21" s="47">
        <f t="shared" si="1"/>
        <v>300</v>
      </c>
      <c r="Q21" s="46">
        <v>300</v>
      </c>
      <c r="R21" s="47">
        <f t="shared" si="9"/>
        <v>0</v>
      </c>
      <c r="S21" s="191">
        <f t="shared" si="10"/>
        <v>0</v>
      </c>
      <c r="T21" s="42">
        <v>45000</v>
      </c>
      <c r="U21" s="48">
        <f t="shared" si="2"/>
        <v>0.36008994716442971</v>
      </c>
      <c r="V21" s="49"/>
    </row>
    <row r="22" spans="1:22" x14ac:dyDescent="0.3">
      <c r="A22" s="40" t="str">
        <f>VLOOKUP(B22,Grupos!$A$2:$B$619,2,FALSE)</f>
        <v>ACCESORIOS</v>
      </c>
      <c r="B22" s="41" t="s">
        <v>44</v>
      </c>
      <c r="C22" s="41" t="s">
        <v>45</v>
      </c>
      <c r="D22" s="42">
        <v>1</v>
      </c>
      <c r="E22" s="43">
        <v>4675.82</v>
      </c>
      <c r="F22" s="43">
        <v>35.880000000000003</v>
      </c>
      <c r="G22" s="126">
        <f t="shared" si="3"/>
        <v>4711.7</v>
      </c>
      <c r="H22" s="127">
        <f t="shared" si="4"/>
        <v>4675.82</v>
      </c>
      <c r="I22" s="128">
        <f t="shared" si="5"/>
        <v>35.880000000000003</v>
      </c>
      <c r="J22" s="128">
        <f t="shared" si="6"/>
        <v>4711.7</v>
      </c>
      <c r="K22" s="44">
        <f t="shared" si="0"/>
        <v>2.9791216502640278E-6</v>
      </c>
      <c r="L22" s="45">
        <v>1332.6028288373479</v>
      </c>
      <c r="M22" s="45">
        <v>235.45939151943253</v>
      </c>
      <c r="N22" s="45">
        <f t="shared" si="7"/>
        <v>6279.7622203567807</v>
      </c>
      <c r="O22" s="46">
        <f t="shared" si="8"/>
        <v>6279.7622203567807</v>
      </c>
      <c r="P22" s="47">
        <f t="shared" si="1"/>
        <v>21000</v>
      </c>
      <c r="Q22" s="46">
        <v>52500</v>
      </c>
      <c r="R22" s="47">
        <f t="shared" si="9"/>
        <v>31500</v>
      </c>
      <c r="S22" s="191">
        <f t="shared" si="10"/>
        <v>0.6</v>
      </c>
      <c r="T22" s="42">
        <v>21000</v>
      </c>
      <c r="U22" s="48">
        <f t="shared" si="2"/>
        <v>0.29903629620746575</v>
      </c>
      <c r="V22" s="49"/>
    </row>
    <row r="23" spans="1:22" x14ac:dyDescent="0.3">
      <c r="A23" s="40" t="str">
        <f>VLOOKUP(B23,Grupos!$A$2:$B$619,2,FALSE)</f>
        <v>ACCESORIOS</v>
      </c>
      <c r="B23" s="41" t="s">
        <v>666</v>
      </c>
      <c r="C23" s="41" t="s">
        <v>1116</v>
      </c>
      <c r="D23" s="42">
        <v>2</v>
      </c>
      <c r="E23" s="43">
        <v>7037.67</v>
      </c>
      <c r="F23" s="43">
        <v>184.12</v>
      </c>
      <c r="G23" s="126">
        <f t="shared" si="3"/>
        <v>7221.79</v>
      </c>
      <c r="H23" s="127">
        <f t="shared" si="4"/>
        <v>14075.34</v>
      </c>
      <c r="I23" s="128">
        <f t="shared" si="5"/>
        <v>368.24</v>
      </c>
      <c r="J23" s="128">
        <f t="shared" si="6"/>
        <v>14443.58</v>
      </c>
      <c r="K23" s="44">
        <f t="shared" si="0"/>
        <v>9.1324112072756124E-6</v>
      </c>
      <c r="L23" s="45">
        <v>2042.5277040705625</v>
      </c>
      <c r="M23" s="45">
        <v>1208.271548677757</v>
      </c>
      <c r="N23" s="45">
        <f t="shared" si="7"/>
        <v>10472.589252748319</v>
      </c>
      <c r="O23" s="46">
        <f t="shared" si="8"/>
        <v>20945.178505496639</v>
      </c>
      <c r="P23" s="47">
        <f t="shared" si="1"/>
        <v>31520</v>
      </c>
      <c r="Q23" s="46">
        <v>78800</v>
      </c>
      <c r="R23" s="47">
        <f t="shared" si="9"/>
        <v>47280</v>
      </c>
      <c r="S23" s="191">
        <f t="shared" si="10"/>
        <v>0.6</v>
      </c>
      <c r="T23" s="42">
        <v>63040</v>
      </c>
      <c r="U23" s="48">
        <f t="shared" si="2"/>
        <v>0.33225219710495935</v>
      </c>
      <c r="V23" s="49"/>
    </row>
    <row r="24" spans="1:22" x14ac:dyDescent="0.3">
      <c r="A24" s="40" t="str">
        <f>VLOOKUP(B24,Grupos!$A$2:$B$619,2,FALSE)</f>
        <v>ACCESORIOS</v>
      </c>
      <c r="B24" s="41" t="s">
        <v>710</v>
      </c>
      <c r="C24" s="41" t="s">
        <v>1117</v>
      </c>
      <c r="D24" s="42">
        <v>1</v>
      </c>
      <c r="E24" s="43">
        <v>4752.6000000000004</v>
      </c>
      <c r="F24" s="43">
        <v>35.880000000000003</v>
      </c>
      <c r="G24" s="126">
        <f t="shared" si="3"/>
        <v>4788.4800000000005</v>
      </c>
      <c r="H24" s="127">
        <f t="shared" si="4"/>
        <v>4752.6000000000004</v>
      </c>
      <c r="I24" s="128">
        <f t="shared" si="5"/>
        <v>35.880000000000003</v>
      </c>
      <c r="J24" s="128">
        <f t="shared" si="6"/>
        <v>4788.4800000000005</v>
      </c>
      <c r="K24" s="44">
        <f t="shared" si="0"/>
        <v>3.0276682386094813E-6</v>
      </c>
      <c r="L24" s="45">
        <v>1354.3183975701052</v>
      </c>
      <c r="M24" s="45">
        <v>235.45939151943253</v>
      </c>
      <c r="N24" s="45">
        <f t="shared" si="7"/>
        <v>6378.2577890895382</v>
      </c>
      <c r="O24" s="46">
        <f t="shared" si="8"/>
        <v>6378.2577890895382</v>
      </c>
      <c r="P24" s="47">
        <f t="shared" si="1"/>
        <v>51324</v>
      </c>
      <c r="Q24" s="46">
        <v>131600</v>
      </c>
      <c r="R24" s="47">
        <f t="shared" si="9"/>
        <v>80276</v>
      </c>
      <c r="S24" s="191">
        <f t="shared" si="10"/>
        <v>0.61</v>
      </c>
      <c r="T24" s="42">
        <v>51324</v>
      </c>
      <c r="U24" s="48">
        <f t="shared" si="2"/>
        <v>0.12427437045221608</v>
      </c>
      <c r="V24" s="49"/>
    </row>
    <row r="25" spans="1:22" x14ac:dyDescent="0.3">
      <c r="A25" s="40" t="str">
        <f>VLOOKUP(B25,Grupos!$A$2:$B$619,2,FALSE)</f>
        <v>ACCESORIOS</v>
      </c>
      <c r="B25" s="41" t="s">
        <v>46</v>
      </c>
      <c r="C25" s="41" t="s">
        <v>1118</v>
      </c>
      <c r="D25" s="42">
        <v>2</v>
      </c>
      <c r="E25" s="43">
        <v>8438.06</v>
      </c>
      <c r="F25" s="43">
        <v>208.45</v>
      </c>
      <c r="G25" s="126">
        <f t="shared" si="3"/>
        <v>8646.51</v>
      </c>
      <c r="H25" s="127">
        <f t="shared" si="4"/>
        <v>16876.12</v>
      </c>
      <c r="I25" s="128">
        <f t="shared" si="5"/>
        <v>416.9</v>
      </c>
      <c r="J25" s="128">
        <f t="shared" si="6"/>
        <v>17293.02</v>
      </c>
      <c r="K25" s="44">
        <f t="shared" si="0"/>
        <v>1.0934059952978509E-5</v>
      </c>
      <c r="L25" s="45">
        <v>2445.4790596961643</v>
      </c>
      <c r="M25" s="45">
        <v>1367.9350658368369</v>
      </c>
      <c r="N25" s="45">
        <f t="shared" si="7"/>
        <v>12459.924125533002</v>
      </c>
      <c r="O25" s="46">
        <f t="shared" si="8"/>
        <v>24919.848251066003</v>
      </c>
      <c r="P25" s="47">
        <f t="shared" si="1"/>
        <v>39524</v>
      </c>
      <c r="Q25" s="46">
        <v>96400</v>
      </c>
      <c r="R25" s="47">
        <f t="shared" si="9"/>
        <v>56876</v>
      </c>
      <c r="S25" s="191">
        <f t="shared" si="10"/>
        <v>0.59</v>
      </c>
      <c r="T25" s="42">
        <v>79048</v>
      </c>
      <c r="U25" s="48">
        <f t="shared" si="2"/>
        <v>0.31524957305771178</v>
      </c>
      <c r="V25" s="49"/>
    </row>
    <row r="26" spans="1:22" x14ac:dyDescent="0.3">
      <c r="A26" s="40" t="str">
        <f>VLOOKUP(B26,Grupos!$A$2:$B$619,2,FALSE)</f>
        <v>ACCESORIOS</v>
      </c>
      <c r="B26" s="41" t="s">
        <v>711</v>
      </c>
      <c r="C26" s="41" t="s">
        <v>1119</v>
      </c>
      <c r="D26" s="42">
        <v>17</v>
      </c>
      <c r="E26" s="43">
        <v>5628.84</v>
      </c>
      <c r="F26" s="43">
        <v>35.880000000000003</v>
      </c>
      <c r="G26" s="126">
        <f t="shared" si="3"/>
        <v>5664.72</v>
      </c>
      <c r="H26" s="127">
        <f t="shared" si="4"/>
        <v>95690.28</v>
      </c>
      <c r="I26" s="128">
        <f t="shared" si="5"/>
        <v>609.96</v>
      </c>
      <c r="J26" s="128">
        <f t="shared" si="6"/>
        <v>96300.24</v>
      </c>
      <c r="K26" s="44">
        <f t="shared" si="0"/>
        <v>6.0888878729465363E-5</v>
      </c>
      <c r="L26" s="45">
        <v>1602.1440024983553</v>
      </c>
      <c r="M26" s="45">
        <v>235.45939151943253</v>
      </c>
      <c r="N26" s="45">
        <f t="shared" si="7"/>
        <v>7502.3233940177888</v>
      </c>
      <c r="O26" s="46">
        <f t="shared" si="8"/>
        <v>127539.49769830241</v>
      </c>
      <c r="P26" s="47">
        <f t="shared" si="1"/>
        <v>67126.855882352946</v>
      </c>
      <c r="Q26" s="46">
        <v>160050</v>
      </c>
      <c r="R26" s="47">
        <f t="shared" si="9"/>
        <v>92923.144117647054</v>
      </c>
      <c r="S26" s="191">
        <f t="shared" si="10"/>
        <v>0.58058821691750739</v>
      </c>
      <c r="T26" s="42">
        <v>1141156.55</v>
      </c>
      <c r="U26" s="48">
        <f t="shared" si="2"/>
        <v>0.1117633664708864</v>
      </c>
      <c r="V26" s="49"/>
    </row>
    <row r="27" spans="1:22" x14ac:dyDescent="0.3">
      <c r="A27" s="40" t="str">
        <f>VLOOKUP(B27,Grupos!$A$2:$B$619,2,FALSE)</f>
        <v>ACCESORIOS</v>
      </c>
      <c r="B27" s="41" t="s">
        <v>669</v>
      </c>
      <c r="C27" s="41" t="s">
        <v>1120</v>
      </c>
      <c r="D27" s="42">
        <v>2</v>
      </c>
      <c r="E27" s="43">
        <v>9715.24</v>
      </c>
      <c r="F27" s="43">
        <v>256.69</v>
      </c>
      <c r="G27" s="126">
        <f t="shared" si="3"/>
        <v>9971.93</v>
      </c>
      <c r="H27" s="127">
        <f t="shared" si="4"/>
        <v>19430.48</v>
      </c>
      <c r="I27" s="128">
        <f t="shared" si="5"/>
        <v>513.38</v>
      </c>
      <c r="J27" s="128">
        <f t="shared" si="6"/>
        <v>19943.86</v>
      </c>
      <c r="K27" s="44">
        <f t="shared" si="0"/>
        <v>1.2610137554563053E-5</v>
      </c>
      <c r="L27" s="45">
        <v>2820.3455497947693</v>
      </c>
      <c r="M27" s="45">
        <v>1684.5058865418935</v>
      </c>
      <c r="N27" s="45">
        <f t="shared" si="7"/>
        <v>14476.781436336663</v>
      </c>
      <c r="O27" s="46">
        <f t="shared" si="8"/>
        <v>28953.562872673327</v>
      </c>
      <c r="P27" s="47">
        <f t="shared" si="1"/>
        <v>47202.75</v>
      </c>
      <c r="Q27" s="46">
        <v>116550</v>
      </c>
      <c r="R27" s="47">
        <f t="shared" si="9"/>
        <v>69347.25</v>
      </c>
      <c r="S27" s="191">
        <f t="shared" si="10"/>
        <v>0.59499999999999997</v>
      </c>
      <c r="T27" s="42">
        <v>94405.5</v>
      </c>
      <c r="U27" s="48">
        <f t="shared" si="2"/>
        <v>0.3066936023078457</v>
      </c>
      <c r="V27" s="49"/>
    </row>
    <row r="28" spans="1:22" x14ac:dyDescent="0.3">
      <c r="A28" s="40" t="str">
        <f>VLOOKUP(B28,Grupos!$A$2:$B$619,2,FALSE)</f>
        <v>ACCESORIOS</v>
      </c>
      <c r="B28" s="41" t="s">
        <v>746</v>
      </c>
      <c r="C28" s="41" t="s">
        <v>1121</v>
      </c>
      <c r="D28" s="42">
        <v>4</v>
      </c>
      <c r="E28" s="43">
        <v>9715.24</v>
      </c>
      <c r="F28" s="43">
        <v>256.69</v>
      </c>
      <c r="G28" s="126">
        <f t="shared" si="3"/>
        <v>9971.93</v>
      </c>
      <c r="H28" s="127">
        <f t="shared" si="4"/>
        <v>38860.959999999999</v>
      </c>
      <c r="I28" s="128">
        <f t="shared" si="5"/>
        <v>1026.76</v>
      </c>
      <c r="J28" s="128">
        <f t="shared" si="6"/>
        <v>39887.72</v>
      </c>
      <c r="K28" s="44">
        <f t="shared" si="0"/>
        <v>2.5220275109126105E-5</v>
      </c>
      <c r="L28" s="45">
        <v>2820.3455497947693</v>
      </c>
      <c r="M28" s="45">
        <v>1684.5058865418935</v>
      </c>
      <c r="N28" s="45">
        <f t="shared" si="7"/>
        <v>14476.781436336663</v>
      </c>
      <c r="O28" s="46">
        <f t="shared" si="8"/>
        <v>57907.125745346653</v>
      </c>
      <c r="P28" s="47">
        <f t="shared" si="1"/>
        <v>72259.247499999998</v>
      </c>
      <c r="Q28" s="46">
        <v>184100</v>
      </c>
      <c r="R28" s="47">
        <f t="shared" si="9"/>
        <v>111840.7525</v>
      </c>
      <c r="S28" s="191">
        <f t="shared" si="10"/>
        <v>0.60750001357957628</v>
      </c>
      <c r="T28" s="42">
        <v>289036.99</v>
      </c>
      <c r="U28" s="48">
        <f t="shared" si="2"/>
        <v>0.20034503454158811</v>
      </c>
      <c r="V28" s="49"/>
    </row>
    <row r="29" spans="1:22" x14ac:dyDescent="0.3">
      <c r="A29" s="40" t="str">
        <f>VLOOKUP(B29,Grupos!$A$2:$B$619,2,FALSE)</f>
        <v>ACCESORIOS</v>
      </c>
      <c r="B29" s="41" t="s">
        <v>853</v>
      </c>
      <c r="C29" s="41" t="s">
        <v>1122</v>
      </c>
      <c r="D29" s="42">
        <v>1</v>
      </c>
      <c r="E29" s="43">
        <v>15276.87</v>
      </c>
      <c r="F29" s="43">
        <v>300.39999999999998</v>
      </c>
      <c r="G29" s="126">
        <f t="shared" si="3"/>
        <v>15577.27</v>
      </c>
      <c r="H29" s="127">
        <f t="shared" si="4"/>
        <v>15276.87</v>
      </c>
      <c r="I29" s="128">
        <f t="shared" si="5"/>
        <v>300.39999999999998</v>
      </c>
      <c r="J29" s="128">
        <f t="shared" si="6"/>
        <v>15577.27</v>
      </c>
      <c r="K29" s="44">
        <f t="shared" si="0"/>
        <v>9.8492226391765887E-6</v>
      </c>
      <c r="L29" s="45">
        <v>4405.6951986678177</v>
      </c>
      <c r="M29" s="45">
        <v>1971.3489747056167</v>
      </c>
      <c r="N29" s="45">
        <f t="shared" si="7"/>
        <v>21954.314173373434</v>
      </c>
      <c r="O29" s="46">
        <f t="shared" si="8"/>
        <v>21954.314173373434</v>
      </c>
      <c r="P29" s="47">
        <f t="shared" si="1"/>
        <v>59080</v>
      </c>
      <c r="Q29" s="46">
        <v>147700</v>
      </c>
      <c r="R29" s="47">
        <f t="shared" si="9"/>
        <v>88620</v>
      </c>
      <c r="S29" s="191">
        <f t="shared" si="10"/>
        <v>0.6</v>
      </c>
      <c r="T29" s="42">
        <v>59080</v>
      </c>
      <c r="U29" s="48">
        <f t="shared" si="2"/>
        <v>0.37160315120808113</v>
      </c>
      <c r="V29" s="49"/>
    </row>
    <row r="30" spans="1:22" x14ac:dyDescent="0.3">
      <c r="A30" s="40" t="str">
        <f>VLOOKUP(B30,Grupos!$A$2:$B$619,2,FALSE)</f>
        <v>ACCESORIOS</v>
      </c>
      <c r="B30" s="41" t="s">
        <v>670</v>
      </c>
      <c r="C30" s="41" t="s">
        <v>1080</v>
      </c>
      <c r="D30" s="42">
        <v>1</v>
      </c>
      <c r="E30" s="43">
        <v>16597.88</v>
      </c>
      <c r="F30" s="43">
        <v>565.42999999999995</v>
      </c>
      <c r="G30" s="126">
        <f t="shared" si="3"/>
        <v>17163.310000000001</v>
      </c>
      <c r="H30" s="127">
        <f t="shared" si="4"/>
        <v>16597.88</v>
      </c>
      <c r="I30" s="128">
        <f t="shared" si="5"/>
        <v>565.42999999999995</v>
      </c>
      <c r="J30" s="128">
        <f t="shared" si="6"/>
        <v>17163.310000000001</v>
      </c>
      <c r="K30" s="44">
        <f t="shared" si="0"/>
        <v>1.0852046694652269E-5</v>
      </c>
      <c r="L30" s="45">
        <v>4854.2724405654735</v>
      </c>
      <c r="M30" s="45">
        <v>3710.5853887077124</v>
      </c>
      <c r="N30" s="45">
        <f t="shared" si="7"/>
        <v>25728.167829273189</v>
      </c>
      <c r="O30" s="46">
        <f t="shared" si="8"/>
        <v>25728.167829273189</v>
      </c>
      <c r="P30" s="47">
        <f t="shared" si="1"/>
        <v>64980</v>
      </c>
      <c r="Q30" s="46">
        <v>162450</v>
      </c>
      <c r="R30" s="47">
        <f t="shared" si="9"/>
        <v>97470</v>
      </c>
      <c r="S30" s="191">
        <f t="shared" si="10"/>
        <v>0.6</v>
      </c>
      <c r="T30" s="42">
        <v>64980</v>
      </c>
      <c r="U30" s="48">
        <f t="shared" si="2"/>
        <v>0.39593979423319775</v>
      </c>
      <c r="V30" s="49"/>
    </row>
    <row r="31" spans="1:22" x14ac:dyDescent="0.3">
      <c r="A31" s="40" t="str">
        <f>VLOOKUP(B31,Grupos!$A$2:$B$619,2,FALSE)</f>
        <v>ACCESORIOS</v>
      </c>
      <c r="B31" s="41" t="s">
        <v>747</v>
      </c>
      <c r="C31" s="41" t="s">
        <v>1081</v>
      </c>
      <c r="D31" s="42">
        <v>2</v>
      </c>
      <c r="E31" s="43">
        <v>16597.88</v>
      </c>
      <c r="F31" s="43">
        <v>565.42999999999995</v>
      </c>
      <c r="G31" s="126">
        <f t="shared" si="3"/>
        <v>17163.310000000001</v>
      </c>
      <c r="H31" s="127">
        <f t="shared" si="4"/>
        <v>33195.760000000002</v>
      </c>
      <c r="I31" s="128">
        <f t="shared" si="5"/>
        <v>1130.8599999999999</v>
      </c>
      <c r="J31" s="128">
        <f t="shared" si="6"/>
        <v>34326.620000000003</v>
      </c>
      <c r="K31" s="44">
        <f t="shared" si="0"/>
        <v>2.1704093389304537E-5</v>
      </c>
      <c r="L31" s="45">
        <v>4854.2724405654735</v>
      </c>
      <c r="M31" s="45">
        <v>3710.5853887077124</v>
      </c>
      <c r="N31" s="45">
        <f t="shared" si="7"/>
        <v>25728.167829273189</v>
      </c>
      <c r="O31" s="46">
        <f t="shared" si="8"/>
        <v>51456.335658546377</v>
      </c>
      <c r="P31" s="47">
        <f t="shared" si="1"/>
        <v>136131.245</v>
      </c>
      <c r="Q31" s="46">
        <v>236750</v>
      </c>
      <c r="R31" s="47">
        <f t="shared" si="9"/>
        <v>100618.755</v>
      </c>
      <c r="S31" s="191">
        <f t="shared" si="10"/>
        <v>0.42500002111932422</v>
      </c>
      <c r="T31" s="42">
        <v>272262.49</v>
      </c>
      <c r="U31" s="48">
        <f t="shared" si="2"/>
        <v>0.18899531719755586</v>
      </c>
      <c r="V31" s="49"/>
    </row>
    <row r="32" spans="1:22" x14ac:dyDescent="0.3">
      <c r="A32" s="40" t="str">
        <f>VLOOKUP(B32,Grupos!$A$2:$B$619,2,FALSE)</f>
        <v>ACCESORIOS</v>
      </c>
      <c r="B32" s="41" t="s">
        <v>1123</v>
      </c>
      <c r="C32" s="41" t="s">
        <v>1124</v>
      </c>
      <c r="D32" s="42">
        <v>1</v>
      </c>
      <c r="E32" s="43">
        <v>3014.96</v>
      </c>
      <c r="F32" s="43">
        <v>0</v>
      </c>
      <c r="G32" s="126">
        <f t="shared" si="3"/>
        <v>3014.96</v>
      </c>
      <c r="H32" s="127">
        <f t="shared" si="4"/>
        <v>3014.96</v>
      </c>
      <c r="I32" s="128">
        <f t="shared" si="5"/>
        <v>0</v>
      </c>
      <c r="J32" s="128">
        <f t="shared" si="6"/>
        <v>3014.96</v>
      </c>
      <c r="K32" s="44">
        <f t="shared" si="0"/>
        <v>1.90630401143537E-6</v>
      </c>
      <c r="L32" s="45">
        <v>852.71647703195242</v>
      </c>
      <c r="M32" s="45">
        <v>0</v>
      </c>
      <c r="N32" s="45">
        <f t="shared" si="7"/>
        <v>3867.6764770319523</v>
      </c>
      <c r="O32" s="46">
        <f t="shared" si="8"/>
        <v>3867.6764770319523</v>
      </c>
      <c r="P32" s="47">
        <f t="shared" si="1"/>
        <v>11680</v>
      </c>
      <c r="Q32" s="46">
        <v>29200</v>
      </c>
      <c r="R32" s="47">
        <f t="shared" si="9"/>
        <v>17520</v>
      </c>
      <c r="S32" s="191">
        <f t="shared" si="10"/>
        <v>0.6</v>
      </c>
      <c r="T32" s="42">
        <v>11680</v>
      </c>
      <c r="U32" s="48">
        <f t="shared" si="2"/>
        <v>0.33113668467739316</v>
      </c>
      <c r="V32" s="49"/>
    </row>
    <row r="33" spans="1:22" x14ac:dyDescent="0.3">
      <c r="A33" s="40" t="str">
        <f>VLOOKUP(B33,Grupos!$A$2:$B$619,2,FALSE)</f>
        <v>ACCESORIOS</v>
      </c>
      <c r="B33" s="41" t="s">
        <v>616</v>
      </c>
      <c r="C33" s="41" t="s">
        <v>617</v>
      </c>
      <c r="D33" s="42">
        <v>5</v>
      </c>
      <c r="E33" s="43">
        <v>3990.63</v>
      </c>
      <c r="F33" s="43">
        <v>35.880000000000003</v>
      </c>
      <c r="G33" s="126">
        <f t="shared" si="3"/>
        <v>4026.51</v>
      </c>
      <c r="H33" s="127">
        <f t="shared" si="4"/>
        <v>19953.150000000001</v>
      </c>
      <c r="I33" s="128">
        <f t="shared" si="5"/>
        <v>179.4</v>
      </c>
      <c r="J33" s="128">
        <f t="shared" si="6"/>
        <v>20132.550000000003</v>
      </c>
      <c r="K33" s="44">
        <f t="shared" si="0"/>
        <v>1.2729442787109336E-5</v>
      </c>
      <c r="L33" s="45">
        <v>1138.8116001319843</v>
      </c>
      <c r="M33" s="45">
        <v>235.45939151943253</v>
      </c>
      <c r="N33" s="45">
        <f t="shared" si="7"/>
        <v>5400.780991651417</v>
      </c>
      <c r="O33" s="46">
        <f t="shared" si="8"/>
        <v>27003.904958257084</v>
      </c>
      <c r="P33" s="47">
        <f t="shared" si="1"/>
        <v>17639.599999999999</v>
      </c>
      <c r="Q33" s="46">
        <v>41800</v>
      </c>
      <c r="R33" s="47">
        <f t="shared" si="9"/>
        <v>24160.400000000001</v>
      </c>
      <c r="S33" s="191">
        <f t="shared" si="10"/>
        <v>0.57800000000000007</v>
      </c>
      <c r="T33" s="42">
        <v>88198</v>
      </c>
      <c r="U33" s="48">
        <f t="shared" si="2"/>
        <v>0.30617366559623899</v>
      </c>
      <c r="V33" s="49"/>
    </row>
    <row r="34" spans="1:22" x14ac:dyDescent="0.3">
      <c r="A34" s="40" t="str">
        <f>VLOOKUP(B34,Grupos!$A$2:$B$619,2,FALSE)</f>
        <v>ACCESORIOS</v>
      </c>
      <c r="B34" s="41" t="s">
        <v>671</v>
      </c>
      <c r="C34" s="41" t="s">
        <v>1125</v>
      </c>
      <c r="D34" s="42">
        <v>91</v>
      </c>
      <c r="E34" s="43">
        <v>4448.3900000000003</v>
      </c>
      <c r="F34" s="43">
        <v>1.27</v>
      </c>
      <c r="G34" s="126">
        <f t="shared" si="3"/>
        <v>4449.6600000000008</v>
      </c>
      <c r="H34" s="127">
        <f t="shared" si="4"/>
        <v>404803.49000000005</v>
      </c>
      <c r="I34" s="128">
        <f t="shared" si="5"/>
        <v>115.57000000000001</v>
      </c>
      <c r="J34" s="128">
        <f t="shared" si="6"/>
        <v>404919.06000000006</v>
      </c>
      <c r="K34" s="44">
        <f t="shared" si="0"/>
        <v>2.5602290855753954E-4</v>
      </c>
      <c r="L34" s="45">
        <v>1258.4904606329762</v>
      </c>
      <c r="M34" s="45">
        <v>8.3342649729565021</v>
      </c>
      <c r="N34" s="45">
        <f t="shared" si="7"/>
        <v>5716.4847256059338</v>
      </c>
      <c r="O34" s="46">
        <f t="shared" si="8"/>
        <v>520200.11003013997</v>
      </c>
      <c r="P34" s="47">
        <f t="shared" si="1"/>
        <v>19500</v>
      </c>
      <c r="Q34" s="46">
        <v>13800</v>
      </c>
      <c r="R34" s="47">
        <f t="shared" si="9"/>
        <v>-5700</v>
      </c>
      <c r="S34" s="191">
        <f t="shared" si="10"/>
        <v>-0.41304347826086957</v>
      </c>
      <c r="T34" s="42">
        <v>1774500</v>
      </c>
      <c r="U34" s="48">
        <f t="shared" si="2"/>
        <v>0.29315306285158632</v>
      </c>
      <c r="V34" s="49"/>
    </row>
    <row r="35" spans="1:22" x14ac:dyDescent="0.3">
      <c r="A35" s="40" t="str">
        <f>VLOOKUP(B35,Grupos!$A$2:$B$619,2,FALSE)</f>
        <v>ACCESORIOS</v>
      </c>
      <c r="B35" s="41" t="s">
        <v>47</v>
      </c>
      <c r="C35" s="41" t="s">
        <v>48</v>
      </c>
      <c r="D35" s="42">
        <v>189</v>
      </c>
      <c r="E35" s="43">
        <v>398.94</v>
      </c>
      <c r="F35" s="43">
        <v>25.7</v>
      </c>
      <c r="G35" s="126">
        <f t="shared" si="3"/>
        <v>424.64</v>
      </c>
      <c r="H35" s="127">
        <f t="shared" si="4"/>
        <v>75399.66</v>
      </c>
      <c r="I35" s="128">
        <f t="shared" si="5"/>
        <v>4857.3</v>
      </c>
      <c r="J35" s="128">
        <f t="shared" si="6"/>
        <v>80256.959999999992</v>
      </c>
      <c r="K35" s="44">
        <f t="shared" si="0"/>
        <v>5.0745006498795347E-5</v>
      </c>
      <c r="L35" s="45">
        <v>120.1002748981241</v>
      </c>
      <c r="M35" s="45">
        <v>168.65402346848984</v>
      </c>
      <c r="N35" s="45">
        <f t="shared" si="7"/>
        <v>713.39429836661395</v>
      </c>
      <c r="O35" s="46">
        <f t="shared" si="8"/>
        <v>134831.52239129003</v>
      </c>
      <c r="P35" s="47">
        <f t="shared" si="1"/>
        <v>2867.8571428571427</v>
      </c>
      <c r="Q35" s="46">
        <v>7500</v>
      </c>
      <c r="R35" s="47">
        <f t="shared" si="9"/>
        <v>4632.1428571428569</v>
      </c>
      <c r="S35" s="191">
        <f t="shared" si="10"/>
        <v>0.61761904761904762</v>
      </c>
      <c r="T35" s="42">
        <v>542025</v>
      </c>
      <c r="U35" s="48">
        <f t="shared" si="2"/>
        <v>0.2487551725313224</v>
      </c>
      <c r="V35" s="49"/>
    </row>
    <row r="36" spans="1:22" x14ac:dyDescent="0.3">
      <c r="A36" s="40" t="str">
        <f>VLOOKUP(B36,Grupos!$A$2:$B$619,2,FALSE)</f>
        <v>ACCESORIOS</v>
      </c>
      <c r="B36" s="41" t="s">
        <v>49</v>
      </c>
      <c r="C36" s="41" t="s">
        <v>1085</v>
      </c>
      <c r="D36" s="42">
        <v>68</v>
      </c>
      <c r="E36" s="43">
        <v>532.88</v>
      </c>
      <c r="F36" s="43">
        <v>27.24</v>
      </c>
      <c r="G36" s="126">
        <f t="shared" si="3"/>
        <v>560.12</v>
      </c>
      <c r="H36" s="127">
        <f t="shared" si="4"/>
        <v>36235.839999999997</v>
      </c>
      <c r="I36" s="128">
        <f t="shared" si="5"/>
        <v>1852.32</v>
      </c>
      <c r="J36" s="128">
        <f t="shared" si="6"/>
        <v>38088.160000000003</v>
      </c>
      <c r="K36" s="44">
        <f t="shared" si="0"/>
        <v>2.4082446266680887E-5</v>
      </c>
      <c r="L36" s="45">
        <v>158.41787390716203</v>
      </c>
      <c r="M36" s="45">
        <v>178.76014004987016</v>
      </c>
      <c r="N36" s="45">
        <f t="shared" si="7"/>
        <v>897.29801395703225</v>
      </c>
      <c r="O36" s="46">
        <f t="shared" si="8"/>
        <v>61016.264949078191</v>
      </c>
      <c r="P36" s="47">
        <f t="shared" si="1"/>
        <v>3048.5295588235294</v>
      </c>
      <c r="Q36" s="46">
        <v>7500</v>
      </c>
      <c r="R36" s="47">
        <f t="shared" si="9"/>
        <v>4451.4704411764706</v>
      </c>
      <c r="S36" s="191">
        <f t="shared" si="10"/>
        <v>0.59352939215686273</v>
      </c>
      <c r="T36" s="42">
        <v>207300.01</v>
      </c>
      <c r="U36" s="48">
        <f t="shared" si="2"/>
        <v>0.29433797397828487</v>
      </c>
      <c r="V36" s="49"/>
    </row>
    <row r="37" spans="1:22" x14ac:dyDescent="0.3">
      <c r="A37" s="40" t="str">
        <f>VLOOKUP(B37,Grupos!$A$2:$B$619,2,FALSE)</f>
        <v>ACCESORIOS</v>
      </c>
      <c r="B37" s="41" t="s">
        <v>50</v>
      </c>
      <c r="C37" s="41" t="s">
        <v>51</v>
      </c>
      <c r="D37" s="42">
        <v>15</v>
      </c>
      <c r="E37" s="43">
        <v>532.88</v>
      </c>
      <c r="F37" s="43">
        <v>27.24</v>
      </c>
      <c r="G37" s="126">
        <f t="shared" si="3"/>
        <v>560.12</v>
      </c>
      <c r="H37" s="127">
        <f t="shared" si="4"/>
        <v>7993.2</v>
      </c>
      <c r="I37" s="128">
        <f t="shared" si="5"/>
        <v>408.59999999999997</v>
      </c>
      <c r="J37" s="128">
        <f t="shared" si="6"/>
        <v>8401.7999999999993</v>
      </c>
      <c r="K37" s="44">
        <f t="shared" si="0"/>
        <v>5.3123043235325479E-6</v>
      </c>
      <c r="L37" s="45">
        <v>158.417873907162</v>
      </c>
      <c r="M37" s="45">
        <v>178.76014004987016</v>
      </c>
      <c r="N37" s="45">
        <f t="shared" si="7"/>
        <v>897.29801395703225</v>
      </c>
      <c r="O37" s="46">
        <f t="shared" si="8"/>
        <v>13459.470209355484</v>
      </c>
      <c r="P37" s="47">
        <f t="shared" si="1"/>
        <v>3075</v>
      </c>
      <c r="Q37" s="46">
        <v>7500</v>
      </c>
      <c r="R37" s="47">
        <f t="shared" si="9"/>
        <v>4425</v>
      </c>
      <c r="S37" s="191">
        <f t="shared" si="10"/>
        <v>0.59</v>
      </c>
      <c r="T37" s="42">
        <v>46125</v>
      </c>
      <c r="U37" s="48">
        <f t="shared" si="2"/>
        <v>0.2918042321811487</v>
      </c>
      <c r="V37" s="49"/>
    </row>
    <row r="38" spans="1:22" x14ac:dyDescent="0.3">
      <c r="A38" s="40" t="str">
        <f>VLOOKUP(B38,Grupos!$A$2:$B$619,2,FALSE)</f>
        <v>ACCESORIOS</v>
      </c>
      <c r="B38" s="41" t="s">
        <v>714</v>
      </c>
      <c r="C38" s="41" t="s">
        <v>715</v>
      </c>
      <c r="D38" s="42">
        <v>1</v>
      </c>
      <c r="E38" s="43">
        <v>3125.57</v>
      </c>
      <c r="F38" s="43">
        <v>0</v>
      </c>
      <c r="G38" s="126">
        <f t="shared" si="3"/>
        <v>3125.57</v>
      </c>
      <c r="H38" s="127">
        <f t="shared" si="4"/>
        <v>3125.57</v>
      </c>
      <c r="I38" s="128">
        <f t="shared" si="5"/>
        <v>0</v>
      </c>
      <c r="J38" s="128">
        <f t="shared" si="6"/>
        <v>3125.57</v>
      </c>
      <c r="K38" s="44">
        <f t="shared" si="0"/>
        <v>1.9762406894360288E-6</v>
      </c>
      <c r="L38" s="45">
        <v>884.00013237879091</v>
      </c>
      <c r="M38" s="45">
        <v>0</v>
      </c>
      <c r="N38" s="45">
        <f t="shared" si="7"/>
        <v>4009.5701323787912</v>
      </c>
      <c r="O38" s="46">
        <f t="shared" si="8"/>
        <v>4009.5701323787912</v>
      </c>
      <c r="P38" s="47">
        <f t="shared" si="1"/>
        <v>32812.5</v>
      </c>
      <c r="Q38" s="46">
        <v>43750</v>
      </c>
      <c r="R38" s="47">
        <f t="shared" si="9"/>
        <v>10937.5</v>
      </c>
      <c r="S38" s="191">
        <f t="shared" si="10"/>
        <v>0.25</v>
      </c>
      <c r="T38" s="42">
        <v>32812.5</v>
      </c>
      <c r="U38" s="48">
        <f t="shared" si="2"/>
        <v>0.12219642308202031</v>
      </c>
      <c r="V38" s="49"/>
    </row>
    <row r="39" spans="1:22" x14ac:dyDescent="0.3">
      <c r="A39" s="40" t="str">
        <f>VLOOKUP(B39,Grupos!$A$2:$B$619,2,FALSE)</f>
        <v>ACCESORIOS</v>
      </c>
      <c r="B39" s="41" t="s">
        <v>622</v>
      </c>
      <c r="C39" s="41" t="s">
        <v>1127</v>
      </c>
      <c r="D39" s="42">
        <v>2</v>
      </c>
      <c r="E39" s="43">
        <v>13961.4</v>
      </c>
      <c r="F39" s="43">
        <v>0</v>
      </c>
      <c r="G39" s="126">
        <f t="shared" si="3"/>
        <v>13961.4</v>
      </c>
      <c r="H39" s="127">
        <f t="shared" si="4"/>
        <v>27922.799999999999</v>
      </c>
      <c r="I39" s="128">
        <f t="shared" si="5"/>
        <v>0</v>
      </c>
      <c r="J39" s="128">
        <f t="shared" si="6"/>
        <v>27922.799999999999</v>
      </c>
      <c r="K39" s="44">
        <f t="shared" si="0"/>
        <v>1.7655075241630918E-5</v>
      </c>
      <c r="L39" s="45">
        <v>3948.6811839738843</v>
      </c>
      <c r="M39" s="45">
        <v>0</v>
      </c>
      <c r="N39" s="45">
        <f t="shared" si="7"/>
        <v>17910.081183973885</v>
      </c>
      <c r="O39" s="46">
        <f t="shared" si="8"/>
        <v>35820.162367947771</v>
      </c>
      <c r="P39" s="47">
        <f t="shared" si="1"/>
        <v>56465</v>
      </c>
      <c r="Q39" s="46">
        <v>98200</v>
      </c>
      <c r="R39" s="47">
        <f t="shared" si="9"/>
        <v>41735</v>
      </c>
      <c r="S39" s="191">
        <f t="shared" si="10"/>
        <v>0.42499999999999999</v>
      </c>
      <c r="T39" s="42">
        <v>112930</v>
      </c>
      <c r="U39" s="48">
        <f t="shared" si="2"/>
        <v>0.31718907613519676</v>
      </c>
      <c r="V39" s="49"/>
    </row>
    <row r="40" spans="1:22" x14ac:dyDescent="0.3">
      <c r="A40" s="40" t="str">
        <f>VLOOKUP(B40,Grupos!$A$2:$B$619,2,FALSE)</f>
        <v>ACCESORIOS</v>
      </c>
      <c r="B40" s="41" t="s">
        <v>675</v>
      </c>
      <c r="C40" s="41" t="s">
        <v>676</v>
      </c>
      <c r="D40" s="42">
        <v>49</v>
      </c>
      <c r="E40" s="43">
        <v>1271.1500000000001</v>
      </c>
      <c r="F40" s="43">
        <v>0</v>
      </c>
      <c r="G40" s="126">
        <f t="shared" si="3"/>
        <v>1271.1500000000001</v>
      </c>
      <c r="H40" s="127">
        <f t="shared" si="4"/>
        <v>62286.350000000006</v>
      </c>
      <c r="I40" s="128">
        <f t="shared" si="5"/>
        <v>0</v>
      </c>
      <c r="J40" s="128">
        <f t="shared" si="6"/>
        <v>62286.350000000006</v>
      </c>
      <c r="K40" s="44">
        <f t="shared" si="0"/>
        <v>3.9382518793837225E-5</v>
      </c>
      <c r="L40" s="45">
        <v>359.51738987554279</v>
      </c>
      <c r="M40" s="45">
        <v>0</v>
      </c>
      <c r="N40" s="45">
        <f t="shared" si="7"/>
        <v>1630.667389875543</v>
      </c>
      <c r="O40" s="46">
        <f t="shared" si="8"/>
        <v>79902.702103901611</v>
      </c>
      <c r="P40" s="47">
        <f t="shared" si="1"/>
        <v>6159.999591836734</v>
      </c>
      <c r="Q40" s="46">
        <v>15400</v>
      </c>
      <c r="R40" s="47">
        <f t="shared" si="9"/>
        <v>9240.0004081632651</v>
      </c>
      <c r="S40" s="191">
        <f t="shared" si="10"/>
        <v>0.60000002650410811</v>
      </c>
      <c r="T40" s="42">
        <v>301839.98</v>
      </c>
      <c r="U40" s="48">
        <f t="shared" si="2"/>
        <v>0.26471874966298903</v>
      </c>
      <c r="V40" s="49"/>
    </row>
    <row r="41" spans="1:22" x14ac:dyDescent="0.3">
      <c r="A41" s="40" t="str">
        <f>VLOOKUP(B41,Grupos!$A$2:$B$619,2,FALSE)</f>
        <v>ACCESORIOS</v>
      </c>
      <c r="B41" s="41" t="s">
        <v>56</v>
      </c>
      <c r="C41" s="41" t="s">
        <v>57</v>
      </c>
      <c r="D41" s="42">
        <v>43</v>
      </c>
      <c r="E41" s="43">
        <v>1666.74</v>
      </c>
      <c r="F41" s="43">
        <v>0</v>
      </c>
      <c r="G41" s="126">
        <f t="shared" si="3"/>
        <v>1666.74</v>
      </c>
      <c r="H41" s="127">
        <f t="shared" si="4"/>
        <v>71669.820000000007</v>
      </c>
      <c r="I41" s="128">
        <f t="shared" si="5"/>
        <v>0</v>
      </c>
      <c r="J41" s="128">
        <f t="shared" si="6"/>
        <v>71669.820000000007</v>
      </c>
      <c r="K41" s="44">
        <f t="shared" si="0"/>
        <v>4.5315515086386198E-5</v>
      </c>
      <c r="L41" s="45">
        <v>471.40149817186187</v>
      </c>
      <c r="M41" s="45">
        <v>0</v>
      </c>
      <c r="N41" s="45">
        <f t="shared" si="7"/>
        <v>2138.1414981718617</v>
      </c>
      <c r="O41" s="46">
        <f t="shared" si="8"/>
        <v>91940.084421390056</v>
      </c>
      <c r="P41" s="47">
        <f t="shared" si="1"/>
        <v>8881.8602325581396</v>
      </c>
      <c r="Q41" s="46">
        <v>22000</v>
      </c>
      <c r="R41" s="47">
        <f t="shared" si="9"/>
        <v>13118.13976744186</v>
      </c>
      <c r="S41" s="191">
        <f t="shared" si="10"/>
        <v>0.59627908033826638</v>
      </c>
      <c r="T41" s="42">
        <v>381919.99</v>
      </c>
      <c r="U41" s="48">
        <f t="shared" si="2"/>
        <v>0.24073127049827914</v>
      </c>
      <c r="V41" s="49"/>
    </row>
    <row r="42" spans="1:22" x14ac:dyDescent="0.3">
      <c r="A42" s="40" t="str">
        <f>VLOOKUP(B42,Grupos!$A$2:$B$619,2,FALSE)</f>
        <v>ACCESORIOS</v>
      </c>
      <c r="B42" s="41" t="s">
        <v>733</v>
      </c>
      <c r="C42" s="41" t="s">
        <v>734</v>
      </c>
      <c r="D42" s="42">
        <v>35</v>
      </c>
      <c r="E42" s="43">
        <v>1201</v>
      </c>
      <c r="F42" s="43">
        <v>0</v>
      </c>
      <c r="G42" s="126">
        <f t="shared" si="3"/>
        <v>1201</v>
      </c>
      <c r="H42" s="127">
        <f t="shared" si="4"/>
        <v>42035</v>
      </c>
      <c r="I42" s="128">
        <f t="shared" si="5"/>
        <v>0</v>
      </c>
      <c r="J42" s="128">
        <f t="shared" si="6"/>
        <v>42035</v>
      </c>
      <c r="K42" s="44">
        <f t="shared" si="0"/>
        <v>2.6577960941666151E-5</v>
      </c>
      <c r="L42" s="45">
        <v>339.67697379579658</v>
      </c>
      <c r="M42" s="45">
        <v>0</v>
      </c>
      <c r="N42" s="45">
        <f t="shared" si="7"/>
        <v>1540.6769737957966</v>
      </c>
      <c r="O42" s="46">
        <f t="shared" si="8"/>
        <v>53923.694082852882</v>
      </c>
      <c r="P42" s="47">
        <f t="shared" si="1"/>
        <v>8799.9994285714274</v>
      </c>
      <c r="Q42" s="46">
        <v>22000</v>
      </c>
      <c r="R42" s="47">
        <f t="shared" si="9"/>
        <v>13200.000571428573</v>
      </c>
      <c r="S42" s="191">
        <f t="shared" si="10"/>
        <v>0.60000002597402602</v>
      </c>
      <c r="T42" s="42">
        <v>307999.98</v>
      </c>
      <c r="U42" s="152">
        <f t="shared" si="2"/>
        <v>0.17507694020906392</v>
      </c>
      <c r="V42" s="49"/>
    </row>
    <row r="43" spans="1:22" x14ac:dyDescent="0.3">
      <c r="A43" s="40" t="str">
        <f>VLOOKUP(B43,Grupos!$A$2:$B$619,2,FALSE)</f>
        <v>ADAPTADORES</v>
      </c>
      <c r="B43" s="41" t="s">
        <v>58</v>
      </c>
      <c r="C43" s="41" t="s">
        <v>59</v>
      </c>
      <c r="D43" s="42">
        <v>6400</v>
      </c>
      <c r="E43" s="43">
        <v>15.04</v>
      </c>
      <c r="F43" s="43">
        <v>4.49</v>
      </c>
      <c r="G43" s="126">
        <f t="shared" si="3"/>
        <v>19.53</v>
      </c>
      <c r="H43" s="127">
        <f t="shared" si="4"/>
        <v>96256</v>
      </c>
      <c r="I43" s="128">
        <f t="shared" si="5"/>
        <v>28736</v>
      </c>
      <c r="J43" s="128">
        <f t="shared" si="6"/>
        <v>124992</v>
      </c>
      <c r="K43" s="44">
        <f t="shared" si="0"/>
        <v>7.9030153301314033E-5</v>
      </c>
      <c r="L43" s="45">
        <v>5.5236397154303969</v>
      </c>
      <c r="M43" s="45">
        <v>29.465236006751731</v>
      </c>
      <c r="N43" s="45">
        <f t="shared" si="7"/>
        <v>54.518875722182131</v>
      </c>
      <c r="O43" s="46">
        <f t="shared" si="8"/>
        <v>348920.80462196562</v>
      </c>
      <c r="P43" s="47">
        <f t="shared" si="1"/>
        <v>91.875001562500003</v>
      </c>
      <c r="Q43" s="46">
        <v>250</v>
      </c>
      <c r="R43" s="47">
        <f t="shared" si="9"/>
        <v>158.12499843749998</v>
      </c>
      <c r="S43" s="191">
        <f t="shared" si="10"/>
        <v>0.63249999374999988</v>
      </c>
      <c r="T43" s="42">
        <v>588000.01</v>
      </c>
      <c r="U43" s="48">
        <f t="shared" si="2"/>
        <v>0.5934027188570381</v>
      </c>
      <c r="V43" s="49"/>
    </row>
    <row r="44" spans="1:22" x14ac:dyDescent="0.3">
      <c r="A44" s="40" t="str">
        <f>VLOOKUP(B44,Grupos!$A$2:$B$619,2,FALSE)</f>
        <v>ADAPTADORES</v>
      </c>
      <c r="B44" s="41" t="s">
        <v>624</v>
      </c>
      <c r="C44" s="41" t="s">
        <v>625</v>
      </c>
      <c r="D44" s="42">
        <v>1000</v>
      </c>
      <c r="E44" s="43">
        <v>20.18</v>
      </c>
      <c r="F44" s="43">
        <v>4.9000000000000004</v>
      </c>
      <c r="G44" s="126">
        <f t="shared" si="3"/>
        <v>25.08</v>
      </c>
      <c r="H44" s="127">
        <f t="shared" si="4"/>
        <v>20180</v>
      </c>
      <c r="I44" s="128">
        <f t="shared" si="5"/>
        <v>4900</v>
      </c>
      <c r="J44" s="128">
        <f t="shared" si="6"/>
        <v>25080</v>
      </c>
      <c r="K44" s="44">
        <f t="shared" si="0"/>
        <v>1.5857624846365815E-5</v>
      </c>
      <c r="L44" s="45">
        <v>7.0933376376341206</v>
      </c>
      <c r="M44" s="45">
        <v>32.155825486210126</v>
      </c>
      <c r="N44" s="45">
        <f t="shared" si="7"/>
        <v>64.329163123844239</v>
      </c>
      <c r="O44" s="46">
        <f t="shared" si="8"/>
        <v>64329.163123844242</v>
      </c>
      <c r="P44" s="47">
        <f t="shared" si="1"/>
        <v>105.00000999999999</v>
      </c>
      <c r="Q44" s="46">
        <v>300</v>
      </c>
      <c r="R44" s="47">
        <f t="shared" si="9"/>
        <v>194.99999000000003</v>
      </c>
      <c r="S44" s="191">
        <f t="shared" si="10"/>
        <v>0.64999996666666671</v>
      </c>
      <c r="T44" s="42">
        <v>105000.01</v>
      </c>
      <c r="U44" s="48">
        <f t="shared" si="2"/>
        <v>0.61265863806912257</v>
      </c>
      <c r="V44" s="49"/>
    </row>
    <row r="45" spans="1:22" x14ac:dyDescent="0.3">
      <c r="A45" s="40" t="str">
        <f>VLOOKUP(B45,Grupos!$A$2:$B$619,2,FALSE)</f>
        <v>ADAPTADORES</v>
      </c>
      <c r="B45" s="41" t="s">
        <v>60</v>
      </c>
      <c r="C45" s="41" t="s">
        <v>61</v>
      </c>
      <c r="D45" s="42">
        <v>145200</v>
      </c>
      <c r="E45" s="43">
        <v>26.11</v>
      </c>
      <c r="F45" s="43">
        <v>10.44</v>
      </c>
      <c r="G45" s="126">
        <f t="shared" si="3"/>
        <v>36.549999999999997</v>
      </c>
      <c r="H45" s="127">
        <f t="shared" si="4"/>
        <v>3791172</v>
      </c>
      <c r="I45" s="128">
        <f t="shared" si="5"/>
        <v>1515888</v>
      </c>
      <c r="J45" s="128">
        <f t="shared" si="6"/>
        <v>5307060</v>
      </c>
      <c r="K45" s="44">
        <f t="shared" si="0"/>
        <v>3.3555568786744084E-3</v>
      </c>
      <c r="L45" s="45">
        <v>10.337380010188481</v>
      </c>
      <c r="M45" s="45">
        <v>68.511595525721162</v>
      </c>
      <c r="N45" s="45">
        <f t="shared" si="7"/>
        <v>115.39897553590964</v>
      </c>
      <c r="O45" s="46">
        <f t="shared" si="8"/>
        <v>16755931.24781408</v>
      </c>
      <c r="P45" s="47">
        <f t="shared" si="1"/>
        <v>106.23967548209367</v>
      </c>
      <c r="Q45" s="46">
        <v>300</v>
      </c>
      <c r="R45" s="47">
        <f t="shared" si="9"/>
        <v>193.76032451790633</v>
      </c>
      <c r="S45" s="191">
        <f t="shared" si="10"/>
        <v>0.64586774839302108</v>
      </c>
      <c r="T45" s="42">
        <v>15426000.880000001</v>
      </c>
      <c r="U45" s="162">
        <f t="shared" si="2"/>
        <v>1.0862135545148548</v>
      </c>
      <c r="V45" s="49"/>
    </row>
    <row r="46" spans="1:22" x14ac:dyDescent="0.3">
      <c r="A46" s="40" t="str">
        <f>VLOOKUP(B46,Grupos!$A$2:$B$619,2,FALSE)</f>
        <v>ADAPTADORES</v>
      </c>
      <c r="B46" s="41" t="s">
        <v>766</v>
      </c>
      <c r="C46" s="41" t="s">
        <v>1048</v>
      </c>
      <c r="D46" s="42">
        <v>31200</v>
      </c>
      <c r="E46" s="43">
        <v>55.65</v>
      </c>
      <c r="F46" s="43">
        <v>10.51</v>
      </c>
      <c r="G46" s="126">
        <f t="shared" si="3"/>
        <v>66.16</v>
      </c>
      <c r="H46" s="127">
        <f t="shared" si="4"/>
        <v>1736280</v>
      </c>
      <c r="I46" s="128">
        <f t="shared" si="5"/>
        <v>327912</v>
      </c>
      <c r="J46" s="128">
        <f t="shared" si="6"/>
        <v>2064192</v>
      </c>
      <c r="K46" s="44">
        <f t="shared" si="0"/>
        <v>1.30515081127869E-3</v>
      </c>
      <c r="L46" s="45">
        <v>18.71193054648618</v>
      </c>
      <c r="M46" s="45">
        <v>68.970964461238452</v>
      </c>
      <c r="N46" s="45">
        <f t="shared" si="7"/>
        <v>153.84289500772462</v>
      </c>
      <c r="O46" s="46">
        <f t="shared" si="8"/>
        <v>4799898.3242410086</v>
      </c>
      <c r="P46" s="47">
        <f t="shared" si="1"/>
        <v>164.3884544871795</v>
      </c>
      <c r="Q46" s="46">
        <v>510</v>
      </c>
      <c r="R46" s="47">
        <f t="shared" si="9"/>
        <v>345.6115455128205</v>
      </c>
      <c r="S46" s="191">
        <f t="shared" si="10"/>
        <v>0.67766969708396174</v>
      </c>
      <c r="T46" s="42">
        <v>5128919.78</v>
      </c>
      <c r="U46" s="48">
        <f t="shared" si="2"/>
        <v>0.93584975591897601</v>
      </c>
      <c r="V46" s="49"/>
    </row>
    <row r="47" spans="1:22" x14ac:dyDescent="0.3">
      <c r="A47" s="40" t="str">
        <f>VLOOKUP(B47,Grupos!$A$2:$B$619,2,FALSE)</f>
        <v>ADAPTADORES</v>
      </c>
      <c r="B47" s="41" t="s">
        <v>1049</v>
      </c>
      <c r="C47" s="41" t="s">
        <v>1050</v>
      </c>
      <c r="D47" s="42">
        <v>738900</v>
      </c>
      <c r="E47" s="43">
        <v>27.67</v>
      </c>
      <c r="F47" s="43">
        <v>5.04</v>
      </c>
      <c r="G47" s="126">
        <f t="shared" si="3"/>
        <v>32.71</v>
      </c>
      <c r="H47" s="127">
        <f t="shared" si="4"/>
        <v>20445363</v>
      </c>
      <c r="I47" s="128">
        <f t="shared" si="5"/>
        <v>3724056</v>
      </c>
      <c r="J47" s="128">
        <f t="shared" si="6"/>
        <v>24169419</v>
      </c>
      <c r="K47" s="44">
        <f t="shared" si="0"/>
        <v>1.5281881150583175E-2</v>
      </c>
      <c r="L47" s="45">
        <v>9.2513187450961762</v>
      </c>
      <c r="M47" s="45">
        <v>33.074563357244699</v>
      </c>
      <c r="N47" s="45">
        <f t="shared" si="7"/>
        <v>75.035882102340878</v>
      </c>
      <c r="O47" s="46">
        <f t="shared" si="8"/>
        <v>55444013.285419673</v>
      </c>
      <c r="P47" s="47">
        <f t="shared" si="1"/>
        <v>104.57612836649074</v>
      </c>
      <c r="Q47" s="46">
        <v>300</v>
      </c>
      <c r="R47" s="47">
        <f t="shared" si="9"/>
        <v>195.42387163350926</v>
      </c>
      <c r="S47" s="191">
        <f t="shared" si="10"/>
        <v>0.65141290544503083</v>
      </c>
      <c r="T47" s="42">
        <v>77271301.25</v>
      </c>
      <c r="U47" s="48">
        <f t="shared" si="2"/>
        <v>0.71752400164763208</v>
      </c>
      <c r="V47" s="49"/>
    </row>
    <row r="48" spans="1:22" x14ac:dyDescent="0.3">
      <c r="A48" s="40" t="str">
        <f>VLOOKUP(B48,Grupos!$A$2:$B$619,2,FALSE)</f>
        <v>ADAPTADORES</v>
      </c>
      <c r="B48" s="41" t="s">
        <v>62</v>
      </c>
      <c r="C48" s="41" t="s">
        <v>63</v>
      </c>
      <c r="D48" s="42">
        <v>190400</v>
      </c>
      <c r="E48" s="43">
        <v>41.81</v>
      </c>
      <c r="F48" s="43">
        <v>10.85</v>
      </c>
      <c r="G48" s="126">
        <f t="shared" si="3"/>
        <v>52.660000000000004</v>
      </c>
      <c r="H48" s="127">
        <f t="shared" si="4"/>
        <v>7960624</v>
      </c>
      <c r="I48" s="128">
        <f t="shared" si="5"/>
        <v>2065840</v>
      </c>
      <c r="J48" s="128">
        <f t="shared" si="6"/>
        <v>10026464</v>
      </c>
      <c r="K48" s="44">
        <f t="shared" si="0"/>
        <v>6.3395496270969853E-3</v>
      </c>
      <c r="L48" s="45">
        <v>14.893746411396044</v>
      </c>
      <c r="M48" s="45">
        <v>71.202185005179558</v>
      </c>
      <c r="N48" s="45">
        <f t="shared" si="7"/>
        <v>138.75593141657561</v>
      </c>
      <c r="O48" s="46">
        <f t="shared" si="8"/>
        <v>26419129.341715995</v>
      </c>
      <c r="P48" s="47">
        <f t="shared" si="1"/>
        <v>139.98319711134454</v>
      </c>
      <c r="Q48" s="46">
        <v>400</v>
      </c>
      <c r="R48" s="47">
        <f t="shared" si="9"/>
        <v>260.01680288865543</v>
      </c>
      <c r="S48" s="191">
        <f t="shared" si="10"/>
        <v>0.65004200722163863</v>
      </c>
      <c r="T48" s="42">
        <v>26652800.73</v>
      </c>
      <c r="U48" s="48">
        <f t="shared" si="2"/>
        <v>0.99123276421674555</v>
      </c>
      <c r="V48" s="49"/>
    </row>
    <row r="49" spans="1:22" x14ac:dyDescent="0.3">
      <c r="A49" s="40" t="str">
        <f>VLOOKUP(B49,Grupos!$A$2:$B$619,2,FALSE)</f>
        <v>ADAPTADORES</v>
      </c>
      <c r="B49" s="41" t="s">
        <v>777</v>
      </c>
      <c r="C49" s="41" t="s">
        <v>1106</v>
      </c>
      <c r="D49" s="42">
        <v>1600</v>
      </c>
      <c r="E49" s="43">
        <v>73.069999999999993</v>
      </c>
      <c r="F49" s="43">
        <v>2.75</v>
      </c>
      <c r="G49" s="126">
        <f t="shared" si="3"/>
        <v>75.819999999999993</v>
      </c>
      <c r="H49" s="127">
        <f t="shared" si="4"/>
        <v>116911.99999999999</v>
      </c>
      <c r="I49" s="128">
        <f t="shared" si="5"/>
        <v>4400</v>
      </c>
      <c r="J49" s="128">
        <f t="shared" si="6"/>
        <v>121311.99999999999</v>
      </c>
      <c r="K49" s="44">
        <f t="shared" si="0"/>
        <v>7.6703356673139144E-5</v>
      </c>
      <c r="L49" s="45">
        <v>21.44405341648401</v>
      </c>
      <c r="M49" s="45">
        <v>18.046636752464867</v>
      </c>
      <c r="N49" s="45">
        <f t="shared" si="7"/>
        <v>115.31069016894887</v>
      </c>
      <c r="O49" s="46">
        <f t="shared" si="8"/>
        <v>184497.10427031817</v>
      </c>
      <c r="P49" s="47">
        <f t="shared" si="1"/>
        <v>211</v>
      </c>
      <c r="Q49" s="46">
        <v>603</v>
      </c>
      <c r="R49" s="47">
        <f t="shared" si="9"/>
        <v>392</v>
      </c>
      <c r="S49" s="191">
        <f t="shared" si="10"/>
        <v>0.6500829187396352</v>
      </c>
      <c r="T49" s="42">
        <v>337600</v>
      </c>
      <c r="U49" s="48">
        <f t="shared" si="2"/>
        <v>0.54649616193814621</v>
      </c>
      <c r="V49" s="49"/>
    </row>
    <row r="50" spans="1:22" x14ac:dyDescent="0.3">
      <c r="A50" s="40" t="str">
        <f>VLOOKUP(B50,Grupos!$A$2:$B$619,2,FALSE)</f>
        <v>CAJAS ARRANCADORAS</v>
      </c>
      <c r="B50" s="41" t="s">
        <v>64</v>
      </c>
      <c r="C50" s="41" t="s">
        <v>65</v>
      </c>
      <c r="D50" s="42">
        <v>19</v>
      </c>
      <c r="E50" s="43">
        <v>30398.83</v>
      </c>
      <c r="F50" s="43">
        <v>4300.8599999999997</v>
      </c>
      <c r="G50" s="126">
        <f t="shared" si="3"/>
        <v>34699.69</v>
      </c>
      <c r="H50" s="127">
        <f t="shared" si="4"/>
        <v>577577.77</v>
      </c>
      <c r="I50" s="128">
        <f t="shared" si="5"/>
        <v>81716.34</v>
      </c>
      <c r="J50" s="128">
        <f t="shared" si="6"/>
        <v>659294.1100000001</v>
      </c>
      <c r="K50" s="44">
        <f t="shared" si="0"/>
        <v>4.1685959568575116E-4</v>
      </c>
      <c r="L50" s="45">
        <v>9814.059692633029</v>
      </c>
      <c r="M50" s="45">
        <v>28224.021142984016</v>
      </c>
      <c r="N50" s="45">
        <f t="shared" si="7"/>
        <v>72737.770835617048</v>
      </c>
      <c r="O50" s="46">
        <f t="shared" si="8"/>
        <v>1382017.6458767238</v>
      </c>
      <c r="P50" s="47">
        <f t="shared" si="1"/>
        <v>106235.67894736842</v>
      </c>
      <c r="Q50" s="46">
        <v>269850</v>
      </c>
      <c r="R50" s="47">
        <f t="shared" si="9"/>
        <v>163614.3210526316</v>
      </c>
      <c r="S50" s="191">
        <f t="shared" si="10"/>
        <v>0.60631580897769721</v>
      </c>
      <c r="T50" s="42">
        <v>2018477.9</v>
      </c>
      <c r="U50" s="48">
        <f t="shared" si="2"/>
        <v>0.68468307028614184</v>
      </c>
      <c r="V50" s="49"/>
    </row>
    <row r="51" spans="1:22" x14ac:dyDescent="0.3">
      <c r="A51" s="40" t="str">
        <f>VLOOKUP(B51,Grupos!$A$2:$B$619,2,FALSE)</f>
        <v>CAJAS ARRANCADORAS</v>
      </c>
      <c r="B51" s="41" t="s">
        <v>66</v>
      </c>
      <c r="C51" s="41" t="s">
        <v>1054</v>
      </c>
      <c r="D51" s="42">
        <v>10</v>
      </c>
      <c r="E51" s="43">
        <v>40781.56</v>
      </c>
      <c r="F51" s="43">
        <v>5815.83</v>
      </c>
      <c r="G51" s="126">
        <f t="shared" si="3"/>
        <v>46597.39</v>
      </c>
      <c r="H51" s="127">
        <f t="shared" si="4"/>
        <v>407815.6</v>
      </c>
      <c r="I51" s="128">
        <f t="shared" si="5"/>
        <v>58158.3</v>
      </c>
      <c r="J51" s="128">
        <f t="shared" si="6"/>
        <v>465973.9</v>
      </c>
      <c r="K51" s="44">
        <f t="shared" si="0"/>
        <v>2.9462676612432141E-4</v>
      </c>
      <c r="L51" s="45">
        <v>13179.067795156134</v>
      </c>
      <c r="M51" s="45">
        <v>38165.880517850092</v>
      </c>
      <c r="N51" s="45">
        <f t="shared" si="7"/>
        <v>97942.338313006228</v>
      </c>
      <c r="O51" s="46">
        <f t="shared" si="8"/>
        <v>979423.38313006226</v>
      </c>
      <c r="P51" s="47">
        <f t="shared" si="1"/>
        <v>160164.99599999998</v>
      </c>
      <c r="Q51" s="46">
        <v>388750</v>
      </c>
      <c r="R51" s="47">
        <f t="shared" si="9"/>
        <v>228585.00400000002</v>
      </c>
      <c r="S51" s="191">
        <f t="shared" si="10"/>
        <v>0.58800001028938909</v>
      </c>
      <c r="T51" s="42">
        <v>1601649.96</v>
      </c>
      <c r="U51" s="48">
        <f t="shared" si="2"/>
        <v>0.6115090110763417</v>
      </c>
      <c r="V51" s="49"/>
    </row>
    <row r="52" spans="1:22" x14ac:dyDescent="0.3">
      <c r="A52" s="40" t="str">
        <f>VLOOKUP(B52,Grupos!$A$2:$B$619,2,FALSE)</f>
        <v>CAJAS ARRANCADORAS</v>
      </c>
      <c r="B52" s="41" t="s">
        <v>626</v>
      </c>
      <c r="C52" s="41" t="s">
        <v>1055</v>
      </c>
      <c r="D52" s="42">
        <v>1</v>
      </c>
      <c r="E52" s="43">
        <v>62538.51</v>
      </c>
      <c r="F52" s="43">
        <v>4746.8100000000004</v>
      </c>
      <c r="G52" s="126">
        <f t="shared" si="3"/>
        <v>67285.320000000007</v>
      </c>
      <c r="H52" s="127">
        <f t="shared" si="4"/>
        <v>62538.51</v>
      </c>
      <c r="I52" s="128">
        <f t="shared" si="5"/>
        <v>4746.8100000000004</v>
      </c>
      <c r="J52" s="128">
        <f t="shared" si="6"/>
        <v>67285.320000000007</v>
      </c>
      <c r="K52" s="44">
        <f t="shared" si="0"/>
        <v>4.254327600588815E-5</v>
      </c>
      <c r="L52" s="45">
        <v>19030.203062849116</v>
      </c>
      <c r="M52" s="45">
        <v>31150.52938289737</v>
      </c>
      <c r="N52" s="45">
        <f t="shared" si="7"/>
        <v>117466.05244574649</v>
      </c>
      <c r="O52" s="46">
        <f t="shared" si="8"/>
        <v>117466.05244574649</v>
      </c>
      <c r="P52" s="47">
        <f t="shared" si="1"/>
        <v>279539.99</v>
      </c>
      <c r="Q52" s="46">
        <v>621200</v>
      </c>
      <c r="R52" s="47">
        <f t="shared" si="9"/>
        <v>341660.01</v>
      </c>
      <c r="S52" s="191">
        <f t="shared" si="10"/>
        <v>0.55000001609787508</v>
      </c>
      <c r="T52" s="42">
        <v>279539.99</v>
      </c>
      <c r="U52" s="48">
        <f t="shared" si="2"/>
        <v>0.42021197913667557</v>
      </c>
      <c r="V52" s="49"/>
    </row>
    <row r="53" spans="1:22" x14ac:dyDescent="0.3">
      <c r="A53" s="40" t="str">
        <f>VLOOKUP(B53,Grupos!$A$2:$B$619,2,FALSE)</f>
        <v>CAJAS ARRANCADORAS</v>
      </c>
      <c r="B53" s="41" t="s">
        <v>627</v>
      </c>
      <c r="C53" s="41" t="s">
        <v>628</v>
      </c>
      <c r="D53" s="42">
        <v>5</v>
      </c>
      <c r="E53" s="43">
        <v>78390.899999999994</v>
      </c>
      <c r="F53" s="43">
        <v>7027.37</v>
      </c>
      <c r="G53" s="126">
        <f t="shared" si="3"/>
        <v>85418.26999999999</v>
      </c>
      <c r="H53" s="127">
        <f t="shared" si="4"/>
        <v>391954.5</v>
      </c>
      <c r="I53" s="128">
        <f t="shared" si="5"/>
        <v>35136.85</v>
      </c>
      <c r="J53" s="128">
        <f t="shared" si="6"/>
        <v>427091.35</v>
      </c>
      <c r="K53" s="44">
        <f t="shared" si="0"/>
        <v>2.70042041603984E-4</v>
      </c>
      <c r="L53" s="45">
        <v>24158.717285988572</v>
      </c>
      <c r="M53" s="45">
        <v>46116.506805516008</v>
      </c>
      <c r="N53" s="45">
        <f t="shared" si="7"/>
        <v>155693.49409150457</v>
      </c>
      <c r="O53" s="46">
        <f t="shared" si="8"/>
        <v>778467.4704575229</v>
      </c>
      <c r="P53" s="47">
        <f t="shared" si="1"/>
        <v>311689.60399999999</v>
      </c>
      <c r="Q53" s="46">
        <v>748850</v>
      </c>
      <c r="R53" s="47">
        <f t="shared" si="9"/>
        <v>437160.39600000001</v>
      </c>
      <c r="S53" s="191">
        <f t="shared" si="10"/>
        <v>0.583775650664352</v>
      </c>
      <c r="T53" s="42">
        <v>1558448.02</v>
      </c>
      <c r="U53" s="48">
        <f t="shared" si="2"/>
        <v>0.49951455580630971</v>
      </c>
      <c r="V53" s="49"/>
    </row>
    <row r="54" spans="1:22" x14ac:dyDescent="0.3">
      <c r="A54" s="40" t="str">
        <f>VLOOKUP(B54,Grupos!$A$2:$B$619,2,FALSE)</f>
        <v>CAJAS ARRANCADORAS</v>
      </c>
      <c r="B54" s="41" t="s">
        <v>629</v>
      </c>
      <c r="C54" s="41" t="s">
        <v>630</v>
      </c>
      <c r="D54" s="42">
        <v>2</v>
      </c>
      <c r="E54" s="43">
        <v>84343.91</v>
      </c>
      <c r="F54" s="43">
        <v>6368.9</v>
      </c>
      <c r="G54" s="126">
        <f t="shared" si="3"/>
        <v>90712.81</v>
      </c>
      <c r="H54" s="127">
        <f t="shared" si="4"/>
        <v>168687.82</v>
      </c>
      <c r="I54" s="128">
        <f t="shared" si="5"/>
        <v>12737.8</v>
      </c>
      <c r="J54" s="128">
        <f t="shared" si="6"/>
        <v>181425.62</v>
      </c>
      <c r="K54" s="44">
        <f t="shared" si="0"/>
        <v>1.1471209806536375E-4</v>
      </c>
      <c r="L54" s="45">
        <v>25656.163851218214</v>
      </c>
      <c r="M54" s="45">
        <v>41795.354477372173</v>
      </c>
      <c r="N54" s="45">
        <f t="shared" si="7"/>
        <v>158164.32832859037</v>
      </c>
      <c r="O54" s="46">
        <f t="shared" si="8"/>
        <v>316328.65665718075</v>
      </c>
      <c r="P54" s="47">
        <f t="shared" si="1"/>
        <v>373318</v>
      </c>
      <c r="Q54" s="46">
        <v>848450</v>
      </c>
      <c r="R54" s="47">
        <f t="shared" si="9"/>
        <v>475132</v>
      </c>
      <c r="S54" s="191">
        <f t="shared" si="10"/>
        <v>0.56000000000000005</v>
      </c>
      <c r="T54" s="42">
        <v>746636</v>
      </c>
      <c r="U54" s="48">
        <f t="shared" si="2"/>
        <v>0.42367185168834715</v>
      </c>
      <c r="V54" s="49"/>
    </row>
    <row r="55" spans="1:22" x14ac:dyDescent="0.3">
      <c r="A55" s="40" t="str">
        <f>VLOOKUP(B55,Grupos!$A$2:$B$619,2,FALSE)</f>
        <v>CAJAS ARRANCADORAS</v>
      </c>
      <c r="B55" s="41" t="s">
        <v>68</v>
      </c>
      <c r="C55" s="41" t="s">
        <v>69</v>
      </c>
      <c r="D55" s="42">
        <v>8</v>
      </c>
      <c r="E55" s="43">
        <v>94916.92</v>
      </c>
      <c r="F55" s="43">
        <v>4655.04</v>
      </c>
      <c r="G55" s="126">
        <f t="shared" si="3"/>
        <v>99571.959999999992</v>
      </c>
      <c r="H55" s="127">
        <f t="shared" si="4"/>
        <v>759335.36</v>
      </c>
      <c r="I55" s="128">
        <f t="shared" si="5"/>
        <v>37240.32</v>
      </c>
      <c r="J55" s="128">
        <f t="shared" si="6"/>
        <v>796575.67999999993</v>
      </c>
      <c r="K55" s="44">
        <f t="shared" si="0"/>
        <v>5.0366021910601053E-4</v>
      </c>
      <c r="L55" s="45">
        <v>28161.78355346886</v>
      </c>
      <c r="M55" s="45">
        <v>30548.296708434202</v>
      </c>
      <c r="N55" s="45">
        <f t="shared" si="7"/>
        <v>158282.04026190305</v>
      </c>
      <c r="O55" s="46">
        <f t="shared" si="8"/>
        <v>1266256.3220952244</v>
      </c>
      <c r="P55" s="47">
        <f t="shared" si="1"/>
        <v>364486.57374999998</v>
      </c>
      <c r="Q55" s="46">
        <v>865250</v>
      </c>
      <c r="R55" s="47">
        <f t="shared" si="9"/>
        <v>500763.42625000002</v>
      </c>
      <c r="S55" s="191">
        <f t="shared" si="10"/>
        <v>0.57874998699797753</v>
      </c>
      <c r="T55" s="42">
        <v>2915892.59</v>
      </c>
      <c r="U55" s="48">
        <f t="shared" si="2"/>
        <v>0.43426027640312514</v>
      </c>
      <c r="V55" s="49"/>
    </row>
    <row r="56" spans="1:22" x14ac:dyDescent="0.3">
      <c r="A56" s="40" t="str">
        <f>VLOOKUP(B56,Grupos!$A$2:$B$619,2,FALSE)</f>
        <v>CAJAS EMPALME</v>
      </c>
      <c r="B56" s="41" t="s">
        <v>70</v>
      </c>
      <c r="C56" s="41" t="s">
        <v>71</v>
      </c>
      <c r="D56" s="42">
        <v>108</v>
      </c>
      <c r="E56" s="43">
        <v>2813.7</v>
      </c>
      <c r="F56" s="43">
        <v>445.14</v>
      </c>
      <c r="G56" s="126">
        <f t="shared" si="3"/>
        <v>3258.8399999999997</v>
      </c>
      <c r="H56" s="127">
        <f t="shared" si="4"/>
        <v>303879.59999999998</v>
      </c>
      <c r="I56" s="128">
        <f t="shared" si="5"/>
        <v>48075.119999999995</v>
      </c>
      <c r="J56" s="128">
        <f t="shared" si="6"/>
        <v>351954.72</v>
      </c>
      <c r="K56" s="44">
        <f t="shared" si="0"/>
        <v>2.2253452602343394E-4</v>
      </c>
      <c r="L56" s="45">
        <v>921.69268050349183</v>
      </c>
      <c r="M56" s="45">
        <v>2921.1926850880768</v>
      </c>
      <c r="N56" s="45">
        <f t="shared" si="7"/>
        <v>7101.7253655915683</v>
      </c>
      <c r="O56" s="46">
        <f t="shared" si="8"/>
        <v>766986.3394838894</v>
      </c>
      <c r="P56" s="47">
        <f t="shared" si="1"/>
        <v>11179.999907407408</v>
      </c>
      <c r="Q56" s="46">
        <v>27950</v>
      </c>
      <c r="R56" s="47">
        <f t="shared" si="9"/>
        <v>16770.000092592592</v>
      </c>
      <c r="S56" s="191">
        <f t="shared" si="10"/>
        <v>0.60000000331279402</v>
      </c>
      <c r="T56" s="42">
        <v>1207439.99</v>
      </c>
      <c r="U56" s="48">
        <f t="shared" si="2"/>
        <v>0.63521694314919075</v>
      </c>
      <c r="V56" s="49"/>
    </row>
    <row r="57" spans="1:22" x14ac:dyDescent="0.3">
      <c r="A57" s="40" t="str">
        <f>VLOOKUP(B57,Grupos!$A$2:$B$619,2,FALSE)</f>
        <v>CAJAS EMPALME</v>
      </c>
      <c r="B57" s="41" t="s">
        <v>72</v>
      </c>
      <c r="C57" s="41" t="s">
        <v>73</v>
      </c>
      <c r="D57" s="42">
        <v>4513</v>
      </c>
      <c r="E57" s="43">
        <v>3808.35</v>
      </c>
      <c r="F57" s="43">
        <v>678.65</v>
      </c>
      <c r="G57" s="126">
        <f t="shared" si="3"/>
        <v>4487</v>
      </c>
      <c r="H57" s="127">
        <f t="shared" si="4"/>
        <v>17187083.550000001</v>
      </c>
      <c r="I57" s="128">
        <f t="shared" si="5"/>
        <v>3062747.4499999997</v>
      </c>
      <c r="J57" s="128">
        <f t="shared" si="6"/>
        <v>20249831</v>
      </c>
      <c r="K57" s="44">
        <f t="shared" si="0"/>
        <v>1.2803597416280253E-2</v>
      </c>
      <c r="L57" s="45">
        <v>1269.0512751221811</v>
      </c>
      <c r="M57" s="45">
        <v>4453.5818298401027</v>
      </c>
      <c r="N57" s="45">
        <f t="shared" si="7"/>
        <v>10209.633104962284</v>
      </c>
      <c r="O57" s="46">
        <f t="shared" si="8"/>
        <v>46076074.202694789</v>
      </c>
      <c r="P57" s="47">
        <f t="shared" si="1"/>
        <v>12985.749749612231</v>
      </c>
      <c r="Q57" s="46">
        <v>33550</v>
      </c>
      <c r="R57" s="47">
        <f t="shared" si="9"/>
        <v>20564.250250387769</v>
      </c>
      <c r="S57" s="191">
        <f t="shared" si="10"/>
        <v>0.61294337557042533</v>
      </c>
      <c r="T57" s="42">
        <v>58604688.619999997</v>
      </c>
      <c r="U57" s="48">
        <f t="shared" si="2"/>
        <v>0.78621822396255214</v>
      </c>
      <c r="V57" s="49"/>
    </row>
    <row r="58" spans="1:22" x14ac:dyDescent="0.3">
      <c r="A58" s="40" t="str">
        <f>VLOOKUP(B58,Grupos!$A$2:$B$619,2,FALSE)</f>
        <v>CAJAS EMPALME</v>
      </c>
      <c r="B58" s="41" t="s">
        <v>74</v>
      </c>
      <c r="C58" s="41" t="s">
        <v>75</v>
      </c>
      <c r="D58" s="42">
        <v>110</v>
      </c>
      <c r="E58" s="43">
        <v>4623.5200000000004</v>
      </c>
      <c r="F58" s="43">
        <v>378.55</v>
      </c>
      <c r="G58" s="126">
        <f t="shared" si="3"/>
        <v>5002.0700000000006</v>
      </c>
      <c r="H58" s="127">
        <f t="shared" si="4"/>
        <v>508587.20000000007</v>
      </c>
      <c r="I58" s="128">
        <f t="shared" si="5"/>
        <v>41640.5</v>
      </c>
      <c r="J58" s="128">
        <f t="shared" si="6"/>
        <v>550227.70000000007</v>
      </c>
      <c r="K58" s="44">
        <f t="shared" si="0"/>
        <v>3.4789890138272396E-4</v>
      </c>
      <c r="L58" s="45">
        <v>1414.72772715632</v>
      </c>
      <c r="M58" s="45">
        <v>2484.2015791438457</v>
      </c>
      <c r="N58" s="45">
        <f t="shared" si="7"/>
        <v>8900.9993063001657</v>
      </c>
      <c r="O58" s="46">
        <f t="shared" si="8"/>
        <v>979109.92369301827</v>
      </c>
      <c r="P58" s="47">
        <f t="shared" si="1"/>
        <v>16497.100545454545</v>
      </c>
      <c r="Q58" s="46">
        <v>41450</v>
      </c>
      <c r="R58" s="47">
        <f t="shared" si="9"/>
        <v>24952.899454545455</v>
      </c>
      <c r="S58" s="191">
        <f t="shared" si="10"/>
        <v>0.60199998684066236</v>
      </c>
      <c r="T58" s="42">
        <v>1814681.06</v>
      </c>
      <c r="U58" s="48">
        <f t="shared" si="2"/>
        <v>0.53954931545547635</v>
      </c>
      <c r="V58" s="49"/>
    </row>
    <row r="59" spans="1:22" x14ac:dyDescent="0.3">
      <c r="A59" s="40" t="str">
        <f>VLOOKUP(B59,Grupos!$A$2:$B$619,2,FALSE)</f>
        <v>CAJAS EMPALME</v>
      </c>
      <c r="B59" s="41" t="s">
        <v>76</v>
      </c>
      <c r="C59" s="41" t="s">
        <v>77</v>
      </c>
      <c r="D59" s="42">
        <v>1944</v>
      </c>
      <c r="E59" s="43">
        <v>5549.93</v>
      </c>
      <c r="F59" s="43">
        <v>705.58</v>
      </c>
      <c r="G59" s="126">
        <f t="shared" si="3"/>
        <v>6255.51</v>
      </c>
      <c r="H59" s="127">
        <f t="shared" si="4"/>
        <v>10789063.92</v>
      </c>
      <c r="I59" s="128">
        <f t="shared" si="5"/>
        <v>1371647.52</v>
      </c>
      <c r="J59" s="128">
        <f t="shared" si="6"/>
        <v>12160711.440000001</v>
      </c>
      <c r="K59" s="44">
        <f t="shared" si="0"/>
        <v>7.6889952105434227E-3</v>
      </c>
      <c r="L59" s="45">
        <v>1769.2362251035336</v>
      </c>
      <c r="M59" s="45">
        <v>4630.3076217469679</v>
      </c>
      <c r="N59" s="45">
        <f t="shared" si="7"/>
        <v>12655.053846850502</v>
      </c>
      <c r="O59" s="46">
        <f t="shared" si="8"/>
        <v>24601424.678277377</v>
      </c>
      <c r="P59" s="47">
        <f t="shared" si="1"/>
        <v>17590.127427983538</v>
      </c>
      <c r="Q59" s="46">
        <v>46600</v>
      </c>
      <c r="R59" s="47">
        <f t="shared" si="9"/>
        <v>29009.872572016462</v>
      </c>
      <c r="S59" s="191">
        <f t="shared" si="10"/>
        <v>0.62252945433511719</v>
      </c>
      <c r="T59" s="42">
        <v>34195207.719999999</v>
      </c>
      <c r="U59" s="48">
        <f t="shared" si="2"/>
        <v>0.71944071460892356</v>
      </c>
      <c r="V59" s="49"/>
    </row>
    <row r="60" spans="1:22" x14ac:dyDescent="0.3">
      <c r="A60" s="40" t="str">
        <f>VLOOKUP(B60,Grupos!$A$2:$B$619,2,FALSE)</f>
        <v>CAJAS EMPALME</v>
      </c>
      <c r="B60" s="41" t="s">
        <v>78</v>
      </c>
      <c r="C60" s="41" t="s">
        <v>79</v>
      </c>
      <c r="D60" s="42">
        <v>112</v>
      </c>
      <c r="E60" s="43">
        <v>6787.81</v>
      </c>
      <c r="F60" s="43">
        <v>515.51</v>
      </c>
      <c r="G60" s="126">
        <f t="shared" si="3"/>
        <v>7303.3200000000006</v>
      </c>
      <c r="H60" s="127">
        <f t="shared" si="4"/>
        <v>760234.72000000009</v>
      </c>
      <c r="I60" s="128">
        <f t="shared" si="5"/>
        <v>57737.119999999995</v>
      </c>
      <c r="J60" s="128">
        <f t="shared" si="6"/>
        <v>817971.84000000008</v>
      </c>
      <c r="K60" s="44">
        <f t="shared" si="0"/>
        <v>5.1718861936250261E-4</v>
      </c>
      <c r="L60" s="45">
        <v>2065.5867079619629</v>
      </c>
      <c r="M60" s="45">
        <v>3382.9897135502415</v>
      </c>
      <c r="N60" s="45">
        <f t="shared" si="7"/>
        <v>12751.896421512205</v>
      </c>
      <c r="O60" s="46">
        <f t="shared" si="8"/>
        <v>1428212.3992093669</v>
      </c>
      <c r="P60" s="47">
        <f t="shared" si="1"/>
        <v>24241.428482142859</v>
      </c>
      <c r="Q60" s="46">
        <v>59750</v>
      </c>
      <c r="R60" s="47">
        <f t="shared" si="9"/>
        <v>35508.571517857141</v>
      </c>
      <c r="S60" s="191">
        <f t="shared" si="10"/>
        <v>0.59428571578003586</v>
      </c>
      <c r="T60" s="42">
        <v>2715039.99</v>
      </c>
      <c r="U60" s="48">
        <f t="shared" si="2"/>
        <v>0.52603733442959966</v>
      </c>
      <c r="V60" s="49"/>
    </row>
    <row r="61" spans="1:22" x14ac:dyDescent="0.3">
      <c r="A61" s="40" t="str">
        <f>VLOOKUP(B61,Grupos!$A$2:$B$619,2,FALSE)</f>
        <v>CAJAS EMPALME</v>
      </c>
      <c r="B61" s="41" t="s">
        <v>80</v>
      </c>
      <c r="C61" s="41" t="s">
        <v>81</v>
      </c>
      <c r="D61" s="42">
        <v>66</v>
      </c>
      <c r="E61" s="43">
        <v>6420.01</v>
      </c>
      <c r="F61" s="43">
        <v>360.08</v>
      </c>
      <c r="G61" s="126">
        <f t="shared" si="3"/>
        <v>6780.09</v>
      </c>
      <c r="H61" s="127">
        <f t="shared" si="4"/>
        <v>423720.66000000003</v>
      </c>
      <c r="I61" s="128">
        <f t="shared" si="5"/>
        <v>23765.279999999999</v>
      </c>
      <c r="J61" s="128">
        <f t="shared" si="6"/>
        <v>447485.94</v>
      </c>
      <c r="K61" s="44">
        <f t="shared" si="0"/>
        <v>2.8293716748578E-4</v>
      </c>
      <c r="L61" s="45">
        <v>1917.6023757395023</v>
      </c>
      <c r="M61" s="45">
        <v>2362.993804300927</v>
      </c>
      <c r="N61" s="45">
        <f t="shared" si="7"/>
        <v>11060.686180040429</v>
      </c>
      <c r="O61" s="46">
        <f t="shared" si="8"/>
        <v>730005.28788266832</v>
      </c>
      <c r="P61" s="47">
        <f t="shared" si="1"/>
        <v>24640.000454545454</v>
      </c>
      <c r="Q61" s="46">
        <v>61600</v>
      </c>
      <c r="R61" s="47">
        <f t="shared" si="9"/>
        <v>36959.999545454542</v>
      </c>
      <c r="S61" s="191">
        <f t="shared" si="10"/>
        <v>0.59999999262101533</v>
      </c>
      <c r="T61" s="42">
        <v>1626240.03</v>
      </c>
      <c r="U61" s="48">
        <f t="shared" si="2"/>
        <v>0.44889147629865456</v>
      </c>
      <c r="V61" s="49"/>
    </row>
    <row r="62" spans="1:22" x14ac:dyDescent="0.3">
      <c r="A62" s="40" t="str">
        <f>VLOOKUP(B62,Grupos!$A$2:$B$619,2,FALSE)</f>
        <v>CAJAS EMPALME</v>
      </c>
      <c r="B62" s="41" t="s">
        <v>82</v>
      </c>
      <c r="C62" s="41" t="s">
        <v>83</v>
      </c>
      <c r="D62" s="42">
        <v>456</v>
      </c>
      <c r="E62" s="43">
        <v>7687.44</v>
      </c>
      <c r="F62" s="43">
        <v>500.81</v>
      </c>
      <c r="G62" s="126">
        <f t="shared" si="3"/>
        <v>8188.25</v>
      </c>
      <c r="H62" s="127">
        <f t="shared" si="4"/>
        <v>3505472.6399999997</v>
      </c>
      <c r="I62" s="128">
        <f t="shared" si="5"/>
        <v>228369.36000000002</v>
      </c>
      <c r="J62" s="128">
        <f t="shared" si="6"/>
        <v>3733842</v>
      </c>
      <c r="K62" s="44">
        <f t="shared" si="0"/>
        <v>2.3608399390591798E-3</v>
      </c>
      <c r="L62" s="45">
        <v>2315.8700921593936</v>
      </c>
      <c r="M62" s="45">
        <v>3286.5222370916108</v>
      </c>
      <c r="N62" s="45">
        <f t="shared" si="7"/>
        <v>13790.642329251004</v>
      </c>
      <c r="O62" s="46">
        <f t="shared" si="8"/>
        <v>6288532.9021384576</v>
      </c>
      <c r="P62" s="47">
        <f t="shared" si="1"/>
        <v>27485.60524122807</v>
      </c>
      <c r="Q62" s="46">
        <v>70150</v>
      </c>
      <c r="R62" s="47">
        <f t="shared" si="9"/>
        <v>42664.39475877193</v>
      </c>
      <c r="S62" s="191">
        <f t="shared" si="10"/>
        <v>0.60818809349639247</v>
      </c>
      <c r="T62" s="42">
        <v>12533435.99</v>
      </c>
      <c r="U62" s="48">
        <f t="shared" si="2"/>
        <v>0.50174053684527231</v>
      </c>
      <c r="V62" s="49"/>
    </row>
    <row r="63" spans="1:22" x14ac:dyDescent="0.3">
      <c r="A63" s="40" t="str">
        <f>VLOOKUP(B63,Grupos!$A$2:$B$619,2,FALSE)</f>
        <v>CAJAS EMPALME</v>
      </c>
      <c r="B63" s="41" t="s">
        <v>84</v>
      </c>
      <c r="C63" s="41" t="s">
        <v>85</v>
      </c>
      <c r="D63" s="42">
        <v>144</v>
      </c>
      <c r="E63" s="43">
        <v>9070.9699999999993</v>
      </c>
      <c r="F63" s="43">
        <v>491.17</v>
      </c>
      <c r="G63" s="126">
        <f t="shared" si="3"/>
        <v>9562.14</v>
      </c>
      <c r="H63" s="127">
        <f t="shared" si="4"/>
        <v>1306219.68</v>
      </c>
      <c r="I63" s="128">
        <f t="shared" si="5"/>
        <v>70728.479999999996</v>
      </c>
      <c r="J63" s="128">
        <f t="shared" si="6"/>
        <v>1376948.16</v>
      </c>
      <c r="K63" s="44">
        <f t="shared" si="0"/>
        <v>8.7061911300533056E-4</v>
      </c>
      <c r="L63" s="45">
        <v>2704.4452774452438</v>
      </c>
      <c r="M63" s="45">
        <v>3223.2605722575158</v>
      </c>
      <c r="N63" s="45">
        <f t="shared" si="7"/>
        <v>15489.845849702759</v>
      </c>
      <c r="O63" s="46">
        <f t="shared" si="8"/>
        <v>2230537.8023571973</v>
      </c>
      <c r="P63" s="47">
        <f t="shared" si="1"/>
        <v>29856.791944444445</v>
      </c>
      <c r="Q63" s="46">
        <v>79550</v>
      </c>
      <c r="R63" s="47">
        <f t="shared" si="9"/>
        <v>49693.208055555559</v>
      </c>
      <c r="S63" s="191">
        <f t="shared" si="10"/>
        <v>0.62467891961729172</v>
      </c>
      <c r="T63" s="42">
        <v>4299378.04</v>
      </c>
      <c r="U63" s="48">
        <f t="shared" si="2"/>
        <v>0.51880476236446449</v>
      </c>
      <c r="V63" s="49"/>
    </row>
    <row r="64" spans="1:22" x14ac:dyDescent="0.3">
      <c r="A64" s="40" t="str">
        <f>VLOOKUP(B64,Grupos!$A$2:$B$619,2,FALSE)</f>
        <v>CAJAS EMPALME</v>
      </c>
      <c r="B64" s="41" t="s">
        <v>86</v>
      </c>
      <c r="C64" s="41" t="s">
        <v>87</v>
      </c>
      <c r="D64" s="42">
        <v>1124</v>
      </c>
      <c r="E64" s="43">
        <v>10016.299999999999</v>
      </c>
      <c r="F64" s="43">
        <v>516.07000000000005</v>
      </c>
      <c r="G64" s="126">
        <f t="shared" si="3"/>
        <v>10532.369999999999</v>
      </c>
      <c r="H64" s="127">
        <f t="shared" si="4"/>
        <v>11258321.199999999</v>
      </c>
      <c r="I64" s="128">
        <f t="shared" si="5"/>
        <v>580062.68000000005</v>
      </c>
      <c r="J64" s="128">
        <f t="shared" si="6"/>
        <v>11838383.879999999</v>
      </c>
      <c r="K64" s="44">
        <f t="shared" si="0"/>
        <v>7.485193395386943E-3</v>
      </c>
      <c r="L64" s="45">
        <v>2978.8539288073553</v>
      </c>
      <c r="M64" s="45">
        <v>3386.6646650343801</v>
      </c>
      <c r="N64" s="45">
        <f t="shared" si="7"/>
        <v>16897.888593841733</v>
      </c>
      <c r="O64" s="46">
        <f t="shared" si="8"/>
        <v>18993226.779478107</v>
      </c>
      <c r="P64" s="47">
        <f t="shared" si="1"/>
        <v>32999.153540925268</v>
      </c>
      <c r="Q64" s="46">
        <v>85050</v>
      </c>
      <c r="R64" s="47">
        <f t="shared" si="9"/>
        <v>52050.846459074732</v>
      </c>
      <c r="S64" s="191">
        <f t="shared" si="10"/>
        <v>0.6120028978139298</v>
      </c>
      <c r="T64" s="42">
        <v>37091048.579999998</v>
      </c>
      <c r="U64" s="48">
        <f t="shared" si="2"/>
        <v>0.51207036486209001</v>
      </c>
      <c r="V64" s="49"/>
    </row>
    <row r="65" spans="1:22" x14ac:dyDescent="0.3">
      <c r="A65" s="40" t="str">
        <f>VLOOKUP(B65,Grupos!$A$2:$B$619,2,FALSE)</f>
        <v>CAJAS EMPALME</v>
      </c>
      <c r="B65" s="41" t="s">
        <v>88</v>
      </c>
      <c r="C65" s="41" t="s">
        <v>89</v>
      </c>
      <c r="D65" s="42">
        <v>1278</v>
      </c>
      <c r="E65" s="43">
        <v>11678.42</v>
      </c>
      <c r="F65" s="43">
        <v>640.79999999999995</v>
      </c>
      <c r="G65" s="126">
        <f t="shared" si="3"/>
        <v>12319.22</v>
      </c>
      <c r="H65" s="127">
        <f t="shared" si="4"/>
        <v>14925020.76</v>
      </c>
      <c r="I65" s="128">
        <f t="shared" si="5"/>
        <v>818942.39999999991</v>
      </c>
      <c r="J65" s="128">
        <f t="shared" si="6"/>
        <v>15743963.159999998</v>
      </c>
      <c r="K65" s="44">
        <f t="shared" si="0"/>
        <v>9.9546196724993631E-3</v>
      </c>
      <c r="L65" s="45">
        <v>3484.2259526433409</v>
      </c>
      <c r="M65" s="45">
        <v>4205.19448399254</v>
      </c>
      <c r="N65" s="45">
        <f t="shared" si="7"/>
        <v>20008.64043663588</v>
      </c>
      <c r="O65" s="46">
        <f t="shared" si="8"/>
        <v>25571042.478020653</v>
      </c>
      <c r="P65" s="47">
        <f t="shared" si="1"/>
        <v>39324.268849765263</v>
      </c>
      <c r="Q65" s="46">
        <v>100550</v>
      </c>
      <c r="R65" s="47">
        <f t="shared" si="9"/>
        <v>61225.731150234737</v>
      </c>
      <c r="S65" s="191">
        <f t="shared" si="10"/>
        <v>0.60890831576563642</v>
      </c>
      <c r="T65" s="42">
        <v>50256415.590000004</v>
      </c>
      <c r="U65" s="48">
        <f t="shared" si="2"/>
        <v>0.50881150551271637</v>
      </c>
      <c r="V65" s="49"/>
    </row>
    <row r="66" spans="1:22" x14ac:dyDescent="0.3">
      <c r="A66" s="40" t="str">
        <f>VLOOKUP(B66,Grupos!$A$2:$B$619,2,FALSE)</f>
        <v>CAJAS EMPALME</v>
      </c>
      <c r="B66" s="41" t="s">
        <v>90</v>
      </c>
      <c r="C66" s="41" t="s">
        <v>91</v>
      </c>
      <c r="D66" s="42">
        <v>141</v>
      </c>
      <c r="E66" s="43">
        <v>14783.94</v>
      </c>
      <c r="F66" s="43">
        <v>713.78</v>
      </c>
      <c r="G66" s="126">
        <f t="shared" si="3"/>
        <v>15497.720000000001</v>
      </c>
      <c r="H66" s="127">
        <f t="shared" si="4"/>
        <v>2084535.54</v>
      </c>
      <c r="I66" s="128">
        <f t="shared" si="5"/>
        <v>100642.98</v>
      </c>
      <c r="J66" s="128">
        <f t="shared" si="6"/>
        <v>2185178.52</v>
      </c>
      <c r="K66" s="44">
        <f t="shared" si="0"/>
        <v>1.3816483729065742E-3</v>
      </c>
      <c r="L66" s="45">
        <v>4383.1961951162302</v>
      </c>
      <c r="M66" s="45">
        <v>4684.1194113361353</v>
      </c>
      <c r="N66" s="45">
        <f t="shared" si="7"/>
        <v>24565.035606452366</v>
      </c>
      <c r="O66" s="46">
        <f t="shared" si="8"/>
        <v>3463670.0205097836</v>
      </c>
      <c r="P66" s="47">
        <f t="shared" si="1"/>
        <v>46666.02056737589</v>
      </c>
      <c r="Q66" s="46">
        <v>119700</v>
      </c>
      <c r="R66" s="47">
        <f t="shared" si="9"/>
        <v>73033.97943262411</v>
      </c>
      <c r="S66" s="191">
        <f t="shared" si="10"/>
        <v>0.61014184989660913</v>
      </c>
      <c r="T66" s="42">
        <v>6579908.9000000004</v>
      </c>
      <c r="U66" s="48">
        <f t="shared" si="2"/>
        <v>0.52640090815083829</v>
      </c>
      <c r="V66" s="49"/>
    </row>
    <row r="67" spans="1:22" x14ac:dyDescent="0.3">
      <c r="A67" s="40" t="str">
        <f>VLOOKUP(B67,Grupos!$A$2:$B$619,2,FALSE)</f>
        <v>CAJAS EMPALME</v>
      </c>
      <c r="B67" s="41" t="s">
        <v>92</v>
      </c>
      <c r="C67" s="41" t="s">
        <v>93</v>
      </c>
      <c r="D67" s="42">
        <v>655</v>
      </c>
      <c r="E67" s="43">
        <v>18356.189999999999</v>
      </c>
      <c r="F67" s="43">
        <v>919.41</v>
      </c>
      <c r="G67" s="126">
        <f t="shared" si="3"/>
        <v>19275.599999999999</v>
      </c>
      <c r="H67" s="127">
        <f t="shared" si="4"/>
        <v>12023304.449999999</v>
      </c>
      <c r="I67" s="128">
        <f t="shared" si="5"/>
        <v>602213.54999999993</v>
      </c>
      <c r="J67" s="128">
        <f t="shared" si="6"/>
        <v>12625517.999999998</v>
      </c>
      <c r="K67" s="44">
        <f t="shared" si="0"/>
        <v>7.9828838889568904E-3</v>
      </c>
      <c r="L67" s="45">
        <v>5451.6881566180318</v>
      </c>
      <c r="M67" s="45">
        <v>6033.5484714849899</v>
      </c>
      <c r="N67" s="45">
        <f t="shared" si="7"/>
        <v>30760.836628103018</v>
      </c>
      <c r="O67" s="46">
        <f t="shared" si="8"/>
        <v>20148347.991407476</v>
      </c>
      <c r="P67" s="47">
        <f t="shared" si="1"/>
        <v>57493.373862595421</v>
      </c>
      <c r="Q67" s="46">
        <v>151350</v>
      </c>
      <c r="R67" s="47">
        <f t="shared" si="9"/>
        <v>93856.626137404586</v>
      </c>
      <c r="S67" s="191">
        <f t="shared" si="10"/>
        <v>0.6201296738513683</v>
      </c>
      <c r="T67" s="42">
        <v>37658159.880000003</v>
      </c>
      <c r="U67" s="48">
        <f t="shared" si="2"/>
        <v>0.53503272745167052</v>
      </c>
      <c r="V67" s="49"/>
    </row>
    <row r="68" spans="1:22" x14ac:dyDescent="0.3">
      <c r="A68" s="40" t="str">
        <f>VLOOKUP(B68,Grupos!$A$2:$B$619,2,FALSE)</f>
        <v>CAJAS EMPALME</v>
      </c>
      <c r="B68" s="41" t="s">
        <v>94</v>
      </c>
      <c r="C68" s="41" t="s">
        <v>95</v>
      </c>
      <c r="D68" s="42">
        <v>294</v>
      </c>
      <c r="E68" s="43">
        <v>20905.259999999998</v>
      </c>
      <c r="F68" s="43">
        <v>949.87</v>
      </c>
      <c r="G68" s="126">
        <f t="shared" si="3"/>
        <v>21855.129999999997</v>
      </c>
      <c r="H68" s="127">
        <f t="shared" si="4"/>
        <v>6146146.4399999995</v>
      </c>
      <c r="I68" s="128">
        <f t="shared" si="5"/>
        <v>279261.78000000003</v>
      </c>
      <c r="J68" s="128">
        <f t="shared" si="6"/>
        <v>6425408.2199999988</v>
      </c>
      <c r="K68" s="44">
        <f t="shared" si="0"/>
        <v>4.0626679839519588E-3</v>
      </c>
      <c r="L68" s="45">
        <v>6181.2526397283318</v>
      </c>
      <c r="M68" s="45">
        <v>6233.4395825686561</v>
      </c>
      <c r="N68" s="45">
        <f t="shared" si="7"/>
        <v>34269.822222296985</v>
      </c>
      <c r="O68" s="46">
        <f t="shared" si="8"/>
        <v>10075327.733355314</v>
      </c>
      <c r="P68" s="47">
        <f t="shared" si="1"/>
        <v>70196.515476190485</v>
      </c>
      <c r="Q68" s="46">
        <v>180800</v>
      </c>
      <c r="R68" s="47">
        <f t="shared" si="9"/>
        <v>110603.48452380951</v>
      </c>
      <c r="S68" s="191">
        <f t="shared" si="10"/>
        <v>0.61174493652549511</v>
      </c>
      <c r="T68" s="42">
        <v>20637775.550000001</v>
      </c>
      <c r="U68" s="48">
        <f t="shared" si="2"/>
        <v>0.48819833847622757</v>
      </c>
      <c r="V68" s="49"/>
    </row>
    <row r="69" spans="1:22" x14ac:dyDescent="0.3">
      <c r="A69" s="40" t="str">
        <f>VLOOKUP(B69,Grupos!$A$2:$B$619,2,FALSE)</f>
        <v>CAJAS EMPALME</v>
      </c>
      <c r="B69" s="41" t="s">
        <v>96</v>
      </c>
      <c r="C69" s="41" t="s">
        <v>97</v>
      </c>
      <c r="D69" s="42">
        <v>258</v>
      </c>
      <c r="E69" s="43">
        <v>30303.23</v>
      </c>
      <c r="F69" s="43">
        <v>1126.9000000000001</v>
      </c>
      <c r="G69" s="126">
        <f t="shared" si="3"/>
        <v>31430.13</v>
      </c>
      <c r="H69" s="127">
        <f t="shared" si="4"/>
        <v>7818233.3399999999</v>
      </c>
      <c r="I69" s="128">
        <f t="shared" si="5"/>
        <v>290740.2</v>
      </c>
      <c r="J69" s="128">
        <f t="shared" si="6"/>
        <v>8108973.54</v>
      </c>
      <c r="K69" s="44">
        <f t="shared" ref="K69:K132" si="11">J69/$J$274</f>
        <v>5.1271555138128772E-3</v>
      </c>
      <c r="L69" s="45">
        <v>8889.3350910978188</v>
      </c>
      <c r="M69" s="45">
        <v>7395.1836204918764</v>
      </c>
      <c r="N69" s="45">
        <f t="shared" si="7"/>
        <v>47714.648711589703</v>
      </c>
      <c r="O69" s="46">
        <f t="shared" si="8"/>
        <v>12310379.367590144</v>
      </c>
      <c r="P69" s="47">
        <f t="shared" ref="P69:P132" si="12">T69/D69</f>
        <v>86742.950503875967</v>
      </c>
      <c r="Q69" s="46">
        <v>228350</v>
      </c>
      <c r="R69" s="47">
        <f t="shared" si="9"/>
        <v>141607.04949612403</v>
      </c>
      <c r="S69" s="191">
        <f t="shared" si="10"/>
        <v>0.62013159402725659</v>
      </c>
      <c r="T69" s="42">
        <v>22379681.23</v>
      </c>
      <c r="U69" s="48">
        <f t="shared" ref="U69:U132" si="13">O69/T69</f>
        <v>0.55006946886661012</v>
      </c>
      <c r="V69" s="49"/>
    </row>
    <row r="70" spans="1:22" x14ac:dyDescent="0.3">
      <c r="A70" s="40" t="str">
        <f>VLOOKUP(B70,Grupos!$A$2:$B$619,2,FALSE)</f>
        <v>CAJAS EMPALME</v>
      </c>
      <c r="B70" s="41" t="s">
        <v>98</v>
      </c>
      <c r="C70" s="41" t="s">
        <v>99</v>
      </c>
      <c r="D70" s="42">
        <v>65</v>
      </c>
      <c r="E70" s="43">
        <v>35832.339999999997</v>
      </c>
      <c r="F70" s="43">
        <v>1464.37</v>
      </c>
      <c r="G70" s="126">
        <f t="shared" ref="G70:G133" si="14">E70+F70</f>
        <v>37296.71</v>
      </c>
      <c r="H70" s="127">
        <f t="shared" ref="H70:H133" si="15">E70*D70</f>
        <v>2329102.0999999996</v>
      </c>
      <c r="I70" s="128">
        <f t="shared" ref="I70:I133" si="16">F70*D70</f>
        <v>95184.049999999988</v>
      </c>
      <c r="J70" s="128">
        <f t="shared" ref="J70:J133" si="17">G70*D70</f>
        <v>2424286.15</v>
      </c>
      <c r="K70" s="44">
        <f t="shared" si="11"/>
        <v>1.5328317498780114E-3</v>
      </c>
      <c r="L70" s="45">
        <v>10548.570845411678</v>
      </c>
      <c r="M70" s="45">
        <v>9609.8012586207187</v>
      </c>
      <c r="N70" s="45">
        <f t="shared" ref="N70:N133" si="18">G70+L70+M70</f>
        <v>57455.082104032394</v>
      </c>
      <c r="O70" s="46">
        <f t="shared" ref="O70:O133" si="19">N70*D70</f>
        <v>3734580.3367621056</v>
      </c>
      <c r="P70" s="47">
        <f t="shared" si="12"/>
        <v>108029.81600000001</v>
      </c>
      <c r="Q70" s="46">
        <v>280550</v>
      </c>
      <c r="R70" s="47">
        <f t="shared" si="9"/>
        <v>172520.18400000001</v>
      </c>
      <c r="S70" s="191">
        <f t="shared" si="10"/>
        <v>0.61493560506148637</v>
      </c>
      <c r="T70" s="42">
        <v>7021938.04</v>
      </c>
      <c r="U70" s="48">
        <f t="shared" si="13"/>
        <v>0.53184467243776845</v>
      </c>
      <c r="V70" s="49"/>
    </row>
    <row r="71" spans="1:22" x14ac:dyDescent="0.3">
      <c r="A71" s="40" t="str">
        <f>VLOOKUP(B71,Grupos!$A$2:$B$619,2,FALSE)</f>
        <v>CAJAS EMPALME</v>
      </c>
      <c r="B71" s="41" t="s">
        <v>100</v>
      </c>
      <c r="C71" s="41" t="s">
        <v>101</v>
      </c>
      <c r="D71" s="42">
        <v>13</v>
      </c>
      <c r="E71" s="43">
        <v>42663.97</v>
      </c>
      <c r="F71" s="43">
        <v>1739.56</v>
      </c>
      <c r="G71" s="126">
        <f t="shared" si="14"/>
        <v>44403.53</v>
      </c>
      <c r="H71" s="127">
        <f t="shared" si="15"/>
        <v>554631.61</v>
      </c>
      <c r="I71" s="128">
        <f t="shared" si="16"/>
        <v>22614.28</v>
      </c>
      <c r="J71" s="128">
        <f t="shared" si="17"/>
        <v>577245.89</v>
      </c>
      <c r="K71" s="44">
        <f t="shared" si="11"/>
        <v>3.6498200828255777E-4</v>
      </c>
      <c r="L71" s="45">
        <v>12558.581762073996</v>
      </c>
      <c r="M71" s="45">
        <v>11415.711792406466</v>
      </c>
      <c r="N71" s="45">
        <f t="shared" si="18"/>
        <v>68377.823554480463</v>
      </c>
      <c r="O71" s="46">
        <f t="shared" si="19"/>
        <v>888911.70620824606</v>
      </c>
      <c r="P71" s="47">
        <f t="shared" si="12"/>
        <v>135080.84</v>
      </c>
      <c r="Q71" s="46">
        <v>333850</v>
      </c>
      <c r="R71" s="47">
        <f t="shared" ref="R71:R134" si="20">Q71-P71</f>
        <v>198769.16</v>
      </c>
      <c r="S71" s="191">
        <f t="shared" ref="S71:S134" si="21">R71/Q71</f>
        <v>0.59538463381758278</v>
      </c>
      <c r="T71" s="42">
        <v>1756050.92</v>
      </c>
      <c r="U71" s="48">
        <f t="shared" si="13"/>
        <v>0.50619927707349521</v>
      </c>
      <c r="V71" s="49"/>
    </row>
    <row r="72" spans="1:22" x14ac:dyDescent="0.3">
      <c r="A72" s="40" t="str">
        <f>VLOOKUP(B72,Grupos!$A$2:$B$619,2,FALSE)</f>
        <v>CAJAS EMPALME</v>
      </c>
      <c r="B72" s="41" t="s">
        <v>631</v>
      </c>
      <c r="C72" s="41" t="s">
        <v>1057</v>
      </c>
      <c r="D72" s="42">
        <v>24</v>
      </c>
      <c r="E72" s="43">
        <v>4623.5200000000004</v>
      </c>
      <c r="F72" s="43">
        <v>378.55</v>
      </c>
      <c r="G72" s="126">
        <f t="shared" si="14"/>
        <v>5002.0700000000006</v>
      </c>
      <c r="H72" s="127">
        <f t="shared" si="15"/>
        <v>110964.48000000001</v>
      </c>
      <c r="I72" s="128">
        <f t="shared" si="16"/>
        <v>9085.2000000000007</v>
      </c>
      <c r="J72" s="128">
        <f t="shared" si="17"/>
        <v>120049.68000000002</v>
      </c>
      <c r="K72" s="44">
        <f t="shared" si="11"/>
        <v>7.590521484713978E-5</v>
      </c>
      <c r="L72" s="45">
        <v>1414.72772715632</v>
      </c>
      <c r="M72" s="45">
        <v>2484.2015791438457</v>
      </c>
      <c r="N72" s="45">
        <f t="shared" si="18"/>
        <v>8900.9993063001657</v>
      </c>
      <c r="O72" s="46">
        <f t="shared" si="19"/>
        <v>213623.98335120396</v>
      </c>
      <c r="P72" s="47">
        <f t="shared" si="12"/>
        <v>15030</v>
      </c>
      <c r="Q72" s="46">
        <v>37300</v>
      </c>
      <c r="R72" s="47">
        <f t="shared" si="20"/>
        <v>22270</v>
      </c>
      <c r="S72" s="191">
        <f t="shared" si="21"/>
        <v>0.59705093833780165</v>
      </c>
      <c r="T72" s="42">
        <v>360720</v>
      </c>
      <c r="U72" s="48">
        <f t="shared" si="13"/>
        <v>0.59221552270792843</v>
      </c>
      <c r="V72" s="49"/>
    </row>
    <row r="73" spans="1:22" x14ac:dyDescent="0.3">
      <c r="A73" s="40" t="str">
        <f>VLOOKUP(B73,Grupos!$A$2:$B$619,2,FALSE)</f>
        <v>CAJAS EMPALME</v>
      </c>
      <c r="B73" s="41" t="s">
        <v>102</v>
      </c>
      <c r="C73" s="41" t="s">
        <v>103</v>
      </c>
      <c r="D73" s="42">
        <v>122</v>
      </c>
      <c r="E73" s="43">
        <v>5462.07</v>
      </c>
      <c r="F73" s="43">
        <v>441.33</v>
      </c>
      <c r="G73" s="126">
        <f t="shared" si="14"/>
        <v>5903.4</v>
      </c>
      <c r="H73" s="127">
        <f t="shared" si="15"/>
        <v>666372.53999999992</v>
      </c>
      <c r="I73" s="128">
        <f t="shared" si="16"/>
        <v>53842.259999999995</v>
      </c>
      <c r="J73" s="128">
        <f t="shared" si="17"/>
        <v>720214.79999999993</v>
      </c>
      <c r="K73" s="44">
        <f t="shared" si="11"/>
        <v>4.5537863266349228E-4</v>
      </c>
      <c r="L73" s="45">
        <v>1669.6494980067491</v>
      </c>
      <c r="M73" s="45">
        <v>2896.189890169207</v>
      </c>
      <c r="N73" s="45">
        <f t="shared" si="18"/>
        <v>10469.239388175956</v>
      </c>
      <c r="O73" s="46">
        <f t="shared" si="19"/>
        <v>1277247.2053574666</v>
      </c>
      <c r="P73" s="47">
        <f t="shared" si="12"/>
        <v>26961.270409836066</v>
      </c>
      <c r="Q73" s="46">
        <v>66450</v>
      </c>
      <c r="R73" s="47">
        <f t="shared" si="20"/>
        <v>39488.72959016393</v>
      </c>
      <c r="S73" s="191">
        <f t="shared" si="21"/>
        <v>0.59426229631548433</v>
      </c>
      <c r="T73" s="42">
        <v>3289274.99</v>
      </c>
      <c r="U73" s="48">
        <f t="shared" si="13"/>
        <v>0.3883066053280837</v>
      </c>
      <c r="V73" s="49"/>
    </row>
    <row r="74" spans="1:22" x14ac:dyDescent="0.3">
      <c r="A74" s="40" t="str">
        <f>VLOOKUP(B74,Grupos!$A$2:$B$619,2,FALSE)</f>
        <v>CAJAS EMPALME</v>
      </c>
      <c r="B74" s="41" t="s">
        <v>104</v>
      </c>
      <c r="C74" s="41" t="s">
        <v>105</v>
      </c>
      <c r="D74" s="42">
        <v>417</v>
      </c>
      <c r="E74" s="43">
        <v>8869.64</v>
      </c>
      <c r="F74" s="43">
        <v>496.4</v>
      </c>
      <c r="G74" s="126">
        <f t="shared" si="14"/>
        <v>9366.0399999999991</v>
      </c>
      <c r="H74" s="127">
        <f t="shared" si="15"/>
        <v>3698639.88</v>
      </c>
      <c r="I74" s="128">
        <f t="shared" si="16"/>
        <v>206998.8</v>
      </c>
      <c r="J74" s="128">
        <f t="shared" si="17"/>
        <v>3905638.6799999997</v>
      </c>
      <c r="K74" s="44">
        <f t="shared" si="11"/>
        <v>2.4694638346449515E-3</v>
      </c>
      <c r="L74" s="45">
        <v>2648.9826175273793</v>
      </c>
      <c r="M74" s="45">
        <v>3257.5819941540217</v>
      </c>
      <c r="N74" s="45">
        <f t="shared" si="18"/>
        <v>15272.6046116814</v>
      </c>
      <c r="O74" s="46">
        <f t="shared" si="19"/>
        <v>6368676.1230711434</v>
      </c>
      <c r="P74" s="47">
        <f t="shared" si="12"/>
        <v>37311.237673860909</v>
      </c>
      <c r="Q74" s="46">
        <v>95400</v>
      </c>
      <c r="R74" s="47">
        <f t="shared" si="20"/>
        <v>58088.762326139091</v>
      </c>
      <c r="S74" s="191">
        <f t="shared" si="21"/>
        <v>0.60889687972892126</v>
      </c>
      <c r="T74" s="42">
        <v>15558786.109999999</v>
      </c>
      <c r="U74" s="48">
        <f t="shared" si="13"/>
        <v>0.40932988460956121</v>
      </c>
      <c r="V74" s="49"/>
    </row>
    <row r="75" spans="1:22" x14ac:dyDescent="0.3">
      <c r="A75" s="40" t="str">
        <f>VLOOKUP(B75,Grupos!$A$2:$B$619,2,FALSE)</f>
        <v>CAJAS PLASTICAS CC</v>
      </c>
      <c r="B75" s="41" t="s">
        <v>106</v>
      </c>
      <c r="C75" s="41" t="s">
        <v>107</v>
      </c>
      <c r="D75" s="42">
        <v>415584</v>
      </c>
      <c r="E75" s="43">
        <v>162.25</v>
      </c>
      <c r="F75" s="43">
        <v>7.67</v>
      </c>
      <c r="G75" s="126">
        <f t="shared" si="14"/>
        <v>169.92</v>
      </c>
      <c r="H75" s="127">
        <f t="shared" si="15"/>
        <v>67428504</v>
      </c>
      <c r="I75" s="128">
        <f t="shared" si="16"/>
        <v>3187529.28</v>
      </c>
      <c r="J75" s="128">
        <f t="shared" si="17"/>
        <v>70616033.280000001</v>
      </c>
      <c r="K75" s="44">
        <f t="shared" si="11"/>
        <v>4.4649225035595028E-2</v>
      </c>
      <c r="L75" s="45">
        <v>48.058210980334515</v>
      </c>
      <c r="M75" s="45">
        <v>50.333710505965648</v>
      </c>
      <c r="N75" s="45">
        <f t="shared" si="18"/>
        <v>268.31192148630015</v>
      </c>
      <c r="O75" s="46">
        <f t="shared" si="19"/>
        <v>111506141.57896256</v>
      </c>
      <c r="P75" s="47">
        <f t="shared" si="12"/>
        <v>313.74844832813585</v>
      </c>
      <c r="Q75" s="46">
        <v>900</v>
      </c>
      <c r="R75" s="47">
        <f t="shared" si="20"/>
        <v>586.25155167186415</v>
      </c>
      <c r="S75" s="191">
        <f t="shared" si="21"/>
        <v>0.6513906129687379</v>
      </c>
      <c r="T75" s="42">
        <v>130388835.15000001</v>
      </c>
      <c r="U75" s="48">
        <f t="shared" si="13"/>
        <v>0.8551816683589919</v>
      </c>
      <c r="V75" s="49"/>
    </row>
    <row r="76" spans="1:22" x14ac:dyDescent="0.3">
      <c r="A76" s="40" t="str">
        <f>VLOOKUP(B76,Grupos!$A$2:$B$619,2,FALSE)</f>
        <v>CAJAS PLASTICAS CC</v>
      </c>
      <c r="B76" s="41" t="s">
        <v>108</v>
      </c>
      <c r="C76" s="41" t="s">
        <v>109</v>
      </c>
      <c r="D76" s="42">
        <v>271620</v>
      </c>
      <c r="E76" s="43">
        <v>252.52</v>
      </c>
      <c r="F76" s="43">
        <v>10.33</v>
      </c>
      <c r="G76" s="126">
        <f t="shared" si="14"/>
        <v>262.85000000000002</v>
      </c>
      <c r="H76" s="127">
        <f t="shared" si="15"/>
        <v>68589482.400000006</v>
      </c>
      <c r="I76" s="128">
        <f t="shared" si="16"/>
        <v>2805834.6</v>
      </c>
      <c r="J76" s="128">
        <f t="shared" si="17"/>
        <v>71395317</v>
      </c>
      <c r="K76" s="44">
        <f t="shared" si="11"/>
        <v>4.5141951864966653E-2</v>
      </c>
      <c r="L76" s="45">
        <v>74.341459252477208</v>
      </c>
      <c r="M76" s="45">
        <v>67.78973005562257</v>
      </c>
      <c r="N76" s="45">
        <f t="shared" si="18"/>
        <v>404.98118930809977</v>
      </c>
      <c r="O76" s="46">
        <f t="shared" si="19"/>
        <v>110000990.63986605</v>
      </c>
      <c r="P76" s="47">
        <f t="shared" si="12"/>
        <v>466.91600861497682</v>
      </c>
      <c r="Q76" s="46">
        <v>1350</v>
      </c>
      <c r="R76" s="47">
        <f t="shared" si="20"/>
        <v>883.08399138502318</v>
      </c>
      <c r="S76" s="191">
        <f t="shared" si="21"/>
        <v>0.65413628991483197</v>
      </c>
      <c r="T76" s="42">
        <v>126823726.26000001</v>
      </c>
      <c r="U76" s="48">
        <f t="shared" si="13"/>
        <v>0.86735340368689506</v>
      </c>
      <c r="V76" s="49"/>
    </row>
    <row r="77" spans="1:22" x14ac:dyDescent="0.3">
      <c r="A77" s="40" t="str">
        <f>VLOOKUP(B77,Grupos!$A$2:$B$619,2,FALSE)</f>
        <v>CAJAS PLASTICAS CC</v>
      </c>
      <c r="B77" s="41" t="s">
        <v>110</v>
      </c>
      <c r="C77" s="41" t="s">
        <v>111</v>
      </c>
      <c r="D77" s="42">
        <v>193590</v>
      </c>
      <c r="E77" s="43">
        <v>204.73</v>
      </c>
      <c r="F77" s="43">
        <v>8.74</v>
      </c>
      <c r="G77" s="126">
        <f t="shared" si="14"/>
        <v>213.47</v>
      </c>
      <c r="H77" s="127">
        <f t="shared" si="15"/>
        <v>39633680.699999996</v>
      </c>
      <c r="I77" s="128">
        <f t="shared" si="16"/>
        <v>1691976.6</v>
      </c>
      <c r="J77" s="128">
        <f t="shared" si="17"/>
        <v>41325657.299999997</v>
      </c>
      <c r="K77" s="44">
        <f t="shared" si="11"/>
        <v>2.6129456538791021E-2</v>
      </c>
      <c r="L77" s="45">
        <v>60.375390171680849</v>
      </c>
      <c r="M77" s="45">
        <v>57.355492806015619</v>
      </c>
      <c r="N77" s="45">
        <f t="shared" si="18"/>
        <v>331.20088297769644</v>
      </c>
      <c r="O77" s="46">
        <f t="shared" si="19"/>
        <v>64117178.935652256</v>
      </c>
      <c r="P77" s="47">
        <f t="shared" si="12"/>
        <v>463.12692313652565</v>
      </c>
      <c r="Q77" s="46">
        <v>1350</v>
      </c>
      <c r="R77" s="47">
        <f t="shared" si="20"/>
        <v>886.87307686347435</v>
      </c>
      <c r="S77" s="191">
        <f t="shared" si="21"/>
        <v>0.65694301989886994</v>
      </c>
      <c r="T77" s="42">
        <v>89656741.049999997</v>
      </c>
      <c r="U77" s="48">
        <f t="shared" si="13"/>
        <v>0.71514063733250377</v>
      </c>
      <c r="V77" s="49"/>
    </row>
    <row r="78" spans="1:22" x14ac:dyDescent="0.3">
      <c r="A78" s="40" t="str">
        <f>VLOOKUP(B78,Grupos!$A$2:$B$619,2,FALSE)</f>
        <v>CAJAS PLASTICAS LH</v>
      </c>
      <c r="B78" s="41" t="s">
        <v>112</v>
      </c>
      <c r="C78" s="41" t="s">
        <v>113</v>
      </c>
      <c r="D78" s="42">
        <v>17280</v>
      </c>
      <c r="E78" s="43">
        <v>172.66</v>
      </c>
      <c r="F78" s="43">
        <v>7.75</v>
      </c>
      <c r="G78" s="126">
        <f t="shared" si="14"/>
        <v>180.41</v>
      </c>
      <c r="H78" s="127">
        <f t="shared" si="15"/>
        <v>2983564.8</v>
      </c>
      <c r="I78" s="128">
        <f t="shared" si="16"/>
        <v>133920</v>
      </c>
      <c r="J78" s="128">
        <f t="shared" si="17"/>
        <v>3117484.8</v>
      </c>
      <c r="K78" s="44">
        <f t="shared" si="11"/>
        <v>1.9711285654963225E-3</v>
      </c>
      <c r="L78" s="45">
        <v>51.025081467526782</v>
      </c>
      <c r="M78" s="45">
        <v>50.85870357512826</v>
      </c>
      <c r="N78" s="45">
        <f t="shared" si="18"/>
        <v>282.29378504265503</v>
      </c>
      <c r="O78" s="46">
        <f t="shared" si="19"/>
        <v>4878036.6055370793</v>
      </c>
      <c r="P78" s="47">
        <f t="shared" si="12"/>
        <v>338.96251273148147</v>
      </c>
      <c r="Q78" s="46">
        <v>950</v>
      </c>
      <c r="R78" s="47">
        <f t="shared" si="20"/>
        <v>611.03748726851859</v>
      </c>
      <c r="S78" s="191">
        <f t="shared" si="21"/>
        <v>0.64319735501949327</v>
      </c>
      <c r="T78" s="42">
        <v>5857272.2199999997</v>
      </c>
      <c r="U78" s="48">
        <f t="shared" si="13"/>
        <v>0.83281712413514553</v>
      </c>
      <c r="V78" s="49"/>
    </row>
    <row r="79" spans="1:22" x14ac:dyDescent="0.3">
      <c r="A79" s="40" t="str">
        <f>VLOOKUP(B79,Grupos!$A$2:$B$619,2,FALSE)</f>
        <v>CAJAS PLASTICAS LH</v>
      </c>
      <c r="B79" s="41" t="s">
        <v>114</v>
      </c>
      <c r="C79" s="41" t="s">
        <v>115</v>
      </c>
      <c r="D79" s="42">
        <v>38070</v>
      </c>
      <c r="E79" s="43">
        <v>265.54000000000002</v>
      </c>
      <c r="F79" s="43">
        <v>10.86</v>
      </c>
      <c r="G79" s="126">
        <f t="shared" si="14"/>
        <v>276.40000000000003</v>
      </c>
      <c r="H79" s="127">
        <f t="shared" si="15"/>
        <v>10109107.800000001</v>
      </c>
      <c r="I79" s="128">
        <f t="shared" si="16"/>
        <v>413440.19999999995</v>
      </c>
      <c r="J79" s="128">
        <f t="shared" si="17"/>
        <v>10522548.000000002</v>
      </c>
      <c r="K79" s="44">
        <f t="shared" si="11"/>
        <v>6.6532144582088096E-3</v>
      </c>
      <c r="L79" s="45">
        <v>78.173784810289916</v>
      </c>
      <c r="M79" s="45">
        <v>71.267809138824887</v>
      </c>
      <c r="N79" s="45">
        <f t="shared" si="18"/>
        <v>425.84159394911484</v>
      </c>
      <c r="O79" s="46">
        <f t="shared" si="19"/>
        <v>16211789.481642801</v>
      </c>
      <c r="P79" s="47">
        <f t="shared" si="12"/>
        <v>486.9858184922511</v>
      </c>
      <c r="Q79" s="46">
        <v>1400</v>
      </c>
      <c r="R79" s="47">
        <f t="shared" si="20"/>
        <v>913.01418150774884</v>
      </c>
      <c r="S79" s="191">
        <f t="shared" si="21"/>
        <v>0.65215298679124922</v>
      </c>
      <c r="T79" s="42">
        <v>18539550.109999999</v>
      </c>
      <c r="U79" s="48">
        <f t="shared" si="13"/>
        <v>0.87444352130736802</v>
      </c>
      <c r="V79" s="49"/>
    </row>
    <row r="80" spans="1:22" x14ac:dyDescent="0.3">
      <c r="A80" s="40" t="str">
        <f>VLOOKUP(B80,Grupos!$A$2:$B$619,2,FALSE)</f>
        <v>CAJAS PLASTICAS LH</v>
      </c>
      <c r="B80" s="41" t="s">
        <v>116</v>
      </c>
      <c r="C80" s="41" t="s">
        <v>117</v>
      </c>
      <c r="D80" s="42">
        <v>12420</v>
      </c>
      <c r="E80" s="43">
        <v>224.71</v>
      </c>
      <c r="F80" s="43">
        <v>8.0500000000000007</v>
      </c>
      <c r="G80" s="126">
        <f t="shared" si="14"/>
        <v>232.76000000000002</v>
      </c>
      <c r="H80" s="127">
        <f t="shared" si="15"/>
        <v>2790898.2</v>
      </c>
      <c r="I80" s="128">
        <f t="shared" si="16"/>
        <v>99981.000000000015</v>
      </c>
      <c r="J80" s="128">
        <f t="shared" si="17"/>
        <v>2890879.2</v>
      </c>
      <c r="K80" s="44">
        <f t="shared" si="11"/>
        <v>1.8278499932122064E-3</v>
      </c>
      <c r="L80" s="45">
        <v>65.831151058042977</v>
      </c>
      <c r="M80" s="45">
        <v>52.827427584488071</v>
      </c>
      <c r="N80" s="45">
        <f t="shared" si="18"/>
        <v>351.41857864253109</v>
      </c>
      <c r="O80" s="46">
        <f t="shared" si="19"/>
        <v>4364618.7467402359</v>
      </c>
      <c r="P80" s="47">
        <f t="shared" si="12"/>
        <v>497.60871497584543</v>
      </c>
      <c r="Q80" s="46">
        <v>1400</v>
      </c>
      <c r="R80" s="47">
        <f t="shared" si="20"/>
        <v>902.39128502415451</v>
      </c>
      <c r="S80" s="191">
        <f t="shared" si="21"/>
        <v>0.64456520358868175</v>
      </c>
      <c r="T80" s="42">
        <v>6180300.2400000002</v>
      </c>
      <c r="U80" s="48">
        <f t="shared" si="13"/>
        <v>0.70621467845391206</v>
      </c>
      <c r="V80" s="49"/>
    </row>
    <row r="81" spans="1:22" x14ac:dyDescent="0.3">
      <c r="A81" s="40" t="str">
        <f>VLOOKUP(B81,Grupos!$A$2:$B$619,2,FALSE)</f>
        <v>CAJAS TELEFONICAS</v>
      </c>
      <c r="B81" s="41" t="s">
        <v>632</v>
      </c>
      <c r="C81" s="41" t="s">
        <v>1059</v>
      </c>
      <c r="D81" s="42">
        <v>150</v>
      </c>
      <c r="E81" s="43">
        <v>4707.25</v>
      </c>
      <c r="F81" s="43">
        <v>472.08</v>
      </c>
      <c r="G81" s="126">
        <f t="shared" si="14"/>
        <v>5179.33</v>
      </c>
      <c r="H81" s="127">
        <f t="shared" si="15"/>
        <v>706087.5</v>
      </c>
      <c r="I81" s="128">
        <f t="shared" si="16"/>
        <v>70812</v>
      </c>
      <c r="J81" s="128">
        <f t="shared" si="17"/>
        <v>776899.5</v>
      </c>
      <c r="K81" s="44">
        <f t="shared" si="11"/>
        <v>4.9121933071487951E-4</v>
      </c>
      <c r="L81" s="45">
        <v>1464.8618989923255</v>
      </c>
      <c r="M81" s="45">
        <v>3097.9841011285871</v>
      </c>
      <c r="N81" s="45">
        <f t="shared" si="18"/>
        <v>9742.1760001209113</v>
      </c>
      <c r="O81" s="46">
        <f t="shared" si="19"/>
        <v>1461326.4000181367</v>
      </c>
      <c r="P81" s="47">
        <f t="shared" si="12"/>
        <v>27340.999666666667</v>
      </c>
      <c r="Q81" s="46">
        <v>71950</v>
      </c>
      <c r="R81" s="47">
        <f t="shared" si="20"/>
        <v>44609.00033333333</v>
      </c>
      <c r="S81" s="191">
        <f t="shared" si="21"/>
        <v>0.62000000463284688</v>
      </c>
      <c r="T81" s="42">
        <v>4101149.95</v>
      </c>
      <c r="U81" s="48">
        <f t="shared" si="13"/>
        <v>0.35632113378788716</v>
      </c>
      <c r="V81" s="49"/>
    </row>
    <row r="82" spans="1:22" x14ac:dyDescent="0.3">
      <c r="A82" s="40" t="str">
        <f>VLOOKUP(B82,Grupos!$A$2:$B$619,2,FALSE)</f>
        <v>CAJAS TELEFONICAS</v>
      </c>
      <c r="B82" s="41" t="s">
        <v>118</v>
      </c>
      <c r="C82" s="41" t="s">
        <v>119</v>
      </c>
      <c r="D82" s="42">
        <v>287</v>
      </c>
      <c r="E82" s="43">
        <v>5915.72</v>
      </c>
      <c r="F82" s="43">
        <v>579.65</v>
      </c>
      <c r="G82" s="126">
        <f t="shared" si="14"/>
        <v>6495.37</v>
      </c>
      <c r="H82" s="127">
        <f t="shared" si="15"/>
        <v>1697811.6400000001</v>
      </c>
      <c r="I82" s="128">
        <f t="shared" si="16"/>
        <v>166359.54999999999</v>
      </c>
      <c r="J82" s="128">
        <f t="shared" si="17"/>
        <v>1864171.19</v>
      </c>
      <c r="K82" s="44">
        <f t="shared" si="11"/>
        <v>1.1786813150089046E-3</v>
      </c>
      <c r="L82" s="45">
        <v>1837.075458188179</v>
      </c>
      <c r="M82" s="45">
        <v>3803.902906751367</v>
      </c>
      <c r="N82" s="45">
        <f t="shared" si="18"/>
        <v>12136.348364939546</v>
      </c>
      <c r="O82" s="46">
        <f t="shared" si="19"/>
        <v>3483131.9807376498</v>
      </c>
      <c r="P82" s="47">
        <f t="shared" si="12"/>
        <v>33218.839965156796</v>
      </c>
      <c r="Q82" s="46">
        <v>82950</v>
      </c>
      <c r="R82" s="47">
        <f t="shared" si="20"/>
        <v>49731.160034843204</v>
      </c>
      <c r="S82" s="191">
        <f t="shared" si="21"/>
        <v>0.59953176654422191</v>
      </c>
      <c r="T82" s="42">
        <v>9533807.0700000003</v>
      </c>
      <c r="U82" s="48">
        <f t="shared" si="13"/>
        <v>0.3653453395022026</v>
      </c>
      <c r="V82" s="49"/>
    </row>
    <row r="83" spans="1:22" x14ac:dyDescent="0.3">
      <c r="A83" s="40" t="str">
        <f>VLOOKUP(B83,Grupos!$A$2:$B$619,2,FALSE)</f>
        <v>CAJAS TELEFONICAS</v>
      </c>
      <c r="B83" s="41" t="s">
        <v>122</v>
      </c>
      <c r="C83" s="41" t="s">
        <v>123</v>
      </c>
      <c r="D83" s="42">
        <v>28</v>
      </c>
      <c r="E83" s="43">
        <v>11364.94</v>
      </c>
      <c r="F83" s="43">
        <v>484.76</v>
      </c>
      <c r="G83" s="126">
        <f t="shared" si="14"/>
        <v>11849.7</v>
      </c>
      <c r="H83" s="127">
        <f t="shared" si="15"/>
        <v>318218.32</v>
      </c>
      <c r="I83" s="128">
        <f t="shared" si="16"/>
        <v>13573.279999999999</v>
      </c>
      <c r="J83" s="128">
        <f t="shared" si="17"/>
        <v>331791.60000000003</v>
      </c>
      <c r="K83" s="44">
        <f t="shared" si="11"/>
        <v>2.0978575438498681E-4</v>
      </c>
      <c r="L83" s="45">
        <v>3351.4323367094516</v>
      </c>
      <c r="M83" s="45">
        <v>3181.1955025908615</v>
      </c>
      <c r="N83" s="45">
        <f t="shared" si="18"/>
        <v>18382.327839300313</v>
      </c>
      <c r="O83" s="46">
        <f t="shared" si="19"/>
        <v>514705.17950040876</v>
      </c>
      <c r="P83" s="47">
        <f t="shared" si="12"/>
        <v>45066.001785714288</v>
      </c>
      <c r="Q83" s="46">
        <v>107300</v>
      </c>
      <c r="R83" s="47">
        <f t="shared" si="20"/>
        <v>62233.998214285712</v>
      </c>
      <c r="S83" s="191">
        <f t="shared" si="21"/>
        <v>0.57999998335774194</v>
      </c>
      <c r="T83" s="42">
        <v>1261848.05</v>
      </c>
      <c r="U83" s="48">
        <f t="shared" si="13"/>
        <v>0.40789790775554058</v>
      </c>
      <c r="V83" s="49"/>
    </row>
    <row r="84" spans="1:22" x14ac:dyDescent="0.3">
      <c r="A84" s="40" t="str">
        <f>VLOOKUP(B84,Grupos!$A$2:$B$619,2,FALSE)</f>
        <v>CAJAS TELEFONICAS</v>
      </c>
      <c r="B84" s="41" t="s">
        <v>125</v>
      </c>
      <c r="C84" s="41" t="s">
        <v>126</v>
      </c>
      <c r="D84" s="42">
        <v>35</v>
      </c>
      <c r="E84" s="43">
        <v>20766.8</v>
      </c>
      <c r="F84" s="43">
        <v>513.19000000000005</v>
      </c>
      <c r="G84" s="126">
        <f t="shared" si="14"/>
        <v>21279.989999999998</v>
      </c>
      <c r="H84" s="127">
        <f t="shared" si="15"/>
        <v>726838</v>
      </c>
      <c r="I84" s="128">
        <f t="shared" si="16"/>
        <v>17961.650000000001</v>
      </c>
      <c r="J84" s="128">
        <f t="shared" si="17"/>
        <v>744799.64999999991</v>
      </c>
      <c r="K84" s="44">
        <f t="shared" si="11"/>
        <v>4.7092318322984698E-4</v>
      </c>
      <c r="L84" s="45">
        <v>6018.5866824353143</v>
      </c>
      <c r="M84" s="45">
        <v>3367.7649145445257</v>
      </c>
      <c r="N84" s="45">
        <f t="shared" si="18"/>
        <v>30666.341596979837</v>
      </c>
      <c r="O84" s="46">
        <f t="shared" si="19"/>
        <v>1073321.9558942942</v>
      </c>
      <c r="P84" s="47">
        <f t="shared" si="12"/>
        <v>74129.285428571442</v>
      </c>
      <c r="Q84" s="46">
        <v>175900</v>
      </c>
      <c r="R84" s="47">
        <f t="shared" si="20"/>
        <v>101770.71457142856</v>
      </c>
      <c r="S84" s="191">
        <f t="shared" si="21"/>
        <v>0.57857143019572799</v>
      </c>
      <c r="T84" s="42">
        <v>2594524.9900000002</v>
      </c>
      <c r="U84" s="48">
        <f t="shared" si="13"/>
        <v>0.41368726839447173</v>
      </c>
      <c r="V84" s="49"/>
    </row>
    <row r="85" spans="1:22" x14ac:dyDescent="0.3">
      <c r="A85" s="40" t="str">
        <f>VLOOKUP(B85,Grupos!$A$2:$B$619,2,FALSE)</f>
        <v>CAJAS TELEFONICAS</v>
      </c>
      <c r="B85" s="41" t="s">
        <v>127</v>
      </c>
      <c r="C85" s="41" t="s">
        <v>128</v>
      </c>
      <c r="D85" s="42">
        <v>12</v>
      </c>
      <c r="E85" s="43">
        <v>22935.13</v>
      </c>
      <c r="F85" s="43">
        <v>520.91</v>
      </c>
      <c r="G85" s="126">
        <f t="shared" si="14"/>
        <v>23456.04</v>
      </c>
      <c r="H85" s="127">
        <f t="shared" si="15"/>
        <v>275221.56</v>
      </c>
      <c r="I85" s="128">
        <f t="shared" si="16"/>
        <v>6250.92</v>
      </c>
      <c r="J85" s="128">
        <f t="shared" si="17"/>
        <v>281472.48</v>
      </c>
      <c r="K85" s="44">
        <f t="shared" si="11"/>
        <v>1.7796989602935427E-4</v>
      </c>
      <c r="L85" s="45">
        <v>6634.0355407436773</v>
      </c>
      <c r="M85" s="45">
        <v>3418.4267457187175</v>
      </c>
      <c r="N85" s="45">
        <f t="shared" si="18"/>
        <v>33508.502286462397</v>
      </c>
      <c r="O85" s="46">
        <f t="shared" si="19"/>
        <v>402102.02743754874</v>
      </c>
      <c r="P85" s="47">
        <f t="shared" si="12"/>
        <v>87432.505000000005</v>
      </c>
      <c r="Q85" s="46">
        <v>213250</v>
      </c>
      <c r="R85" s="47">
        <f t="shared" si="20"/>
        <v>125817.495</v>
      </c>
      <c r="S85" s="191">
        <f t="shared" si="21"/>
        <v>0.58999997655334113</v>
      </c>
      <c r="T85" s="42">
        <v>1049190.06</v>
      </c>
      <c r="U85" s="48">
        <f t="shared" si="13"/>
        <v>0.38324993989892425</v>
      </c>
      <c r="V85" s="49"/>
    </row>
    <row r="86" spans="1:22" x14ac:dyDescent="0.3">
      <c r="A86" s="40" t="str">
        <f>VLOOKUP(B86,Grupos!$A$2:$B$619,2,FALSE)</f>
        <v>CAJAS TELEFONICAS</v>
      </c>
      <c r="B86" s="41" t="s">
        <v>129</v>
      </c>
      <c r="C86" s="41" t="s">
        <v>1061</v>
      </c>
      <c r="D86" s="42">
        <v>9</v>
      </c>
      <c r="E86" s="43">
        <v>27365.37</v>
      </c>
      <c r="F86" s="43">
        <v>1110.6099999999999</v>
      </c>
      <c r="G86" s="126">
        <f t="shared" si="14"/>
        <v>28475.98</v>
      </c>
      <c r="H86" s="127">
        <f t="shared" si="15"/>
        <v>246288.33</v>
      </c>
      <c r="I86" s="128">
        <f t="shared" si="16"/>
        <v>9995.49</v>
      </c>
      <c r="J86" s="128">
        <f t="shared" si="17"/>
        <v>256283.82</v>
      </c>
      <c r="K86" s="44">
        <f t="shared" si="11"/>
        <v>1.6204356745428807E-4</v>
      </c>
      <c r="L86" s="45">
        <v>8053.8174123810395</v>
      </c>
      <c r="M86" s="45">
        <v>7288.2819067836381</v>
      </c>
      <c r="N86" s="45">
        <f t="shared" si="18"/>
        <v>43818.079319164681</v>
      </c>
      <c r="O86" s="46">
        <f t="shared" si="19"/>
        <v>394362.71387248213</v>
      </c>
      <c r="P86" s="47">
        <f t="shared" si="12"/>
        <v>114023.00444444445</v>
      </c>
      <c r="Q86" s="46">
        <v>286650</v>
      </c>
      <c r="R86" s="47">
        <f t="shared" si="20"/>
        <v>172626.99555555556</v>
      </c>
      <c r="S86" s="191">
        <f t="shared" si="21"/>
        <v>0.60222220671744486</v>
      </c>
      <c r="T86" s="42">
        <v>1026207.04</v>
      </c>
      <c r="U86" s="48">
        <f t="shared" si="13"/>
        <v>0.38429156934304615</v>
      </c>
      <c r="V86" s="49"/>
    </row>
    <row r="87" spans="1:22" x14ac:dyDescent="0.3">
      <c r="A87" s="40" t="str">
        <f>VLOOKUP(B87,Grupos!$A$2:$B$619,2,FALSE)</f>
        <v>CE 125</v>
      </c>
      <c r="B87" s="41" t="s">
        <v>131</v>
      </c>
      <c r="C87" s="41" t="s">
        <v>132</v>
      </c>
      <c r="D87" s="42">
        <v>8520</v>
      </c>
      <c r="E87" s="43">
        <v>1987.78</v>
      </c>
      <c r="F87" s="192">
        <v>304.75</v>
      </c>
      <c r="G87" s="126">
        <f t="shared" si="14"/>
        <v>2292.5299999999997</v>
      </c>
      <c r="H87" s="127">
        <f t="shared" si="15"/>
        <v>16935885.600000001</v>
      </c>
      <c r="I87" s="128">
        <f t="shared" si="16"/>
        <v>2596470</v>
      </c>
      <c r="J87" s="128">
        <f t="shared" si="17"/>
        <v>19532355.599999998</v>
      </c>
      <c r="K87" s="44">
        <f t="shared" si="11"/>
        <v>1.2349950856085026E-2</v>
      </c>
      <c r="L87" s="45">
        <v>648.3927166828289</v>
      </c>
      <c r="M87" s="45">
        <v>1999.8954728413339</v>
      </c>
      <c r="N87" s="45">
        <f t="shared" si="18"/>
        <v>4940.8181895241623</v>
      </c>
      <c r="O87" s="46">
        <f t="shared" si="19"/>
        <v>42095770.974745862</v>
      </c>
      <c r="P87" s="47">
        <f t="shared" si="12"/>
        <v>4875.1971572769953</v>
      </c>
      <c r="Q87" s="46">
        <v>15400</v>
      </c>
      <c r="R87" s="47">
        <f t="shared" si="20"/>
        <v>10524.802842723006</v>
      </c>
      <c r="S87" s="191">
        <f t="shared" si="21"/>
        <v>0.68342875602097442</v>
      </c>
      <c r="T87" s="42">
        <v>41536679.780000001</v>
      </c>
      <c r="U87" s="162">
        <f t="shared" si="13"/>
        <v>1.0134601801999366</v>
      </c>
      <c r="V87" s="49"/>
    </row>
    <row r="88" spans="1:22" x14ac:dyDescent="0.3">
      <c r="A88" s="40" t="str">
        <f>VLOOKUP(B88,Grupos!$A$2:$B$619,2,FALSE)</f>
        <v>CE 125</v>
      </c>
      <c r="B88" s="41" t="s">
        <v>133</v>
      </c>
      <c r="C88" s="41" t="s">
        <v>134</v>
      </c>
      <c r="D88" s="42">
        <v>520</v>
      </c>
      <c r="E88" s="43">
        <v>1946.49</v>
      </c>
      <c r="F88" s="192">
        <v>334.79</v>
      </c>
      <c r="G88" s="126">
        <f t="shared" si="14"/>
        <v>2281.2800000000002</v>
      </c>
      <c r="H88" s="127">
        <f t="shared" si="15"/>
        <v>1012174.8</v>
      </c>
      <c r="I88" s="128">
        <f t="shared" si="16"/>
        <v>174090.80000000002</v>
      </c>
      <c r="J88" s="128">
        <f t="shared" si="17"/>
        <v>1186265.6000000001</v>
      </c>
      <c r="K88" s="44">
        <f t="shared" si="11"/>
        <v>7.5005402124996229E-4</v>
      </c>
      <c r="L88" s="45">
        <v>645.21089657025379</v>
      </c>
      <c r="M88" s="45">
        <v>2197.0303703118957</v>
      </c>
      <c r="N88" s="45">
        <f t="shared" si="18"/>
        <v>5123.5212668821496</v>
      </c>
      <c r="O88" s="46">
        <f t="shared" si="19"/>
        <v>2664231.0587787176</v>
      </c>
      <c r="P88" s="47">
        <f t="shared" si="12"/>
        <v>5442.4614615384617</v>
      </c>
      <c r="Q88" s="46">
        <v>15400</v>
      </c>
      <c r="R88" s="47">
        <f t="shared" si="20"/>
        <v>9957.5385384615383</v>
      </c>
      <c r="S88" s="191">
        <f t="shared" si="21"/>
        <v>0.64659341158841155</v>
      </c>
      <c r="T88" s="42">
        <v>2830079.96</v>
      </c>
      <c r="U88" s="162">
        <f t="shared" si="13"/>
        <v>0.94139780374923321</v>
      </c>
      <c r="V88" s="49"/>
    </row>
    <row r="89" spans="1:22" x14ac:dyDescent="0.3">
      <c r="A89" s="40" t="str">
        <f>VLOOKUP(B89,Grupos!$A$2:$B$619,2,FALSE)</f>
        <v>CE 125</v>
      </c>
      <c r="B89" s="41" t="s">
        <v>135</v>
      </c>
      <c r="C89" s="41" t="s">
        <v>1056</v>
      </c>
      <c r="D89" s="42">
        <v>1110</v>
      </c>
      <c r="E89" s="43">
        <v>1861.23</v>
      </c>
      <c r="F89" s="192">
        <v>369.61</v>
      </c>
      <c r="G89" s="126">
        <f t="shared" si="14"/>
        <v>2230.84</v>
      </c>
      <c r="H89" s="127">
        <f t="shared" si="15"/>
        <v>2065965.3</v>
      </c>
      <c r="I89" s="128">
        <f t="shared" si="16"/>
        <v>410267.10000000003</v>
      </c>
      <c r="J89" s="128">
        <f t="shared" si="17"/>
        <v>2476232.4000000004</v>
      </c>
      <c r="K89" s="44">
        <f t="shared" si="11"/>
        <v>1.5656764127438621E-3</v>
      </c>
      <c r="L89" s="45">
        <v>630.94502932773935</v>
      </c>
      <c r="M89" s="45">
        <v>2425.5336036649237</v>
      </c>
      <c r="N89" s="45">
        <f t="shared" si="18"/>
        <v>5287.318632992663</v>
      </c>
      <c r="O89" s="46">
        <f t="shared" si="19"/>
        <v>5868923.6826218562</v>
      </c>
      <c r="P89" s="47">
        <f t="shared" si="12"/>
        <v>4979.6215855855853</v>
      </c>
      <c r="Q89" s="46">
        <v>15400</v>
      </c>
      <c r="R89" s="47">
        <f t="shared" si="20"/>
        <v>10420.378414414416</v>
      </c>
      <c r="S89" s="191">
        <f t="shared" si="21"/>
        <v>0.67664794898794911</v>
      </c>
      <c r="T89" s="42">
        <v>5527379.96</v>
      </c>
      <c r="U89" s="162">
        <f t="shared" si="13"/>
        <v>1.0617912510255323</v>
      </c>
      <c r="V89" s="49"/>
    </row>
    <row r="90" spans="1:22" x14ac:dyDescent="0.3">
      <c r="A90" s="40" t="str">
        <f>VLOOKUP(B90,Grupos!$A$2:$B$619,2,FALSE)</f>
        <v>CE 125</v>
      </c>
      <c r="B90" s="41" t="s">
        <v>138</v>
      </c>
      <c r="C90" s="41" t="s">
        <v>139</v>
      </c>
      <c r="D90" s="42">
        <v>14760</v>
      </c>
      <c r="E90" s="43">
        <v>1987.78</v>
      </c>
      <c r="F90" s="192">
        <v>324.11</v>
      </c>
      <c r="G90" s="126">
        <f t="shared" si="14"/>
        <v>2311.89</v>
      </c>
      <c r="H90" s="127">
        <f t="shared" si="15"/>
        <v>29339632.800000001</v>
      </c>
      <c r="I90" s="128">
        <f t="shared" si="16"/>
        <v>4783863.6000000006</v>
      </c>
      <c r="J90" s="128">
        <f t="shared" si="17"/>
        <v>34123496.399999999</v>
      </c>
      <c r="K90" s="44">
        <f t="shared" si="11"/>
        <v>2.1575662055722266E-2</v>
      </c>
      <c r="L90" s="45">
        <v>653.86827556100263</v>
      </c>
      <c r="M90" s="45">
        <v>2126.9437955786866</v>
      </c>
      <c r="N90" s="45">
        <f t="shared" si="18"/>
        <v>5092.702071139689</v>
      </c>
      <c r="O90" s="46">
        <f t="shared" si="19"/>
        <v>75168282.570021808</v>
      </c>
      <c r="P90" s="47">
        <f t="shared" si="12"/>
        <v>4875.6585237127374</v>
      </c>
      <c r="Q90" s="46">
        <v>15400</v>
      </c>
      <c r="R90" s="47">
        <f t="shared" si="20"/>
        <v>10524.341476287264</v>
      </c>
      <c r="S90" s="191">
        <f t="shared" si="21"/>
        <v>0.68339879716151064</v>
      </c>
      <c r="T90" s="42">
        <v>71964719.810000002</v>
      </c>
      <c r="U90" s="162">
        <f t="shared" si="13"/>
        <v>1.044515740052623</v>
      </c>
      <c r="V90" s="49"/>
    </row>
    <row r="91" spans="1:22" x14ac:dyDescent="0.3">
      <c r="A91" s="40" t="str">
        <f>VLOOKUP(B91,Grupos!$A$2:$B$619,2,FALSE)</f>
        <v>CE 125</v>
      </c>
      <c r="B91" s="41" t="s">
        <v>140</v>
      </c>
      <c r="C91" s="41" t="s">
        <v>141</v>
      </c>
      <c r="D91" s="42">
        <v>3060</v>
      </c>
      <c r="E91" s="43">
        <v>1946.49</v>
      </c>
      <c r="F91" s="192">
        <v>311.52999999999997</v>
      </c>
      <c r="G91" s="126">
        <f t="shared" si="14"/>
        <v>2258.02</v>
      </c>
      <c r="H91" s="127">
        <f t="shared" si="15"/>
        <v>5956259.4000000004</v>
      </c>
      <c r="I91" s="128">
        <f t="shared" si="16"/>
        <v>953281.79999999993</v>
      </c>
      <c r="J91" s="128">
        <f t="shared" si="17"/>
        <v>6909541.2000000002</v>
      </c>
      <c r="K91" s="44">
        <f t="shared" si="11"/>
        <v>4.3687764039118133E-3</v>
      </c>
      <c r="L91" s="45">
        <v>638.63230671972076</v>
      </c>
      <c r="M91" s="45">
        <v>2044.3886354528654</v>
      </c>
      <c r="N91" s="45">
        <f t="shared" si="18"/>
        <v>4941.0409421725863</v>
      </c>
      <c r="O91" s="46">
        <f t="shared" si="19"/>
        <v>15119585.283048114</v>
      </c>
      <c r="P91" s="47">
        <f t="shared" si="12"/>
        <v>4893.6078594771243</v>
      </c>
      <c r="Q91" s="46">
        <v>15400</v>
      </c>
      <c r="R91" s="47">
        <f t="shared" si="20"/>
        <v>10506.392140522876</v>
      </c>
      <c r="S91" s="191">
        <f t="shared" si="21"/>
        <v>0.68223325587810879</v>
      </c>
      <c r="T91" s="42">
        <v>14974440.050000001</v>
      </c>
      <c r="U91" s="162">
        <f t="shared" si="13"/>
        <v>1.0096928654803432</v>
      </c>
      <c r="V91" s="49"/>
    </row>
    <row r="92" spans="1:22" x14ac:dyDescent="0.3">
      <c r="A92" s="40" t="str">
        <f>VLOOKUP(B92,Grupos!$A$2:$B$619,2,FALSE)</f>
        <v>CE 125</v>
      </c>
      <c r="B92" s="41" t="s">
        <v>142</v>
      </c>
      <c r="C92" s="41" t="s">
        <v>143</v>
      </c>
      <c r="D92" s="42">
        <v>7200</v>
      </c>
      <c r="E92" s="43">
        <v>1984.17</v>
      </c>
      <c r="F92" s="192">
        <v>359.89</v>
      </c>
      <c r="G92" s="126">
        <f t="shared" si="14"/>
        <v>2344.06</v>
      </c>
      <c r="H92" s="127">
        <f t="shared" si="15"/>
        <v>14286024</v>
      </c>
      <c r="I92" s="128">
        <f t="shared" si="16"/>
        <v>2591208</v>
      </c>
      <c r="J92" s="128">
        <f t="shared" si="17"/>
        <v>16877232</v>
      </c>
      <c r="K92" s="44">
        <f t="shared" si="11"/>
        <v>1.0671164812642752E-2</v>
      </c>
      <c r="L92" s="45">
        <v>662.96686694069524</v>
      </c>
      <c r="M92" s="45">
        <v>2361.7469457616658</v>
      </c>
      <c r="N92" s="45">
        <f t="shared" si="18"/>
        <v>5368.7738127023604</v>
      </c>
      <c r="O92" s="46">
        <f t="shared" si="19"/>
        <v>38655171.451456994</v>
      </c>
      <c r="P92" s="47">
        <f t="shared" si="12"/>
        <v>4842.2000111111111</v>
      </c>
      <c r="Q92" s="46">
        <v>15400</v>
      </c>
      <c r="R92" s="47">
        <f t="shared" si="20"/>
        <v>10557.799988888888</v>
      </c>
      <c r="S92" s="191">
        <f t="shared" si="21"/>
        <v>0.68557142784992775</v>
      </c>
      <c r="T92" s="42">
        <v>34863840.079999998</v>
      </c>
      <c r="U92" s="162">
        <f t="shared" si="13"/>
        <v>1.1087468093806434</v>
      </c>
      <c r="V92" s="49"/>
    </row>
    <row r="93" spans="1:22" x14ac:dyDescent="0.3">
      <c r="A93" s="40" t="str">
        <f>VLOOKUP(B93,Grupos!$A$2:$B$619,2,FALSE)</f>
        <v>EXCEDENTES INDUSTRIALES</v>
      </c>
      <c r="B93" s="41" t="s">
        <v>748</v>
      </c>
      <c r="C93" s="41" t="s">
        <v>749</v>
      </c>
      <c r="D93" s="42">
        <v>8</v>
      </c>
      <c r="E93" s="43">
        <v>0</v>
      </c>
      <c r="F93" s="43">
        <v>0</v>
      </c>
      <c r="G93" s="126">
        <f t="shared" si="14"/>
        <v>0</v>
      </c>
      <c r="H93" s="127">
        <f t="shared" si="15"/>
        <v>0</v>
      </c>
      <c r="I93" s="128">
        <f t="shared" si="16"/>
        <v>0</v>
      </c>
      <c r="J93" s="128">
        <f t="shared" si="17"/>
        <v>0</v>
      </c>
      <c r="K93" s="44">
        <f t="shared" si="11"/>
        <v>0</v>
      </c>
      <c r="L93" s="45">
        <v>0</v>
      </c>
      <c r="M93" s="45">
        <v>0</v>
      </c>
      <c r="N93" s="45">
        <f t="shared" si="18"/>
        <v>0</v>
      </c>
      <c r="O93" s="46">
        <f t="shared" si="19"/>
        <v>0</v>
      </c>
      <c r="P93" s="47">
        <f t="shared" si="12"/>
        <v>750</v>
      </c>
      <c r="Q93" s="46">
        <v>750</v>
      </c>
      <c r="R93" s="47">
        <f t="shared" si="20"/>
        <v>0</v>
      </c>
      <c r="S93" s="191">
        <f t="shared" si="21"/>
        <v>0</v>
      </c>
      <c r="T93" s="42">
        <v>6000</v>
      </c>
      <c r="U93" s="48">
        <f t="shared" si="13"/>
        <v>0</v>
      </c>
      <c r="V93" s="49"/>
    </row>
    <row r="94" spans="1:22" x14ac:dyDescent="0.3">
      <c r="A94" s="40" t="str">
        <f>VLOOKUP(B94,Grupos!$A$2:$B$619,2,FALSE)</f>
        <v>EXCEDENTES INDUSTRIALES</v>
      </c>
      <c r="B94" s="41" t="s">
        <v>716</v>
      </c>
      <c r="C94" s="41" t="s">
        <v>717</v>
      </c>
      <c r="D94" s="42">
        <v>45.1</v>
      </c>
      <c r="E94" s="43">
        <v>0</v>
      </c>
      <c r="F94" s="43">
        <v>0</v>
      </c>
      <c r="G94" s="126">
        <f t="shared" si="14"/>
        <v>0</v>
      </c>
      <c r="H94" s="127">
        <f t="shared" si="15"/>
        <v>0</v>
      </c>
      <c r="I94" s="128">
        <f t="shared" si="16"/>
        <v>0</v>
      </c>
      <c r="J94" s="128">
        <f t="shared" si="17"/>
        <v>0</v>
      </c>
      <c r="K94" s="44">
        <f t="shared" si="11"/>
        <v>0</v>
      </c>
      <c r="L94" s="45">
        <v>0</v>
      </c>
      <c r="M94" s="45">
        <v>0</v>
      </c>
      <c r="N94" s="45">
        <f t="shared" si="18"/>
        <v>0</v>
      </c>
      <c r="O94" s="46">
        <f t="shared" si="19"/>
        <v>0</v>
      </c>
      <c r="P94" s="47">
        <f t="shared" si="12"/>
        <v>500</v>
      </c>
      <c r="Q94" s="46">
        <v>500</v>
      </c>
      <c r="R94" s="47">
        <f t="shared" si="20"/>
        <v>0</v>
      </c>
      <c r="S94" s="191">
        <f t="shared" si="21"/>
        <v>0</v>
      </c>
      <c r="T94" s="42">
        <v>22550</v>
      </c>
      <c r="U94" s="48">
        <f t="shared" si="13"/>
        <v>0</v>
      </c>
      <c r="V94" s="49"/>
    </row>
    <row r="95" spans="1:22" x14ac:dyDescent="0.3">
      <c r="A95" s="40" t="str">
        <f>VLOOKUP(B95,Grupos!$A$2:$B$619,2,FALSE)</f>
        <v>EXCEDENTES INDUSTRIALES</v>
      </c>
      <c r="B95" s="41" t="s">
        <v>739</v>
      </c>
      <c r="C95" s="41" t="s">
        <v>740</v>
      </c>
      <c r="D95" s="42">
        <v>1228</v>
      </c>
      <c r="E95" s="43">
        <v>0</v>
      </c>
      <c r="F95" s="43">
        <v>0</v>
      </c>
      <c r="G95" s="126">
        <f t="shared" si="14"/>
        <v>0</v>
      </c>
      <c r="H95" s="127">
        <f t="shared" si="15"/>
        <v>0</v>
      </c>
      <c r="I95" s="128">
        <f t="shared" si="16"/>
        <v>0</v>
      </c>
      <c r="J95" s="128">
        <f t="shared" si="17"/>
        <v>0</v>
      </c>
      <c r="K95" s="44">
        <f t="shared" si="11"/>
        <v>0</v>
      </c>
      <c r="L95" s="45">
        <v>0</v>
      </c>
      <c r="M95" s="45">
        <v>0</v>
      </c>
      <c r="N95" s="45">
        <f t="shared" si="18"/>
        <v>0</v>
      </c>
      <c r="O95" s="46">
        <f t="shared" si="19"/>
        <v>0</v>
      </c>
      <c r="P95" s="47">
        <f t="shared" si="12"/>
        <v>300</v>
      </c>
      <c r="Q95" s="46">
        <v>300</v>
      </c>
      <c r="R95" s="47">
        <f t="shared" si="20"/>
        <v>0</v>
      </c>
      <c r="S95" s="191">
        <f t="shared" si="21"/>
        <v>0</v>
      </c>
      <c r="T95" s="42">
        <v>368400</v>
      </c>
      <c r="U95" s="48">
        <f t="shared" si="13"/>
        <v>0</v>
      </c>
      <c r="V95" s="49"/>
    </row>
    <row r="96" spans="1:22" x14ac:dyDescent="0.3">
      <c r="A96" s="40" t="str">
        <f>VLOOKUP(B96,Grupos!$A$2:$B$619,2,FALSE)</f>
        <v>EXCEDENTES INDUSTRIALES</v>
      </c>
      <c r="B96" s="41" t="s">
        <v>678</v>
      </c>
      <c r="C96" s="41" t="s">
        <v>679</v>
      </c>
      <c r="D96" s="42">
        <v>322</v>
      </c>
      <c r="E96" s="43">
        <v>0</v>
      </c>
      <c r="F96" s="43">
        <v>0</v>
      </c>
      <c r="G96" s="126">
        <f t="shared" si="14"/>
        <v>0</v>
      </c>
      <c r="H96" s="127">
        <f t="shared" si="15"/>
        <v>0</v>
      </c>
      <c r="I96" s="128">
        <f t="shared" si="16"/>
        <v>0</v>
      </c>
      <c r="J96" s="128">
        <f t="shared" si="17"/>
        <v>0</v>
      </c>
      <c r="K96" s="44">
        <f t="shared" si="11"/>
        <v>0</v>
      </c>
      <c r="L96" s="45">
        <v>0</v>
      </c>
      <c r="M96" s="45">
        <v>0</v>
      </c>
      <c r="N96" s="45">
        <f t="shared" si="18"/>
        <v>0</v>
      </c>
      <c r="O96" s="46">
        <f t="shared" si="19"/>
        <v>0</v>
      </c>
      <c r="P96" s="47">
        <f t="shared" si="12"/>
        <v>500</v>
      </c>
      <c r="Q96" s="46">
        <v>183</v>
      </c>
      <c r="R96" s="47">
        <f t="shared" si="20"/>
        <v>-317</v>
      </c>
      <c r="S96" s="191">
        <f t="shared" si="21"/>
        <v>-1.7322404371584699</v>
      </c>
      <c r="T96" s="42">
        <v>161000</v>
      </c>
      <c r="U96" s="48">
        <f t="shared" si="13"/>
        <v>0</v>
      </c>
      <c r="V96" s="49"/>
    </row>
    <row r="97" spans="1:22" x14ac:dyDescent="0.3">
      <c r="A97" s="40" t="str">
        <f>VLOOKUP(B97,Grupos!$A$2:$B$619,2,FALSE)</f>
        <v>EXCEDENTES INDUSTRIALES</v>
      </c>
      <c r="B97" s="41" t="s">
        <v>680</v>
      </c>
      <c r="C97" s="41" t="s">
        <v>681</v>
      </c>
      <c r="D97" s="42">
        <v>166</v>
      </c>
      <c r="E97" s="43">
        <v>0</v>
      </c>
      <c r="F97" s="43">
        <v>0</v>
      </c>
      <c r="G97" s="126">
        <f t="shared" si="14"/>
        <v>0</v>
      </c>
      <c r="H97" s="127">
        <f t="shared" si="15"/>
        <v>0</v>
      </c>
      <c r="I97" s="128">
        <f t="shared" si="16"/>
        <v>0</v>
      </c>
      <c r="J97" s="128">
        <f t="shared" si="17"/>
        <v>0</v>
      </c>
      <c r="K97" s="44">
        <f t="shared" si="11"/>
        <v>0</v>
      </c>
      <c r="L97" s="45">
        <v>0</v>
      </c>
      <c r="M97" s="45">
        <v>0</v>
      </c>
      <c r="N97" s="45">
        <f t="shared" si="18"/>
        <v>0</v>
      </c>
      <c r="O97" s="46">
        <f t="shared" si="19"/>
        <v>0</v>
      </c>
      <c r="P97" s="47">
        <f t="shared" si="12"/>
        <v>1000</v>
      </c>
      <c r="Q97" s="46">
        <v>1000</v>
      </c>
      <c r="R97" s="47">
        <f t="shared" si="20"/>
        <v>0</v>
      </c>
      <c r="S97" s="191">
        <f t="shared" si="21"/>
        <v>0</v>
      </c>
      <c r="T97" s="42">
        <v>166000</v>
      </c>
      <c r="U97" s="48">
        <f t="shared" si="13"/>
        <v>0</v>
      </c>
      <c r="V97" s="49"/>
    </row>
    <row r="98" spans="1:22" x14ac:dyDescent="0.3">
      <c r="A98" s="40" t="str">
        <f>VLOOKUP(B98,Grupos!$A$2:$B$619,2,FALSE)</f>
        <v>EXCEDENTES INDUSTRIALES</v>
      </c>
      <c r="B98" s="41" t="s">
        <v>720</v>
      </c>
      <c r="C98" s="41" t="s">
        <v>1107</v>
      </c>
      <c r="D98" s="42">
        <v>7</v>
      </c>
      <c r="E98" s="43">
        <v>0</v>
      </c>
      <c r="F98" s="43">
        <v>0</v>
      </c>
      <c r="G98" s="126">
        <f t="shared" si="14"/>
        <v>0</v>
      </c>
      <c r="H98" s="127">
        <f t="shared" si="15"/>
        <v>0</v>
      </c>
      <c r="I98" s="128">
        <f t="shared" si="16"/>
        <v>0</v>
      </c>
      <c r="J98" s="128">
        <f t="shared" si="17"/>
        <v>0</v>
      </c>
      <c r="K98" s="44">
        <f t="shared" si="11"/>
        <v>0</v>
      </c>
      <c r="L98" s="45">
        <v>0</v>
      </c>
      <c r="M98" s="45">
        <v>0</v>
      </c>
      <c r="N98" s="45">
        <f t="shared" si="18"/>
        <v>0</v>
      </c>
      <c r="O98" s="46">
        <f t="shared" si="19"/>
        <v>0</v>
      </c>
      <c r="P98" s="47">
        <f t="shared" si="12"/>
        <v>4000</v>
      </c>
      <c r="Q98" s="46">
        <v>4000</v>
      </c>
      <c r="R98" s="47">
        <f t="shared" si="20"/>
        <v>0</v>
      </c>
      <c r="S98" s="191">
        <f t="shared" si="21"/>
        <v>0</v>
      </c>
      <c r="T98" s="42">
        <v>28000</v>
      </c>
      <c r="U98" s="48">
        <f t="shared" si="13"/>
        <v>0</v>
      </c>
      <c r="V98" s="49"/>
    </row>
    <row r="99" spans="1:22" x14ac:dyDescent="0.3">
      <c r="A99" s="40" t="str">
        <f>VLOOKUP(B99,Grupos!$A$2:$B$619,2,FALSE)</f>
        <v>EXCEDENTES INDUSTRIALES</v>
      </c>
      <c r="B99" s="41" t="s">
        <v>910</v>
      </c>
      <c r="C99" s="41" t="s">
        <v>1108</v>
      </c>
      <c r="D99" s="42">
        <v>169.9</v>
      </c>
      <c r="E99" s="43">
        <v>0</v>
      </c>
      <c r="F99" s="43">
        <v>0</v>
      </c>
      <c r="G99" s="126">
        <f t="shared" si="14"/>
        <v>0</v>
      </c>
      <c r="H99" s="127">
        <f t="shared" si="15"/>
        <v>0</v>
      </c>
      <c r="I99" s="128">
        <f t="shared" si="16"/>
        <v>0</v>
      </c>
      <c r="J99" s="128">
        <f t="shared" si="17"/>
        <v>0</v>
      </c>
      <c r="K99" s="44">
        <f t="shared" si="11"/>
        <v>0</v>
      </c>
      <c r="L99" s="45">
        <v>0</v>
      </c>
      <c r="M99" s="45">
        <v>0</v>
      </c>
      <c r="N99" s="45">
        <f t="shared" si="18"/>
        <v>0</v>
      </c>
      <c r="O99" s="46">
        <f t="shared" si="19"/>
        <v>0</v>
      </c>
      <c r="P99" s="47">
        <f t="shared" si="12"/>
        <v>6800</v>
      </c>
      <c r="Q99" s="46">
        <v>6800</v>
      </c>
      <c r="R99" s="47">
        <f t="shared" si="20"/>
        <v>0</v>
      </c>
      <c r="S99" s="191">
        <f t="shared" si="21"/>
        <v>0</v>
      </c>
      <c r="T99" s="42">
        <v>1155320</v>
      </c>
      <c r="U99" s="48">
        <f t="shared" si="13"/>
        <v>0</v>
      </c>
      <c r="V99" s="49"/>
    </row>
    <row r="100" spans="1:22" x14ac:dyDescent="0.3">
      <c r="A100" s="40" t="str">
        <f>VLOOKUP(B100,Grupos!$A$2:$B$619,2,FALSE)</f>
        <v>EXCEDENTES INDUSTRIALES</v>
      </c>
      <c r="B100" s="41" t="s">
        <v>683</v>
      </c>
      <c r="C100" s="41" t="s">
        <v>1109</v>
      </c>
      <c r="D100" s="42">
        <v>245.7</v>
      </c>
      <c r="E100" s="43">
        <v>0</v>
      </c>
      <c r="F100" s="43">
        <v>0</v>
      </c>
      <c r="G100" s="126">
        <f t="shared" si="14"/>
        <v>0</v>
      </c>
      <c r="H100" s="127">
        <f t="shared" si="15"/>
        <v>0</v>
      </c>
      <c r="I100" s="128">
        <f t="shared" si="16"/>
        <v>0</v>
      </c>
      <c r="J100" s="128">
        <f t="shared" si="17"/>
        <v>0</v>
      </c>
      <c r="K100" s="44">
        <f t="shared" si="11"/>
        <v>0</v>
      </c>
      <c r="L100" s="45">
        <v>0</v>
      </c>
      <c r="M100" s="45">
        <v>0</v>
      </c>
      <c r="N100" s="45">
        <f t="shared" si="18"/>
        <v>0</v>
      </c>
      <c r="O100" s="46">
        <f t="shared" si="19"/>
        <v>0</v>
      </c>
      <c r="P100" s="47">
        <f t="shared" si="12"/>
        <v>40669.759869759873</v>
      </c>
      <c r="Q100" s="46">
        <v>40800</v>
      </c>
      <c r="R100" s="47">
        <f t="shared" si="20"/>
        <v>130.24013024012675</v>
      </c>
      <c r="S100" s="191">
        <f t="shared" si="21"/>
        <v>3.1921600549050673E-3</v>
      </c>
      <c r="T100" s="42">
        <v>9992560</v>
      </c>
      <c r="U100" s="48">
        <f t="shared" si="13"/>
        <v>0</v>
      </c>
      <c r="V100" s="49"/>
    </row>
    <row r="101" spans="1:22" x14ac:dyDescent="0.3">
      <c r="A101" s="40" t="str">
        <f>VLOOKUP(B101,Grupos!$A$2:$B$619,2,FALSE)</f>
        <v>EXCEDENTES INDUSTRIALES</v>
      </c>
      <c r="B101" s="41" t="s">
        <v>478</v>
      </c>
      <c r="C101" s="41" t="s">
        <v>479</v>
      </c>
      <c r="D101" s="42">
        <v>2929</v>
      </c>
      <c r="E101" s="43">
        <v>0</v>
      </c>
      <c r="F101" s="43">
        <v>0</v>
      </c>
      <c r="G101" s="126">
        <f t="shared" si="14"/>
        <v>0</v>
      </c>
      <c r="H101" s="127">
        <f t="shared" si="15"/>
        <v>0</v>
      </c>
      <c r="I101" s="128">
        <f t="shared" si="16"/>
        <v>0</v>
      </c>
      <c r="J101" s="128">
        <f t="shared" si="17"/>
        <v>0</v>
      </c>
      <c r="K101" s="44">
        <f t="shared" si="11"/>
        <v>0</v>
      </c>
      <c r="L101" s="45">
        <v>0</v>
      </c>
      <c r="M101" s="45">
        <v>0</v>
      </c>
      <c r="N101" s="45">
        <f t="shared" si="18"/>
        <v>0</v>
      </c>
      <c r="O101" s="46">
        <f t="shared" si="19"/>
        <v>0</v>
      </c>
      <c r="P101" s="47">
        <f t="shared" si="12"/>
        <v>220</v>
      </c>
      <c r="Q101" s="46">
        <v>220</v>
      </c>
      <c r="R101" s="47">
        <f t="shared" si="20"/>
        <v>0</v>
      </c>
      <c r="S101" s="191">
        <f t="shared" si="21"/>
        <v>0</v>
      </c>
      <c r="T101" s="42">
        <v>644380</v>
      </c>
      <c r="U101" s="48">
        <f t="shared" si="13"/>
        <v>0</v>
      </c>
      <c r="V101" s="49"/>
    </row>
    <row r="102" spans="1:22" x14ac:dyDescent="0.3">
      <c r="A102" s="40" t="str">
        <f>VLOOKUP(B102,Grupos!$A$2:$B$619,2,FALSE)</f>
        <v>INTERIORES</v>
      </c>
      <c r="B102" s="41" t="s">
        <v>633</v>
      </c>
      <c r="C102" s="41" t="s">
        <v>634</v>
      </c>
      <c r="D102" s="42">
        <v>20</v>
      </c>
      <c r="E102" s="43">
        <v>15188.54</v>
      </c>
      <c r="F102" s="43">
        <v>858.39</v>
      </c>
      <c r="G102" s="126">
        <f t="shared" si="14"/>
        <v>16046.93</v>
      </c>
      <c r="H102" s="127">
        <f t="shared" si="15"/>
        <v>303770.80000000005</v>
      </c>
      <c r="I102" s="128">
        <f t="shared" si="16"/>
        <v>17167.8</v>
      </c>
      <c r="J102" s="128">
        <f t="shared" si="17"/>
        <v>320938.59999999998</v>
      </c>
      <c r="K102" s="44">
        <f t="shared" si="11"/>
        <v>2.0292360117694816E-4</v>
      </c>
      <c r="L102" s="45">
        <v>4538.5284105853298</v>
      </c>
      <c r="M102" s="45">
        <v>5633.1100079812059</v>
      </c>
      <c r="N102" s="45">
        <f t="shared" si="18"/>
        <v>26218.568418566534</v>
      </c>
      <c r="O102" s="46">
        <f t="shared" si="19"/>
        <v>524371.36837133067</v>
      </c>
      <c r="P102" s="47">
        <f t="shared" si="12"/>
        <v>64827.999499999998</v>
      </c>
      <c r="Q102" s="46">
        <v>170600</v>
      </c>
      <c r="R102" s="47">
        <f t="shared" si="20"/>
        <v>105772.00049999999</v>
      </c>
      <c r="S102" s="191">
        <f t="shared" si="21"/>
        <v>0.62000000293083235</v>
      </c>
      <c r="T102" s="42">
        <v>1296559.99</v>
      </c>
      <c r="U102" s="48">
        <f t="shared" si="13"/>
        <v>0.40443278553685025</v>
      </c>
      <c r="V102" s="49"/>
    </row>
    <row r="103" spans="1:22" x14ac:dyDescent="0.3">
      <c r="A103" s="40" t="str">
        <f>VLOOKUP(B103,Grupos!$A$2:$B$619,2,FALSE)</f>
        <v>INTERIORES</v>
      </c>
      <c r="B103" s="41" t="s">
        <v>997</v>
      </c>
      <c r="C103" s="41" t="s">
        <v>1067</v>
      </c>
      <c r="D103" s="42">
        <v>1</v>
      </c>
      <c r="E103" s="43">
        <v>8292.4</v>
      </c>
      <c r="F103" s="43">
        <v>996.23</v>
      </c>
      <c r="G103" s="126">
        <f t="shared" si="14"/>
        <v>9288.6299999999992</v>
      </c>
      <c r="H103" s="127">
        <f t="shared" si="15"/>
        <v>8292.4</v>
      </c>
      <c r="I103" s="128">
        <f t="shared" si="16"/>
        <v>996.23</v>
      </c>
      <c r="J103" s="128">
        <f t="shared" si="17"/>
        <v>9288.6299999999992</v>
      </c>
      <c r="K103" s="44">
        <f t="shared" si="11"/>
        <v>5.8730306968380738E-6</v>
      </c>
      <c r="L103" s="45">
        <v>2627.0888668683178</v>
      </c>
      <c r="M103" s="45">
        <v>6537.6730661483907</v>
      </c>
      <c r="N103" s="45">
        <f t="shared" si="18"/>
        <v>18453.391933016708</v>
      </c>
      <c r="O103" s="46">
        <f t="shared" si="19"/>
        <v>18453.391933016708</v>
      </c>
      <c r="P103" s="47">
        <f t="shared" si="12"/>
        <v>91980</v>
      </c>
      <c r="Q103" s="46">
        <v>219000</v>
      </c>
      <c r="R103" s="47">
        <f t="shared" si="20"/>
        <v>127020</v>
      </c>
      <c r="S103" s="191">
        <f t="shared" si="21"/>
        <v>0.57999999999999996</v>
      </c>
      <c r="T103" s="42">
        <v>91980</v>
      </c>
      <c r="U103" s="48">
        <f t="shared" si="13"/>
        <v>0.20062396100257349</v>
      </c>
      <c r="V103" s="49"/>
    </row>
    <row r="104" spans="1:22" x14ac:dyDescent="0.3">
      <c r="A104" s="40" t="str">
        <f>VLOOKUP(B104,Grupos!$A$2:$B$619,2,FALSE)</f>
        <v>INTERIORES</v>
      </c>
      <c r="B104" s="41" t="s">
        <v>635</v>
      </c>
      <c r="C104" s="41" t="s">
        <v>636</v>
      </c>
      <c r="D104" s="42">
        <v>4</v>
      </c>
      <c r="E104" s="43">
        <v>40097.47</v>
      </c>
      <c r="F104" s="43">
        <v>2260.46</v>
      </c>
      <c r="G104" s="126">
        <f t="shared" si="14"/>
        <v>42357.93</v>
      </c>
      <c r="H104" s="127">
        <f t="shared" si="15"/>
        <v>160389.88</v>
      </c>
      <c r="I104" s="128">
        <f t="shared" si="16"/>
        <v>9041.84</v>
      </c>
      <c r="J104" s="128">
        <f t="shared" si="17"/>
        <v>169431.72</v>
      </c>
      <c r="K104" s="44">
        <f t="shared" si="11"/>
        <v>1.0712857467442169E-4</v>
      </c>
      <c r="L104" s="45">
        <v>11980.027875648782</v>
      </c>
      <c r="M104" s="45">
        <v>14834.07291399154</v>
      </c>
      <c r="N104" s="45">
        <f t="shared" si="18"/>
        <v>69172.030789640325</v>
      </c>
      <c r="O104" s="46">
        <f t="shared" si="19"/>
        <v>276688.1231585613</v>
      </c>
      <c r="P104" s="47">
        <f t="shared" si="12"/>
        <v>143963</v>
      </c>
      <c r="Q104" s="46">
        <v>378850</v>
      </c>
      <c r="R104" s="47">
        <f t="shared" si="20"/>
        <v>234887</v>
      </c>
      <c r="S104" s="191">
        <f t="shared" si="21"/>
        <v>0.62</v>
      </c>
      <c r="T104" s="42">
        <v>575852</v>
      </c>
      <c r="U104" s="48">
        <f t="shared" si="13"/>
        <v>0.48048478282364443</v>
      </c>
      <c r="V104" s="49"/>
    </row>
    <row r="105" spans="1:22" x14ac:dyDescent="0.3">
      <c r="A105" s="40" t="str">
        <f>VLOOKUP(B105,Grupos!$A$2:$B$619,2,FALSE)</f>
        <v>INTERIORES</v>
      </c>
      <c r="B105" s="41" t="s">
        <v>728</v>
      </c>
      <c r="C105" s="41" t="s">
        <v>1068</v>
      </c>
      <c r="D105" s="42">
        <v>1</v>
      </c>
      <c r="E105" s="43">
        <v>58797.23</v>
      </c>
      <c r="F105" s="43">
        <v>2751.28</v>
      </c>
      <c r="G105" s="126">
        <f t="shared" si="14"/>
        <v>61548.51</v>
      </c>
      <c r="H105" s="127">
        <f t="shared" si="15"/>
        <v>58797.23</v>
      </c>
      <c r="I105" s="128">
        <f t="shared" si="16"/>
        <v>2751.28</v>
      </c>
      <c r="J105" s="128">
        <f t="shared" si="17"/>
        <v>61548.51</v>
      </c>
      <c r="K105" s="44">
        <f t="shared" si="11"/>
        <v>3.8915996069888154E-5</v>
      </c>
      <c r="L105" s="45">
        <v>17407.669957069378</v>
      </c>
      <c r="M105" s="45">
        <v>18055.036641571471</v>
      </c>
      <c r="N105" s="45">
        <f t="shared" si="18"/>
        <v>97011.216598640851</v>
      </c>
      <c r="O105" s="46">
        <f t="shared" si="19"/>
        <v>97011.216598640851</v>
      </c>
      <c r="P105" s="47">
        <f t="shared" si="12"/>
        <v>395925</v>
      </c>
      <c r="Q105" s="46">
        <v>527900</v>
      </c>
      <c r="R105" s="47">
        <f t="shared" si="20"/>
        <v>131975</v>
      </c>
      <c r="S105" s="191">
        <f t="shared" si="21"/>
        <v>0.25</v>
      </c>
      <c r="T105" s="42">
        <v>395925</v>
      </c>
      <c r="U105" s="48">
        <f t="shared" si="13"/>
        <v>0.24502422579690813</v>
      </c>
      <c r="V105" s="49"/>
    </row>
    <row r="106" spans="1:22" x14ac:dyDescent="0.3">
      <c r="A106" s="40" t="str">
        <f>VLOOKUP(B106,Grupos!$A$2:$B$619,2,FALSE)</f>
        <v>INTERIORES</v>
      </c>
      <c r="B106" s="41" t="s">
        <v>639</v>
      </c>
      <c r="C106" s="41" t="s">
        <v>640</v>
      </c>
      <c r="D106" s="42">
        <v>2</v>
      </c>
      <c r="E106" s="43">
        <v>26015.08</v>
      </c>
      <c r="F106" s="43">
        <v>1490.27</v>
      </c>
      <c r="G106" s="126">
        <f t="shared" si="14"/>
        <v>27505.350000000002</v>
      </c>
      <c r="H106" s="127">
        <f t="shared" si="15"/>
        <v>52030.16</v>
      </c>
      <c r="I106" s="128">
        <f t="shared" si="16"/>
        <v>2980.54</v>
      </c>
      <c r="J106" s="128">
        <f t="shared" si="17"/>
        <v>55010.700000000004</v>
      </c>
      <c r="K106" s="44">
        <f t="shared" si="11"/>
        <v>3.478225849824466E-5</v>
      </c>
      <c r="L106" s="45">
        <v>7779.2956296371476</v>
      </c>
      <c r="M106" s="45">
        <v>9779.7677647621149</v>
      </c>
      <c r="N106" s="45">
        <f t="shared" si="18"/>
        <v>45064.413394399264</v>
      </c>
      <c r="O106" s="46">
        <f t="shared" si="19"/>
        <v>90128.826788798528</v>
      </c>
      <c r="P106" s="47">
        <f t="shared" si="12"/>
        <v>97337</v>
      </c>
      <c r="Q106" s="46">
        <v>256150</v>
      </c>
      <c r="R106" s="47">
        <f t="shared" si="20"/>
        <v>158813</v>
      </c>
      <c r="S106" s="191">
        <f t="shared" si="21"/>
        <v>0.62</v>
      </c>
      <c r="T106" s="42">
        <v>194674</v>
      </c>
      <c r="U106" s="48">
        <f t="shared" si="13"/>
        <v>0.46297310780483542</v>
      </c>
      <c r="V106" s="49"/>
    </row>
    <row r="107" spans="1:22" x14ac:dyDescent="0.3">
      <c r="A107" s="40" t="str">
        <f>VLOOKUP(B107,Grupos!$A$2:$B$619,2,FALSE)</f>
        <v>INTERIORES</v>
      </c>
      <c r="B107" s="41" t="s">
        <v>147</v>
      </c>
      <c r="C107" s="41" t="s">
        <v>148</v>
      </c>
      <c r="D107" s="42">
        <v>3</v>
      </c>
      <c r="E107" s="43">
        <v>37890.61</v>
      </c>
      <c r="F107" s="43">
        <v>2170.38</v>
      </c>
      <c r="G107" s="126">
        <f t="shared" si="14"/>
        <v>40060.99</v>
      </c>
      <c r="H107" s="127">
        <f t="shared" si="15"/>
        <v>113671.83</v>
      </c>
      <c r="I107" s="128">
        <f t="shared" si="16"/>
        <v>6511.14</v>
      </c>
      <c r="J107" s="128">
        <f t="shared" si="17"/>
        <v>120182.97</v>
      </c>
      <c r="K107" s="44">
        <f t="shared" si="11"/>
        <v>7.5989491673924943E-5</v>
      </c>
      <c r="L107" s="45">
        <v>11330.387885481823</v>
      </c>
      <c r="M107" s="45">
        <v>14242.930718114436</v>
      </c>
      <c r="N107" s="45">
        <f t="shared" si="18"/>
        <v>65634.308603596262</v>
      </c>
      <c r="O107" s="46">
        <f t="shared" si="19"/>
        <v>196902.92581078879</v>
      </c>
      <c r="P107" s="47">
        <f t="shared" si="12"/>
        <v>128473.50333333334</v>
      </c>
      <c r="Q107" s="46">
        <v>313350</v>
      </c>
      <c r="R107" s="47">
        <f t="shared" si="20"/>
        <v>184876.49666666664</v>
      </c>
      <c r="S107" s="191">
        <f t="shared" si="21"/>
        <v>0.58999998936226794</v>
      </c>
      <c r="T107" s="42">
        <v>385420.51</v>
      </c>
      <c r="U107" s="48">
        <f t="shared" si="13"/>
        <v>0.51087817254662649</v>
      </c>
      <c r="V107" s="49"/>
    </row>
    <row r="108" spans="1:22" x14ac:dyDescent="0.3">
      <c r="A108" s="40" t="str">
        <f>VLOOKUP(B108,Grupos!$A$2:$B$619,2,FALSE)</f>
        <v>INTERIORES</v>
      </c>
      <c r="B108" s="41" t="s">
        <v>149</v>
      </c>
      <c r="C108" s="41" t="s">
        <v>150</v>
      </c>
      <c r="D108" s="42">
        <v>3</v>
      </c>
      <c r="E108" s="43">
        <v>49777.86</v>
      </c>
      <c r="F108" s="43">
        <v>2367.67</v>
      </c>
      <c r="G108" s="126">
        <f t="shared" si="14"/>
        <v>52145.53</v>
      </c>
      <c r="H108" s="127">
        <f t="shared" si="15"/>
        <v>149333.58000000002</v>
      </c>
      <c r="I108" s="128">
        <f t="shared" si="16"/>
        <v>7103.01</v>
      </c>
      <c r="J108" s="128">
        <f t="shared" si="17"/>
        <v>156436.59</v>
      </c>
      <c r="K108" s="44">
        <f t="shared" si="11"/>
        <v>9.8911991884559095E-5</v>
      </c>
      <c r="L108" s="45">
        <v>14748.239656434576</v>
      </c>
      <c r="M108" s="45">
        <v>15537.629250803089</v>
      </c>
      <c r="N108" s="45">
        <f t="shared" si="18"/>
        <v>82431.398907237657</v>
      </c>
      <c r="O108" s="46">
        <f t="shared" si="19"/>
        <v>247294.19672171297</v>
      </c>
      <c r="P108" s="47">
        <f t="shared" si="12"/>
        <v>143963</v>
      </c>
      <c r="Q108" s="46">
        <v>378850</v>
      </c>
      <c r="R108" s="47">
        <f t="shared" si="20"/>
        <v>234887</v>
      </c>
      <c r="S108" s="191">
        <f t="shared" si="21"/>
        <v>0.62</v>
      </c>
      <c r="T108" s="42">
        <v>431889</v>
      </c>
      <c r="U108" s="48">
        <f t="shared" si="13"/>
        <v>0.57258739333882769</v>
      </c>
      <c r="V108" s="49"/>
    </row>
    <row r="109" spans="1:22" x14ac:dyDescent="0.3">
      <c r="A109" s="40" t="str">
        <f>VLOOKUP(B109,Grupos!$A$2:$B$619,2,FALSE)</f>
        <v>INTERIORES</v>
      </c>
      <c r="B109" s="41" t="s">
        <v>151</v>
      </c>
      <c r="C109" s="41" t="s">
        <v>152</v>
      </c>
      <c r="D109" s="42">
        <v>2</v>
      </c>
      <c r="E109" s="43">
        <v>73810.09</v>
      </c>
      <c r="F109" s="43">
        <v>2703.4</v>
      </c>
      <c r="G109" s="126">
        <f t="shared" si="14"/>
        <v>76513.489999999991</v>
      </c>
      <c r="H109" s="127">
        <f t="shared" si="15"/>
        <v>147620.18</v>
      </c>
      <c r="I109" s="128">
        <f t="shared" si="16"/>
        <v>5406.8</v>
      </c>
      <c r="J109" s="128">
        <f t="shared" si="17"/>
        <v>153026.97999999998</v>
      </c>
      <c r="K109" s="44">
        <f t="shared" si="11"/>
        <v>9.6756157903202727E-5</v>
      </c>
      <c r="L109" s="45">
        <v>21640.192121361317</v>
      </c>
      <c r="M109" s="45">
        <v>17740.828289677644</v>
      </c>
      <c r="N109" s="45">
        <f t="shared" si="18"/>
        <v>115894.51041103897</v>
      </c>
      <c r="O109" s="46">
        <f t="shared" si="19"/>
        <v>231789.02082207793</v>
      </c>
      <c r="P109" s="47">
        <f t="shared" si="12"/>
        <v>200602</v>
      </c>
      <c r="Q109" s="46">
        <v>527900</v>
      </c>
      <c r="R109" s="47">
        <f t="shared" si="20"/>
        <v>327298</v>
      </c>
      <c r="S109" s="191">
        <f t="shared" si="21"/>
        <v>0.62</v>
      </c>
      <c r="T109" s="42">
        <v>401204</v>
      </c>
      <c r="U109" s="48">
        <f t="shared" si="13"/>
        <v>0.5777335739974625</v>
      </c>
      <c r="V109" s="49"/>
    </row>
    <row r="110" spans="1:22" x14ac:dyDescent="0.3">
      <c r="A110" s="40" t="str">
        <f>VLOOKUP(B110,Grupos!$A$2:$B$619,2,FALSE)</f>
        <v>INTERIORES</v>
      </c>
      <c r="B110" s="41" t="s">
        <v>153</v>
      </c>
      <c r="C110" s="41" t="s">
        <v>154</v>
      </c>
      <c r="D110" s="42">
        <v>9</v>
      </c>
      <c r="E110" s="43">
        <v>85949.06</v>
      </c>
      <c r="F110" s="43">
        <v>4131.3900000000003</v>
      </c>
      <c r="G110" s="126">
        <f t="shared" si="14"/>
        <v>90080.45</v>
      </c>
      <c r="H110" s="127">
        <f t="shared" si="15"/>
        <v>773541.54</v>
      </c>
      <c r="I110" s="128">
        <f t="shared" si="16"/>
        <v>37182.51</v>
      </c>
      <c r="J110" s="128">
        <f t="shared" si="17"/>
        <v>810724.04999999993</v>
      </c>
      <c r="K110" s="44">
        <f t="shared" si="11"/>
        <v>5.1260597443486132E-4</v>
      </c>
      <c r="L110" s="45">
        <v>25477.314449761503</v>
      </c>
      <c r="M110" s="45">
        <v>27111.888950096665</v>
      </c>
      <c r="N110" s="45">
        <f t="shared" si="18"/>
        <v>142669.65339985816</v>
      </c>
      <c r="O110" s="46">
        <f t="shared" si="19"/>
        <v>1284026.8805987234</v>
      </c>
      <c r="P110" s="47">
        <f t="shared" si="12"/>
        <v>229576.99777777778</v>
      </c>
      <c r="Q110" s="46">
        <v>604150</v>
      </c>
      <c r="R110" s="47">
        <f t="shared" si="20"/>
        <v>374573.00222222222</v>
      </c>
      <c r="S110" s="191">
        <f t="shared" si="21"/>
        <v>0.62000000367826236</v>
      </c>
      <c r="T110" s="42">
        <v>2066192.98</v>
      </c>
      <c r="U110" s="48">
        <f t="shared" si="13"/>
        <v>0.62144576669635354</v>
      </c>
      <c r="V110" s="49"/>
    </row>
    <row r="111" spans="1:22" x14ac:dyDescent="0.3">
      <c r="A111" s="40" t="str">
        <f>VLOOKUP(B111,Grupos!$A$2:$B$619,2,FALSE)</f>
        <v>INTERIORES</v>
      </c>
      <c r="B111" s="41" t="s">
        <v>690</v>
      </c>
      <c r="C111" s="41" t="s">
        <v>691</v>
      </c>
      <c r="D111" s="42">
        <v>4</v>
      </c>
      <c r="E111" s="43">
        <v>11375.68</v>
      </c>
      <c r="F111" s="43">
        <v>873.74</v>
      </c>
      <c r="G111" s="126">
        <f t="shared" si="14"/>
        <v>12249.42</v>
      </c>
      <c r="H111" s="127">
        <f t="shared" si="15"/>
        <v>45502.720000000001</v>
      </c>
      <c r="I111" s="128">
        <f t="shared" si="16"/>
        <v>3494.96</v>
      </c>
      <c r="J111" s="128">
        <f t="shared" si="17"/>
        <v>48997.68</v>
      </c>
      <c r="K111" s="44">
        <f t="shared" si="11"/>
        <v>3.0980336035976136E-5</v>
      </c>
      <c r="L111" s="45">
        <v>3464.4845265226536</v>
      </c>
      <c r="M111" s="45">
        <v>5733.8430531267832</v>
      </c>
      <c r="N111" s="45">
        <f t="shared" si="18"/>
        <v>21447.747579649436</v>
      </c>
      <c r="O111" s="46">
        <f t="shared" si="19"/>
        <v>85790.990318597745</v>
      </c>
      <c r="P111" s="47">
        <f t="shared" si="12"/>
        <v>51642</v>
      </c>
      <c r="Q111" s="46">
        <v>135900</v>
      </c>
      <c r="R111" s="47">
        <f t="shared" si="20"/>
        <v>84258</v>
      </c>
      <c r="S111" s="191">
        <f t="shared" si="21"/>
        <v>0.62</v>
      </c>
      <c r="T111" s="42">
        <v>206568</v>
      </c>
      <c r="U111" s="48">
        <f t="shared" si="13"/>
        <v>0.41531597497481576</v>
      </c>
      <c r="V111" s="49"/>
    </row>
    <row r="112" spans="1:22" x14ac:dyDescent="0.3">
      <c r="A112" s="40" t="str">
        <f>VLOOKUP(B112,Grupos!$A$2:$B$619,2,FALSE)</f>
        <v>REGLETAS</v>
      </c>
      <c r="B112" s="41" t="s">
        <v>951</v>
      </c>
      <c r="C112" s="41" t="s">
        <v>1114</v>
      </c>
      <c r="D112" s="42">
        <v>8</v>
      </c>
      <c r="E112" s="43">
        <v>1630.76</v>
      </c>
      <c r="F112" s="43">
        <v>154.51</v>
      </c>
      <c r="G112" s="126">
        <f t="shared" si="14"/>
        <v>1785.27</v>
      </c>
      <c r="H112" s="127">
        <f t="shared" si="15"/>
        <v>13046.08</v>
      </c>
      <c r="I112" s="128">
        <f t="shared" si="16"/>
        <v>1236.08</v>
      </c>
      <c r="J112" s="128">
        <f t="shared" si="17"/>
        <v>14282.16</v>
      </c>
      <c r="K112" s="44">
        <f t="shared" si="11"/>
        <v>9.0303482964821367E-6</v>
      </c>
      <c r="L112" s="45">
        <v>504.92515487795316</v>
      </c>
      <c r="M112" s="45">
        <v>1013.9584889539442</v>
      </c>
      <c r="N112" s="45">
        <f t="shared" si="18"/>
        <v>3304.1536438318972</v>
      </c>
      <c r="O112" s="46">
        <f t="shared" si="19"/>
        <v>26433.229150655177</v>
      </c>
      <c r="P112" s="47">
        <f t="shared" si="12"/>
        <v>12477.625</v>
      </c>
      <c r="Q112" s="46">
        <v>28850</v>
      </c>
      <c r="R112" s="47">
        <f t="shared" si="20"/>
        <v>16372.375</v>
      </c>
      <c r="S112" s="191">
        <f t="shared" si="21"/>
        <v>0.5675</v>
      </c>
      <c r="T112" s="42">
        <v>99821</v>
      </c>
      <c r="U112" s="48">
        <f t="shared" si="13"/>
        <v>0.26480629477419759</v>
      </c>
      <c r="V112" s="49"/>
    </row>
    <row r="113" spans="1:22" x14ac:dyDescent="0.3">
      <c r="A113" s="40" t="str">
        <f>VLOOKUP(B113,Grupos!$A$2:$B$619,2,FALSE)</f>
        <v>REGLETAS</v>
      </c>
      <c r="B113" s="41" t="s">
        <v>692</v>
      </c>
      <c r="C113" s="41" t="s">
        <v>693</v>
      </c>
      <c r="D113" s="42">
        <v>6</v>
      </c>
      <c r="E113" s="43">
        <v>4469.78</v>
      </c>
      <c r="F113" s="43">
        <v>443.78</v>
      </c>
      <c r="G113" s="126">
        <f t="shared" si="14"/>
        <v>4913.5599999999995</v>
      </c>
      <c r="H113" s="127">
        <f t="shared" si="15"/>
        <v>26818.68</v>
      </c>
      <c r="I113" s="128">
        <f t="shared" si="16"/>
        <v>2662.68</v>
      </c>
      <c r="J113" s="128">
        <f t="shared" si="17"/>
        <v>29481.359999999997</v>
      </c>
      <c r="K113" s="44">
        <f t="shared" si="11"/>
        <v>1.8640524196198375E-5</v>
      </c>
      <c r="L113" s="45">
        <v>1389.6945806528511</v>
      </c>
      <c r="M113" s="45">
        <v>2912.2678029123122</v>
      </c>
      <c r="N113" s="45">
        <f t="shared" si="18"/>
        <v>9215.5223835651632</v>
      </c>
      <c r="O113" s="46">
        <f t="shared" si="19"/>
        <v>55293.134301390979</v>
      </c>
      <c r="P113" s="47">
        <f t="shared" si="12"/>
        <v>17510.333333333332</v>
      </c>
      <c r="Q113" s="46">
        <v>40100</v>
      </c>
      <c r="R113" s="47">
        <f t="shared" si="20"/>
        <v>22589.666666666668</v>
      </c>
      <c r="S113" s="191">
        <f t="shared" si="21"/>
        <v>0.56333333333333335</v>
      </c>
      <c r="T113" s="42">
        <v>105062</v>
      </c>
      <c r="U113" s="48">
        <f t="shared" si="13"/>
        <v>0.52629051704128016</v>
      </c>
      <c r="V113" s="49"/>
    </row>
    <row r="114" spans="1:22" x14ac:dyDescent="0.3">
      <c r="A114" s="40" t="str">
        <f>VLOOKUP(B114,Grupos!$A$2:$B$619,2,FALSE)</f>
        <v>REGLETAS</v>
      </c>
      <c r="B114" s="41" t="s">
        <v>959</v>
      </c>
      <c r="C114" s="41" t="s">
        <v>1115</v>
      </c>
      <c r="D114" s="42">
        <v>24</v>
      </c>
      <c r="E114" s="43">
        <v>6820</v>
      </c>
      <c r="F114" s="43">
        <v>682.48</v>
      </c>
      <c r="G114" s="126">
        <f t="shared" si="14"/>
        <v>7502.48</v>
      </c>
      <c r="H114" s="127">
        <f t="shared" si="15"/>
        <v>163680</v>
      </c>
      <c r="I114" s="128">
        <f t="shared" si="16"/>
        <v>16379.52</v>
      </c>
      <c r="J114" s="128">
        <f t="shared" si="17"/>
        <v>180059.51999999999</v>
      </c>
      <c r="K114" s="44">
        <f t="shared" si="11"/>
        <v>1.1384833804532307E-4</v>
      </c>
      <c r="L114" s="45">
        <v>2121.9148229504481</v>
      </c>
      <c r="M114" s="45">
        <v>4478.7158730262627</v>
      </c>
      <c r="N114" s="45">
        <f t="shared" si="18"/>
        <v>14103.110695976709</v>
      </c>
      <c r="O114" s="46">
        <f t="shared" si="19"/>
        <v>338474.65670344105</v>
      </c>
      <c r="P114" s="47">
        <f t="shared" si="12"/>
        <v>20049.001250000001</v>
      </c>
      <c r="Q114" s="46">
        <v>48900</v>
      </c>
      <c r="R114" s="47">
        <f t="shared" si="20"/>
        <v>28850.998749999999</v>
      </c>
      <c r="S114" s="191">
        <f t="shared" si="21"/>
        <v>0.58999997443762775</v>
      </c>
      <c r="T114" s="42">
        <v>481176.03</v>
      </c>
      <c r="U114" s="48">
        <f t="shared" si="13"/>
        <v>0.7034320822328598</v>
      </c>
      <c r="V114" s="49"/>
    </row>
    <row r="115" spans="1:22" x14ac:dyDescent="0.3">
      <c r="A115" s="40" t="str">
        <f>VLOOKUP(B115,Grupos!$A$2:$B$619,2,FALSE)</f>
        <v>RITEL</v>
      </c>
      <c r="B115" s="41" t="s">
        <v>645</v>
      </c>
      <c r="C115" s="41" t="s">
        <v>646</v>
      </c>
      <c r="D115" s="42">
        <v>80</v>
      </c>
      <c r="E115" s="163">
        <v>27387.5</v>
      </c>
      <c r="F115" s="43">
        <v>4984.9399999999996</v>
      </c>
      <c r="G115" s="126">
        <f t="shared" si="14"/>
        <v>32372.44</v>
      </c>
      <c r="H115" s="127">
        <f t="shared" si="15"/>
        <v>2191000</v>
      </c>
      <c r="I115" s="128">
        <f t="shared" si="16"/>
        <v>398795.19999999995</v>
      </c>
      <c r="J115" s="128">
        <f t="shared" si="17"/>
        <v>2589795.1999999997</v>
      </c>
      <c r="K115" s="44">
        <f t="shared" si="11"/>
        <v>1.637480092125954E-3</v>
      </c>
      <c r="L115" s="45">
        <v>9155.847172011654</v>
      </c>
      <c r="M115" s="45">
        <v>32713.23687739353</v>
      </c>
      <c r="N115" s="45">
        <f t="shared" si="18"/>
        <v>74241.524049405183</v>
      </c>
      <c r="O115" s="46">
        <f t="shared" si="19"/>
        <v>5939321.9239524147</v>
      </c>
      <c r="P115" s="47">
        <f t="shared" si="12"/>
        <v>78250</v>
      </c>
      <c r="Q115" s="46">
        <v>349023</v>
      </c>
      <c r="R115" s="47">
        <f t="shared" si="20"/>
        <v>270773</v>
      </c>
      <c r="S115" s="191">
        <f t="shared" si="21"/>
        <v>0.77580274079358669</v>
      </c>
      <c r="T115" s="42">
        <v>6260000</v>
      </c>
      <c r="U115" s="162">
        <f t="shared" si="13"/>
        <v>0.94877347027993841</v>
      </c>
      <c r="V115" s="49"/>
    </row>
    <row r="116" spans="1:22" x14ac:dyDescent="0.3">
      <c r="A116" s="40" t="str">
        <f>VLOOKUP(B116,Grupos!$A$2:$B$619,2,FALSE)</f>
        <v>RITEL</v>
      </c>
      <c r="B116" s="41" t="s">
        <v>159</v>
      </c>
      <c r="C116" s="41" t="s">
        <v>160</v>
      </c>
      <c r="D116" s="42">
        <v>211</v>
      </c>
      <c r="E116" s="43">
        <v>98943.75</v>
      </c>
      <c r="F116" s="43">
        <v>3910.62</v>
      </c>
      <c r="G116" s="126">
        <f t="shared" si="14"/>
        <v>102854.37</v>
      </c>
      <c r="H116" s="127">
        <f t="shared" si="15"/>
        <v>20877131.25</v>
      </c>
      <c r="I116" s="128">
        <f t="shared" si="16"/>
        <v>825140.82</v>
      </c>
      <c r="J116" s="128">
        <f t="shared" si="17"/>
        <v>21702272.07</v>
      </c>
      <c r="K116" s="44">
        <f t="shared" si="11"/>
        <v>1.3721949314187515E-2</v>
      </c>
      <c r="L116" s="45">
        <v>29090.142500643768</v>
      </c>
      <c r="M116" s="45">
        <v>25663.104951608784</v>
      </c>
      <c r="N116" s="45">
        <f t="shared" si="18"/>
        <v>157607.61745225254</v>
      </c>
      <c r="O116" s="46">
        <f t="shared" si="19"/>
        <v>33255207.282425284</v>
      </c>
      <c r="P116" s="47">
        <f t="shared" si="12"/>
        <v>357789.09952606633</v>
      </c>
      <c r="Q116" s="46">
        <v>1371800</v>
      </c>
      <c r="R116" s="47">
        <f t="shared" si="20"/>
        <v>1014010.9004739337</v>
      </c>
      <c r="S116" s="191">
        <f t="shared" si="21"/>
        <v>0.73918275293332381</v>
      </c>
      <c r="T116" s="42">
        <v>75493500</v>
      </c>
      <c r="U116" s="48">
        <f t="shared" si="13"/>
        <v>0.44050424582812142</v>
      </c>
      <c r="V116" s="49"/>
    </row>
    <row r="117" spans="1:22" x14ac:dyDescent="0.3">
      <c r="A117" s="40" t="str">
        <f>VLOOKUP(B117,Grupos!$A$2:$B$619,2,FALSE)</f>
        <v>RITEL</v>
      </c>
      <c r="B117" s="41" t="s">
        <v>163</v>
      </c>
      <c r="C117" s="41" t="s">
        <v>164</v>
      </c>
      <c r="D117" s="42">
        <v>311</v>
      </c>
      <c r="E117" s="43">
        <v>71233.69</v>
      </c>
      <c r="F117" s="43">
        <v>4029.26</v>
      </c>
      <c r="G117" s="126">
        <f t="shared" si="14"/>
        <v>75262.95</v>
      </c>
      <c r="H117" s="127">
        <f t="shared" si="15"/>
        <v>22153677.59</v>
      </c>
      <c r="I117" s="128">
        <f t="shared" si="16"/>
        <v>1253099.8600000001</v>
      </c>
      <c r="J117" s="128">
        <f t="shared" si="17"/>
        <v>23406777.449999999</v>
      </c>
      <c r="K117" s="44">
        <f t="shared" si="11"/>
        <v>1.4799676860625003E-2</v>
      </c>
      <c r="L117" s="45">
        <v>21286.503825932014</v>
      </c>
      <c r="M117" s="45">
        <v>26441.669673176944</v>
      </c>
      <c r="N117" s="45">
        <f t="shared" si="18"/>
        <v>122991.12349910896</v>
      </c>
      <c r="O117" s="46">
        <f t="shared" si="19"/>
        <v>38250239.408222884</v>
      </c>
      <c r="P117" s="47">
        <f t="shared" si="12"/>
        <v>236060.77170418008</v>
      </c>
      <c r="Q117" s="46">
        <v>686000</v>
      </c>
      <c r="R117" s="47">
        <f t="shared" si="20"/>
        <v>449939.22829581995</v>
      </c>
      <c r="S117" s="191">
        <f t="shared" si="21"/>
        <v>0.65588808789478126</v>
      </c>
      <c r="T117" s="42">
        <v>73414900</v>
      </c>
      <c r="U117" s="48">
        <f t="shared" si="13"/>
        <v>0.52101466334794277</v>
      </c>
      <c r="V117" s="49"/>
    </row>
    <row r="118" spans="1:22" x14ac:dyDescent="0.3">
      <c r="A118" s="40" t="str">
        <f>VLOOKUP(B118,Grupos!$A$2:$B$619,2,FALSE)</f>
        <v>RITEL</v>
      </c>
      <c r="B118" s="41" t="s">
        <v>166</v>
      </c>
      <c r="C118" s="41" t="s">
        <v>167</v>
      </c>
      <c r="D118" s="42">
        <v>391</v>
      </c>
      <c r="E118" s="43">
        <v>17761.330000000002</v>
      </c>
      <c r="F118" s="43">
        <v>830.79</v>
      </c>
      <c r="G118" s="126">
        <f t="shared" si="14"/>
        <v>18592.120000000003</v>
      </c>
      <c r="H118" s="127">
        <f t="shared" si="15"/>
        <v>6944680.0300000003</v>
      </c>
      <c r="I118" s="128">
        <f t="shared" si="16"/>
        <v>324838.89</v>
      </c>
      <c r="J118" s="128">
        <f t="shared" si="17"/>
        <v>7269518.9200000009</v>
      </c>
      <c r="K118" s="44">
        <f t="shared" si="11"/>
        <v>4.5963837259536842E-3</v>
      </c>
      <c r="L118" s="45">
        <v>5258.3805645697803</v>
      </c>
      <c r="M118" s="45">
        <v>5451.9873991201039</v>
      </c>
      <c r="N118" s="45">
        <f t="shared" si="18"/>
        <v>29302.487963689884</v>
      </c>
      <c r="O118" s="46">
        <f t="shared" si="19"/>
        <v>11457272.793802744</v>
      </c>
      <c r="P118" s="47">
        <f t="shared" si="12"/>
        <v>66312.787723785164</v>
      </c>
      <c r="Q118" s="46">
        <v>372550</v>
      </c>
      <c r="R118" s="47">
        <f t="shared" si="20"/>
        <v>306237.21227621485</v>
      </c>
      <c r="S118" s="191">
        <f t="shared" si="21"/>
        <v>0.82200298557566731</v>
      </c>
      <c r="T118" s="42">
        <v>25928300</v>
      </c>
      <c r="U118" s="48">
        <f t="shared" si="13"/>
        <v>0.44188291533971547</v>
      </c>
      <c r="V118" s="49"/>
    </row>
    <row r="119" spans="1:22" x14ac:dyDescent="0.3">
      <c r="A119" s="40" t="str">
        <f>VLOOKUP(B119,Grupos!$A$2:$B$619,2,FALSE)</f>
        <v>RITEL</v>
      </c>
      <c r="B119" s="41" t="s">
        <v>168</v>
      </c>
      <c r="C119" s="41" t="s">
        <v>169</v>
      </c>
      <c r="D119" s="42">
        <v>5998</v>
      </c>
      <c r="E119" s="43">
        <v>13894.41</v>
      </c>
      <c r="F119" s="43">
        <v>501.47</v>
      </c>
      <c r="G119" s="126">
        <f t="shared" si="14"/>
        <v>14395.88</v>
      </c>
      <c r="H119" s="127">
        <f t="shared" si="15"/>
        <v>83338671.179999992</v>
      </c>
      <c r="I119" s="128">
        <f t="shared" si="16"/>
        <v>3007817.06</v>
      </c>
      <c r="J119" s="128">
        <f t="shared" si="17"/>
        <v>86346488.239999995</v>
      </c>
      <c r="K119" s="44">
        <f t="shared" si="11"/>
        <v>5.4595303720536587E-2</v>
      </c>
      <c r="L119" s="45">
        <v>4071.5644908638069</v>
      </c>
      <c r="M119" s="45">
        <v>3290.8534299122025</v>
      </c>
      <c r="N119" s="45">
        <f t="shared" si="18"/>
        <v>21758.297920776011</v>
      </c>
      <c r="O119" s="46">
        <f t="shared" si="19"/>
        <v>130506270.92881452</v>
      </c>
      <c r="P119" s="47">
        <f t="shared" si="12"/>
        <v>37598.199399799931</v>
      </c>
      <c r="Q119" s="46">
        <v>45900</v>
      </c>
      <c r="R119" s="47">
        <f t="shared" si="20"/>
        <v>8301.8006002000693</v>
      </c>
      <c r="S119" s="191">
        <f t="shared" si="21"/>
        <v>0.1808671154727684</v>
      </c>
      <c r="T119" s="42">
        <v>225514000</v>
      </c>
      <c r="U119" s="48">
        <f t="shared" si="13"/>
        <v>0.57870584943202863</v>
      </c>
      <c r="V119" s="49"/>
    </row>
    <row r="120" spans="1:22" x14ac:dyDescent="0.3">
      <c r="A120" s="40" t="str">
        <f>VLOOKUP(B120,Grupos!$A$2:$B$619,2,FALSE)</f>
        <v>RITEL</v>
      </c>
      <c r="B120" s="41" t="s">
        <v>773</v>
      </c>
      <c r="C120" s="41" t="s">
        <v>774</v>
      </c>
      <c r="D120" s="42">
        <v>783</v>
      </c>
      <c r="E120" s="43">
        <v>12766.98</v>
      </c>
      <c r="F120" s="43">
        <v>293.14999999999998</v>
      </c>
      <c r="G120" s="126">
        <f t="shared" si="14"/>
        <v>13060.13</v>
      </c>
      <c r="H120" s="127">
        <f t="shared" si="15"/>
        <v>9996545.3399999999</v>
      </c>
      <c r="I120" s="128">
        <f t="shared" si="16"/>
        <v>229536.44999999998</v>
      </c>
      <c r="J120" s="128">
        <f t="shared" si="17"/>
        <v>10226081.789999999</v>
      </c>
      <c r="K120" s="44">
        <f t="shared" si="11"/>
        <v>6.4657643011990827E-3</v>
      </c>
      <c r="L120" s="45">
        <v>3693.7763828307211</v>
      </c>
      <c r="M120" s="45">
        <v>1923.7714778127547</v>
      </c>
      <c r="N120" s="45">
        <f t="shared" si="18"/>
        <v>18677.677860643475</v>
      </c>
      <c r="O120" s="46">
        <f t="shared" si="19"/>
        <v>14624621.76488384</v>
      </c>
      <c r="P120" s="47">
        <f t="shared" si="12"/>
        <v>43044.699872286081</v>
      </c>
      <c r="Q120" s="46">
        <v>228300</v>
      </c>
      <c r="R120" s="47">
        <f t="shared" si="20"/>
        <v>185255.30012771391</v>
      </c>
      <c r="S120" s="191">
        <f t="shared" si="21"/>
        <v>0.81145554151429655</v>
      </c>
      <c r="T120" s="42">
        <v>33704000</v>
      </c>
      <c r="U120" s="48">
        <f t="shared" si="13"/>
        <v>0.43391353444350345</v>
      </c>
      <c r="V120" s="49"/>
    </row>
    <row r="121" spans="1:22" x14ac:dyDescent="0.3">
      <c r="A121" s="40" t="str">
        <f>VLOOKUP(B121,Grupos!$A$2:$B$619,2,FALSE)</f>
        <v>RITEL</v>
      </c>
      <c r="B121" s="41" t="s">
        <v>170</v>
      </c>
      <c r="C121" s="41" t="s">
        <v>171</v>
      </c>
      <c r="D121" s="42">
        <v>84</v>
      </c>
      <c r="E121" s="43">
        <v>14799.95</v>
      </c>
      <c r="F121" s="43">
        <v>1115</v>
      </c>
      <c r="G121" s="126">
        <f t="shared" si="14"/>
        <v>15914.95</v>
      </c>
      <c r="H121" s="127">
        <f t="shared" si="15"/>
        <v>1243195.8</v>
      </c>
      <c r="I121" s="128">
        <f t="shared" si="16"/>
        <v>93660</v>
      </c>
      <c r="J121" s="128">
        <f t="shared" si="17"/>
        <v>1336855.8</v>
      </c>
      <c r="K121" s="44">
        <f t="shared" si="11"/>
        <v>8.4526944777066392E-4</v>
      </c>
      <c r="L121" s="45">
        <v>4501.2007111668718</v>
      </c>
      <c r="M121" s="45">
        <v>7317.0909014539375</v>
      </c>
      <c r="N121" s="45">
        <f t="shared" si="18"/>
        <v>27733.241612620812</v>
      </c>
      <c r="O121" s="46">
        <f t="shared" si="19"/>
        <v>2329592.2954601482</v>
      </c>
      <c r="P121" s="47">
        <f t="shared" si="12"/>
        <v>60357.142857142855</v>
      </c>
      <c r="Q121" s="46">
        <v>228300</v>
      </c>
      <c r="R121" s="47">
        <f t="shared" si="20"/>
        <v>167942.85714285716</v>
      </c>
      <c r="S121" s="191">
        <f t="shared" si="21"/>
        <v>0.73562355296915094</v>
      </c>
      <c r="T121" s="42">
        <v>5070000</v>
      </c>
      <c r="U121" s="48">
        <f t="shared" si="13"/>
        <v>0.45948565985407264</v>
      </c>
      <c r="V121" s="49"/>
    </row>
    <row r="122" spans="1:22" x14ac:dyDescent="0.3">
      <c r="A122" s="40" t="str">
        <f>VLOOKUP(B122,Grupos!$A$2:$B$619,2,FALSE)</f>
        <v>RITEL</v>
      </c>
      <c r="B122" s="41" t="s">
        <v>696</v>
      </c>
      <c r="C122" s="41" t="s">
        <v>1077</v>
      </c>
      <c r="D122" s="42">
        <v>66</v>
      </c>
      <c r="E122" s="43">
        <v>15362.23</v>
      </c>
      <c r="F122" s="43">
        <v>580.02</v>
      </c>
      <c r="G122" s="126">
        <f t="shared" si="14"/>
        <v>15942.25</v>
      </c>
      <c r="H122" s="127">
        <f t="shared" si="15"/>
        <v>1013907.1799999999</v>
      </c>
      <c r="I122" s="128">
        <f t="shared" si="16"/>
        <v>38281.32</v>
      </c>
      <c r="J122" s="128">
        <f t="shared" si="17"/>
        <v>1052188.5</v>
      </c>
      <c r="K122" s="44">
        <f t="shared" si="11"/>
        <v>6.6527952554467219E-4</v>
      </c>
      <c r="L122" s="45">
        <v>4508.921927973387</v>
      </c>
      <c r="M122" s="45">
        <v>3806.3309996962444</v>
      </c>
      <c r="N122" s="45">
        <f t="shared" si="18"/>
        <v>24257.502927669633</v>
      </c>
      <c r="O122" s="46">
        <f t="shared" si="19"/>
        <v>1600995.1932261959</v>
      </c>
      <c r="P122" s="47">
        <f t="shared" si="12"/>
        <v>48000</v>
      </c>
      <c r="Q122" s="46">
        <v>217000</v>
      </c>
      <c r="R122" s="47">
        <f t="shared" si="20"/>
        <v>169000</v>
      </c>
      <c r="S122" s="191">
        <f t="shared" si="21"/>
        <v>0.77880184331797231</v>
      </c>
      <c r="T122" s="42">
        <v>3168000</v>
      </c>
      <c r="U122" s="48">
        <f t="shared" si="13"/>
        <v>0.50536464432645067</v>
      </c>
      <c r="V122" s="49"/>
    </row>
    <row r="123" spans="1:22" x14ac:dyDescent="0.3">
      <c r="A123" s="40" t="str">
        <f>VLOOKUP(B123,Grupos!$A$2:$B$619,2,FALSE)</f>
        <v>TABLERO RIEL</v>
      </c>
      <c r="B123" s="41" t="s">
        <v>1097</v>
      </c>
      <c r="C123" s="41" t="s">
        <v>1098</v>
      </c>
      <c r="D123" s="42">
        <v>80</v>
      </c>
      <c r="E123" s="43">
        <v>13478.15</v>
      </c>
      <c r="F123" s="43">
        <v>77.42</v>
      </c>
      <c r="G123" s="126">
        <f t="shared" si="14"/>
        <v>13555.57</v>
      </c>
      <c r="H123" s="127">
        <f t="shared" si="15"/>
        <v>1078252</v>
      </c>
      <c r="I123" s="128">
        <f t="shared" si="16"/>
        <v>6193.6</v>
      </c>
      <c r="J123" s="128">
        <f t="shared" si="17"/>
        <v>1084445.6000000001</v>
      </c>
      <c r="K123" s="44">
        <f t="shared" si="11"/>
        <v>6.856750993258408E-4</v>
      </c>
      <c r="L123" s="45">
        <v>3833.9009123039859</v>
      </c>
      <c r="M123" s="45">
        <v>508.06204268212002</v>
      </c>
      <c r="N123" s="45">
        <f t="shared" si="18"/>
        <v>17897.532954986105</v>
      </c>
      <c r="O123" s="46">
        <f t="shared" si="19"/>
        <v>1431802.6363988884</v>
      </c>
      <c r="P123" s="47">
        <f t="shared" si="12"/>
        <v>35721.001375</v>
      </c>
      <c r="Q123" s="46">
        <v>85050</v>
      </c>
      <c r="R123" s="47">
        <f t="shared" si="20"/>
        <v>49328.998625</v>
      </c>
      <c r="S123" s="191">
        <f t="shared" si="21"/>
        <v>0.57999998383303941</v>
      </c>
      <c r="T123" s="42">
        <v>2857680.11</v>
      </c>
      <c r="U123" s="48">
        <f t="shared" si="13"/>
        <v>0.50103670854849058</v>
      </c>
      <c r="V123" s="49"/>
    </row>
    <row r="124" spans="1:22" x14ac:dyDescent="0.3">
      <c r="A124" s="40" t="str">
        <f>VLOOKUP(B124,Grupos!$A$2:$B$619,2,FALSE)</f>
        <v>TABLEROS 100 AMP BIMETALICO 2 FASES</v>
      </c>
      <c r="B124" s="41" t="s">
        <v>173</v>
      </c>
      <c r="C124" s="41" t="s">
        <v>1083</v>
      </c>
      <c r="D124" s="42">
        <v>14</v>
      </c>
      <c r="E124" s="43">
        <v>21984.82</v>
      </c>
      <c r="F124" s="43">
        <v>1157.51</v>
      </c>
      <c r="G124" s="126">
        <f t="shared" si="14"/>
        <v>23142.329999999998</v>
      </c>
      <c r="H124" s="127">
        <f t="shared" si="15"/>
        <v>307787.48</v>
      </c>
      <c r="I124" s="128">
        <f t="shared" si="16"/>
        <v>16205.14</v>
      </c>
      <c r="J124" s="128">
        <f t="shared" si="17"/>
        <v>323992.62</v>
      </c>
      <c r="K124" s="44">
        <f t="shared" si="11"/>
        <v>2.0485460211129019E-4</v>
      </c>
      <c r="L124" s="45">
        <v>6545.3094262978166</v>
      </c>
      <c r="M124" s="45">
        <v>7596.0590935802211</v>
      </c>
      <c r="N124" s="45">
        <f t="shared" si="18"/>
        <v>37283.698519878031</v>
      </c>
      <c r="O124" s="46">
        <f t="shared" si="19"/>
        <v>521971.77927829244</v>
      </c>
      <c r="P124" s="47">
        <f t="shared" si="12"/>
        <v>85303.254285714283</v>
      </c>
      <c r="Q124" s="46">
        <v>205550</v>
      </c>
      <c r="R124" s="47">
        <f t="shared" si="20"/>
        <v>120246.74571428572</v>
      </c>
      <c r="S124" s="191">
        <f t="shared" si="21"/>
        <v>0.58499997915001567</v>
      </c>
      <c r="T124" s="42">
        <v>1194245.56</v>
      </c>
      <c r="U124" s="48">
        <f t="shared" si="13"/>
        <v>0.43707240517460449</v>
      </c>
      <c r="V124" s="49"/>
    </row>
    <row r="125" spans="1:22" x14ac:dyDescent="0.3">
      <c r="A125" s="40" t="str">
        <f>VLOOKUP(B125,Grupos!$A$2:$B$619,2,FALSE)</f>
        <v>TABLEROS 100 AMP BIMETALICO 2 FASES</v>
      </c>
      <c r="B125" s="41" t="s">
        <v>174</v>
      </c>
      <c r="C125" s="41" t="s">
        <v>175</v>
      </c>
      <c r="D125" s="42">
        <v>60</v>
      </c>
      <c r="E125" s="43">
        <v>25688.959999999999</v>
      </c>
      <c r="F125" s="43">
        <v>1626.46</v>
      </c>
      <c r="G125" s="126">
        <f t="shared" si="14"/>
        <v>27315.42</v>
      </c>
      <c r="H125" s="127">
        <f t="shared" si="15"/>
        <v>1541337.5999999999</v>
      </c>
      <c r="I125" s="128">
        <f t="shared" si="16"/>
        <v>97587.6</v>
      </c>
      <c r="J125" s="128">
        <f t="shared" si="17"/>
        <v>1638925.2</v>
      </c>
      <c r="K125" s="44">
        <f t="shared" si="11"/>
        <v>1.0362623992366453E-3</v>
      </c>
      <c r="L125" s="45">
        <v>7725.578021283246</v>
      </c>
      <c r="M125" s="45">
        <v>10673.502840877822</v>
      </c>
      <c r="N125" s="45">
        <f t="shared" si="18"/>
        <v>45714.500862161069</v>
      </c>
      <c r="O125" s="46">
        <f t="shared" si="19"/>
        <v>2742870.0517296642</v>
      </c>
      <c r="P125" s="47">
        <f t="shared" si="12"/>
        <v>86068.797333333336</v>
      </c>
      <c r="Q125" s="46">
        <v>222400</v>
      </c>
      <c r="R125" s="47">
        <f t="shared" si="20"/>
        <v>136331.20266666665</v>
      </c>
      <c r="S125" s="191">
        <f t="shared" si="21"/>
        <v>0.61300001199040755</v>
      </c>
      <c r="T125" s="42">
        <v>5164127.84</v>
      </c>
      <c r="U125" s="48">
        <f t="shared" si="13"/>
        <v>0.53113906872794692</v>
      </c>
      <c r="V125" s="49"/>
    </row>
    <row r="126" spans="1:22" x14ac:dyDescent="0.3">
      <c r="A126" s="40" t="str">
        <f>VLOOKUP(B126,Grupos!$A$2:$B$619,2,FALSE)</f>
        <v>TABLEROS 100 AMP BIMETALICO 2 FASES</v>
      </c>
      <c r="B126" s="41" t="s">
        <v>176</v>
      </c>
      <c r="C126" s="41" t="s">
        <v>177</v>
      </c>
      <c r="D126" s="42">
        <v>1003</v>
      </c>
      <c r="E126" s="43">
        <v>25601.09</v>
      </c>
      <c r="F126" s="43">
        <v>1601.04</v>
      </c>
      <c r="G126" s="126">
        <f t="shared" si="14"/>
        <v>27202.13</v>
      </c>
      <c r="H126" s="127">
        <f t="shared" si="15"/>
        <v>25677893.27</v>
      </c>
      <c r="I126" s="128">
        <f t="shared" si="16"/>
        <v>1605843.1199999999</v>
      </c>
      <c r="J126" s="128">
        <f t="shared" si="17"/>
        <v>27283736.390000001</v>
      </c>
      <c r="K126" s="44">
        <f t="shared" si="11"/>
        <v>1.725100702072405E-2</v>
      </c>
      <c r="L126" s="45">
        <v>7693.5363856784779</v>
      </c>
      <c r="M126" s="45">
        <v>10506.686293151401</v>
      </c>
      <c r="N126" s="45">
        <f t="shared" si="18"/>
        <v>45402.352678829877</v>
      </c>
      <c r="O126" s="46">
        <f t="shared" si="19"/>
        <v>45538559.73686637</v>
      </c>
      <c r="P126" s="47">
        <f t="shared" si="12"/>
        <v>83981.304825523417</v>
      </c>
      <c r="Q126" s="46">
        <v>213400</v>
      </c>
      <c r="R126" s="47">
        <f t="shared" si="20"/>
        <v>129418.69517447658</v>
      </c>
      <c r="S126" s="191">
        <f t="shared" si="21"/>
        <v>0.60646061468826895</v>
      </c>
      <c r="T126" s="42">
        <v>84233248.739999995</v>
      </c>
      <c r="U126" s="48">
        <f t="shared" si="13"/>
        <v>0.54062452081634349</v>
      </c>
      <c r="V126" s="49"/>
    </row>
    <row r="127" spans="1:22" x14ac:dyDescent="0.3">
      <c r="A127" s="40" t="str">
        <f>VLOOKUP(B127,Grupos!$A$2:$B$619,2,FALSE)</f>
        <v>TABLEROS 100 AMP BIMETALICO 2 FASES</v>
      </c>
      <c r="B127" s="41" t="s">
        <v>178</v>
      </c>
      <c r="C127" s="41" t="s">
        <v>179</v>
      </c>
      <c r="D127" s="42">
        <v>15</v>
      </c>
      <c r="E127" s="43">
        <v>32009.93</v>
      </c>
      <c r="F127" s="43">
        <v>1740.79</v>
      </c>
      <c r="G127" s="126">
        <f t="shared" si="14"/>
        <v>33750.720000000001</v>
      </c>
      <c r="H127" s="127">
        <f t="shared" si="15"/>
        <v>480148.95</v>
      </c>
      <c r="I127" s="128">
        <f t="shared" si="16"/>
        <v>26111.85</v>
      </c>
      <c r="J127" s="128">
        <f t="shared" si="17"/>
        <v>506260.80000000005</v>
      </c>
      <c r="K127" s="44">
        <f t="shared" si="11"/>
        <v>3.2009943543943523E-4</v>
      </c>
      <c r="L127" s="45">
        <v>9545.6639742125462</v>
      </c>
      <c r="M127" s="45">
        <v>11423.783560844842</v>
      </c>
      <c r="N127" s="45">
        <f t="shared" si="18"/>
        <v>54720.167535057393</v>
      </c>
      <c r="O127" s="46">
        <f t="shared" si="19"/>
        <v>820802.51302586088</v>
      </c>
      <c r="P127" s="47">
        <f t="shared" si="12"/>
        <v>108432.99866666667</v>
      </c>
      <c r="Q127" s="46">
        <v>285350</v>
      </c>
      <c r="R127" s="47">
        <f t="shared" si="20"/>
        <v>176917.00133333332</v>
      </c>
      <c r="S127" s="191">
        <f t="shared" si="21"/>
        <v>0.62000000467262417</v>
      </c>
      <c r="T127" s="42">
        <v>1626494.98</v>
      </c>
      <c r="U127" s="48">
        <f t="shared" si="13"/>
        <v>0.50464497162226774</v>
      </c>
      <c r="V127" s="49"/>
    </row>
    <row r="128" spans="1:22" x14ac:dyDescent="0.3">
      <c r="A128" s="40" t="str">
        <f>VLOOKUP(B128,Grupos!$A$2:$B$619,2,FALSE)</f>
        <v>TABLEROS 100 AMP BIMETALICO 2 FASES</v>
      </c>
      <c r="B128" s="41" t="s">
        <v>180</v>
      </c>
      <c r="C128" s="41" t="s">
        <v>181</v>
      </c>
      <c r="D128" s="42">
        <v>185</v>
      </c>
      <c r="E128" s="43">
        <v>31952.29</v>
      </c>
      <c r="F128" s="43">
        <v>1606.4</v>
      </c>
      <c r="G128" s="126">
        <f t="shared" si="14"/>
        <v>33558.69</v>
      </c>
      <c r="H128" s="127">
        <f t="shared" si="15"/>
        <v>5911173.6500000004</v>
      </c>
      <c r="I128" s="128">
        <f t="shared" si="16"/>
        <v>297184</v>
      </c>
      <c r="J128" s="128">
        <f t="shared" si="17"/>
        <v>6208357.6500000004</v>
      </c>
      <c r="K128" s="44">
        <f t="shared" si="11"/>
        <v>3.9254308822075481E-3</v>
      </c>
      <c r="L128" s="45">
        <v>9491.3524261042985</v>
      </c>
      <c r="M128" s="45">
        <v>10541.860828785297</v>
      </c>
      <c r="N128" s="45">
        <f t="shared" si="18"/>
        <v>53591.903254889599</v>
      </c>
      <c r="O128" s="46">
        <f t="shared" si="19"/>
        <v>9914502.1021545753</v>
      </c>
      <c r="P128" s="47">
        <f t="shared" si="12"/>
        <v>108276.75697297297</v>
      </c>
      <c r="Q128" s="46">
        <v>274400</v>
      </c>
      <c r="R128" s="47">
        <f t="shared" si="20"/>
        <v>166123.24302702703</v>
      </c>
      <c r="S128" s="191">
        <f t="shared" si="21"/>
        <v>0.60540540461744541</v>
      </c>
      <c r="T128" s="42">
        <v>20031200.039999999</v>
      </c>
      <c r="U128" s="48">
        <f t="shared" si="13"/>
        <v>0.49495297747296502</v>
      </c>
      <c r="V128" s="49"/>
    </row>
    <row r="129" spans="1:22" x14ac:dyDescent="0.3">
      <c r="A129" s="40" t="str">
        <f>VLOOKUP(B129,Grupos!$A$2:$B$619,2,FALSE)</f>
        <v>TABLEROS 100 AMP BIMETALICO 2 FASES</v>
      </c>
      <c r="B129" s="41" t="s">
        <v>182</v>
      </c>
      <c r="C129" s="41" t="s">
        <v>183</v>
      </c>
      <c r="D129" s="42">
        <v>90</v>
      </c>
      <c r="E129" s="43">
        <v>20127.689999999999</v>
      </c>
      <c r="F129" s="43">
        <v>1168.3399999999999</v>
      </c>
      <c r="G129" s="126">
        <f t="shared" si="14"/>
        <v>21296.03</v>
      </c>
      <c r="H129" s="127">
        <f t="shared" si="15"/>
        <v>1811492.0999999999</v>
      </c>
      <c r="I129" s="128">
        <f t="shared" si="16"/>
        <v>105150.59999999999</v>
      </c>
      <c r="J129" s="128">
        <f t="shared" si="17"/>
        <v>1916642.7</v>
      </c>
      <c r="K129" s="44">
        <f t="shared" si="11"/>
        <v>1.2118580901565256E-3</v>
      </c>
      <c r="L129" s="45">
        <v>6023.123250844711</v>
      </c>
      <c r="M129" s="45">
        <v>7667.1300303181097</v>
      </c>
      <c r="N129" s="45">
        <f t="shared" si="18"/>
        <v>34986.283281162818</v>
      </c>
      <c r="O129" s="46">
        <f t="shared" si="19"/>
        <v>3148765.4953046534</v>
      </c>
      <c r="P129" s="47">
        <f t="shared" si="12"/>
        <v>54198.138666666673</v>
      </c>
      <c r="Q129" s="46">
        <v>136634</v>
      </c>
      <c r="R129" s="47">
        <f t="shared" si="20"/>
        <v>82435.861333333334</v>
      </c>
      <c r="S129" s="191">
        <f t="shared" si="21"/>
        <v>0.60333344067606409</v>
      </c>
      <c r="T129" s="42">
        <v>4877832.4800000004</v>
      </c>
      <c r="U129" s="48">
        <f t="shared" si="13"/>
        <v>0.64552555017318947</v>
      </c>
      <c r="V129" s="49"/>
    </row>
    <row r="130" spans="1:22" x14ac:dyDescent="0.3">
      <c r="A130" s="40" t="str">
        <f>VLOOKUP(B130,Grupos!$A$2:$B$619,2,FALSE)</f>
        <v>TABLEROS 100 AMP BIMETALICO 2 FASES</v>
      </c>
      <c r="B130" s="41" t="s">
        <v>184</v>
      </c>
      <c r="C130" s="41" t="s">
        <v>1084</v>
      </c>
      <c r="D130" s="42">
        <v>24</v>
      </c>
      <c r="E130" s="43">
        <v>18702.21</v>
      </c>
      <c r="F130" s="43">
        <v>642.67999999999995</v>
      </c>
      <c r="G130" s="126">
        <f t="shared" si="14"/>
        <v>19344.89</v>
      </c>
      <c r="H130" s="127">
        <f t="shared" si="15"/>
        <v>448853.04</v>
      </c>
      <c r="I130" s="128">
        <f t="shared" si="16"/>
        <v>15424.32</v>
      </c>
      <c r="J130" s="128">
        <f t="shared" si="17"/>
        <v>464277.36</v>
      </c>
      <c r="K130" s="44">
        <f t="shared" si="11"/>
        <v>2.9355407494183119E-4</v>
      </c>
      <c r="L130" s="45">
        <v>5471.2853402269502</v>
      </c>
      <c r="M130" s="45">
        <v>4217.5318211178619</v>
      </c>
      <c r="N130" s="45">
        <f t="shared" si="18"/>
        <v>29033.707161344813</v>
      </c>
      <c r="O130" s="46">
        <f t="shared" si="19"/>
        <v>696808.97187227546</v>
      </c>
      <c r="P130" s="47">
        <f t="shared" si="12"/>
        <v>53159.996666666666</v>
      </c>
      <c r="Q130" s="46">
        <v>132900</v>
      </c>
      <c r="R130" s="47">
        <f t="shared" si="20"/>
        <v>79740.003333333327</v>
      </c>
      <c r="S130" s="191">
        <f t="shared" si="21"/>
        <v>0.60000002508151484</v>
      </c>
      <c r="T130" s="42">
        <v>1275839.92</v>
      </c>
      <c r="U130" s="48">
        <f t="shared" si="13"/>
        <v>0.5461570538349948</v>
      </c>
      <c r="V130" s="49"/>
    </row>
    <row r="131" spans="1:22" x14ac:dyDescent="0.3">
      <c r="A131" s="40" t="str">
        <f>VLOOKUP(B131,Grupos!$A$2:$B$619,2,FALSE)</f>
        <v>TABLEROS 100 AMP BIMETALICO 2 FASES</v>
      </c>
      <c r="B131" s="41" t="s">
        <v>185</v>
      </c>
      <c r="C131" s="41" t="s">
        <v>186</v>
      </c>
      <c r="D131" s="42">
        <v>54</v>
      </c>
      <c r="E131" s="43">
        <v>18754.66</v>
      </c>
      <c r="F131" s="43">
        <v>850.68</v>
      </c>
      <c r="G131" s="126">
        <f t="shared" si="14"/>
        <v>19605.34</v>
      </c>
      <c r="H131" s="127">
        <f t="shared" si="15"/>
        <v>1012751.64</v>
      </c>
      <c r="I131" s="128">
        <f t="shared" si="16"/>
        <v>45936.719999999994</v>
      </c>
      <c r="J131" s="128">
        <f t="shared" si="17"/>
        <v>1058688.3600000001</v>
      </c>
      <c r="K131" s="44">
        <f t="shared" si="11"/>
        <v>6.693892680260877E-4</v>
      </c>
      <c r="L131" s="45">
        <v>5544.9480111887451</v>
      </c>
      <c r="M131" s="45">
        <v>5582.5138009406592</v>
      </c>
      <c r="N131" s="45">
        <f t="shared" si="18"/>
        <v>30732.801812129404</v>
      </c>
      <c r="O131" s="46">
        <f t="shared" si="19"/>
        <v>1659571.2978549879</v>
      </c>
      <c r="P131" s="47">
        <f t="shared" si="12"/>
        <v>54852.002222222225</v>
      </c>
      <c r="Q131" s="46">
        <v>130600</v>
      </c>
      <c r="R131" s="47">
        <f t="shared" si="20"/>
        <v>75747.997777777782</v>
      </c>
      <c r="S131" s="191">
        <f t="shared" si="21"/>
        <v>0.57999998298451594</v>
      </c>
      <c r="T131" s="42">
        <v>2962008.12</v>
      </c>
      <c r="U131" s="48">
        <f t="shared" si="13"/>
        <v>0.56028587047053324</v>
      </c>
      <c r="V131" s="49"/>
    </row>
    <row r="132" spans="1:22" x14ac:dyDescent="0.3">
      <c r="A132" s="40" t="str">
        <f>VLOOKUP(B132,Grupos!$A$2:$B$619,2,FALSE)</f>
        <v>TABLEROS 100 AMP BIMETALICO 2 FASES</v>
      </c>
      <c r="B132" s="41" t="s">
        <v>187</v>
      </c>
      <c r="C132" s="41" t="s">
        <v>188</v>
      </c>
      <c r="D132" s="42">
        <v>168</v>
      </c>
      <c r="E132" s="43">
        <v>21991.71</v>
      </c>
      <c r="F132" s="43">
        <v>1469.56</v>
      </c>
      <c r="G132" s="126">
        <f t="shared" si="14"/>
        <v>23461.27</v>
      </c>
      <c r="H132" s="127">
        <f t="shared" si="15"/>
        <v>3694607.28</v>
      </c>
      <c r="I132" s="128">
        <f t="shared" si="16"/>
        <v>246886.08</v>
      </c>
      <c r="J132" s="128">
        <f t="shared" si="17"/>
        <v>3941493.36</v>
      </c>
      <c r="K132" s="44">
        <f t="shared" si="11"/>
        <v>2.4921340923972041E-3</v>
      </c>
      <c r="L132" s="45">
        <v>6635.514733560457</v>
      </c>
      <c r="M132" s="45">
        <v>9643.8601839826442</v>
      </c>
      <c r="N132" s="45">
        <f t="shared" si="18"/>
        <v>39740.644917543104</v>
      </c>
      <c r="O132" s="46">
        <f t="shared" si="19"/>
        <v>6676428.3461472411</v>
      </c>
      <c r="P132" s="47">
        <f t="shared" si="12"/>
        <v>66803.250476190471</v>
      </c>
      <c r="Q132" s="46">
        <v>177550</v>
      </c>
      <c r="R132" s="47">
        <f t="shared" si="20"/>
        <v>110746.74952380953</v>
      </c>
      <c r="S132" s="191">
        <f t="shared" si="21"/>
        <v>0.62374964530447496</v>
      </c>
      <c r="T132" s="42">
        <v>11222946.08</v>
      </c>
      <c r="U132" s="48">
        <f t="shared" si="13"/>
        <v>0.5948908868095748</v>
      </c>
      <c r="V132" s="49"/>
    </row>
    <row r="133" spans="1:22" x14ac:dyDescent="0.3">
      <c r="A133" s="40" t="str">
        <f>VLOOKUP(B133,Grupos!$A$2:$B$619,2,FALSE)</f>
        <v>TABLEROS 100 AMP BIMETALICO 2 FASES</v>
      </c>
      <c r="B133" s="41" t="s">
        <v>189</v>
      </c>
      <c r="C133" s="41" t="s">
        <v>190</v>
      </c>
      <c r="D133" s="42">
        <v>664</v>
      </c>
      <c r="E133" s="43">
        <v>21996.36</v>
      </c>
      <c r="F133" s="43">
        <v>1450.73</v>
      </c>
      <c r="G133" s="126">
        <f t="shared" si="14"/>
        <v>23447.09</v>
      </c>
      <c r="H133" s="127">
        <f t="shared" si="15"/>
        <v>14605583.040000001</v>
      </c>
      <c r="I133" s="128">
        <f t="shared" si="16"/>
        <v>963284.72</v>
      </c>
      <c r="J133" s="128">
        <f t="shared" si="17"/>
        <v>15568867.76</v>
      </c>
      <c r="K133" s="44">
        <f t="shared" ref="K133:K196" si="22">J133/$J$274</f>
        <v>9.8439100566491116E-3</v>
      </c>
      <c r="L133" s="45">
        <v>6631.5042260763412</v>
      </c>
      <c r="M133" s="45">
        <v>9520.2899403284937</v>
      </c>
      <c r="N133" s="45">
        <f t="shared" si="18"/>
        <v>39598.884166404838</v>
      </c>
      <c r="O133" s="46">
        <f t="shared" si="19"/>
        <v>26293659.086492814</v>
      </c>
      <c r="P133" s="47">
        <f t="shared" ref="P133:P196" si="23">T133/D133</f>
        <v>66223.297756024098</v>
      </c>
      <c r="Q133" s="46">
        <v>166650</v>
      </c>
      <c r="R133" s="47">
        <f t="shared" si="20"/>
        <v>100426.7022439759</v>
      </c>
      <c r="S133" s="191">
        <f t="shared" si="21"/>
        <v>0.60262047551140652</v>
      </c>
      <c r="T133" s="42">
        <v>43972269.710000001</v>
      </c>
      <c r="U133" s="48">
        <f t="shared" ref="U133:U196" si="24">O133/T133</f>
        <v>0.59796001570765434</v>
      </c>
      <c r="V133" s="49"/>
    </row>
    <row r="134" spans="1:22" x14ac:dyDescent="0.3">
      <c r="A134" s="40" t="str">
        <f>VLOOKUP(B134,Grupos!$A$2:$B$619,2,FALSE)</f>
        <v>TABLEROS 100 AMP BIMETALICO 3 FASES</v>
      </c>
      <c r="B134" s="41" t="s">
        <v>193</v>
      </c>
      <c r="C134" s="41" t="s">
        <v>194</v>
      </c>
      <c r="D134" s="42">
        <v>214</v>
      </c>
      <c r="E134" s="43">
        <v>22441.5</v>
      </c>
      <c r="F134" s="43">
        <v>1559.19</v>
      </c>
      <c r="G134" s="126">
        <f t="shared" ref="G134:G197" si="25">E134+F134</f>
        <v>24000.69</v>
      </c>
      <c r="H134" s="127">
        <f t="shared" ref="H134:H197" si="26">E134*D134</f>
        <v>4802481</v>
      </c>
      <c r="I134" s="128">
        <f t="shared" ref="I134:I197" si="27">F134*D134</f>
        <v>333666.66000000003</v>
      </c>
      <c r="J134" s="128">
        <f t="shared" ref="J134:J197" si="28">G134*D134</f>
        <v>5136147.66</v>
      </c>
      <c r="K134" s="44">
        <f t="shared" si="22"/>
        <v>3.2474921350805282E-3</v>
      </c>
      <c r="L134" s="45">
        <v>6788.07805846048</v>
      </c>
      <c r="M134" s="45">
        <v>10232.049293845708</v>
      </c>
      <c r="N134" s="45">
        <f t="shared" ref="N134:N197" si="29">G134+L134+M134</f>
        <v>41020.817352306185</v>
      </c>
      <c r="O134" s="46">
        <f t="shared" ref="O134:O197" si="30">N134*D134</f>
        <v>8778454.9133935235</v>
      </c>
      <c r="P134" s="47">
        <f t="shared" si="23"/>
        <v>62831.927196261684</v>
      </c>
      <c r="Q134" s="46">
        <v>164800</v>
      </c>
      <c r="R134" s="47">
        <f t="shared" si="20"/>
        <v>101968.07280373832</v>
      </c>
      <c r="S134" s="191">
        <f t="shared" si="21"/>
        <v>0.61873830584792677</v>
      </c>
      <c r="T134" s="42">
        <v>13446032.42</v>
      </c>
      <c r="U134" s="48">
        <f t="shared" si="24"/>
        <v>0.6528658149251676</v>
      </c>
      <c r="V134" s="49"/>
    </row>
    <row r="135" spans="1:22" x14ac:dyDescent="0.3">
      <c r="A135" s="40" t="str">
        <f>VLOOKUP(B135,Grupos!$A$2:$B$619,2,FALSE)</f>
        <v>TABLEROS 100 AMP BIMETALICO 3 FASES</v>
      </c>
      <c r="B135" s="41" t="s">
        <v>195</v>
      </c>
      <c r="C135" s="41" t="s">
        <v>196</v>
      </c>
      <c r="D135" s="42">
        <v>60</v>
      </c>
      <c r="E135" s="43">
        <v>27361.759999999998</v>
      </c>
      <c r="F135" s="43">
        <v>1731.24</v>
      </c>
      <c r="G135" s="126">
        <f t="shared" si="25"/>
        <v>29093</v>
      </c>
      <c r="H135" s="127">
        <f t="shared" si="26"/>
        <v>1641705.5999999999</v>
      </c>
      <c r="I135" s="128">
        <f t="shared" si="27"/>
        <v>103874.4</v>
      </c>
      <c r="J135" s="128">
        <f t="shared" si="28"/>
        <v>1745580</v>
      </c>
      <c r="K135" s="44">
        <f t="shared" si="22"/>
        <v>1.10369827668737E-3</v>
      </c>
      <c r="L135" s="45">
        <v>8228.3282253464695</v>
      </c>
      <c r="M135" s="45">
        <v>11361.112513213555</v>
      </c>
      <c r="N135" s="45">
        <f t="shared" si="29"/>
        <v>48682.440738560028</v>
      </c>
      <c r="O135" s="46">
        <f t="shared" si="30"/>
        <v>2920946.4443136016</v>
      </c>
      <c r="P135" s="47">
        <f t="shared" si="23"/>
        <v>96605.748333333337</v>
      </c>
      <c r="Q135" s="46">
        <v>249800</v>
      </c>
      <c r="R135" s="47">
        <f t="shared" ref="R135:R198" si="31">Q135-P135</f>
        <v>153194.25166666665</v>
      </c>
      <c r="S135" s="191">
        <f t="shared" ref="S135:S198" si="32">R135/Q135</f>
        <v>0.61326762076327723</v>
      </c>
      <c r="T135" s="42">
        <v>5796344.9000000004</v>
      </c>
      <c r="U135" s="48">
        <f t="shared" si="24"/>
        <v>0.50392902677575335</v>
      </c>
      <c r="V135" s="49"/>
    </row>
    <row r="136" spans="1:22" x14ac:dyDescent="0.3">
      <c r="A136" s="40" t="str">
        <f>VLOOKUP(B136,Grupos!$A$2:$B$619,2,FALSE)</f>
        <v>TABLEROS 100 AMP BIMETALICO 3 FASES</v>
      </c>
      <c r="B136" s="41" t="s">
        <v>197</v>
      </c>
      <c r="C136" s="41" t="s">
        <v>198</v>
      </c>
      <c r="D136" s="42">
        <v>302</v>
      </c>
      <c r="E136" s="43">
        <v>27273.89</v>
      </c>
      <c r="F136" s="43">
        <v>1758.23</v>
      </c>
      <c r="G136" s="126">
        <f t="shared" si="25"/>
        <v>29032.12</v>
      </c>
      <c r="H136" s="127">
        <f t="shared" si="26"/>
        <v>8236714.7800000003</v>
      </c>
      <c r="I136" s="128">
        <f t="shared" si="27"/>
        <v>530985.46</v>
      </c>
      <c r="J136" s="128">
        <f t="shared" si="28"/>
        <v>8767700.2400000002</v>
      </c>
      <c r="K136" s="44">
        <f t="shared" si="22"/>
        <v>5.5436563465435223E-3</v>
      </c>
      <c r="L136" s="45">
        <v>8211.1096290394853</v>
      </c>
      <c r="M136" s="45">
        <v>11538.232049922291</v>
      </c>
      <c r="N136" s="45">
        <f t="shared" si="29"/>
        <v>48781.461678961779</v>
      </c>
      <c r="O136" s="46">
        <f t="shared" si="30"/>
        <v>14732001.427046457</v>
      </c>
      <c r="P136" s="47">
        <f t="shared" si="23"/>
        <v>92596.540364238419</v>
      </c>
      <c r="Q136" s="46">
        <v>237750</v>
      </c>
      <c r="R136" s="47">
        <f t="shared" si="31"/>
        <v>145153.45963576157</v>
      </c>
      <c r="S136" s="191">
        <f t="shared" si="32"/>
        <v>0.61052979867828205</v>
      </c>
      <c r="T136" s="42">
        <v>27964155.190000001</v>
      </c>
      <c r="U136" s="48">
        <f t="shared" si="24"/>
        <v>0.52681732478421628</v>
      </c>
      <c r="V136" s="49"/>
    </row>
    <row r="137" spans="1:22" x14ac:dyDescent="0.3">
      <c r="A137" s="40" t="str">
        <f>VLOOKUP(B137,Grupos!$A$2:$B$619,2,FALSE)</f>
        <v>TABLEROS 100 AMP BIMETALICO 3 FASES</v>
      </c>
      <c r="B137" s="41" t="s">
        <v>199</v>
      </c>
      <c r="C137" s="41" t="s">
        <v>200</v>
      </c>
      <c r="D137" s="42">
        <v>200</v>
      </c>
      <c r="E137" s="43">
        <v>34056.449999999997</v>
      </c>
      <c r="F137" s="43">
        <v>2074.4299999999998</v>
      </c>
      <c r="G137" s="126">
        <f t="shared" si="25"/>
        <v>36130.879999999997</v>
      </c>
      <c r="H137" s="127">
        <f t="shared" si="26"/>
        <v>6811289.9999999991</v>
      </c>
      <c r="I137" s="128">
        <f t="shared" si="27"/>
        <v>414885.99999999994</v>
      </c>
      <c r="J137" s="128">
        <f t="shared" si="28"/>
        <v>7226175.9999999991</v>
      </c>
      <c r="K137" s="44">
        <f t="shared" si="22"/>
        <v>4.5689787911408425E-3</v>
      </c>
      <c r="L137" s="45">
        <v>10218.840948358926</v>
      </c>
      <c r="M137" s="45">
        <v>13613.267155787524</v>
      </c>
      <c r="N137" s="45">
        <f t="shared" si="29"/>
        <v>59962.988104146447</v>
      </c>
      <c r="O137" s="46">
        <f t="shared" si="30"/>
        <v>11992597.62082929</v>
      </c>
      <c r="P137" s="47">
        <f t="shared" si="23"/>
        <v>124765.95359999999</v>
      </c>
      <c r="Q137" s="46">
        <v>327900</v>
      </c>
      <c r="R137" s="47">
        <f t="shared" si="31"/>
        <v>203134.04639999999</v>
      </c>
      <c r="S137" s="191">
        <f t="shared" si="32"/>
        <v>0.61949998902104297</v>
      </c>
      <c r="T137" s="42">
        <v>24953190.719999999</v>
      </c>
      <c r="U137" s="48">
        <f t="shared" si="24"/>
        <v>0.48060377349727923</v>
      </c>
      <c r="V137" s="49"/>
    </row>
    <row r="138" spans="1:22" x14ac:dyDescent="0.3">
      <c r="A138" s="40" t="str">
        <f>VLOOKUP(B138,Grupos!$A$2:$B$619,2,FALSE)</f>
        <v>TABLEROS 125 AMP COBRE 2 FASES</v>
      </c>
      <c r="B138" s="41" t="s">
        <v>201</v>
      </c>
      <c r="C138" s="41" t="s">
        <v>202</v>
      </c>
      <c r="D138" s="42">
        <v>628</v>
      </c>
      <c r="E138" s="43">
        <v>35359.94</v>
      </c>
      <c r="F138" s="43">
        <v>1674.19</v>
      </c>
      <c r="G138" s="126">
        <f t="shared" si="25"/>
        <v>37034.130000000005</v>
      </c>
      <c r="H138" s="127">
        <f t="shared" si="26"/>
        <v>22206042.32</v>
      </c>
      <c r="I138" s="128">
        <f t="shared" si="27"/>
        <v>1051391.32</v>
      </c>
      <c r="J138" s="128">
        <f t="shared" si="28"/>
        <v>23257433.640000004</v>
      </c>
      <c r="K138" s="44">
        <f t="shared" si="22"/>
        <v>1.4705249503682944E-2</v>
      </c>
      <c r="L138" s="45">
        <v>10474.305749841906</v>
      </c>
      <c r="M138" s="45">
        <v>10986.726830766966</v>
      </c>
      <c r="N138" s="45">
        <f t="shared" si="29"/>
        <v>58495.162580608878</v>
      </c>
      <c r="O138" s="46">
        <f t="shared" si="30"/>
        <v>36734962.100622378</v>
      </c>
      <c r="P138" s="47">
        <f t="shared" si="23"/>
        <v>96071.064729299367</v>
      </c>
      <c r="Q138" s="46">
        <v>246150</v>
      </c>
      <c r="R138" s="47">
        <f t="shared" si="31"/>
        <v>150078.93527070063</v>
      </c>
      <c r="S138" s="191">
        <f t="shared" si="32"/>
        <v>0.60970520118098981</v>
      </c>
      <c r="T138" s="42">
        <v>60332628.649999999</v>
      </c>
      <c r="U138" s="48">
        <f t="shared" si="24"/>
        <v>0.60887388669451548</v>
      </c>
      <c r="V138" s="49"/>
    </row>
    <row r="139" spans="1:22" x14ac:dyDescent="0.3">
      <c r="A139" s="40" t="str">
        <f>VLOOKUP(B139,Grupos!$A$2:$B$619,2,FALSE)</f>
        <v>TABLEROS 125 AMP COBRE 2 FASES</v>
      </c>
      <c r="B139" s="41" t="s">
        <v>203</v>
      </c>
      <c r="C139" s="41" t="s">
        <v>204</v>
      </c>
      <c r="D139" s="42">
        <v>1146</v>
      </c>
      <c r="E139" s="43">
        <v>35272.07</v>
      </c>
      <c r="F139" s="43">
        <v>1566.35</v>
      </c>
      <c r="G139" s="126">
        <f t="shared" si="25"/>
        <v>36838.42</v>
      </c>
      <c r="H139" s="127">
        <f t="shared" si="26"/>
        <v>40421792.219999999</v>
      </c>
      <c r="I139" s="128">
        <f t="shared" si="27"/>
        <v>1795037.0999999999</v>
      </c>
      <c r="J139" s="128">
        <f t="shared" si="28"/>
        <v>42216829.32</v>
      </c>
      <c r="K139" s="44">
        <f t="shared" si="22"/>
        <v>2.6692928291850753E-2</v>
      </c>
      <c r="L139" s="45">
        <v>10418.953393021273</v>
      </c>
      <c r="M139" s="45">
        <v>10279.036173535762</v>
      </c>
      <c r="N139" s="45">
        <f t="shared" si="29"/>
        <v>57536.409566557035</v>
      </c>
      <c r="O139" s="46">
        <f t="shared" si="30"/>
        <v>65936725.363274366</v>
      </c>
      <c r="P139" s="47">
        <f t="shared" si="23"/>
        <v>94826.259816753925</v>
      </c>
      <c r="Q139" s="46">
        <v>236200</v>
      </c>
      <c r="R139" s="47">
        <f t="shared" si="31"/>
        <v>141373.74018324609</v>
      </c>
      <c r="S139" s="191">
        <f t="shared" si="32"/>
        <v>0.5985340397258514</v>
      </c>
      <c r="T139" s="42">
        <v>108670893.75</v>
      </c>
      <c r="U139" s="48">
        <f t="shared" si="24"/>
        <v>0.60675607872484594</v>
      </c>
      <c r="V139" s="49"/>
    </row>
    <row r="140" spans="1:22" x14ac:dyDescent="0.3">
      <c r="A140" s="40" t="str">
        <f>VLOOKUP(B140,Grupos!$A$2:$B$619,2,FALSE)</f>
        <v>TABLEROS 125 AMP COBRE 2 FASES</v>
      </c>
      <c r="B140" s="41" t="s">
        <v>205</v>
      </c>
      <c r="C140" s="41" t="s">
        <v>206</v>
      </c>
      <c r="D140" s="42">
        <v>210</v>
      </c>
      <c r="E140" s="43">
        <v>46968.33</v>
      </c>
      <c r="F140" s="43">
        <v>1742.02</v>
      </c>
      <c r="G140" s="126">
        <f t="shared" si="25"/>
        <v>48710.35</v>
      </c>
      <c r="H140" s="127">
        <f t="shared" si="26"/>
        <v>9863349.3000000007</v>
      </c>
      <c r="I140" s="128">
        <f t="shared" si="27"/>
        <v>365824.2</v>
      </c>
      <c r="J140" s="128">
        <f t="shared" si="28"/>
        <v>10229173.5</v>
      </c>
      <c r="K140" s="44">
        <f t="shared" si="22"/>
        <v>6.4677191328304136E-3</v>
      </c>
      <c r="L140" s="45">
        <v>13776.673006273171</v>
      </c>
      <c r="M140" s="45">
        <v>11431.855329283217</v>
      </c>
      <c r="N140" s="45">
        <f t="shared" si="29"/>
        <v>73918.878335556394</v>
      </c>
      <c r="O140" s="46">
        <f t="shared" si="30"/>
        <v>15522964.450466843</v>
      </c>
      <c r="P140" s="47">
        <f t="shared" si="23"/>
        <v>129628.10414285715</v>
      </c>
      <c r="Q140" s="46">
        <v>324650</v>
      </c>
      <c r="R140" s="47">
        <f t="shared" si="31"/>
        <v>195021.89585714287</v>
      </c>
      <c r="S140" s="191">
        <f t="shared" si="32"/>
        <v>0.6007142949550065</v>
      </c>
      <c r="T140" s="42">
        <v>27221901.870000001</v>
      </c>
      <c r="U140" s="48">
        <f t="shared" si="24"/>
        <v>0.57023805774474501</v>
      </c>
      <c r="V140" s="49"/>
    </row>
    <row r="141" spans="1:22" x14ac:dyDescent="0.3">
      <c r="A141" s="40" t="str">
        <f>VLOOKUP(B141,Grupos!$A$2:$B$619,2,FALSE)</f>
        <v>TABLEROS 125 AMP COBRE 2 FASES</v>
      </c>
      <c r="B141" s="41" t="s">
        <v>207</v>
      </c>
      <c r="C141" s="41" t="s">
        <v>208</v>
      </c>
      <c r="D141" s="42">
        <v>590</v>
      </c>
      <c r="E141" s="43">
        <v>46910.7</v>
      </c>
      <c r="F141" s="43">
        <v>1651.68</v>
      </c>
      <c r="G141" s="126">
        <f t="shared" si="25"/>
        <v>48562.38</v>
      </c>
      <c r="H141" s="127">
        <f t="shared" si="26"/>
        <v>27677313</v>
      </c>
      <c r="I141" s="128">
        <f t="shared" si="27"/>
        <v>974491.20000000007</v>
      </c>
      <c r="J141" s="128">
        <f t="shared" si="28"/>
        <v>28651804.199999999</v>
      </c>
      <c r="K141" s="44">
        <f t="shared" si="22"/>
        <v>1.8116011251001932E-2</v>
      </c>
      <c r="L141" s="45">
        <v>13734.822879868041</v>
      </c>
      <c r="M141" s="45">
        <v>10839.006905931335</v>
      </c>
      <c r="N141" s="45">
        <f t="shared" si="29"/>
        <v>73136.209785799379</v>
      </c>
      <c r="O141" s="46">
        <f t="shared" si="30"/>
        <v>43150363.773621634</v>
      </c>
      <c r="P141" s="47">
        <f t="shared" si="23"/>
        <v>124364.405</v>
      </c>
      <c r="Q141" s="46">
        <v>312500</v>
      </c>
      <c r="R141" s="47">
        <f t="shared" si="31"/>
        <v>188135.595</v>
      </c>
      <c r="S141" s="191">
        <f t="shared" si="32"/>
        <v>0.60203390400000001</v>
      </c>
      <c r="T141" s="42">
        <v>73374998.950000003</v>
      </c>
      <c r="U141" s="48">
        <f t="shared" si="24"/>
        <v>0.58807992355850836</v>
      </c>
      <c r="V141" s="49"/>
    </row>
    <row r="142" spans="1:22" x14ac:dyDescent="0.3">
      <c r="A142" s="40" t="str">
        <f>VLOOKUP(B142,Grupos!$A$2:$B$619,2,FALSE)</f>
        <v>TABLEROS 125 AMP COBRE 2 FASES</v>
      </c>
      <c r="B142" s="41" t="s">
        <v>209</v>
      </c>
      <c r="C142" s="41" t="s">
        <v>210</v>
      </c>
      <c r="D142" s="42">
        <v>48</v>
      </c>
      <c r="E142" s="43">
        <v>25348.880000000001</v>
      </c>
      <c r="F142" s="43">
        <v>831.53</v>
      </c>
      <c r="G142" s="126">
        <f t="shared" si="25"/>
        <v>26180.41</v>
      </c>
      <c r="H142" s="127">
        <f t="shared" si="26"/>
        <v>1216746.24</v>
      </c>
      <c r="I142" s="128">
        <f t="shared" si="27"/>
        <v>39913.440000000002</v>
      </c>
      <c r="J142" s="128">
        <f t="shared" si="28"/>
        <v>1256659.68</v>
      </c>
      <c r="K142" s="44">
        <f t="shared" si="22"/>
        <v>7.9456290929003645E-4</v>
      </c>
      <c r="L142" s="45">
        <v>7404.5648971966775</v>
      </c>
      <c r="M142" s="45">
        <v>5456.8435850098585</v>
      </c>
      <c r="N142" s="45">
        <f t="shared" si="29"/>
        <v>39041.818482206538</v>
      </c>
      <c r="O142" s="46">
        <f t="shared" si="30"/>
        <v>1874007.2871459138</v>
      </c>
      <c r="P142" s="47">
        <f t="shared" si="23"/>
        <v>59411.417500000003</v>
      </c>
      <c r="Q142" s="46">
        <v>149150</v>
      </c>
      <c r="R142" s="47">
        <f t="shared" si="31"/>
        <v>89738.58249999999</v>
      </c>
      <c r="S142" s="191">
        <f t="shared" si="32"/>
        <v>0.6016666610794501</v>
      </c>
      <c r="T142" s="42">
        <v>2851748.04</v>
      </c>
      <c r="U142" s="48">
        <f t="shared" si="24"/>
        <v>0.65714335939226731</v>
      </c>
      <c r="V142" s="49"/>
    </row>
    <row r="143" spans="1:22" x14ac:dyDescent="0.3">
      <c r="A143" s="40" t="str">
        <f>VLOOKUP(B143,Grupos!$A$2:$B$619,2,FALSE)</f>
        <v>TABLEROS 125 AMP COBRE 2 FASES</v>
      </c>
      <c r="B143" s="41" t="s">
        <v>211</v>
      </c>
      <c r="C143" s="41" t="s">
        <v>212</v>
      </c>
      <c r="D143" s="42">
        <v>206</v>
      </c>
      <c r="E143" s="43">
        <v>28638.38</v>
      </c>
      <c r="F143" s="43">
        <v>1455.74</v>
      </c>
      <c r="G143" s="126">
        <f t="shared" si="25"/>
        <v>30094.120000000003</v>
      </c>
      <c r="H143" s="127">
        <f t="shared" si="26"/>
        <v>5899506.2800000003</v>
      </c>
      <c r="I143" s="128">
        <f t="shared" si="27"/>
        <v>299882.44</v>
      </c>
      <c r="J143" s="128">
        <f t="shared" si="28"/>
        <v>6199388.7200000007</v>
      </c>
      <c r="K143" s="44">
        <f t="shared" si="22"/>
        <v>3.9197599919677823E-3</v>
      </c>
      <c r="L143" s="45">
        <v>8511.4734476665762</v>
      </c>
      <c r="M143" s="45">
        <v>9553.1676312848031</v>
      </c>
      <c r="N143" s="45">
        <f t="shared" si="29"/>
        <v>48158.761078951386</v>
      </c>
      <c r="O143" s="46">
        <f t="shared" si="30"/>
        <v>9920704.7822639849</v>
      </c>
      <c r="P143" s="47">
        <f t="shared" si="23"/>
        <v>80338.51820388349</v>
      </c>
      <c r="Q143" s="46">
        <v>201450</v>
      </c>
      <c r="R143" s="47">
        <f t="shared" si="31"/>
        <v>121111.48179611651</v>
      </c>
      <c r="S143" s="191">
        <f t="shared" si="32"/>
        <v>0.60119871827310256</v>
      </c>
      <c r="T143" s="42">
        <v>16549734.75</v>
      </c>
      <c r="U143" s="48">
        <f t="shared" si="24"/>
        <v>0.59944796289040125</v>
      </c>
      <c r="V143" s="49"/>
    </row>
    <row r="144" spans="1:22" x14ac:dyDescent="0.3">
      <c r="A144" s="40" t="str">
        <f>VLOOKUP(B144,Grupos!$A$2:$B$619,2,FALSE)</f>
        <v>TABLEROS 125 AMP COBRE 2 FASES</v>
      </c>
      <c r="B144" s="41" t="s">
        <v>213</v>
      </c>
      <c r="C144" s="41" t="s">
        <v>214</v>
      </c>
      <c r="D144" s="42">
        <v>1434</v>
      </c>
      <c r="E144" s="43">
        <v>28643.040000000001</v>
      </c>
      <c r="F144" s="43">
        <v>1445.51</v>
      </c>
      <c r="G144" s="126">
        <f t="shared" si="25"/>
        <v>30088.55</v>
      </c>
      <c r="H144" s="127">
        <f t="shared" si="26"/>
        <v>41074119.359999999</v>
      </c>
      <c r="I144" s="128">
        <f t="shared" si="27"/>
        <v>2072861.34</v>
      </c>
      <c r="J144" s="128">
        <f t="shared" si="28"/>
        <v>43146980.699999996</v>
      </c>
      <c r="K144" s="44">
        <f t="shared" si="22"/>
        <v>2.7281045980621463E-2</v>
      </c>
      <c r="L144" s="45">
        <v>8509.8980931752831</v>
      </c>
      <c r="M144" s="45">
        <v>9486.0341425656334</v>
      </c>
      <c r="N144" s="45">
        <f t="shared" si="29"/>
        <v>48084.482235740914</v>
      </c>
      <c r="O144" s="46">
        <f t="shared" si="30"/>
        <v>68953147.526052475</v>
      </c>
      <c r="P144" s="47">
        <f t="shared" si="23"/>
        <v>75077.642670850764</v>
      </c>
      <c r="Q144" s="46">
        <v>193450</v>
      </c>
      <c r="R144" s="47">
        <f t="shared" si="31"/>
        <v>118372.35732914924</v>
      </c>
      <c r="S144" s="191">
        <f t="shared" si="32"/>
        <v>0.61190156282837549</v>
      </c>
      <c r="T144" s="42">
        <v>107661339.59</v>
      </c>
      <c r="U144" s="48">
        <f t="shared" si="24"/>
        <v>0.64046339929117047</v>
      </c>
      <c r="V144" s="49"/>
    </row>
    <row r="145" spans="1:22" x14ac:dyDescent="0.3">
      <c r="A145" s="40" t="str">
        <f>VLOOKUP(B145,Grupos!$A$2:$B$619,2,FALSE)</f>
        <v>TABLEROS 125 AMP COBRE 3 FASES</v>
      </c>
      <c r="B145" s="41" t="s">
        <v>215</v>
      </c>
      <c r="C145" s="41" t="s">
        <v>216</v>
      </c>
      <c r="D145" s="42">
        <v>90</v>
      </c>
      <c r="E145" s="43">
        <v>29799.21</v>
      </c>
      <c r="F145" s="43">
        <v>1480.08</v>
      </c>
      <c r="G145" s="126">
        <f t="shared" si="25"/>
        <v>31279.29</v>
      </c>
      <c r="H145" s="127">
        <f t="shared" si="26"/>
        <v>2681928.9</v>
      </c>
      <c r="I145" s="128">
        <f t="shared" si="27"/>
        <v>133207.19999999998</v>
      </c>
      <c r="J145" s="128">
        <f t="shared" si="28"/>
        <v>2815136.1</v>
      </c>
      <c r="K145" s="44">
        <f t="shared" si="22"/>
        <v>1.779959017753643E-3</v>
      </c>
      <c r="L145" s="45">
        <v>8846.6732470284132</v>
      </c>
      <c r="M145" s="45">
        <v>9712.8967725775274</v>
      </c>
      <c r="N145" s="45">
        <f t="shared" si="29"/>
        <v>49838.860019605941</v>
      </c>
      <c r="O145" s="46">
        <f t="shared" si="30"/>
        <v>4485497.4017645344</v>
      </c>
      <c r="P145" s="47">
        <f t="shared" si="23"/>
        <v>77146.397111111117</v>
      </c>
      <c r="Q145" s="46">
        <v>198150</v>
      </c>
      <c r="R145" s="47">
        <f t="shared" si="31"/>
        <v>121003.60288888888</v>
      </c>
      <c r="S145" s="191">
        <f t="shared" si="32"/>
        <v>0.61066668124596968</v>
      </c>
      <c r="T145" s="42">
        <v>6943175.7400000002</v>
      </c>
      <c r="U145" s="48">
        <f t="shared" si="24"/>
        <v>0.64602965123341882</v>
      </c>
      <c r="V145" s="49"/>
    </row>
    <row r="146" spans="1:22" x14ac:dyDescent="0.3">
      <c r="A146" s="40" t="str">
        <f>VLOOKUP(B146,Grupos!$A$2:$B$619,2,FALSE)</f>
        <v>TABLEROS 125 AMP COBRE 3 FASES</v>
      </c>
      <c r="B146" s="41" t="s">
        <v>217</v>
      </c>
      <c r="C146" s="41" t="s">
        <v>218</v>
      </c>
      <c r="D146" s="42">
        <v>30</v>
      </c>
      <c r="E146" s="43">
        <v>29765.91</v>
      </c>
      <c r="F146" s="43">
        <v>1470.5</v>
      </c>
      <c r="G146" s="126">
        <f t="shared" si="25"/>
        <v>31236.41</v>
      </c>
      <c r="H146" s="127">
        <f t="shared" si="26"/>
        <v>892977.3</v>
      </c>
      <c r="I146" s="128">
        <f t="shared" si="27"/>
        <v>44115</v>
      </c>
      <c r="J146" s="128">
        <f t="shared" si="28"/>
        <v>937092.3</v>
      </c>
      <c r="K146" s="44">
        <f t="shared" si="22"/>
        <v>5.9250630541539439E-4</v>
      </c>
      <c r="L146" s="45">
        <v>8834.5455629015505</v>
      </c>
      <c r="M146" s="45">
        <v>9650.0288525453052</v>
      </c>
      <c r="N146" s="45">
        <f t="shared" si="29"/>
        <v>49720.984415446859</v>
      </c>
      <c r="O146" s="46">
        <f t="shared" si="30"/>
        <v>1491629.5324634057</v>
      </c>
      <c r="P146" s="47">
        <f t="shared" si="23"/>
        <v>77941.00499999999</v>
      </c>
      <c r="Q146" s="46">
        <v>190100</v>
      </c>
      <c r="R146" s="47">
        <f t="shared" si="31"/>
        <v>112158.99500000001</v>
      </c>
      <c r="S146" s="191">
        <f t="shared" si="32"/>
        <v>0.58999997369805368</v>
      </c>
      <c r="T146" s="42">
        <v>2338230.15</v>
      </c>
      <c r="U146" s="152">
        <f t="shared" si="24"/>
        <v>0.63793101481623005</v>
      </c>
      <c r="V146" s="49"/>
    </row>
    <row r="147" spans="1:22" x14ac:dyDescent="0.3">
      <c r="A147" s="40" t="str">
        <f>VLOOKUP(B147,Grupos!$A$2:$B$619,2,FALSE)</f>
        <v>TABLEROS 125 AMP COBRE 3 FASES</v>
      </c>
      <c r="B147" s="41" t="s">
        <v>219</v>
      </c>
      <c r="C147" s="41" t="s">
        <v>220</v>
      </c>
      <c r="D147" s="42">
        <v>90</v>
      </c>
      <c r="E147" s="43">
        <v>40812.980000000003</v>
      </c>
      <c r="F147" s="43">
        <v>1979.33</v>
      </c>
      <c r="G147" s="126">
        <f t="shared" si="25"/>
        <v>42792.310000000005</v>
      </c>
      <c r="H147" s="127">
        <f t="shared" si="26"/>
        <v>3673168.2</v>
      </c>
      <c r="I147" s="128">
        <f t="shared" si="27"/>
        <v>178139.69999999998</v>
      </c>
      <c r="J147" s="128">
        <f t="shared" si="28"/>
        <v>3851307.9000000004</v>
      </c>
      <c r="K147" s="44">
        <f t="shared" si="22"/>
        <v>2.4351114771150304E-3</v>
      </c>
      <c r="L147" s="45">
        <v>12102.882899693263</v>
      </c>
      <c r="M147" s="45">
        <v>12989.181644820466</v>
      </c>
      <c r="N147" s="45">
        <f t="shared" si="29"/>
        <v>67884.374544513732</v>
      </c>
      <c r="O147" s="46">
        <f t="shared" si="30"/>
        <v>6109593.7090062359</v>
      </c>
      <c r="P147" s="47">
        <f t="shared" si="23"/>
        <v>109922.39688888889</v>
      </c>
      <c r="Q147" s="46">
        <v>276800</v>
      </c>
      <c r="R147" s="47">
        <f t="shared" si="31"/>
        <v>166877.60311111109</v>
      </c>
      <c r="S147" s="191">
        <f t="shared" si="32"/>
        <v>0.60288151412973656</v>
      </c>
      <c r="T147" s="42">
        <v>9893015.7200000007</v>
      </c>
      <c r="U147" s="48">
        <f t="shared" si="24"/>
        <v>0.61756636013980126</v>
      </c>
      <c r="V147" s="49"/>
    </row>
    <row r="148" spans="1:22" x14ac:dyDescent="0.3">
      <c r="A148" s="40" t="str">
        <f>VLOOKUP(B148,Grupos!$A$2:$B$619,2,FALSE)</f>
        <v>TABLEROS 125 AMP COBRE 3 FASES</v>
      </c>
      <c r="B148" s="41" t="s">
        <v>221</v>
      </c>
      <c r="C148" s="41" t="s">
        <v>222</v>
      </c>
      <c r="D148" s="42">
        <v>240</v>
      </c>
      <c r="E148" s="43">
        <v>40772.43</v>
      </c>
      <c r="F148" s="43">
        <v>1759.01</v>
      </c>
      <c r="G148" s="126">
        <f t="shared" si="25"/>
        <v>42531.44</v>
      </c>
      <c r="H148" s="127">
        <f t="shared" si="26"/>
        <v>9785383.1999999993</v>
      </c>
      <c r="I148" s="128">
        <f t="shared" si="27"/>
        <v>422162.4</v>
      </c>
      <c r="J148" s="128">
        <f t="shared" si="28"/>
        <v>10207545.600000001</v>
      </c>
      <c r="K148" s="44">
        <f t="shared" si="22"/>
        <v>6.4540442076145167E-3</v>
      </c>
      <c r="L148" s="45">
        <v>12029.101440780596</v>
      </c>
      <c r="M148" s="45">
        <v>11543.350732346627</v>
      </c>
      <c r="N148" s="45">
        <f t="shared" si="29"/>
        <v>66103.892173127228</v>
      </c>
      <c r="O148" s="46">
        <f t="shared" si="30"/>
        <v>15864934.121550534</v>
      </c>
      <c r="P148" s="47">
        <f t="shared" si="23"/>
        <v>108039.74791666666</v>
      </c>
      <c r="Q148" s="46">
        <v>273000</v>
      </c>
      <c r="R148" s="47">
        <f t="shared" si="31"/>
        <v>164960.25208333333</v>
      </c>
      <c r="S148" s="191">
        <f t="shared" si="32"/>
        <v>0.60425000763125758</v>
      </c>
      <c r="T148" s="42">
        <v>25929539.5</v>
      </c>
      <c r="U148" s="48">
        <f t="shared" si="24"/>
        <v>0.6118478934633812</v>
      </c>
      <c r="V148" s="49"/>
    </row>
    <row r="149" spans="1:22" x14ac:dyDescent="0.3">
      <c r="A149" s="40" t="str">
        <f>VLOOKUP(B149,Grupos!$A$2:$B$619,2,FALSE)</f>
        <v>TABLEROS 125 AMP COBRE 3 FASES</v>
      </c>
      <c r="B149" s="41" t="s">
        <v>223</v>
      </c>
      <c r="C149" s="41" t="s">
        <v>224</v>
      </c>
      <c r="D149" s="42">
        <v>90</v>
      </c>
      <c r="E149" s="43">
        <v>55138.91</v>
      </c>
      <c r="F149" s="43">
        <v>2175.4499999999998</v>
      </c>
      <c r="G149" s="126">
        <f t="shared" si="25"/>
        <v>57314.36</v>
      </c>
      <c r="H149" s="127">
        <f t="shared" si="26"/>
        <v>4962501.9000000004</v>
      </c>
      <c r="I149" s="128">
        <f t="shared" si="27"/>
        <v>195790.49999999997</v>
      </c>
      <c r="J149" s="128">
        <f t="shared" si="28"/>
        <v>5158292.4000000004</v>
      </c>
      <c r="K149" s="44">
        <f t="shared" si="22"/>
        <v>3.2614938487663461E-3</v>
      </c>
      <c r="L149" s="45">
        <v>16210.131856655167</v>
      </c>
      <c r="M149" s="45">
        <v>14276.202153872615</v>
      </c>
      <c r="N149" s="45">
        <f t="shared" si="29"/>
        <v>87800.694010527775</v>
      </c>
      <c r="O149" s="46">
        <f t="shared" si="30"/>
        <v>7902062.4609474996</v>
      </c>
      <c r="P149" s="47">
        <f t="shared" si="23"/>
        <v>150011.36111111112</v>
      </c>
      <c r="Q149" s="46">
        <v>375550</v>
      </c>
      <c r="R149" s="47">
        <f t="shared" si="31"/>
        <v>225538.63888888888</v>
      </c>
      <c r="S149" s="191">
        <f t="shared" si="32"/>
        <v>0.60055555555555551</v>
      </c>
      <c r="T149" s="42">
        <v>13501022.5</v>
      </c>
      <c r="U149" s="48">
        <f t="shared" si="24"/>
        <v>0.58529362949713626</v>
      </c>
      <c r="V149" s="49"/>
    </row>
    <row r="150" spans="1:22" x14ac:dyDescent="0.3">
      <c r="A150" s="40" t="str">
        <f>VLOOKUP(B150,Grupos!$A$2:$B$619,2,FALSE)</f>
        <v>TABLEROS 175 AMP BIMETALICO</v>
      </c>
      <c r="B150" s="41" t="s">
        <v>225</v>
      </c>
      <c r="C150" s="41" t="s">
        <v>226</v>
      </c>
      <c r="D150" s="42">
        <v>63</v>
      </c>
      <c r="E150" s="43">
        <v>40891.46</v>
      </c>
      <c r="F150" s="192">
        <v>6319.71</v>
      </c>
      <c r="G150" s="126">
        <f t="shared" si="25"/>
        <v>47211.17</v>
      </c>
      <c r="H150" s="127">
        <f t="shared" si="26"/>
        <v>2576161.98</v>
      </c>
      <c r="I150" s="128">
        <f t="shared" si="27"/>
        <v>398141.73</v>
      </c>
      <c r="J150" s="128">
        <f t="shared" si="28"/>
        <v>2974303.71</v>
      </c>
      <c r="K150" s="44">
        <f t="shared" si="22"/>
        <v>1.8805977835858862E-3</v>
      </c>
      <c r="L150" s="45">
        <v>13352.66224392914</v>
      </c>
      <c r="M150" s="45">
        <v>41472.549363970815</v>
      </c>
      <c r="N150" s="45">
        <f t="shared" si="29"/>
        <v>102036.38160789995</v>
      </c>
      <c r="O150" s="46">
        <f t="shared" si="30"/>
        <v>6428292.0412976965</v>
      </c>
      <c r="P150" s="47">
        <f t="shared" si="23"/>
        <v>120643.55142857143</v>
      </c>
      <c r="Q150" s="46">
        <v>306350</v>
      </c>
      <c r="R150" s="47">
        <f t="shared" si="31"/>
        <v>185706.44857142857</v>
      </c>
      <c r="S150" s="191">
        <f t="shared" si="32"/>
        <v>0.60619046375527519</v>
      </c>
      <c r="T150" s="42">
        <v>7600543.7400000002</v>
      </c>
      <c r="U150" s="48">
        <f t="shared" si="24"/>
        <v>0.84576738996540479</v>
      </c>
      <c r="V150" s="49"/>
    </row>
    <row r="151" spans="1:22" x14ac:dyDescent="0.3">
      <c r="A151" s="40" t="str">
        <f>VLOOKUP(B151,Grupos!$A$2:$B$619,2,FALSE)</f>
        <v>TABLEROS 175 AMP BIMETALICO</v>
      </c>
      <c r="B151" s="41" t="s">
        <v>227</v>
      </c>
      <c r="C151" s="41" t="s">
        <v>228</v>
      </c>
      <c r="D151" s="42">
        <v>150</v>
      </c>
      <c r="E151" s="43">
        <v>54850.44</v>
      </c>
      <c r="F151" s="192">
        <v>7019.5</v>
      </c>
      <c r="G151" s="126">
        <f t="shared" si="25"/>
        <v>61869.94</v>
      </c>
      <c r="H151" s="127">
        <f t="shared" si="26"/>
        <v>8227566</v>
      </c>
      <c r="I151" s="128">
        <f t="shared" si="27"/>
        <v>1052925</v>
      </c>
      <c r="J151" s="128">
        <f t="shared" si="28"/>
        <v>9280491</v>
      </c>
      <c r="K151" s="44">
        <f t="shared" si="22"/>
        <v>5.8678845561433149E-3</v>
      </c>
      <c r="L151" s="45">
        <v>17498.579507183604</v>
      </c>
      <c r="M151" s="45">
        <v>46064.860612337143</v>
      </c>
      <c r="N151" s="45">
        <f t="shared" si="29"/>
        <v>125433.38011952075</v>
      </c>
      <c r="O151" s="46">
        <f t="shared" si="30"/>
        <v>18815007.017928112</v>
      </c>
      <c r="P151" s="47">
        <f t="shared" si="23"/>
        <v>196833.94006666669</v>
      </c>
      <c r="Q151" s="46">
        <v>511700</v>
      </c>
      <c r="R151" s="47">
        <f t="shared" si="31"/>
        <v>314866.05993333331</v>
      </c>
      <c r="S151" s="191">
        <f t="shared" si="32"/>
        <v>0.61533332017458142</v>
      </c>
      <c r="T151" s="42">
        <v>29525091.010000002</v>
      </c>
      <c r="U151" s="48">
        <f t="shared" si="24"/>
        <v>0.63725483560933183</v>
      </c>
      <c r="V151" s="49"/>
    </row>
    <row r="152" spans="1:22" x14ac:dyDescent="0.3">
      <c r="A152" s="40" t="str">
        <f>VLOOKUP(B152,Grupos!$A$2:$B$619,2,FALSE)</f>
        <v>TABLEROS 175 AMP BIMETALICO</v>
      </c>
      <c r="B152" s="41" t="s">
        <v>229</v>
      </c>
      <c r="C152" s="41" t="s">
        <v>230</v>
      </c>
      <c r="D152" s="42">
        <v>59</v>
      </c>
      <c r="E152" s="43">
        <v>49897.08</v>
      </c>
      <c r="F152" s="192">
        <v>6824.13</v>
      </c>
      <c r="G152" s="126">
        <f t="shared" si="25"/>
        <v>56721.21</v>
      </c>
      <c r="H152" s="127">
        <f t="shared" si="26"/>
        <v>2943927.72</v>
      </c>
      <c r="I152" s="128">
        <f t="shared" si="27"/>
        <v>402623.67</v>
      </c>
      <c r="J152" s="128">
        <f t="shared" si="28"/>
        <v>3346551.39</v>
      </c>
      <c r="K152" s="44">
        <f t="shared" si="22"/>
        <v>2.1159631767027139E-3</v>
      </c>
      <c r="L152" s="45">
        <v>16042.372158897484</v>
      </c>
      <c r="M152" s="45">
        <v>44782.761913308394</v>
      </c>
      <c r="N152" s="45">
        <f t="shared" si="29"/>
        <v>117546.34407220587</v>
      </c>
      <c r="O152" s="46">
        <f t="shared" si="30"/>
        <v>6935234.3002601461</v>
      </c>
      <c r="P152" s="47">
        <f t="shared" si="23"/>
        <v>150078.03440677965</v>
      </c>
      <c r="Q152" s="46">
        <v>379700</v>
      </c>
      <c r="R152" s="47">
        <f t="shared" si="31"/>
        <v>229621.96559322035</v>
      </c>
      <c r="S152" s="191">
        <f t="shared" si="32"/>
        <v>0.60474576137271618</v>
      </c>
      <c r="T152" s="42">
        <v>8854604.0299999993</v>
      </c>
      <c r="U152" s="48">
        <f t="shared" si="24"/>
        <v>0.78323483204478728</v>
      </c>
      <c r="V152" s="49"/>
    </row>
    <row r="153" spans="1:22" x14ac:dyDescent="0.3">
      <c r="A153" s="40" t="str">
        <f>VLOOKUP(B153,Grupos!$A$2:$B$619,2,FALSE)</f>
        <v>TABLEROS 175 AMP BIMETALICO</v>
      </c>
      <c r="B153" s="41" t="s">
        <v>231</v>
      </c>
      <c r="C153" s="41" t="s">
        <v>232</v>
      </c>
      <c r="D153" s="42">
        <v>54</v>
      </c>
      <c r="E153" s="43">
        <v>64153.43</v>
      </c>
      <c r="F153" s="192">
        <v>7523.99</v>
      </c>
      <c r="G153" s="126">
        <f t="shared" si="25"/>
        <v>71677.42</v>
      </c>
      <c r="H153" s="127">
        <f t="shared" si="26"/>
        <v>3464285.22</v>
      </c>
      <c r="I153" s="128">
        <f t="shared" si="27"/>
        <v>406295.45999999996</v>
      </c>
      <c r="J153" s="128">
        <f t="shared" si="28"/>
        <v>3870580.6799999997</v>
      </c>
      <c r="K153" s="44">
        <f t="shared" si="22"/>
        <v>2.447297303071431E-3</v>
      </c>
      <c r="L153" s="45">
        <v>20272.413917643884</v>
      </c>
      <c r="M153" s="45">
        <v>49375.532530610231</v>
      </c>
      <c r="N153" s="45">
        <f t="shared" si="29"/>
        <v>141325.36644825409</v>
      </c>
      <c r="O153" s="46">
        <f t="shared" si="30"/>
        <v>7631569.7882057205</v>
      </c>
      <c r="P153" s="47">
        <f t="shared" si="23"/>
        <v>242312.75759259259</v>
      </c>
      <c r="Q153" s="46">
        <v>613450</v>
      </c>
      <c r="R153" s="47">
        <f t="shared" si="31"/>
        <v>371137.24240740738</v>
      </c>
      <c r="S153" s="191">
        <f t="shared" si="32"/>
        <v>0.60499998762312723</v>
      </c>
      <c r="T153" s="42">
        <v>13084888.91</v>
      </c>
      <c r="U153" s="48">
        <f t="shared" si="24"/>
        <v>0.58323535191600806</v>
      </c>
      <c r="V153" s="49"/>
    </row>
    <row r="154" spans="1:22" x14ac:dyDescent="0.3">
      <c r="A154" s="40" t="str">
        <f>VLOOKUP(B154,Grupos!$A$2:$B$619,2,FALSE)</f>
        <v>TABLEROS 175 AMP BIMETALICO</v>
      </c>
      <c r="B154" s="41" t="s">
        <v>233</v>
      </c>
      <c r="C154" s="41" t="s">
        <v>234</v>
      </c>
      <c r="D154" s="42">
        <v>97</v>
      </c>
      <c r="E154" s="43">
        <v>58255.02</v>
      </c>
      <c r="F154" s="192">
        <v>6733.26</v>
      </c>
      <c r="G154" s="126">
        <f t="shared" si="25"/>
        <v>64988.28</v>
      </c>
      <c r="H154" s="127">
        <f t="shared" si="26"/>
        <v>5650736.9399999995</v>
      </c>
      <c r="I154" s="128">
        <f t="shared" si="27"/>
        <v>653126.22</v>
      </c>
      <c r="J154" s="128">
        <f t="shared" si="28"/>
        <v>6303863.1600000001</v>
      </c>
      <c r="K154" s="44">
        <f t="shared" si="22"/>
        <v>3.9858172677075809E-3</v>
      </c>
      <c r="L154" s="45">
        <v>18380.534789836714</v>
      </c>
      <c r="M154" s="45">
        <v>44186.43541087331</v>
      </c>
      <c r="N154" s="45">
        <f t="shared" si="29"/>
        <v>127555.25020071003</v>
      </c>
      <c r="O154" s="46">
        <f t="shared" si="30"/>
        <v>12372859.269468872</v>
      </c>
      <c r="P154" s="47">
        <f t="shared" si="23"/>
        <v>180705.61030927833</v>
      </c>
      <c r="Q154" s="46">
        <v>453400</v>
      </c>
      <c r="R154" s="47">
        <f t="shared" si="31"/>
        <v>272694.38969072164</v>
      </c>
      <c r="S154" s="191">
        <f t="shared" si="32"/>
        <v>0.60144329442152988</v>
      </c>
      <c r="T154" s="42">
        <v>17528444.199999999</v>
      </c>
      <c r="U154" s="48">
        <f t="shared" si="24"/>
        <v>0.7058732154602102</v>
      </c>
      <c r="V154" s="49"/>
    </row>
    <row r="155" spans="1:22" x14ac:dyDescent="0.3">
      <c r="A155" s="40" t="str">
        <f>VLOOKUP(B155,Grupos!$A$2:$B$619,2,FALSE)</f>
        <v>TABLEROS 175 AMP BIMETALICO</v>
      </c>
      <c r="B155" s="41" t="s">
        <v>235</v>
      </c>
      <c r="C155" s="41" t="s">
        <v>236</v>
      </c>
      <c r="D155" s="42">
        <v>79</v>
      </c>
      <c r="E155" s="43">
        <v>63662.01</v>
      </c>
      <c r="F155" s="192">
        <v>7772.76</v>
      </c>
      <c r="G155" s="126">
        <f t="shared" si="25"/>
        <v>71434.77</v>
      </c>
      <c r="H155" s="127">
        <f t="shared" si="26"/>
        <v>5029298.79</v>
      </c>
      <c r="I155" s="128">
        <f t="shared" si="27"/>
        <v>614048.04</v>
      </c>
      <c r="J155" s="128">
        <f t="shared" si="28"/>
        <v>5643346.8300000001</v>
      </c>
      <c r="K155" s="44">
        <f t="shared" si="22"/>
        <v>3.5681848846916974E-3</v>
      </c>
      <c r="L155" s="45">
        <v>20203.78559317132</v>
      </c>
      <c r="M155" s="45">
        <v>51008.064103305027</v>
      </c>
      <c r="N155" s="45">
        <f t="shared" si="29"/>
        <v>142646.61969647635</v>
      </c>
      <c r="O155" s="46">
        <f t="shared" si="30"/>
        <v>11269082.956021631</v>
      </c>
      <c r="P155" s="47">
        <f t="shared" si="23"/>
        <v>278450.29265822785</v>
      </c>
      <c r="Q155" s="46">
        <v>716300</v>
      </c>
      <c r="R155" s="47">
        <f t="shared" si="31"/>
        <v>437849.70734177215</v>
      </c>
      <c r="S155" s="191">
        <f t="shared" si="32"/>
        <v>0.61126582066420798</v>
      </c>
      <c r="T155" s="42">
        <v>21997573.120000001</v>
      </c>
      <c r="U155" s="48">
        <f t="shared" si="24"/>
        <v>0.51228755529290093</v>
      </c>
      <c r="V155" s="49"/>
    </row>
    <row r="156" spans="1:22" x14ac:dyDescent="0.3">
      <c r="A156" s="40" t="str">
        <f>VLOOKUP(B156,Grupos!$A$2:$B$619,2,FALSE)</f>
        <v>TABLEROS 175 AMP BIMETALICO</v>
      </c>
      <c r="B156" s="41" t="s">
        <v>237</v>
      </c>
      <c r="C156" s="41" t="s">
        <v>238</v>
      </c>
      <c r="D156" s="42">
        <v>19</v>
      </c>
      <c r="E156" s="43">
        <v>59420.81</v>
      </c>
      <c r="F156" s="192">
        <v>11113.38</v>
      </c>
      <c r="G156" s="126">
        <f t="shared" si="25"/>
        <v>70534.19</v>
      </c>
      <c r="H156" s="127">
        <f t="shared" si="26"/>
        <v>1128995.3899999999</v>
      </c>
      <c r="I156" s="128">
        <f t="shared" si="27"/>
        <v>211154.21999999997</v>
      </c>
      <c r="J156" s="128">
        <f t="shared" si="28"/>
        <v>1340149.6100000001</v>
      </c>
      <c r="K156" s="44">
        <f t="shared" si="22"/>
        <v>8.4735206353203586E-4</v>
      </c>
      <c r="L156" s="45">
        <v>19949.07594366173</v>
      </c>
      <c r="M156" s="45">
        <v>72930.593437130185</v>
      </c>
      <c r="N156" s="45">
        <f t="shared" si="29"/>
        <v>163413.85938079192</v>
      </c>
      <c r="O156" s="46">
        <f t="shared" si="30"/>
        <v>3104863.3282350465</v>
      </c>
      <c r="P156" s="47">
        <f t="shared" si="23"/>
        <v>171113.68263157897</v>
      </c>
      <c r="Q156" s="46">
        <v>451550</v>
      </c>
      <c r="R156" s="47">
        <f t="shared" si="31"/>
        <v>280436.31736842101</v>
      </c>
      <c r="S156" s="191">
        <f t="shared" si="32"/>
        <v>0.62105263507567487</v>
      </c>
      <c r="T156" s="42">
        <v>3251159.97</v>
      </c>
      <c r="U156" s="48">
        <f t="shared" si="24"/>
        <v>0.95500170920074601</v>
      </c>
      <c r="V156" s="49"/>
    </row>
    <row r="157" spans="1:22" x14ac:dyDescent="0.3">
      <c r="A157" s="40" t="str">
        <f>VLOOKUP(B157,Grupos!$A$2:$B$619,2,FALSE)</f>
        <v>TABLEROS 175 AMP BIMETALICO</v>
      </c>
      <c r="B157" s="41" t="s">
        <v>239</v>
      </c>
      <c r="C157" s="41" t="s">
        <v>240</v>
      </c>
      <c r="D157" s="42">
        <v>11</v>
      </c>
      <c r="E157" s="43">
        <v>74333.16</v>
      </c>
      <c r="F157" s="192">
        <v>11694.84</v>
      </c>
      <c r="G157" s="126">
        <f t="shared" si="25"/>
        <v>86028</v>
      </c>
      <c r="H157" s="127">
        <f t="shared" si="26"/>
        <v>817664.76</v>
      </c>
      <c r="I157" s="128">
        <f t="shared" si="27"/>
        <v>128643.24</v>
      </c>
      <c r="J157" s="128">
        <f t="shared" si="28"/>
        <v>946308</v>
      </c>
      <c r="K157" s="44">
        <f t="shared" si="22"/>
        <v>5.9833322380840285E-4</v>
      </c>
      <c r="L157" s="45">
        <v>24331.166279521058</v>
      </c>
      <c r="M157" s="45">
        <v>76746.374312071363</v>
      </c>
      <c r="N157" s="45">
        <f t="shared" si="29"/>
        <v>187105.54059159243</v>
      </c>
      <c r="O157" s="46">
        <f t="shared" si="30"/>
        <v>2058160.9465075168</v>
      </c>
      <c r="P157" s="47">
        <f t="shared" si="23"/>
        <v>347553.00909090909</v>
      </c>
      <c r="Q157" s="46">
        <v>941800</v>
      </c>
      <c r="R157" s="47">
        <f t="shared" si="31"/>
        <v>594246.99090909096</v>
      </c>
      <c r="S157" s="191">
        <f t="shared" si="32"/>
        <v>0.63096941060638245</v>
      </c>
      <c r="T157" s="42">
        <v>3823083.1</v>
      </c>
      <c r="U157" s="48">
        <f t="shared" si="24"/>
        <v>0.53835108802827669</v>
      </c>
      <c r="V157" s="49"/>
    </row>
    <row r="158" spans="1:22" x14ac:dyDescent="0.3">
      <c r="A158" s="40" t="str">
        <f>VLOOKUP(B158,Grupos!$A$2:$B$619,2,FALSE)</f>
        <v>TABLEROS 175 AMP BIMETALICO</v>
      </c>
      <c r="B158" s="41" t="s">
        <v>241</v>
      </c>
      <c r="C158" s="41" t="s">
        <v>242</v>
      </c>
      <c r="D158" s="42">
        <v>29</v>
      </c>
      <c r="E158" s="43">
        <v>76519.41</v>
      </c>
      <c r="F158" s="192">
        <v>7722.66</v>
      </c>
      <c r="G158" s="126">
        <f t="shared" si="25"/>
        <v>84242.07</v>
      </c>
      <c r="H158" s="127">
        <f t="shared" si="26"/>
        <v>2219062.89</v>
      </c>
      <c r="I158" s="128">
        <f t="shared" si="27"/>
        <v>223957.13999999998</v>
      </c>
      <c r="J158" s="128">
        <f t="shared" si="28"/>
        <v>2443020.0300000003</v>
      </c>
      <c r="K158" s="44">
        <f t="shared" si="22"/>
        <v>1.5446768392303576E-3</v>
      </c>
      <c r="L158" s="45">
        <v>23826.054457863171</v>
      </c>
      <c r="M158" s="45">
        <v>50679.28719374194</v>
      </c>
      <c r="N158" s="45">
        <f t="shared" si="29"/>
        <v>158747.4116516051</v>
      </c>
      <c r="O158" s="46">
        <f t="shared" si="30"/>
        <v>4603674.9378965478</v>
      </c>
      <c r="P158" s="47">
        <f t="shared" si="23"/>
        <v>258067.97793103449</v>
      </c>
      <c r="Q158" s="46">
        <v>641300</v>
      </c>
      <c r="R158" s="47">
        <f t="shared" si="31"/>
        <v>383232.02206896548</v>
      </c>
      <c r="S158" s="191">
        <f t="shared" si="32"/>
        <v>0.59758618753931936</v>
      </c>
      <c r="T158" s="42">
        <v>7483971.3600000003</v>
      </c>
      <c r="U158" s="48">
        <f t="shared" si="24"/>
        <v>0.61513796839229851</v>
      </c>
      <c r="V158" s="49"/>
    </row>
    <row r="159" spans="1:22" x14ac:dyDescent="0.3">
      <c r="A159" s="40" t="str">
        <f>VLOOKUP(B159,Grupos!$A$2:$B$619,2,FALSE)</f>
        <v>TABLEROS 175 AMP BIMETALICO</v>
      </c>
      <c r="B159" s="41" t="s">
        <v>243</v>
      </c>
      <c r="C159" s="41" t="s">
        <v>244</v>
      </c>
      <c r="D159" s="42">
        <v>45</v>
      </c>
      <c r="E159" s="43">
        <v>91203.06</v>
      </c>
      <c r="F159" s="192">
        <v>8673.58</v>
      </c>
      <c r="G159" s="126">
        <f t="shared" si="25"/>
        <v>99876.64</v>
      </c>
      <c r="H159" s="127">
        <f t="shared" si="26"/>
        <v>4104137.6999999997</v>
      </c>
      <c r="I159" s="128">
        <f t="shared" si="27"/>
        <v>390311.1</v>
      </c>
      <c r="J159" s="128">
        <f t="shared" si="28"/>
        <v>4494448.8</v>
      </c>
      <c r="K159" s="44">
        <f t="shared" si="22"/>
        <v>2.8417576938436612E-3</v>
      </c>
      <c r="L159" s="45">
        <v>28247.955726971031</v>
      </c>
      <c r="M159" s="45">
        <v>56919.617310343354</v>
      </c>
      <c r="N159" s="45">
        <f t="shared" si="29"/>
        <v>185044.21303731439</v>
      </c>
      <c r="O159" s="46">
        <f t="shared" si="30"/>
        <v>8326989.5866791476</v>
      </c>
      <c r="P159" s="47">
        <f t="shared" si="23"/>
        <v>371906.35822222219</v>
      </c>
      <c r="Q159" s="46">
        <v>923450</v>
      </c>
      <c r="R159" s="47">
        <f t="shared" si="31"/>
        <v>551543.64177777781</v>
      </c>
      <c r="S159" s="191">
        <f t="shared" si="32"/>
        <v>0.597264217637964</v>
      </c>
      <c r="T159" s="42">
        <v>16735786.119999999</v>
      </c>
      <c r="U159" s="48">
        <f t="shared" si="24"/>
        <v>0.49755592757773293</v>
      </c>
      <c r="V159" s="49"/>
    </row>
    <row r="160" spans="1:22" x14ac:dyDescent="0.3">
      <c r="A160" s="40" t="str">
        <f>VLOOKUP(B160,Grupos!$A$2:$B$619,2,FALSE)</f>
        <v>TABLEROS 175 AMP BIMETALICO</v>
      </c>
      <c r="B160" s="41" t="s">
        <v>647</v>
      </c>
      <c r="C160" s="41" t="s">
        <v>648</v>
      </c>
      <c r="D160" s="42">
        <v>6</v>
      </c>
      <c r="E160" s="43">
        <v>65667.759999999995</v>
      </c>
      <c r="F160" s="192">
        <v>6260.94</v>
      </c>
      <c r="G160" s="126">
        <f t="shared" si="25"/>
        <v>71928.7</v>
      </c>
      <c r="H160" s="127">
        <f t="shared" si="26"/>
        <v>394006.55999999994</v>
      </c>
      <c r="I160" s="128">
        <f t="shared" si="27"/>
        <v>37565.64</v>
      </c>
      <c r="J160" s="128">
        <f t="shared" si="28"/>
        <v>431572.19999999995</v>
      </c>
      <c r="K160" s="44">
        <f t="shared" si="22"/>
        <v>2.7287520102554848E-4</v>
      </c>
      <c r="L160" s="45">
        <v>20343.483051678359</v>
      </c>
      <c r="M160" s="45">
        <v>41086.876330537227</v>
      </c>
      <c r="N160" s="45">
        <f t="shared" si="29"/>
        <v>133359.05938221558</v>
      </c>
      <c r="O160" s="46">
        <f t="shared" si="30"/>
        <v>800154.35629329341</v>
      </c>
      <c r="P160" s="47">
        <f t="shared" si="23"/>
        <v>335276.32500000001</v>
      </c>
      <c r="Q160" s="46">
        <v>824450</v>
      </c>
      <c r="R160" s="47">
        <f t="shared" si="31"/>
        <v>489173.67499999999</v>
      </c>
      <c r="S160" s="191">
        <f t="shared" si="32"/>
        <v>0.59333334344108191</v>
      </c>
      <c r="T160" s="42">
        <v>2011657.95</v>
      </c>
      <c r="U160" s="48">
        <f t="shared" si="24"/>
        <v>0.39775865290284235</v>
      </c>
      <c r="V160" s="49"/>
    </row>
    <row r="161" spans="1:22" x14ac:dyDescent="0.3">
      <c r="A161" s="40" t="str">
        <f>VLOOKUP(B161,Grupos!$A$2:$B$619,2,FALSE)</f>
        <v>TABLEROS 225 AMP COBRE</v>
      </c>
      <c r="B161" s="41" t="s">
        <v>247</v>
      </c>
      <c r="C161" s="41" t="s">
        <v>248</v>
      </c>
      <c r="D161" s="42">
        <v>83</v>
      </c>
      <c r="E161" s="43">
        <v>71237.61</v>
      </c>
      <c r="F161" s="192">
        <v>2824.89</v>
      </c>
      <c r="G161" s="126">
        <f t="shared" si="25"/>
        <v>74062.5</v>
      </c>
      <c r="H161" s="127">
        <f t="shared" si="26"/>
        <v>5912721.6299999999</v>
      </c>
      <c r="I161" s="128">
        <f t="shared" si="27"/>
        <v>234465.87</v>
      </c>
      <c r="J161" s="128">
        <f t="shared" si="28"/>
        <v>6147187.5</v>
      </c>
      <c r="K161" s="44">
        <f t="shared" si="22"/>
        <v>3.8867541162388103E-3</v>
      </c>
      <c r="L161" s="45">
        <v>20946.982407786167</v>
      </c>
      <c r="M161" s="45">
        <v>18538.09588933472</v>
      </c>
      <c r="N161" s="45">
        <f t="shared" si="29"/>
        <v>113547.5782971209</v>
      </c>
      <c r="O161" s="46">
        <f t="shared" si="30"/>
        <v>9424448.9986610338</v>
      </c>
      <c r="P161" s="47">
        <f t="shared" si="23"/>
        <v>231496.08542168676</v>
      </c>
      <c r="Q161" s="46">
        <v>588850</v>
      </c>
      <c r="R161" s="47">
        <f t="shared" si="31"/>
        <v>357353.91457831324</v>
      </c>
      <c r="S161" s="191">
        <f t="shared" si="32"/>
        <v>0.60686747826834209</v>
      </c>
      <c r="T161" s="42">
        <v>19214175.09</v>
      </c>
      <c r="U161" s="48">
        <f t="shared" si="24"/>
        <v>0.49049459341952079</v>
      </c>
      <c r="V161" s="49"/>
    </row>
    <row r="162" spans="1:22" x14ac:dyDescent="0.3">
      <c r="A162" s="40" t="str">
        <f>VLOOKUP(B162,Grupos!$A$2:$B$619,2,FALSE)</f>
        <v>TABLEROS 225 AMP COBRE</v>
      </c>
      <c r="B162" s="41" t="s">
        <v>249</v>
      </c>
      <c r="C162" s="41" t="s">
        <v>250</v>
      </c>
      <c r="D162" s="42">
        <v>120</v>
      </c>
      <c r="E162" s="43">
        <v>72361.87</v>
      </c>
      <c r="F162" s="192">
        <v>7005.76</v>
      </c>
      <c r="G162" s="126">
        <f t="shared" si="25"/>
        <v>79367.62999999999</v>
      </c>
      <c r="H162" s="127">
        <f t="shared" si="26"/>
        <v>8683424.3999999985</v>
      </c>
      <c r="I162" s="128">
        <f t="shared" si="27"/>
        <v>840691.20000000007</v>
      </c>
      <c r="J162" s="128">
        <f t="shared" si="28"/>
        <v>9524115.5999999996</v>
      </c>
      <c r="K162" s="44">
        <f t="shared" si="22"/>
        <v>6.021923930551047E-3</v>
      </c>
      <c r="L162" s="45">
        <v>22447.42412634844</v>
      </c>
      <c r="M162" s="45">
        <v>45974.693052708462</v>
      </c>
      <c r="N162" s="45">
        <f t="shared" si="29"/>
        <v>147789.7471790569</v>
      </c>
      <c r="O162" s="46">
        <f t="shared" si="30"/>
        <v>17734769.661486827</v>
      </c>
      <c r="P162" s="47">
        <f t="shared" si="23"/>
        <v>219874.52174999999</v>
      </c>
      <c r="Q162" s="46">
        <v>571350</v>
      </c>
      <c r="R162" s="47">
        <f t="shared" si="31"/>
        <v>351475.47825000004</v>
      </c>
      <c r="S162" s="191">
        <f t="shared" si="32"/>
        <v>0.61516667235494893</v>
      </c>
      <c r="T162" s="42">
        <v>26384942.609999999</v>
      </c>
      <c r="U162" s="48">
        <f t="shared" si="24"/>
        <v>0.67215494547883825</v>
      </c>
      <c r="V162" s="49"/>
    </row>
    <row r="163" spans="1:22" x14ac:dyDescent="0.3">
      <c r="A163" s="40" t="str">
        <f>VLOOKUP(B163,Grupos!$A$2:$B$619,2,FALSE)</f>
        <v>TABLEROS 225 AMP COBRE</v>
      </c>
      <c r="B163" s="41" t="s">
        <v>251</v>
      </c>
      <c r="C163" s="41" t="s">
        <v>252</v>
      </c>
      <c r="D163" s="42">
        <v>17</v>
      </c>
      <c r="E163" s="43">
        <v>74286.210000000006</v>
      </c>
      <c r="F163" s="192">
        <v>2151.94</v>
      </c>
      <c r="G163" s="126">
        <f t="shared" si="25"/>
        <v>76438.150000000009</v>
      </c>
      <c r="H163" s="127">
        <f t="shared" si="26"/>
        <v>1262865.57</v>
      </c>
      <c r="I163" s="128">
        <f t="shared" si="27"/>
        <v>36582.980000000003</v>
      </c>
      <c r="J163" s="128">
        <f t="shared" si="28"/>
        <v>1299448.55</v>
      </c>
      <c r="K163" s="44">
        <f t="shared" si="22"/>
        <v>8.2161752843118159E-4</v>
      </c>
      <c r="L163" s="45">
        <v>21618.883825602974</v>
      </c>
      <c r="M163" s="45">
        <v>14121.919815672454</v>
      </c>
      <c r="N163" s="45">
        <f t="shared" si="29"/>
        <v>112178.95364127544</v>
      </c>
      <c r="O163" s="46">
        <f t="shared" si="30"/>
        <v>1907042.2119016824</v>
      </c>
      <c r="P163" s="47">
        <f t="shared" si="23"/>
        <v>177262</v>
      </c>
      <c r="Q163" s="46">
        <v>447100</v>
      </c>
      <c r="R163" s="47">
        <f t="shared" si="31"/>
        <v>269838</v>
      </c>
      <c r="S163" s="191">
        <f t="shared" si="32"/>
        <v>0.60352941176470587</v>
      </c>
      <c r="T163" s="42">
        <v>3013454</v>
      </c>
      <c r="U163" s="152">
        <f t="shared" si="24"/>
        <v>0.63284264896749132</v>
      </c>
      <c r="V163" s="49"/>
    </row>
    <row r="164" spans="1:22" x14ac:dyDescent="0.3">
      <c r="A164" s="40" t="str">
        <f>VLOOKUP(B164,Grupos!$A$2:$B$619,2,FALSE)</f>
        <v>TABLEROS 225 AMP COBRE</v>
      </c>
      <c r="B164" s="41" t="s">
        <v>253</v>
      </c>
      <c r="C164" s="41" t="s">
        <v>254</v>
      </c>
      <c r="D164" s="42">
        <v>5</v>
      </c>
      <c r="E164" s="43">
        <v>75188.23</v>
      </c>
      <c r="F164" s="192">
        <v>6485.47</v>
      </c>
      <c r="G164" s="126">
        <f t="shared" si="25"/>
        <v>81673.7</v>
      </c>
      <c r="H164" s="127">
        <f t="shared" si="26"/>
        <v>375941.14999999997</v>
      </c>
      <c r="I164" s="128">
        <f t="shared" si="27"/>
        <v>32427.350000000002</v>
      </c>
      <c r="J164" s="128">
        <f t="shared" si="28"/>
        <v>408368.5</v>
      </c>
      <c r="K164" s="44">
        <f t="shared" si="22"/>
        <v>2.5820392631870569E-4</v>
      </c>
      <c r="L164" s="45">
        <v>23099.646340304542</v>
      </c>
      <c r="M164" s="45">
        <v>42560.335003275752</v>
      </c>
      <c r="N164" s="45">
        <f t="shared" si="29"/>
        <v>147333.68134358028</v>
      </c>
      <c r="O164" s="46">
        <f t="shared" si="30"/>
        <v>736668.40671790135</v>
      </c>
      <c r="P164" s="47">
        <f t="shared" si="23"/>
        <v>164767.99799999999</v>
      </c>
      <c r="Q164" s="46">
        <v>433600</v>
      </c>
      <c r="R164" s="47">
        <f t="shared" si="31"/>
        <v>268832.00199999998</v>
      </c>
      <c r="S164" s="191">
        <f t="shared" si="32"/>
        <v>0.62000000461254612</v>
      </c>
      <c r="T164" s="42">
        <v>823839.99</v>
      </c>
      <c r="U164" s="152">
        <f t="shared" si="24"/>
        <v>0.89418869642137833</v>
      </c>
      <c r="V164" s="49"/>
    </row>
    <row r="165" spans="1:22" x14ac:dyDescent="0.3">
      <c r="A165" s="40" t="str">
        <f>VLOOKUP(B165,Grupos!$A$2:$B$619,2,FALSE)</f>
        <v>TABLEROS 225 AMP COBRE</v>
      </c>
      <c r="B165" s="41" t="s">
        <v>255</v>
      </c>
      <c r="C165" s="41" t="s">
        <v>256</v>
      </c>
      <c r="D165" s="42">
        <v>52</v>
      </c>
      <c r="E165" s="43">
        <v>88227.96</v>
      </c>
      <c r="F165" s="192">
        <v>3428.16</v>
      </c>
      <c r="G165" s="126">
        <f t="shared" si="25"/>
        <v>91656.12000000001</v>
      </c>
      <c r="H165" s="127">
        <f t="shared" si="26"/>
        <v>4587853.92</v>
      </c>
      <c r="I165" s="128">
        <f t="shared" si="27"/>
        <v>178264.32000000001</v>
      </c>
      <c r="J165" s="128">
        <f t="shared" si="28"/>
        <v>4766118.24</v>
      </c>
      <c r="K165" s="44">
        <f t="shared" si="22"/>
        <v>3.0135293071507701E-3</v>
      </c>
      <c r="L165" s="45">
        <v>25922.958760586502</v>
      </c>
      <c r="M165" s="45">
        <v>22497.002999756347</v>
      </c>
      <c r="N165" s="45">
        <f t="shared" si="29"/>
        <v>140076.08176034284</v>
      </c>
      <c r="O165" s="46">
        <f t="shared" si="30"/>
        <v>7283956.2515378278</v>
      </c>
      <c r="P165" s="47">
        <f t="shared" si="23"/>
        <v>275243.70653846156</v>
      </c>
      <c r="Q165" s="46">
        <v>716350</v>
      </c>
      <c r="R165" s="47">
        <f t="shared" si="31"/>
        <v>441106.29346153844</v>
      </c>
      <c r="S165" s="191">
        <f t="shared" si="32"/>
        <v>0.61576923774905901</v>
      </c>
      <c r="T165" s="42">
        <v>14312672.74</v>
      </c>
      <c r="U165" s="48">
        <f t="shared" si="24"/>
        <v>0.50891656533032892</v>
      </c>
      <c r="V165" s="49"/>
    </row>
    <row r="166" spans="1:22" x14ac:dyDescent="0.3">
      <c r="A166" s="40" t="str">
        <f>VLOOKUP(B166,Grupos!$A$2:$B$619,2,FALSE)</f>
        <v>TABLEROS 225 AMP COBRE</v>
      </c>
      <c r="B166" s="41" t="s">
        <v>257</v>
      </c>
      <c r="C166" s="41" t="s">
        <v>258</v>
      </c>
      <c r="D166" s="42">
        <v>84</v>
      </c>
      <c r="E166" s="43">
        <v>89418.63</v>
      </c>
      <c r="F166" s="192">
        <v>7164.73</v>
      </c>
      <c r="G166" s="126">
        <f t="shared" si="25"/>
        <v>96583.360000000001</v>
      </c>
      <c r="H166" s="127">
        <f t="shared" si="26"/>
        <v>7511164.9199999999</v>
      </c>
      <c r="I166" s="128">
        <f t="shared" si="27"/>
        <v>601837.31999999995</v>
      </c>
      <c r="J166" s="128">
        <f t="shared" si="28"/>
        <v>8113002.2400000002</v>
      </c>
      <c r="K166" s="44">
        <f t="shared" si="22"/>
        <v>5.1297027870672056E-3</v>
      </c>
      <c r="L166" s="45">
        <v>27316.522434496244</v>
      </c>
      <c r="M166" s="45">
        <v>47017.919905268216</v>
      </c>
      <c r="N166" s="45">
        <f t="shared" si="29"/>
        <v>170917.80233976446</v>
      </c>
      <c r="O166" s="46">
        <f t="shared" si="30"/>
        <v>14357095.396540215</v>
      </c>
      <c r="P166" s="47">
        <f t="shared" si="23"/>
        <v>277649.07130952377</v>
      </c>
      <c r="Q166" s="46">
        <v>694950</v>
      </c>
      <c r="R166" s="47">
        <f t="shared" si="31"/>
        <v>417300.92869047623</v>
      </c>
      <c r="S166" s="191">
        <f t="shared" si="32"/>
        <v>0.60047619064749436</v>
      </c>
      <c r="T166" s="42">
        <v>23322521.989999998</v>
      </c>
      <c r="U166" s="152">
        <f t="shared" si="24"/>
        <v>0.61558931760021962</v>
      </c>
      <c r="V166" s="49"/>
    </row>
    <row r="167" spans="1:22" x14ac:dyDescent="0.3">
      <c r="A167" s="40" t="str">
        <f>VLOOKUP(B167,Grupos!$A$2:$B$619,2,FALSE)</f>
        <v>TABLEROS 225 AMP COBRE</v>
      </c>
      <c r="B167" s="41" t="s">
        <v>259</v>
      </c>
      <c r="C167" s="41" t="s">
        <v>260</v>
      </c>
      <c r="D167" s="42">
        <v>101</v>
      </c>
      <c r="E167" s="43">
        <v>90103.98</v>
      </c>
      <c r="F167" s="192">
        <v>2457.17</v>
      </c>
      <c r="G167" s="126">
        <f t="shared" si="25"/>
        <v>92561.15</v>
      </c>
      <c r="H167" s="127">
        <f t="shared" si="26"/>
        <v>9100501.9800000004</v>
      </c>
      <c r="I167" s="128">
        <f t="shared" si="27"/>
        <v>248174.17</v>
      </c>
      <c r="J167" s="128">
        <f t="shared" si="28"/>
        <v>9348676.1499999985</v>
      </c>
      <c r="K167" s="44">
        <f t="shared" si="22"/>
        <v>5.910996778184509E-3</v>
      </c>
      <c r="L167" s="45">
        <v>26178.92699671839</v>
      </c>
      <c r="M167" s="45">
        <v>16124.965246928763</v>
      </c>
      <c r="N167" s="45">
        <f t="shared" si="29"/>
        <v>134865.04224364716</v>
      </c>
      <c r="O167" s="46">
        <f t="shared" si="30"/>
        <v>13621369.266608363</v>
      </c>
      <c r="P167" s="47">
        <f t="shared" si="23"/>
        <v>215929.52346534654</v>
      </c>
      <c r="Q167" s="46">
        <v>541750</v>
      </c>
      <c r="R167" s="47">
        <f t="shared" si="31"/>
        <v>325820.47653465346</v>
      </c>
      <c r="S167" s="191">
        <f t="shared" si="32"/>
        <v>0.60142219941791131</v>
      </c>
      <c r="T167" s="42">
        <v>21808881.870000001</v>
      </c>
      <c r="U167" s="152">
        <f t="shared" si="24"/>
        <v>0.62457898336116591</v>
      </c>
      <c r="V167" s="49"/>
    </row>
    <row r="168" spans="1:22" x14ac:dyDescent="0.3">
      <c r="A168" s="40" t="str">
        <f>VLOOKUP(B168,Grupos!$A$2:$B$619,2,FALSE)</f>
        <v>TABLEROS 225 AMP COBRE</v>
      </c>
      <c r="B168" s="41" t="s">
        <v>261</v>
      </c>
      <c r="C168" s="41" t="s">
        <v>262</v>
      </c>
      <c r="D168" s="42">
        <v>134</v>
      </c>
      <c r="E168" s="43">
        <v>91072.39</v>
      </c>
      <c r="F168" s="192">
        <v>6673.61</v>
      </c>
      <c r="G168" s="126">
        <f t="shared" si="25"/>
        <v>97746</v>
      </c>
      <c r="H168" s="127">
        <f t="shared" si="26"/>
        <v>12203700.26</v>
      </c>
      <c r="I168" s="128">
        <f t="shared" si="27"/>
        <v>894263.74</v>
      </c>
      <c r="J168" s="128">
        <f t="shared" si="28"/>
        <v>13097964</v>
      </c>
      <c r="K168" s="44">
        <f t="shared" si="22"/>
        <v>8.2816028454228471E-3</v>
      </c>
      <c r="L168" s="45">
        <v>27645.350108779297</v>
      </c>
      <c r="M168" s="45">
        <v>43794.987453678928</v>
      </c>
      <c r="N168" s="45">
        <f t="shared" si="29"/>
        <v>169186.33756245824</v>
      </c>
      <c r="O168" s="46">
        <f t="shared" si="30"/>
        <v>22670969.233369403</v>
      </c>
      <c r="P168" s="47">
        <f t="shared" si="23"/>
        <v>207543.72738805969</v>
      </c>
      <c r="Q168" s="46">
        <v>523745</v>
      </c>
      <c r="R168" s="47">
        <f t="shared" si="31"/>
        <v>316201.27261194028</v>
      </c>
      <c r="S168" s="191">
        <f t="shared" si="32"/>
        <v>0.60373134371104309</v>
      </c>
      <c r="T168" s="42">
        <v>27810859.469999999</v>
      </c>
      <c r="U168" s="48">
        <f t="shared" si="24"/>
        <v>0.81518405635125823</v>
      </c>
      <c r="V168" s="49"/>
    </row>
    <row r="169" spans="1:22" x14ac:dyDescent="0.3">
      <c r="A169" s="40" t="str">
        <f>VLOOKUP(B169,Grupos!$A$2:$B$619,2,FALSE)</f>
        <v>TABLEROS 225 AMP COBRE</v>
      </c>
      <c r="B169" s="41" t="s">
        <v>263</v>
      </c>
      <c r="C169" s="41" t="s">
        <v>264</v>
      </c>
      <c r="D169" s="42">
        <v>42</v>
      </c>
      <c r="E169" s="43">
        <v>95392.05</v>
      </c>
      <c r="F169" s="192">
        <v>2988.43</v>
      </c>
      <c r="G169" s="126">
        <f t="shared" si="25"/>
        <v>98380.479999999996</v>
      </c>
      <c r="H169" s="127">
        <f t="shared" si="26"/>
        <v>4006466.1</v>
      </c>
      <c r="I169" s="128">
        <f t="shared" si="27"/>
        <v>125514.06</v>
      </c>
      <c r="J169" s="128">
        <f t="shared" si="28"/>
        <v>4131980.1599999997</v>
      </c>
      <c r="K169" s="44">
        <f t="shared" si="22"/>
        <v>2.6125754086884609E-3</v>
      </c>
      <c r="L169" s="45">
        <v>27824.799106559443</v>
      </c>
      <c r="M169" s="45">
        <v>19611.312970970394</v>
      </c>
      <c r="N169" s="45">
        <f t="shared" si="29"/>
        <v>145816.59207752981</v>
      </c>
      <c r="O169" s="46">
        <f t="shared" si="30"/>
        <v>6124296.8672562521</v>
      </c>
      <c r="P169" s="47">
        <f t="shared" si="23"/>
        <v>316723.41785714286</v>
      </c>
      <c r="Q169" s="46">
        <v>824450</v>
      </c>
      <c r="R169" s="47">
        <f t="shared" si="31"/>
        <v>507726.58214285714</v>
      </c>
      <c r="S169" s="191">
        <f t="shared" si="32"/>
        <v>0.61583671798515027</v>
      </c>
      <c r="T169" s="42">
        <v>13302383.550000001</v>
      </c>
      <c r="U169" s="48">
        <f t="shared" si="24"/>
        <v>0.46039094003241637</v>
      </c>
      <c r="V169" s="49"/>
    </row>
    <row r="170" spans="1:22" x14ac:dyDescent="0.3">
      <c r="A170" s="40" t="str">
        <f>VLOOKUP(B170,Grupos!$A$2:$B$619,2,FALSE)</f>
        <v>TABLEROS 225 AMP COBRE</v>
      </c>
      <c r="B170" s="41" t="s">
        <v>265</v>
      </c>
      <c r="C170" s="41" t="s">
        <v>266</v>
      </c>
      <c r="D170" s="42">
        <v>78</v>
      </c>
      <c r="E170" s="43">
        <v>96649.13</v>
      </c>
      <c r="F170" s="192">
        <v>7390.11</v>
      </c>
      <c r="G170" s="126">
        <f t="shared" si="25"/>
        <v>104039.24</v>
      </c>
      <c r="H170" s="127">
        <f t="shared" si="26"/>
        <v>7538632.1400000006</v>
      </c>
      <c r="I170" s="128">
        <f t="shared" si="27"/>
        <v>576428.57999999996</v>
      </c>
      <c r="J170" s="128">
        <f t="shared" si="28"/>
        <v>8115060.7200000007</v>
      </c>
      <c r="K170" s="44">
        <f t="shared" si="22"/>
        <v>5.1310043262854576E-3</v>
      </c>
      <c r="L170" s="45">
        <v>29425.257451469271</v>
      </c>
      <c r="M170" s="45">
        <v>48496.956629366592</v>
      </c>
      <c r="N170" s="45">
        <f t="shared" si="29"/>
        <v>181961.45408083586</v>
      </c>
      <c r="O170" s="46">
        <f t="shared" si="30"/>
        <v>14192993.418305198</v>
      </c>
      <c r="P170" s="47">
        <f t="shared" si="23"/>
        <v>320975.87769230769</v>
      </c>
      <c r="Q170" s="46">
        <v>799876</v>
      </c>
      <c r="R170" s="47">
        <f t="shared" si="31"/>
        <v>478900.12230769231</v>
      </c>
      <c r="S170" s="191">
        <f t="shared" si="32"/>
        <v>0.59871795416751139</v>
      </c>
      <c r="T170" s="42">
        <v>25036118.460000001</v>
      </c>
      <c r="U170" s="152">
        <f t="shared" si="24"/>
        <v>0.56690071350242355</v>
      </c>
      <c r="V170" s="49"/>
    </row>
    <row r="171" spans="1:22" x14ac:dyDescent="0.3">
      <c r="A171" s="40" t="str">
        <f>VLOOKUP(B171,Grupos!$A$2:$B$619,2,FALSE)</f>
        <v>TABLEROS 225 AMP COBRE</v>
      </c>
      <c r="B171" s="41" t="s">
        <v>267</v>
      </c>
      <c r="C171" s="41" t="s">
        <v>268</v>
      </c>
      <c r="D171" s="42">
        <v>9</v>
      </c>
      <c r="E171" s="43">
        <v>123241.93</v>
      </c>
      <c r="F171" s="192">
        <v>2726.25</v>
      </c>
      <c r="G171" s="126">
        <f t="shared" si="25"/>
        <v>125968.18</v>
      </c>
      <c r="H171" s="127">
        <f t="shared" si="26"/>
        <v>1109177.3699999999</v>
      </c>
      <c r="I171" s="128">
        <f t="shared" si="27"/>
        <v>24536.25</v>
      </c>
      <c r="J171" s="128">
        <f t="shared" si="28"/>
        <v>1133713.6199999999</v>
      </c>
      <c r="K171" s="44">
        <f t="shared" si="22"/>
        <v>7.1682636639455071E-4</v>
      </c>
      <c r="L171" s="45">
        <v>35627.385659420637</v>
      </c>
      <c r="M171" s="45">
        <v>17890.779435057215</v>
      </c>
      <c r="N171" s="45">
        <f t="shared" si="29"/>
        <v>179486.34509447785</v>
      </c>
      <c r="O171" s="46">
        <f t="shared" si="30"/>
        <v>1615377.1058503005</v>
      </c>
      <c r="P171" s="47">
        <f t="shared" si="23"/>
        <v>382842.82</v>
      </c>
      <c r="Q171" s="46">
        <v>965150</v>
      </c>
      <c r="R171" s="47">
        <f t="shared" si="31"/>
        <v>582307.17999999993</v>
      </c>
      <c r="S171" s="191">
        <f t="shared" si="32"/>
        <v>0.6033333471481116</v>
      </c>
      <c r="T171" s="42">
        <v>3445585.38</v>
      </c>
      <c r="U171" s="48">
        <f t="shared" si="24"/>
        <v>0.46882515674311936</v>
      </c>
      <c r="V171" s="49"/>
    </row>
    <row r="172" spans="1:22" x14ac:dyDescent="0.3">
      <c r="A172" s="40" t="str">
        <f>VLOOKUP(B172,Grupos!$A$2:$B$619,2,FALSE)</f>
        <v>TABLEROS 225 AMP COBRE</v>
      </c>
      <c r="B172" s="41" t="s">
        <v>269</v>
      </c>
      <c r="C172" s="41" t="s">
        <v>270</v>
      </c>
      <c r="D172" s="42">
        <v>8</v>
      </c>
      <c r="E172" s="43">
        <v>124564.02</v>
      </c>
      <c r="F172" s="192">
        <v>6937.78</v>
      </c>
      <c r="G172" s="126">
        <f t="shared" si="25"/>
        <v>131501.80000000002</v>
      </c>
      <c r="H172" s="127">
        <f t="shared" si="26"/>
        <v>996512.16</v>
      </c>
      <c r="I172" s="128">
        <f t="shared" si="27"/>
        <v>55502.239999999998</v>
      </c>
      <c r="J172" s="128">
        <f t="shared" si="28"/>
        <v>1052014.4000000001</v>
      </c>
      <c r="K172" s="44">
        <f t="shared" si="22"/>
        <v>6.6516944530201863E-4</v>
      </c>
      <c r="L172" s="45">
        <v>37192.45085154046</v>
      </c>
      <c r="M172" s="45">
        <v>45528.580192187525</v>
      </c>
      <c r="N172" s="45">
        <f t="shared" si="29"/>
        <v>214222.83104372799</v>
      </c>
      <c r="O172" s="46">
        <f t="shared" si="30"/>
        <v>1713782.6483498239</v>
      </c>
      <c r="P172" s="47">
        <f t="shared" si="23"/>
        <v>364942.50124999997</v>
      </c>
      <c r="Q172" s="46">
        <v>935750</v>
      </c>
      <c r="R172" s="47">
        <f t="shared" si="31"/>
        <v>570807.49875000003</v>
      </c>
      <c r="S172" s="191">
        <f t="shared" si="32"/>
        <v>0.6099999986641732</v>
      </c>
      <c r="T172" s="42">
        <v>2919540.01</v>
      </c>
      <c r="U172" s="48">
        <f t="shared" si="24"/>
        <v>0.58700433714892775</v>
      </c>
      <c r="V172" s="49"/>
    </row>
    <row r="173" spans="1:22" x14ac:dyDescent="0.3">
      <c r="A173" s="40" t="str">
        <f>VLOOKUP(B173,Grupos!$A$2:$B$619,2,FALSE)</f>
        <v>TABLEROS 225 AMP COBRE</v>
      </c>
      <c r="B173" s="41" t="s">
        <v>271</v>
      </c>
      <c r="C173" s="41" t="s">
        <v>272</v>
      </c>
      <c r="D173" s="42">
        <v>27</v>
      </c>
      <c r="E173" s="43">
        <v>124679.23</v>
      </c>
      <c r="F173" s="192">
        <v>3578.98</v>
      </c>
      <c r="G173" s="126">
        <f t="shared" si="25"/>
        <v>128258.20999999999</v>
      </c>
      <c r="H173" s="127">
        <f t="shared" si="26"/>
        <v>3366339.21</v>
      </c>
      <c r="I173" s="128">
        <f t="shared" si="27"/>
        <v>96632.46</v>
      </c>
      <c r="J173" s="128">
        <f t="shared" si="28"/>
        <v>3462971.67</v>
      </c>
      <c r="K173" s="44">
        <f t="shared" si="22"/>
        <v>2.1895735883753157E-3</v>
      </c>
      <c r="L173" s="45">
        <v>36275.071304967336</v>
      </c>
      <c r="M173" s="45">
        <v>23486.746183395167</v>
      </c>
      <c r="N173" s="45">
        <f t="shared" si="29"/>
        <v>188020.02748836251</v>
      </c>
      <c r="O173" s="46">
        <f t="shared" si="30"/>
        <v>5076540.7421857882</v>
      </c>
      <c r="P173" s="47">
        <f t="shared" si="23"/>
        <v>293631.73296296294</v>
      </c>
      <c r="Q173" s="46">
        <v>760850</v>
      </c>
      <c r="R173" s="47">
        <f t="shared" si="31"/>
        <v>467218.26703703706</v>
      </c>
      <c r="S173" s="191">
        <f t="shared" si="32"/>
        <v>0.61407408429655919</v>
      </c>
      <c r="T173" s="42">
        <v>7928056.79</v>
      </c>
      <c r="U173" s="48">
        <f t="shared" si="24"/>
        <v>0.64032598108896599</v>
      </c>
      <c r="V173" s="49"/>
    </row>
    <row r="174" spans="1:22" x14ac:dyDescent="0.3">
      <c r="A174" s="40" t="str">
        <f>VLOOKUP(B174,Grupos!$A$2:$B$619,2,FALSE)</f>
        <v>TABLEROS 225 AMP COBRE</v>
      </c>
      <c r="B174" s="41" t="s">
        <v>273</v>
      </c>
      <c r="C174" s="41" t="s">
        <v>274</v>
      </c>
      <c r="D174" s="42">
        <v>17</v>
      </c>
      <c r="E174" s="43">
        <v>125800.77</v>
      </c>
      <c r="F174" s="192">
        <v>7605.78</v>
      </c>
      <c r="G174" s="126">
        <f t="shared" si="25"/>
        <v>133406.55000000002</v>
      </c>
      <c r="H174" s="127">
        <f t="shared" si="26"/>
        <v>2138613.09</v>
      </c>
      <c r="I174" s="128">
        <f t="shared" si="27"/>
        <v>129298.26</v>
      </c>
      <c r="J174" s="128">
        <f t="shared" si="28"/>
        <v>2267911.35</v>
      </c>
      <c r="K174" s="44">
        <f t="shared" si="22"/>
        <v>1.433958826679228E-3</v>
      </c>
      <c r="L174" s="45">
        <v>37731.168350156222</v>
      </c>
      <c r="M174" s="45">
        <v>49912.272319695359</v>
      </c>
      <c r="N174" s="45">
        <f t="shared" si="29"/>
        <v>221049.9906698516</v>
      </c>
      <c r="O174" s="46">
        <f t="shared" si="30"/>
        <v>3757849.8413874772</v>
      </c>
      <c r="P174" s="47">
        <f t="shared" si="23"/>
        <v>296594.47588235291</v>
      </c>
      <c r="Q174" s="46">
        <v>737150</v>
      </c>
      <c r="R174" s="47">
        <f t="shared" si="31"/>
        <v>440555.52411764709</v>
      </c>
      <c r="S174" s="191">
        <f t="shared" si="32"/>
        <v>0.59764705164165655</v>
      </c>
      <c r="T174" s="42">
        <v>5042106.09</v>
      </c>
      <c r="U174" s="48">
        <f t="shared" si="24"/>
        <v>0.74529368765968929</v>
      </c>
      <c r="V174" s="49"/>
    </row>
    <row r="175" spans="1:22" x14ac:dyDescent="0.3">
      <c r="A175" s="40" t="str">
        <f>VLOOKUP(B175,Grupos!$A$2:$B$619,2,FALSE)</f>
        <v>TABLEROS 225 AMP COBRE</v>
      </c>
      <c r="B175" s="41" t="s">
        <v>275</v>
      </c>
      <c r="C175" s="41" t="s">
        <v>276</v>
      </c>
      <c r="D175" s="42">
        <v>34</v>
      </c>
      <c r="E175" s="43">
        <v>138952.10999999999</v>
      </c>
      <c r="F175" s="192">
        <v>4163.6099999999997</v>
      </c>
      <c r="G175" s="126">
        <f t="shared" si="25"/>
        <v>143115.71999999997</v>
      </c>
      <c r="H175" s="127">
        <f t="shared" si="26"/>
        <v>4724371.7399999993</v>
      </c>
      <c r="I175" s="128">
        <f t="shared" si="27"/>
        <v>141562.74</v>
      </c>
      <c r="J175" s="128">
        <f t="shared" si="28"/>
        <v>4865934.4799999986</v>
      </c>
      <c r="K175" s="44">
        <f t="shared" si="22"/>
        <v>3.0766412883108493E-3</v>
      </c>
      <c r="L175" s="45">
        <v>40477.197895259407</v>
      </c>
      <c r="M175" s="45">
        <v>27323.329908701904</v>
      </c>
      <c r="N175" s="45">
        <f t="shared" si="29"/>
        <v>210916.24780396131</v>
      </c>
      <c r="O175" s="46">
        <f t="shared" si="30"/>
        <v>7171152.4253346846</v>
      </c>
      <c r="P175" s="47">
        <f t="shared" si="23"/>
        <v>412657.48558823531</v>
      </c>
      <c r="Q175" s="46">
        <v>1053750</v>
      </c>
      <c r="R175" s="47">
        <f t="shared" si="31"/>
        <v>641092.51441176469</v>
      </c>
      <c r="S175" s="191">
        <f t="shared" si="32"/>
        <v>0.60839147275137806</v>
      </c>
      <c r="T175" s="42">
        <v>14030354.51</v>
      </c>
      <c r="U175" s="48">
        <f t="shared" si="24"/>
        <v>0.51111697998960148</v>
      </c>
      <c r="V175" s="49"/>
    </row>
    <row r="176" spans="1:22" x14ac:dyDescent="0.3">
      <c r="A176" s="40" t="str">
        <f>VLOOKUP(B176,Grupos!$A$2:$B$619,2,FALSE)</f>
        <v>TABLEROS 225 AMP COBRE</v>
      </c>
      <c r="B176" s="41" t="s">
        <v>277</v>
      </c>
      <c r="C176" s="41" t="s">
        <v>278</v>
      </c>
      <c r="D176" s="42">
        <v>13</v>
      </c>
      <c r="E176" s="43">
        <v>140340.60999999999</v>
      </c>
      <c r="F176" s="192">
        <v>8455.7000000000007</v>
      </c>
      <c r="G176" s="126">
        <f t="shared" si="25"/>
        <v>148796.31</v>
      </c>
      <c r="H176" s="127">
        <f t="shared" si="26"/>
        <v>1824427.9299999997</v>
      </c>
      <c r="I176" s="128">
        <f t="shared" si="27"/>
        <v>109924.1</v>
      </c>
      <c r="J176" s="128">
        <f t="shared" si="28"/>
        <v>1934352.03</v>
      </c>
      <c r="K176" s="44">
        <f t="shared" si="22"/>
        <v>1.2230553753008833E-3</v>
      </c>
      <c r="L176" s="45">
        <v>42083.830385329908</v>
      </c>
      <c r="M176" s="45">
        <v>55489.798686478978</v>
      </c>
      <c r="N176" s="45">
        <f t="shared" si="29"/>
        <v>246369.93907180888</v>
      </c>
      <c r="O176" s="46">
        <f t="shared" si="30"/>
        <v>3202809.2079335153</v>
      </c>
      <c r="P176" s="47">
        <f t="shared" si="23"/>
        <v>430026.16538461542</v>
      </c>
      <c r="Q176" s="46">
        <v>1022000</v>
      </c>
      <c r="R176" s="47">
        <f t="shared" si="31"/>
        <v>591973.83461538458</v>
      </c>
      <c r="S176" s="191">
        <f t="shared" si="32"/>
        <v>0.57923075794068946</v>
      </c>
      <c r="T176" s="42">
        <v>5590340.1500000004</v>
      </c>
      <c r="U176" s="48">
        <f t="shared" si="24"/>
        <v>0.57291848474256346</v>
      </c>
      <c r="V176" s="49"/>
    </row>
    <row r="177" spans="1:22" x14ac:dyDescent="0.3">
      <c r="A177" s="40" t="str">
        <f>VLOOKUP(B177,Grupos!$A$2:$B$619,2,FALSE)</f>
        <v>TABLEROS 225 AMP COBRE</v>
      </c>
      <c r="B177" s="41" t="s">
        <v>279</v>
      </c>
      <c r="C177" s="41" t="s">
        <v>280</v>
      </c>
      <c r="D177" s="42">
        <v>37</v>
      </c>
      <c r="E177" s="43">
        <v>40485.870000000003</v>
      </c>
      <c r="F177" s="192">
        <v>2069.3000000000002</v>
      </c>
      <c r="G177" s="126">
        <f t="shared" si="25"/>
        <v>42555.170000000006</v>
      </c>
      <c r="H177" s="127">
        <f t="shared" si="26"/>
        <v>1497977.1900000002</v>
      </c>
      <c r="I177" s="128">
        <f t="shared" si="27"/>
        <v>76564.100000000006</v>
      </c>
      <c r="J177" s="128">
        <f t="shared" si="28"/>
        <v>1574541.2900000003</v>
      </c>
      <c r="K177" s="44">
        <f t="shared" si="22"/>
        <v>9.9555363165601627E-4</v>
      </c>
      <c r="L177" s="45">
        <v>12035.812960004721</v>
      </c>
      <c r="M177" s="45">
        <v>13579.601975227473</v>
      </c>
      <c r="N177" s="45">
        <f t="shared" si="29"/>
        <v>68170.584935232197</v>
      </c>
      <c r="O177" s="46">
        <f t="shared" si="30"/>
        <v>2522311.6426035911</v>
      </c>
      <c r="P177" s="47">
        <f t="shared" si="23"/>
        <v>105326.26972972973</v>
      </c>
      <c r="Q177" s="46">
        <v>251100</v>
      </c>
      <c r="R177" s="47">
        <f t="shared" si="31"/>
        <v>145773.73027027026</v>
      </c>
      <c r="S177" s="191">
        <f t="shared" si="32"/>
        <v>0.58054054269323085</v>
      </c>
      <c r="T177" s="42">
        <v>3897071.98</v>
      </c>
      <c r="U177" s="48">
        <f t="shared" si="24"/>
        <v>0.64723250059230142</v>
      </c>
      <c r="V177" s="49"/>
    </row>
    <row r="178" spans="1:22" x14ac:dyDescent="0.3">
      <c r="A178" s="40" t="str">
        <f>VLOOKUP(B178,Grupos!$A$2:$B$619,2,FALSE)</f>
        <v>TABLEROS 225 AMP COBRE</v>
      </c>
      <c r="B178" s="41" t="s">
        <v>281</v>
      </c>
      <c r="C178" s="41" t="s">
        <v>282</v>
      </c>
      <c r="D178" s="42">
        <v>36</v>
      </c>
      <c r="E178" s="43">
        <v>41191.58</v>
      </c>
      <c r="F178" s="192">
        <v>1977.41</v>
      </c>
      <c r="G178" s="126">
        <f t="shared" si="25"/>
        <v>43168.990000000005</v>
      </c>
      <c r="H178" s="127">
        <f t="shared" si="26"/>
        <v>1482896.8800000001</v>
      </c>
      <c r="I178" s="128">
        <f t="shared" si="27"/>
        <v>71186.760000000009</v>
      </c>
      <c r="J178" s="128">
        <f t="shared" si="28"/>
        <v>1554083.6400000001</v>
      </c>
      <c r="K178" s="44">
        <f t="shared" si="22"/>
        <v>9.8261863409069509E-4</v>
      </c>
      <c r="L178" s="45">
        <v>12209.41872191591</v>
      </c>
      <c r="M178" s="45">
        <v>12976.581811160566</v>
      </c>
      <c r="N178" s="45">
        <f t="shared" si="29"/>
        <v>68354.990533076474</v>
      </c>
      <c r="O178" s="46">
        <f t="shared" si="30"/>
        <v>2460779.659190753</v>
      </c>
      <c r="P178" s="47">
        <f t="shared" si="23"/>
        <v>98239.668888888889</v>
      </c>
      <c r="Q178" s="46">
        <v>238800</v>
      </c>
      <c r="R178" s="47">
        <f t="shared" si="31"/>
        <v>140560.3311111111</v>
      </c>
      <c r="S178" s="191">
        <f t="shared" si="32"/>
        <v>0.58861110180532283</v>
      </c>
      <c r="T178" s="42">
        <v>3536628.08</v>
      </c>
      <c r="U178" s="48">
        <f t="shared" si="24"/>
        <v>0.69579825854652855</v>
      </c>
      <c r="V178" s="49"/>
    </row>
    <row r="179" spans="1:22" x14ac:dyDescent="0.3">
      <c r="A179" s="40" t="str">
        <f>VLOOKUP(B179,Grupos!$A$2:$B$619,2,FALSE)</f>
        <v>TABLEROS 225 AMP COBRE</v>
      </c>
      <c r="B179" s="41" t="s">
        <v>283</v>
      </c>
      <c r="C179" s="41" t="s">
        <v>284</v>
      </c>
      <c r="D179" s="42">
        <v>150</v>
      </c>
      <c r="E179" s="43">
        <v>61935.58</v>
      </c>
      <c r="F179" s="192">
        <v>2093.4899999999998</v>
      </c>
      <c r="G179" s="126">
        <f t="shared" si="25"/>
        <v>64029.07</v>
      </c>
      <c r="H179" s="127">
        <f t="shared" si="26"/>
        <v>9290337</v>
      </c>
      <c r="I179" s="128">
        <f t="shared" si="27"/>
        <v>314023.49999999994</v>
      </c>
      <c r="J179" s="128">
        <f t="shared" si="28"/>
        <v>9604360.5</v>
      </c>
      <c r="K179" s="44">
        <f t="shared" si="22"/>
        <v>6.0726613117326319E-3</v>
      </c>
      <c r="L179" s="45">
        <v>18109.242908042652</v>
      </c>
      <c r="M179" s="45">
        <v>13738.346754515516</v>
      </c>
      <c r="N179" s="45">
        <f t="shared" si="29"/>
        <v>95876.659662558173</v>
      </c>
      <c r="O179" s="46">
        <f t="shared" si="30"/>
        <v>14381498.949383726</v>
      </c>
      <c r="P179" s="47">
        <f t="shared" si="23"/>
        <v>140278.44066666669</v>
      </c>
      <c r="Q179" s="46">
        <v>363650</v>
      </c>
      <c r="R179" s="47">
        <f t="shared" si="31"/>
        <v>223371.55933333331</v>
      </c>
      <c r="S179" s="191">
        <f t="shared" si="32"/>
        <v>0.61424875383839761</v>
      </c>
      <c r="T179" s="42">
        <v>21041766.100000001</v>
      </c>
      <c r="U179" s="48">
        <f t="shared" si="24"/>
        <v>0.68347394800590078</v>
      </c>
      <c r="V179" s="49"/>
    </row>
    <row r="180" spans="1:22" x14ac:dyDescent="0.3">
      <c r="A180" s="40" t="str">
        <f>VLOOKUP(B180,Grupos!$A$2:$B$619,2,FALSE)</f>
        <v>TABLEROS 225 AMP COBRE</v>
      </c>
      <c r="B180" s="41" t="s">
        <v>285</v>
      </c>
      <c r="C180" s="41" t="s">
        <v>286</v>
      </c>
      <c r="D180" s="42">
        <v>183</v>
      </c>
      <c r="E180" s="43">
        <v>62772.55</v>
      </c>
      <c r="F180" s="192">
        <v>6390.55</v>
      </c>
      <c r="G180" s="126">
        <f t="shared" si="25"/>
        <v>69163.100000000006</v>
      </c>
      <c r="H180" s="127">
        <f t="shared" si="26"/>
        <v>11487376.65</v>
      </c>
      <c r="I180" s="128">
        <f t="shared" si="27"/>
        <v>1169470.6500000001</v>
      </c>
      <c r="J180" s="128">
        <f t="shared" si="28"/>
        <v>12656847.300000001</v>
      </c>
      <c r="K180" s="44">
        <f t="shared" si="22"/>
        <v>8.0026928317838159E-3</v>
      </c>
      <c r="L180" s="45">
        <v>19561.292678048343</v>
      </c>
      <c r="M180" s="45">
        <v>41937.430726714316</v>
      </c>
      <c r="N180" s="45">
        <f t="shared" si="29"/>
        <v>130661.82340476266</v>
      </c>
      <c r="O180" s="46">
        <f t="shared" si="30"/>
        <v>23911113.683071569</v>
      </c>
      <c r="P180" s="47">
        <f t="shared" si="23"/>
        <v>137714.29830601093</v>
      </c>
      <c r="Q180" s="46">
        <v>347350</v>
      </c>
      <c r="R180" s="47">
        <f t="shared" si="31"/>
        <v>209635.70169398907</v>
      </c>
      <c r="S180" s="191">
        <f t="shared" si="32"/>
        <v>0.60352872230887888</v>
      </c>
      <c r="T180" s="42">
        <v>25201716.59</v>
      </c>
      <c r="U180" s="48">
        <f t="shared" si="24"/>
        <v>0.94878908734968714</v>
      </c>
      <c r="V180" s="49"/>
    </row>
    <row r="181" spans="1:22" x14ac:dyDescent="0.3">
      <c r="A181" s="40" t="str">
        <f>VLOOKUP(B181,Grupos!$A$2:$B$619,2,FALSE)</f>
        <v>TABLEROS 225 AMP COBRE</v>
      </c>
      <c r="B181" s="41" t="s">
        <v>287</v>
      </c>
      <c r="C181" s="41" t="s">
        <v>288</v>
      </c>
      <c r="D181" s="42">
        <v>95</v>
      </c>
      <c r="E181" s="43">
        <v>75607.27</v>
      </c>
      <c r="F181" s="192">
        <v>2765.52</v>
      </c>
      <c r="G181" s="126">
        <f t="shared" si="25"/>
        <v>78372.790000000008</v>
      </c>
      <c r="H181" s="127">
        <f t="shared" si="26"/>
        <v>7182690.6500000004</v>
      </c>
      <c r="I181" s="128">
        <f t="shared" si="27"/>
        <v>262724.40000000002</v>
      </c>
      <c r="J181" s="128">
        <f t="shared" si="28"/>
        <v>7445415.0500000007</v>
      </c>
      <c r="K181" s="44">
        <f t="shared" si="22"/>
        <v>4.7075996287235244E-3</v>
      </c>
      <c r="L181" s="45">
        <v>22166.055066722289</v>
      </c>
      <c r="M181" s="45">
        <v>18148.485407882414</v>
      </c>
      <c r="N181" s="45">
        <f t="shared" si="29"/>
        <v>118687.33047460471</v>
      </c>
      <c r="O181" s="46">
        <f t="shared" si="30"/>
        <v>11275296.395087447</v>
      </c>
      <c r="P181" s="47">
        <f t="shared" si="23"/>
        <v>235354.04242105264</v>
      </c>
      <c r="Q181" s="46">
        <v>588850</v>
      </c>
      <c r="R181" s="47">
        <f t="shared" si="31"/>
        <v>353495.95757894736</v>
      </c>
      <c r="S181" s="191">
        <f t="shared" si="32"/>
        <v>0.60031579787543066</v>
      </c>
      <c r="T181" s="42">
        <v>22358634.030000001</v>
      </c>
      <c r="U181" s="48">
        <f t="shared" si="24"/>
        <v>0.50429272110088053</v>
      </c>
      <c r="V181" s="49"/>
    </row>
    <row r="182" spans="1:22" x14ac:dyDescent="0.3">
      <c r="A182" s="40" t="str">
        <f>VLOOKUP(B182,Grupos!$A$2:$B$619,2,FALSE)</f>
        <v>TABLEROS 225 AMP COBRE</v>
      </c>
      <c r="B182" s="41" t="s">
        <v>289</v>
      </c>
      <c r="C182" s="41" t="s">
        <v>290</v>
      </c>
      <c r="D182" s="42">
        <v>124</v>
      </c>
      <c r="E182" s="43">
        <v>76731.53</v>
      </c>
      <c r="F182" s="192">
        <v>6731.65</v>
      </c>
      <c r="G182" s="126">
        <f t="shared" si="25"/>
        <v>83463.179999999993</v>
      </c>
      <c r="H182" s="127">
        <f t="shared" si="26"/>
        <v>9514709.7200000007</v>
      </c>
      <c r="I182" s="128">
        <f t="shared" si="27"/>
        <v>834724.6</v>
      </c>
      <c r="J182" s="128">
        <f t="shared" si="28"/>
        <v>10349434.319999998</v>
      </c>
      <c r="K182" s="44">
        <f t="shared" si="22"/>
        <v>6.5437578476340939E-3</v>
      </c>
      <c r="L182" s="45">
        <v>23605.762202975726</v>
      </c>
      <c r="M182" s="45">
        <v>44175.869925356405</v>
      </c>
      <c r="N182" s="45">
        <f t="shared" si="29"/>
        <v>151244.81212833212</v>
      </c>
      <c r="O182" s="46">
        <f t="shared" si="30"/>
        <v>18754356.703913182</v>
      </c>
      <c r="P182" s="47">
        <f t="shared" si="23"/>
        <v>226190.09</v>
      </c>
      <c r="Q182" s="46">
        <v>571350</v>
      </c>
      <c r="R182" s="47">
        <f t="shared" si="31"/>
        <v>345159.91000000003</v>
      </c>
      <c r="S182" s="191">
        <f t="shared" si="32"/>
        <v>0.60411290802485351</v>
      </c>
      <c r="T182" s="42">
        <v>28047571.16</v>
      </c>
      <c r="U182" s="48">
        <f t="shared" si="24"/>
        <v>0.66866241632572021</v>
      </c>
      <c r="V182" s="49"/>
    </row>
    <row r="183" spans="1:22" x14ac:dyDescent="0.3">
      <c r="A183" s="40" t="str">
        <f>VLOOKUP(B183,Grupos!$A$2:$B$619,2,FALSE)</f>
        <v>TABLEROS 225 AMP COBRE</v>
      </c>
      <c r="B183" s="41" t="s">
        <v>291</v>
      </c>
      <c r="C183" s="41" t="s">
        <v>292</v>
      </c>
      <c r="D183" s="42">
        <v>89</v>
      </c>
      <c r="E183" s="43">
        <v>80539.5</v>
      </c>
      <c r="F183" s="192">
        <v>2445.36</v>
      </c>
      <c r="G183" s="126">
        <f t="shared" si="25"/>
        <v>82984.86</v>
      </c>
      <c r="H183" s="127">
        <f t="shared" si="26"/>
        <v>7168015.5</v>
      </c>
      <c r="I183" s="128">
        <f t="shared" si="27"/>
        <v>217637.04</v>
      </c>
      <c r="J183" s="128">
        <f t="shared" si="28"/>
        <v>7385652.54</v>
      </c>
      <c r="K183" s="44">
        <f t="shared" si="22"/>
        <v>4.6698128877563317E-3</v>
      </c>
      <c r="L183" s="45">
        <v>23470.479696642673</v>
      </c>
      <c r="M183" s="45">
        <v>16047.463145093632</v>
      </c>
      <c r="N183" s="45">
        <f t="shared" si="29"/>
        <v>122502.80284173631</v>
      </c>
      <c r="O183" s="46">
        <f t="shared" si="30"/>
        <v>10902749.452914532</v>
      </c>
      <c r="P183" s="47">
        <f t="shared" si="23"/>
        <v>181693.52314606743</v>
      </c>
      <c r="Q183" s="46">
        <v>455400</v>
      </c>
      <c r="R183" s="47">
        <f t="shared" si="31"/>
        <v>273706.4768539326</v>
      </c>
      <c r="S183" s="191">
        <f t="shared" si="32"/>
        <v>0.60102432335075229</v>
      </c>
      <c r="T183" s="42">
        <v>16170723.560000001</v>
      </c>
      <c r="U183" s="48">
        <f t="shared" si="24"/>
        <v>0.67422768143063427</v>
      </c>
      <c r="V183" s="49"/>
    </row>
    <row r="184" spans="1:22" x14ac:dyDescent="0.3">
      <c r="A184" s="40" t="str">
        <f>VLOOKUP(B184,Grupos!$A$2:$B$619,2,FALSE)</f>
        <v>TABLEROS 225 AMP COBRE</v>
      </c>
      <c r="B184" s="41" t="s">
        <v>293</v>
      </c>
      <c r="C184" s="41" t="s">
        <v>294</v>
      </c>
      <c r="D184" s="42">
        <v>166</v>
      </c>
      <c r="E184" s="43">
        <v>81441.52</v>
      </c>
      <c r="F184" s="192">
        <v>6711.62</v>
      </c>
      <c r="G184" s="126">
        <f t="shared" si="25"/>
        <v>88153.14</v>
      </c>
      <c r="H184" s="127">
        <f t="shared" si="26"/>
        <v>13519292.32</v>
      </c>
      <c r="I184" s="128">
        <f t="shared" si="27"/>
        <v>1114128.92</v>
      </c>
      <c r="J184" s="128">
        <f t="shared" si="28"/>
        <v>14633421.24</v>
      </c>
      <c r="K184" s="44">
        <f t="shared" si="22"/>
        <v>9.2524443477974994E-3</v>
      </c>
      <c r="L184" s="45">
        <v>24932.216341213316</v>
      </c>
      <c r="M184" s="45">
        <v>44044.424785664822</v>
      </c>
      <c r="N184" s="45">
        <f t="shared" si="29"/>
        <v>157129.78112687814</v>
      </c>
      <c r="O184" s="46">
        <f t="shared" si="30"/>
        <v>26083543.667061772</v>
      </c>
      <c r="P184" s="47">
        <f t="shared" si="23"/>
        <v>164767.99789156625</v>
      </c>
      <c r="Q184" s="46">
        <v>433600</v>
      </c>
      <c r="R184" s="47">
        <f t="shared" si="31"/>
        <v>268832.00210843375</v>
      </c>
      <c r="S184" s="191">
        <f t="shared" si="32"/>
        <v>0.62000000486262397</v>
      </c>
      <c r="T184" s="42">
        <v>27351487.649999999</v>
      </c>
      <c r="U184" s="48">
        <f t="shared" si="24"/>
        <v>0.95364259527074657</v>
      </c>
      <c r="V184" s="49"/>
    </row>
    <row r="185" spans="1:22" x14ac:dyDescent="0.3">
      <c r="A185" s="40" t="str">
        <f>VLOOKUP(B185,Grupos!$A$2:$B$619,2,FALSE)</f>
        <v>TABLEROS 225 AMP COBRE</v>
      </c>
      <c r="B185" s="41" t="s">
        <v>295</v>
      </c>
      <c r="C185" s="41" t="s">
        <v>296</v>
      </c>
      <c r="D185" s="42">
        <v>82</v>
      </c>
      <c r="E185" s="43">
        <v>94507.21</v>
      </c>
      <c r="F185" s="192">
        <v>3461.64</v>
      </c>
      <c r="G185" s="126">
        <f t="shared" si="25"/>
        <v>97968.85</v>
      </c>
      <c r="H185" s="127">
        <f t="shared" si="26"/>
        <v>7749591.2200000007</v>
      </c>
      <c r="I185" s="128">
        <f t="shared" si="27"/>
        <v>283854.48</v>
      </c>
      <c r="J185" s="128">
        <f t="shared" si="28"/>
        <v>8033445.7000000002</v>
      </c>
      <c r="K185" s="44">
        <f t="shared" si="22"/>
        <v>5.0794006433114288E-3</v>
      </c>
      <c r="L185" s="45">
        <v>27708.378429853732</v>
      </c>
      <c r="M185" s="45">
        <v>22716.712599200902</v>
      </c>
      <c r="N185" s="45">
        <f t="shared" si="29"/>
        <v>148393.94102905464</v>
      </c>
      <c r="O185" s="46">
        <f t="shared" si="30"/>
        <v>12168303.16438248</v>
      </c>
      <c r="P185" s="47">
        <f t="shared" si="23"/>
        <v>284268.64268292685</v>
      </c>
      <c r="Q185" s="46">
        <v>716350</v>
      </c>
      <c r="R185" s="47">
        <f t="shared" si="31"/>
        <v>432081.35731707315</v>
      </c>
      <c r="S185" s="191">
        <f t="shared" si="32"/>
        <v>0.6031707368145085</v>
      </c>
      <c r="T185" s="42">
        <v>23310028.699999999</v>
      </c>
      <c r="U185" s="48">
        <f t="shared" si="24"/>
        <v>0.52202008504530417</v>
      </c>
      <c r="V185" s="49"/>
    </row>
    <row r="186" spans="1:22" x14ac:dyDescent="0.3">
      <c r="A186" s="40" t="str">
        <f>VLOOKUP(B186,Grupos!$A$2:$B$619,2,FALSE)</f>
        <v>TABLEROS 225 AMP COBRE</v>
      </c>
      <c r="B186" s="41" t="s">
        <v>297</v>
      </c>
      <c r="C186" s="41" t="s">
        <v>298</v>
      </c>
      <c r="D186" s="42">
        <v>104</v>
      </c>
      <c r="E186" s="43">
        <v>95697.87</v>
      </c>
      <c r="F186" s="192">
        <v>7317.32</v>
      </c>
      <c r="G186" s="126">
        <f t="shared" si="25"/>
        <v>103015.19</v>
      </c>
      <c r="H186" s="127">
        <f t="shared" si="26"/>
        <v>9952578.4800000004</v>
      </c>
      <c r="I186" s="128">
        <f t="shared" si="27"/>
        <v>761001.28</v>
      </c>
      <c r="J186" s="128">
        <f t="shared" si="28"/>
        <v>10713579.76</v>
      </c>
      <c r="K186" s="44">
        <f t="shared" si="22"/>
        <v>6.7740003427311764E-3</v>
      </c>
      <c r="L186" s="45">
        <v>29135.626972688595</v>
      </c>
      <c r="M186" s="45">
        <v>48019.278560562263</v>
      </c>
      <c r="N186" s="45">
        <f t="shared" si="29"/>
        <v>180170.09553325086</v>
      </c>
      <c r="O186" s="46">
        <f t="shared" si="30"/>
        <v>18737689.93545809</v>
      </c>
      <c r="P186" s="47">
        <f t="shared" si="23"/>
        <v>279942.72721153847</v>
      </c>
      <c r="Q186" s="46">
        <v>694950</v>
      </c>
      <c r="R186" s="47">
        <f t="shared" si="31"/>
        <v>415007.27278846153</v>
      </c>
      <c r="S186" s="191">
        <f t="shared" si="32"/>
        <v>0.59717572888475645</v>
      </c>
      <c r="T186" s="42">
        <v>29114043.629999999</v>
      </c>
      <c r="U186" s="48">
        <f t="shared" si="24"/>
        <v>0.64359627173705969</v>
      </c>
      <c r="V186" s="49"/>
    </row>
    <row r="187" spans="1:22" x14ac:dyDescent="0.3">
      <c r="A187" s="40" t="str">
        <f>VLOOKUP(B187,Grupos!$A$2:$B$619,2,FALSE)</f>
        <v>TABLEROS 225 AMP COBRE</v>
      </c>
      <c r="B187" s="41" t="s">
        <v>299</v>
      </c>
      <c r="C187" s="41" t="s">
        <v>300</v>
      </c>
      <c r="D187" s="42">
        <v>60</v>
      </c>
      <c r="E187" s="43">
        <v>99954.11</v>
      </c>
      <c r="F187" s="192">
        <v>2850.14</v>
      </c>
      <c r="G187" s="126">
        <f t="shared" si="25"/>
        <v>102804.25</v>
      </c>
      <c r="H187" s="127">
        <f t="shared" si="26"/>
        <v>5997246.5999999996</v>
      </c>
      <c r="I187" s="128">
        <f t="shared" si="27"/>
        <v>171008.4</v>
      </c>
      <c r="J187" s="128">
        <f t="shared" si="28"/>
        <v>6168255</v>
      </c>
      <c r="K187" s="44">
        <f t="shared" si="22"/>
        <v>3.9000747107942654E-3</v>
      </c>
      <c r="L187" s="45">
        <v>29075.967138506679</v>
      </c>
      <c r="M187" s="45">
        <v>18703.79682678917</v>
      </c>
      <c r="N187" s="45">
        <f t="shared" si="29"/>
        <v>150584.01396529586</v>
      </c>
      <c r="O187" s="46">
        <f t="shared" si="30"/>
        <v>9035040.8379177526</v>
      </c>
      <c r="P187" s="47">
        <f t="shared" si="23"/>
        <v>223734.62</v>
      </c>
      <c r="Q187" s="46">
        <v>551750</v>
      </c>
      <c r="R187" s="47">
        <f t="shared" si="31"/>
        <v>328015.38</v>
      </c>
      <c r="S187" s="191">
        <f t="shared" si="32"/>
        <v>0.59450000906207523</v>
      </c>
      <c r="T187" s="42">
        <v>13424077.199999999</v>
      </c>
      <c r="U187" s="48">
        <f t="shared" si="24"/>
        <v>0.67304744328479826</v>
      </c>
      <c r="V187" s="49"/>
    </row>
    <row r="188" spans="1:22" x14ac:dyDescent="0.3">
      <c r="A188" s="40" t="str">
        <f>VLOOKUP(B188,Grupos!$A$2:$B$619,2,FALSE)</f>
        <v>TABLEROS 225 AMP COBRE</v>
      </c>
      <c r="B188" s="41" t="s">
        <v>301</v>
      </c>
      <c r="C188" s="41" t="s">
        <v>302</v>
      </c>
      <c r="D188" s="42">
        <v>109</v>
      </c>
      <c r="E188" s="43">
        <v>100922.53</v>
      </c>
      <c r="F188" s="192">
        <v>6892.31</v>
      </c>
      <c r="G188" s="126">
        <f t="shared" si="25"/>
        <v>107814.84</v>
      </c>
      <c r="H188" s="127">
        <f t="shared" si="26"/>
        <v>11000555.77</v>
      </c>
      <c r="I188" s="128">
        <f t="shared" si="27"/>
        <v>751261.79</v>
      </c>
      <c r="J188" s="128">
        <f t="shared" si="28"/>
        <v>11751817.560000001</v>
      </c>
      <c r="K188" s="44">
        <f t="shared" si="22"/>
        <v>7.4304590960691435E-3</v>
      </c>
      <c r="L188" s="45">
        <v>30493.104564094923</v>
      </c>
      <c r="M188" s="45">
        <v>45230.187256502228</v>
      </c>
      <c r="N188" s="45">
        <f t="shared" si="29"/>
        <v>183538.13182059713</v>
      </c>
      <c r="O188" s="46">
        <f t="shared" si="30"/>
        <v>20005656.368445087</v>
      </c>
      <c r="P188" s="47">
        <f t="shared" si="23"/>
        <v>203589.78908256881</v>
      </c>
      <c r="Q188" s="46">
        <v>523750</v>
      </c>
      <c r="R188" s="47">
        <f t="shared" si="31"/>
        <v>320160.21091743116</v>
      </c>
      <c r="S188" s="191">
        <f t="shared" si="32"/>
        <v>0.61128441225285191</v>
      </c>
      <c r="T188" s="42">
        <v>22191287.010000002</v>
      </c>
      <c r="U188" s="48">
        <f t="shared" si="24"/>
        <v>0.9015095140462106</v>
      </c>
      <c r="V188" s="49"/>
    </row>
    <row r="189" spans="1:22" x14ac:dyDescent="0.3">
      <c r="A189" s="40" t="str">
        <f>VLOOKUP(B189,Grupos!$A$2:$B$619,2,FALSE)</f>
        <v>TABLEROS 225 AMP COBRE</v>
      </c>
      <c r="B189" s="41" t="s">
        <v>303</v>
      </c>
      <c r="C189" s="41" t="s">
        <v>304</v>
      </c>
      <c r="D189" s="42">
        <v>51</v>
      </c>
      <c r="E189" s="43">
        <v>105072.44</v>
      </c>
      <c r="F189" s="192">
        <v>3539.41</v>
      </c>
      <c r="G189" s="126">
        <f t="shared" si="25"/>
        <v>108611.85</v>
      </c>
      <c r="H189" s="127">
        <f t="shared" si="26"/>
        <v>5358694.4400000004</v>
      </c>
      <c r="I189" s="128">
        <f t="shared" si="27"/>
        <v>180509.91</v>
      </c>
      <c r="J189" s="128">
        <f t="shared" si="28"/>
        <v>5539204.3500000006</v>
      </c>
      <c r="K189" s="44">
        <f t="shared" si="22"/>
        <v>3.5023375011825207E-3</v>
      </c>
      <c r="L189" s="45">
        <v>30718.521670577014</v>
      </c>
      <c r="M189" s="45">
        <v>23227.07148656061</v>
      </c>
      <c r="N189" s="45">
        <f t="shared" si="29"/>
        <v>162557.44315713763</v>
      </c>
      <c r="O189" s="46">
        <f t="shared" si="30"/>
        <v>8290429.601014019</v>
      </c>
      <c r="P189" s="47">
        <f t="shared" si="23"/>
        <v>326870.16333333333</v>
      </c>
      <c r="Q189" s="46">
        <v>824450</v>
      </c>
      <c r="R189" s="47">
        <f t="shared" si="31"/>
        <v>497579.83666666667</v>
      </c>
      <c r="S189" s="191">
        <f t="shared" si="32"/>
        <v>0.60352942769927431</v>
      </c>
      <c r="T189" s="42">
        <v>16670378.33</v>
      </c>
      <c r="U189" s="48">
        <f t="shared" si="24"/>
        <v>0.49731502410443607</v>
      </c>
      <c r="V189" s="49"/>
    </row>
    <row r="190" spans="1:22" x14ac:dyDescent="0.3">
      <c r="A190" s="40" t="str">
        <f>VLOOKUP(B190,Grupos!$A$2:$B$619,2,FALSE)</f>
        <v>TABLEROS 225 AMP COBRE</v>
      </c>
      <c r="B190" s="41" t="s">
        <v>305</v>
      </c>
      <c r="C190" s="41" t="s">
        <v>306</v>
      </c>
      <c r="D190" s="42">
        <v>113</v>
      </c>
      <c r="E190" s="43">
        <v>106329.52</v>
      </c>
      <c r="F190" s="192">
        <v>7569.93</v>
      </c>
      <c r="G190" s="126">
        <f t="shared" si="25"/>
        <v>113899.45000000001</v>
      </c>
      <c r="H190" s="127">
        <f t="shared" si="26"/>
        <v>12015235.76</v>
      </c>
      <c r="I190" s="128">
        <f t="shared" si="27"/>
        <v>855402.09000000008</v>
      </c>
      <c r="J190" s="128">
        <f t="shared" si="28"/>
        <v>12870637.850000001</v>
      </c>
      <c r="K190" s="44">
        <f t="shared" si="22"/>
        <v>8.1378686825652451E-3</v>
      </c>
      <c r="L190" s="45">
        <v>32214.005406332766</v>
      </c>
      <c r="M190" s="45">
        <v>49677.009800576867</v>
      </c>
      <c r="N190" s="45">
        <f t="shared" si="29"/>
        <v>195790.46520690963</v>
      </c>
      <c r="O190" s="46">
        <f t="shared" si="30"/>
        <v>22124322.568380788</v>
      </c>
      <c r="P190" s="47">
        <f t="shared" si="23"/>
        <v>310969.96823008847</v>
      </c>
      <c r="Q190" s="46">
        <v>799900</v>
      </c>
      <c r="R190" s="47">
        <f t="shared" si="31"/>
        <v>488930.03176991153</v>
      </c>
      <c r="S190" s="191">
        <f t="shared" si="32"/>
        <v>0.61123894458046202</v>
      </c>
      <c r="T190" s="42">
        <v>35139606.409999996</v>
      </c>
      <c r="U190" s="48">
        <f t="shared" si="24"/>
        <v>0.62961213367730462</v>
      </c>
      <c r="V190" s="49"/>
    </row>
    <row r="191" spans="1:22" x14ac:dyDescent="0.3">
      <c r="A191" s="40" t="str">
        <f>VLOOKUP(B191,Grupos!$A$2:$B$619,2,FALSE)</f>
        <v>TABLEROS 225 AMP COBRE</v>
      </c>
      <c r="B191" s="41" t="s">
        <v>307</v>
      </c>
      <c r="C191" s="41" t="s">
        <v>308</v>
      </c>
      <c r="D191" s="42">
        <v>13</v>
      </c>
      <c r="E191" s="43">
        <v>120185.12</v>
      </c>
      <c r="F191" s="192">
        <v>2948.41</v>
      </c>
      <c r="G191" s="126">
        <f t="shared" si="25"/>
        <v>123133.53</v>
      </c>
      <c r="H191" s="127">
        <f t="shared" si="26"/>
        <v>1562406.56</v>
      </c>
      <c r="I191" s="128">
        <f t="shared" si="27"/>
        <v>38329.33</v>
      </c>
      <c r="J191" s="128">
        <f t="shared" si="28"/>
        <v>1600735.89</v>
      </c>
      <c r="K191" s="44">
        <f t="shared" si="22"/>
        <v>1.0121159976767742E-3</v>
      </c>
      <c r="L191" s="45">
        <v>34825.665981010767</v>
      </c>
      <c r="M191" s="45">
        <v>19348.685188121795</v>
      </c>
      <c r="N191" s="45">
        <f t="shared" si="29"/>
        <v>177307.88116913257</v>
      </c>
      <c r="O191" s="46">
        <f t="shared" si="30"/>
        <v>2305002.4551987234</v>
      </c>
      <c r="P191" s="47">
        <f t="shared" si="23"/>
        <v>269639.98307692306</v>
      </c>
      <c r="Q191" s="46">
        <v>674100</v>
      </c>
      <c r="R191" s="47">
        <f t="shared" si="31"/>
        <v>404460.01692307694</v>
      </c>
      <c r="S191" s="191">
        <f t="shared" si="32"/>
        <v>0.60000002510469808</v>
      </c>
      <c r="T191" s="42">
        <v>3505319.78</v>
      </c>
      <c r="U191" s="48">
        <f t="shared" si="24"/>
        <v>0.65757266094528</v>
      </c>
      <c r="V191" s="49"/>
    </row>
    <row r="192" spans="1:22" x14ac:dyDescent="0.3">
      <c r="A192" s="40" t="str">
        <f>VLOOKUP(B192,Grupos!$A$2:$B$619,2,FALSE)</f>
        <v>TABLEROS 225 AMP COBRE</v>
      </c>
      <c r="B192" s="41" t="s">
        <v>309</v>
      </c>
      <c r="C192" s="41" t="s">
        <v>310</v>
      </c>
      <c r="D192" s="42">
        <v>15</v>
      </c>
      <c r="E192" s="43">
        <v>121240.25</v>
      </c>
      <c r="F192" s="192">
        <v>7224.29</v>
      </c>
      <c r="G192" s="126">
        <f t="shared" si="25"/>
        <v>128464.54</v>
      </c>
      <c r="H192" s="127">
        <f t="shared" si="26"/>
        <v>1818603.75</v>
      </c>
      <c r="I192" s="128">
        <f t="shared" si="27"/>
        <v>108364.35</v>
      </c>
      <c r="J192" s="128">
        <f t="shared" si="28"/>
        <v>1926968.0999999999</v>
      </c>
      <c r="K192" s="44">
        <f t="shared" si="22"/>
        <v>1.2183866515436334E-3</v>
      </c>
      <c r="L192" s="45">
        <v>36333.427299974239</v>
      </c>
      <c r="M192" s="45">
        <v>47408.777245259786</v>
      </c>
      <c r="N192" s="45">
        <f t="shared" si="29"/>
        <v>212206.74454523402</v>
      </c>
      <c r="O192" s="46">
        <f t="shared" si="30"/>
        <v>3183101.1681785104</v>
      </c>
      <c r="P192" s="47">
        <f t="shared" si="23"/>
        <v>262176.26466666668</v>
      </c>
      <c r="Q192" s="46">
        <v>651100</v>
      </c>
      <c r="R192" s="47">
        <f t="shared" si="31"/>
        <v>388923.73533333332</v>
      </c>
      <c r="S192" s="191">
        <f t="shared" si="32"/>
        <v>0.59733333640505804</v>
      </c>
      <c r="T192" s="42">
        <v>3932643.97</v>
      </c>
      <c r="U192" s="48">
        <f t="shared" si="24"/>
        <v>0.80940486666493494</v>
      </c>
      <c r="V192" s="49"/>
    </row>
    <row r="193" spans="1:22" x14ac:dyDescent="0.3">
      <c r="A193" s="40" t="str">
        <f>VLOOKUP(B193,Grupos!$A$2:$B$619,2,FALSE)</f>
        <v>TABLEROS 225 AMP COBRE</v>
      </c>
      <c r="B193" s="41" t="s">
        <v>311</v>
      </c>
      <c r="C193" s="41" t="s">
        <v>312</v>
      </c>
      <c r="D193" s="42">
        <v>10</v>
      </c>
      <c r="E193" s="43">
        <v>134830.51999999999</v>
      </c>
      <c r="F193" s="192">
        <v>3402.52</v>
      </c>
      <c r="G193" s="126">
        <f t="shared" si="25"/>
        <v>138233.03999999998</v>
      </c>
      <c r="H193" s="127">
        <f t="shared" si="26"/>
        <v>1348305.2</v>
      </c>
      <c r="I193" s="128">
        <f t="shared" si="27"/>
        <v>34025.199999999997</v>
      </c>
      <c r="J193" s="128">
        <f t="shared" si="28"/>
        <v>1382330.4</v>
      </c>
      <c r="K193" s="44">
        <f t="shared" si="22"/>
        <v>8.7402220482164252E-4</v>
      </c>
      <c r="L193" s="45">
        <v>39096.237057280014</v>
      </c>
      <c r="M193" s="45">
        <v>22328.742721089729</v>
      </c>
      <c r="N193" s="45">
        <f t="shared" si="29"/>
        <v>199658.01977836975</v>
      </c>
      <c r="O193" s="46">
        <f t="shared" si="30"/>
        <v>1996580.1977836974</v>
      </c>
      <c r="P193" s="47">
        <f t="shared" si="23"/>
        <v>386059.97700000001</v>
      </c>
      <c r="Q193" s="46">
        <v>965150</v>
      </c>
      <c r="R193" s="47">
        <f t="shared" si="31"/>
        <v>579090.02300000004</v>
      </c>
      <c r="S193" s="191">
        <f t="shared" si="32"/>
        <v>0.60000002383049267</v>
      </c>
      <c r="T193" s="42">
        <v>3860599.77</v>
      </c>
      <c r="U193" s="48">
        <f t="shared" si="24"/>
        <v>0.51716839784811397</v>
      </c>
      <c r="V193" s="49"/>
    </row>
    <row r="194" spans="1:22" x14ac:dyDescent="0.3">
      <c r="A194" s="40" t="str">
        <f>VLOOKUP(B194,Grupos!$A$2:$B$619,2,FALSE)</f>
        <v>TABLEROS 225 AMP COBRE</v>
      </c>
      <c r="B194" s="41" t="s">
        <v>313</v>
      </c>
      <c r="C194" s="41" t="s">
        <v>314</v>
      </c>
      <c r="D194" s="42">
        <v>15</v>
      </c>
      <c r="E194" s="43">
        <v>136152.6</v>
      </c>
      <c r="F194" s="192">
        <v>7621.55</v>
      </c>
      <c r="G194" s="126">
        <f t="shared" si="25"/>
        <v>143774.15</v>
      </c>
      <c r="H194" s="127">
        <f t="shared" si="26"/>
        <v>2042289</v>
      </c>
      <c r="I194" s="128">
        <f t="shared" si="27"/>
        <v>114323.25</v>
      </c>
      <c r="J194" s="128">
        <f t="shared" si="28"/>
        <v>2156612.25</v>
      </c>
      <c r="K194" s="44">
        <f t="shared" si="22"/>
        <v>1.3635864433643096E-3</v>
      </c>
      <c r="L194" s="45">
        <v>40663.420634523667</v>
      </c>
      <c r="M194" s="45">
        <v>50015.761578454039</v>
      </c>
      <c r="N194" s="45">
        <f t="shared" si="29"/>
        <v>234453.33221297769</v>
      </c>
      <c r="O194" s="46">
        <f t="shared" si="30"/>
        <v>3516799.9831946655</v>
      </c>
      <c r="P194" s="47">
        <f t="shared" si="23"/>
        <v>364922.98599999998</v>
      </c>
      <c r="Q194" s="46">
        <v>935700</v>
      </c>
      <c r="R194" s="47">
        <f t="shared" si="31"/>
        <v>570777.01399999997</v>
      </c>
      <c r="S194" s="191">
        <f t="shared" si="32"/>
        <v>0.61000001496206047</v>
      </c>
      <c r="T194" s="42">
        <v>5473844.79</v>
      </c>
      <c r="U194" s="48">
        <f t="shared" si="24"/>
        <v>0.64247345661305566</v>
      </c>
      <c r="V194" s="49"/>
    </row>
    <row r="195" spans="1:22" x14ac:dyDescent="0.3">
      <c r="A195" s="40" t="str">
        <f>VLOOKUP(B195,Grupos!$A$2:$B$619,2,FALSE)</f>
        <v>TABLEROS 225 AMP COBRE</v>
      </c>
      <c r="B195" s="41" t="s">
        <v>315</v>
      </c>
      <c r="C195" s="41" t="s">
        <v>316</v>
      </c>
      <c r="D195" s="42">
        <v>30</v>
      </c>
      <c r="E195" s="43">
        <v>139692.1</v>
      </c>
      <c r="F195" s="192">
        <v>3665.93</v>
      </c>
      <c r="G195" s="126">
        <f t="shared" si="25"/>
        <v>143358.03</v>
      </c>
      <c r="H195" s="127">
        <f t="shared" si="26"/>
        <v>4190763</v>
      </c>
      <c r="I195" s="128">
        <f t="shared" si="27"/>
        <v>109977.9</v>
      </c>
      <c r="J195" s="128">
        <f t="shared" si="28"/>
        <v>4300740.9000000004</v>
      </c>
      <c r="K195" s="44">
        <f t="shared" si="22"/>
        <v>2.7192797349928901E-3</v>
      </c>
      <c r="L195" s="45">
        <v>40545.730058057474</v>
      </c>
      <c r="M195" s="45">
        <v>24057.348025441283</v>
      </c>
      <c r="N195" s="45">
        <f t="shared" si="29"/>
        <v>207961.10808349875</v>
      </c>
      <c r="O195" s="46">
        <f t="shared" si="30"/>
        <v>6238833.2425049627</v>
      </c>
      <c r="P195" s="47">
        <f t="shared" si="23"/>
        <v>294727.01566666667</v>
      </c>
      <c r="Q195" s="46">
        <v>774950</v>
      </c>
      <c r="R195" s="47">
        <f t="shared" si="31"/>
        <v>480222.98433333333</v>
      </c>
      <c r="S195" s="191">
        <f t="shared" si="32"/>
        <v>0.61968253994881395</v>
      </c>
      <c r="T195" s="42">
        <v>8841810.4700000007</v>
      </c>
      <c r="U195" s="48">
        <f t="shared" si="24"/>
        <v>0.70560585568681189</v>
      </c>
      <c r="V195" s="49"/>
    </row>
    <row r="196" spans="1:22" x14ac:dyDescent="0.3">
      <c r="A196" s="40" t="str">
        <f>VLOOKUP(B196,Grupos!$A$2:$B$619,2,FALSE)</f>
        <v>TABLEROS 225 AMP COBRE</v>
      </c>
      <c r="B196" s="41" t="s">
        <v>317</v>
      </c>
      <c r="C196" s="41" t="s">
        <v>318</v>
      </c>
      <c r="D196" s="42">
        <v>28</v>
      </c>
      <c r="E196" s="43">
        <v>140771.03</v>
      </c>
      <c r="F196" s="192">
        <v>7561.91</v>
      </c>
      <c r="G196" s="126">
        <f t="shared" si="25"/>
        <v>148332.94</v>
      </c>
      <c r="H196" s="127">
        <f t="shared" si="26"/>
        <v>3941588.84</v>
      </c>
      <c r="I196" s="128">
        <f t="shared" si="27"/>
        <v>211733.47999999998</v>
      </c>
      <c r="J196" s="128">
        <f t="shared" si="28"/>
        <v>4153322.3200000003</v>
      </c>
      <c r="K196" s="44">
        <f t="shared" si="22"/>
        <v>2.6260696657335616E-3</v>
      </c>
      <c r="L196" s="45">
        <v>41952.776164390903</v>
      </c>
      <c r="M196" s="45">
        <v>49624.379245393313</v>
      </c>
      <c r="N196" s="45">
        <f t="shared" si="29"/>
        <v>239910.09540978423</v>
      </c>
      <c r="O196" s="46">
        <f t="shared" si="30"/>
        <v>6717482.6714739585</v>
      </c>
      <c r="P196" s="47">
        <f t="shared" si="23"/>
        <v>291964.05285714287</v>
      </c>
      <c r="Q196" s="46">
        <v>737150</v>
      </c>
      <c r="R196" s="47">
        <f t="shared" si="31"/>
        <v>445185.94714285713</v>
      </c>
      <c r="S196" s="191">
        <f t="shared" si="32"/>
        <v>0.60392857239755426</v>
      </c>
      <c r="T196" s="42">
        <v>8174993.4800000004</v>
      </c>
      <c r="U196" s="48">
        <f t="shared" si="24"/>
        <v>0.82171107388748132</v>
      </c>
      <c r="V196" s="49"/>
    </row>
    <row r="197" spans="1:22" x14ac:dyDescent="0.3">
      <c r="A197" s="40" t="str">
        <f>VLOOKUP(B197,Grupos!$A$2:$B$619,2,FALSE)</f>
        <v>TABLEROS 225 AMP COBRE</v>
      </c>
      <c r="B197" s="41" t="s">
        <v>319</v>
      </c>
      <c r="C197" s="41" t="s">
        <v>320</v>
      </c>
      <c r="D197" s="42">
        <v>39</v>
      </c>
      <c r="E197" s="43">
        <v>153964.97</v>
      </c>
      <c r="F197" s="192">
        <v>4491.3900000000003</v>
      </c>
      <c r="G197" s="126">
        <f t="shared" si="25"/>
        <v>158456.36000000002</v>
      </c>
      <c r="H197" s="127">
        <f t="shared" si="26"/>
        <v>6004633.8300000001</v>
      </c>
      <c r="I197" s="128">
        <f t="shared" si="27"/>
        <v>175164.21000000002</v>
      </c>
      <c r="J197" s="128">
        <f t="shared" si="28"/>
        <v>6179798.040000001</v>
      </c>
      <c r="K197" s="44">
        <f t="shared" ref="K197:K260" si="33">J197/$J$274</f>
        <v>3.9073731636613549E-3</v>
      </c>
      <c r="L197" s="45">
        <v>44815.967396750471</v>
      </c>
      <c r="M197" s="45">
        <v>29474.357761328432</v>
      </c>
      <c r="N197" s="45">
        <f t="shared" si="29"/>
        <v>232746.68515807891</v>
      </c>
      <c r="O197" s="46">
        <f t="shared" si="30"/>
        <v>9077120.7211650778</v>
      </c>
      <c r="P197" s="47">
        <f t="shared" ref="P197:P260" si="34">T197/D197</f>
        <v>413903.58717948716</v>
      </c>
      <c r="Q197" s="46">
        <v>1053750</v>
      </c>
      <c r="R197" s="47">
        <f t="shared" si="31"/>
        <v>639846.41282051289</v>
      </c>
      <c r="S197" s="191">
        <f t="shared" si="32"/>
        <v>0.60720893268850573</v>
      </c>
      <c r="T197" s="42">
        <v>16142239.9</v>
      </c>
      <c r="U197" s="48">
        <f t="shared" ref="U197:U260" si="35">O197/T197</f>
        <v>0.56232101476605345</v>
      </c>
      <c r="V197" s="49"/>
    </row>
    <row r="198" spans="1:22" x14ac:dyDescent="0.3">
      <c r="A198" s="40" t="str">
        <f>VLOOKUP(B198,Grupos!$A$2:$B$619,2,FALSE)</f>
        <v>TABLEROS 225 AMP COBRE</v>
      </c>
      <c r="B198" s="41" t="s">
        <v>321</v>
      </c>
      <c r="C198" s="41" t="s">
        <v>322</v>
      </c>
      <c r="D198" s="42">
        <v>57</v>
      </c>
      <c r="E198" s="43">
        <v>155353.47</v>
      </c>
      <c r="F198" s="192">
        <v>9184.11</v>
      </c>
      <c r="G198" s="126">
        <f t="shared" ref="G198:G261" si="36">E198+F198</f>
        <v>164537.58000000002</v>
      </c>
      <c r="H198" s="127">
        <f t="shared" ref="H198:H261" si="37">E198*D198</f>
        <v>8855147.790000001</v>
      </c>
      <c r="I198" s="128">
        <f t="shared" ref="I198:I261" si="38">F198*D198</f>
        <v>523494.27</v>
      </c>
      <c r="J198" s="128">
        <f t="shared" ref="J198:J261" si="39">G198*D198</f>
        <v>9378642.0600000005</v>
      </c>
      <c r="K198" s="44">
        <f t="shared" si="33"/>
        <v>5.9299436744747799E-3</v>
      </c>
      <c r="L198" s="45">
        <v>46535.909450527717</v>
      </c>
      <c r="M198" s="45">
        <v>60269.926205338226</v>
      </c>
      <c r="N198" s="45">
        <f t="shared" ref="N198:N261" si="40">G198+L198+M198</f>
        <v>271343.41565586597</v>
      </c>
      <c r="O198" s="46">
        <f t="shared" ref="O198:O261" si="41">N198*D198</f>
        <v>15466574.69238436</v>
      </c>
      <c r="P198" s="47">
        <f t="shared" si="34"/>
        <v>413999.64701754384</v>
      </c>
      <c r="Q198" s="46">
        <v>1022000</v>
      </c>
      <c r="R198" s="47">
        <f t="shared" si="31"/>
        <v>608000.3529824561</v>
      </c>
      <c r="S198" s="191">
        <f t="shared" si="32"/>
        <v>0.59491228276169872</v>
      </c>
      <c r="T198" s="42">
        <v>23597979.879999999</v>
      </c>
      <c r="U198" s="48">
        <f t="shared" si="35"/>
        <v>0.65541943721601148</v>
      </c>
      <c r="V198" s="49"/>
    </row>
    <row r="199" spans="1:22" x14ac:dyDescent="0.3">
      <c r="A199" s="40" t="str">
        <f>VLOOKUP(B199,Grupos!$A$2:$B$619,2,FALSE)</f>
        <v>TABLEROS 225 AMP COBRE</v>
      </c>
      <c r="B199" s="41" t="s">
        <v>323</v>
      </c>
      <c r="C199" s="41" t="s">
        <v>324</v>
      </c>
      <c r="D199" s="42">
        <v>15</v>
      </c>
      <c r="E199" s="43">
        <v>150708.57</v>
      </c>
      <c r="F199" s="192">
        <v>3953.93</v>
      </c>
      <c r="G199" s="126">
        <f t="shared" si="36"/>
        <v>154662.5</v>
      </c>
      <c r="H199" s="127">
        <f t="shared" si="37"/>
        <v>2260628.5500000003</v>
      </c>
      <c r="I199" s="128">
        <f t="shared" si="38"/>
        <v>59308.95</v>
      </c>
      <c r="J199" s="128">
        <f t="shared" si="39"/>
        <v>2319937.5</v>
      </c>
      <c r="K199" s="44">
        <f t="shared" si="33"/>
        <v>1.4668540088523044E-3</v>
      </c>
      <c r="L199" s="45">
        <v>43742.955836546535</v>
      </c>
      <c r="M199" s="45">
        <v>25947.323074426695</v>
      </c>
      <c r="N199" s="45">
        <f t="shared" si="40"/>
        <v>224352.77891097325</v>
      </c>
      <c r="O199" s="46">
        <f t="shared" si="41"/>
        <v>3365291.683664599</v>
      </c>
      <c r="P199" s="47">
        <f t="shared" si="34"/>
        <v>355781.98533333337</v>
      </c>
      <c r="Q199" s="46">
        <v>886500</v>
      </c>
      <c r="R199" s="47">
        <f t="shared" ref="R199:R262" si="42">Q199-P199</f>
        <v>530718.01466666663</v>
      </c>
      <c r="S199" s="191">
        <f t="shared" ref="S199:S262" si="43">R199/Q199</f>
        <v>0.59866668321112981</v>
      </c>
      <c r="T199" s="42">
        <v>5336729.78</v>
      </c>
      <c r="U199" s="48">
        <f t="shared" si="35"/>
        <v>0.63059060930467403</v>
      </c>
      <c r="V199" s="49"/>
    </row>
    <row r="200" spans="1:22" x14ac:dyDescent="0.3">
      <c r="A200" s="40" t="str">
        <f>VLOOKUP(B200,Grupos!$A$2:$B$619,2,FALSE)</f>
        <v>TABLEROS 225 AMP COBRE</v>
      </c>
      <c r="B200" s="41" t="s">
        <v>325</v>
      </c>
      <c r="C200" s="41" t="s">
        <v>326</v>
      </c>
      <c r="D200" s="42">
        <v>19</v>
      </c>
      <c r="E200" s="43">
        <v>151896.51999999999</v>
      </c>
      <c r="F200" s="192">
        <v>8243.17</v>
      </c>
      <c r="G200" s="126">
        <f t="shared" si="36"/>
        <v>160139.69</v>
      </c>
      <c r="H200" s="127">
        <f t="shared" si="37"/>
        <v>2886033.88</v>
      </c>
      <c r="I200" s="128">
        <f t="shared" si="38"/>
        <v>156620.23000000001</v>
      </c>
      <c r="J200" s="128">
        <f t="shared" si="39"/>
        <v>3042654.11</v>
      </c>
      <c r="K200" s="44">
        <f t="shared" si="33"/>
        <v>1.9238144901767571E-3</v>
      </c>
      <c r="L200" s="45">
        <v>45292.061018981673</v>
      </c>
      <c r="M200" s="45">
        <v>54095.088974114842</v>
      </c>
      <c r="N200" s="45">
        <f t="shared" si="40"/>
        <v>259526.83999309654</v>
      </c>
      <c r="O200" s="46">
        <f t="shared" si="41"/>
        <v>4931009.9598688344</v>
      </c>
      <c r="P200" s="47">
        <f t="shared" si="34"/>
        <v>338954.62789473683</v>
      </c>
      <c r="Q200" s="46">
        <v>842950</v>
      </c>
      <c r="R200" s="47">
        <f t="shared" si="42"/>
        <v>503995.37210526317</v>
      </c>
      <c r="S200" s="191">
        <f t="shared" si="43"/>
        <v>0.59789474121272101</v>
      </c>
      <c r="T200" s="42">
        <v>6440137.9299999997</v>
      </c>
      <c r="U200" s="48">
        <f t="shared" si="35"/>
        <v>0.7656683775201123</v>
      </c>
      <c r="V200" s="49"/>
    </row>
    <row r="201" spans="1:22" x14ac:dyDescent="0.3">
      <c r="A201" s="40" t="str">
        <f>VLOOKUP(B201,Grupos!$A$2:$B$619,2,FALSE)</f>
        <v>TABLEROS 225 AMP COBRE</v>
      </c>
      <c r="B201" s="41" t="s">
        <v>327</v>
      </c>
      <c r="C201" s="41" t="s">
        <v>328</v>
      </c>
      <c r="D201" s="42">
        <v>28</v>
      </c>
      <c r="E201" s="43">
        <v>172685.75</v>
      </c>
      <c r="F201" s="192">
        <v>4724.13</v>
      </c>
      <c r="G201" s="126">
        <f t="shared" si="36"/>
        <v>177409.88</v>
      </c>
      <c r="H201" s="127">
        <f t="shared" si="37"/>
        <v>4835201</v>
      </c>
      <c r="I201" s="128">
        <f t="shared" si="38"/>
        <v>132275.64000000001</v>
      </c>
      <c r="J201" s="128">
        <f t="shared" si="39"/>
        <v>4967476.6400000006</v>
      </c>
      <c r="K201" s="44">
        <f t="shared" si="33"/>
        <v>3.140844537089545E-3</v>
      </c>
      <c r="L201" s="45">
        <v>50176.562164758892</v>
      </c>
      <c r="M201" s="45">
        <v>31001.693847789764</v>
      </c>
      <c r="N201" s="45">
        <f t="shared" si="40"/>
        <v>258588.13601254864</v>
      </c>
      <c r="O201" s="46">
        <f t="shared" si="41"/>
        <v>7240467.8083513621</v>
      </c>
      <c r="P201" s="47">
        <f t="shared" si="34"/>
        <v>444837.23678571434</v>
      </c>
      <c r="Q201" s="46">
        <v>1151150</v>
      </c>
      <c r="R201" s="47">
        <f t="shared" si="42"/>
        <v>706312.76321428572</v>
      </c>
      <c r="S201" s="191">
        <f t="shared" si="43"/>
        <v>0.61357144005063258</v>
      </c>
      <c r="T201" s="42">
        <v>12455442.630000001</v>
      </c>
      <c r="U201" s="48">
        <f t="shared" si="35"/>
        <v>0.58130955466103429</v>
      </c>
      <c r="V201" s="49"/>
    </row>
    <row r="202" spans="1:22" x14ac:dyDescent="0.3">
      <c r="A202" s="40" t="str">
        <f>VLOOKUP(B202,Grupos!$A$2:$B$619,2,FALSE)</f>
        <v>TABLEROS 225 AMP COBRE</v>
      </c>
      <c r="B202" s="41" t="s">
        <v>329</v>
      </c>
      <c r="C202" s="41" t="s">
        <v>330</v>
      </c>
      <c r="D202" s="42">
        <v>66</v>
      </c>
      <c r="E202" s="43">
        <v>174127.09</v>
      </c>
      <c r="F202" s="192">
        <v>9084.8799999999992</v>
      </c>
      <c r="G202" s="126">
        <f t="shared" si="36"/>
        <v>183211.97</v>
      </c>
      <c r="H202" s="127">
        <f t="shared" si="37"/>
        <v>11492387.939999999</v>
      </c>
      <c r="I202" s="128">
        <f t="shared" si="38"/>
        <v>599602.07999999996</v>
      </c>
      <c r="J202" s="128">
        <f t="shared" si="39"/>
        <v>12091990.02</v>
      </c>
      <c r="K202" s="44">
        <f t="shared" si="33"/>
        <v>7.6455439147990224E-3</v>
      </c>
      <c r="L202" s="45">
        <v>51817.558312045192</v>
      </c>
      <c r="M202" s="45">
        <v>59618.737927175636</v>
      </c>
      <c r="N202" s="45">
        <f t="shared" si="40"/>
        <v>294648.26623922086</v>
      </c>
      <c r="O202" s="46">
        <f t="shared" si="41"/>
        <v>19446785.571788576</v>
      </c>
      <c r="P202" s="47">
        <f t="shared" si="34"/>
        <v>440919.44030303031</v>
      </c>
      <c r="Q202" s="46">
        <v>1116450</v>
      </c>
      <c r="R202" s="47">
        <f t="shared" si="42"/>
        <v>675530.55969696969</v>
      </c>
      <c r="S202" s="191">
        <f t="shared" si="43"/>
        <v>0.60507014169642137</v>
      </c>
      <c r="T202" s="42">
        <v>29100683.059999999</v>
      </c>
      <c r="U202" s="48">
        <f t="shared" si="35"/>
        <v>0.66825873233604349</v>
      </c>
      <c r="V202" s="49"/>
    </row>
    <row r="203" spans="1:22" x14ac:dyDescent="0.3">
      <c r="A203" s="40" t="str">
        <f>VLOOKUP(B203,Grupos!$A$2:$B$619,2,FALSE)</f>
        <v>TABLEROS 75 AMP BIMETALICO CON PUERTA</v>
      </c>
      <c r="B203" s="41" t="s">
        <v>331</v>
      </c>
      <c r="C203" s="41" t="s">
        <v>332</v>
      </c>
      <c r="D203" s="42">
        <v>216</v>
      </c>
      <c r="E203" s="43">
        <v>8388.35</v>
      </c>
      <c r="F203" s="43">
        <v>875.86</v>
      </c>
      <c r="G203" s="126">
        <f t="shared" si="36"/>
        <v>9264.2100000000009</v>
      </c>
      <c r="H203" s="127">
        <f t="shared" si="37"/>
        <v>1811883.6</v>
      </c>
      <c r="I203" s="128">
        <f t="shared" si="38"/>
        <v>189185.76</v>
      </c>
      <c r="J203" s="128">
        <f t="shared" si="39"/>
        <v>2001069.36</v>
      </c>
      <c r="K203" s="44">
        <f t="shared" si="33"/>
        <v>1.2652395216282831E-3</v>
      </c>
      <c r="L203" s="45">
        <v>2620.1821960106213</v>
      </c>
      <c r="M203" s="45">
        <v>5747.7553694595927</v>
      </c>
      <c r="N203" s="45">
        <f t="shared" si="40"/>
        <v>17632.147565470215</v>
      </c>
      <c r="O203" s="46">
        <f t="shared" si="41"/>
        <v>3808543.8741415665</v>
      </c>
      <c r="P203" s="47">
        <f t="shared" si="34"/>
        <v>29138.08388888889</v>
      </c>
      <c r="Q203" s="46">
        <v>73150</v>
      </c>
      <c r="R203" s="47">
        <f t="shared" si="42"/>
        <v>44011.91611111111</v>
      </c>
      <c r="S203" s="191">
        <f t="shared" si="43"/>
        <v>0.60166665907192218</v>
      </c>
      <c r="T203" s="42">
        <v>6293826.1200000001</v>
      </c>
      <c r="U203" s="48">
        <f t="shared" si="35"/>
        <v>0.60512378345488294</v>
      </c>
      <c r="V203" s="49"/>
    </row>
    <row r="204" spans="1:22" x14ac:dyDescent="0.3">
      <c r="A204" s="40" t="str">
        <f>VLOOKUP(B204,Grupos!$A$2:$B$619,2,FALSE)</f>
        <v>TABLEROS 75 AMP BIMETALICO CON PUERTA</v>
      </c>
      <c r="B204" s="41" t="s">
        <v>333</v>
      </c>
      <c r="C204" s="41" t="s">
        <v>334</v>
      </c>
      <c r="D204" s="42">
        <v>378</v>
      </c>
      <c r="E204" s="43">
        <v>8718.8700000000008</v>
      </c>
      <c r="F204" s="43">
        <v>998.35</v>
      </c>
      <c r="G204" s="126">
        <f t="shared" si="36"/>
        <v>9717.2200000000012</v>
      </c>
      <c r="H204" s="127">
        <f t="shared" si="37"/>
        <v>3295732.8600000003</v>
      </c>
      <c r="I204" s="128">
        <f t="shared" si="38"/>
        <v>377376.3</v>
      </c>
      <c r="J204" s="128">
        <f t="shared" si="39"/>
        <v>3673109.1600000006</v>
      </c>
      <c r="K204" s="44">
        <f t="shared" si="33"/>
        <v>2.3224396761973637E-3</v>
      </c>
      <c r="L204" s="45">
        <v>2748.3063141615248</v>
      </c>
      <c r="M204" s="45">
        <v>6551.5853824812002</v>
      </c>
      <c r="N204" s="45">
        <f t="shared" si="40"/>
        <v>19017.111696642725</v>
      </c>
      <c r="O204" s="46">
        <f t="shared" si="41"/>
        <v>7188468.22133095</v>
      </c>
      <c r="P204" s="47">
        <f t="shared" si="34"/>
        <v>27898.33367724868</v>
      </c>
      <c r="Q204" s="46">
        <v>73150</v>
      </c>
      <c r="R204" s="47">
        <f t="shared" si="42"/>
        <v>45251.66632275132</v>
      </c>
      <c r="S204" s="191">
        <f t="shared" si="43"/>
        <v>0.6186147139132101</v>
      </c>
      <c r="T204" s="42">
        <v>10545570.130000001</v>
      </c>
      <c r="U204" s="48">
        <f t="shared" si="35"/>
        <v>0.68165761857495222</v>
      </c>
      <c r="V204" s="49"/>
    </row>
    <row r="205" spans="1:22" x14ac:dyDescent="0.3">
      <c r="A205" s="40" t="str">
        <f>VLOOKUP(B205,Grupos!$A$2:$B$619,2,FALSE)</f>
        <v>TABLEROS 75 AMP BIMETALICO CON PUERTA</v>
      </c>
      <c r="B205" s="41" t="s">
        <v>335</v>
      </c>
      <c r="C205" s="41" t="s">
        <v>336</v>
      </c>
      <c r="D205" s="42">
        <v>96</v>
      </c>
      <c r="E205" s="43">
        <v>10223.36</v>
      </c>
      <c r="F205" s="43">
        <v>1083.96</v>
      </c>
      <c r="G205" s="126">
        <f t="shared" si="36"/>
        <v>11307.32</v>
      </c>
      <c r="H205" s="127">
        <f t="shared" si="37"/>
        <v>981442.56000000006</v>
      </c>
      <c r="I205" s="128">
        <f t="shared" si="38"/>
        <v>104060.16</v>
      </c>
      <c r="J205" s="128">
        <f t="shared" si="39"/>
        <v>1085502.72</v>
      </c>
      <c r="K205" s="44">
        <f t="shared" si="33"/>
        <v>6.863434969485516E-4</v>
      </c>
      <c r="L205" s="45">
        <v>3198.0318395842519</v>
      </c>
      <c r="M205" s="45">
        <v>7113.3935906188426</v>
      </c>
      <c r="N205" s="45">
        <f t="shared" si="40"/>
        <v>21618.745430203093</v>
      </c>
      <c r="O205" s="46">
        <f t="shared" si="41"/>
        <v>2075399.5612994968</v>
      </c>
      <c r="P205" s="47">
        <f t="shared" si="34"/>
        <v>35527.416145833333</v>
      </c>
      <c r="Q205" s="46">
        <v>88450</v>
      </c>
      <c r="R205" s="47">
        <f t="shared" si="42"/>
        <v>52922.583854166667</v>
      </c>
      <c r="S205" s="191">
        <f t="shared" si="43"/>
        <v>0.59833333922178256</v>
      </c>
      <c r="T205" s="42">
        <v>3410631.95</v>
      </c>
      <c r="U205" s="152">
        <f t="shared" si="35"/>
        <v>0.60850880180709521</v>
      </c>
      <c r="V205" s="49"/>
    </row>
    <row r="206" spans="1:22" x14ac:dyDescent="0.3">
      <c r="A206" s="40" t="str">
        <f>VLOOKUP(B206,Grupos!$A$2:$B$619,2,FALSE)</f>
        <v>TABLEROS 75 AMP BIMETALICO CON PUERTA</v>
      </c>
      <c r="B206" s="41" t="s">
        <v>337</v>
      </c>
      <c r="C206" s="41" t="s">
        <v>338</v>
      </c>
      <c r="D206" s="42">
        <v>210</v>
      </c>
      <c r="E206" s="43">
        <v>10543.15</v>
      </c>
      <c r="F206" s="43">
        <v>1153.75</v>
      </c>
      <c r="G206" s="126">
        <f t="shared" si="36"/>
        <v>11696.9</v>
      </c>
      <c r="H206" s="127">
        <f t="shared" si="37"/>
        <v>2214061.5</v>
      </c>
      <c r="I206" s="128">
        <f t="shared" si="38"/>
        <v>242287.5</v>
      </c>
      <c r="J206" s="128">
        <f t="shared" si="39"/>
        <v>2456349</v>
      </c>
      <c r="K206" s="44">
        <f t="shared" si="33"/>
        <v>1.5531045029404237E-3</v>
      </c>
      <c r="L206" s="45">
        <v>3308.21614886932</v>
      </c>
      <c r="M206" s="45">
        <v>7571.3844193295781</v>
      </c>
      <c r="N206" s="45">
        <f t="shared" si="40"/>
        <v>22576.500568198899</v>
      </c>
      <c r="O206" s="46">
        <f t="shared" si="41"/>
        <v>4741065.1193217691</v>
      </c>
      <c r="P206" s="47">
        <f t="shared" si="34"/>
        <v>33737.357095238098</v>
      </c>
      <c r="Q206" s="46">
        <v>88450</v>
      </c>
      <c r="R206" s="47">
        <f t="shared" si="42"/>
        <v>54712.642904761902</v>
      </c>
      <c r="S206" s="191">
        <f t="shared" si="43"/>
        <v>0.61857142910980101</v>
      </c>
      <c r="T206" s="42">
        <v>7084844.9900000002</v>
      </c>
      <c r="U206" s="152">
        <f t="shared" si="35"/>
        <v>0.66918402957490375</v>
      </c>
      <c r="V206" s="49"/>
    </row>
    <row r="207" spans="1:22" x14ac:dyDescent="0.3">
      <c r="A207" s="40" t="str">
        <f>VLOOKUP(B207,Grupos!$A$2:$B$619,2,FALSE)</f>
        <v>TABLEROS 75 AMP BIMETALICO CON PUERTA</v>
      </c>
      <c r="B207" s="41" t="s">
        <v>339</v>
      </c>
      <c r="C207" s="41" t="s">
        <v>340</v>
      </c>
      <c r="D207" s="42">
        <v>96</v>
      </c>
      <c r="E207" s="43">
        <v>12844.46</v>
      </c>
      <c r="F207" s="43">
        <v>1379.33</v>
      </c>
      <c r="G207" s="126">
        <f t="shared" si="36"/>
        <v>14223.789999999999</v>
      </c>
      <c r="H207" s="127">
        <f t="shared" si="37"/>
        <v>1233068.1599999999</v>
      </c>
      <c r="I207" s="128">
        <f t="shared" si="38"/>
        <v>132415.67999999999</v>
      </c>
      <c r="J207" s="128">
        <f t="shared" si="39"/>
        <v>1365483.8399999999</v>
      </c>
      <c r="K207" s="44">
        <f t="shared" si="33"/>
        <v>8.6337043335307025E-4</v>
      </c>
      <c r="L207" s="45">
        <v>4022.8925421373133</v>
      </c>
      <c r="M207" s="45">
        <v>9051.7336261008604</v>
      </c>
      <c r="N207" s="45">
        <f t="shared" si="40"/>
        <v>27298.416168238175</v>
      </c>
      <c r="O207" s="46">
        <f t="shared" si="41"/>
        <v>2620647.9521508645</v>
      </c>
      <c r="P207" s="47">
        <f t="shared" si="34"/>
        <v>58657.498229166667</v>
      </c>
      <c r="Q207" s="46">
        <v>148500</v>
      </c>
      <c r="R207" s="47">
        <f t="shared" si="42"/>
        <v>89842.501770833333</v>
      </c>
      <c r="S207" s="191">
        <f t="shared" si="43"/>
        <v>0.60500001192480357</v>
      </c>
      <c r="T207" s="42">
        <v>5631119.8300000001</v>
      </c>
      <c r="U207" s="48">
        <f t="shared" si="35"/>
        <v>0.46538664266905938</v>
      </c>
      <c r="V207" s="49"/>
    </row>
    <row r="208" spans="1:22" x14ac:dyDescent="0.3">
      <c r="A208" s="40" t="str">
        <f>VLOOKUP(B208,Grupos!$A$2:$B$619,2,FALSE)</f>
        <v>TABLEROS 75 AMP BIMETALICO CON PUERTA</v>
      </c>
      <c r="B208" s="41" t="s">
        <v>341</v>
      </c>
      <c r="C208" s="41" t="s">
        <v>342</v>
      </c>
      <c r="D208" s="42">
        <v>179</v>
      </c>
      <c r="E208" s="43">
        <v>13190.16</v>
      </c>
      <c r="F208" s="43">
        <v>1426.79</v>
      </c>
      <c r="G208" s="126">
        <f t="shared" si="36"/>
        <v>14616.95</v>
      </c>
      <c r="H208" s="127">
        <f t="shared" si="37"/>
        <v>2361038.64</v>
      </c>
      <c r="I208" s="128">
        <f t="shared" si="38"/>
        <v>255395.41</v>
      </c>
      <c r="J208" s="128">
        <f t="shared" si="39"/>
        <v>2616434.0500000003</v>
      </c>
      <c r="K208" s="44">
        <f t="shared" si="33"/>
        <v>1.6543233492885784E-3</v>
      </c>
      <c r="L208" s="45">
        <v>4134.0893772893169</v>
      </c>
      <c r="M208" s="45">
        <v>9363.1857643815802</v>
      </c>
      <c r="N208" s="45">
        <f t="shared" si="40"/>
        <v>28114.225141670897</v>
      </c>
      <c r="O208" s="46">
        <f t="shared" si="41"/>
        <v>5032446.3003590908</v>
      </c>
      <c r="P208" s="47">
        <f t="shared" si="34"/>
        <v>54696.913910614523</v>
      </c>
      <c r="Q208" s="46">
        <v>148500</v>
      </c>
      <c r="R208" s="47">
        <f t="shared" si="42"/>
        <v>93803.08608938547</v>
      </c>
      <c r="S208" s="191">
        <f t="shared" si="43"/>
        <v>0.63167061339653519</v>
      </c>
      <c r="T208" s="42">
        <v>9790747.5899999999</v>
      </c>
      <c r="U208" s="48">
        <f t="shared" si="35"/>
        <v>0.51400020826796644</v>
      </c>
      <c r="V208" s="49"/>
    </row>
    <row r="209" spans="1:22" x14ac:dyDescent="0.3">
      <c r="A209" s="40" t="str">
        <f>VLOOKUP(B209,Grupos!$A$2:$B$619,2,FALSE)</f>
        <v>TABLEROS 75 AMP BIMETALICO TAPA LISA</v>
      </c>
      <c r="B209" s="41" t="s">
        <v>343</v>
      </c>
      <c r="C209" s="41" t="s">
        <v>1086</v>
      </c>
      <c r="D209" s="42">
        <v>48</v>
      </c>
      <c r="E209" s="43">
        <v>6098.85</v>
      </c>
      <c r="F209" s="192">
        <v>461.27</v>
      </c>
      <c r="G209" s="126">
        <f t="shared" si="36"/>
        <v>6560.1200000000008</v>
      </c>
      <c r="H209" s="127">
        <f t="shared" si="37"/>
        <v>292744.80000000005</v>
      </c>
      <c r="I209" s="128">
        <f t="shared" si="38"/>
        <v>22140.959999999999</v>
      </c>
      <c r="J209" s="128">
        <f t="shared" si="39"/>
        <v>314885.76000000001</v>
      </c>
      <c r="K209" s="44">
        <f t="shared" si="33"/>
        <v>1.9909650125768673E-4</v>
      </c>
      <c r="L209" s="45">
        <v>1855.3886006138894</v>
      </c>
      <c r="M209" s="45">
        <v>3027.0444126579887</v>
      </c>
      <c r="N209" s="45">
        <f t="shared" si="40"/>
        <v>11442.553013271878</v>
      </c>
      <c r="O209" s="46">
        <f t="shared" si="41"/>
        <v>549242.54463705013</v>
      </c>
      <c r="P209" s="47">
        <f t="shared" si="34"/>
        <v>14818.500208333333</v>
      </c>
      <c r="Q209" s="46">
        <v>40050</v>
      </c>
      <c r="R209" s="47">
        <f t="shared" si="42"/>
        <v>25231.499791666669</v>
      </c>
      <c r="S209" s="191">
        <f t="shared" si="43"/>
        <v>0.62999999479816904</v>
      </c>
      <c r="T209" s="42">
        <v>711288.01</v>
      </c>
      <c r="U209" s="48">
        <f t="shared" si="35"/>
        <v>0.77218023770293853</v>
      </c>
      <c r="V209" s="49"/>
    </row>
    <row r="210" spans="1:22" x14ac:dyDescent="0.3">
      <c r="A210" s="40" t="str">
        <f>VLOOKUP(B210,Grupos!$A$2:$B$619,2,FALSE)</f>
        <v>TABLEROS 75 AMP BIMETALICO TAPA LISA</v>
      </c>
      <c r="B210" s="41" t="s">
        <v>344</v>
      </c>
      <c r="C210" s="41" t="s">
        <v>345</v>
      </c>
      <c r="D210" s="42">
        <v>48</v>
      </c>
      <c r="E210" s="43">
        <v>5756.34</v>
      </c>
      <c r="F210" s="192">
        <v>449.37</v>
      </c>
      <c r="G210" s="126">
        <f t="shared" si="36"/>
        <v>6205.71</v>
      </c>
      <c r="H210" s="127">
        <f t="shared" si="37"/>
        <v>276304.32</v>
      </c>
      <c r="I210" s="128">
        <f t="shared" si="38"/>
        <v>21569.760000000002</v>
      </c>
      <c r="J210" s="128">
        <f t="shared" si="39"/>
        <v>297874.08</v>
      </c>
      <c r="K210" s="44">
        <f t="shared" si="33"/>
        <v>1.8834032743605898E-4</v>
      </c>
      <c r="L210" s="45">
        <v>1755.1513680718679</v>
      </c>
      <c r="M210" s="45">
        <v>2948.9516936200498</v>
      </c>
      <c r="N210" s="45">
        <f t="shared" si="40"/>
        <v>10909.813061691919</v>
      </c>
      <c r="O210" s="46">
        <f t="shared" si="41"/>
        <v>523671.0269612121</v>
      </c>
      <c r="P210" s="47">
        <f t="shared" si="34"/>
        <v>16169.000208333333</v>
      </c>
      <c r="Q210" s="46">
        <v>43700</v>
      </c>
      <c r="R210" s="47">
        <f t="shared" si="42"/>
        <v>27530.999791666669</v>
      </c>
      <c r="S210" s="191">
        <f t="shared" si="43"/>
        <v>0.62999999523264694</v>
      </c>
      <c r="T210" s="42">
        <v>776112.01</v>
      </c>
      <c r="U210" s="48">
        <f t="shared" si="35"/>
        <v>0.67473640429969906</v>
      </c>
      <c r="V210" s="49"/>
    </row>
    <row r="211" spans="1:22" x14ac:dyDescent="0.3">
      <c r="A211" s="40" t="str">
        <f>VLOOKUP(B211,Grupos!$A$2:$B$619,2,FALSE)</f>
        <v>TABLEROS 75 AMP BIMETALICO TAPA LISA</v>
      </c>
      <c r="B211" s="41" t="s">
        <v>346</v>
      </c>
      <c r="C211" s="41" t="s">
        <v>347</v>
      </c>
      <c r="D211" s="42">
        <v>720</v>
      </c>
      <c r="E211" s="43">
        <v>5399.91</v>
      </c>
      <c r="F211" s="192">
        <v>428.72</v>
      </c>
      <c r="G211" s="126">
        <f t="shared" si="36"/>
        <v>5828.63</v>
      </c>
      <c r="H211" s="127">
        <f t="shared" si="37"/>
        <v>3887935.1999999997</v>
      </c>
      <c r="I211" s="128">
        <f t="shared" si="38"/>
        <v>308678.40000000002</v>
      </c>
      <c r="J211" s="128">
        <f t="shared" si="39"/>
        <v>4196613.5999999996</v>
      </c>
      <c r="K211" s="44">
        <f t="shared" si="33"/>
        <v>2.6534419495198042E-3</v>
      </c>
      <c r="L211" s="45">
        <v>1648.5024144674387</v>
      </c>
      <c r="M211" s="45">
        <v>2813.4378576424501</v>
      </c>
      <c r="N211" s="45">
        <f t="shared" si="40"/>
        <v>10290.57027210989</v>
      </c>
      <c r="O211" s="46">
        <f t="shared" si="41"/>
        <v>7409210.5959191201</v>
      </c>
      <c r="P211" s="47">
        <f t="shared" si="34"/>
        <v>16020.00048611111</v>
      </c>
      <c r="Q211" s="46">
        <v>40050</v>
      </c>
      <c r="R211" s="47">
        <f t="shared" si="42"/>
        <v>24029.999513888892</v>
      </c>
      <c r="S211" s="191">
        <f t="shared" si="43"/>
        <v>0.59999998786239428</v>
      </c>
      <c r="T211" s="42">
        <v>11534400.35</v>
      </c>
      <c r="U211" s="48">
        <f t="shared" si="35"/>
        <v>0.6423576753965472</v>
      </c>
      <c r="V211" s="49"/>
    </row>
    <row r="212" spans="1:22" x14ac:dyDescent="0.3">
      <c r="A212" s="40" t="str">
        <f>VLOOKUP(B212,Grupos!$A$2:$B$619,2,FALSE)</f>
        <v>TABLEROS 75 AMP BIMETALICO TAPA LISA</v>
      </c>
      <c r="B212" s="41" t="s">
        <v>348</v>
      </c>
      <c r="C212" s="41" t="s">
        <v>349</v>
      </c>
      <c r="D212" s="42">
        <v>100</v>
      </c>
      <c r="E212" s="43">
        <v>8246.8799999999992</v>
      </c>
      <c r="F212" s="192">
        <v>884.52</v>
      </c>
      <c r="G212" s="126">
        <f t="shared" si="36"/>
        <v>9131.4</v>
      </c>
      <c r="H212" s="127">
        <f t="shared" si="37"/>
        <v>824687.99999999988</v>
      </c>
      <c r="I212" s="128">
        <f t="shared" si="38"/>
        <v>88452</v>
      </c>
      <c r="J212" s="128">
        <f t="shared" si="39"/>
        <v>913140</v>
      </c>
      <c r="K212" s="44">
        <f t="shared" si="33"/>
        <v>5.7736170463359179E-4</v>
      </c>
      <c r="L212" s="45">
        <v>2582.6197489749688</v>
      </c>
      <c r="M212" s="45">
        <v>5804.5858691964449</v>
      </c>
      <c r="N212" s="45">
        <f t="shared" si="40"/>
        <v>17518.605618171412</v>
      </c>
      <c r="O212" s="46">
        <f t="shared" si="41"/>
        <v>1751860.5618171412</v>
      </c>
      <c r="P212" s="47">
        <f t="shared" si="34"/>
        <v>19503.201000000001</v>
      </c>
      <c r="Q212" s="46">
        <v>51850</v>
      </c>
      <c r="R212" s="47">
        <f t="shared" si="42"/>
        <v>32346.798999999999</v>
      </c>
      <c r="S212" s="191">
        <f t="shared" si="43"/>
        <v>0.62385340405014467</v>
      </c>
      <c r="T212" s="42">
        <v>1950320.1</v>
      </c>
      <c r="U212" s="48">
        <f t="shared" si="35"/>
        <v>0.89824258172652849</v>
      </c>
      <c r="V212" s="49"/>
    </row>
    <row r="213" spans="1:22" x14ac:dyDescent="0.3">
      <c r="A213" s="40" t="str">
        <f>VLOOKUP(B213,Grupos!$A$2:$B$619,2,FALSE)</f>
        <v>TABLEROS 75 AMP BIMETALICO TAPA LISA</v>
      </c>
      <c r="B213" s="41" t="s">
        <v>350</v>
      </c>
      <c r="C213" s="41" t="s">
        <v>351</v>
      </c>
      <c r="D213" s="42">
        <v>760</v>
      </c>
      <c r="E213" s="43">
        <v>7325.64</v>
      </c>
      <c r="F213" s="192">
        <v>724.35</v>
      </c>
      <c r="G213" s="126">
        <f t="shared" si="36"/>
        <v>8049.9900000000007</v>
      </c>
      <c r="H213" s="127">
        <f t="shared" si="37"/>
        <v>5567486.4000000004</v>
      </c>
      <c r="I213" s="128">
        <f t="shared" si="38"/>
        <v>550506</v>
      </c>
      <c r="J213" s="128">
        <f t="shared" si="39"/>
        <v>6117992.4000000004</v>
      </c>
      <c r="K213" s="44">
        <f t="shared" si="33"/>
        <v>3.8682945889998896E-3</v>
      </c>
      <c r="L213" s="45">
        <v>2276.7662300469815</v>
      </c>
      <c r="M213" s="45">
        <v>4753.4841205992461</v>
      </c>
      <c r="N213" s="45">
        <f t="shared" si="40"/>
        <v>15080.240350646229</v>
      </c>
      <c r="O213" s="46">
        <f t="shared" si="41"/>
        <v>11460982.666491134</v>
      </c>
      <c r="P213" s="47">
        <f t="shared" si="34"/>
        <v>18040.197184210527</v>
      </c>
      <c r="Q213" s="46">
        <v>45550</v>
      </c>
      <c r="R213" s="47">
        <f t="shared" si="42"/>
        <v>27509.802815789473</v>
      </c>
      <c r="S213" s="191">
        <f t="shared" si="43"/>
        <v>0.60394737246519148</v>
      </c>
      <c r="T213" s="42">
        <v>13710549.859999999</v>
      </c>
      <c r="U213" s="48">
        <f t="shared" si="35"/>
        <v>0.83592436361200284</v>
      </c>
      <c r="V213" s="49"/>
    </row>
    <row r="214" spans="1:22" x14ac:dyDescent="0.3">
      <c r="A214" s="40" t="str">
        <f>VLOOKUP(B214,Grupos!$A$2:$B$619,2,FALSE)</f>
        <v>TABLEROS 75 AMP BIMETALICO TAPA LISA</v>
      </c>
      <c r="B214" s="41" t="s">
        <v>352</v>
      </c>
      <c r="C214" s="41" t="s">
        <v>353</v>
      </c>
      <c r="D214" s="42">
        <v>1180</v>
      </c>
      <c r="E214" s="43">
        <v>7779.89</v>
      </c>
      <c r="F214" s="192">
        <v>900.79</v>
      </c>
      <c r="G214" s="126">
        <f t="shared" si="36"/>
        <v>8680.68</v>
      </c>
      <c r="H214" s="127">
        <f t="shared" si="37"/>
        <v>9180270.2000000011</v>
      </c>
      <c r="I214" s="128">
        <f t="shared" si="38"/>
        <v>1062932.2</v>
      </c>
      <c r="J214" s="128">
        <f t="shared" si="39"/>
        <v>10243202.4</v>
      </c>
      <c r="K214" s="44">
        <f t="shared" si="33"/>
        <v>6.4765893494654692E-3</v>
      </c>
      <c r="L214" s="45">
        <v>2455.1433079847593</v>
      </c>
      <c r="M214" s="45">
        <v>5911.3563346373912</v>
      </c>
      <c r="N214" s="45">
        <f t="shared" si="40"/>
        <v>17047.179642622152</v>
      </c>
      <c r="O214" s="46">
        <f t="shared" si="41"/>
        <v>20115671.978294138</v>
      </c>
      <c r="P214" s="47">
        <f t="shared" si="34"/>
        <v>22172.177533898302</v>
      </c>
      <c r="Q214" s="46">
        <v>59650</v>
      </c>
      <c r="R214" s="47">
        <f t="shared" si="42"/>
        <v>37477.822466101701</v>
      </c>
      <c r="S214" s="191">
        <f t="shared" si="43"/>
        <v>0.62829543111654151</v>
      </c>
      <c r="T214" s="42">
        <v>26163169.489999998</v>
      </c>
      <c r="U214" s="48">
        <f t="shared" si="35"/>
        <v>0.76885455280877513</v>
      </c>
      <c r="V214" s="49"/>
    </row>
    <row r="215" spans="1:22" x14ac:dyDescent="0.3">
      <c r="A215" s="40" t="str">
        <f>VLOOKUP(B215,Grupos!$A$2:$B$619,2,FALSE)</f>
        <v>TABLEROS 75 AMP BIMETALICO TAPA LISA</v>
      </c>
      <c r="B215" s="41" t="s">
        <v>754</v>
      </c>
      <c r="C215" s="41" t="s">
        <v>1126</v>
      </c>
      <c r="D215" s="42">
        <v>6180</v>
      </c>
      <c r="E215" s="43">
        <v>9295.81</v>
      </c>
      <c r="F215" s="192">
        <v>738.77</v>
      </c>
      <c r="G215" s="126">
        <f t="shared" si="36"/>
        <v>10034.58</v>
      </c>
      <c r="H215" s="127">
        <f t="shared" si="37"/>
        <v>57448105.799999997</v>
      </c>
      <c r="I215" s="128">
        <f t="shared" si="38"/>
        <v>4565598.5999999996</v>
      </c>
      <c r="J215" s="128">
        <f t="shared" si="39"/>
        <v>62013704.399999999</v>
      </c>
      <c r="K215" s="44">
        <f t="shared" si="33"/>
        <v>3.9210129972433221E-2</v>
      </c>
      <c r="L215" s="45">
        <v>2838.0647524661322</v>
      </c>
      <c r="M215" s="45">
        <v>4848.1141213158071</v>
      </c>
      <c r="N215" s="45">
        <f t="shared" si="40"/>
        <v>17720.758873781939</v>
      </c>
      <c r="O215" s="46">
        <f t="shared" si="41"/>
        <v>109514289.83997238</v>
      </c>
      <c r="P215" s="47">
        <f t="shared" si="34"/>
        <v>18987</v>
      </c>
      <c r="Q215" s="46">
        <v>59650</v>
      </c>
      <c r="R215" s="47">
        <f t="shared" si="42"/>
        <v>40663</v>
      </c>
      <c r="S215" s="191">
        <f t="shared" si="43"/>
        <v>0.6816932103939648</v>
      </c>
      <c r="T215" s="42">
        <v>117339660</v>
      </c>
      <c r="U215" s="48">
        <f t="shared" si="35"/>
        <v>0.9333101002676536</v>
      </c>
      <c r="V215" s="49"/>
    </row>
    <row r="216" spans="1:22" x14ac:dyDescent="0.3">
      <c r="A216" s="40" t="str">
        <f>VLOOKUP(B216,Grupos!$A$2:$B$619,2,FALSE)</f>
        <v>TABLEROS 75 AMP BIMETALICO TAPA LISA</v>
      </c>
      <c r="B216" s="41" t="s">
        <v>354</v>
      </c>
      <c r="C216" s="41" t="s">
        <v>355</v>
      </c>
      <c r="D216" s="42">
        <v>683</v>
      </c>
      <c r="E216" s="43">
        <v>7768.74</v>
      </c>
      <c r="F216" s="192">
        <v>806.59</v>
      </c>
      <c r="G216" s="126">
        <f t="shared" si="36"/>
        <v>8575.33</v>
      </c>
      <c r="H216" s="127">
        <f t="shared" si="37"/>
        <v>5306049.42</v>
      </c>
      <c r="I216" s="128">
        <f t="shared" si="38"/>
        <v>550900.97</v>
      </c>
      <c r="J216" s="128">
        <f t="shared" si="39"/>
        <v>5856950.3899999997</v>
      </c>
      <c r="K216" s="44">
        <f t="shared" si="33"/>
        <v>3.7032425051194556E-3</v>
      </c>
      <c r="L216" s="45">
        <v>2425.3473303083333</v>
      </c>
      <c r="M216" s="45">
        <v>5293.1769956984135</v>
      </c>
      <c r="N216" s="45">
        <f t="shared" si="40"/>
        <v>16293.854326006747</v>
      </c>
      <c r="O216" s="46">
        <f t="shared" si="41"/>
        <v>11128702.504662609</v>
      </c>
      <c r="P216" s="47">
        <f t="shared" si="34"/>
        <v>20968.304670571011</v>
      </c>
      <c r="Q216" s="46">
        <v>55150</v>
      </c>
      <c r="R216" s="47">
        <f t="shared" si="42"/>
        <v>34181.695329428985</v>
      </c>
      <c r="S216" s="191">
        <f t="shared" si="43"/>
        <v>0.61979501957260175</v>
      </c>
      <c r="T216" s="42">
        <v>14321352.09</v>
      </c>
      <c r="U216" s="48">
        <f t="shared" si="35"/>
        <v>0.77707065888236315</v>
      </c>
      <c r="V216" s="49"/>
    </row>
    <row r="217" spans="1:22" x14ac:dyDescent="0.3">
      <c r="A217" s="40" t="str">
        <f>VLOOKUP(B217,Grupos!$A$2:$B$619,2,FALSE)</f>
        <v>TABLEROS 75 AMP BIMETALICO TAPA LISA</v>
      </c>
      <c r="B217" s="41" t="s">
        <v>356</v>
      </c>
      <c r="C217" s="41" t="s">
        <v>357</v>
      </c>
      <c r="D217" s="42">
        <v>200</v>
      </c>
      <c r="E217" s="43">
        <v>7472.13</v>
      </c>
      <c r="F217" s="192">
        <v>823.37</v>
      </c>
      <c r="G217" s="126">
        <f t="shared" si="36"/>
        <v>8295.5</v>
      </c>
      <c r="H217" s="127">
        <f t="shared" si="37"/>
        <v>1494426</v>
      </c>
      <c r="I217" s="128">
        <f t="shared" si="38"/>
        <v>164674</v>
      </c>
      <c r="J217" s="128">
        <f t="shared" si="39"/>
        <v>1659100</v>
      </c>
      <c r="K217" s="44">
        <f t="shared" si="33"/>
        <v>1.0490185559252601E-3</v>
      </c>
      <c r="L217" s="45">
        <v>2346.203443899276</v>
      </c>
      <c r="M217" s="45">
        <v>5403.2942919552715</v>
      </c>
      <c r="N217" s="45">
        <f t="shared" si="40"/>
        <v>16044.997735854547</v>
      </c>
      <c r="O217" s="46">
        <f t="shared" si="41"/>
        <v>3208999.5471709096</v>
      </c>
      <c r="P217" s="47">
        <f t="shared" si="34"/>
        <v>22845.949900000003</v>
      </c>
      <c r="Q217" s="46">
        <v>59650</v>
      </c>
      <c r="R217" s="47">
        <f t="shared" si="42"/>
        <v>36804.050099999993</v>
      </c>
      <c r="S217" s="191">
        <f t="shared" si="43"/>
        <v>0.61700000167644586</v>
      </c>
      <c r="T217" s="42">
        <v>4569189.9800000004</v>
      </c>
      <c r="U217" s="48">
        <f t="shared" si="35"/>
        <v>0.70231256770175032</v>
      </c>
      <c r="V217" s="49"/>
    </row>
    <row r="218" spans="1:22" x14ac:dyDescent="0.3">
      <c r="A218" s="40" t="str">
        <f>VLOOKUP(B218,Grupos!$A$2:$B$619,2,FALSE)</f>
        <v>TABLEROS 75 AMP BIMETALICO TAPA LISA</v>
      </c>
      <c r="B218" s="41" t="s">
        <v>358</v>
      </c>
      <c r="C218" s="41" t="s">
        <v>359</v>
      </c>
      <c r="D218" s="42">
        <v>1580</v>
      </c>
      <c r="E218" s="43">
        <v>7438.22</v>
      </c>
      <c r="F218" s="192">
        <v>779.32</v>
      </c>
      <c r="G218" s="126">
        <f t="shared" si="36"/>
        <v>8217.5400000000009</v>
      </c>
      <c r="H218" s="127">
        <f t="shared" si="37"/>
        <v>11752387.6</v>
      </c>
      <c r="I218" s="128">
        <f t="shared" si="38"/>
        <v>1231325.6000000001</v>
      </c>
      <c r="J218" s="128">
        <f t="shared" si="39"/>
        <v>12983713.200000001</v>
      </c>
      <c r="K218" s="44">
        <f t="shared" si="33"/>
        <v>8.2093641562363574E-3</v>
      </c>
      <c r="L218" s="45">
        <v>2324.1541375902671</v>
      </c>
      <c r="M218" s="45">
        <v>5114.2199832476081</v>
      </c>
      <c r="N218" s="45">
        <f t="shared" si="40"/>
        <v>15655.914120837875</v>
      </c>
      <c r="O218" s="46">
        <f t="shared" si="41"/>
        <v>24736344.310923841</v>
      </c>
      <c r="P218" s="47">
        <f t="shared" si="34"/>
        <v>22004.152879746835</v>
      </c>
      <c r="Q218" s="46">
        <v>55150</v>
      </c>
      <c r="R218" s="47">
        <f t="shared" si="42"/>
        <v>33145.847120253165</v>
      </c>
      <c r="S218" s="191">
        <f t="shared" si="43"/>
        <v>0.60101264043976732</v>
      </c>
      <c r="T218" s="42">
        <v>34766561.549999997</v>
      </c>
      <c r="U218" s="48">
        <f t="shared" si="35"/>
        <v>0.71149815248047854</v>
      </c>
      <c r="V218" s="49"/>
    </row>
    <row r="219" spans="1:22" x14ac:dyDescent="0.3">
      <c r="A219" s="40" t="str">
        <f>VLOOKUP(B219,Grupos!$A$2:$B$619,2,FALSE)</f>
        <v>TABLEROS 75 AMP BIMETALICO TAPA LISA</v>
      </c>
      <c r="B219" s="41" t="s">
        <v>360</v>
      </c>
      <c r="C219" s="41" t="s">
        <v>361</v>
      </c>
      <c r="D219" s="42">
        <v>80</v>
      </c>
      <c r="E219" s="43">
        <v>9403.9500000000007</v>
      </c>
      <c r="F219" s="192">
        <v>1069.07</v>
      </c>
      <c r="G219" s="126">
        <f t="shared" si="36"/>
        <v>10473.02</v>
      </c>
      <c r="H219" s="127">
        <f t="shared" si="37"/>
        <v>752316</v>
      </c>
      <c r="I219" s="128">
        <f t="shared" si="38"/>
        <v>85525.599999999991</v>
      </c>
      <c r="J219" s="128">
        <f t="shared" si="39"/>
        <v>837841.60000000009</v>
      </c>
      <c r="K219" s="44">
        <f t="shared" si="33"/>
        <v>5.2975190484365591E-4</v>
      </c>
      <c r="L219" s="45">
        <v>2962.0680600356818</v>
      </c>
      <c r="M219" s="45">
        <v>7015.6792556209512</v>
      </c>
      <c r="N219" s="45">
        <f t="shared" si="40"/>
        <v>20450.767315656634</v>
      </c>
      <c r="O219" s="46">
        <f t="shared" si="41"/>
        <v>1636061.3852525307</v>
      </c>
      <c r="P219" s="47">
        <f t="shared" si="34"/>
        <v>30853.249125000002</v>
      </c>
      <c r="Q219" s="46">
        <v>73900</v>
      </c>
      <c r="R219" s="47">
        <f t="shared" si="42"/>
        <v>43046.750874999998</v>
      </c>
      <c r="S219" s="191">
        <f t="shared" si="43"/>
        <v>0.58250001184032474</v>
      </c>
      <c r="T219" s="42">
        <v>2468259.9300000002</v>
      </c>
      <c r="U219" s="48">
        <f t="shared" si="35"/>
        <v>0.66283998916294462</v>
      </c>
      <c r="V219" s="49"/>
    </row>
    <row r="220" spans="1:22" x14ac:dyDescent="0.3">
      <c r="A220" s="40" t="str">
        <f>VLOOKUP(B220,Grupos!$A$2:$B$619,2,FALSE)</f>
        <v>TABLEROS 75 AMP BIMETALICO TAPA LISA</v>
      </c>
      <c r="B220" s="41" t="s">
        <v>362</v>
      </c>
      <c r="C220" s="41" t="s">
        <v>363</v>
      </c>
      <c r="D220" s="42">
        <v>360</v>
      </c>
      <c r="E220" s="43">
        <v>9403.61</v>
      </c>
      <c r="F220" s="192">
        <v>985.89</v>
      </c>
      <c r="G220" s="126">
        <f t="shared" si="36"/>
        <v>10389.5</v>
      </c>
      <c r="H220" s="127">
        <f t="shared" si="37"/>
        <v>3385299.6</v>
      </c>
      <c r="I220" s="128">
        <f t="shared" si="38"/>
        <v>354920.4</v>
      </c>
      <c r="J220" s="128">
        <f t="shared" si="39"/>
        <v>3740220</v>
      </c>
      <c r="K220" s="44">
        <f t="shared" si="33"/>
        <v>2.3648726316935547E-3</v>
      </c>
      <c r="L220" s="45">
        <v>2938.4462275199244</v>
      </c>
      <c r="M220" s="45">
        <v>6469.8177119591228</v>
      </c>
      <c r="N220" s="45">
        <f t="shared" si="40"/>
        <v>19797.763939479046</v>
      </c>
      <c r="O220" s="46">
        <f t="shared" si="41"/>
        <v>7127195.0182124563</v>
      </c>
      <c r="P220" s="47">
        <f t="shared" si="34"/>
        <v>26332.000833333335</v>
      </c>
      <c r="Q220" s="46">
        <v>68100</v>
      </c>
      <c r="R220" s="47">
        <f t="shared" si="42"/>
        <v>41767.999166666661</v>
      </c>
      <c r="S220" s="191">
        <f t="shared" si="43"/>
        <v>0.61333332109642669</v>
      </c>
      <c r="T220" s="42">
        <v>9479520.3000000007</v>
      </c>
      <c r="U220" s="152">
        <f t="shared" si="35"/>
        <v>0.75185186514263336</v>
      </c>
      <c r="V220" s="49"/>
    </row>
    <row r="221" spans="1:22" x14ac:dyDescent="0.3">
      <c r="A221" s="40" t="str">
        <f>VLOOKUP(B221,Grupos!$A$2:$B$619,2,FALSE)</f>
        <v>TABLEROS 75 AMP BIMETALICO TAPA LISA</v>
      </c>
      <c r="B221" s="41" t="s">
        <v>365</v>
      </c>
      <c r="C221" s="41" t="s">
        <v>366</v>
      </c>
      <c r="D221" s="42">
        <v>1386</v>
      </c>
      <c r="E221" s="43">
        <v>9083.82</v>
      </c>
      <c r="F221" s="192">
        <v>959.53</v>
      </c>
      <c r="G221" s="126">
        <f t="shared" si="36"/>
        <v>10043.35</v>
      </c>
      <c r="H221" s="127">
        <f t="shared" si="37"/>
        <v>12590174.52</v>
      </c>
      <c r="I221" s="128">
        <f t="shared" si="38"/>
        <v>1329908.58</v>
      </c>
      <c r="J221" s="128">
        <f t="shared" si="39"/>
        <v>13920083.1</v>
      </c>
      <c r="K221" s="44">
        <f t="shared" si="33"/>
        <v>8.8014137013571331E-3</v>
      </c>
      <c r="L221" s="45">
        <v>2840.5451580116683</v>
      </c>
      <c r="M221" s="45">
        <v>6296.8324956700417</v>
      </c>
      <c r="N221" s="45">
        <f t="shared" si="40"/>
        <v>19180.727653681708</v>
      </c>
      <c r="O221" s="46">
        <f t="shared" si="41"/>
        <v>26584488.528002847</v>
      </c>
      <c r="P221" s="47">
        <f t="shared" si="34"/>
        <v>27432.606572871573</v>
      </c>
      <c r="Q221" s="46">
        <v>68100</v>
      </c>
      <c r="R221" s="47">
        <f t="shared" si="42"/>
        <v>40667.393427128423</v>
      </c>
      <c r="S221" s="191">
        <f t="shared" si="43"/>
        <v>0.59717170964946287</v>
      </c>
      <c r="T221" s="42">
        <v>38021592.710000001</v>
      </c>
      <c r="U221" s="152">
        <f t="shared" si="35"/>
        <v>0.69919450062939892</v>
      </c>
      <c r="V221" s="49"/>
    </row>
    <row r="222" spans="1:22" x14ac:dyDescent="0.3">
      <c r="A222" s="40" t="str">
        <f>VLOOKUP(B222,Grupos!$A$2:$B$619,2,FALSE)</f>
        <v>TABLEROS 75 AMP BIMETALICO TAPA LISA</v>
      </c>
      <c r="B222" s="41" t="s">
        <v>651</v>
      </c>
      <c r="C222" s="41" t="s">
        <v>652</v>
      </c>
      <c r="D222" s="42">
        <v>180</v>
      </c>
      <c r="E222" s="43">
        <v>11201.28</v>
      </c>
      <c r="F222" s="192">
        <v>887.05</v>
      </c>
      <c r="G222" s="126">
        <f t="shared" si="36"/>
        <v>12088.33</v>
      </c>
      <c r="H222" s="127">
        <f t="shared" si="37"/>
        <v>2016230.4000000001</v>
      </c>
      <c r="I222" s="128">
        <f t="shared" si="38"/>
        <v>159669</v>
      </c>
      <c r="J222" s="128">
        <f t="shared" si="39"/>
        <v>2175899.4</v>
      </c>
      <c r="K222" s="44">
        <f t="shared" si="33"/>
        <v>1.3757813552086311E-3</v>
      </c>
      <c r="L222" s="45">
        <v>3418.9236907951222</v>
      </c>
      <c r="M222" s="45">
        <v>5821.1887750087126</v>
      </c>
      <c r="N222" s="45">
        <f t="shared" si="40"/>
        <v>21328.442465803833</v>
      </c>
      <c r="O222" s="46">
        <f t="shared" si="41"/>
        <v>3839119.6438446902</v>
      </c>
      <c r="P222" s="47">
        <f t="shared" si="34"/>
        <v>33890.500944444444</v>
      </c>
      <c r="Q222" s="46">
        <v>88450</v>
      </c>
      <c r="R222" s="47">
        <f t="shared" si="42"/>
        <v>54559.499055555556</v>
      </c>
      <c r="S222" s="191">
        <f t="shared" si="43"/>
        <v>0.61684001193392379</v>
      </c>
      <c r="T222" s="42">
        <v>6100290.1699999999</v>
      </c>
      <c r="U222" s="152">
        <f t="shared" si="35"/>
        <v>0.62933393934680493</v>
      </c>
      <c r="V222" s="49"/>
    </row>
    <row r="223" spans="1:22" x14ac:dyDescent="0.3">
      <c r="A223" s="40" t="str">
        <f>VLOOKUP(B223,Grupos!$A$2:$B$619,2,FALSE)</f>
        <v>TABLEROS 75 AMP BIMETALICO TAPA LISA</v>
      </c>
      <c r="B223" s="41" t="s">
        <v>367</v>
      </c>
      <c r="C223" s="41" t="s">
        <v>368</v>
      </c>
      <c r="D223" s="42">
        <v>495</v>
      </c>
      <c r="E223" s="43">
        <v>10855.39</v>
      </c>
      <c r="F223" s="192">
        <v>972.71</v>
      </c>
      <c r="G223" s="126">
        <f t="shared" si="36"/>
        <v>11828.099999999999</v>
      </c>
      <c r="H223" s="127">
        <f t="shared" si="37"/>
        <v>5373418.0499999998</v>
      </c>
      <c r="I223" s="128">
        <f t="shared" si="38"/>
        <v>481491.45</v>
      </c>
      <c r="J223" s="128">
        <f t="shared" si="39"/>
        <v>5854909.4999999991</v>
      </c>
      <c r="K223" s="44">
        <f t="shared" si="33"/>
        <v>3.7019520877361739E-3</v>
      </c>
      <c r="L223" s="45">
        <v>3345.3232420933068</v>
      </c>
      <c r="M223" s="45">
        <v>6383.3251038145827</v>
      </c>
      <c r="N223" s="45">
        <f t="shared" si="40"/>
        <v>21556.748345907887</v>
      </c>
      <c r="O223" s="46">
        <f t="shared" si="41"/>
        <v>10670590.431224404</v>
      </c>
      <c r="P223" s="47">
        <f t="shared" si="34"/>
        <v>34367.046121212115</v>
      </c>
      <c r="Q223" s="46">
        <v>88950</v>
      </c>
      <c r="R223" s="47">
        <f t="shared" si="42"/>
        <v>54582.953878787885</v>
      </c>
      <c r="S223" s="191">
        <f t="shared" si="43"/>
        <v>0.61363635614151646</v>
      </c>
      <c r="T223" s="42">
        <v>17011687.829999998</v>
      </c>
      <c r="U223" s="152">
        <f t="shared" si="35"/>
        <v>0.62725054314756989</v>
      </c>
      <c r="V223" s="49"/>
    </row>
    <row r="224" spans="1:22" x14ac:dyDescent="0.3">
      <c r="A224" s="40" t="str">
        <f>VLOOKUP(B224,Grupos!$A$2:$B$619,2,FALSE)</f>
        <v>TABLEROS 75 AMP BIMETALICO TAPA PLASTICA</v>
      </c>
      <c r="B224" s="41" t="s">
        <v>369</v>
      </c>
      <c r="C224" s="41" t="s">
        <v>370</v>
      </c>
      <c r="D224" s="42">
        <v>390</v>
      </c>
      <c r="E224" s="43">
        <v>7871.02</v>
      </c>
      <c r="F224" s="43">
        <v>859.56</v>
      </c>
      <c r="G224" s="126">
        <f t="shared" si="36"/>
        <v>8730.58</v>
      </c>
      <c r="H224" s="127">
        <f t="shared" si="37"/>
        <v>3069697.8000000003</v>
      </c>
      <c r="I224" s="128">
        <f t="shared" si="38"/>
        <v>335228.39999999997</v>
      </c>
      <c r="J224" s="128">
        <f t="shared" si="39"/>
        <v>3404926.2</v>
      </c>
      <c r="K224" s="44">
        <f t="shared" si="33"/>
        <v>2.1528725003653088E-3</v>
      </c>
      <c r="L224" s="45">
        <v>2469.2564478618701</v>
      </c>
      <c r="M224" s="45">
        <v>5640.7880316177088</v>
      </c>
      <c r="N224" s="45">
        <f t="shared" si="40"/>
        <v>16840.624479479578</v>
      </c>
      <c r="O224" s="46">
        <f t="shared" si="41"/>
        <v>6567843.5469970359</v>
      </c>
      <c r="P224" s="47">
        <f t="shared" si="34"/>
        <v>21826.673384615384</v>
      </c>
      <c r="Q224" s="46">
        <v>55150</v>
      </c>
      <c r="R224" s="47">
        <f t="shared" si="42"/>
        <v>33323.32661538462</v>
      </c>
      <c r="S224" s="191">
        <f t="shared" si="43"/>
        <v>0.60423076365157968</v>
      </c>
      <c r="T224" s="42">
        <v>8512402.6199999992</v>
      </c>
      <c r="U224" s="48">
        <f t="shared" si="35"/>
        <v>0.77156166598203468</v>
      </c>
      <c r="V224" s="49"/>
    </row>
    <row r="225" spans="1:22" x14ac:dyDescent="0.3">
      <c r="A225" s="40" t="str">
        <f>VLOOKUP(B225,Grupos!$A$2:$B$619,2,FALSE)</f>
        <v>TABLEROS 75 AMP BIMETALICO TAPA PLASTICA</v>
      </c>
      <c r="B225" s="41" t="s">
        <v>371</v>
      </c>
      <c r="C225" s="41" t="s">
        <v>372</v>
      </c>
      <c r="D225" s="42">
        <v>357</v>
      </c>
      <c r="E225" s="43">
        <v>7540.5</v>
      </c>
      <c r="F225" s="43">
        <v>749.32</v>
      </c>
      <c r="G225" s="126">
        <f t="shared" si="36"/>
        <v>8289.82</v>
      </c>
      <c r="H225" s="127">
        <f t="shared" si="37"/>
        <v>2691958.5</v>
      </c>
      <c r="I225" s="128">
        <f t="shared" si="38"/>
        <v>267507.24</v>
      </c>
      <c r="J225" s="128">
        <f t="shared" si="39"/>
        <v>2959465.7399999998</v>
      </c>
      <c r="K225" s="44">
        <f t="shared" si="33"/>
        <v>1.8712160068019294E-3</v>
      </c>
      <c r="L225" s="45">
        <v>2344.5969782779935</v>
      </c>
      <c r="M225" s="45">
        <v>4917.3475823116278</v>
      </c>
      <c r="N225" s="45">
        <f t="shared" si="40"/>
        <v>15551.764560589621</v>
      </c>
      <c r="O225" s="46">
        <f t="shared" si="41"/>
        <v>5551979.9481304949</v>
      </c>
      <c r="P225" s="47">
        <f t="shared" si="34"/>
        <v>21434.348683473392</v>
      </c>
      <c r="Q225" s="46">
        <v>55150</v>
      </c>
      <c r="R225" s="47">
        <f t="shared" si="42"/>
        <v>33715.651316526608</v>
      </c>
      <c r="S225" s="191">
        <f t="shared" si="43"/>
        <v>0.61134453883094486</v>
      </c>
      <c r="T225" s="42">
        <v>7652062.4800000004</v>
      </c>
      <c r="U225" s="48">
        <f t="shared" si="35"/>
        <v>0.72555339983717626</v>
      </c>
      <c r="V225" s="49"/>
    </row>
    <row r="226" spans="1:22" x14ac:dyDescent="0.3">
      <c r="A226" s="40" t="str">
        <f>VLOOKUP(B226,Grupos!$A$2:$B$619,2,FALSE)</f>
        <v>TABLEROS 75 AMP BIMETALICO TAPA PLASTICA</v>
      </c>
      <c r="B226" s="41" t="s">
        <v>373</v>
      </c>
      <c r="C226" s="41" t="s">
        <v>374</v>
      </c>
      <c r="D226" s="42">
        <v>401</v>
      </c>
      <c r="E226" s="43">
        <v>9378.31</v>
      </c>
      <c r="F226" s="43">
        <v>917.82</v>
      </c>
      <c r="G226" s="126">
        <f t="shared" si="36"/>
        <v>10296.129999999999</v>
      </c>
      <c r="H226" s="127">
        <f t="shared" si="37"/>
        <v>3760702.3099999996</v>
      </c>
      <c r="I226" s="128">
        <f t="shared" si="38"/>
        <v>368045.82</v>
      </c>
      <c r="J226" s="128">
        <f t="shared" si="39"/>
        <v>4128748.13</v>
      </c>
      <c r="K226" s="44">
        <f t="shared" si="33"/>
        <v>2.6105318552900477E-3</v>
      </c>
      <c r="L226" s="45">
        <v>2912.0385347278225</v>
      </c>
      <c r="M226" s="45">
        <v>6023.1142342353842</v>
      </c>
      <c r="N226" s="45">
        <f t="shared" si="40"/>
        <v>19231.282768963207</v>
      </c>
      <c r="O226" s="46">
        <f t="shared" si="41"/>
        <v>7711744.3903542459</v>
      </c>
      <c r="P226" s="47">
        <f t="shared" si="34"/>
        <v>26540.319052369076</v>
      </c>
      <c r="Q226" s="46">
        <v>68100</v>
      </c>
      <c r="R226" s="47">
        <f t="shared" si="42"/>
        <v>41559.680947630928</v>
      </c>
      <c r="S226" s="191">
        <f t="shared" si="43"/>
        <v>0.61027431641161423</v>
      </c>
      <c r="T226" s="42">
        <v>10642667.939999999</v>
      </c>
      <c r="U226" s="48">
        <f t="shared" si="35"/>
        <v>0.72460631430301359</v>
      </c>
      <c r="V226" s="49"/>
    </row>
    <row r="227" spans="1:22" x14ac:dyDescent="0.3">
      <c r="A227" s="40" t="str">
        <f>VLOOKUP(B227,Grupos!$A$2:$B$619,2,FALSE)</f>
        <v>TABLEROS 75 AMP BIMETALICO TAPA PLASTICA</v>
      </c>
      <c r="B227" s="41" t="s">
        <v>375</v>
      </c>
      <c r="C227" s="41" t="s">
        <v>376</v>
      </c>
      <c r="D227" s="42">
        <v>795</v>
      </c>
      <c r="E227" s="43">
        <v>9062.74</v>
      </c>
      <c r="F227" s="43">
        <v>875.23</v>
      </c>
      <c r="G227" s="126">
        <f t="shared" si="36"/>
        <v>9937.9699999999993</v>
      </c>
      <c r="H227" s="127">
        <f t="shared" si="37"/>
        <v>7204878.2999999998</v>
      </c>
      <c r="I227" s="128">
        <f t="shared" si="38"/>
        <v>695807.85</v>
      </c>
      <c r="J227" s="128">
        <f t="shared" si="39"/>
        <v>7900686.1499999994</v>
      </c>
      <c r="K227" s="44">
        <f t="shared" si="33"/>
        <v>4.9954592103500107E-3</v>
      </c>
      <c r="L227" s="45">
        <v>2810.7406954816092</v>
      </c>
      <c r="M227" s="45">
        <v>5743.6210490399371</v>
      </c>
      <c r="N227" s="45">
        <f t="shared" si="40"/>
        <v>18492.331744521543</v>
      </c>
      <c r="O227" s="46">
        <f t="shared" si="41"/>
        <v>14701403.736894626</v>
      </c>
      <c r="P227" s="47">
        <f t="shared" si="34"/>
        <v>25710.962150943396</v>
      </c>
      <c r="Q227" s="46">
        <v>68100</v>
      </c>
      <c r="R227" s="47">
        <f t="shared" si="42"/>
        <v>42389.037849056607</v>
      </c>
      <c r="S227" s="191">
        <f t="shared" si="43"/>
        <v>0.62245283185105149</v>
      </c>
      <c r="T227" s="42">
        <v>20440214.91</v>
      </c>
      <c r="U227" s="48">
        <f t="shared" si="35"/>
        <v>0.71923919594907171</v>
      </c>
      <c r="V227" s="49"/>
    </row>
    <row r="228" spans="1:22" x14ac:dyDescent="0.3">
      <c r="A228" s="40" t="str">
        <f>VLOOKUP(B228,Grupos!$A$2:$B$619,2,FALSE)</f>
        <v>TABLEROS 75 AMP COBRE CON PUERTA</v>
      </c>
      <c r="B228" s="41" t="s">
        <v>377</v>
      </c>
      <c r="C228" s="41" t="s">
        <v>1088</v>
      </c>
      <c r="D228" s="42">
        <v>252</v>
      </c>
      <c r="E228" s="43">
        <v>12141.3</v>
      </c>
      <c r="F228" s="192">
        <v>1041.76</v>
      </c>
      <c r="G228" s="126">
        <f t="shared" si="36"/>
        <v>13183.06</v>
      </c>
      <c r="H228" s="127">
        <f t="shared" si="37"/>
        <v>3059607.5999999996</v>
      </c>
      <c r="I228" s="128">
        <f t="shared" si="38"/>
        <v>262523.52000000002</v>
      </c>
      <c r="J228" s="128">
        <f t="shared" si="39"/>
        <v>3322131.1199999996</v>
      </c>
      <c r="K228" s="44">
        <f t="shared" si="33"/>
        <v>2.1005226870573004E-3</v>
      </c>
      <c r="L228" s="45">
        <v>3728.5444847363983</v>
      </c>
      <c r="M228" s="45">
        <v>6836.4597466355635</v>
      </c>
      <c r="N228" s="45">
        <f t="shared" si="40"/>
        <v>23748.064231371962</v>
      </c>
      <c r="O228" s="46">
        <f t="shared" si="41"/>
        <v>5984512.1863057343</v>
      </c>
      <c r="P228" s="47">
        <f t="shared" si="34"/>
        <v>32446.429246031745</v>
      </c>
      <c r="Q228" s="46">
        <v>79000</v>
      </c>
      <c r="R228" s="47">
        <f t="shared" si="42"/>
        <v>46553.570753968255</v>
      </c>
      <c r="S228" s="191">
        <f t="shared" si="43"/>
        <v>0.58928570574643357</v>
      </c>
      <c r="T228" s="42">
        <v>8176500.1699999999</v>
      </c>
      <c r="U228" s="48">
        <f t="shared" si="35"/>
        <v>0.73191610858924916</v>
      </c>
      <c r="V228" s="49"/>
    </row>
    <row r="229" spans="1:22" x14ac:dyDescent="0.3">
      <c r="A229" s="40" t="str">
        <f>VLOOKUP(B229,Grupos!$A$2:$B$619,2,FALSE)</f>
        <v>TABLEROS 75 AMP COBRE CON PUERTA</v>
      </c>
      <c r="B229" s="41" t="s">
        <v>378</v>
      </c>
      <c r="C229" s="41" t="s">
        <v>379</v>
      </c>
      <c r="D229" s="42">
        <v>630</v>
      </c>
      <c r="E229" s="43">
        <v>11495.29</v>
      </c>
      <c r="F229" s="192">
        <v>1067.55</v>
      </c>
      <c r="G229" s="126">
        <f t="shared" si="36"/>
        <v>12562.84</v>
      </c>
      <c r="H229" s="127">
        <f t="shared" si="37"/>
        <v>7242032.7000000002</v>
      </c>
      <c r="I229" s="128">
        <f t="shared" si="38"/>
        <v>672556.5</v>
      </c>
      <c r="J229" s="128">
        <f t="shared" si="39"/>
        <v>7914589.2000000002</v>
      </c>
      <c r="K229" s="44">
        <f t="shared" si="33"/>
        <v>5.0042498543340728E-3</v>
      </c>
      <c r="L229" s="45">
        <v>3553.1286207167241</v>
      </c>
      <c r="M229" s="45">
        <v>7005.7043873068615</v>
      </c>
      <c r="N229" s="45">
        <f t="shared" si="40"/>
        <v>23121.673008023587</v>
      </c>
      <c r="O229" s="46">
        <f t="shared" si="41"/>
        <v>14566653.99505486</v>
      </c>
      <c r="P229" s="47">
        <f t="shared" si="34"/>
        <v>34770.342984126983</v>
      </c>
      <c r="Q229" s="46">
        <v>87300</v>
      </c>
      <c r="R229" s="47">
        <f t="shared" si="42"/>
        <v>52529.657015873017</v>
      </c>
      <c r="S229" s="191">
        <f t="shared" si="43"/>
        <v>0.60171428425971385</v>
      </c>
      <c r="T229" s="42">
        <v>21905316.079999998</v>
      </c>
      <c r="U229" s="48">
        <f t="shared" si="35"/>
        <v>0.66498259791624337</v>
      </c>
      <c r="V229" s="49"/>
    </row>
    <row r="230" spans="1:22" s="93" customFormat="1" x14ac:dyDescent="0.3">
      <c r="A230" s="40" t="str">
        <f>VLOOKUP(B230,Grupos!$A$2:$B$619,2,FALSE)</f>
        <v>TABLEROS 75 AMP COBRE CON PUERTA</v>
      </c>
      <c r="B230" s="41" t="s">
        <v>380</v>
      </c>
      <c r="C230" s="41" t="s">
        <v>381</v>
      </c>
      <c r="D230" s="42">
        <v>1175</v>
      </c>
      <c r="E230" s="43">
        <v>11499.19</v>
      </c>
      <c r="F230" s="192">
        <v>1048.3900000000001</v>
      </c>
      <c r="G230" s="126">
        <f t="shared" si="36"/>
        <v>12547.58</v>
      </c>
      <c r="H230" s="127">
        <f t="shared" si="37"/>
        <v>13511548.25</v>
      </c>
      <c r="I230" s="128">
        <f t="shared" si="38"/>
        <v>1231858.2500000002</v>
      </c>
      <c r="J230" s="128">
        <f t="shared" si="39"/>
        <v>14743406.5</v>
      </c>
      <c r="K230" s="44">
        <f t="shared" si="33"/>
        <v>9.3219860141336239E-3</v>
      </c>
      <c r="L230" s="45">
        <v>3548.8126585017999</v>
      </c>
      <c r="M230" s="45">
        <v>6879.9685472424162</v>
      </c>
      <c r="N230" s="45">
        <f t="shared" si="40"/>
        <v>22976.361205744215</v>
      </c>
      <c r="O230" s="46">
        <f t="shared" si="41"/>
        <v>26997224.416749451</v>
      </c>
      <c r="P230" s="47">
        <f t="shared" si="34"/>
        <v>31585.208068085103</v>
      </c>
      <c r="Q230" s="46">
        <v>79000</v>
      </c>
      <c r="R230" s="47">
        <f t="shared" si="42"/>
        <v>47414.791931914893</v>
      </c>
      <c r="S230" s="191">
        <f t="shared" si="43"/>
        <v>0.60018723964449228</v>
      </c>
      <c r="T230" s="42">
        <v>37112619.479999997</v>
      </c>
      <c r="U230" s="48">
        <f t="shared" si="35"/>
        <v>0.72744055243252947</v>
      </c>
      <c r="V230" s="58"/>
    </row>
    <row r="231" spans="1:22" x14ac:dyDescent="0.3">
      <c r="A231" s="40" t="str">
        <f>VLOOKUP(B231,Grupos!$A$2:$B$619,2,FALSE)</f>
        <v>TABLEROS 75 AMP COBRE CON PUERTA</v>
      </c>
      <c r="B231" s="41" t="s">
        <v>382</v>
      </c>
      <c r="C231" s="41" t="s">
        <v>383</v>
      </c>
      <c r="D231" s="42">
        <v>80</v>
      </c>
      <c r="E231" s="43">
        <v>15974.8</v>
      </c>
      <c r="F231" s="192">
        <v>1289.9000000000001</v>
      </c>
      <c r="G231" s="126">
        <f t="shared" si="36"/>
        <v>17264.7</v>
      </c>
      <c r="H231" s="127">
        <f t="shared" si="37"/>
        <v>1277984</v>
      </c>
      <c r="I231" s="128">
        <f t="shared" si="38"/>
        <v>103192</v>
      </c>
      <c r="J231" s="128">
        <f t="shared" si="39"/>
        <v>1381176</v>
      </c>
      <c r="K231" s="44">
        <f t="shared" si="33"/>
        <v>8.7329229883589127E-4</v>
      </c>
      <c r="L231" s="45">
        <v>4882.9484175622729</v>
      </c>
      <c r="M231" s="45">
        <v>8464.8569989107036</v>
      </c>
      <c r="N231" s="45">
        <f t="shared" si="40"/>
        <v>30612.505416472981</v>
      </c>
      <c r="O231" s="46">
        <f t="shared" si="41"/>
        <v>2449000.4333178382</v>
      </c>
      <c r="P231" s="47">
        <f t="shared" si="34"/>
        <v>40368.597999999998</v>
      </c>
      <c r="Q231" s="46">
        <v>107850</v>
      </c>
      <c r="R231" s="47">
        <f t="shared" si="42"/>
        <v>67481.402000000002</v>
      </c>
      <c r="S231" s="191">
        <f t="shared" si="43"/>
        <v>0.62569681965693091</v>
      </c>
      <c r="T231" s="42">
        <v>3229487.84</v>
      </c>
      <c r="U231" s="48">
        <f t="shared" si="35"/>
        <v>0.75832471111513411</v>
      </c>
      <c r="V231" s="49"/>
    </row>
    <row r="232" spans="1:22" x14ac:dyDescent="0.3">
      <c r="A232" s="40" t="str">
        <f>VLOOKUP(B232,Grupos!$A$2:$B$619,2,FALSE)</f>
        <v>TABLEROS 75 AMP COBRE CON PUERTA</v>
      </c>
      <c r="B232" s="41" t="s">
        <v>384</v>
      </c>
      <c r="C232" s="41" t="s">
        <v>385</v>
      </c>
      <c r="D232" s="42">
        <v>384</v>
      </c>
      <c r="E232" s="43">
        <v>15961.79</v>
      </c>
      <c r="F232" s="192">
        <v>1291.69</v>
      </c>
      <c r="G232" s="126">
        <f t="shared" si="36"/>
        <v>17253.48</v>
      </c>
      <c r="H232" s="127">
        <f t="shared" si="37"/>
        <v>6129327.3600000003</v>
      </c>
      <c r="I232" s="128">
        <f t="shared" si="38"/>
        <v>496008.96000000002</v>
      </c>
      <c r="J232" s="128">
        <f t="shared" si="39"/>
        <v>6625336.3200000003</v>
      </c>
      <c r="K232" s="44">
        <f t="shared" si="33"/>
        <v>4.1890788613860395E-3</v>
      </c>
      <c r="L232" s="45">
        <v>4879.7750823033321</v>
      </c>
      <c r="M232" s="45">
        <v>8476.6037188332157</v>
      </c>
      <c r="N232" s="45">
        <f t="shared" si="40"/>
        <v>30609.858801136546</v>
      </c>
      <c r="O232" s="46">
        <f t="shared" si="41"/>
        <v>11754185.779636433</v>
      </c>
      <c r="P232" s="47">
        <f t="shared" si="34"/>
        <v>39607.875</v>
      </c>
      <c r="Q232" s="46">
        <v>98100</v>
      </c>
      <c r="R232" s="47">
        <f t="shared" si="42"/>
        <v>58492.125</v>
      </c>
      <c r="S232" s="191">
        <f t="shared" si="43"/>
        <v>0.59624999999999995</v>
      </c>
      <c r="T232" s="42">
        <v>15209424</v>
      </c>
      <c r="U232" s="152">
        <f t="shared" si="35"/>
        <v>0.77282254605016165</v>
      </c>
      <c r="V232" s="49"/>
    </row>
    <row r="233" spans="1:22" x14ac:dyDescent="0.3">
      <c r="A233" s="40" t="str">
        <f>VLOOKUP(B233,Grupos!$A$2:$B$619,2,FALSE)</f>
        <v>TABLEROS 75 AMP COBRE CON PUERTA</v>
      </c>
      <c r="B233" s="41" t="s">
        <v>386</v>
      </c>
      <c r="C233" s="41" t="s">
        <v>387</v>
      </c>
      <c r="D233" s="42">
        <v>650</v>
      </c>
      <c r="E233" s="43">
        <v>15680.79</v>
      </c>
      <c r="F233" s="192">
        <v>1354.08</v>
      </c>
      <c r="G233" s="126">
        <f t="shared" si="36"/>
        <v>17034.870000000003</v>
      </c>
      <c r="H233" s="127">
        <f t="shared" si="37"/>
        <v>10192513.5</v>
      </c>
      <c r="I233" s="128">
        <f t="shared" si="38"/>
        <v>880152</v>
      </c>
      <c r="J233" s="128">
        <f t="shared" si="39"/>
        <v>11072665.500000002</v>
      </c>
      <c r="K233" s="44">
        <f t="shared" si="33"/>
        <v>7.0010436821490276E-3</v>
      </c>
      <c r="L233" s="45">
        <v>4817.9459538757719</v>
      </c>
      <c r="M233" s="45">
        <v>8886.03268864641</v>
      </c>
      <c r="N233" s="45">
        <f t="shared" si="40"/>
        <v>30738.848642522185</v>
      </c>
      <c r="O233" s="46">
        <f t="shared" si="41"/>
        <v>19980251.617639419</v>
      </c>
      <c r="P233" s="47">
        <f t="shared" si="34"/>
        <v>42044.906507692307</v>
      </c>
      <c r="Q233" s="46">
        <v>107850</v>
      </c>
      <c r="R233" s="47">
        <f t="shared" si="42"/>
        <v>65805.0934923077</v>
      </c>
      <c r="S233" s="191">
        <f t="shared" si="43"/>
        <v>0.6101538571377626</v>
      </c>
      <c r="T233" s="42">
        <v>27329189.23</v>
      </c>
      <c r="U233" s="48">
        <f t="shared" si="35"/>
        <v>0.73109565927797626</v>
      </c>
      <c r="V233" s="58"/>
    </row>
    <row r="234" spans="1:22" x14ac:dyDescent="0.3">
      <c r="A234" s="40" t="str">
        <f>VLOOKUP(B234,Grupos!$A$2:$B$619,2,FALSE)</f>
        <v>TABLEROS 75 AMP COBRE CON PUERTA</v>
      </c>
      <c r="B234" s="41" t="s">
        <v>388</v>
      </c>
      <c r="C234" s="41" t="s">
        <v>1090</v>
      </c>
      <c r="D234" s="42">
        <v>1232</v>
      </c>
      <c r="E234" s="43">
        <v>15667.78</v>
      </c>
      <c r="F234" s="192">
        <v>1373.63</v>
      </c>
      <c r="G234" s="126">
        <f t="shared" si="36"/>
        <v>17041.41</v>
      </c>
      <c r="H234" s="127">
        <f t="shared" si="37"/>
        <v>19302704.960000001</v>
      </c>
      <c r="I234" s="128">
        <f t="shared" si="38"/>
        <v>1692312.1600000001</v>
      </c>
      <c r="J234" s="128">
        <f t="shared" si="39"/>
        <v>20995017.120000001</v>
      </c>
      <c r="K234" s="44">
        <f t="shared" si="33"/>
        <v>1.3274764957415777E-2</v>
      </c>
      <c r="L234" s="45">
        <v>4819.795651967881</v>
      </c>
      <c r="M234" s="45">
        <v>9014.327869923025</v>
      </c>
      <c r="N234" s="45">
        <f t="shared" si="40"/>
        <v>30875.533521890906</v>
      </c>
      <c r="O234" s="46">
        <f t="shared" si="41"/>
        <v>38038657.298969597</v>
      </c>
      <c r="P234" s="47">
        <f t="shared" si="34"/>
        <v>39354.662077922076</v>
      </c>
      <c r="Q234" s="46">
        <v>98100</v>
      </c>
      <c r="R234" s="47">
        <f t="shared" si="42"/>
        <v>58745.337922077924</v>
      </c>
      <c r="S234" s="191">
        <f t="shared" si="43"/>
        <v>0.59883117147887788</v>
      </c>
      <c r="T234" s="42">
        <v>48484943.68</v>
      </c>
      <c r="U234" s="152">
        <f t="shared" si="35"/>
        <v>0.78454576641409013</v>
      </c>
      <c r="V234" s="49"/>
    </row>
    <row r="235" spans="1:22" x14ac:dyDescent="0.3">
      <c r="A235" s="40" t="str">
        <f>VLOOKUP(B235,Grupos!$A$2:$B$619,2,FALSE)</f>
        <v>TABLEROS 75 AMP COBRE TAPA LISA</v>
      </c>
      <c r="B235" s="41" t="s">
        <v>391</v>
      </c>
      <c r="C235" s="41" t="s">
        <v>392</v>
      </c>
      <c r="D235" s="42">
        <v>1462</v>
      </c>
      <c r="E235" s="43">
        <v>7184.37</v>
      </c>
      <c r="F235" s="192">
        <v>420.86</v>
      </c>
      <c r="G235" s="126">
        <f t="shared" si="36"/>
        <v>7605.23</v>
      </c>
      <c r="H235" s="127">
        <f t="shared" si="37"/>
        <v>10503548.939999999</v>
      </c>
      <c r="I235" s="128">
        <f t="shared" si="38"/>
        <v>615297.32000000007</v>
      </c>
      <c r="J235" s="128">
        <f t="shared" si="39"/>
        <v>11118846.26</v>
      </c>
      <c r="K235" s="44">
        <f t="shared" si="33"/>
        <v>7.0302429312399375E-3</v>
      </c>
      <c r="L235" s="45">
        <v>2150.9754466453005</v>
      </c>
      <c r="M235" s="45">
        <v>2761.8572885972235</v>
      </c>
      <c r="N235" s="45">
        <f t="shared" si="40"/>
        <v>12518.062735242525</v>
      </c>
      <c r="O235" s="46">
        <f t="shared" si="41"/>
        <v>18301407.718924571</v>
      </c>
      <c r="P235" s="47">
        <f t="shared" si="34"/>
        <v>17036.870417236663</v>
      </c>
      <c r="Q235" s="46">
        <v>44550</v>
      </c>
      <c r="R235" s="47">
        <f t="shared" si="42"/>
        <v>27513.129582763337</v>
      </c>
      <c r="S235" s="191">
        <f t="shared" si="43"/>
        <v>0.61757866627976066</v>
      </c>
      <c r="T235" s="42">
        <v>24907904.550000001</v>
      </c>
      <c r="U235" s="48">
        <f t="shared" si="35"/>
        <v>0.73476304207712129</v>
      </c>
      <c r="V235" s="49"/>
    </row>
    <row r="236" spans="1:22" x14ac:dyDescent="0.3">
      <c r="A236" s="40" t="str">
        <f>VLOOKUP(B236,Grupos!$A$2:$B$619,2,FALSE)</f>
        <v>TABLEROS 75 AMP COBRE TAPA LISA</v>
      </c>
      <c r="B236" s="41" t="s">
        <v>393</v>
      </c>
      <c r="C236" s="41" t="s">
        <v>1087</v>
      </c>
      <c r="D236" s="42">
        <v>264</v>
      </c>
      <c r="E236" s="43">
        <v>7128.31</v>
      </c>
      <c r="F236" s="192">
        <v>537.73</v>
      </c>
      <c r="G236" s="126">
        <f t="shared" si="36"/>
        <v>7666.0400000000009</v>
      </c>
      <c r="H236" s="127">
        <f t="shared" si="37"/>
        <v>1881873.84</v>
      </c>
      <c r="I236" s="128">
        <f t="shared" si="38"/>
        <v>141960.72</v>
      </c>
      <c r="J236" s="128">
        <f t="shared" si="39"/>
        <v>2023834.5600000003</v>
      </c>
      <c r="K236" s="44">
        <f t="shared" si="33"/>
        <v>1.2796335408129917E-3</v>
      </c>
      <c r="L236" s="45">
        <v>2168.1742449604735</v>
      </c>
      <c r="M236" s="45">
        <v>3528.8065385101577</v>
      </c>
      <c r="N236" s="45">
        <f t="shared" si="40"/>
        <v>13363.020783470633</v>
      </c>
      <c r="O236" s="46">
        <f t="shared" si="41"/>
        <v>3527837.4868362471</v>
      </c>
      <c r="P236" s="47">
        <f t="shared" si="34"/>
        <v>17973.363257575758</v>
      </c>
      <c r="Q236" s="46">
        <v>46850</v>
      </c>
      <c r="R236" s="47">
        <f t="shared" si="42"/>
        <v>28876.636742424242</v>
      </c>
      <c r="S236" s="191">
        <f t="shared" si="43"/>
        <v>0.61636364444875646</v>
      </c>
      <c r="T236" s="42">
        <v>4744967.9000000004</v>
      </c>
      <c r="U236" s="48">
        <f t="shared" si="35"/>
        <v>0.74349027457830574</v>
      </c>
      <c r="V236" s="49"/>
    </row>
    <row r="237" spans="1:22" x14ac:dyDescent="0.3">
      <c r="A237" s="40" t="str">
        <f>VLOOKUP(B237,Grupos!$A$2:$B$619,2,FALSE)</f>
        <v>TABLEROS 75 AMP COBRE TAPA LISA</v>
      </c>
      <c r="B237" s="41" t="s">
        <v>394</v>
      </c>
      <c r="C237" s="41" t="s">
        <v>395</v>
      </c>
      <c r="D237" s="42">
        <v>336</v>
      </c>
      <c r="E237" s="43">
        <v>7467.56</v>
      </c>
      <c r="F237" s="192">
        <v>493.13</v>
      </c>
      <c r="G237" s="126">
        <f t="shared" si="36"/>
        <v>7960.6900000000005</v>
      </c>
      <c r="H237" s="127">
        <f t="shared" si="37"/>
        <v>2509100.16</v>
      </c>
      <c r="I237" s="128">
        <f t="shared" si="38"/>
        <v>165691.68</v>
      </c>
      <c r="J237" s="128">
        <f t="shared" si="39"/>
        <v>2674791.8400000003</v>
      </c>
      <c r="K237" s="44">
        <f t="shared" si="33"/>
        <v>1.691221911516768E-3</v>
      </c>
      <c r="L237" s="45">
        <v>2251.5096490644964</v>
      </c>
      <c r="M237" s="45">
        <v>3236.1229024519998</v>
      </c>
      <c r="N237" s="45">
        <f t="shared" si="40"/>
        <v>13448.322551516496</v>
      </c>
      <c r="O237" s="46">
        <f t="shared" si="41"/>
        <v>4518636.3773095421</v>
      </c>
      <c r="P237" s="47">
        <f t="shared" si="34"/>
        <v>18010.928601190477</v>
      </c>
      <c r="Q237" s="46">
        <v>44550</v>
      </c>
      <c r="R237" s="47">
        <f t="shared" si="42"/>
        <v>26539.071398809523</v>
      </c>
      <c r="S237" s="191">
        <f t="shared" si="43"/>
        <v>0.59571428504622947</v>
      </c>
      <c r="T237" s="42">
        <v>6051672.0099999998</v>
      </c>
      <c r="U237" s="48">
        <f t="shared" si="35"/>
        <v>0.7466756905930767</v>
      </c>
      <c r="V237" s="49"/>
    </row>
    <row r="238" spans="1:22" x14ac:dyDescent="0.3">
      <c r="A238" s="40" t="str">
        <f>VLOOKUP(B238,Grupos!$A$2:$B$619,2,FALSE)</f>
        <v>TABLEROS 75 AMP COBRE TAPA LISA</v>
      </c>
      <c r="B238" s="41" t="s">
        <v>402</v>
      </c>
      <c r="C238" s="41" t="s">
        <v>403</v>
      </c>
      <c r="D238" s="42">
        <v>300</v>
      </c>
      <c r="E238" s="43">
        <v>10699.01</v>
      </c>
      <c r="F238" s="192">
        <v>1004.85</v>
      </c>
      <c r="G238" s="126">
        <f t="shared" si="36"/>
        <v>11703.86</v>
      </c>
      <c r="H238" s="127">
        <f t="shared" si="37"/>
        <v>3209703</v>
      </c>
      <c r="I238" s="128">
        <f t="shared" si="38"/>
        <v>301455</v>
      </c>
      <c r="J238" s="128">
        <f t="shared" si="39"/>
        <v>3511158</v>
      </c>
      <c r="K238" s="44">
        <f t="shared" si="33"/>
        <v>2.2200409226601318E-3</v>
      </c>
      <c r="L238" s="45">
        <v>3310.1846349122998</v>
      </c>
      <c r="M238" s="45">
        <v>6594.2410693506627</v>
      </c>
      <c r="N238" s="45">
        <f t="shared" si="40"/>
        <v>21608.285704262962</v>
      </c>
      <c r="O238" s="46">
        <f t="shared" si="41"/>
        <v>6482485.7112788884</v>
      </c>
      <c r="P238" s="47">
        <f t="shared" si="34"/>
        <v>25792.499166666668</v>
      </c>
      <c r="Q238" s="46">
        <v>67350</v>
      </c>
      <c r="R238" s="47">
        <f t="shared" si="42"/>
        <v>41557.500833333332</v>
      </c>
      <c r="S238" s="191">
        <f t="shared" si="43"/>
        <v>0.6170378742885424</v>
      </c>
      <c r="T238" s="42">
        <v>7737749.75</v>
      </c>
      <c r="U238" s="48">
        <f t="shared" si="35"/>
        <v>0.83777401967269471</v>
      </c>
      <c r="V238" s="49"/>
    </row>
    <row r="239" spans="1:22" x14ac:dyDescent="0.3">
      <c r="A239" s="40" t="str">
        <f>VLOOKUP(B239,Grupos!$A$2:$B$619,2,FALSE)</f>
        <v>TABLEROS 75 AMP COBRE TAPA LISA</v>
      </c>
      <c r="B239" s="41" t="s">
        <v>404</v>
      </c>
      <c r="C239" s="41" t="s">
        <v>405</v>
      </c>
      <c r="D239" s="42">
        <v>1260</v>
      </c>
      <c r="E239" s="43">
        <v>10596.84</v>
      </c>
      <c r="F239" s="192">
        <v>944.2</v>
      </c>
      <c r="G239" s="126">
        <f t="shared" si="36"/>
        <v>11541.04</v>
      </c>
      <c r="H239" s="127">
        <f t="shared" si="37"/>
        <v>13352018.4</v>
      </c>
      <c r="I239" s="128">
        <f t="shared" si="38"/>
        <v>1189692</v>
      </c>
      <c r="J239" s="128">
        <f t="shared" si="39"/>
        <v>14541710.4</v>
      </c>
      <c r="K239" s="44">
        <f t="shared" si="33"/>
        <v>9.1944572626673129E-3</v>
      </c>
      <c r="L239" s="45">
        <v>3264.1345059585683</v>
      </c>
      <c r="M239" s="45">
        <v>6196.2306987917555</v>
      </c>
      <c r="N239" s="45">
        <f t="shared" si="40"/>
        <v>21001.405204750325</v>
      </c>
      <c r="O239" s="46">
        <f t="shared" si="41"/>
        <v>26461770.55798541</v>
      </c>
      <c r="P239" s="47">
        <f t="shared" si="34"/>
        <v>24205.332952380952</v>
      </c>
      <c r="Q239" s="46">
        <v>60900</v>
      </c>
      <c r="R239" s="47">
        <f t="shared" si="42"/>
        <v>36694.667047619048</v>
      </c>
      <c r="S239" s="191">
        <f t="shared" si="43"/>
        <v>0.60253968879505826</v>
      </c>
      <c r="T239" s="42">
        <v>30498719.52</v>
      </c>
      <c r="U239" s="48">
        <f t="shared" si="35"/>
        <v>0.86763546058491736</v>
      </c>
      <c r="V239" s="49"/>
    </row>
    <row r="240" spans="1:22" x14ac:dyDescent="0.3">
      <c r="A240" s="40" t="str">
        <f>VLOOKUP(B240,Grupos!$A$2:$B$619,2,FALSE)</f>
        <v>TABLEROS 75 AMP COBRE TAPA LISA</v>
      </c>
      <c r="B240" s="41" t="s">
        <v>406</v>
      </c>
      <c r="C240" s="41" t="s">
        <v>407</v>
      </c>
      <c r="D240" s="42">
        <v>440</v>
      </c>
      <c r="E240" s="43">
        <v>11224.86</v>
      </c>
      <c r="F240" s="192">
        <v>1027.1600000000001</v>
      </c>
      <c r="G240" s="126">
        <f t="shared" si="36"/>
        <v>12252.02</v>
      </c>
      <c r="H240" s="127">
        <f t="shared" si="37"/>
        <v>4938938.4000000004</v>
      </c>
      <c r="I240" s="128">
        <f t="shared" si="38"/>
        <v>451950.4</v>
      </c>
      <c r="J240" s="128">
        <f t="shared" si="39"/>
        <v>5390888.7999999998</v>
      </c>
      <c r="K240" s="44">
        <f t="shared" si="33"/>
        <v>3.4085602942135244E-3</v>
      </c>
      <c r="L240" s="45">
        <v>3465.2198805042262</v>
      </c>
      <c r="M240" s="45">
        <v>6740.6485115133873</v>
      </c>
      <c r="N240" s="45">
        <f t="shared" si="40"/>
        <v>22457.888392017616</v>
      </c>
      <c r="O240" s="46">
        <f t="shared" si="41"/>
        <v>9881470.8924877513</v>
      </c>
      <c r="P240" s="47">
        <f t="shared" si="34"/>
        <v>26664.47631818182</v>
      </c>
      <c r="Q240" s="46">
        <v>67350</v>
      </c>
      <c r="R240" s="47">
        <f t="shared" si="42"/>
        <v>40685.52368181818</v>
      </c>
      <c r="S240" s="191">
        <f t="shared" si="43"/>
        <v>0.60409092326381852</v>
      </c>
      <c r="T240" s="42">
        <v>11732369.58</v>
      </c>
      <c r="U240" s="48">
        <f t="shared" si="35"/>
        <v>0.84223999466676802</v>
      </c>
      <c r="V240" s="49"/>
    </row>
    <row r="241" spans="1:22" x14ac:dyDescent="0.3">
      <c r="A241" s="40" t="str">
        <f>VLOOKUP(B241,Grupos!$A$2:$B$619,2,FALSE)</f>
        <v>TABLEROS 75 AMP COBRE TAPA LISA</v>
      </c>
      <c r="B241" s="41" t="s">
        <v>408</v>
      </c>
      <c r="C241" s="41" t="s">
        <v>409</v>
      </c>
      <c r="D241" s="42">
        <v>680</v>
      </c>
      <c r="E241" s="43">
        <v>11190.95</v>
      </c>
      <c r="F241" s="192">
        <v>906.96</v>
      </c>
      <c r="G241" s="126">
        <f t="shared" si="36"/>
        <v>12097.91</v>
      </c>
      <c r="H241" s="127">
        <f t="shared" si="37"/>
        <v>7609846.0000000009</v>
      </c>
      <c r="I241" s="128">
        <f t="shared" si="38"/>
        <v>616732.80000000005</v>
      </c>
      <c r="J241" s="128">
        <f t="shared" si="39"/>
        <v>8226578.7999999998</v>
      </c>
      <c r="K241" s="44">
        <f t="shared" si="33"/>
        <v>5.2015151666453862E-3</v>
      </c>
      <c r="L241" s="45">
        <v>3421.6331873887643</v>
      </c>
      <c r="M241" s="45">
        <v>5951.846425096559</v>
      </c>
      <c r="N241" s="45">
        <f t="shared" si="40"/>
        <v>21471.389612485324</v>
      </c>
      <c r="O241" s="46">
        <f t="shared" si="41"/>
        <v>14600544.93649002</v>
      </c>
      <c r="P241" s="47">
        <f t="shared" si="34"/>
        <v>24198.792897058822</v>
      </c>
      <c r="Q241" s="46">
        <v>60900</v>
      </c>
      <c r="R241" s="47">
        <f t="shared" si="42"/>
        <v>36701.207102941175</v>
      </c>
      <c r="S241" s="191">
        <f t="shared" si="43"/>
        <v>0.60264707886602908</v>
      </c>
      <c r="T241" s="42">
        <v>16455179.17</v>
      </c>
      <c r="U241" s="48">
        <f t="shared" si="35"/>
        <v>0.88729176301579094</v>
      </c>
      <c r="V241" s="49"/>
    </row>
    <row r="242" spans="1:22" x14ac:dyDescent="0.3">
      <c r="A242" s="40" t="str">
        <f>VLOOKUP(B242,Grupos!$A$2:$B$619,2,FALSE)</f>
        <v>TABLEROS 75 AMP COBRE TAPA LISA</v>
      </c>
      <c r="B242" s="41" t="s">
        <v>412</v>
      </c>
      <c r="C242" s="41" t="s">
        <v>413</v>
      </c>
      <c r="D242" s="42">
        <v>600</v>
      </c>
      <c r="E242" s="43">
        <v>14528.25</v>
      </c>
      <c r="F242" s="192">
        <v>1201.76</v>
      </c>
      <c r="G242" s="126">
        <f t="shared" si="36"/>
        <v>15730.01</v>
      </c>
      <c r="H242" s="127">
        <f t="shared" si="37"/>
        <v>8716950</v>
      </c>
      <c r="I242" s="128">
        <f t="shared" si="38"/>
        <v>721056</v>
      </c>
      <c r="J242" s="128">
        <f t="shared" si="39"/>
        <v>9438006</v>
      </c>
      <c r="K242" s="44">
        <f t="shared" si="33"/>
        <v>5.967478406927817E-3</v>
      </c>
      <c r="L242" s="45">
        <v>4448.8944168006819</v>
      </c>
      <c r="M242" s="45">
        <v>7886.4458849607927</v>
      </c>
      <c r="N242" s="45">
        <f t="shared" si="40"/>
        <v>28065.350301761471</v>
      </c>
      <c r="O242" s="46">
        <f t="shared" si="41"/>
        <v>16839210.181056883</v>
      </c>
      <c r="P242" s="47">
        <f t="shared" si="34"/>
        <v>30440.666450000001</v>
      </c>
      <c r="Q242" s="46">
        <v>77000</v>
      </c>
      <c r="R242" s="47">
        <f t="shared" si="42"/>
        <v>46559.333549999996</v>
      </c>
      <c r="S242" s="191">
        <f t="shared" si="43"/>
        <v>0.60466666948051939</v>
      </c>
      <c r="T242" s="42">
        <v>18264399.870000001</v>
      </c>
      <c r="U242" s="152">
        <f t="shared" si="35"/>
        <v>0.92196898342747913</v>
      </c>
      <c r="V242" s="49"/>
    </row>
    <row r="243" spans="1:22" x14ac:dyDescent="0.3">
      <c r="A243" s="40" t="str">
        <f>VLOOKUP(B243,Grupos!$A$2:$B$619,2,FALSE)</f>
        <v>TABLEROS 75 AMP COBRE TAPA LISA</v>
      </c>
      <c r="B243" s="41" t="s">
        <v>414</v>
      </c>
      <c r="C243" s="41" t="s">
        <v>415</v>
      </c>
      <c r="D243" s="42">
        <v>100</v>
      </c>
      <c r="E243" s="43">
        <v>14822.59</v>
      </c>
      <c r="F243" s="192">
        <v>1199.3900000000001</v>
      </c>
      <c r="G243" s="126">
        <f t="shared" si="36"/>
        <v>16021.98</v>
      </c>
      <c r="H243" s="127">
        <f t="shared" si="37"/>
        <v>1482259</v>
      </c>
      <c r="I243" s="128">
        <f t="shared" si="38"/>
        <v>119939.00000000001</v>
      </c>
      <c r="J243" s="128">
        <f t="shared" si="39"/>
        <v>1602198</v>
      </c>
      <c r="K243" s="44">
        <f t="shared" si="33"/>
        <v>1.013040463062106E-3</v>
      </c>
      <c r="L243" s="45">
        <v>4531.4718406467755</v>
      </c>
      <c r="M243" s="45">
        <v>7870.8929652868501</v>
      </c>
      <c r="N243" s="45">
        <f t="shared" si="40"/>
        <v>28424.344805933626</v>
      </c>
      <c r="O243" s="46">
        <f t="shared" si="41"/>
        <v>2842434.4805933628</v>
      </c>
      <c r="P243" s="47">
        <f t="shared" si="34"/>
        <v>32330.998799999998</v>
      </c>
      <c r="Q243" s="46">
        <v>82900</v>
      </c>
      <c r="R243" s="47">
        <f t="shared" si="42"/>
        <v>50569.001199999999</v>
      </c>
      <c r="S243" s="191">
        <f t="shared" si="43"/>
        <v>0.61000001447527141</v>
      </c>
      <c r="T243" s="42">
        <v>3233099.88</v>
      </c>
      <c r="U243" s="152">
        <f t="shared" si="35"/>
        <v>0.87916692527091456</v>
      </c>
      <c r="V243" s="49"/>
    </row>
    <row r="244" spans="1:22" x14ac:dyDescent="0.3">
      <c r="A244" s="40" t="str">
        <f>VLOOKUP(B244,Grupos!$A$2:$B$619,2,FALSE)</f>
        <v>TABLEROS 75 AMP COBRE TAPA LISA</v>
      </c>
      <c r="B244" s="41" t="s">
        <v>416</v>
      </c>
      <c r="C244" s="41" t="s">
        <v>417</v>
      </c>
      <c r="D244" s="42">
        <v>360</v>
      </c>
      <c r="E244" s="43">
        <v>14822.26</v>
      </c>
      <c r="F244" s="192">
        <v>1121.73</v>
      </c>
      <c r="G244" s="126">
        <f t="shared" si="36"/>
        <v>15943.99</v>
      </c>
      <c r="H244" s="127">
        <f t="shared" si="37"/>
        <v>5336013.5999999996</v>
      </c>
      <c r="I244" s="128">
        <f t="shared" si="38"/>
        <v>403822.8</v>
      </c>
      <c r="J244" s="128">
        <f t="shared" si="39"/>
        <v>5739836.4000000004</v>
      </c>
      <c r="K244" s="44">
        <f t="shared" si="33"/>
        <v>3.6291934733139923E-3</v>
      </c>
      <c r="L244" s="45">
        <v>4509.4140494841322</v>
      </c>
      <c r="M244" s="45">
        <v>7361.2559433972419</v>
      </c>
      <c r="N244" s="45">
        <f t="shared" si="40"/>
        <v>27814.659992881374</v>
      </c>
      <c r="O244" s="46">
        <f t="shared" si="41"/>
        <v>10013277.597437294</v>
      </c>
      <c r="P244" s="47">
        <f t="shared" si="34"/>
        <v>30714.442944444447</v>
      </c>
      <c r="Q244" s="46">
        <v>77000</v>
      </c>
      <c r="R244" s="47">
        <f t="shared" si="42"/>
        <v>46285.557055555553</v>
      </c>
      <c r="S244" s="191">
        <f t="shared" si="43"/>
        <v>0.60111113059163057</v>
      </c>
      <c r="T244" s="42">
        <v>11057199.460000001</v>
      </c>
      <c r="U244" s="48">
        <f t="shared" si="35"/>
        <v>0.9055889453437872</v>
      </c>
      <c r="V244" s="49"/>
    </row>
    <row r="245" spans="1:22" x14ac:dyDescent="0.3">
      <c r="A245" s="40" t="str">
        <f>VLOOKUP(B245,Grupos!$A$2:$B$619,2,FALSE)</f>
        <v>TABLEROS 75 AMP COBRE TAPA LISA</v>
      </c>
      <c r="B245" s="41" t="s">
        <v>418</v>
      </c>
      <c r="C245" s="41" t="s">
        <v>1091</v>
      </c>
      <c r="D245" s="42">
        <v>135</v>
      </c>
      <c r="E245" s="43">
        <v>18502.439999999999</v>
      </c>
      <c r="F245" s="192">
        <v>1183.22</v>
      </c>
      <c r="G245" s="126">
        <f t="shared" si="36"/>
        <v>19685.66</v>
      </c>
      <c r="H245" s="127">
        <f t="shared" si="37"/>
        <v>2497829.4</v>
      </c>
      <c r="I245" s="128">
        <f t="shared" si="38"/>
        <v>159734.70000000001</v>
      </c>
      <c r="J245" s="128">
        <f t="shared" si="39"/>
        <v>2657564.1</v>
      </c>
      <c r="K245" s="44">
        <f t="shared" si="33"/>
        <v>1.6803291269126719E-3</v>
      </c>
      <c r="L245" s="45">
        <v>5567.6647926502592</v>
      </c>
      <c r="M245" s="45">
        <v>7764.7787411823565</v>
      </c>
      <c r="N245" s="45">
        <f t="shared" si="40"/>
        <v>33018.103533832618</v>
      </c>
      <c r="O245" s="46">
        <f t="shared" si="41"/>
        <v>4457443.9770674035</v>
      </c>
      <c r="P245" s="47">
        <f t="shared" si="34"/>
        <v>40544.276222222223</v>
      </c>
      <c r="Q245" s="46">
        <v>104950</v>
      </c>
      <c r="R245" s="47">
        <f t="shared" si="42"/>
        <v>64405.723777777777</v>
      </c>
      <c r="S245" s="191">
        <f t="shared" si="43"/>
        <v>0.6136800741093642</v>
      </c>
      <c r="T245" s="42">
        <v>5473477.29</v>
      </c>
      <c r="U245" s="152">
        <f t="shared" si="35"/>
        <v>0.81437151209362257</v>
      </c>
      <c r="V245" s="49"/>
    </row>
    <row r="246" spans="1:22" x14ac:dyDescent="0.3">
      <c r="A246" s="40" t="str">
        <f>VLOOKUP(B246,Grupos!$A$2:$B$619,2,FALSE)</f>
        <v>TABLEROS 75 AMP COBRE TAPA LISA</v>
      </c>
      <c r="B246" s="41" t="s">
        <v>420</v>
      </c>
      <c r="C246" s="41" t="s">
        <v>1093</v>
      </c>
      <c r="D246" s="42">
        <v>60</v>
      </c>
      <c r="E246" s="43">
        <v>18757.669999999998</v>
      </c>
      <c r="F246" s="192">
        <v>1159.3900000000001</v>
      </c>
      <c r="G246" s="126">
        <f t="shared" si="36"/>
        <v>19917.059999999998</v>
      </c>
      <c r="H246" s="127">
        <f t="shared" si="37"/>
        <v>1125460.2</v>
      </c>
      <c r="I246" s="128">
        <f t="shared" si="38"/>
        <v>69563.400000000009</v>
      </c>
      <c r="J246" s="128">
        <f t="shared" si="39"/>
        <v>1195023.5999999999</v>
      </c>
      <c r="K246" s="44">
        <f t="shared" si="33"/>
        <v>7.5559154431234141E-4</v>
      </c>
      <c r="L246" s="45">
        <v>5633.1112970102486</v>
      </c>
      <c r="M246" s="45">
        <v>7608.396430705543</v>
      </c>
      <c r="N246" s="45">
        <f t="shared" si="40"/>
        <v>33158.567727715788</v>
      </c>
      <c r="O246" s="46">
        <f t="shared" si="41"/>
        <v>1989514.0636629474</v>
      </c>
      <c r="P246" s="47">
        <f t="shared" si="34"/>
        <v>39880.999500000005</v>
      </c>
      <c r="Q246" s="46">
        <v>104950</v>
      </c>
      <c r="R246" s="47">
        <f t="shared" si="42"/>
        <v>65069.000499999995</v>
      </c>
      <c r="S246" s="191">
        <f t="shared" si="43"/>
        <v>0.62000000476417338</v>
      </c>
      <c r="T246" s="42">
        <v>2392859.9700000002</v>
      </c>
      <c r="U246" s="152">
        <f t="shared" si="35"/>
        <v>0.83143773083510075</v>
      </c>
      <c r="V246" s="49"/>
    </row>
    <row r="247" spans="1:22" x14ac:dyDescent="0.3">
      <c r="A247" s="40" t="str">
        <f>VLOOKUP(B247,Grupos!$A$2:$B$619,2,FALSE)</f>
        <v>TABLEROS 75 AMP COBRE TAPA LISA</v>
      </c>
      <c r="B247" s="41" t="s">
        <v>421</v>
      </c>
      <c r="C247" s="41" t="s">
        <v>1094</v>
      </c>
      <c r="D247" s="42">
        <v>15</v>
      </c>
      <c r="E247" s="43">
        <v>18740.96</v>
      </c>
      <c r="F247" s="192">
        <v>1034.33</v>
      </c>
      <c r="G247" s="126">
        <f t="shared" si="36"/>
        <v>19775.29</v>
      </c>
      <c r="H247" s="127">
        <f t="shared" si="37"/>
        <v>281114.39999999997</v>
      </c>
      <c r="I247" s="128">
        <f t="shared" si="38"/>
        <v>15514.949999999999</v>
      </c>
      <c r="J247" s="128">
        <f t="shared" si="39"/>
        <v>296629.35000000003</v>
      </c>
      <c r="K247" s="44">
        <f t="shared" si="33"/>
        <v>1.8755330744502961E-4</v>
      </c>
      <c r="L247" s="45">
        <v>5593.014707022714</v>
      </c>
      <c r="M247" s="45">
        <v>6787.7010153370857</v>
      </c>
      <c r="N247" s="45">
        <f t="shared" si="40"/>
        <v>32156.005722359801</v>
      </c>
      <c r="O247" s="46">
        <f t="shared" si="41"/>
        <v>482340.08583539701</v>
      </c>
      <c r="P247" s="47">
        <f t="shared" si="34"/>
        <v>38279.998</v>
      </c>
      <c r="Q247" s="46">
        <v>95700</v>
      </c>
      <c r="R247" s="47">
        <f t="shared" si="42"/>
        <v>57420.002</v>
      </c>
      <c r="S247" s="191">
        <f t="shared" si="43"/>
        <v>0.60000002089864157</v>
      </c>
      <c r="T247" s="42">
        <v>574199.97</v>
      </c>
      <c r="U247" s="152">
        <f t="shared" si="35"/>
        <v>0.84002109201677078</v>
      </c>
      <c r="V247" s="49"/>
    </row>
    <row r="248" spans="1:22" x14ac:dyDescent="0.3">
      <c r="A248" s="40" t="str">
        <f>VLOOKUP(B248,Grupos!$A$2:$B$619,2,FALSE)</f>
        <v>TABLEROS 75 AMP COBRE TAPA PLASTICA</v>
      </c>
      <c r="B248" s="41" t="s">
        <v>422</v>
      </c>
      <c r="C248" s="41" t="s">
        <v>423</v>
      </c>
      <c r="D248" s="42">
        <v>11</v>
      </c>
      <c r="E248" s="43">
        <v>9934.43</v>
      </c>
      <c r="F248" s="192">
        <v>1028.3900000000001</v>
      </c>
      <c r="G248" s="126">
        <f t="shared" si="36"/>
        <v>10962.82</v>
      </c>
      <c r="H248" s="127">
        <f t="shared" si="37"/>
        <v>109278.73000000001</v>
      </c>
      <c r="I248" s="128">
        <f t="shared" si="38"/>
        <v>11312.29</v>
      </c>
      <c r="J248" s="128">
        <f t="shared" si="39"/>
        <v>120591.01999999999</v>
      </c>
      <c r="K248" s="44">
        <f t="shared" si="33"/>
        <v>7.6247494218524602E-5</v>
      </c>
      <c r="L248" s="45">
        <v>3100.5974370258409</v>
      </c>
      <c r="M248" s="45">
        <v>6748.7202799517627</v>
      </c>
      <c r="N248" s="45">
        <f t="shared" si="40"/>
        <v>20812.137716977602</v>
      </c>
      <c r="O248" s="46">
        <f t="shared" si="41"/>
        <v>228933.51488675363</v>
      </c>
      <c r="P248" s="47">
        <f t="shared" si="34"/>
        <v>27880.00181818182</v>
      </c>
      <c r="Q248" s="46">
        <v>68000</v>
      </c>
      <c r="R248" s="47">
        <f t="shared" si="42"/>
        <v>40119.998181818184</v>
      </c>
      <c r="S248" s="191">
        <f t="shared" si="43"/>
        <v>0.58999997326203213</v>
      </c>
      <c r="T248" s="42">
        <v>306680.02</v>
      </c>
      <c r="U248" s="48">
        <f t="shared" si="35"/>
        <v>0.74648982638893013</v>
      </c>
      <c r="V248" s="49"/>
    </row>
    <row r="249" spans="1:22" x14ac:dyDescent="0.3">
      <c r="A249" s="40" t="str">
        <f>VLOOKUP(B249,Grupos!$A$2:$B$619,2,FALSE)</f>
        <v>TABLEROS 75 AMP COBRE TAPA PLASTICA</v>
      </c>
      <c r="B249" s="41" t="s">
        <v>424</v>
      </c>
      <c r="C249" s="41" t="s">
        <v>425</v>
      </c>
      <c r="D249" s="42">
        <v>1035</v>
      </c>
      <c r="E249" s="43">
        <v>10651.34</v>
      </c>
      <c r="F249" s="192">
        <v>933.55</v>
      </c>
      <c r="G249" s="126">
        <f t="shared" si="36"/>
        <v>11584.89</v>
      </c>
      <c r="H249" s="127">
        <f t="shared" si="37"/>
        <v>11024136.9</v>
      </c>
      <c r="I249" s="128">
        <f t="shared" si="38"/>
        <v>966224.25</v>
      </c>
      <c r="J249" s="128">
        <f t="shared" si="39"/>
        <v>11990361.149999999</v>
      </c>
      <c r="K249" s="44">
        <f t="shared" si="33"/>
        <v>7.5812858408747762E-3</v>
      </c>
      <c r="L249" s="45">
        <v>3276.5365336862496</v>
      </c>
      <c r="M249" s="45">
        <v>6126.3409964594821</v>
      </c>
      <c r="N249" s="45">
        <f t="shared" si="40"/>
        <v>20987.767530145731</v>
      </c>
      <c r="O249" s="46">
        <f t="shared" si="41"/>
        <v>21722339.393700831</v>
      </c>
      <c r="P249" s="47">
        <f t="shared" si="34"/>
        <v>24870.148115942029</v>
      </c>
      <c r="Q249" s="46">
        <v>60900</v>
      </c>
      <c r="R249" s="47">
        <f t="shared" si="42"/>
        <v>36029.851884057971</v>
      </c>
      <c r="S249" s="191">
        <f t="shared" si="43"/>
        <v>0.59162318364627209</v>
      </c>
      <c r="T249" s="42">
        <v>25740603.300000001</v>
      </c>
      <c r="U249" s="48">
        <f t="shared" si="35"/>
        <v>0.84389394997982936</v>
      </c>
      <c r="V249" s="49"/>
    </row>
    <row r="250" spans="1:22" x14ac:dyDescent="0.3">
      <c r="A250" s="40" t="str">
        <f>VLOOKUP(B250,Grupos!$A$2:$B$619,2,FALSE)</f>
        <v>TABLEROS 75 AMP COBRE TAPA PLASTICA</v>
      </c>
      <c r="B250" s="41" t="s">
        <v>426</v>
      </c>
      <c r="C250" s="41" t="s">
        <v>427</v>
      </c>
      <c r="D250" s="42">
        <v>75</v>
      </c>
      <c r="E250" s="43">
        <v>11293.22</v>
      </c>
      <c r="F250" s="192">
        <v>893.04</v>
      </c>
      <c r="G250" s="126">
        <f t="shared" si="36"/>
        <v>12186.259999999998</v>
      </c>
      <c r="H250" s="127">
        <f t="shared" si="37"/>
        <v>846991.5</v>
      </c>
      <c r="I250" s="128">
        <f t="shared" si="38"/>
        <v>66978</v>
      </c>
      <c r="J250" s="128">
        <f t="shared" si="39"/>
        <v>913969.49999999988</v>
      </c>
      <c r="K250" s="44">
        <f t="shared" si="33"/>
        <v>5.7788618229746966E-4</v>
      </c>
      <c r="L250" s="45">
        <v>3446.6210813395196</v>
      </c>
      <c r="M250" s="45">
        <v>5860.4976310622633</v>
      </c>
      <c r="N250" s="45">
        <f t="shared" si="40"/>
        <v>21493.37871240178</v>
      </c>
      <c r="O250" s="46">
        <f t="shared" si="41"/>
        <v>1612003.4034301336</v>
      </c>
      <c r="P250" s="47">
        <f t="shared" si="34"/>
        <v>24359.998533333332</v>
      </c>
      <c r="Q250" s="46">
        <v>60900</v>
      </c>
      <c r="R250" s="47">
        <f t="shared" si="42"/>
        <v>36540.001466666668</v>
      </c>
      <c r="S250" s="191">
        <f t="shared" si="43"/>
        <v>0.60000002408319653</v>
      </c>
      <c r="T250" s="42">
        <v>1826999.89</v>
      </c>
      <c r="U250" s="48">
        <f t="shared" si="35"/>
        <v>0.88232266036432749</v>
      </c>
      <c r="V250" s="49"/>
    </row>
    <row r="251" spans="1:22" x14ac:dyDescent="0.3">
      <c r="A251" s="40" t="str">
        <f>VLOOKUP(B251,Grupos!$A$2:$B$619,2,FALSE)</f>
        <v>TABLEROS 75 AMP COBRE TAPA PLASTICA</v>
      </c>
      <c r="B251" s="41" t="s">
        <v>430</v>
      </c>
      <c r="C251" s="41" t="s">
        <v>431</v>
      </c>
      <c r="D251" s="42">
        <v>1107</v>
      </c>
      <c r="E251" s="43">
        <v>14502.94</v>
      </c>
      <c r="F251" s="192">
        <v>1124.95</v>
      </c>
      <c r="G251" s="126">
        <f t="shared" si="36"/>
        <v>15627.890000000001</v>
      </c>
      <c r="H251" s="127">
        <f t="shared" si="37"/>
        <v>16054754.58</v>
      </c>
      <c r="I251" s="128">
        <f t="shared" si="38"/>
        <v>1245319.6500000001</v>
      </c>
      <c r="J251" s="128">
        <f t="shared" si="39"/>
        <v>17300074.23</v>
      </c>
      <c r="K251" s="44">
        <f t="shared" si="33"/>
        <v>1.0938520213461761E-2</v>
      </c>
      <c r="L251" s="45">
        <v>4420.0119750321328</v>
      </c>
      <c r="M251" s="45">
        <v>7382.3869144310374</v>
      </c>
      <c r="N251" s="45">
        <f t="shared" si="40"/>
        <v>27430.288889463172</v>
      </c>
      <c r="O251" s="46">
        <f t="shared" si="41"/>
        <v>30365329.800635733</v>
      </c>
      <c r="P251" s="47">
        <f t="shared" si="34"/>
        <v>30646.973685636854</v>
      </c>
      <c r="Q251" s="46">
        <v>77000</v>
      </c>
      <c r="R251" s="47">
        <f t="shared" si="42"/>
        <v>46353.026314363146</v>
      </c>
      <c r="S251" s="191">
        <f t="shared" si="43"/>
        <v>0.60198735473198894</v>
      </c>
      <c r="T251" s="42">
        <v>33926199.869999997</v>
      </c>
      <c r="U251" s="48">
        <f t="shared" si="35"/>
        <v>0.89504070355627885</v>
      </c>
      <c r="V251" s="49"/>
    </row>
    <row r="252" spans="1:22" x14ac:dyDescent="0.3">
      <c r="A252" s="40" t="str">
        <f>VLOOKUP(B252,Grupos!$A$2:$B$619,2,FALSE)</f>
        <v>TABLEROS 75 AMP COBRE TAPA PLASTICA</v>
      </c>
      <c r="B252" s="41" t="s">
        <v>432</v>
      </c>
      <c r="C252" s="41" t="s">
        <v>433</v>
      </c>
      <c r="D252" s="42">
        <v>77</v>
      </c>
      <c r="E252" s="43">
        <v>14801.17</v>
      </c>
      <c r="F252" s="192">
        <v>1073.3599999999999</v>
      </c>
      <c r="G252" s="126">
        <f t="shared" si="36"/>
        <v>15874.53</v>
      </c>
      <c r="H252" s="127">
        <f t="shared" si="37"/>
        <v>1139690.0900000001</v>
      </c>
      <c r="I252" s="128">
        <f t="shared" si="38"/>
        <v>82648.719999999987</v>
      </c>
      <c r="J252" s="128">
        <f t="shared" si="39"/>
        <v>1222338.81</v>
      </c>
      <c r="K252" s="44">
        <f t="shared" si="33"/>
        <v>7.7286245152046352E-4</v>
      </c>
      <c r="L252" s="45">
        <v>4489.768785037958</v>
      </c>
      <c r="M252" s="45">
        <v>7043.832008954796</v>
      </c>
      <c r="N252" s="45">
        <f t="shared" si="40"/>
        <v>27408.130793992754</v>
      </c>
      <c r="O252" s="46">
        <f t="shared" si="41"/>
        <v>2110426.0711374423</v>
      </c>
      <c r="P252" s="47">
        <f t="shared" si="34"/>
        <v>30069.99896103896</v>
      </c>
      <c r="Q252" s="46">
        <v>77000</v>
      </c>
      <c r="R252" s="47">
        <f t="shared" si="42"/>
        <v>46930.00103896104</v>
      </c>
      <c r="S252" s="191">
        <f t="shared" si="43"/>
        <v>0.60948053297352001</v>
      </c>
      <c r="T252" s="42">
        <v>2315389.92</v>
      </c>
      <c r="U252" s="48">
        <f t="shared" si="35"/>
        <v>0.91147761027544005</v>
      </c>
      <c r="V252" s="49"/>
    </row>
    <row r="253" spans="1:22" x14ac:dyDescent="0.3">
      <c r="A253" s="40" t="str">
        <f>VLOOKUP(B253,Grupos!$A$2:$B$619,2,FALSE)</f>
        <v>TABLEROS 85 AMP BIMETALICO</v>
      </c>
      <c r="B253" s="41" t="s">
        <v>436</v>
      </c>
      <c r="C253" s="41" t="s">
        <v>437</v>
      </c>
      <c r="D253" s="42">
        <v>466</v>
      </c>
      <c r="E253" s="43">
        <v>14942.96</v>
      </c>
      <c r="F253" s="192">
        <v>873.49</v>
      </c>
      <c r="G253" s="126">
        <f t="shared" si="36"/>
        <v>15816.449999999999</v>
      </c>
      <c r="H253" s="127">
        <f t="shared" si="37"/>
        <v>6963419.3599999994</v>
      </c>
      <c r="I253" s="128">
        <f t="shared" si="38"/>
        <v>407046.34</v>
      </c>
      <c r="J253" s="128">
        <f t="shared" si="39"/>
        <v>7370465.6999999993</v>
      </c>
      <c r="K253" s="44">
        <f t="shared" si="33"/>
        <v>4.6602105268583336E-3</v>
      </c>
      <c r="L253" s="45">
        <v>4473.3421084034362</v>
      </c>
      <c r="M253" s="45">
        <v>5732.2024497856501</v>
      </c>
      <c r="N253" s="45">
        <f t="shared" si="40"/>
        <v>26021.994558189086</v>
      </c>
      <c r="O253" s="46">
        <f t="shared" si="41"/>
        <v>12126249.464116113</v>
      </c>
      <c r="P253" s="47">
        <f t="shared" si="34"/>
        <v>47145.014163090134</v>
      </c>
      <c r="Q253" s="46">
        <v>115800</v>
      </c>
      <c r="R253" s="47">
        <f t="shared" si="42"/>
        <v>68654.985836909866</v>
      </c>
      <c r="S253" s="191">
        <f t="shared" si="43"/>
        <v>0.5928755253619159</v>
      </c>
      <c r="T253" s="42">
        <v>21969576.600000001</v>
      </c>
      <c r="U253" s="48">
        <f t="shared" si="35"/>
        <v>0.55195644799618548</v>
      </c>
      <c r="V253" s="49"/>
    </row>
    <row r="254" spans="1:22" x14ac:dyDescent="0.3">
      <c r="A254" s="40" t="str">
        <f>VLOOKUP(B254,Grupos!$A$2:$B$619,2,FALSE)</f>
        <v>TABLEROS 85 AMP BIMETALICO</v>
      </c>
      <c r="B254" s="41" t="s">
        <v>653</v>
      </c>
      <c r="C254" s="41" t="s">
        <v>654</v>
      </c>
      <c r="D254" s="42">
        <v>60</v>
      </c>
      <c r="E254" s="43">
        <v>13859.75</v>
      </c>
      <c r="F254" s="192">
        <v>834.13</v>
      </c>
      <c r="G254" s="126">
        <f t="shared" si="36"/>
        <v>14693.88</v>
      </c>
      <c r="H254" s="127">
        <f t="shared" si="37"/>
        <v>831585</v>
      </c>
      <c r="I254" s="128">
        <f t="shared" si="38"/>
        <v>50047.8</v>
      </c>
      <c r="J254" s="128">
        <f t="shared" si="39"/>
        <v>881632.79999999993</v>
      </c>
      <c r="K254" s="44">
        <f t="shared" si="33"/>
        <v>5.5744027889358301E-4</v>
      </c>
      <c r="L254" s="45">
        <v>4155.8473702902402</v>
      </c>
      <c r="M254" s="45">
        <v>5473.9058597576432</v>
      </c>
      <c r="N254" s="45">
        <f t="shared" si="40"/>
        <v>24323.633230047883</v>
      </c>
      <c r="O254" s="46">
        <f t="shared" si="41"/>
        <v>1459417.993802873</v>
      </c>
      <c r="P254" s="47">
        <f t="shared" si="34"/>
        <v>45547.998</v>
      </c>
      <c r="Q254" s="46">
        <v>115800</v>
      </c>
      <c r="R254" s="47">
        <f t="shared" si="42"/>
        <v>70252.002000000008</v>
      </c>
      <c r="S254" s="191">
        <f t="shared" si="43"/>
        <v>0.60666668393782386</v>
      </c>
      <c r="T254" s="42">
        <v>2732879.88</v>
      </c>
      <c r="U254" s="48">
        <f t="shared" si="35"/>
        <v>0.53402200531509381</v>
      </c>
      <c r="V254" s="49"/>
    </row>
    <row r="255" spans="1:22" x14ac:dyDescent="0.3">
      <c r="A255" s="40" t="str">
        <f>VLOOKUP(B255,Grupos!$A$2:$B$619,2,FALSE)</f>
        <v>TABLEROS 85 AMP BIMETALICO</v>
      </c>
      <c r="B255" s="41" t="s">
        <v>438</v>
      </c>
      <c r="C255" s="41" t="s">
        <v>439</v>
      </c>
      <c r="D255" s="42">
        <v>1008</v>
      </c>
      <c r="E255" s="43">
        <v>11715.37</v>
      </c>
      <c r="F255" s="192">
        <v>823.91</v>
      </c>
      <c r="G255" s="126">
        <f t="shared" si="36"/>
        <v>12539.28</v>
      </c>
      <c r="H255" s="127">
        <f t="shared" si="37"/>
        <v>11809092.960000001</v>
      </c>
      <c r="I255" s="128">
        <f t="shared" si="38"/>
        <v>830501.27999999991</v>
      </c>
      <c r="J255" s="128">
        <f t="shared" si="39"/>
        <v>12639594.24</v>
      </c>
      <c r="K255" s="44">
        <f t="shared" si="33"/>
        <v>7.9917840378072678E-3</v>
      </c>
      <c r="L255" s="45">
        <v>3546.4651823298555</v>
      </c>
      <c r="M255" s="45">
        <v>5406.837995172119</v>
      </c>
      <c r="N255" s="45">
        <f t="shared" si="40"/>
        <v>21492.583177501976</v>
      </c>
      <c r="O255" s="46">
        <f t="shared" si="41"/>
        <v>21664523.842921991</v>
      </c>
      <c r="P255" s="47">
        <f t="shared" si="34"/>
        <v>38211.190853174608</v>
      </c>
      <c r="Q255" s="46">
        <v>96100</v>
      </c>
      <c r="R255" s="47">
        <f t="shared" si="42"/>
        <v>57888.809146825392</v>
      </c>
      <c r="S255" s="191">
        <f t="shared" si="43"/>
        <v>0.60238094845812062</v>
      </c>
      <c r="T255" s="42">
        <v>38516880.380000003</v>
      </c>
      <c r="U255" s="48">
        <f t="shared" si="35"/>
        <v>0.56246828998569043</v>
      </c>
      <c r="V255" s="49"/>
    </row>
    <row r="256" spans="1:22" x14ac:dyDescent="0.3">
      <c r="A256" s="40" t="str">
        <f>VLOOKUP(B256,Grupos!$A$2:$B$619,2,FALSE)</f>
        <v>TABLEROS 85 AMP BIMETALICO</v>
      </c>
      <c r="B256" s="41" t="s">
        <v>440</v>
      </c>
      <c r="C256" s="41" t="s">
        <v>441</v>
      </c>
      <c r="D256" s="42">
        <v>364</v>
      </c>
      <c r="E256" s="43">
        <v>10652.97</v>
      </c>
      <c r="F256" s="192">
        <v>698.92</v>
      </c>
      <c r="G256" s="126">
        <f t="shared" si="36"/>
        <v>11351.89</v>
      </c>
      <c r="H256" s="127">
        <f t="shared" si="37"/>
        <v>3877681.0799999996</v>
      </c>
      <c r="I256" s="128">
        <f t="shared" si="38"/>
        <v>254406.87999999998</v>
      </c>
      <c r="J256" s="128">
        <f t="shared" si="39"/>
        <v>4132087.96</v>
      </c>
      <c r="K256" s="44">
        <f t="shared" si="33"/>
        <v>2.6126435686549057E-3</v>
      </c>
      <c r="L256" s="45">
        <v>3210.6375037991388</v>
      </c>
      <c r="M256" s="45">
        <v>4586.6019487391795</v>
      </c>
      <c r="N256" s="45">
        <f t="shared" si="40"/>
        <v>19149.129452538316</v>
      </c>
      <c r="O256" s="46">
        <f t="shared" si="41"/>
        <v>6970283.120723947</v>
      </c>
      <c r="P256" s="47">
        <f t="shared" si="34"/>
        <v>36586.643351648352</v>
      </c>
      <c r="Q256" s="46">
        <v>96100</v>
      </c>
      <c r="R256" s="47">
        <f t="shared" si="42"/>
        <v>59513.356648351648</v>
      </c>
      <c r="S256" s="191">
        <f t="shared" si="43"/>
        <v>0.61928570913997549</v>
      </c>
      <c r="T256" s="42">
        <v>13317538.18</v>
      </c>
      <c r="U256" s="48">
        <f t="shared" si="35"/>
        <v>0.5233912624475725</v>
      </c>
      <c r="V256" s="49"/>
    </row>
    <row r="257" spans="1:22" x14ac:dyDescent="0.3">
      <c r="A257" s="40" t="str">
        <f>VLOOKUP(B257,Grupos!$A$2:$B$619,2,FALSE)</f>
        <v>TABLEROS 95 AMP COBRE</v>
      </c>
      <c r="B257" s="41" t="s">
        <v>442</v>
      </c>
      <c r="C257" s="41" t="s">
        <v>443</v>
      </c>
      <c r="D257" s="42">
        <v>328</v>
      </c>
      <c r="E257" s="43">
        <v>23092.76</v>
      </c>
      <c r="F257" s="192">
        <v>885.23</v>
      </c>
      <c r="G257" s="126">
        <f t="shared" si="36"/>
        <v>23977.989999999998</v>
      </c>
      <c r="H257" s="127">
        <f t="shared" si="37"/>
        <v>7574425.2799999993</v>
      </c>
      <c r="I257" s="128">
        <f t="shared" si="38"/>
        <v>290355.44</v>
      </c>
      <c r="J257" s="128">
        <f t="shared" si="39"/>
        <v>7864780.7199999997</v>
      </c>
      <c r="K257" s="44">
        <f t="shared" si="33"/>
        <v>4.9727568643018671E-3</v>
      </c>
      <c r="L257" s="45">
        <v>6781.6578525444393</v>
      </c>
      <c r="M257" s="45">
        <v>5809.2451826852639</v>
      </c>
      <c r="N257" s="45">
        <f t="shared" si="40"/>
        <v>36568.893035229703</v>
      </c>
      <c r="O257" s="46">
        <f t="shared" si="41"/>
        <v>11994596.915555343</v>
      </c>
      <c r="P257" s="47">
        <f t="shared" si="34"/>
        <v>61039.569847560975</v>
      </c>
      <c r="Q257" s="46">
        <v>151050</v>
      </c>
      <c r="R257" s="47">
        <f t="shared" si="42"/>
        <v>90010.430152439018</v>
      </c>
      <c r="S257" s="191">
        <f t="shared" si="43"/>
        <v>0.59589824662323088</v>
      </c>
      <c r="T257" s="42">
        <v>20020978.91</v>
      </c>
      <c r="U257" s="48">
        <f t="shared" si="35"/>
        <v>0.59910142103812558</v>
      </c>
      <c r="V257" s="49"/>
    </row>
    <row r="258" spans="1:22" x14ac:dyDescent="0.3">
      <c r="A258" s="40" t="str">
        <f>VLOOKUP(B258,Grupos!$A$2:$B$619,2,FALSE)</f>
        <v>TABLEROS 95 AMP COBRE</v>
      </c>
      <c r="B258" s="41" t="s">
        <v>444</v>
      </c>
      <c r="C258" s="41" t="s">
        <v>445</v>
      </c>
      <c r="D258" s="42">
        <v>570</v>
      </c>
      <c r="E258" s="43">
        <v>23071.759999999998</v>
      </c>
      <c r="F258" s="192">
        <v>765.65</v>
      </c>
      <c r="G258" s="126">
        <f t="shared" si="36"/>
        <v>23837.41</v>
      </c>
      <c r="H258" s="127">
        <f t="shared" si="37"/>
        <v>13150903.199999999</v>
      </c>
      <c r="I258" s="128">
        <f t="shared" si="38"/>
        <v>436420.5</v>
      </c>
      <c r="J258" s="128">
        <f t="shared" si="39"/>
        <v>13587323.699999999</v>
      </c>
      <c r="K258" s="44">
        <f t="shared" si="33"/>
        <v>8.5910160247502036E-3</v>
      </c>
      <c r="L258" s="45">
        <v>6741.897828417701</v>
      </c>
      <c r="M258" s="45">
        <v>5024.5117925544455</v>
      </c>
      <c r="N258" s="45">
        <f t="shared" si="40"/>
        <v>35603.81962097215</v>
      </c>
      <c r="O258" s="46">
        <f t="shared" si="41"/>
        <v>20294177.183954127</v>
      </c>
      <c r="P258" s="47">
        <f t="shared" si="34"/>
        <v>57623.543859649122</v>
      </c>
      <c r="Q258" s="46">
        <v>145850</v>
      </c>
      <c r="R258" s="47">
        <f t="shared" si="42"/>
        <v>88226.456140350871</v>
      </c>
      <c r="S258" s="191">
        <f t="shared" si="43"/>
        <v>0.60491228070175429</v>
      </c>
      <c r="T258" s="42">
        <v>32845420</v>
      </c>
      <c r="U258" s="48">
        <f t="shared" si="35"/>
        <v>0.6178693158423344</v>
      </c>
      <c r="V258" s="49"/>
    </row>
    <row r="259" spans="1:22" x14ac:dyDescent="0.3">
      <c r="A259" s="40" t="str">
        <f>VLOOKUP(B259,Grupos!$A$2:$B$619,2,FALSE)</f>
        <v>TABLEROS 95 AMP COBRE</v>
      </c>
      <c r="B259" s="41" t="s">
        <v>446</v>
      </c>
      <c r="C259" s="41" t="s">
        <v>447</v>
      </c>
      <c r="D259" s="42">
        <v>40</v>
      </c>
      <c r="E259" s="43">
        <v>18875.86</v>
      </c>
      <c r="F259" s="192">
        <v>789.51</v>
      </c>
      <c r="G259" s="126">
        <f t="shared" si="36"/>
        <v>19665.37</v>
      </c>
      <c r="H259" s="127">
        <f t="shared" si="37"/>
        <v>755034.4</v>
      </c>
      <c r="I259" s="128">
        <f t="shared" si="38"/>
        <v>31580.400000000001</v>
      </c>
      <c r="J259" s="128">
        <f t="shared" si="39"/>
        <v>786614.79999999993</v>
      </c>
      <c r="K259" s="44">
        <f t="shared" si="33"/>
        <v>4.973621370414305E-4</v>
      </c>
      <c r="L259" s="45">
        <v>5561.9262033094456</v>
      </c>
      <c r="M259" s="45">
        <v>5181.0909754321956</v>
      </c>
      <c r="N259" s="45">
        <f t="shared" si="40"/>
        <v>30408.387178741639</v>
      </c>
      <c r="O259" s="46">
        <f t="shared" si="41"/>
        <v>1216335.4871496656</v>
      </c>
      <c r="P259" s="47">
        <f t="shared" si="34"/>
        <v>52857.002</v>
      </c>
      <c r="Q259" s="46">
        <v>125850</v>
      </c>
      <c r="R259" s="47">
        <f t="shared" si="42"/>
        <v>72992.997999999992</v>
      </c>
      <c r="S259" s="191">
        <f t="shared" si="43"/>
        <v>0.57999998410806508</v>
      </c>
      <c r="T259" s="42">
        <v>2114280.08</v>
      </c>
      <c r="U259" s="48">
        <f t="shared" si="35"/>
        <v>0.5752953445740574</v>
      </c>
      <c r="V259" s="49"/>
    </row>
    <row r="260" spans="1:22" x14ac:dyDescent="0.3">
      <c r="A260" s="40" t="str">
        <f>VLOOKUP(B260,Grupos!$A$2:$B$619,2,FALSE)</f>
        <v>TABLEROS 95 AMP COBRE</v>
      </c>
      <c r="B260" s="41" t="s">
        <v>448</v>
      </c>
      <c r="C260" s="41" t="s">
        <v>449</v>
      </c>
      <c r="D260" s="42">
        <v>470</v>
      </c>
      <c r="E260" s="43">
        <v>17391</v>
      </c>
      <c r="F260" s="192">
        <v>842.36</v>
      </c>
      <c r="G260" s="126">
        <f t="shared" si="36"/>
        <v>18233.36</v>
      </c>
      <c r="H260" s="127">
        <f t="shared" si="37"/>
        <v>8173770</v>
      </c>
      <c r="I260" s="128">
        <f t="shared" si="38"/>
        <v>395909.2</v>
      </c>
      <c r="J260" s="128">
        <f t="shared" si="39"/>
        <v>8569679.2000000011</v>
      </c>
      <c r="K260" s="44">
        <f t="shared" si="33"/>
        <v>5.4184512682338253E-3</v>
      </c>
      <c r="L260" s="45">
        <v>5156.9130282508959</v>
      </c>
      <c r="M260" s="45">
        <v>5527.9145217477471</v>
      </c>
      <c r="N260" s="45">
        <f t="shared" si="40"/>
        <v>28918.187549998642</v>
      </c>
      <c r="O260" s="46">
        <f t="shared" si="41"/>
        <v>13591548.148499362</v>
      </c>
      <c r="P260" s="47">
        <f t="shared" si="34"/>
        <v>45544.077893617017</v>
      </c>
      <c r="Q260" s="46">
        <v>113150</v>
      </c>
      <c r="R260" s="47">
        <f t="shared" si="42"/>
        <v>67605.92210638299</v>
      </c>
      <c r="S260" s="191">
        <f t="shared" si="43"/>
        <v>0.59748936903564287</v>
      </c>
      <c r="T260" s="42">
        <v>21405716.609999999</v>
      </c>
      <c r="U260" s="48">
        <f t="shared" si="35"/>
        <v>0.63494945748043152</v>
      </c>
      <c r="V260" s="49"/>
    </row>
    <row r="261" spans="1:22" x14ac:dyDescent="0.3">
      <c r="A261" s="40" t="str">
        <f>VLOOKUP(B261,Grupos!$A$2:$B$619,2,FALSE)</f>
        <v>TABLEROS 95 AMP COBRE</v>
      </c>
      <c r="B261" s="41" t="s">
        <v>450</v>
      </c>
      <c r="C261" s="41" t="s">
        <v>451</v>
      </c>
      <c r="D261" s="42">
        <v>1230</v>
      </c>
      <c r="E261" s="43">
        <v>17287.38</v>
      </c>
      <c r="F261" s="192">
        <v>789.26</v>
      </c>
      <c r="G261" s="126">
        <f t="shared" si="36"/>
        <v>18076.64</v>
      </c>
      <c r="H261" s="127">
        <f t="shared" si="37"/>
        <v>21263477.400000002</v>
      </c>
      <c r="I261" s="128">
        <f t="shared" si="38"/>
        <v>970789.8</v>
      </c>
      <c r="J261" s="128">
        <f t="shared" si="39"/>
        <v>22234267.199999999</v>
      </c>
      <c r="K261" s="44">
        <f t="shared" ref="K261:K273" si="44">J261/$J$274</f>
        <v>1.4058320095353129E-2</v>
      </c>
      <c r="L261" s="45">
        <v>5112.5881528693153</v>
      </c>
      <c r="M261" s="45">
        <v>5179.4503720910625</v>
      </c>
      <c r="N261" s="45">
        <f t="shared" si="40"/>
        <v>28368.678524960374</v>
      </c>
      <c r="O261" s="46">
        <f t="shared" si="41"/>
        <v>34893474.585701257</v>
      </c>
      <c r="P261" s="47">
        <f t="shared" ref="P261:P273" si="45">T261/D261</f>
        <v>43233.116089430892</v>
      </c>
      <c r="Q261" s="46">
        <v>110300</v>
      </c>
      <c r="R261" s="47">
        <f t="shared" si="42"/>
        <v>67066.8839105691</v>
      </c>
      <c r="S261" s="191">
        <f t="shared" si="43"/>
        <v>0.60804065195438894</v>
      </c>
      <c r="T261" s="42">
        <v>53176732.789999999</v>
      </c>
      <c r="U261" s="48">
        <f t="shared" ref="U261:U324" si="46">O261/T261</f>
        <v>0.65617936181786352</v>
      </c>
      <c r="V261" s="49"/>
    </row>
    <row r="262" spans="1:22" x14ac:dyDescent="0.3">
      <c r="A262" s="40" t="str">
        <f>VLOOKUP(B262,Grupos!$A$2:$B$619,2,FALSE)</f>
        <v>TABLEROS 95 AMP COBRE</v>
      </c>
      <c r="B262" s="41" t="s">
        <v>452</v>
      </c>
      <c r="C262" s="41" t="s">
        <v>453</v>
      </c>
      <c r="D262" s="42">
        <v>69</v>
      </c>
      <c r="E262" s="43">
        <v>14552.77</v>
      </c>
      <c r="F262" s="192">
        <v>748.48</v>
      </c>
      <c r="G262" s="126">
        <f t="shared" ref="G262:G325" si="47">E262+F262</f>
        <v>15301.25</v>
      </c>
      <c r="H262" s="127">
        <f t="shared" ref="H262:H325" si="48">E262*D262</f>
        <v>1004141.13</v>
      </c>
      <c r="I262" s="128">
        <f t="shared" ref="I262:I273" si="49">F262*D262</f>
        <v>51645.120000000003</v>
      </c>
      <c r="J262" s="128">
        <f t="shared" ref="J262:J273" si="50">G262*D262</f>
        <v>1055786.25</v>
      </c>
      <c r="K262" s="44">
        <f t="shared" si="44"/>
        <v>6.6755431700364393E-4</v>
      </c>
      <c r="L262" s="45">
        <v>4327.6288886702187</v>
      </c>
      <c r="M262" s="45">
        <v>4911.8351550854195</v>
      </c>
      <c r="N262" s="45">
        <f t="shared" ref="N262:N325" si="51">G262+L262+M262</f>
        <v>24540.714043755637</v>
      </c>
      <c r="O262" s="46">
        <f t="shared" ref="O262:O325" si="52">N262*D262</f>
        <v>1693309.269019139</v>
      </c>
      <c r="P262" s="47">
        <f t="shared" si="45"/>
        <v>39450.933623188408</v>
      </c>
      <c r="Q262" s="46">
        <v>98950</v>
      </c>
      <c r="R262" s="47">
        <f t="shared" si="42"/>
        <v>59499.066376811592</v>
      </c>
      <c r="S262" s="191">
        <f t="shared" si="43"/>
        <v>0.60130435954332073</v>
      </c>
      <c r="T262" s="42">
        <v>2722114.42</v>
      </c>
      <c r="U262" s="48">
        <f t="shared" si="46"/>
        <v>0.62205661032394777</v>
      </c>
      <c r="V262" s="49"/>
    </row>
    <row r="263" spans="1:22" x14ac:dyDescent="0.3">
      <c r="A263" s="40" t="str">
        <f>VLOOKUP(B263,Grupos!$A$2:$B$619,2,FALSE)</f>
        <v>TAPAS PLASTICAS</v>
      </c>
      <c r="B263" s="41" t="s">
        <v>454</v>
      </c>
      <c r="C263" s="41" t="s">
        <v>455</v>
      </c>
      <c r="D263" s="42">
        <v>2</v>
      </c>
      <c r="E263" s="43">
        <v>1629.99</v>
      </c>
      <c r="F263" s="43">
        <v>66.34</v>
      </c>
      <c r="G263" s="126">
        <f t="shared" si="47"/>
        <v>1696.33</v>
      </c>
      <c r="H263" s="127">
        <f t="shared" si="48"/>
        <v>3259.98</v>
      </c>
      <c r="I263" s="128">
        <f t="shared" si="49"/>
        <v>132.68</v>
      </c>
      <c r="J263" s="128">
        <f t="shared" si="50"/>
        <v>3392.66</v>
      </c>
      <c r="K263" s="44">
        <f t="shared" si="44"/>
        <v>2.1451168066695154E-6</v>
      </c>
      <c r="L263" s="45">
        <v>479.77039213907045</v>
      </c>
      <c r="M263" s="45">
        <v>435.35050260309794</v>
      </c>
      <c r="N263" s="45">
        <f t="shared" si="51"/>
        <v>2611.4508947421682</v>
      </c>
      <c r="O263" s="46">
        <f t="shared" si="52"/>
        <v>5222.9017894843364</v>
      </c>
      <c r="P263" s="47">
        <f t="shared" si="45"/>
        <v>10982</v>
      </c>
      <c r="Q263" s="46">
        <v>28900</v>
      </c>
      <c r="R263" s="47">
        <f t="shared" ref="R263:R326" si="53">Q263-P263</f>
        <v>17918</v>
      </c>
      <c r="S263" s="191">
        <f t="shared" ref="S263:S326" si="54">R263/Q263</f>
        <v>0.62</v>
      </c>
      <c r="T263" s="42">
        <v>21964</v>
      </c>
      <c r="U263" s="48">
        <f t="shared" si="46"/>
        <v>0.23779374383010091</v>
      </c>
      <c r="V263" s="49"/>
    </row>
    <row r="264" spans="1:22" x14ac:dyDescent="0.3">
      <c r="A264" s="40" t="str">
        <f>VLOOKUP(B264,Grupos!$A$2:$B$619,2,FALSE)</f>
        <v>TAPAS PLASTICAS</v>
      </c>
      <c r="B264" s="41" t="s">
        <v>456</v>
      </c>
      <c r="C264" s="41" t="s">
        <v>457</v>
      </c>
      <c r="D264" s="42">
        <v>7</v>
      </c>
      <c r="E264" s="43">
        <v>1065.73</v>
      </c>
      <c r="F264" s="43">
        <v>57.03</v>
      </c>
      <c r="G264" s="126">
        <f t="shared" si="47"/>
        <v>1122.76</v>
      </c>
      <c r="H264" s="127">
        <f t="shared" si="48"/>
        <v>7460.1100000000006</v>
      </c>
      <c r="I264" s="128">
        <f t="shared" si="49"/>
        <v>399.21000000000004</v>
      </c>
      <c r="J264" s="128">
        <f t="shared" si="50"/>
        <v>7859.32</v>
      </c>
      <c r="K264" s="44">
        <f t="shared" si="44"/>
        <v>4.9693041510183327E-6</v>
      </c>
      <c r="L264" s="45">
        <v>317.54847551954083</v>
      </c>
      <c r="M264" s="45">
        <v>374.2544341792987</v>
      </c>
      <c r="N264" s="45">
        <f t="shared" si="51"/>
        <v>1814.5629096988396</v>
      </c>
      <c r="O264" s="46">
        <f t="shared" si="52"/>
        <v>12701.940367891877</v>
      </c>
      <c r="P264" s="47">
        <f t="shared" si="45"/>
        <v>4693</v>
      </c>
      <c r="Q264" s="46">
        <v>12350</v>
      </c>
      <c r="R264" s="47">
        <f t="shared" si="53"/>
        <v>7657</v>
      </c>
      <c r="S264" s="191">
        <f t="shared" si="54"/>
        <v>0.62</v>
      </c>
      <c r="T264" s="42">
        <v>32851</v>
      </c>
      <c r="U264" s="48">
        <f t="shared" si="46"/>
        <v>0.38665308112057095</v>
      </c>
      <c r="V264" s="49"/>
    </row>
    <row r="265" spans="1:22" x14ac:dyDescent="0.3">
      <c r="A265" s="40" t="str">
        <f>VLOOKUP(B265,Grupos!$A$2:$B$619,2,FALSE)</f>
        <v>TAPAS PLASTICAS</v>
      </c>
      <c r="B265" s="41" t="s">
        <v>459</v>
      </c>
      <c r="C265" s="41" t="s">
        <v>460</v>
      </c>
      <c r="D265" s="42">
        <v>1129</v>
      </c>
      <c r="E265" s="43">
        <v>1181.74</v>
      </c>
      <c r="F265" s="43">
        <v>60.81</v>
      </c>
      <c r="G265" s="126">
        <f t="shared" si="47"/>
        <v>1242.55</v>
      </c>
      <c r="H265" s="127">
        <f t="shared" si="48"/>
        <v>1334184.46</v>
      </c>
      <c r="I265" s="128">
        <f t="shared" si="49"/>
        <v>68654.490000000005</v>
      </c>
      <c r="J265" s="128">
        <f t="shared" si="50"/>
        <v>1402838.95</v>
      </c>
      <c r="K265" s="44">
        <f t="shared" si="44"/>
        <v>8.8698938552510894E-4</v>
      </c>
      <c r="L265" s="45">
        <v>351.4284960782407</v>
      </c>
      <c r="M265" s="45">
        <v>399.06035669723224</v>
      </c>
      <c r="N265" s="45">
        <f t="shared" si="51"/>
        <v>1993.0388527754728</v>
      </c>
      <c r="O265" s="46">
        <f t="shared" si="52"/>
        <v>2250140.8647835087</v>
      </c>
      <c r="P265" s="47">
        <f t="shared" si="45"/>
        <v>6319.9338263950403</v>
      </c>
      <c r="Q265" s="46">
        <v>15050</v>
      </c>
      <c r="R265" s="47">
        <f t="shared" si="53"/>
        <v>8730.0661736049587</v>
      </c>
      <c r="S265" s="191">
        <f t="shared" si="54"/>
        <v>0.58007084209999726</v>
      </c>
      <c r="T265" s="42">
        <v>7135205.29</v>
      </c>
      <c r="U265" s="48">
        <f t="shared" si="46"/>
        <v>0.31535755081035777</v>
      </c>
      <c r="V265" s="49"/>
    </row>
    <row r="266" spans="1:22" x14ac:dyDescent="0.3">
      <c r="A266" s="40" t="str">
        <f>VLOOKUP(B266,Grupos!$A$2:$B$619,2,FALSE)</f>
        <v>TAPAS PLASTICAS</v>
      </c>
      <c r="B266" s="41" t="s">
        <v>461</v>
      </c>
      <c r="C266" s="41" t="s">
        <v>462</v>
      </c>
      <c r="D266" s="42">
        <v>24</v>
      </c>
      <c r="E266" s="43">
        <v>1496.86</v>
      </c>
      <c r="F266" s="43">
        <v>56.02</v>
      </c>
      <c r="G266" s="126">
        <f t="shared" si="47"/>
        <v>1552.8799999999999</v>
      </c>
      <c r="H266" s="127">
        <f t="shared" si="48"/>
        <v>35924.639999999999</v>
      </c>
      <c r="I266" s="128">
        <f t="shared" si="49"/>
        <v>1344.48</v>
      </c>
      <c r="J266" s="128">
        <f t="shared" si="50"/>
        <v>37269.119999999995</v>
      </c>
      <c r="K266" s="44">
        <f t="shared" si="44"/>
        <v>2.3564582269305786E-5</v>
      </c>
      <c r="L266" s="45">
        <v>439.19865034805707</v>
      </c>
      <c r="M266" s="45">
        <v>367.6263966811207</v>
      </c>
      <c r="N266" s="45">
        <f t="shared" si="51"/>
        <v>2359.7050470291779</v>
      </c>
      <c r="O266" s="46">
        <f t="shared" si="52"/>
        <v>56632.921128700269</v>
      </c>
      <c r="P266" s="47">
        <f t="shared" si="45"/>
        <v>8611</v>
      </c>
      <c r="Q266" s="46">
        <v>21800</v>
      </c>
      <c r="R266" s="47">
        <f t="shared" si="53"/>
        <v>13189</v>
      </c>
      <c r="S266" s="191">
        <f t="shared" si="54"/>
        <v>0.60499999999999998</v>
      </c>
      <c r="T266" s="42">
        <v>206664</v>
      </c>
      <c r="U266" s="48">
        <f t="shared" si="46"/>
        <v>0.2740337994459619</v>
      </c>
      <c r="V266" s="49"/>
    </row>
    <row r="267" spans="1:22" x14ac:dyDescent="0.3">
      <c r="A267" s="40" t="str">
        <f>VLOOKUP(B267,Grupos!$A$2:$B$619,2,FALSE)</f>
        <v>TAPAS PLASTICAS</v>
      </c>
      <c r="B267" s="41" t="s">
        <v>463</v>
      </c>
      <c r="C267" s="41" t="s">
        <v>464</v>
      </c>
      <c r="D267" s="42">
        <v>9200</v>
      </c>
      <c r="E267" s="43">
        <v>21.3</v>
      </c>
      <c r="F267" s="43">
        <v>9.0399999999999991</v>
      </c>
      <c r="G267" s="126">
        <f t="shared" si="47"/>
        <v>30.34</v>
      </c>
      <c r="H267" s="127">
        <f t="shared" si="48"/>
        <v>195960</v>
      </c>
      <c r="I267" s="128">
        <f t="shared" si="49"/>
        <v>83167.999999999985</v>
      </c>
      <c r="J267" s="128">
        <f t="shared" si="50"/>
        <v>279128</v>
      </c>
      <c r="K267" s="44">
        <f t="shared" si="44"/>
        <v>1.7648752424706529E-4</v>
      </c>
      <c r="L267" s="45">
        <v>8.581015308047018</v>
      </c>
      <c r="M267" s="45">
        <v>59.324216815375415</v>
      </c>
      <c r="N267" s="45">
        <f t="shared" si="51"/>
        <v>98.245232123422426</v>
      </c>
      <c r="O267" s="46">
        <f t="shared" si="52"/>
        <v>903856.13553548628</v>
      </c>
      <c r="P267" s="47">
        <f t="shared" si="45"/>
        <v>415.77174891304344</v>
      </c>
      <c r="Q267" s="46">
        <v>1050</v>
      </c>
      <c r="R267" s="47">
        <f t="shared" si="53"/>
        <v>634.22825108695656</v>
      </c>
      <c r="S267" s="191">
        <f t="shared" si="54"/>
        <v>0.6040269057971015</v>
      </c>
      <c r="T267" s="42">
        <v>3825100.09</v>
      </c>
      <c r="U267" s="48">
        <f t="shared" si="46"/>
        <v>0.23629607442128039</v>
      </c>
      <c r="V267" s="49"/>
    </row>
    <row r="268" spans="1:22" x14ac:dyDescent="0.3">
      <c r="A268" s="40" t="str">
        <f>VLOOKUP(B268,Grupos!$A$2:$B$619,2,FALSE)</f>
        <v>TAPAS PLASTICAS</v>
      </c>
      <c r="B268" s="41" t="s">
        <v>465</v>
      </c>
      <c r="C268" s="41" t="s">
        <v>466</v>
      </c>
      <c r="D268" s="42">
        <v>161640</v>
      </c>
      <c r="E268" s="43">
        <v>74.7</v>
      </c>
      <c r="F268" s="43">
        <v>7.71</v>
      </c>
      <c r="G268" s="126">
        <f t="shared" si="47"/>
        <v>82.41</v>
      </c>
      <c r="H268" s="127">
        <f t="shared" si="48"/>
        <v>12074508</v>
      </c>
      <c r="I268" s="128">
        <f t="shared" si="49"/>
        <v>1246244.3999999999</v>
      </c>
      <c r="J268" s="128">
        <f t="shared" si="50"/>
        <v>13320752.4</v>
      </c>
      <c r="K268" s="44">
        <f t="shared" si="44"/>
        <v>8.4224678720305861E-3</v>
      </c>
      <c r="L268" s="45">
        <v>23.307892931316903</v>
      </c>
      <c r="M268" s="45">
        <v>50.596207040546958</v>
      </c>
      <c r="N268" s="45">
        <f t="shared" si="51"/>
        <v>156.31409997186387</v>
      </c>
      <c r="O268" s="46">
        <f t="shared" si="52"/>
        <v>25266611.119452074</v>
      </c>
      <c r="P268" s="47">
        <f t="shared" si="45"/>
        <v>227.03675216530561</v>
      </c>
      <c r="Q268" s="46">
        <v>650</v>
      </c>
      <c r="R268" s="47">
        <f t="shared" si="53"/>
        <v>422.96324783469436</v>
      </c>
      <c r="S268" s="191">
        <f t="shared" si="54"/>
        <v>0.65071268897645285</v>
      </c>
      <c r="T268" s="42">
        <v>36698220.619999997</v>
      </c>
      <c r="U268" s="48">
        <f t="shared" si="46"/>
        <v>0.68849689964755778</v>
      </c>
      <c r="V268" s="49"/>
    </row>
    <row r="269" spans="1:22" x14ac:dyDescent="0.3">
      <c r="A269" s="40" t="str">
        <f>VLOOKUP(B269,Grupos!$A$2:$B$619,2,FALSE)</f>
        <v>TAPAS PLASTICAS</v>
      </c>
      <c r="B269" s="41" t="s">
        <v>467</v>
      </c>
      <c r="C269" s="41" t="s">
        <v>468</v>
      </c>
      <c r="D269" s="42">
        <v>15840</v>
      </c>
      <c r="E269" s="43">
        <v>77.16</v>
      </c>
      <c r="F269" s="43">
        <v>9.26</v>
      </c>
      <c r="G269" s="126">
        <f t="shared" si="47"/>
        <v>86.42</v>
      </c>
      <c r="H269" s="127">
        <f t="shared" si="48"/>
        <v>1222214.3999999999</v>
      </c>
      <c r="I269" s="128">
        <f t="shared" si="49"/>
        <v>146678.39999999999</v>
      </c>
      <c r="J269" s="128">
        <f t="shared" si="50"/>
        <v>1368892.8</v>
      </c>
      <c r="K269" s="44">
        <f t="shared" si="44"/>
        <v>8.6552585635132667E-4</v>
      </c>
      <c r="L269" s="45">
        <v>24.442035033665899</v>
      </c>
      <c r="M269" s="45">
        <v>60.767947755572607</v>
      </c>
      <c r="N269" s="45">
        <f t="shared" si="51"/>
        <v>171.62998278923851</v>
      </c>
      <c r="O269" s="46">
        <f t="shared" si="52"/>
        <v>2718618.9273815379</v>
      </c>
      <c r="P269" s="47">
        <f t="shared" si="45"/>
        <v>225.87500694444444</v>
      </c>
      <c r="Q269" s="46">
        <v>650</v>
      </c>
      <c r="R269" s="47">
        <f t="shared" si="53"/>
        <v>424.12499305555559</v>
      </c>
      <c r="S269" s="191">
        <f t="shared" si="54"/>
        <v>0.65249998931623943</v>
      </c>
      <c r="T269" s="42">
        <v>3577860.11</v>
      </c>
      <c r="U269" s="48">
        <f t="shared" si="46"/>
        <v>0.75984494748218034</v>
      </c>
      <c r="V269" s="49"/>
    </row>
    <row r="270" spans="1:22" x14ac:dyDescent="0.3">
      <c r="A270" s="40" t="str">
        <f>VLOOKUP(B270,Grupos!$A$2:$B$619,2,FALSE)</f>
        <v>TAPAS PLASTICAS</v>
      </c>
      <c r="B270" s="41" t="s">
        <v>469</v>
      </c>
      <c r="C270" s="41" t="s">
        <v>470</v>
      </c>
      <c r="D270" s="42">
        <v>19000</v>
      </c>
      <c r="E270" s="43">
        <v>65.040000000000006</v>
      </c>
      <c r="F270" s="43">
        <v>19.239999999999998</v>
      </c>
      <c r="G270" s="126">
        <f t="shared" si="47"/>
        <v>84.28</v>
      </c>
      <c r="H270" s="127">
        <f t="shared" si="48"/>
        <v>1235760.0000000002</v>
      </c>
      <c r="I270" s="128">
        <f t="shared" si="49"/>
        <v>365559.99999999994</v>
      </c>
      <c r="J270" s="128">
        <f t="shared" si="50"/>
        <v>1601320</v>
      </c>
      <c r="K270" s="44">
        <f t="shared" si="44"/>
        <v>1.0124853197361447E-3</v>
      </c>
      <c r="L270" s="45">
        <v>23.836782141140496</v>
      </c>
      <c r="M270" s="45">
        <v>126.26083313360873</v>
      </c>
      <c r="N270" s="45">
        <f t="shared" si="51"/>
        <v>234.37761527474925</v>
      </c>
      <c r="O270" s="46">
        <f t="shared" si="52"/>
        <v>4453174.6902202358</v>
      </c>
      <c r="P270" s="47">
        <f t="shared" si="45"/>
        <v>235.36843368421054</v>
      </c>
      <c r="Q270" s="46">
        <v>650</v>
      </c>
      <c r="R270" s="47">
        <f t="shared" si="53"/>
        <v>414.63156631578943</v>
      </c>
      <c r="S270" s="191">
        <f t="shared" si="54"/>
        <v>0.6378947174089068</v>
      </c>
      <c r="T270" s="42">
        <v>4472000.24</v>
      </c>
      <c r="U270" s="48">
        <f t="shared" si="46"/>
        <v>0.99579035134851324</v>
      </c>
      <c r="V270" s="49"/>
    </row>
    <row r="271" spans="1:22" x14ac:dyDescent="0.3">
      <c r="A271" s="40" t="str">
        <f>VLOOKUP(B271,Grupos!$A$2:$B$619,2,FALSE)</f>
        <v>TAPAS PLASTICAS</v>
      </c>
      <c r="B271" s="41" t="s">
        <v>471</v>
      </c>
      <c r="C271" s="41" t="s">
        <v>472</v>
      </c>
      <c r="D271" s="42">
        <v>5500</v>
      </c>
      <c r="E271" s="43">
        <v>62.15</v>
      </c>
      <c r="F271" s="43">
        <v>18.68</v>
      </c>
      <c r="G271" s="126">
        <f t="shared" si="47"/>
        <v>80.83</v>
      </c>
      <c r="H271" s="127">
        <f t="shared" si="48"/>
        <v>341825</v>
      </c>
      <c r="I271" s="128">
        <f t="shared" si="49"/>
        <v>102740</v>
      </c>
      <c r="J271" s="128">
        <f t="shared" si="50"/>
        <v>444565</v>
      </c>
      <c r="K271" s="44">
        <f t="shared" si="44"/>
        <v>2.8109031059906774E-4</v>
      </c>
      <c r="L271" s="45">
        <v>22.861023973284126</v>
      </c>
      <c r="M271" s="45">
        <v>122.58588164947044</v>
      </c>
      <c r="N271" s="45">
        <f t="shared" si="51"/>
        <v>226.27690562275455</v>
      </c>
      <c r="O271" s="46">
        <f t="shared" si="52"/>
        <v>1244522.98092515</v>
      </c>
      <c r="P271" s="47">
        <f t="shared" si="45"/>
        <v>229.86364909090909</v>
      </c>
      <c r="Q271" s="46">
        <v>650</v>
      </c>
      <c r="R271" s="47">
        <f t="shared" si="53"/>
        <v>420.13635090909088</v>
      </c>
      <c r="S271" s="191">
        <f t="shared" si="54"/>
        <v>0.64636361678321674</v>
      </c>
      <c r="T271" s="42">
        <v>1264250.07</v>
      </c>
      <c r="U271" s="48">
        <f t="shared" si="46"/>
        <v>0.98439621278814715</v>
      </c>
      <c r="V271" s="49"/>
    </row>
    <row r="272" spans="1:22" x14ac:dyDescent="0.3">
      <c r="A272" s="40" t="str">
        <f>VLOOKUP(B272,Grupos!$A$2:$B$619,2,FALSE)</f>
        <v>TAPAS PLASTICAS</v>
      </c>
      <c r="B272" s="41" t="s">
        <v>473</v>
      </c>
      <c r="C272" s="41" t="s">
        <v>474</v>
      </c>
      <c r="D272" s="42">
        <v>13680</v>
      </c>
      <c r="E272" s="43">
        <v>91.58</v>
      </c>
      <c r="F272" s="192">
        <v>19.79</v>
      </c>
      <c r="G272" s="126">
        <f t="shared" si="47"/>
        <v>111.37</v>
      </c>
      <c r="H272" s="127">
        <f t="shared" si="48"/>
        <v>1252814.3999999999</v>
      </c>
      <c r="I272" s="128">
        <f t="shared" si="49"/>
        <v>270727.2</v>
      </c>
      <c r="J272" s="128">
        <f t="shared" si="50"/>
        <v>1523541.6</v>
      </c>
      <c r="K272" s="44">
        <f t="shared" si="44"/>
        <v>9.6330746134896061E-4</v>
      </c>
      <c r="L272" s="45">
        <v>31.498604972221376</v>
      </c>
      <c r="M272" s="45">
        <v>129.87016048410172</v>
      </c>
      <c r="N272" s="45">
        <f t="shared" si="51"/>
        <v>272.73876545632311</v>
      </c>
      <c r="O272" s="46">
        <f t="shared" si="52"/>
        <v>3731066.3114425</v>
      </c>
      <c r="P272" s="47">
        <f t="shared" si="45"/>
        <v>277.18751242690058</v>
      </c>
      <c r="Q272" s="46">
        <v>750</v>
      </c>
      <c r="R272" s="47">
        <f t="shared" si="53"/>
        <v>472.81248757309942</v>
      </c>
      <c r="S272" s="191">
        <f t="shared" si="54"/>
        <v>0.63041665009746584</v>
      </c>
      <c r="T272" s="42">
        <v>3791925.17</v>
      </c>
      <c r="U272" s="152">
        <f t="shared" si="46"/>
        <v>0.98395040623718322</v>
      </c>
      <c r="V272" s="49"/>
    </row>
    <row r="273" spans="1:22" x14ac:dyDescent="0.3">
      <c r="A273" s="40" t="str">
        <f>VLOOKUP(B273,Grupos!$A$2:$B$619,2,FALSE)</f>
        <v>TAPAS PLASTICAS</v>
      </c>
      <c r="B273" s="41" t="s">
        <v>475</v>
      </c>
      <c r="C273" s="41" t="s">
        <v>476</v>
      </c>
      <c r="D273" s="42">
        <v>33060</v>
      </c>
      <c r="E273" s="43">
        <v>96.41</v>
      </c>
      <c r="F273" s="192">
        <v>20.57</v>
      </c>
      <c r="G273" s="126">
        <f t="shared" si="47"/>
        <v>116.97999999999999</v>
      </c>
      <c r="H273" s="127">
        <f t="shared" si="48"/>
        <v>3187314.6</v>
      </c>
      <c r="I273" s="128">
        <f t="shared" si="49"/>
        <v>680044.2</v>
      </c>
      <c r="J273" s="128">
        <f t="shared" si="50"/>
        <v>3867358.8</v>
      </c>
      <c r="K273" s="44">
        <f t="shared" si="44"/>
        <v>2.4452601673321962E-3</v>
      </c>
      <c r="L273" s="45">
        <v>33.085272601692154</v>
      </c>
      <c r="M273" s="45">
        <v>134.98884290843722</v>
      </c>
      <c r="N273" s="45">
        <f t="shared" si="51"/>
        <v>285.05411551012935</v>
      </c>
      <c r="O273" s="46">
        <f t="shared" si="52"/>
        <v>9423889.0587648768</v>
      </c>
      <c r="P273" s="47">
        <f t="shared" si="45"/>
        <v>279.31035995160312</v>
      </c>
      <c r="Q273" s="46">
        <v>800</v>
      </c>
      <c r="R273" s="47">
        <f t="shared" si="53"/>
        <v>520.68964004839688</v>
      </c>
      <c r="S273" s="191">
        <f t="shared" si="54"/>
        <v>0.65086205006049613</v>
      </c>
      <c r="T273" s="42">
        <v>9234000.5</v>
      </c>
      <c r="U273" s="162">
        <f t="shared" si="46"/>
        <v>1.020564061997276</v>
      </c>
      <c r="V273" s="49"/>
    </row>
    <row r="274" spans="1:22" x14ac:dyDescent="0.3">
      <c r="A274" s="50" t="s">
        <v>1011</v>
      </c>
      <c r="B274" s="41"/>
      <c r="C274" s="41"/>
      <c r="D274" s="51">
        <f>SUM(D5:D273)</f>
        <v>2446741.7000000002</v>
      </c>
      <c r="E274" s="43"/>
      <c r="F274" s="43"/>
      <c r="G274" s="126"/>
      <c r="H274" s="161">
        <f>SUM(H5:H273)</f>
        <v>1474798729.9300003</v>
      </c>
      <c r="I274" s="161">
        <f t="shared" ref="I274:J274" si="55">SUM(I5:I273)</f>
        <v>106774818.63000005</v>
      </c>
      <c r="J274" s="161">
        <f t="shared" si="55"/>
        <v>1581573548.5599995</v>
      </c>
      <c r="K274" s="53">
        <v>1</v>
      </c>
      <c r="L274" s="45"/>
      <c r="M274" s="45"/>
      <c r="N274" s="45"/>
      <c r="O274" s="161">
        <f t="shared" ref="O274" si="56">SUM(O5:O273)</f>
        <v>2729588047.6730647</v>
      </c>
      <c r="P274" s="47"/>
      <c r="Q274" s="46"/>
      <c r="R274" s="47"/>
      <c r="S274" s="161"/>
      <c r="T274" s="51">
        <f>SUM(T5:T273)</f>
        <v>4002989597.5399995</v>
      </c>
      <c r="U274" s="57">
        <f t="shared" si="46"/>
        <v>0.68188736971750019</v>
      </c>
      <c r="V274" s="58">
        <f>T274/T338</f>
        <v>0.73866688565364724</v>
      </c>
    </row>
    <row r="275" spans="1:22" x14ac:dyDescent="0.3">
      <c r="A275" s="40" t="str">
        <f>VLOOKUP(B275,Grupos!$A$2:$B$619,2,FALSE)</f>
        <v>BREAKERS</v>
      </c>
      <c r="B275" s="41" t="s">
        <v>481</v>
      </c>
      <c r="C275" s="41" t="s">
        <v>482</v>
      </c>
      <c r="D275" s="42">
        <v>1860</v>
      </c>
      <c r="E275" s="43">
        <v>5808.8315907531278</v>
      </c>
      <c r="F275" s="43"/>
      <c r="G275" s="126">
        <f t="shared" si="47"/>
        <v>5808.8315907531278</v>
      </c>
      <c r="H275" s="127">
        <f t="shared" si="48"/>
        <v>10804426.758800818</v>
      </c>
      <c r="I275" s="128">
        <f t="shared" ref="I275:I322" si="57">F275*D275</f>
        <v>0</v>
      </c>
      <c r="J275" s="128">
        <f t="shared" ref="J275:J322" si="58">G275*D275</f>
        <v>10804426.758800818</v>
      </c>
      <c r="K275" s="44">
        <f>J275/$J$323</f>
        <v>2.9380510121263644E-2</v>
      </c>
      <c r="L275" s="45"/>
      <c r="M275" s="45">
        <v>0</v>
      </c>
      <c r="N275" s="45">
        <f t="shared" si="51"/>
        <v>5808.8315907531278</v>
      </c>
      <c r="O275" s="46">
        <f t="shared" si="52"/>
        <v>10804426.758800818</v>
      </c>
      <c r="P275" s="47">
        <f t="shared" ref="P275:P322" si="59">T275/D275</f>
        <v>6934.3548118279568</v>
      </c>
      <c r="Q275" s="46">
        <v>21250</v>
      </c>
      <c r="R275" s="47">
        <f t="shared" si="53"/>
        <v>14315.645188172042</v>
      </c>
      <c r="S275" s="191">
        <f t="shared" si="54"/>
        <v>0.6736774206198608</v>
      </c>
      <c r="T275" s="42">
        <v>12897899.949999999</v>
      </c>
      <c r="U275" s="48">
        <f t="shared" si="46"/>
        <v>0.83768883311897746</v>
      </c>
      <c r="V275" s="49"/>
    </row>
    <row r="276" spans="1:22" x14ac:dyDescent="0.3">
      <c r="A276" s="40" t="str">
        <f>VLOOKUP(B276,Grupos!$A$2:$B$619,2,FALSE)</f>
        <v>BREAKERS</v>
      </c>
      <c r="B276" s="41" t="s">
        <v>483</v>
      </c>
      <c r="C276" s="41" t="s">
        <v>484</v>
      </c>
      <c r="D276" s="42">
        <v>2508</v>
      </c>
      <c r="E276" s="43">
        <v>5815.0243200861933</v>
      </c>
      <c r="F276" s="43"/>
      <c r="G276" s="126">
        <f t="shared" si="47"/>
        <v>5815.0243200861933</v>
      </c>
      <c r="H276" s="127">
        <f t="shared" si="48"/>
        <v>14584080.994776173</v>
      </c>
      <c r="I276" s="128">
        <f t="shared" si="57"/>
        <v>0</v>
      </c>
      <c r="J276" s="128">
        <f t="shared" si="58"/>
        <v>14584080.994776173</v>
      </c>
      <c r="K276" s="44">
        <f t="shared" ref="K276:K323" si="60">J276/$J$323</f>
        <v>3.9658535232081848E-2</v>
      </c>
      <c r="L276" s="45"/>
      <c r="M276" s="45">
        <v>0</v>
      </c>
      <c r="N276" s="45">
        <f t="shared" si="51"/>
        <v>5815.0243200861933</v>
      </c>
      <c r="O276" s="46">
        <f t="shared" si="52"/>
        <v>14584080.994776173</v>
      </c>
      <c r="P276" s="47">
        <f t="shared" si="59"/>
        <v>6875.8373205741627</v>
      </c>
      <c r="Q276" s="46">
        <v>21250</v>
      </c>
      <c r="R276" s="47">
        <f t="shared" si="53"/>
        <v>14374.162679425837</v>
      </c>
      <c r="S276" s="191">
        <f t="shared" si="54"/>
        <v>0.6764311849141571</v>
      </c>
      <c r="T276" s="42">
        <v>17244600</v>
      </c>
      <c r="U276" s="48">
        <f t="shared" si="46"/>
        <v>0.84571871744060012</v>
      </c>
      <c r="V276" s="49"/>
    </row>
    <row r="277" spans="1:22" x14ac:dyDescent="0.3">
      <c r="A277" s="40" t="str">
        <f>VLOOKUP(B277,Grupos!$A$2:$B$619,2,FALSE)</f>
        <v>BREAKERS</v>
      </c>
      <c r="B277" s="41" t="s">
        <v>485</v>
      </c>
      <c r="C277" s="41" t="s">
        <v>486</v>
      </c>
      <c r="D277" s="42">
        <v>25202</v>
      </c>
      <c r="E277" s="43">
        <v>5006.9822721338787</v>
      </c>
      <c r="F277" s="43"/>
      <c r="G277" s="126">
        <f t="shared" si="47"/>
        <v>5006.9822721338787</v>
      </c>
      <c r="H277" s="127">
        <f t="shared" si="48"/>
        <v>126185967.22231801</v>
      </c>
      <c r="I277" s="128">
        <f t="shared" si="57"/>
        <v>0</v>
      </c>
      <c r="J277" s="128">
        <f t="shared" si="58"/>
        <v>126185967.22231801</v>
      </c>
      <c r="K277" s="44">
        <f t="shared" si="60"/>
        <v>0.34313787949155772</v>
      </c>
      <c r="L277" s="45"/>
      <c r="M277" s="45">
        <v>0</v>
      </c>
      <c r="N277" s="45">
        <f t="shared" si="51"/>
        <v>5006.9822721338787</v>
      </c>
      <c r="O277" s="46">
        <f t="shared" si="52"/>
        <v>126185967.22231801</v>
      </c>
      <c r="P277" s="47">
        <f t="shared" si="59"/>
        <v>6903.2457725577342</v>
      </c>
      <c r="Q277" s="46">
        <v>21250</v>
      </c>
      <c r="R277" s="47">
        <f t="shared" si="53"/>
        <v>14346.754227442267</v>
      </c>
      <c r="S277" s="191">
        <f t="shared" si="54"/>
        <v>0.67514137540904784</v>
      </c>
      <c r="T277" s="42">
        <v>173975599.96000001</v>
      </c>
      <c r="U277" s="48">
        <f t="shared" si="46"/>
        <v>0.72530841825710235</v>
      </c>
      <c r="V277" s="49"/>
    </row>
    <row r="278" spans="1:22" x14ac:dyDescent="0.3">
      <c r="A278" s="40" t="str">
        <f>VLOOKUP(B278,Grupos!$A$2:$B$619,2,FALSE)</f>
        <v>BREAKERS</v>
      </c>
      <c r="B278" s="41" t="s">
        <v>487</v>
      </c>
      <c r="C278" s="41" t="s">
        <v>488</v>
      </c>
      <c r="D278" s="42">
        <v>11328</v>
      </c>
      <c r="E278" s="43">
        <v>5006.9822721338787</v>
      </c>
      <c r="F278" s="43"/>
      <c r="G278" s="126">
        <f t="shared" si="47"/>
        <v>5006.9822721338787</v>
      </c>
      <c r="H278" s="127">
        <f t="shared" si="48"/>
        <v>56719095.178732581</v>
      </c>
      <c r="I278" s="128">
        <f t="shared" si="57"/>
        <v>0</v>
      </c>
      <c r="J278" s="128">
        <f t="shared" si="58"/>
        <v>56719095.178732581</v>
      </c>
      <c r="K278" s="44">
        <f t="shared" si="60"/>
        <v>0.1542364057963799</v>
      </c>
      <c r="L278" s="45"/>
      <c r="M278" s="45">
        <v>0</v>
      </c>
      <c r="N278" s="45">
        <f t="shared" si="51"/>
        <v>5006.9822721338787</v>
      </c>
      <c r="O278" s="46">
        <f t="shared" si="52"/>
        <v>56719095.178732581</v>
      </c>
      <c r="P278" s="47">
        <f t="shared" si="59"/>
        <v>6947.9872881355932</v>
      </c>
      <c r="Q278" s="46">
        <v>21250</v>
      </c>
      <c r="R278" s="47">
        <f t="shared" si="53"/>
        <v>14302.012711864407</v>
      </c>
      <c r="S278" s="191">
        <f t="shared" si="54"/>
        <v>0.67303589232303096</v>
      </c>
      <c r="T278" s="42">
        <v>78706800</v>
      </c>
      <c r="U278" s="48">
        <f t="shared" si="46"/>
        <v>0.72063779976739728</v>
      </c>
      <c r="V278" s="49"/>
    </row>
    <row r="279" spans="1:22" x14ac:dyDescent="0.3">
      <c r="A279" s="40" t="str">
        <f>VLOOKUP(B279,Grupos!$A$2:$B$619,2,FALSE)</f>
        <v>BREAKERS</v>
      </c>
      <c r="B279" s="41" t="s">
        <v>489</v>
      </c>
      <c r="C279" s="41" t="s">
        <v>490</v>
      </c>
      <c r="D279" s="42">
        <v>3816</v>
      </c>
      <c r="E279" s="43">
        <v>5006.9822721338787</v>
      </c>
      <c r="F279" s="43"/>
      <c r="G279" s="126">
        <f t="shared" si="47"/>
        <v>5006.9822721338787</v>
      </c>
      <c r="H279" s="127">
        <f t="shared" si="48"/>
        <v>19106644.35046288</v>
      </c>
      <c r="I279" s="128">
        <f t="shared" si="57"/>
        <v>0</v>
      </c>
      <c r="J279" s="128">
        <f t="shared" si="58"/>
        <v>19106644.35046288</v>
      </c>
      <c r="K279" s="44">
        <f t="shared" si="60"/>
        <v>5.1956755342424582E-2</v>
      </c>
      <c r="L279" s="45"/>
      <c r="M279" s="45">
        <v>0</v>
      </c>
      <c r="N279" s="45">
        <f t="shared" si="51"/>
        <v>5006.9822721338787</v>
      </c>
      <c r="O279" s="46">
        <f t="shared" si="52"/>
        <v>19106644.35046288</v>
      </c>
      <c r="P279" s="47">
        <f t="shared" si="59"/>
        <v>6942.6886766247371</v>
      </c>
      <c r="Q279" s="46">
        <v>21250</v>
      </c>
      <c r="R279" s="47">
        <f t="shared" si="53"/>
        <v>14307.311323375263</v>
      </c>
      <c r="S279" s="191">
        <f t="shared" si="54"/>
        <v>0.67328523874707125</v>
      </c>
      <c r="T279" s="42">
        <v>26493299.989999998</v>
      </c>
      <c r="U279" s="48">
        <f t="shared" si="46"/>
        <v>0.72118778550330687</v>
      </c>
      <c r="V279" s="49"/>
    </row>
    <row r="280" spans="1:22" x14ac:dyDescent="0.3">
      <c r="A280" s="40" t="str">
        <f>VLOOKUP(B280,Grupos!$A$2:$B$619,2,FALSE)</f>
        <v>BREAKERS</v>
      </c>
      <c r="B280" s="41" t="s">
        <v>491</v>
      </c>
      <c r="C280" s="41" t="s">
        <v>492</v>
      </c>
      <c r="D280" s="42">
        <v>2844</v>
      </c>
      <c r="E280" s="43">
        <v>4937.5</v>
      </c>
      <c r="F280" s="43"/>
      <c r="G280" s="126">
        <f t="shared" si="47"/>
        <v>4937.5</v>
      </c>
      <c r="H280" s="127">
        <f t="shared" si="48"/>
        <v>14042250</v>
      </c>
      <c r="I280" s="128">
        <f t="shared" si="57"/>
        <v>0</v>
      </c>
      <c r="J280" s="128">
        <f t="shared" si="58"/>
        <v>14042250</v>
      </c>
      <c r="K280" s="44">
        <f t="shared" si="60"/>
        <v>3.8185132581351811E-2</v>
      </c>
      <c r="L280" s="45"/>
      <c r="M280" s="45">
        <v>0</v>
      </c>
      <c r="N280" s="45">
        <f t="shared" si="51"/>
        <v>4937.5</v>
      </c>
      <c r="O280" s="46">
        <f t="shared" si="52"/>
        <v>14042250</v>
      </c>
      <c r="P280" s="47">
        <f t="shared" si="59"/>
        <v>6946.835443037975</v>
      </c>
      <c r="Q280" s="46">
        <v>21250</v>
      </c>
      <c r="R280" s="47">
        <f t="shared" si="53"/>
        <v>14303.164556962025</v>
      </c>
      <c r="S280" s="191">
        <f t="shared" si="54"/>
        <v>0.67309009679821297</v>
      </c>
      <c r="T280" s="42">
        <v>19756800</v>
      </c>
      <c r="U280" s="48">
        <f t="shared" si="46"/>
        <v>0.71075528425655976</v>
      </c>
      <c r="V280" s="49"/>
    </row>
    <row r="281" spans="1:22" x14ac:dyDescent="0.3">
      <c r="A281" s="40" t="str">
        <f>VLOOKUP(B281,Grupos!$A$2:$B$619,2,FALSE)</f>
        <v>BREAKERS</v>
      </c>
      <c r="B281" s="41" t="s">
        <v>493</v>
      </c>
      <c r="C281" s="41" t="s">
        <v>494</v>
      </c>
      <c r="D281" s="42">
        <v>1188</v>
      </c>
      <c r="E281" s="43">
        <v>5322.0336488562234</v>
      </c>
      <c r="F281" s="43"/>
      <c r="G281" s="126">
        <f t="shared" si="47"/>
        <v>5322.0336488562234</v>
      </c>
      <c r="H281" s="127">
        <f t="shared" si="48"/>
        <v>6322575.9748411933</v>
      </c>
      <c r="I281" s="128">
        <f t="shared" si="57"/>
        <v>0</v>
      </c>
      <c r="J281" s="128">
        <f t="shared" si="58"/>
        <v>6322575.9748411933</v>
      </c>
      <c r="K281" s="44">
        <f t="shared" si="60"/>
        <v>1.7192999829441908E-2</v>
      </c>
      <c r="L281" s="45"/>
      <c r="M281" s="45">
        <v>0</v>
      </c>
      <c r="N281" s="45">
        <f t="shared" si="51"/>
        <v>5322.0336488562234</v>
      </c>
      <c r="O281" s="46">
        <f t="shared" si="52"/>
        <v>6322575.9748411933</v>
      </c>
      <c r="P281" s="47">
        <f t="shared" si="59"/>
        <v>6932.8282744107746</v>
      </c>
      <c r="Q281" s="46">
        <v>21250</v>
      </c>
      <c r="R281" s="47">
        <f t="shared" si="53"/>
        <v>14317.171725589225</v>
      </c>
      <c r="S281" s="191">
        <f t="shared" si="54"/>
        <v>0.67374925767478711</v>
      </c>
      <c r="T281" s="42">
        <v>8236199.9900000002</v>
      </c>
      <c r="U281" s="48">
        <f t="shared" si="46"/>
        <v>0.76765692704375343</v>
      </c>
      <c r="V281" s="49"/>
    </row>
    <row r="282" spans="1:22" x14ac:dyDescent="0.3">
      <c r="A282" s="40" t="str">
        <f>VLOOKUP(B282,Grupos!$A$2:$B$619,2,FALSE)</f>
        <v>BREAKERS</v>
      </c>
      <c r="B282" s="41" t="s">
        <v>495</v>
      </c>
      <c r="C282" s="41" t="s">
        <v>496</v>
      </c>
      <c r="D282" s="42">
        <v>1428</v>
      </c>
      <c r="E282" s="43">
        <v>5255</v>
      </c>
      <c r="F282" s="43"/>
      <c r="G282" s="126">
        <f t="shared" si="47"/>
        <v>5255</v>
      </c>
      <c r="H282" s="127">
        <f t="shared" si="48"/>
        <v>7504140</v>
      </c>
      <c r="I282" s="128">
        <f t="shared" si="57"/>
        <v>0</v>
      </c>
      <c r="J282" s="128">
        <f t="shared" si="58"/>
        <v>7504140</v>
      </c>
      <c r="K282" s="44">
        <f t="shared" si="60"/>
        <v>2.0406030430239124E-2</v>
      </c>
      <c r="L282" s="45"/>
      <c r="M282" s="45">
        <v>0</v>
      </c>
      <c r="N282" s="45">
        <f t="shared" si="51"/>
        <v>5255</v>
      </c>
      <c r="O282" s="46">
        <f t="shared" si="52"/>
        <v>7504140</v>
      </c>
      <c r="P282" s="47">
        <f t="shared" si="59"/>
        <v>6923.9495798319331</v>
      </c>
      <c r="Q282" s="46">
        <v>21250</v>
      </c>
      <c r="R282" s="47">
        <f t="shared" si="53"/>
        <v>14326.050420168067</v>
      </c>
      <c r="S282" s="191">
        <f t="shared" si="54"/>
        <v>0.67416707859614433</v>
      </c>
      <c r="T282" s="42">
        <v>9887400</v>
      </c>
      <c r="U282" s="48">
        <f t="shared" si="46"/>
        <v>0.7589598883427392</v>
      </c>
      <c r="V282" s="49"/>
    </row>
    <row r="283" spans="1:22" x14ac:dyDescent="0.3">
      <c r="A283" s="40" t="str">
        <f>VLOOKUP(B283,Grupos!$A$2:$B$619,2,FALSE)</f>
        <v>BREAKERS</v>
      </c>
      <c r="B283" s="41" t="s">
        <v>497</v>
      </c>
      <c r="C283" s="41" t="s">
        <v>498</v>
      </c>
      <c r="D283" s="42">
        <v>336</v>
      </c>
      <c r="E283" s="43">
        <v>6052.9657142857141</v>
      </c>
      <c r="F283" s="43"/>
      <c r="G283" s="126">
        <f t="shared" si="47"/>
        <v>6052.9657142857141</v>
      </c>
      <c r="H283" s="127">
        <f t="shared" si="48"/>
        <v>2033796.48</v>
      </c>
      <c r="I283" s="128">
        <f t="shared" si="57"/>
        <v>0</v>
      </c>
      <c r="J283" s="128">
        <f t="shared" si="58"/>
        <v>2033796.48</v>
      </c>
      <c r="K283" s="44">
        <f t="shared" si="60"/>
        <v>5.5305088737407906E-3</v>
      </c>
      <c r="L283" s="45"/>
      <c r="M283" s="45">
        <v>0</v>
      </c>
      <c r="N283" s="45">
        <f t="shared" si="51"/>
        <v>6052.9657142857141</v>
      </c>
      <c r="O283" s="46">
        <f t="shared" si="52"/>
        <v>2033796.48</v>
      </c>
      <c r="P283" s="47">
        <f t="shared" si="59"/>
        <v>7003.5714285714284</v>
      </c>
      <c r="Q283" s="46">
        <v>21250</v>
      </c>
      <c r="R283" s="47">
        <f t="shared" si="53"/>
        <v>14246.428571428572</v>
      </c>
      <c r="S283" s="191">
        <f t="shared" si="54"/>
        <v>0.67042016806722693</v>
      </c>
      <c r="T283" s="42">
        <v>2353200</v>
      </c>
      <c r="U283" s="48">
        <f t="shared" si="46"/>
        <v>0.86426843447220802</v>
      </c>
      <c r="V283" s="49"/>
    </row>
    <row r="284" spans="1:22" x14ac:dyDescent="0.3">
      <c r="A284" s="40" t="str">
        <f>VLOOKUP(B284,Grupos!$A$2:$B$619,2,FALSE)</f>
        <v>BREAKERS</v>
      </c>
      <c r="B284" s="41" t="s">
        <v>499</v>
      </c>
      <c r="C284" s="41" t="s">
        <v>500</v>
      </c>
      <c r="D284" s="42">
        <v>132</v>
      </c>
      <c r="E284" s="43">
        <v>5255</v>
      </c>
      <c r="F284" s="43"/>
      <c r="G284" s="126">
        <f t="shared" si="47"/>
        <v>5255</v>
      </c>
      <c r="H284" s="127">
        <f t="shared" si="48"/>
        <v>693660</v>
      </c>
      <c r="I284" s="128">
        <f t="shared" si="57"/>
        <v>0</v>
      </c>
      <c r="J284" s="128">
        <f t="shared" si="58"/>
        <v>693660</v>
      </c>
      <c r="K284" s="44">
        <f t="shared" si="60"/>
        <v>1.8862717204422722E-3</v>
      </c>
      <c r="L284" s="45"/>
      <c r="M284" s="45">
        <v>0</v>
      </c>
      <c r="N284" s="45">
        <f t="shared" si="51"/>
        <v>5255</v>
      </c>
      <c r="O284" s="46">
        <f t="shared" si="52"/>
        <v>693660</v>
      </c>
      <c r="P284" s="47">
        <f t="shared" si="59"/>
        <v>6872.727272727273</v>
      </c>
      <c r="Q284" s="46">
        <v>21250</v>
      </c>
      <c r="R284" s="47">
        <f t="shared" si="53"/>
        <v>14377.272727272728</v>
      </c>
      <c r="S284" s="191">
        <f t="shared" si="54"/>
        <v>0.67657754010695192</v>
      </c>
      <c r="T284" s="42">
        <v>907200</v>
      </c>
      <c r="U284" s="48">
        <f t="shared" si="46"/>
        <v>0.76461640211640214</v>
      </c>
      <c r="V284" s="49"/>
    </row>
    <row r="285" spans="1:22" x14ac:dyDescent="0.3">
      <c r="A285" s="40" t="str">
        <f>VLOOKUP(B285,Grupos!$A$2:$B$619,2,FALSE)</f>
        <v>BREAKERS</v>
      </c>
      <c r="B285" s="41" t="s">
        <v>501</v>
      </c>
      <c r="C285" s="41" t="s">
        <v>502</v>
      </c>
      <c r="D285" s="42">
        <v>108</v>
      </c>
      <c r="E285" s="43">
        <v>6066.47</v>
      </c>
      <c r="F285" s="43"/>
      <c r="G285" s="126">
        <f t="shared" si="47"/>
        <v>6066.47</v>
      </c>
      <c r="H285" s="127">
        <f t="shared" si="48"/>
        <v>655178.76</v>
      </c>
      <c r="I285" s="128">
        <f t="shared" si="57"/>
        <v>0</v>
      </c>
      <c r="J285" s="128">
        <f t="shared" si="58"/>
        <v>655178.76</v>
      </c>
      <c r="K285" s="44">
        <f t="shared" si="60"/>
        <v>1.7816295689854315E-3</v>
      </c>
      <c r="L285" s="45"/>
      <c r="M285" s="45">
        <v>0</v>
      </c>
      <c r="N285" s="45">
        <f t="shared" si="51"/>
        <v>6066.47</v>
      </c>
      <c r="O285" s="46">
        <f t="shared" si="52"/>
        <v>655178.76</v>
      </c>
      <c r="P285" s="47">
        <f t="shared" si="59"/>
        <v>6955.5555555555557</v>
      </c>
      <c r="Q285" s="46">
        <v>21250</v>
      </c>
      <c r="R285" s="47">
        <f t="shared" si="53"/>
        <v>14294.444444444445</v>
      </c>
      <c r="S285" s="191">
        <f t="shared" si="54"/>
        <v>0.67267973856209151</v>
      </c>
      <c r="T285" s="42">
        <v>751200</v>
      </c>
      <c r="U285" s="48">
        <f t="shared" si="46"/>
        <v>0.87217619808306712</v>
      </c>
      <c r="V285" s="49"/>
    </row>
    <row r="286" spans="1:22" x14ac:dyDescent="0.3">
      <c r="A286" s="40" t="str">
        <f>VLOOKUP(B286,Grupos!$A$2:$B$619,2,FALSE)</f>
        <v>BREAKERS</v>
      </c>
      <c r="B286" s="41" t="s">
        <v>503</v>
      </c>
      <c r="C286" s="41" t="s">
        <v>504</v>
      </c>
      <c r="D286" s="42">
        <v>60</v>
      </c>
      <c r="E286" s="43">
        <v>6093.0433333333331</v>
      </c>
      <c r="F286" s="43"/>
      <c r="G286" s="126">
        <f t="shared" si="47"/>
        <v>6093.0433333333331</v>
      </c>
      <c r="H286" s="127">
        <f t="shared" si="48"/>
        <v>365582.6</v>
      </c>
      <c r="I286" s="128">
        <f t="shared" si="57"/>
        <v>0</v>
      </c>
      <c r="J286" s="128">
        <f t="shared" si="58"/>
        <v>365582.6</v>
      </c>
      <c r="K286" s="44">
        <f t="shared" si="60"/>
        <v>9.9412986169846742E-4</v>
      </c>
      <c r="L286" s="45"/>
      <c r="M286" s="45">
        <v>0</v>
      </c>
      <c r="N286" s="45">
        <f t="shared" si="51"/>
        <v>6093.0433333333331</v>
      </c>
      <c r="O286" s="46">
        <f t="shared" si="52"/>
        <v>365582.6</v>
      </c>
      <c r="P286" s="47">
        <f t="shared" si="59"/>
        <v>6960</v>
      </c>
      <c r="Q286" s="46">
        <v>21250</v>
      </c>
      <c r="R286" s="47">
        <f t="shared" si="53"/>
        <v>14290</v>
      </c>
      <c r="S286" s="191">
        <f t="shared" si="54"/>
        <v>0.67247058823529415</v>
      </c>
      <c r="T286" s="42">
        <v>417600</v>
      </c>
      <c r="U286" s="48">
        <f t="shared" si="46"/>
        <v>0.87543726053639837</v>
      </c>
      <c r="V286" s="49"/>
    </row>
    <row r="287" spans="1:22" x14ac:dyDescent="0.3">
      <c r="A287" s="40" t="str">
        <f>VLOOKUP(B287,Grupos!$A$2:$B$619,2,FALSE)</f>
        <v>BREAKERS</v>
      </c>
      <c r="B287" s="41" t="s">
        <v>505</v>
      </c>
      <c r="C287" s="41" t="s">
        <v>506</v>
      </c>
      <c r="D287" s="42">
        <v>180</v>
      </c>
      <c r="E287" s="43">
        <v>11626.752</v>
      </c>
      <c r="F287" s="43"/>
      <c r="G287" s="126">
        <f t="shared" si="47"/>
        <v>11626.752</v>
      </c>
      <c r="H287" s="127">
        <f t="shared" si="48"/>
        <v>2092815.3600000001</v>
      </c>
      <c r="I287" s="128">
        <f t="shared" si="57"/>
        <v>0</v>
      </c>
      <c r="J287" s="128">
        <f t="shared" si="58"/>
        <v>2092815.3600000001</v>
      </c>
      <c r="K287" s="44">
        <f t="shared" si="60"/>
        <v>5.6909990913058461E-3</v>
      </c>
      <c r="L287" s="45"/>
      <c r="M287" s="45">
        <v>0</v>
      </c>
      <c r="N287" s="45">
        <f t="shared" si="51"/>
        <v>11626.752</v>
      </c>
      <c r="O287" s="46">
        <f t="shared" si="52"/>
        <v>2092815.3600000001</v>
      </c>
      <c r="P287" s="47">
        <f t="shared" si="59"/>
        <v>14670</v>
      </c>
      <c r="Q287" s="46">
        <v>64750</v>
      </c>
      <c r="R287" s="47">
        <f t="shared" si="53"/>
        <v>50080</v>
      </c>
      <c r="S287" s="191">
        <f t="shared" si="54"/>
        <v>0.77343629343629339</v>
      </c>
      <c r="T287" s="42">
        <v>2640600</v>
      </c>
      <c r="U287" s="48">
        <f t="shared" si="46"/>
        <v>0.79255296523517382</v>
      </c>
      <c r="V287" s="49"/>
    </row>
    <row r="288" spans="1:22" x14ac:dyDescent="0.3">
      <c r="A288" s="40" t="str">
        <f>VLOOKUP(B288,Grupos!$A$2:$B$619,2,FALSE)</f>
        <v>BREAKERS</v>
      </c>
      <c r="B288" s="41" t="s">
        <v>507</v>
      </c>
      <c r="C288" s="41" t="s">
        <v>1071</v>
      </c>
      <c r="D288" s="42">
        <v>6</v>
      </c>
      <c r="E288" s="43">
        <v>11648.010689655173</v>
      </c>
      <c r="F288" s="43"/>
      <c r="G288" s="126">
        <f t="shared" si="47"/>
        <v>11648.010689655173</v>
      </c>
      <c r="H288" s="127">
        <f t="shared" si="48"/>
        <v>69888.06413793104</v>
      </c>
      <c r="I288" s="128">
        <f t="shared" si="57"/>
        <v>0</v>
      </c>
      <c r="J288" s="128">
        <f t="shared" si="58"/>
        <v>69888.06413793104</v>
      </c>
      <c r="K288" s="44">
        <f t="shared" si="60"/>
        <v>1.9004682262179604E-4</v>
      </c>
      <c r="L288" s="45"/>
      <c r="M288" s="45">
        <v>0</v>
      </c>
      <c r="N288" s="45">
        <f t="shared" si="51"/>
        <v>11648.010689655173</v>
      </c>
      <c r="O288" s="46">
        <f t="shared" si="52"/>
        <v>69888.06413793104</v>
      </c>
      <c r="P288" s="47">
        <f t="shared" si="59"/>
        <v>14600</v>
      </c>
      <c r="Q288" s="46">
        <v>64750</v>
      </c>
      <c r="R288" s="47">
        <f t="shared" si="53"/>
        <v>50150</v>
      </c>
      <c r="S288" s="191">
        <f t="shared" si="54"/>
        <v>0.77451737451737457</v>
      </c>
      <c r="T288" s="42">
        <v>87600</v>
      </c>
      <c r="U288" s="48">
        <f t="shared" si="46"/>
        <v>0.79780895134624474</v>
      </c>
      <c r="V288" s="49"/>
    </row>
    <row r="289" spans="1:22" x14ac:dyDescent="0.3">
      <c r="A289" s="40" t="str">
        <f>VLOOKUP(B289,Grupos!$A$2:$B$619,2,FALSE)</f>
        <v>BREAKERS</v>
      </c>
      <c r="B289" s="41" t="s">
        <v>508</v>
      </c>
      <c r="C289" s="41" t="s">
        <v>509</v>
      </c>
      <c r="D289" s="42">
        <v>2346</v>
      </c>
      <c r="E289" s="43">
        <v>10013.631210934424</v>
      </c>
      <c r="F289" s="43"/>
      <c r="G289" s="126">
        <f t="shared" si="47"/>
        <v>10013.631210934424</v>
      </c>
      <c r="H289" s="127">
        <f t="shared" si="48"/>
        <v>23491978.820852157</v>
      </c>
      <c r="I289" s="128">
        <f t="shared" si="57"/>
        <v>0</v>
      </c>
      <c r="J289" s="128">
        <f t="shared" si="58"/>
        <v>23491978.820852157</v>
      </c>
      <c r="K289" s="44">
        <f t="shared" si="60"/>
        <v>6.3881808533002071E-2</v>
      </c>
      <c r="L289" s="45"/>
      <c r="M289" s="45">
        <v>0</v>
      </c>
      <c r="N289" s="45">
        <f t="shared" si="51"/>
        <v>10013.631210934424</v>
      </c>
      <c r="O289" s="46">
        <f t="shared" si="52"/>
        <v>23491978.820852157</v>
      </c>
      <c r="P289" s="47">
        <f t="shared" si="59"/>
        <v>15059.910464620632</v>
      </c>
      <c r="Q289" s="46">
        <v>64750</v>
      </c>
      <c r="R289" s="47">
        <f t="shared" si="53"/>
        <v>49690.089535379368</v>
      </c>
      <c r="S289" s="191">
        <f t="shared" si="54"/>
        <v>0.76741451019890916</v>
      </c>
      <c r="T289" s="42">
        <v>35330549.950000003</v>
      </c>
      <c r="U289" s="48">
        <f t="shared" si="46"/>
        <v>0.66491970416815305</v>
      </c>
      <c r="V289" s="49"/>
    </row>
    <row r="290" spans="1:22" x14ac:dyDescent="0.3">
      <c r="A290" s="40" t="str">
        <f>VLOOKUP(B290,Grupos!$A$2:$B$619,2,FALSE)</f>
        <v>BREAKERS</v>
      </c>
      <c r="B290" s="41" t="s">
        <v>510</v>
      </c>
      <c r="C290" s="41" t="s">
        <v>511</v>
      </c>
      <c r="D290" s="42">
        <v>2352</v>
      </c>
      <c r="E290" s="43">
        <v>9887</v>
      </c>
      <c r="F290" s="43"/>
      <c r="G290" s="126">
        <f t="shared" si="47"/>
        <v>9887</v>
      </c>
      <c r="H290" s="127">
        <f t="shared" si="48"/>
        <v>23254224</v>
      </c>
      <c r="I290" s="128">
        <f t="shared" si="57"/>
        <v>0</v>
      </c>
      <c r="J290" s="128">
        <f t="shared" si="58"/>
        <v>23254224</v>
      </c>
      <c r="K290" s="44">
        <f t="shared" si="60"/>
        <v>6.3235281134893143E-2</v>
      </c>
      <c r="L290" s="45"/>
      <c r="M290" s="45">
        <v>0</v>
      </c>
      <c r="N290" s="45">
        <f t="shared" si="51"/>
        <v>9887</v>
      </c>
      <c r="O290" s="46">
        <f t="shared" si="52"/>
        <v>23254224</v>
      </c>
      <c r="P290" s="47">
        <f t="shared" si="59"/>
        <v>14505.357142857143</v>
      </c>
      <c r="Q290" s="46">
        <v>64750</v>
      </c>
      <c r="R290" s="47">
        <f t="shared" si="53"/>
        <v>50244.642857142855</v>
      </c>
      <c r="S290" s="191">
        <f t="shared" si="54"/>
        <v>0.7759790402647545</v>
      </c>
      <c r="T290" s="42">
        <v>34116600</v>
      </c>
      <c r="U290" s="48">
        <f t="shared" si="46"/>
        <v>0.68161024252123603</v>
      </c>
      <c r="V290" s="49"/>
    </row>
    <row r="291" spans="1:22" x14ac:dyDescent="0.3">
      <c r="A291" s="40" t="str">
        <f>VLOOKUP(B291,Grupos!$A$2:$B$619,2,FALSE)</f>
        <v>BREAKERS</v>
      </c>
      <c r="B291" s="41" t="s">
        <v>512</v>
      </c>
      <c r="C291" s="41" t="s">
        <v>513</v>
      </c>
      <c r="D291" s="42">
        <v>1032</v>
      </c>
      <c r="E291" s="43">
        <v>10013.631210934424</v>
      </c>
      <c r="F291" s="43"/>
      <c r="G291" s="126">
        <f t="shared" si="47"/>
        <v>10013.631210934424</v>
      </c>
      <c r="H291" s="127">
        <f t="shared" si="48"/>
        <v>10334067.409684325</v>
      </c>
      <c r="I291" s="128">
        <f t="shared" si="57"/>
        <v>0</v>
      </c>
      <c r="J291" s="128">
        <f t="shared" si="58"/>
        <v>10334067.409684325</v>
      </c>
      <c r="K291" s="44">
        <f t="shared" si="60"/>
        <v>2.8101460531141573E-2</v>
      </c>
      <c r="L291" s="45"/>
      <c r="M291" s="45">
        <v>0</v>
      </c>
      <c r="N291" s="45">
        <f t="shared" si="51"/>
        <v>10013.631210934424</v>
      </c>
      <c r="O291" s="46">
        <f t="shared" si="52"/>
        <v>10334067.409684325</v>
      </c>
      <c r="P291" s="47">
        <f t="shared" si="59"/>
        <v>14829.738362403101</v>
      </c>
      <c r="Q291" s="46">
        <v>64750</v>
      </c>
      <c r="R291" s="47">
        <f t="shared" si="53"/>
        <v>49920.261637596901</v>
      </c>
      <c r="S291" s="191">
        <f t="shared" si="54"/>
        <v>0.77096929170033823</v>
      </c>
      <c r="T291" s="42">
        <v>15304289.99</v>
      </c>
      <c r="U291" s="48">
        <f t="shared" si="46"/>
        <v>0.67523991092933577</v>
      </c>
      <c r="V291" s="49"/>
    </row>
    <row r="292" spans="1:22" x14ac:dyDescent="0.3">
      <c r="A292" s="40" t="str">
        <f>VLOOKUP(B292,Grupos!$A$2:$B$619,2,FALSE)</f>
        <v>BREAKERS</v>
      </c>
      <c r="B292" s="41" t="s">
        <v>514</v>
      </c>
      <c r="C292" s="41" t="s">
        <v>515</v>
      </c>
      <c r="D292" s="42">
        <v>450</v>
      </c>
      <c r="E292" s="43">
        <v>9874.5</v>
      </c>
      <c r="F292" s="43"/>
      <c r="G292" s="126">
        <f t="shared" si="47"/>
        <v>9874.5</v>
      </c>
      <c r="H292" s="127">
        <f t="shared" si="48"/>
        <v>4443525</v>
      </c>
      <c r="I292" s="128">
        <f t="shared" si="57"/>
        <v>0</v>
      </c>
      <c r="J292" s="128">
        <f t="shared" si="58"/>
        <v>4443525</v>
      </c>
      <c r="K292" s="44">
        <f t="shared" si="60"/>
        <v>1.2083290872442186E-2</v>
      </c>
      <c r="L292" s="45"/>
      <c r="M292" s="45">
        <v>0</v>
      </c>
      <c r="N292" s="45">
        <f t="shared" si="51"/>
        <v>9874.5</v>
      </c>
      <c r="O292" s="46">
        <f t="shared" si="52"/>
        <v>4443525</v>
      </c>
      <c r="P292" s="47">
        <f t="shared" si="59"/>
        <v>14750.666666666666</v>
      </c>
      <c r="Q292" s="46">
        <v>64750</v>
      </c>
      <c r="R292" s="47">
        <f t="shared" si="53"/>
        <v>49999.333333333336</v>
      </c>
      <c r="S292" s="191">
        <f t="shared" si="54"/>
        <v>0.7721904761904762</v>
      </c>
      <c r="T292" s="42">
        <v>6637800</v>
      </c>
      <c r="U292" s="48">
        <f t="shared" si="46"/>
        <v>0.66942737051432699</v>
      </c>
      <c r="V292" s="49"/>
    </row>
    <row r="293" spans="1:22" x14ac:dyDescent="0.3">
      <c r="A293" s="40" t="str">
        <f>VLOOKUP(B293,Grupos!$A$2:$B$619,2,FALSE)</f>
        <v>BREAKERS</v>
      </c>
      <c r="B293" s="41" t="s">
        <v>516</v>
      </c>
      <c r="C293" s="41" t="s">
        <v>517</v>
      </c>
      <c r="D293" s="42">
        <v>456</v>
      </c>
      <c r="E293" s="43">
        <v>10644.400631045779</v>
      </c>
      <c r="F293" s="43"/>
      <c r="G293" s="126">
        <f t="shared" si="47"/>
        <v>10644.400631045779</v>
      </c>
      <c r="H293" s="127">
        <f t="shared" si="48"/>
        <v>4853846.6877568755</v>
      </c>
      <c r="I293" s="128">
        <f t="shared" si="57"/>
        <v>0</v>
      </c>
      <c r="J293" s="128">
        <f t="shared" si="58"/>
        <v>4853846.6877568755</v>
      </c>
      <c r="K293" s="44">
        <f t="shared" si="60"/>
        <v>1.3199079869789502E-2</v>
      </c>
      <c r="L293" s="45"/>
      <c r="M293" s="45">
        <v>0</v>
      </c>
      <c r="N293" s="45">
        <f t="shared" si="51"/>
        <v>10644.400631045779</v>
      </c>
      <c r="O293" s="46">
        <f t="shared" si="52"/>
        <v>4853846.6877568755</v>
      </c>
      <c r="P293" s="47">
        <f t="shared" si="59"/>
        <v>14771.052631578947</v>
      </c>
      <c r="Q293" s="46">
        <v>64750</v>
      </c>
      <c r="R293" s="47">
        <f t="shared" si="53"/>
        <v>49978.947368421053</v>
      </c>
      <c r="S293" s="191">
        <f t="shared" si="54"/>
        <v>0.77187563503352974</v>
      </c>
      <c r="T293" s="42">
        <v>6735600</v>
      </c>
      <c r="U293" s="48">
        <f t="shared" si="46"/>
        <v>0.72062573308344846</v>
      </c>
      <c r="V293" s="49"/>
    </row>
    <row r="294" spans="1:22" x14ac:dyDescent="0.3">
      <c r="A294" s="40" t="str">
        <f>VLOOKUP(B294,Grupos!$A$2:$B$619,2,FALSE)</f>
        <v>BREAKERS</v>
      </c>
      <c r="B294" s="41" t="s">
        <v>518</v>
      </c>
      <c r="C294" s="41" t="s">
        <v>519</v>
      </c>
      <c r="D294" s="42">
        <v>972</v>
      </c>
      <c r="E294" s="43">
        <v>12071.710467310158</v>
      </c>
      <c r="F294" s="43"/>
      <c r="G294" s="126">
        <f t="shared" si="47"/>
        <v>12071.710467310158</v>
      </c>
      <c r="H294" s="127">
        <f t="shared" si="48"/>
        <v>11733702.574225474</v>
      </c>
      <c r="I294" s="128">
        <f t="shared" si="57"/>
        <v>0</v>
      </c>
      <c r="J294" s="128">
        <f t="shared" si="58"/>
        <v>11733702.574225474</v>
      </c>
      <c r="K294" s="44">
        <f t="shared" si="60"/>
        <v>3.1907492635934322E-2</v>
      </c>
      <c r="L294" s="45"/>
      <c r="M294" s="45">
        <v>0</v>
      </c>
      <c r="N294" s="45">
        <f t="shared" si="51"/>
        <v>12071.710467310158</v>
      </c>
      <c r="O294" s="46">
        <f t="shared" si="52"/>
        <v>11733702.574225474</v>
      </c>
      <c r="P294" s="47">
        <f t="shared" si="59"/>
        <v>15040.123456790123</v>
      </c>
      <c r="Q294" s="46">
        <v>64750</v>
      </c>
      <c r="R294" s="47">
        <f t="shared" si="53"/>
        <v>49709.876543209873</v>
      </c>
      <c r="S294" s="191">
        <f t="shared" si="54"/>
        <v>0.76772010105343436</v>
      </c>
      <c r="T294" s="42">
        <v>14619000</v>
      </c>
      <c r="U294" s="48">
        <f t="shared" si="46"/>
        <v>0.80263373515462577</v>
      </c>
      <c r="V294" s="49"/>
    </row>
    <row r="295" spans="1:22" x14ac:dyDescent="0.3">
      <c r="A295" s="40" t="str">
        <f>VLOOKUP(B295,Grupos!$A$2:$B$619,2,FALSE)</f>
        <v>BREAKERS</v>
      </c>
      <c r="B295" s="41" t="s">
        <v>520</v>
      </c>
      <c r="C295" s="41" t="s">
        <v>521</v>
      </c>
      <c r="D295" s="42">
        <v>108</v>
      </c>
      <c r="E295" s="43">
        <v>11981.988311688312</v>
      </c>
      <c r="F295" s="43"/>
      <c r="G295" s="126">
        <f t="shared" si="47"/>
        <v>11981.988311688312</v>
      </c>
      <c r="H295" s="127">
        <f t="shared" si="48"/>
        <v>1294054.7376623377</v>
      </c>
      <c r="I295" s="128">
        <f t="shared" si="57"/>
        <v>0</v>
      </c>
      <c r="J295" s="128">
        <f t="shared" si="58"/>
        <v>1294054.7376623377</v>
      </c>
      <c r="K295" s="44">
        <f t="shared" si="60"/>
        <v>3.5189269330173439E-3</v>
      </c>
      <c r="L295" s="45"/>
      <c r="M295" s="45">
        <v>0</v>
      </c>
      <c r="N295" s="45">
        <f t="shared" si="51"/>
        <v>11981.988311688312</v>
      </c>
      <c r="O295" s="46">
        <f t="shared" si="52"/>
        <v>1294054.7376623377</v>
      </c>
      <c r="P295" s="47">
        <f t="shared" si="59"/>
        <v>14733.333333333334</v>
      </c>
      <c r="Q295" s="46">
        <v>64750</v>
      </c>
      <c r="R295" s="47">
        <f t="shared" si="53"/>
        <v>50016.666666666664</v>
      </c>
      <c r="S295" s="191">
        <f t="shared" si="54"/>
        <v>0.77245817245817239</v>
      </c>
      <c r="T295" s="42">
        <v>1591200</v>
      </c>
      <c r="U295" s="48">
        <f t="shared" si="46"/>
        <v>0.81325712522771354</v>
      </c>
      <c r="V295" s="49"/>
    </row>
    <row r="296" spans="1:22" x14ac:dyDescent="0.3">
      <c r="A296" s="40" t="str">
        <f>VLOOKUP(B296,Grupos!$A$2:$B$619,2,FALSE)</f>
        <v>BREAKERS</v>
      </c>
      <c r="B296" s="41" t="s">
        <v>522</v>
      </c>
      <c r="C296" s="41" t="s">
        <v>523</v>
      </c>
      <c r="D296" s="42">
        <v>144</v>
      </c>
      <c r="E296" s="43">
        <v>10940.201893137339</v>
      </c>
      <c r="F296" s="43"/>
      <c r="G296" s="126">
        <f t="shared" si="47"/>
        <v>10940.201893137339</v>
      </c>
      <c r="H296" s="127">
        <f t="shared" si="48"/>
        <v>1575389.0726117766</v>
      </c>
      <c r="I296" s="128">
        <f t="shared" si="57"/>
        <v>0</v>
      </c>
      <c r="J296" s="128">
        <f t="shared" si="58"/>
        <v>1575389.0726117766</v>
      </c>
      <c r="K296" s="44">
        <f t="shared" si="60"/>
        <v>4.2839602346414259E-3</v>
      </c>
      <c r="L296" s="45"/>
      <c r="M296" s="45">
        <v>0</v>
      </c>
      <c r="N296" s="45">
        <f t="shared" si="51"/>
        <v>10940.201893137339</v>
      </c>
      <c r="O296" s="46">
        <f t="shared" si="52"/>
        <v>1575389.0726117766</v>
      </c>
      <c r="P296" s="47">
        <f t="shared" si="59"/>
        <v>14487.5</v>
      </c>
      <c r="Q296" s="46">
        <v>64750</v>
      </c>
      <c r="R296" s="47">
        <f t="shared" si="53"/>
        <v>50262.5</v>
      </c>
      <c r="S296" s="191">
        <f t="shared" si="54"/>
        <v>0.77625482625482622</v>
      </c>
      <c r="T296" s="42">
        <v>2086200</v>
      </c>
      <c r="U296" s="48">
        <f t="shared" si="46"/>
        <v>0.75514767165745211</v>
      </c>
      <c r="V296" s="49"/>
    </row>
    <row r="297" spans="1:22" x14ac:dyDescent="0.3">
      <c r="A297" s="40" t="str">
        <f>VLOOKUP(B297,Grupos!$A$2:$B$619,2,FALSE)</f>
        <v>BREAKERS</v>
      </c>
      <c r="B297" s="41" t="s">
        <v>524</v>
      </c>
      <c r="C297" s="41" t="s">
        <v>525</v>
      </c>
      <c r="D297" s="42">
        <v>36</v>
      </c>
      <c r="E297" s="43">
        <v>12107.165217391304</v>
      </c>
      <c r="F297" s="43"/>
      <c r="G297" s="126">
        <f t="shared" si="47"/>
        <v>12107.165217391304</v>
      </c>
      <c r="H297" s="127">
        <f t="shared" si="48"/>
        <v>435857.94782608695</v>
      </c>
      <c r="I297" s="128">
        <f t="shared" si="57"/>
        <v>0</v>
      </c>
      <c r="J297" s="128">
        <f t="shared" si="58"/>
        <v>435857.94782608695</v>
      </c>
      <c r="K297" s="44">
        <f t="shared" si="60"/>
        <v>1.1852298260161334E-3</v>
      </c>
      <c r="L297" s="45"/>
      <c r="M297" s="45">
        <v>0</v>
      </c>
      <c r="N297" s="45">
        <f t="shared" si="51"/>
        <v>12107.165217391304</v>
      </c>
      <c r="O297" s="46">
        <f t="shared" si="52"/>
        <v>435857.94782608695</v>
      </c>
      <c r="P297" s="47">
        <f t="shared" si="59"/>
        <v>14750</v>
      </c>
      <c r="Q297" s="46">
        <v>64750</v>
      </c>
      <c r="R297" s="47">
        <f t="shared" si="53"/>
        <v>50000</v>
      </c>
      <c r="S297" s="191">
        <f t="shared" si="54"/>
        <v>0.77220077220077221</v>
      </c>
      <c r="T297" s="42">
        <v>531000</v>
      </c>
      <c r="U297" s="48">
        <f t="shared" si="46"/>
        <v>0.82082476050110542</v>
      </c>
      <c r="V297" s="49"/>
    </row>
    <row r="298" spans="1:22" x14ac:dyDescent="0.3">
      <c r="A298" s="40" t="str">
        <f>VLOOKUP(B298,Grupos!$A$2:$B$619,2,FALSE)</f>
        <v>BREAKERS</v>
      </c>
      <c r="B298" s="41" t="s">
        <v>526</v>
      </c>
      <c r="C298" s="41" t="s">
        <v>527</v>
      </c>
      <c r="D298" s="42">
        <v>108</v>
      </c>
      <c r="E298" s="43">
        <v>10644.400631045779</v>
      </c>
      <c r="F298" s="43"/>
      <c r="G298" s="126">
        <f t="shared" si="47"/>
        <v>10644.400631045779</v>
      </c>
      <c r="H298" s="127">
        <f t="shared" si="48"/>
        <v>1149595.268152944</v>
      </c>
      <c r="I298" s="128">
        <f t="shared" si="57"/>
        <v>0</v>
      </c>
      <c r="J298" s="128">
        <f t="shared" si="58"/>
        <v>1149595.268152944</v>
      </c>
      <c r="K298" s="44">
        <f t="shared" si="60"/>
        <v>3.126097863897513E-3</v>
      </c>
      <c r="L298" s="45"/>
      <c r="M298" s="45">
        <v>0</v>
      </c>
      <c r="N298" s="45">
        <f t="shared" si="51"/>
        <v>10644.400631045779</v>
      </c>
      <c r="O298" s="46">
        <f t="shared" si="52"/>
        <v>1149595.268152944</v>
      </c>
      <c r="P298" s="47">
        <f t="shared" si="59"/>
        <v>14283.333333333334</v>
      </c>
      <c r="Q298" s="46">
        <v>64750</v>
      </c>
      <c r="R298" s="47">
        <f t="shared" si="53"/>
        <v>50466.666666666664</v>
      </c>
      <c r="S298" s="191">
        <f t="shared" si="54"/>
        <v>0.77940797940797935</v>
      </c>
      <c r="T298" s="42">
        <v>1542600</v>
      </c>
      <c r="U298" s="48">
        <f t="shared" si="46"/>
        <v>0.74523224954812917</v>
      </c>
      <c r="V298" s="49"/>
    </row>
    <row r="299" spans="1:22" x14ac:dyDescent="0.3">
      <c r="A299" s="40" t="str">
        <f>VLOOKUP(B299,Grupos!$A$2:$B$619,2,FALSE)</f>
        <v>BREAKERS</v>
      </c>
      <c r="B299" s="41" t="s">
        <v>528</v>
      </c>
      <c r="C299" s="41" t="s">
        <v>529</v>
      </c>
      <c r="D299" s="42">
        <v>12</v>
      </c>
      <c r="E299" s="43">
        <v>17348.938399999999</v>
      </c>
      <c r="F299" s="43"/>
      <c r="G299" s="126">
        <f t="shared" si="47"/>
        <v>17348.938399999999</v>
      </c>
      <c r="H299" s="127">
        <f t="shared" si="48"/>
        <v>208187.26079999999</v>
      </c>
      <c r="I299" s="128">
        <f t="shared" si="57"/>
        <v>0</v>
      </c>
      <c r="J299" s="128">
        <f t="shared" si="58"/>
        <v>208187.26079999999</v>
      </c>
      <c r="K299" s="44">
        <f t="shared" si="60"/>
        <v>5.6612424329409211E-4</v>
      </c>
      <c r="L299" s="45"/>
      <c r="M299" s="45">
        <v>0</v>
      </c>
      <c r="N299" s="45">
        <f t="shared" si="51"/>
        <v>17348.938399999999</v>
      </c>
      <c r="O299" s="46">
        <f t="shared" si="52"/>
        <v>208187.26079999999</v>
      </c>
      <c r="P299" s="47">
        <f t="shared" si="59"/>
        <v>23500</v>
      </c>
      <c r="Q299" s="46">
        <v>139750</v>
      </c>
      <c r="R299" s="47">
        <f t="shared" si="53"/>
        <v>116250</v>
      </c>
      <c r="S299" s="191">
        <f t="shared" si="54"/>
        <v>0.83184257602862255</v>
      </c>
      <c r="T299" s="42">
        <v>282000</v>
      </c>
      <c r="U299" s="48">
        <f t="shared" si="46"/>
        <v>0.73825269787234038</v>
      </c>
      <c r="V299" s="49"/>
    </row>
    <row r="300" spans="1:22" x14ac:dyDescent="0.3">
      <c r="A300" s="40" t="str">
        <f>VLOOKUP(B300,Grupos!$A$2:$B$619,2,FALSE)</f>
        <v>BREAKERS</v>
      </c>
      <c r="B300" s="41" t="s">
        <v>530</v>
      </c>
      <c r="C300" s="41" t="s">
        <v>531</v>
      </c>
      <c r="D300" s="42">
        <v>8</v>
      </c>
      <c r="E300" s="43">
        <v>15437.840449204912</v>
      </c>
      <c r="F300" s="43"/>
      <c r="G300" s="126">
        <f t="shared" si="47"/>
        <v>15437.840449204912</v>
      </c>
      <c r="H300" s="127">
        <f t="shared" si="48"/>
        <v>123502.7235936393</v>
      </c>
      <c r="I300" s="128">
        <f t="shared" si="57"/>
        <v>0</v>
      </c>
      <c r="J300" s="128">
        <f t="shared" si="58"/>
        <v>123502.7235936393</v>
      </c>
      <c r="K300" s="44">
        <f t="shared" si="60"/>
        <v>3.3584132703670438E-4</v>
      </c>
      <c r="L300" s="45"/>
      <c r="M300" s="45">
        <v>0</v>
      </c>
      <c r="N300" s="45">
        <f t="shared" si="51"/>
        <v>15437.840449204912</v>
      </c>
      <c r="O300" s="46">
        <f t="shared" si="52"/>
        <v>123502.7235936393</v>
      </c>
      <c r="P300" s="47">
        <f t="shared" si="59"/>
        <v>23700</v>
      </c>
      <c r="Q300" s="46">
        <v>139750</v>
      </c>
      <c r="R300" s="47">
        <f t="shared" si="53"/>
        <v>116050</v>
      </c>
      <c r="S300" s="191">
        <f t="shared" si="54"/>
        <v>0.8304114490161002</v>
      </c>
      <c r="T300" s="42">
        <v>189600</v>
      </c>
      <c r="U300" s="48">
        <f t="shared" si="46"/>
        <v>0.6513856729622326</v>
      </c>
      <c r="V300" s="49"/>
    </row>
    <row r="301" spans="1:22" x14ac:dyDescent="0.3">
      <c r="A301" s="40" t="str">
        <f>VLOOKUP(B301,Grupos!$A$2:$B$619,2,FALSE)</f>
        <v>BREAKERS</v>
      </c>
      <c r="B301" s="41" t="s">
        <v>532</v>
      </c>
      <c r="C301" s="41" t="s">
        <v>533</v>
      </c>
      <c r="D301" s="42">
        <v>84</v>
      </c>
      <c r="E301" s="43">
        <v>14792</v>
      </c>
      <c r="F301" s="43"/>
      <c r="G301" s="126">
        <f t="shared" si="47"/>
        <v>14792</v>
      </c>
      <c r="H301" s="127">
        <f t="shared" si="48"/>
        <v>1242528</v>
      </c>
      <c r="I301" s="128">
        <f t="shared" si="57"/>
        <v>0</v>
      </c>
      <c r="J301" s="128">
        <f t="shared" si="58"/>
        <v>1242528</v>
      </c>
      <c r="K301" s="44">
        <f t="shared" si="60"/>
        <v>3.378810120603315E-3</v>
      </c>
      <c r="L301" s="45"/>
      <c r="M301" s="45">
        <v>0</v>
      </c>
      <c r="N301" s="45">
        <f t="shared" si="51"/>
        <v>14792</v>
      </c>
      <c r="O301" s="46">
        <f t="shared" si="52"/>
        <v>1242528</v>
      </c>
      <c r="P301" s="47">
        <f t="shared" si="59"/>
        <v>23552.380952380954</v>
      </c>
      <c r="Q301" s="46">
        <v>139750</v>
      </c>
      <c r="R301" s="47">
        <f t="shared" si="53"/>
        <v>116197.61904761905</v>
      </c>
      <c r="S301" s="191">
        <f t="shared" si="54"/>
        <v>0.83146775704915243</v>
      </c>
      <c r="T301" s="42">
        <v>1978400</v>
      </c>
      <c r="U301" s="48">
        <f t="shared" si="46"/>
        <v>0.62804690659118478</v>
      </c>
      <c r="V301" s="49"/>
    </row>
    <row r="302" spans="1:22" x14ac:dyDescent="0.3">
      <c r="A302" s="40" t="str">
        <f>VLOOKUP(B302,Grupos!$A$2:$B$619,2,FALSE)</f>
        <v>BREAKERS</v>
      </c>
      <c r="B302" s="41" t="s">
        <v>534</v>
      </c>
      <c r="C302" s="41" t="s">
        <v>535</v>
      </c>
      <c r="D302" s="42">
        <v>272</v>
      </c>
      <c r="E302" s="43">
        <v>17526.31986951</v>
      </c>
      <c r="F302" s="43"/>
      <c r="G302" s="126">
        <f t="shared" si="47"/>
        <v>17526.31986951</v>
      </c>
      <c r="H302" s="127">
        <f t="shared" si="48"/>
        <v>4767159.0045067202</v>
      </c>
      <c r="I302" s="128">
        <f t="shared" si="57"/>
        <v>0</v>
      </c>
      <c r="J302" s="128">
        <f t="shared" si="58"/>
        <v>4767159.0045067202</v>
      </c>
      <c r="K302" s="44">
        <f t="shared" si="60"/>
        <v>1.2963349792481562E-2</v>
      </c>
      <c r="L302" s="45"/>
      <c r="M302" s="45">
        <v>0</v>
      </c>
      <c r="N302" s="45">
        <f t="shared" si="51"/>
        <v>17526.31986951</v>
      </c>
      <c r="O302" s="46">
        <f t="shared" si="52"/>
        <v>4767159.0045067202</v>
      </c>
      <c r="P302" s="47">
        <f t="shared" si="59"/>
        <v>23650</v>
      </c>
      <c r="Q302" s="46">
        <v>139750</v>
      </c>
      <c r="R302" s="47">
        <f t="shared" si="53"/>
        <v>116100</v>
      </c>
      <c r="S302" s="191">
        <f t="shared" si="54"/>
        <v>0.83076923076923082</v>
      </c>
      <c r="T302" s="42">
        <v>6432800</v>
      </c>
      <c r="U302" s="48">
        <f t="shared" si="46"/>
        <v>0.74107060759027488</v>
      </c>
      <c r="V302" s="49"/>
    </row>
    <row r="303" spans="1:22" x14ac:dyDescent="0.3">
      <c r="A303" s="40" t="str">
        <f>VLOOKUP(B303,Grupos!$A$2:$B$619,2,FALSE)</f>
        <v>BREAKERS</v>
      </c>
      <c r="B303" s="41" t="s">
        <v>536</v>
      </c>
      <c r="C303" s="41" t="s">
        <v>537</v>
      </c>
      <c r="D303" s="42">
        <v>28</v>
      </c>
      <c r="E303" s="43">
        <v>14831</v>
      </c>
      <c r="F303" s="43"/>
      <c r="G303" s="126">
        <f t="shared" si="47"/>
        <v>14831</v>
      </c>
      <c r="H303" s="127">
        <f t="shared" si="48"/>
        <v>415268</v>
      </c>
      <c r="I303" s="128">
        <f t="shared" si="57"/>
        <v>0</v>
      </c>
      <c r="J303" s="128">
        <f t="shared" si="58"/>
        <v>415268</v>
      </c>
      <c r="K303" s="44">
        <f t="shared" si="60"/>
        <v>1.129239519079407E-3</v>
      </c>
      <c r="L303" s="45"/>
      <c r="M303" s="45">
        <v>0</v>
      </c>
      <c r="N303" s="45">
        <f t="shared" si="51"/>
        <v>14831</v>
      </c>
      <c r="O303" s="46">
        <f t="shared" si="52"/>
        <v>415268</v>
      </c>
      <c r="P303" s="47">
        <f t="shared" si="59"/>
        <v>24014.285714285714</v>
      </c>
      <c r="Q303" s="46">
        <v>139750</v>
      </c>
      <c r="R303" s="47">
        <f t="shared" si="53"/>
        <v>115735.71428571429</v>
      </c>
      <c r="S303" s="191">
        <f t="shared" si="54"/>
        <v>0.8281625351392794</v>
      </c>
      <c r="T303" s="42">
        <v>672400</v>
      </c>
      <c r="U303" s="48">
        <f t="shared" si="46"/>
        <v>0.61759071980963709</v>
      </c>
      <c r="V303" s="49"/>
    </row>
    <row r="304" spans="1:22" x14ac:dyDescent="0.3">
      <c r="A304" s="40" t="str">
        <f>VLOOKUP(B304,Grupos!$A$2:$B$619,2,FALSE)</f>
        <v>BREAKERS</v>
      </c>
      <c r="B304" s="41" t="s">
        <v>538</v>
      </c>
      <c r="C304" s="41" t="s">
        <v>539</v>
      </c>
      <c r="D304" s="42">
        <v>102</v>
      </c>
      <c r="E304" s="43">
        <v>15765</v>
      </c>
      <c r="F304" s="43"/>
      <c r="G304" s="126">
        <f t="shared" si="47"/>
        <v>15765</v>
      </c>
      <c r="H304" s="127">
        <f t="shared" si="48"/>
        <v>1608030</v>
      </c>
      <c r="I304" s="128">
        <f t="shared" si="57"/>
        <v>0</v>
      </c>
      <c r="J304" s="128">
        <f t="shared" si="58"/>
        <v>1608030</v>
      </c>
      <c r="K304" s="44">
        <f t="shared" si="60"/>
        <v>4.3727208064798127E-3</v>
      </c>
      <c r="L304" s="45"/>
      <c r="M304" s="45">
        <v>0</v>
      </c>
      <c r="N304" s="45">
        <f t="shared" si="51"/>
        <v>15765</v>
      </c>
      <c r="O304" s="46">
        <f t="shared" si="52"/>
        <v>1608030</v>
      </c>
      <c r="P304" s="47">
        <f t="shared" si="59"/>
        <v>23637.254901960783</v>
      </c>
      <c r="Q304" s="46">
        <v>139750</v>
      </c>
      <c r="R304" s="47">
        <f t="shared" si="53"/>
        <v>116112.74509803922</v>
      </c>
      <c r="S304" s="191">
        <f t="shared" si="54"/>
        <v>0.83086043003963661</v>
      </c>
      <c r="T304" s="42">
        <v>2411000</v>
      </c>
      <c r="U304" s="48">
        <f t="shared" si="46"/>
        <v>0.66695562007465781</v>
      </c>
      <c r="V304" s="49"/>
    </row>
    <row r="305" spans="1:22" x14ac:dyDescent="0.3">
      <c r="A305" s="40" t="str">
        <f>VLOOKUP(B305,Grupos!$A$2:$B$619,2,FALSE)</f>
        <v>BREAKERS</v>
      </c>
      <c r="B305" s="41" t="s">
        <v>540</v>
      </c>
      <c r="C305" s="41" t="s">
        <v>541</v>
      </c>
      <c r="D305" s="42">
        <v>28</v>
      </c>
      <c r="E305" s="43">
        <v>15765</v>
      </c>
      <c r="F305" s="43"/>
      <c r="G305" s="126">
        <f t="shared" si="47"/>
        <v>15765</v>
      </c>
      <c r="H305" s="127">
        <f t="shared" si="48"/>
        <v>441420</v>
      </c>
      <c r="I305" s="128">
        <f t="shared" si="57"/>
        <v>0</v>
      </c>
      <c r="J305" s="128">
        <f t="shared" si="58"/>
        <v>441420</v>
      </c>
      <c r="K305" s="44">
        <f t="shared" si="60"/>
        <v>1.2003547311905368E-3</v>
      </c>
      <c r="L305" s="45"/>
      <c r="M305" s="45">
        <v>0</v>
      </c>
      <c r="N305" s="45">
        <f t="shared" si="51"/>
        <v>15765</v>
      </c>
      <c r="O305" s="46">
        <f t="shared" si="52"/>
        <v>441420</v>
      </c>
      <c r="P305" s="47">
        <f t="shared" si="59"/>
        <v>23642.857142857141</v>
      </c>
      <c r="Q305" s="46">
        <v>139750</v>
      </c>
      <c r="R305" s="47">
        <f t="shared" si="53"/>
        <v>116107.14285714286</v>
      </c>
      <c r="S305" s="191">
        <f t="shared" si="54"/>
        <v>0.83082034244824943</v>
      </c>
      <c r="T305" s="42">
        <v>662000</v>
      </c>
      <c r="U305" s="48">
        <f t="shared" si="46"/>
        <v>0.666797583081571</v>
      </c>
      <c r="V305" s="49"/>
    </row>
    <row r="306" spans="1:22" x14ac:dyDescent="0.3">
      <c r="A306" s="40" t="str">
        <f>VLOOKUP(B306,Grupos!$A$2:$B$619,2,FALSE)</f>
        <v>BREAKERS</v>
      </c>
      <c r="B306" s="41" t="s">
        <v>542</v>
      </c>
      <c r="C306" s="41" t="s">
        <v>543</v>
      </c>
      <c r="D306" s="42">
        <v>100</v>
      </c>
      <c r="E306" s="43">
        <v>15966.434279902003</v>
      </c>
      <c r="F306" s="43"/>
      <c r="G306" s="126">
        <f t="shared" si="47"/>
        <v>15966.434279902003</v>
      </c>
      <c r="H306" s="127">
        <f t="shared" si="48"/>
        <v>1596643.4279902002</v>
      </c>
      <c r="I306" s="128">
        <f t="shared" si="57"/>
        <v>0</v>
      </c>
      <c r="J306" s="128">
        <f t="shared" si="58"/>
        <v>1596643.4279902002</v>
      </c>
      <c r="K306" s="44">
        <f t="shared" si="60"/>
        <v>4.3417572670298443E-3</v>
      </c>
      <c r="L306" s="45"/>
      <c r="M306" s="45">
        <v>0</v>
      </c>
      <c r="N306" s="45">
        <f t="shared" si="51"/>
        <v>15966.434279902003</v>
      </c>
      <c r="O306" s="46">
        <f t="shared" si="52"/>
        <v>1596643.4279902002</v>
      </c>
      <c r="P306" s="47">
        <f t="shared" si="59"/>
        <v>23434</v>
      </c>
      <c r="Q306" s="46">
        <v>139750</v>
      </c>
      <c r="R306" s="47">
        <f t="shared" si="53"/>
        <v>116316</v>
      </c>
      <c r="S306" s="191">
        <f t="shared" si="54"/>
        <v>0.8323148479427549</v>
      </c>
      <c r="T306" s="42">
        <v>2343400</v>
      </c>
      <c r="U306" s="48">
        <f t="shared" si="46"/>
        <v>0.68133627549295905</v>
      </c>
      <c r="V306" s="49"/>
    </row>
    <row r="307" spans="1:22" x14ac:dyDescent="0.3">
      <c r="A307" s="40" t="str">
        <f>VLOOKUP(B307,Grupos!$A$2:$B$619,2,FALSE)</f>
        <v>BREAKERS</v>
      </c>
      <c r="B307" s="41" t="s">
        <v>544</v>
      </c>
      <c r="C307" s="41" t="s">
        <v>545</v>
      </c>
      <c r="D307" s="42">
        <v>40</v>
      </c>
      <c r="E307" s="43">
        <v>17765.919433427869</v>
      </c>
      <c r="F307" s="43"/>
      <c r="G307" s="126">
        <f t="shared" si="47"/>
        <v>17765.919433427869</v>
      </c>
      <c r="H307" s="127">
        <f t="shared" si="48"/>
        <v>710636.77733711479</v>
      </c>
      <c r="I307" s="128">
        <f t="shared" si="57"/>
        <v>0</v>
      </c>
      <c r="J307" s="128">
        <f t="shared" si="58"/>
        <v>710636.77733711479</v>
      </c>
      <c r="K307" s="44">
        <f t="shared" si="60"/>
        <v>1.9324367220212083E-3</v>
      </c>
      <c r="L307" s="45"/>
      <c r="M307" s="45">
        <v>0</v>
      </c>
      <c r="N307" s="45">
        <f t="shared" si="51"/>
        <v>17765.919433427869</v>
      </c>
      <c r="O307" s="46">
        <f t="shared" si="52"/>
        <v>710636.77733711479</v>
      </c>
      <c r="P307" s="47">
        <f t="shared" si="59"/>
        <v>23750</v>
      </c>
      <c r="Q307" s="46">
        <v>139750</v>
      </c>
      <c r="R307" s="47">
        <f t="shared" si="53"/>
        <v>116000</v>
      </c>
      <c r="S307" s="191">
        <f t="shared" si="54"/>
        <v>0.83005366726296959</v>
      </c>
      <c r="T307" s="42">
        <v>950000</v>
      </c>
      <c r="U307" s="48">
        <f t="shared" si="46"/>
        <v>0.74803871298643665</v>
      </c>
      <c r="V307" s="49"/>
    </row>
    <row r="308" spans="1:22" x14ac:dyDescent="0.3">
      <c r="A308" s="40" t="str">
        <f>VLOOKUP(B308,Grupos!$A$2:$B$619,2,FALSE)</f>
        <v>BREAKERS</v>
      </c>
      <c r="B308" s="41" t="s">
        <v>546</v>
      </c>
      <c r="C308" s="41" t="s">
        <v>1072</v>
      </c>
      <c r="D308" s="42">
        <v>76</v>
      </c>
      <c r="E308" s="43">
        <v>18204.602468305799</v>
      </c>
      <c r="F308" s="43"/>
      <c r="G308" s="126">
        <f t="shared" si="47"/>
        <v>18204.602468305799</v>
      </c>
      <c r="H308" s="127">
        <f t="shared" si="48"/>
        <v>1383549.7875912406</v>
      </c>
      <c r="I308" s="128">
        <f t="shared" si="57"/>
        <v>0</v>
      </c>
      <c r="J308" s="128">
        <f t="shared" si="58"/>
        <v>1383549.7875912406</v>
      </c>
      <c r="K308" s="44">
        <f t="shared" si="60"/>
        <v>3.7622910909628198E-3</v>
      </c>
      <c r="L308" s="45"/>
      <c r="M308" s="45">
        <v>0</v>
      </c>
      <c r="N308" s="45">
        <f t="shared" si="51"/>
        <v>18204.602468305799</v>
      </c>
      <c r="O308" s="46">
        <f t="shared" si="52"/>
        <v>1383549.7875912406</v>
      </c>
      <c r="P308" s="47">
        <f t="shared" si="59"/>
        <v>24342.105263157893</v>
      </c>
      <c r="Q308" s="46">
        <v>139750</v>
      </c>
      <c r="R308" s="47">
        <f t="shared" si="53"/>
        <v>115407.89473684211</v>
      </c>
      <c r="S308" s="191">
        <f t="shared" si="54"/>
        <v>0.82581677808115994</v>
      </c>
      <c r="T308" s="42">
        <v>1850000</v>
      </c>
      <c r="U308" s="48">
        <f t="shared" si="46"/>
        <v>0.74786475004931929</v>
      </c>
      <c r="V308" s="49"/>
    </row>
    <row r="309" spans="1:22" x14ac:dyDescent="0.3">
      <c r="A309" s="40" t="str">
        <f>VLOOKUP(B309,Grupos!$A$2:$B$619,2,FALSE)</f>
        <v>BREAKERS</v>
      </c>
      <c r="B309" s="41" t="s">
        <v>547</v>
      </c>
      <c r="C309" s="41" t="s">
        <v>548</v>
      </c>
      <c r="D309" s="42">
        <v>24</v>
      </c>
      <c r="E309" s="43">
        <v>15765</v>
      </c>
      <c r="F309" s="43"/>
      <c r="G309" s="126">
        <f t="shared" si="47"/>
        <v>15765</v>
      </c>
      <c r="H309" s="127">
        <f t="shared" si="48"/>
        <v>378360</v>
      </c>
      <c r="I309" s="128">
        <f t="shared" si="57"/>
        <v>0</v>
      </c>
      <c r="J309" s="128">
        <f t="shared" si="58"/>
        <v>378360</v>
      </c>
      <c r="K309" s="44">
        <f t="shared" si="60"/>
        <v>1.028875483877603E-3</v>
      </c>
      <c r="L309" s="45"/>
      <c r="M309" s="45">
        <v>0</v>
      </c>
      <c r="N309" s="45">
        <f t="shared" si="51"/>
        <v>15765</v>
      </c>
      <c r="O309" s="46">
        <f t="shared" si="52"/>
        <v>378360</v>
      </c>
      <c r="P309" s="47">
        <f t="shared" si="59"/>
        <v>23550</v>
      </c>
      <c r="Q309" s="46">
        <v>139750</v>
      </c>
      <c r="R309" s="47">
        <f t="shared" si="53"/>
        <v>116200</v>
      </c>
      <c r="S309" s="191">
        <f t="shared" si="54"/>
        <v>0.83148479427549193</v>
      </c>
      <c r="T309" s="42">
        <v>565200</v>
      </c>
      <c r="U309" s="48">
        <f t="shared" si="46"/>
        <v>0.66942675159235665</v>
      </c>
      <c r="V309" s="49"/>
    </row>
    <row r="310" spans="1:22" x14ac:dyDescent="0.3">
      <c r="A310" s="40" t="str">
        <f>VLOOKUP(B310,Grupos!$A$2:$B$619,2,FALSE)</f>
        <v>BREAKERS</v>
      </c>
      <c r="B310" s="41" t="s">
        <v>779</v>
      </c>
      <c r="C310" s="41" t="s">
        <v>780</v>
      </c>
      <c r="D310" s="42">
        <v>12</v>
      </c>
      <c r="E310" s="43">
        <v>4866</v>
      </c>
      <c r="F310" s="43"/>
      <c r="G310" s="126">
        <f t="shared" si="47"/>
        <v>4866</v>
      </c>
      <c r="H310" s="127">
        <f t="shared" si="48"/>
        <v>58392</v>
      </c>
      <c r="I310" s="128">
        <f t="shared" si="57"/>
        <v>0</v>
      </c>
      <c r="J310" s="128">
        <f t="shared" si="58"/>
        <v>58392</v>
      </c>
      <c r="K310" s="44">
        <f t="shared" si="60"/>
        <v>1.5878554089909344E-4</v>
      </c>
      <c r="L310" s="45"/>
      <c r="M310" s="45">
        <v>0</v>
      </c>
      <c r="N310" s="45">
        <f t="shared" si="51"/>
        <v>4866</v>
      </c>
      <c r="O310" s="46">
        <f t="shared" si="52"/>
        <v>58392</v>
      </c>
      <c r="P310" s="47">
        <f t="shared" si="59"/>
        <v>6950</v>
      </c>
      <c r="Q310" s="46">
        <v>6950</v>
      </c>
      <c r="R310" s="47">
        <f t="shared" si="53"/>
        <v>0</v>
      </c>
      <c r="S310" s="191">
        <f t="shared" si="54"/>
        <v>0</v>
      </c>
      <c r="T310" s="42">
        <v>83400</v>
      </c>
      <c r="U310" s="48">
        <f t="shared" si="46"/>
        <v>0.70014388489208634</v>
      </c>
      <c r="V310" s="49"/>
    </row>
    <row r="311" spans="1:22" x14ac:dyDescent="0.3">
      <c r="A311" s="40" t="str">
        <f>VLOOKUP(B311,Grupos!$A$2:$B$619,2,FALSE)</f>
        <v>BREAKERS</v>
      </c>
      <c r="B311" s="41" t="s">
        <v>781</v>
      </c>
      <c r="C311" s="41" t="s">
        <v>782</v>
      </c>
      <c r="D311" s="42">
        <v>204</v>
      </c>
      <c r="E311" s="43">
        <v>4866</v>
      </c>
      <c r="F311" s="43"/>
      <c r="G311" s="126">
        <f t="shared" si="47"/>
        <v>4866</v>
      </c>
      <c r="H311" s="127">
        <f t="shared" si="48"/>
        <v>992664</v>
      </c>
      <c r="I311" s="128">
        <f t="shared" si="57"/>
        <v>0</v>
      </c>
      <c r="J311" s="128">
        <f t="shared" si="58"/>
        <v>992664</v>
      </c>
      <c r="K311" s="44">
        <f t="shared" si="60"/>
        <v>2.6993541952845881E-3</v>
      </c>
      <c r="L311" s="45"/>
      <c r="M311" s="45">
        <v>0</v>
      </c>
      <c r="N311" s="45">
        <f t="shared" si="51"/>
        <v>4866</v>
      </c>
      <c r="O311" s="46">
        <f t="shared" si="52"/>
        <v>992664</v>
      </c>
      <c r="P311" s="47">
        <f t="shared" si="59"/>
        <v>6650</v>
      </c>
      <c r="Q311" s="46">
        <v>6650</v>
      </c>
      <c r="R311" s="47">
        <f t="shared" si="53"/>
        <v>0</v>
      </c>
      <c r="S311" s="191">
        <f t="shared" si="54"/>
        <v>0</v>
      </c>
      <c r="T311" s="42">
        <v>1356600</v>
      </c>
      <c r="U311" s="152">
        <f t="shared" si="46"/>
        <v>0.73172932330827067</v>
      </c>
      <c r="V311" s="49"/>
    </row>
    <row r="312" spans="1:22" x14ac:dyDescent="0.3">
      <c r="A312" s="40" t="str">
        <f>VLOOKUP(B312,Grupos!$A$2:$B$619,2,FALSE)</f>
        <v>BREAKERS</v>
      </c>
      <c r="B312" s="41" t="s">
        <v>783</v>
      </c>
      <c r="C312" s="41" t="s">
        <v>784</v>
      </c>
      <c r="D312" s="42">
        <v>12</v>
      </c>
      <c r="E312" s="43">
        <v>4866</v>
      </c>
      <c r="F312" s="43"/>
      <c r="G312" s="126">
        <f t="shared" si="47"/>
        <v>4866</v>
      </c>
      <c r="H312" s="127">
        <f t="shared" si="48"/>
        <v>58392</v>
      </c>
      <c r="I312" s="128">
        <f t="shared" si="57"/>
        <v>0</v>
      </c>
      <c r="J312" s="128">
        <f t="shared" si="58"/>
        <v>58392</v>
      </c>
      <c r="K312" s="44">
        <f t="shared" si="60"/>
        <v>1.5878554089909344E-4</v>
      </c>
      <c r="L312" s="45"/>
      <c r="M312" s="45">
        <v>0</v>
      </c>
      <c r="N312" s="45">
        <f t="shared" si="51"/>
        <v>4866</v>
      </c>
      <c r="O312" s="46">
        <f t="shared" si="52"/>
        <v>58392</v>
      </c>
      <c r="P312" s="47">
        <f t="shared" si="59"/>
        <v>6650</v>
      </c>
      <c r="Q312" s="46">
        <v>6650</v>
      </c>
      <c r="R312" s="47">
        <f t="shared" si="53"/>
        <v>0</v>
      </c>
      <c r="S312" s="191">
        <f t="shared" si="54"/>
        <v>0</v>
      </c>
      <c r="T312" s="42">
        <v>79800</v>
      </c>
      <c r="U312" s="152">
        <f t="shared" si="46"/>
        <v>0.73172932330827067</v>
      </c>
      <c r="V312" s="49"/>
    </row>
    <row r="313" spans="1:22" x14ac:dyDescent="0.3">
      <c r="A313" s="40" t="str">
        <f>VLOOKUP(B313,Grupos!$A$2:$B$619,2,FALSE)</f>
        <v>BREAKERS</v>
      </c>
      <c r="B313" s="41" t="s">
        <v>785</v>
      </c>
      <c r="C313" s="41" t="s">
        <v>786</v>
      </c>
      <c r="D313" s="42">
        <v>324</v>
      </c>
      <c r="E313" s="43">
        <v>5255</v>
      </c>
      <c r="F313" s="43"/>
      <c r="G313" s="126">
        <f t="shared" si="47"/>
        <v>5255</v>
      </c>
      <c r="H313" s="127">
        <f t="shared" si="48"/>
        <v>1702620</v>
      </c>
      <c r="I313" s="128">
        <f t="shared" si="57"/>
        <v>0</v>
      </c>
      <c r="J313" s="128">
        <f t="shared" si="58"/>
        <v>1702620</v>
      </c>
      <c r="K313" s="44">
        <f t="shared" si="60"/>
        <v>4.6299396774492135E-3</v>
      </c>
      <c r="L313" s="45"/>
      <c r="M313" s="45">
        <v>0</v>
      </c>
      <c r="N313" s="45">
        <f t="shared" si="51"/>
        <v>5255</v>
      </c>
      <c r="O313" s="46">
        <f t="shared" si="52"/>
        <v>1702620</v>
      </c>
      <c r="P313" s="47">
        <f t="shared" si="59"/>
        <v>6607.4074074074078</v>
      </c>
      <c r="Q313" s="46">
        <v>6607</v>
      </c>
      <c r="R313" s="47">
        <f t="shared" si="53"/>
        <v>-0.40740740740784531</v>
      </c>
      <c r="S313" s="191">
        <f t="shared" si="54"/>
        <v>-6.1662994915672058E-5</v>
      </c>
      <c r="T313" s="42">
        <v>2140800</v>
      </c>
      <c r="U313" s="152">
        <f t="shared" si="46"/>
        <v>0.79531950672645735</v>
      </c>
      <c r="V313" s="49"/>
    </row>
    <row r="314" spans="1:22" x14ac:dyDescent="0.3">
      <c r="A314" s="40" t="str">
        <f>VLOOKUP(B314,Grupos!$A$2:$B$619,2,FALSE)</f>
        <v>BREAKERS</v>
      </c>
      <c r="B314" s="41" t="s">
        <v>792</v>
      </c>
      <c r="C314" s="41" t="s">
        <v>793</v>
      </c>
      <c r="D314" s="42">
        <v>24</v>
      </c>
      <c r="E314" s="43">
        <v>9732</v>
      </c>
      <c r="F314" s="43"/>
      <c r="G314" s="126">
        <f t="shared" si="47"/>
        <v>9732</v>
      </c>
      <c r="H314" s="127">
        <f t="shared" si="48"/>
        <v>233568</v>
      </c>
      <c r="I314" s="128">
        <f t="shared" si="57"/>
        <v>0</v>
      </c>
      <c r="J314" s="128">
        <f t="shared" si="58"/>
        <v>233568</v>
      </c>
      <c r="K314" s="44">
        <f t="shared" si="60"/>
        <v>6.3514216359637375E-4</v>
      </c>
      <c r="L314" s="45"/>
      <c r="M314" s="45">
        <v>0</v>
      </c>
      <c r="N314" s="45">
        <f t="shared" si="51"/>
        <v>9732</v>
      </c>
      <c r="O314" s="46">
        <f t="shared" si="52"/>
        <v>233568</v>
      </c>
      <c r="P314" s="47">
        <f t="shared" si="59"/>
        <v>13300</v>
      </c>
      <c r="Q314" s="46">
        <v>13300</v>
      </c>
      <c r="R314" s="47">
        <f t="shared" si="53"/>
        <v>0</v>
      </c>
      <c r="S314" s="191">
        <f t="shared" si="54"/>
        <v>0</v>
      </c>
      <c r="T314" s="42">
        <v>319200</v>
      </c>
      <c r="U314" s="48">
        <f t="shared" si="46"/>
        <v>0.73172932330827067</v>
      </c>
      <c r="V314" s="49"/>
    </row>
    <row r="315" spans="1:22" x14ac:dyDescent="0.3">
      <c r="A315" s="40" t="str">
        <f>VLOOKUP(B315,Grupos!$A$2:$B$619,2,FALSE)</f>
        <v>BREAKERS</v>
      </c>
      <c r="B315" s="41" t="s">
        <v>794</v>
      </c>
      <c r="C315" s="41" t="s">
        <v>795</v>
      </c>
      <c r="D315" s="42">
        <v>36</v>
      </c>
      <c r="E315" s="43">
        <v>9732</v>
      </c>
      <c r="F315" s="43"/>
      <c r="G315" s="126">
        <f t="shared" si="47"/>
        <v>9732</v>
      </c>
      <c r="H315" s="127">
        <f t="shared" si="48"/>
        <v>350352</v>
      </c>
      <c r="I315" s="128">
        <f t="shared" si="57"/>
        <v>0</v>
      </c>
      <c r="J315" s="128">
        <f t="shared" si="58"/>
        <v>350352</v>
      </c>
      <c r="K315" s="44">
        <f t="shared" si="60"/>
        <v>9.5271324539456057E-4</v>
      </c>
      <c r="L315" s="45"/>
      <c r="M315" s="45">
        <v>0</v>
      </c>
      <c r="N315" s="45">
        <f t="shared" si="51"/>
        <v>9732</v>
      </c>
      <c r="O315" s="46">
        <f t="shared" si="52"/>
        <v>350352</v>
      </c>
      <c r="P315" s="47">
        <f t="shared" si="59"/>
        <v>13400</v>
      </c>
      <c r="Q315" s="46">
        <v>13400</v>
      </c>
      <c r="R315" s="47">
        <f t="shared" si="53"/>
        <v>0</v>
      </c>
      <c r="S315" s="191">
        <f t="shared" si="54"/>
        <v>0</v>
      </c>
      <c r="T315" s="42">
        <v>482400</v>
      </c>
      <c r="U315" s="48">
        <f t="shared" si="46"/>
        <v>0.72626865671641794</v>
      </c>
      <c r="V315" s="49"/>
    </row>
    <row r="316" spans="1:22" x14ac:dyDescent="0.3">
      <c r="A316" s="40" t="str">
        <f>VLOOKUP(B316,Grupos!$A$2:$B$619,2,FALSE)</f>
        <v>BREAKERS</v>
      </c>
      <c r="B316" s="41" t="s">
        <v>796</v>
      </c>
      <c r="C316" s="41" t="s">
        <v>797</v>
      </c>
      <c r="D316" s="42">
        <v>582</v>
      </c>
      <c r="E316" s="43">
        <v>10510</v>
      </c>
      <c r="F316" s="43"/>
      <c r="G316" s="126">
        <f t="shared" si="47"/>
        <v>10510</v>
      </c>
      <c r="H316" s="127">
        <f t="shared" si="48"/>
        <v>6116820</v>
      </c>
      <c r="I316" s="128">
        <f t="shared" si="57"/>
        <v>0</v>
      </c>
      <c r="J316" s="128">
        <f t="shared" si="58"/>
        <v>6116820</v>
      </c>
      <c r="K316" s="44">
        <f t="shared" si="60"/>
        <v>1.663348698935458E-2</v>
      </c>
      <c r="L316" s="45"/>
      <c r="M316" s="45">
        <v>0</v>
      </c>
      <c r="N316" s="45">
        <f t="shared" si="51"/>
        <v>10510</v>
      </c>
      <c r="O316" s="46">
        <f t="shared" si="52"/>
        <v>6116820</v>
      </c>
      <c r="P316" s="47">
        <f t="shared" si="59"/>
        <v>12766.59793814433</v>
      </c>
      <c r="Q316" s="46">
        <v>12767</v>
      </c>
      <c r="R316" s="47">
        <f t="shared" si="53"/>
        <v>0.40206185566967179</v>
      </c>
      <c r="S316" s="191">
        <f t="shared" si="54"/>
        <v>3.1492273491789128E-5</v>
      </c>
      <c r="T316" s="42">
        <v>7430160</v>
      </c>
      <c r="U316" s="48">
        <f t="shared" si="46"/>
        <v>0.82324202978132366</v>
      </c>
      <c r="V316" s="49"/>
    </row>
    <row r="317" spans="1:22" x14ac:dyDescent="0.3">
      <c r="A317" s="40" t="str">
        <f>VLOOKUP(B317,Grupos!$A$2:$B$619,2,FALSE)</f>
        <v>BREAKERS</v>
      </c>
      <c r="B317" s="41" t="s">
        <v>798</v>
      </c>
      <c r="C317" s="41" t="s">
        <v>799</v>
      </c>
      <c r="D317" s="42">
        <v>36</v>
      </c>
      <c r="E317" s="43">
        <v>10510</v>
      </c>
      <c r="F317" s="43"/>
      <c r="G317" s="126">
        <f t="shared" si="47"/>
        <v>10510</v>
      </c>
      <c r="H317" s="127">
        <f t="shared" si="48"/>
        <v>378360</v>
      </c>
      <c r="I317" s="128">
        <f t="shared" si="57"/>
        <v>0</v>
      </c>
      <c r="J317" s="128">
        <f t="shared" si="58"/>
        <v>378360</v>
      </c>
      <c r="K317" s="44">
        <f t="shared" si="60"/>
        <v>1.028875483877603E-3</v>
      </c>
      <c r="L317" s="45"/>
      <c r="M317" s="45">
        <v>0</v>
      </c>
      <c r="N317" s="45">
        <f t="shared" si="51"/>
        <v>10510</v>
      </c>
      <c r="O317" s="46">
        <f t="shared" si="52"/>
        <v>378360</v>
      </c>
      <c r="P317" s="47">
        <f t="shared" si="59"/>
        <v>13400</v>
      </c>
      <c r="Q317" s="46">
        <v>13400</v>
      </c>
      <c r="R317" s="47">
        <f t="shared" si="53"/>
        <v>0</v>
      </c>
      <c r="S317" s="191">
        <f t="shared" si="54"/>
        <v>0</v>
      </c>
      <c r="T317" s="42">
        <v>482400</v>
      </c>
      <c r="U317" s="48">
        <f t="shared" si="46"/>
        <v>0.78432835820895519</v>
      </c>
      <c r="V317" s="49"/>
    </row>
    <row r="318" spans="1:22" x14ac:dyDescent="0.3">
      <c r="A318" s="40" t="str">
        <f>VLOOKUP(B318,Grupos!$A$2:$B$619,2,FALSE)</f>
        <v>BREAKERS</v>
      </c>
      <c r="B318" s="41" t="s">
        <v>804</v>
      </c>
      <c r="C318" s="41" t="s">
        <v>805</v>
      </c>
      <c r="D318" s="42">
        <v>4</v>
      </c>
      <c r="E318" s="43">
        <v>14597</v>
      </c>
      <c r="F318" s="43"/>
      <c r="G318" s="126">
        <f t="shared" si="47"/>
        <v>14597</v>
      </c>
      <c r="H318" s="127">
        <f t="shared" si="48"/>
        <v>58388</v>
      </c>
      <c r="I318" s="128">
        <f t="shared" si="57"/>
        <v>0</v>
      </c>
      <c r="J318" s="128">
        <f t="shared" si="58"/>
        <v>58388</v>
      </c>
      <c r="K318" s="44">
        <f t="shared" si="60"/>
        <v>1.5877466368708501E-4</v>
      </c>
      <c r="L318" s="45"/>
      <c r="M318" s="45">
        <v>0</v>
      </c>
      <c r="N318" s="45">
        <f t="shared" si="51"/>
        <v>14597</v>
      </c>
      <c r="O318" s="46">
        <f t="shared" si="52"/>
        <v>58388</v>
      </c>
      <c r="P318" s="47">
        <f t="shared" si="59"/>
        <v>20150</v>
      </c>
      <c r="Q318" s="46">
        <v>20150</v>
      </c>
      <c r="R318" s="47">
        <f t="shared" si="53"/>
        <v>0</v>
      </c>
      <c r="S318" s="191">
        <f t="shared" si="54"/>
        <v>0</v>
      </c>
      <c r="T318" s="42">
        <v>80600</v>
      </c>
      <c r="U318" s="48">
        <f t="shared" si="46"/>
        <v>0.72441687344913153</v>
      </c>
      <c r="V318" s="49"/>
    </row>
    <row r="319" spans="1:22" x14ac:dyDescent="0.3">
      <c r="A319" s="40" t="str">
        <f>VLOOKUP(B319,Grupos!$A$2:$B$619,2,FALSE)</f>
        <v>BREAKERS</v>
      </c>
      <c r="B319" s="41" t="s">
        <v>806</v>
      </c>
      <c r="C319" s="41" t="s">
        <v>807</v>
      </c>
      <c r="D319" s="42">
        <v>24</v>
      </c>
      <c r="E319" s="43">
        <v>14597</v>
      </c>
      <c r="F319" s="43"/>
      <c r="G319" s="126">
        <f t="shared" si="47"/>
        <v>14597</v>
      </c>
      <c r="H319" s="127">
        <f t="shared" si="48"/>
        <v>350328</v>
      </c>
      <c r="I319" s="128">
        <f t="shared" si="57"/>
        <v>0</v>
      </c>
      <c r="J319" s="128">
        <f t="shared" si="58"/>
        <v>350328</v>
      </c>
      <c r="K319" s="44">
        <f t="shared" si="60"/>
        <v>9.5264798212250999E-4</v>
      </c>
      <c r="L319" s="45"/>
      <c r="M319" s="45">
        <v>0</v>
      </c>
      <c r="N319" s="45">
        <f t="shared" si="51"/>
        <v>14597</v>
      </c>
      <c r="O319" s="46">
        <f t="shared" si="52"/>
        <v>350328</v>
      </c>
      <c r="P319" s="47">
        <f t="shared" si="59"/>
        <v>14150</v>
      </c>
      <c r="Q319" s="46">
        <v>20150</v>
      </c>
      <c r="R319" s="47">
        <f t="shared" si="53"/>
        <v>6000</v>
      </c>
      <c r="S319" s="191">
        <f t="shared" si="54"/>
        <v>0.29776674937965258</v>
      </c>
      <c r="T319" s="42">
        <v>339600</v>
      </c>
      <c r="U319" s="162">
        <f t="shared" si="46"/>
        <v>1.0315901060070671</v>
      </c>
      <c r="V319" s="49"/>
    </row>
    <row r="320" spans="1:22" x14ac:dyDescent="0.3">
      <c r="A320" s="40" t="str">
        <f>VLOOKUP(B320,Grupos!$A$2:$B$619,2,FALSE)</f>
        <v>BREAKERS</v>
      </c>
      <c r="B320" s="41" t="s">
        <v>808</v>
      </c>
      <c r="C320" s="41" t="s">
        <v>809</v>
      </c>
      <c r="D320" s="42">
        <v>12</v>
      </c>
      <c r="E320" s="43">
        <v>15765</v>
      </c>
      <c r="F320" s="43"/>
      <c r="G320" s="126">
        <f t="shared" si="47"/>
        <v>15765</v>
      </c>
      <c r="H320" s="127">
        <f t="shared" si="48"/>
        <v>189180</v>
      </c>
      <c r="I320" s="128">
        <f t="shared" si="57"/>
        <v>0</v>
      </c>
      <c r="J320" s="128">
        <f t="shared" si="58"/>
        <v>189180</v>
      </c>
      <c r="K320" s="44">
        <f t="shared" si="60"/>
        <v>5.1443774193880149E-4</v>
      </c>
      <c r="L320" s="45"/>
      <c r="M320" s="45">
        <v>0</v>
      </c>
      <c r="N320" s="45">
        <f t="shared" si="51"/>
        <v>15765</v>
      </c>
      <c r="O320" s="46">
        <f t="shared" si="52"/>
        <v>189180</v>
      </c>
      <c r="P320" s="47">
        <f t="shared" si="59"/>
        <v>19716.666666666668</v>
      </c>
      <c r="Q320" s="46">
        <v>19700</v>
      </c>
      <c r="R320" s="47">
        <f t="shared" si="53"/>
        <v>-16.666666666667879</v>
      </c>
      <c r="S320" s="191">
        <f t="shared" si="54"/>
        <v>-8.4602368866334412E-4</v>
      </c>
      <c r="T320" s="42">
        <v>236600</v>
      </c>
      <c r="U320" s="48">
        <f t="shared" si="46"/>
        <v>0.79957734573119188</v>
      </c>
      <c r="V320" s="49"/>
    </row>
    <row r="321" spans="1:22" x14ac:dyDescent="0.3">
      <c r="A321" s="40" t="str">
        <f>VLOOKUP(B321,Grupos!$A$2:$B$619,2,FALSE)</f>
        <v>BREAKERS</v>
      </c>
      <c r="B321" s="41" t="s">
        <v>810</v>
      </c>
      <c r="C321" s="41" t="s">
        <v>811</v>
      </c>
      <c r="D321" s="42">
        <v>32</v>
      </c>
      <c r="E321" s="43">
        <v>15765</v>
      </c>
      <c r="F321" s="43"/>
      <c r="G321" s="126">
        <f t="shared" si="47"/>
        <v>15765</v>
      </c>
      <c r="H321" s="127">
        <f t="shared" si="48"/>
        <v>504480</v>
      </c>
      <c r="I321" s="128">
        <f t="shared" si="57"/>
        <v>0</v>
      </c>
      <c r="J321" s="128">
        <f t="shared" si="58"/>
        <v>504480</v>
      </c>
      <c r="K321" s="44">
        <f t="shared" si="60"/>
        <v>1.3718339785034706E-3</v>
      </c>
      <c r="L321" s="45"/>
      <c r="M321" s="45">
        <v>0</v>
      </c>
      <c r="N321" s="45">
        <f t="shared" si="51"/>
        <v>15765</v>
      </c>
      <c r="O321" s="46">
        <f t="shared" si="52"/>
        <v>504480</v>
      </c>
      <c r="P321" s="47">
        <f t="shared" si="59"/>
        <v>19812.5</v>
      </c>
      <c r="Q321" s="46">
        <v>19800</v>
      </c>
      <c r="R321" s="47">
        <f t="shared" si="53"/>
        <v>-12.5</v>
      </c>
      <c r="S321" s="191">
        <f t="shared" si="54"/>
        <v>-6.3131313131313137E-4</v>
      </c>
      <c r="T321" s="42">
        <v>634000</v>
      </c>
      <c r="U321" s="48">
        <f t="shared" si="46"/>
        <v>0.79570977917981067</v>
      </c>
      <c r="V321" s="49"/>
    </row>
    <row r="322" spans="1:22" x14ac:dyDescent="0.3">
      <c r="A322" s="40" t="str">
        <f>VLOOKUP(B322,Grupos!$A$2:$B$619,2,FALSE)</f>
        <v>BREAKERS</v>
      </c>
      <c r="B322" s="41" t="s">
        <v>812</v>
      </c>
      <c r="C322" s="41" t="s">
        <v>813</v>
      </c>
      <c r="D322" s="42">
        <v>8</v>
      </c>
      <c r="E322" s="43">
        <v>15765</v>
      </c>
      <c r="F322" s="43"/>
      <c r="G322" s="126">
        <f t="shared" si="47"/>
        <v>15765</v>
      </c>
      <c r="H322" s="127">
        <f t="shared" si="48"/>
        <v>126120</v>
      </c>
      <c r="I322" s="128">
        <f t="shared" si="57"/>
        <v>0</v>
      </c>
      <c r="J322" s="128">
        <f t="shared" si="58"/>
        <v>126120</v>
      </c>
      <c r="K322" s="44">
        <f t="shared" si="60"/>
        <v>3.4295849462586764E-4</v>
      </c>
      <c r="L322" s="45"/>
      <c r="M322" s="45">
        <v>0</v>
      </c>
      <c r="N322" s="45">
        <f t="shared" si="51"/>
        <v>15765</v>
      </c>
      <c r="O322" s="46">
        <f t="shared" si="52"/>
        <v>126120</v>
      </c>
      <c r="P322" s="47">
        <f t="shared" si="59"/>
        <v>19500</v>
      </c>
      <c r="Q322" s="46">
        <v>19500</v>
      </c>
      <c r="R322" s="47">
        <f t="shared" si="53"/>
        <v>0</v>
      </c>
      <c r="S322" s="191">
        <f t="shared" si="54"/>
        <v>0</v>
      </c>
      <c r="T322" s="42">
        <v>156000</v>
      </c>
      <c r="U322" s="48">
        <f t="shared" si="46"/>
        <v>0.80846153846153845</v>
      </c>
      <c r="V322" s="49"/>
    </row>
    <row r="323" spans="1:22" x14ac:dyDescent="0.3">
      <c r="A323" s="50" t="s">
        <v>1012</v>
      </c>
      <c r="B323" s="41"/>
      <c r="C323" s="41"/>
      <c r="D323" s="51">
        <f>SUM(D275:D322)</f>
        <v>61084</v>
      </c>
      <c r="E323" s="43"/>
      <c r="F323" s="43"/>
      <c r="G323" s="126"/>
      <c r="H323" s="131">
        <f>SUM(H275:H322)</f>
        <v>367741292.24466044</v>
      </c>
      <c r="I323" s="128"/>
      <c r="J323" s="131">
        <f>SUM(J275:J322)</f>
        <v>367741292.24466044</v>
      </c>
      <c r="K323" s="53">
        <f t="shared" si="60"/>
        <v>1</v>
      </c>
      <c r="L323" s="45"/>
      <c r="M323" s="45"/>
      <c r="N323" s="45"/>
      <c r="O323" s="55">
        <f>SUM(O275:O322)</f>
        <v>367741292.24466044</v>
      </c>
      <c r="P323" s="47"/>
      <c r="Q323" s="46"/>
      <c r="R323" s="47"/>
      <c r="S323" s="55"/>
      <c r="T323" s="51">
        <f>SUM(T275:T322)</f>
        <v>505009199.82999998</v>
      </c>
      <c r="U323" s="57">
        <f t="shared" si="46"/>
        <v>0.72818731296073869</v>
      </c>
      <c r="V323" s="58">
        <f>T323/T338</f>
        <v>9.3188744006257429E-2</v>
      </c>
    </row>
    <row r="324" spans="1:22" x14ac:dyDescent="0.3">
      <c r="A324" s="40" t="str">
        <f>VLOOKUP(B324,Grupos!$A$2:$B$619,2,FALSE)</f>
        <v>VARILLAS</v>
      </c>
      <c r="B324" s="41" t="s">
        <v>549</v>
      </c>
      <c r="C324" s="41" t="s">
        <v>550</v>
      </c>
      <c r="D324" s="42">
        <v>145</v>
      </c>
      <c r="E324" s="43">
        <v>94500</v>
      </c>
      <c r="F324" s="43">
        <v>78.290000000000006</v>
      </c>
      <c r="G324" s="126">
        <f t="shared" si="47"/>
        <v>94578.29</v>
      </c>
      <c r="H324" s="127">
        <f t="shared" si="48"/>
        <v>13702500</v>
      </c>
      <c r="I324" s="128">
        <f>F324*D324</f>
        <v>11352.050000000001</v>
      </c>
      <c r="J324" s="128">
        <f>G324*D324</f>
        <v>13713852.049999999</v>
      </c>
      <c r="K324" s="44">
        <f>J324/$J$337</f>
        <v>1.6339554816871483E-2</v>
      </c>
      <c r="L324" s="45"/>
      <c r="M324" s="45">
        <v>513.77134230926345</v>
      </c>
      <c r="N324" s="45">
        <f t="shared" si="51"/>
        <v>95092.061342309258</v>
      </c>
      <c r="O324" s="46">
        <f t="shared" si="52"/>
        <v>13788348.894634843</v>
      </c>
      <c r="P324" s="47">
        <f t="shared" ref="P324:P336" si="61">T324/D324</f>
        <v>104017.24137931035</v>
      </c>
      <c r="Q324" s="46">
        <v>109288.24531141236</v>
      </c>
      <c r="R324" s="47">
        <f t="shared" si="53"/>
        <v>5271.0039321020158</v>
      </c>
      <c r="S324" s="191">
        <f t="shared" si="54"/>
        <v>4.8230291529363534E-2</v>
      </c>
      <c r="T324" s="42">
        <v>15082500</v>
      </c>
      <c r="U324" s="48">
        <f t="shared" si="46"/>
        <v>0.91419518611867012</v>
      </c>
      <c r="V324" s="49"/>
    </row>
    <row r="325" spans="1:22" x14ac:dyDescent="0.3">
      <c r="A325" s="40" t="str">
        <f>VLOOKUP(B325,Grupos!$A$2:$B$619,2,FALSE)</f>
        <v>VARILLAS</v>
      </c>
      <c r="B325" s="41" t="s">
        <v>551</v>
      </c>
      <c r="C325" s="41" t="s">
        <v>552</v>
      </c>
      <c r="D325" s="42">
        <v>236</v>
      </c>
      <c r="E325" s="43">
        <v>117950</v>
      </c>
      <c r="F325" s="43">
        <v>88.88</v>
      </c>
      <c r="G325" s="126">
        <f t="shared" si="47"/>
        <v>118038.88</v>
      </c>
      <c r="H325" s="127">
        <f t="shared" si="48"/>
        <v>27836200</v>
      </c>
      <c r="I325" s="128">
        <f t="shared" ref="I325:I336" si="62">F325*D325</f>
        <v>20975.68</v>
      </c>
      <c r="J325" s="128">
        <f t="shared" ref="J325:J336" si="63">G325*D325</f>
        <v>27857175.68</v>
      </c>
      <c r="K325" s="44">
        <f t="shared" ref="K325:K337" si="64">J325/$J$337</f>
        <v>3.3190809366109436E-2</v>
      </c>
      <c r="L325" s="45"/>
      <c r="M325" s="45">
        <v>583.26729983966447</v>
      </c>
      <c r="N325" s="45">
        <f t="shared" si="51"/>
        <v>118622.14729983966</v>
      </c>
      <c r="O325" s="46">
        <f t="shared" si="52"/>
        <v>27994826.762762159</v>
      </c>
      <c r="P325" s="47">
        <f t="shared" si="61"/>
        <v>129640.67796610169</v>
      </c>
      <c r="Q325" s="46">
        <v>136332.56609528893</v>
      </c>
      <c r="R325" s="47">
        <f t="shared" si="53"/>
        <v>6691.8881291872385</v>
      </c>
      <c r="S325" s="191">
        <f t="shared" si="54"/>
        <v>4.9085030237822846E-2</v>
      </c>
      <c r="T325" s="42">
        <v>30595200</v>
      </c>
      <c r="U325" s="48">
        <f t="shared" ref="U325:U338" si="65">O325/T325</f>
        <v>0.91500715023147938</v>
      </c>
      <c r="V325" s="49"/>
    </row>
    <row r="326" spans="1:22" x14ac:dyDescent="0.3">
      <c r="A326" s="40" t="str">
        <f>VLOOKUP(B326,Grupos!$A$2:$B$619,2,FALSE)</f>
        <v>VARILLAS</v>
      </c>
      <c r="B326" s="41" t="s">
        <v>553</v>
      </c>
      <c r="C326" s="41" t="s">
        <v>554</v>
      </c>
      <c r="D326" s="42">
        <v>284</v>
      </c>
      <c r="E326" s="43">
        <v>141227.13333333333</v>
      </c>
      <c r="F326" s="43">
        <v>104.61</v>
      </c>
      <c r="G326" s="126">
        <f t="shared" ref="G326:G336" si="66">E326+F326</f>
        <v>141331.74333333332</v>
      </c>
      <c r="H326" s="127">
        <f t="shared" ref="H326:H336" si="67">E326*D326</f>
        <v>40108505.866666667</v>
      </c>
      <c r="I326" s="128">
        <f t="shared" si="62"/>
        <v>29709.24</v>
      </c>
      <c r="J326" s="128">
        <f t="shared" si="63"/>
        <v>40138215.106666662</v>
      </c>
      <c r="K326" s="44">
        <f t="shared" si="64"/>
        <v>4.7823220171516939E-2</v>
      </c>
      <c r="L326" s="45"/>
      <c r="M326" s="45">
        <v>686.49406206376352</v>
      </c>
      <c r="N326" s="45">
        <f t="shared" ref="N326:N336" si="68">G326+L326+M326</f>
        <v>142018.23739539707</v>
      </c>
      <c r="O326" s="46">
        <f t="shared" ref="O326:O336" si="69">N326*D326</f>
        <v>40333179.420292765</v>
      </c>
      <c r="P326" s="47">
        <f t="shared" si="61"/>
        <v>154016.19718309859</v>
      </c>
      <c r="Q326" s="46">
        <v>163222.01681972307</v>
      </c>
      <c r="R326" s="47">
        <f t="shared" si="53"/>
        <v>9205.8196366244811</v>
      </c>
      <c r="S326" s="191">
        <f t="shared" si="54"/>
        <v>5.6400599722966349E-2</v>
      </c>
      <c r="T326" s="42">
        <v>43740600</v>
      </c>
      <c r="U326" s="48">
        <f t="shared" si="65"/>
        <v>0.92209936352708388</v>
      </c>
      <c r="V326" s="49"/>
    </row>
    <row r="327" spans="1:22" x14ac:dyDescent="0.3">
      <c r="A327" s="40" t="str">
        <f>VLOOKUP(B327,Grupos!$A$2:$B$619,2,FALSE)</f>
        <v>VARILLAS</v>
      </c>
      <c r="B327" s="41" t="s">
        <v>555</v>
      </c>
      <c r="C327" s="41" t="s">
        <v>556</v>
      </c>
      <c r="D327" s="42">
        <v>2458</v>
      </c>
      <c r="E327" s="43">
        <v>188227.03289473685</v>
      </c>
      <c r="F327" s="43">
        <v>75.62</v>
      </c>
      <c r="G327" s="126">
        <f t="shared" si="66"/>
        <v>188302.65289473685</v>
      </c>
      <c r="H327" s="127">
        <f t="shared" si="67"/>
        <v>462662046.85526317</v>
      </c>
      <c r="I327" s="128">
        <f t="shared" si="62"/>
        <v>185873.96000000002</v>
      </c>
      <c r="J327" s="128">
        <f t="shared" si="63"/>
        <v>462847920.81526315</v>
      </c>
      <c r="K327" s="44">
        <f t="shared" si="64"/>
        <v>0.55146642580528527</v>
      </c>
      <c r="L327" s="45"/>
      <c r="M327" s="45">
        <v>496.24969862596123</v>
      </c>
      <c r="N327" s="45">
        <f t="shared" si="68"/>
        <v>188798.90259336281</v>
      </c>
      <c r="O327" s="46">
        <f t="shared" si="69"/>
        <v>464067702.57448578</v>
      </c>
      <c r="P327" s="47">
        <f t="shared" si="61"/>
        <v>202483.72660699754</v>
      </c>
      <c r="Q327" s="46">
        <v>216997.70072981797</v>
      </c>
      <c r="R327" s="47">
        <f t="shared" ref="R327:R335" si="70">Q327-P327</f>
        <v>14513.974122820422</v>
      </c>
      <c r="S327" s="191">
        <f t="shared" ref="S327:S336" si="71">R327/Q327</f>
        <v>6.6885382075507108E-2</v>
      </c>
      <c r="T327" s="42">
        <v>497705000</v>
      </c>
      <c r="U327" s="48">
        <f t="shared" si="65"/>
        <v>0.93241519087508817</v>
      </c>
      <c r="V327" s="49"/>
    </row>
    <row r="328" spans="1:22" x14ac:dyDescent="0.3">
      <c r="A328" s="40" t="str">
        <f>VLOOKUP(B328,Grupos!$A$2:$B$619,2,FALSE)</f>
        <v>VARILLAS</v>
      </c>
      <c r="B328" s="41" t="s">
        <v>557</v>
      </c>
      <c r="C328" s="41" t="s">
        <v>558</v>
      </c>
      <c r="D328" s="42">
        <v>1061</v>
      </c>
      <c r="E328" s="43">
        <v>77552.380952380947</v>
      </c>
      <c r="F328" s="43">
        <v>0</v>
      </c>
      <c r="G328" s="126">
        <f t="shared" si="66"/>
        <v>77552.380952380947</v>
      </c>
      <c r="H328" s="127">
        <f t="shared" si="67"/>
        <v>82283076.190476179</v>
      </c>
      <c r="I328" s="128">
        <f t="shared" si="62"/>
        <v>0</v>
      </c>
      <c r="J328" s="128">
        <f t="shared" si="63"/>
        <v>82283076.190476179</v>
      </c>
      <c r="K328" s="44">
        <f t="shared" si="64"/>
        <v>9.8037285878047539E-2</v>
      </c>
      <c r="L328" s="45"/>
      <c r="M328" s="45">
        <v>0</v>
      </c>
      <c r="N328" s="45">
        <f t="shared" si="68"/>
        <v>77552.380952380947</v>
      </c>
      <c r="O328" s="46">
        <f t="shared" si="69"/>
        <v>82283076.190476179</v>
      </c>
      <c r="P328" s="47">
        <f t="shared" si="61"/>
        <v>85192.224316682376</v>
      </c>
      <c r="Q328" s="46">
        <v>89140.667761357414</v>
      </c>
      <c r="R328" s="47">
        <f t="shared" si="70"/>
        <v>3948.4434446750383</v>
      </c>
      <c r="S328" s="191">
        <f t="shared" si="71"/>
        <v>4.4294523967955884E-2</v>
      </c>
      <c r="T328" s="42">
        <v>90388950</v>
      </c>
      <c r="U328" s="48">
        <f t="shared" si="65"/>
        <v>0.91032229260851216</v>
      </c>
      <c r="V328" s="49"/>
    </row>
    <row r="329" spans="1:22" x14ac:dyDescent="0.3">
      <c r="A329" s="40" t="str">
        <f>VLOOKUP(B329,Grupos!$A$2:$B$619,2,FALSE)</f>
        <v>VARILLAS</v>
      </c>
      <c r="B329" s="41" t="s">
        <v>559</v>
      </c>
      <c r="C329" s="41" t="s">
        <v>560</v>
      </c>
      <c r="D329" s="42">
        <v>984</v>
      </c>
      <c r="E329" s="43">
        <v>97350</v>
      </c>
      <c r="F329" s="43">
        <v>0</v>
      </c>
      <c r="G329" s="126">
        <f t="shared" si="66"/>
        <v>97350</v>
      </c>
      <c r="H329" s="127">
        <f t="shared" si="67"/>
        <v>95792400</v>
      </c>
      <c r="I329" s="128">
        <f t="shared" si="62"/>
        <v>0</v>
      </c>
      <c r="J329" s="128">
        <f t="shared" si="63"/>
        <v>95792400</v>
      </c>
      <c r="K329" s="44">
        <f t="shared" si="64"/>
        <v>0.11413315275190532</v>
      </c>
      <c r="L329" s="45"/>
      <c r="M329" s="45">
        <v>0</v>
      </c>
      <c r="N329" s="45">
        <f t="shared" si="68"/>
        <v>97350</v>
      </c>
      <c r="O329" s="46">
        <f t="shared" si="69"/>
        <v>95792400</v>
      </c>
      <c r="P329" s="47">
        <f t="shared" si="61"/>
        <v>106681.22967479675</v>
      </c>
      <c r="Q329" s="46">
        <v>111896.55172413793</v>
      </c>
      <c r="R329" s="47">
        <f t="shared" si="70"/>
        <v>5215.3220493411791</v>
      </c>
      <c r="S329" s="191">
        <f t="shared" si="71"/>
        <v>4.6608425094266319E-2</v>
      </c>
      <c r="T329" s="42">
        <v>104974330</v>
      </c>
      <c r="U329" s="48">
        <f t="shared" si="65"/>
        <v>0.91253166369340011</v>
      </c>
      <c r="V329" s="49"/>
    </row>
    <row r="330" spans="1:22" x14ac:dyDescent="0.3">
      <c r="A330" s="40" t="str">
        <f>VLOOKUP(B330,Grupos!$A$2:$B$619,2,FALSE)</f>
        <v>VARILLAS</v>
      </c>
      <c r="B330" s="41" t="s">
        <v>657</v>
      </c>
      <c r="C330" s="41" t="s">
        <v>658</v>
      </c>
      <c r="D330" s="42">
        <v>397</v>
      </c>
      <c r="E330" s="43">
        <v>116160</v>
      </c>
      <c r="F330" s="43">
        <v>0</v>
      </c>
      <c r="G330" s="126">
        <f t="shared" si="66"/>
        <v>116160</v>
      </c>
      <c r="H330" s="127">
        <f t="shared" si="67"/>
        <v>46115520</v>
      </c>
      <c r="I330" s="128">
        <f t="shared" si="62"/>
        <v>0</v>
      </c>
      <c r="J330" s="128">
        <f t="shared" si="63"/>
        <v>46115520</v>
      </c>
      <c r="K330" s="44">
        <f t="shared" si="64"/>
        <v>5.4944961065737409E-2</v>
      </c>
      <c r="L330" s="45"/>
      <c r="M330" s="45">
        <v>0</v>
      </c>
      <c r="N330" s="45">
        <f t="shared" si="68"/>
        <v>116160</v>
      </c>
      <c r="O330" s="46">
        <f t="shared" si="69"/>
        <v>46115520</v>
      </c>
      <c r="P330" s="47">
        <f t="shared" si="61"/>
        <v>125811.58690176322</v>
      </c>
      <c r="Q330" s="46">
        <v>133517.24137931035</v>
      </c>
      <c r="R330" s="47">
        <f t="shared" si="70"/>
        <v>7705.6544775471266</v>
      </c>
      <c r="S330" s="191">
        <f t="shared" si="71"/>
        <v>5.771280471303375E-2</v>
      </c>
      <c r="T330" s="42">
        <v>49947200</v>
      </c>
      <c r="U330" s="48">
        <f t="shared" si="65"/>
        <v>0.92328538937117599</v>
      </c>
      <c r="V330" s="49"/>
    </row>
    <row r="331" spans="1:22" x14ac:dyDescent="0.3">
      <c r="A331" s="40" t="str">
        <f>VLOOKUP(B331,Grupos!$A$2:$B$619,2,FALSE)</f>
        <v>VARILLAS</v>
      </c>
      <c r="B331" s="41" t="s">
        <v>561</v>
      </c>
      <c r="C331" s="41" t="s">
        <v>562</v>
      </c>
      <c r="D331" s="42">
        <v>293</v>
      </c>
      <c r="E331" s="43">
        <v>154941.90476190476</v>
      </c>
      <c r="F331" s="43">
        <v>0</v>
      </c>
      <c r="G331" s="126">
        <f t="shared" si="66"/>
        <v>154941.90476190476</v>
      </c>
      <c r="H331" s="127">
        <f t="shared" si="67"/>
        <v>45397978.095238097</v>
      </c>
      <c r="I331" s="128">
        <f t="shared" si="62"/>
        <v>0</v>
      </c>
      <c r="J331" s="128">
        <f t="shared" si="63"/>
        <v>45397978.095238097</v>
      </c>
      <c r="K331" s="44">
        <f t="shared" si="64"/>
        <v>5.4090036042227368E-2</v>
      </c>
      <c r="L331" s="45"/>
      <c r="M331" s="45">
        <v>0</v>
      </c>
      <c r="N331" s="45">
        <f t="shared" si="68"/>
        <v>154941.90476190476</v>
      </c>
      <c r="O331" s="46">
        <f t="shared" si="69"/>
        <v>45397978.095238097</v>
      </c>
      <c r="P331" s="47">
        <f t="shared" si="61"/>
        <v>168537.88395904438</v>
      </c>
      <c r="Q331" s="46">
        <v>178094.14340448825</v>
      </c>
      <c r="R331" s="47">
        <f t="shared" si="70"/>
        <v>9556.2594454438658</v>
      </c>
      <c r="S331" s="191">
        <f t="shared" si="71"/>
        <v>5.3658471091548726E-2</v>
      </c>
      <c r="T331" s="42">
        <v>49381600</v>
      </c>
      <c r="U331" s="48">
        <f t="shared" si="65"/>
        <v>0.91932983328280371</v>
      </c>
      <c r="V331" s="49"/>
    </row>
    <row r="332" spans="1:22" x14ac:dyDescent="0.3">
      <c r="A332" s="40" t="str">
        <f>VLOOKUP(B332,Grupos!$A$2:$B$619,2,FALSE)</f>
        <v>VARILLAS</v>
      </c>
      <c r="B332" s="41" t="s">
        <v>1004</v>
      </c>
      <c r="C332" s="41" t="s">
        <v>1005</v>
      </c>
      <c r="D332" s="42">
        <v>360</v>
      </c>
      <c r="E332" s="43">
        <v>9215</v>
      </c>
      <c r="F332" s="43">
        <v>9.42</v>
      </c>
      <c r="G332" s="126">
        <f t="shared" si="66"/>
        <v>9224.42</v>
      </c>
      <c r="H332" s="127">
        <f t="shared" si="67"/>
        <v>3317400</v>
      </c>
      <c r="I332" s="128">
        <f t="shared" si="62"/>
        <v>3391.2</v>
      </c>
      <c r="J332" s="128">
        <f t="shared" si="63"/>
        <v>3320791.2</v>
      </c>
      <c r="K332" s="44">
        <f t="shared" si="64"/>
        <v>3.956601664503478E-3</v>
      </c>
      <c r="L332" s="45"/>
      <c r="M332" s="45">
        <v>61.817933893897838</v>
      </c>
      <c r="N332" s="45">
        <f t="shared" si="68"/>
        <v>9286.2379338938972</v>
      </c>
      <c r="O332" s="46">
        <f t="shared" si="69"/>
        <v>3343045.6562018031</v>
      </c>
      <c r="P332" s="47">
        <f t="shared" si="61"/>
        <v>10587.222222222223</v>
      </c>
      <c r="Q332" s="46">
        <v>10672.275574678128</v>
      </c>
      <c r="R332" s="47">
        <f t="shared" si="70"/>
        <v>85.053352455905042</v>
      </c>
      <c r="S332" s="191">
        <f t="shared" si="71"/>
        <v>7.9695611175660836E-3</v>
      </c>
      <c r="T332" s="42">
        <v>3811400</v>
      </c>
      <c r="U332" s="48">
        <f t="shared" si="65"/>
        <v>0.87711750438206515</v>
      </c>
      <c r="V332" s="49"/>
    </row>
    <row r="333" spans="1:22" x14ac:dyDescent="0.3">
      <c r="A333" s="40" t="str">
        <f>VLOOKUP(B333,Grupos!$A$2:$B$619,2,FALSE)</f>
        <v>VARILLAS</v>
      </c>
      <c r="B333" s="41" t="s">
        <v>1006</v>
      </c>
      <c r="C333" s="41" t="s">
        <v>1007</v>
      </c>
      <c r="D333" s="42">
        <v>1280</v>
      </c>
      <c r="E333" s="43">
        <v>10379</v>
      </c>
      <c r="F333" s="43">
        <v>9.83</v>
      </c>
      <c r="G333" s="126">
        <f t="shared" si="66"/>
        <v>10388.83</v>
      </c>
      <c r="H333" s="127">
        <f t="shared" si="67"/>
        <v>13285120</v>
      </c>
      <c r="I333" s="128">
        <f t="shared" si="62"/>
        <v>12582.4</v>
      </c>
      <c r="J333" s="128">
        <f t="shared" si="63"/>
        <v>13297702.4</v>
      </c>
      <c r="K333" s="44">
        <f t="shared" si="64"/>
        <v>1.5843727678485745E-2</v>
      </c>
      <c r="L333" s="45"/>
      <c r="M333" s="45">
        <v>64.50852337335624</v>
      </c>
      <c r="N333" s="45">
        <f t="shared" si="68"/>
        <v>10453.338523373357</v>
      </c>
      <c r="O333" s="46">
        <f t="shared" si="69"/>
        <v>13380273.309917897</v>
      </c>
      <c r="P333" s="47">
        <f t="shared" si="61"/>
        <v>11733.59375</v>
      </c>
      <c r="Q333" s="46">
        <v>12013.702557801304</v>
      </c>
      <c r="R333" s="47">
        <f t="shared" si="70"/>
        <v>280.10880780130356</v>
      </c>
      <c r="S333" s="191">
        <f t="shared" si="71"/>
        <v>2.3315776835128161E-2</v>
      </c>
      <c r="T333" s="42">
        <v>15019000</v>
      </c>
      <c r="U333" s="48">
        <f t="shared" si="65"/>
        <v>0.89088976029814881</v>
      </c>
      <c r="V333" s="49"/>
    </row>
    <row r="334" spans="1:22" x14ac:dyDescent="0.3">
      <c r="A334" s="40" t="str">
        <f>VLOOKUP(B334,Grupos!$A$2:$B$619,2,FALSE)</f>
        <v>VARILLAS</v>
      </c>
      <c r="B334" s="41" t="s">
        <v>1008</v>
      </c>
      <c r="C334" s="41" t="s">
        <v>1009</v>
      </c>
      <c r="D334" s="42">
        <v>350</v>
      </c>
      <c r="E334" s="43">
        <v>12125</v>
      </c>
      <c r="F334" s="43">
        <v>50.29</v>
      </c>
      <c r="G334" s="126">
        <f t="shared" si="66"/>
        <v>12175.29</v>
      </c>
      <c r="H334" s="127">
        <f t="shared" si="67"/>
        <v>4243750</v>
      </c>
      <c r="I334" s="128">
        <f t="shared" si="62"/>
        <v>17601.5</v>
      </c>
      <c r="J334" s="128">
        <f t="shared" si="63"/>
        <v>4261351.5</v>
      </c>
      <c r="K334" s="44">
        <f t="shared" si="64"/>
        <v>5.0772449764183887E-3</v>
      </c>
      <c r="L334" s="45"/>
      <c r="M334" s="45">
        <v>330.02376810234841</v>
      </c>
      <c r="N334" s="45">
        <f t="shared" si="68"/>
        <v>12505.313768102349</v>
      </c>
      <c r="O334" s="46">
        <f t="shared" si="69"/>
        <v>4376859.8188358219</v>
      </c>
      <c r="P334" s="47">
        <f t="shared" si="61"/>
        <v>13568.571428571429</v>
      </c>
      <c r="Q334" s="46">
        <v>14365.589553406769</v>
      </c>
      <c r="R334" s="47">
        <f t="shared" si="70"/>
        <v>797.01812483534013</v>
      </c>
      <c r="S334" s="191">
        <f t="shared" si="71"/>
        <v>5.5481059226443578E-2</v>
      </c>
      <c r="T334" s="42">
        <v>4749000</v>
      </c>
      <c r="U334" s="48">
        <f t="shared" si="65"/>
        <v>0.92163820148153752</v>
      </c>
      <c r="V334" s="49"/>
    </row>
    <row r="335" spans="1:22" x14ac:dyDescent="0.3">
      <c r="A335" s="40" t="str">
        <f>VLOOKUP(B335,Grupos!$A$2:$B$619,2,FALSE)</f>
        <v>VARILLAS</v>
      </c>
      <c r="B335" s="41" t="s">
        <v>1128</v>
      </c>
      <c r="C335" s="41" t="s">
        <v>1129</v>
      </c>
      <c r="D335" s="42">
        <v>50</v>
      </c>
      <c r="E335" s="43">
        <v>18430</v>
      </c>
      <c r="F335" s="43">
        <v>0</v>
      </c>
      <c r="G335" s="126">
        <f t="shared" si="66"/>
        <v>18430</v>
      </c>
      <c r="H335" s="127">
        <f t="shared" si="67"/>
        <v>921500</v>
      </c>
      <c r="I335" s="128">
        <f t="shared" si="62"/>
        <v>0</v>
      </c>
      <c r="J335" s="128">
        <f t="shared" si="63"/>
        <v>921500</v>
      </c>
      <c r="K335" s="44">
        <f t="shared" si="64"/>
        <v>1.0979336592556481E-3</v>
      </c>
      <c r="L335" s="45"/>
      <c r="M335" s="45">
        <v>0</v>
      </c>
      <c r="N335" s="45">
        <f t="shared" si="68"/>
        <v>18430</v>
      </c>
      <c r="O335" s="46">
        <f t="shared" si="69"/>
        <v>921500</v>
      </c>
      <c r="P335" s="47">
        <f t="shared" si="61"/>
        <v>39500</v>
      </c>
      <c r="Q335" s="46">
        <v>21183.908045977012</v>
      </c>
      <c r="R335" s="47">
        <f t="shared" si="70"/>
        <v>-18316.091954022988</v>
      </c>
      <c r="S335" s="191">
        <f t="shared" si="71"/>
        <v>-0.86462289744981002</v>
      </c>
      <c r="T335" s="42">
        <v>1975000</v>
      </c>
      <c r="U335" s="48">
        <f t="shared" si="65"/>
        <v>0.46658227848101264</v>
      </c>
      <c r="V335" s="49"/>
    </row>
    <row r="336" spans="1:22" x14ac:dyDescent="0.3">
      <c r="A336" s="40" t="str">
        <f>VLOOKUP(B336,Grupos!$A$2:$B$619,2,FALSE)</f>
        <v>VARILLAS</v>
      </c>
      <c r="B336" s="41" t="s">
        <v>1102</v>
      </c>
      <c r="C336" s="41" t="s">
        <v>1103</v>
      </c>
      <c r="D336" s="42">
        <v>100</v>
      </c>
      <c r="E336" s="43">
        <v>33500</v>
      </c>
      <c r="F336" s="43">
        <v>64.150000000000006</v>
      </c>
      <c r="G336" s="126">
        <f t="shared" si="66"/>
        <v>33564.15</v>
      </c>
      <c r="H336" s="127">
        <f t="shared" si="67"/>
        <v>3350000</v>
      </c>
      <c r="I336" s="128">
        <f t="shared" si="62"/>
        <v>6415.0000000000009</v>
      </c>
      <c r="J336" s="128">
        <f t="shared" si="63"/>
        <v>3356415</v>
      </c>
      <c r="K336" s="44">
        <f t="shared" si="64"/>
        <v>3.9990461236359695E-3</v>
      </c>
      <c r="L336" s="45"/>
      <c r="M336" s="45">
        <v>420.97881733477141</v>
      </c>
      <c r="N336" s="45">
        <f t="shared" si="68"/>
        <v>33985.128817334771</v>
      </c>
      <c r="O336" s="46">
        <f t="shared" si="69"/>
        <v>3398512.8817334771</v>
      </c>
      <c r="P336" s="47">
        <f t="shared" si="61"/>
        <v>38395.599999999999</v>
      </c>
      <c r="Q336" s="46">
        <v>39052.735188102306</v>
      </c>
      <c r="R336" s="47">
        <f t="shared" ref="R336" si="72">Q336-N336</f>
        <v>5067.6063707675348</v>
      </c>
      <c r="S336" s="191">
        <f t="shared" si="71"/>
        <v>0.12976316118086953</v>
      </c>
      <c r="T336" s="42">
        <v>3839560</v>
      </c>
      <c r="U336" s="48">
        <f t="shared" si="65"/>
        <v>0.8851308175242677</v>
      </c>
      <c r="V336" s="49"/>
    </row>
    <row r="337" spans="1:22" x14ac:dyDescent="0.3">
      <c r="A337" s="50" t="s">
        <v>1013</v>
      </c>
      <c r="B337" s="41"/>
      <c r="C337" s="41"/>
      <c r="D337" s="51">
        <f>SUM(D324:D336)</f>
        <v>7998</v>
      </c>
      <c r="E337" s="43"/>
      <c r="F337" s="43"/>
      <c r="G337" s="126"/>
      <c r="H337" s="131">
        <f>SUM(H324:H336)</f>
        <v>839015997.00764406</v>
      </c>
      <c r="I337" s="131">
        <f>SUM(I324:I336)</f>
        <v>287901.03000000003</v>
      </c>
      <c r="J337" s="131">
        <f>SUM(J324:J336)</f>
        <v>839303898.03764415</v>
      </c>
      <c r="K337" s="53">
        <f t="shared" si="64"/>
        <v>1</v>
      </c>
      <c r="L337" s="45"/>
      <c r="M337" s="45"/>
      <c r="N337" s="45"/>
      <c r="O337" s="55">
        <f>SUM(O324:O336)</f>
        <v>841193223.60457897</v>
      </c>
      <c r="P337" s="47"/>
      <c r="Q337" s="55"/>
      <c r="R337" s="55"/>
      <c r="S337" s="55"/>
      <c r="T337" s="51">
        <f>SUM(T324:T336)</f>
        <v>911209340</v>
      </c>
      <c r="U337" s="57">
        <f t="shared" si="65"/>
        <v>0.92316132712662824</v>
      </c>
      <c r="V337" s="58">
        <f>T337/T338</f>
        <v>0.16814437034009547</v>
      </c>
    </row>
    <row r="338" spans="1:22" x14ac:dyDescent="0.3">
      <c r="A338" s="132" t="s">
        <v>1131</v>
      </c>
      <c r="B338" s="41"/>
      <c r="C338" s="41"/>
      <c r="D338" s="51">
        <f>SUM(D337,D323,D274)</f>
        <v>2515823.7000000002</v>
      </c>
      <c r="E338" s="43"/>
      <c r="F338" s="43"/>
      <c r="G338" s="126"/>
      <c r="H338" s="131">
        <f>SUM(H337,H323,H274)</f>
        <v>2681556019.1823049</v>
      </c>
      <c r="I338" s="131">
        <f>SUM(I337,I323,I274)</f>
        <v>107062719.66000006</v>
      </c>
      <c r="J338" s="131">
        <f>SUM(J337,J323,J274)</f>
        <v>2788618738.8423042</v>
      </c>
      <c r="K338" s="44"/>
      <c r="L338" s="45"/>
      <c r="M338" s="45"/>
      <c r="N338" s="45"/>
      <c r="O338" s="131">
        <f>SUM(O337,O323,O274)</f>
        <v>3938522563.5223041</v>
      </c>
      <c r="P338" s="47"/>
      <c r="Q338" s="131"/>
      <c r="R338" s="131"/>
      <c r="S338" s="131"/>
      <c r="T338" s="131">
        <f>SUM(T337,T323,T274)</f>
        <v>5419208137.3699989</v>
      </c>
      <c r="U338" s="65">
        <f t="shared" si="65"/>
        <v>0.7267708609239194</v>
      </c>
      <c r="V338" s="148"/>
    </row>
    <row r="339" spans="1:22" x14ac:dyDescent="0.3">
      <c r="A339" s="132" t="s">
        <v>1015</v>
      </c>
      <c r="B339" s="41"/>
      <c r="C339" s="41"/>
      <c r="D339" s="51"/>
      <c r="E339" s="43"/>
      <c r="F339" s="43"/>
      <c r="G339" s="126"/>
      <c r="H339" s="131"/>
      <c r="I339" s="131"/>
      <c r="J339" s="131"/>
      <c r="K339" s="44"/>
      <c r="L339" s="45"/>
      <c r="M339" s="45"/>
      <c r="N339" s="45"/>
      <c r="O339" s="131">
        <v>-11448416</v>
      </c>
      <c r="P339" s="47"/>
      <c r="Q339" s="131"/>
      <c r="R339" s="131"/>
      <c r="S339" s="131"/>
      <c r="T339" s="131">
        <v>-152769789.41999999</v>
      </c>
      <c r="U339" s="65"/>
      <c r="V339" s="144"/>
    </row>
    <row r="340" spans="1:22" x14ac:dyDescent="0.3">
      <c r="A340" s="133" t="s">
        <v>1016</v>
      </c>
      <c r="B340" s="134"/>
      <c r="C340" s="134"/>
      <c r="D340" s="135">
        <f>D338+D339</f>
        <v>2515823.7000000002</v>
      </c>
      <c r="E340" s="136"/>
      <c r="F340" s="136"/>
      <c r="G340" s="137"/>
      <c r="H340" s="138">
        <f>H338+H339</f>
        <v>2681556019.1823049</v>
      </c>
      <c r="I340" s="138">
        <f>I338+I339</f>
        <v>107062719.66000006</v>
      </c>
      <c r="J340" s="138">
        <f>J338+J339</f>
        <v>2788618738.8423042</v>
      </c>
      <c r="K340" s="139"/>
      <c r="L340" s="140"/>
      <c r="M340" s="140"/>
      <c r="N340" s="140"/>
      <c r="O340" s="138">
        <f>O338+O339</f>
        <v>3927074147.5223041</v>
      </c>
      <c r="P340" s="141"/>
      <c r="Q340" s="138"/>
      <c r="R340" s="138"/>
      <c r="S340" s="138"/>
      <c r="T340" s="138">
        <f>T338+T339</f>
        <v>5266438347.9499989</v>
      </c>
      <c r="U340" s="142">
        <f>O340/T340</f>
        <v>0.74567931646839603</v>
      </c>
      <c r="V340" s="145"/>
    </row>
  </sheetData>
  <autoFilter ref="A4:V340" xr:uid="{B7459B2F-3037-4CB2-A5A4-89B2C340197F}">
    <sortState xmlns:xlrd2="http://schemas.microsoft.com/office/spreadsheetml/2017/richdata2" ref="A4:V340">
      <sortCondition ref="A4:A340"/>
    </sortState>
  </autoFilter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302F-68A0-4AF2-87C0-010EBD19C33D}">
  <dimension ref="A1:U374"/>
  <sheetViews>
    <sheetView showGridLines="0" zoomScale="76" zoomScaleNormal="76" workbookViewId="0">
      <pane xSplit="3" ySplit="4" topLeftCell="E262" activePane="bottomRight" state="frozen"/>
      <selection pane="topRight" activeCell="D1" sqref="D1"/>
      <selection pane="bottomLeft" activeCell="A5" sqref="A5"/>
      <selection pane="bottomRight" activeCell="M125" sqref="M125"/>
    </sheetView>
  </sheetViews>
  <sheetFormatPr baseColWidth="10" defaultColWidth="50.33203125" defaultRowHeight="14.4" outlineLevelRow="2" x14ac:dyDescent="0.3"/>
  <cols>
    <col min="1" max="1" width="53" bestFit="1" customWidth="1"/>
    <col min="2" max="2" width="23.6640625" customWidth="1"/>
    <col min="3" max="3" width="61.6640625" hidden="1" customWidth="1"/>
    <col min="4" max="4" width="13.109375" bestFit="1" customWidth="1"/>
    <col min="5" max="5" width="22.44140625" customWidth="1"/>
    <col min="6" max="6" width="13.6640625" customWidth="1"/>
    <col min="7" max="7" width="15.44140625" customWidth="1"/>
    <col min="8" max="8" width="39.109375" customWidth="1"/>
    <col min="9" max="9" width="13.5546875" customWidth="1"/>
    <col min="10" max="10" width="16" customWidth="1"/>
    <col min="11" max="11" width="14.109375" customWidth="1"/>
    <col min="12" max="13" width="11.21875" customWidth="1"/>
    <col min="14" max="14" width="15.44140625" customWidth="1"/>
    <col min="15" max="15" width="14.109375" bestFit="1" customWidth="1"/>
    <col min="16" max="16" width="12" customWidth="1"/>
    <col min="17" max="17" width="19" bestFit="1" customWidth="1"/>
    <col min="18" max="18" width="12.21875" customWidth="1"/>
    <col min="19" max="19" width="12.6640625" customWidth="1"/>
    <col min="20" max="20" width="9.6640625" style="157" bestFit="1" customWidth="1"/>
    <col min="21" max="21" width="6.88671875" bestFit="1" customWidth="1"/>
  </cols>
  <sheetData>
    <row r="1" spans="1:21" x14ac:dyDescent="0.3">
      <c r="A1" s="1"/>
      <c r="B1" s="1"/>
      <c r="C1" s="1"/>
      <c r="D1" s="2"/>
      <c r="E1" s="3"/>
      <c r="F1" s="3"/>
      <c r="G1" s="3"/>
      <c r="H1" s="3"/>
      <c r="I1" s="4"/>
      <c r="J1" s="4"/>
      <c r="K1" s="5"/>
      <c r="L1" s="6"/>
      <c r="M1" s="5"/>
      <c r="N1" s="7"/>
      <c r="O1" s="7"/>
      <c r="P1" s="8"/>
      <c r="Q1" s="9"/>
      <c r="R1" s="10"/>
      <c r="S1" s="11"/>
    </row>
    <row r="2" spans="1:21" ht="15" thickBot="1" x14ac:dyDescent="0.35">
      <c r="A2" s="12" t="s">
        <v>1000</v>
      </c>
      <c r="B2" s="1"/>
      <c r="C2" s="13"/>
      <c r="D2" s="14"/>
      <c r="E2" s="15"/>
      <c r="F2" s="15"/>
      <c r="G2" s="15"/>
      <c r="H2" s="15"/>
      <c r="I2" s="16"/>
      <c r="J2" s="16"/>
      <c r="K2" s="13"/>
      <c r="L2" s="13"/>
      <c r="M2" s="13"/>
      <c r="N2" s="13"/>
      <c r="O2" s="13"/>
      <c r="P2" s="17"/>
      <c r="Q2" s="14"/>
      <c r="R2" s="13"/>
      <c r="S2" s="18"/>
    </row>
    <row r="3" spans="1:21" x14ac:dyDescent="0.3">
      <c r="A3" s="13"/>
      <c r="B3" s="13"/>
      <c r="C3" s="13"/>
      <c r="D3" s="14"/>
      <c r="E3" s="19" t="s">
        <v>0</v>
      </c>
      <c r="F3" s="20"/>
      <c r="G3" s="21"/>
      <c r="H3" s="19" t="s">
        <v>1</v>
      </c>
      <c r="I3" s="22"/>
      <c r="J3" s="23"/>
      <c r="K3" s="24"/>
      <c r="L3" s="24"/>
      <c r="M3" s="24"/>
      <c r="N3" s="25"/>
      <c r="O3" s="26"/>
      <c r="P3" s="27"/>
      <c r="Q3" s="28"/>
      <c r="R3" s="29"/>
      <c r="S3" s="30"/>
    </row>
    <row r="4" spans="1:21" ht="15" thickBot="1" x14ac:dyDescent="0.35">
      <c r="A4" s="31" t="s">
        <v>2</v>
      </c>
      <c r="B4" s="32" t="s">
        <v>3</v>
      </c>
      <c r="C4" s="31" t="s">
        <v>4</v>
      </c>
      <c r="D4" s="33" t="s">
        <v>5</v>
      </c>
      <c r="E4" s="34" t="s">
        <v>6</v>
      </c>
      <c r="F4" s="34" t="s">
        <v>7</v>
      </c>
      <c r="G4" s="34" t="s">
        <v>1010</v>
      </c>
      <c r="H4" s="34" t="s">
        <v>8</v>
      </c>
      <c r="I4" s="35" t="s">
        <v>9</v>
      </c>
      <c r="J4" s="35" t="s">
        <v>10</v>
      </c>
      <c r="K4" s="36" t="s">
        <v>11</v>
      </c>
      <c r="L4" s="36" t="s">
        <v>12</v>
      </c>
      <c r="M4" s="36" t="s">
        <v>13</v>
      </c>
      <c r="N4" s="36" t="s">
        <v>14</v>
      </c>
      <c r="O4" s="36" t="s">
        <v>15</v>
      </c>
      <c r="P4" s="37" t="s">
        <v>16</v>
      </c>
      <c r="Q4" s="33" t="s">
        <v>17</v>
      </c>
      <c r="R4" s="38" t="s">
        <v>18</v>
      </c>
      <c r="S4" s="39" t="s">
        <v>19</v>
      </c>
      <c r="T4" s="158"/>
      <c r="U4" s="93"/>
    </row>
    <row r="5" spans="1:21" hidden="1" outlineLevel="2" x14ac:dyDescent="0.3">
      <c r="A5" s="40" t="str">
        <f>VLOOKUP(B5,Grupos!$A$2:$B$619,2,FALSE)</f>
        <v>ACCESORIOS</v>
      </c>
      <c r="B5" s="41">
        <v>997</v>
      </c>
      <c r="C5" s="41" t="s">
        <v>1047</v>
      </c>
      <c r="D5" s="42">
        <v>-7</v>
      </c>
      <c r="E5" s="43">
        <v>0</v>
      </c>
      <c r="F5" s="43">
        <v>0</v>
      </c>
      <c r="G5" s="126">
        <f>E5+F5</f>
        <v>0</v>
      </c>
      <c r="H5" s="127">
        <f>E5*D5</f>
        <v>0</v>
      </c>
      <c r="I5" s="128">
        <f>F5*D5</f>
        <v>0</v>
      </c>
      <c r="J5" s="128">
        <f t="shared" ref="J5:J71" si="0">G5*D5</f>
        <v>0</v>
      </c>
      <c r="K5" s="44">
        <f t="shared" ref="K5:K36" si="1">J5/$J$295</f>
        <v>0</v>
      </c>
      <c r="L5" s="45">
        <f t="shared" ref="L5:L36" si="2">$K$367*K5/D5</f>
        <v>0</v>
      </c>
      <c r="M5" s="45">
        <f t="shared" ref="M5:M36" si="3">F5*$M$366</f>
        <v>0</v>
      </c>
      <c r="N5" s="45">
        <f>G5+L5+M5</f>
        <v>0</v>
      </c>
      <c r="O5" s="46">
        <f>N5*D5</f>
        <v>0</v>
      </c>
      <c r="P5" s="47">
        <f t="shared" ref="P5:P71" si="4">Q5/D5</f>
        <v>1268832.857142857</v>
      </c>
      <c r="Q5" s="42">
        <v>-8881830</v>
      </c>
      <c r="R5" s="152">
        <f t="shared" ref="R5:R43" si="5">O5/Q5</f>
        <v>0</v>
      </c>
      <c r="S5" s="49"/>
      <c r="U5" s="112"/>
    </row>
    <row r="6" spans="1:21" hidden="1" outlineLevel="2" x14ac:dyDescent="0.3">
      <c r="A6" s="40" t="str">
        <f>VLOOKUP(B6,Grupos!$A$2:$B$619,2,FALSE)</f>
        <v>ACCESORIOS</v>
      </c>
      <c r="B6" s="41" t="s">
        <v>604</v>
      </c>
      <c r="C6" s="41" t="s">
        <v>1052</v>
      </c>
      <c r="D6" s="42">
        <v>1</v>
      </c>
      <c r="E6" s="43">
        <v>2926.65</v>
      </c>
      <c r="F6" s="43">
        <v>150.88999999999999</v>
      </c>
      <c r="G6" s="126">
        <f t="shared" ref="G6:G72" si="6">E6+F6</f>
        <v>3077.54</v>
      </c>
      <c r="H6" s="127">
        <f t="shared" ref="H6:H72" si="7">E6*D6</f>
        <v>2926.65</v>
      </c>
      <c r="I6" s="128">
        <f t="shared" ref="I6:I72" si="8">F6*D6</f>
        <v>150.88999999999999</v>
      </c>
      <c r="J6" s="128">
        <f t="shared" si="0"/>
        <v>3077.54</v>
      </c>
      <c r="K6" s="44">
        <f t="shared" si="1"/>
        <v>2.0397100986875067E-6</v>
      </c>
      <c r="L6" s="45">
        <f t="shared" si="2"/>
        <v>925.01742299280011</v>
      </c>
      <c r="M6" s="45">
        <f t="shared" si="3"/>
        <v>1059.4741102133626</v>
      </c>
      <c r="N6" s="45">
        <f t="shared" ref="N6:N72" si="9">G6+L6+M6</f>
        <v>5062.0315332061627</v>
      </c>
      <c r="O6" s="46">
        <f t="shared" ref="O6:O72" si="10">N6*D6</f>
        <v>5062.0315332061627</v>
      </c>
      <c r="P6" s="47">
        <f t="shared" si="4"/>
        <v>38587.5</v>
      </c>
      <c r="Q6" s="42">
        <v>38587.5</v>
      </c>
      <c r="R6" s="152">
        <f t="shared" si="5"/>
        <v>0.13118319490006253</v>
      </c>
      <c r="S6" s="49"/>
      <c r="U6" s="112"/>
    </row>
    <row r="7" spans="1:21" hidden="1" outlineLevel="2" x14ac:dyDescent="0.3">
      <c r="A7" s="40" t="str">
        <f>VLOOKUP(B7,Grupos!$A$2:$B$619,2,FALSE)</f>
        <v>ACCESORIOS</v>
      </c>
      <c r="B7" s="41" t="s">
        <v>663</v>
      </c>
      <c r="C7" s="41" t="s">
        <v>664</v>
      </c>
      <c r="D7" s="42">
        <v>10</v>
      </c>
      <c r="E7" s="43">
        <f>VLOOKUP(B7,[1]Todos!$A$2:$B$3021,2,FALSE)</f>
        <v>3200</v>
      </c>
      <c r="F7" s="43">
        <f>VLOOKUP(B7,[1]Todos!$A$2:$C$3021,3,FALSE)</f>
        <v>0</v>
      </c>
      <c r="G7" s="126">
        <f t="shared" si="6"/>
        <v>3200</v>
      </c>
      <c r="H7" s="127">
        <f t="shared" si="7"/>
        <v>32000</v>
      </c>
      <c r="I7" s="128">
        <f t="shared" si="8"/>
        <v>0</v>
      </c>
      <c r="J7" s="128">
        <f t="shared" si="0"/>
        <v>32000</v>
      </c>
      <c r="K7" s="44">
        <f t="shared" si="1"/>
        <v>2.1208732675448643E-5</v>
      </c>
      <c r="L7" s="45">
        <f t="shared" si="2"/>
        <v>961.82527394508611</v>
      </c>
      <c r="M7" s="45">
        <f t="shared" si="3"/>
        <v>0</v>
      </c>
      <c r="N7" s="45">
        <f t="shared" si="9"/>
        <v>4161.8252739450863</v>
      </c>
      <c r="O7" s="46">
        <f t="shared" si="10"/>
        <v>41618.252739450865</v>
      </c>
      <c r="P7" s="47">
        <f t="shared" si="4"/>
        <v>7721.1</v>
      </c>
      <c r="Q7" s="42">
        <v>77211</v>
      </c>
      <c r="R7" s="152">
        <f t="shared" si="5"/>
        <v>0.53901973474570808</v>
      </c>
      <c r="S7" s="49"/>
      <c r="U7" s="112"/>
    </row>
    <row r="8" spans="1:21" hidden="1" outlineLevel="2" x14ac:dyDescent="0.3">
      <c r="A8" s="40" t="str">
        <f>VLOOKUP(B8,Grupos!$A$2:$B$619,2,FALSE)</f>
        <v>ACCESORIOS</v>
      </c>
      <c r="B8" s="41" t="s">
        <v>605</v>
      </c>
      <c r="C8" s="41" t="s">
        <v>1147</v>
      </c>
      <c r="D8" s="42">
        <v>12</v>
      </c>
      <c r="E8" s="43">
        <f>VLOOKUP(B8,[1]Todos!$A$2:$B$3021,2,FALSE)</f>
        <v>150.35</v>
      </c>
      <c r="F8" s="43">
        <f>VLOOKUP(B8,[1]Todos!$A$2:$C$3021,3,FALSE)</f>
        <v>0</v>
      </c>
      <c r="G8" s="126">
        <f t="shared" si="6"/>
        <v>150.35</v>
      </c>
      <c r="H8" s="127">
        <f t="shared" si="7"/>
        <v>1804.1999999999998</v>
      </c>
      <c r="I8" s="128">
        <f t="shared" si="8"/>
        <v>0</v>
      </c>
      <c r="J8" s="128">
        <f t="shared" si="0"/>
        <v>1804.1999999999998</v>
      </c>
      <c r="K8" s="44">
        <f t="shared" si="1"/>
        <v>1.1957748591576388E-6</v>
      </c>
      <c r="L8" s="45">
        <f t="shared" si="2"/>
        <v>45.190759355513656</v>
      </c>
      <c r="M8" s="45">
        <f t="shared" si="3"/>
        <v>0</v>
      </c>
      <c r="N8" s="45">
        <f t="shared" si="9"/>
        <v>195.54075935551364</v>
      </c>
      <c r="O8" s="46">
        <f t="shared" si="10"/>
        <v>2346.4891122661638</v>
      </c>
      <c r="P8" s="47">
        <f t="shared" si="4"/>
        <v>2500</v>
      </c>
      <c r="Q8" s="42">
        <v>30000</v>
      </c>
      <c r="R8" s="152">
        <f t="shared" si="5"/>
        <v>7.8216303742205465E-2</v>
      </c>
      <c r="S8" s="49"/>
      <c r="U8" s="112"/>
    </row>
    <row r="9" spans="1:21" hidden="1" outlineLevel="2" x14ac:dyDescent="0.3">
      <c r="A9" s="40" t="str">
        <f>VLOOKUP(B9,Grupos!$A$2:$B$619,2,FALSE)</f>
        <v>ACCESORIOS</v>
      </c>
      <c r="B9" s="41" t="s">
        <v>606</v>
      </c>
      <c r="C9" s="41" t="s">
        <v>607</v>
      </c>
      <c r="D9" s="42">
        <v>1</v>
      </c>
      <c r="E9" s="43">
        <v>0</v>
      </c>
      <c r="F9" s="43">
        <v>0</v>
      </c>
      <c r="G9" s="126">
        <f t="shared" si="6"/>
        <v>0</v>
      </c>
      <c r="H9" s="127">
        <f t="shared" si="7"/>
        <v>0</v>
      </c>
      <c r="I9" s="128">
        <f t="shared" si="8"/>
        <v>0</v>
      </c>
      <c r="J9" s="128">
        <f t="shared" si="0"/>
        <v>0</v>
      </c>
      <c r="K9" s="44">
        <f t="shared" si="1"/>
        <v>0</v>
      </c>
      <c r="L9" s="45">
        <f t="shared" si="2"/>
        <v>0</v>
      </c>
      <c r="M9" s="45">
        <f t="shared" si="3"/>
        <v>0</v>
      </c>
      <c r="N9" s="45">
        <f t="shared" si="9"/>
        <v>0</v>
      </c>
      <c r="O9" s="46">
        <f t="shared" si="10"/>
        <v>0</v>
      </c>
      <c r="P9" s="47">
        <f t="shared" si="4"/>
        <v>300000</v>
      </c>
      <c r="Q9" s="42">
        <v>300000</v>
      </c>
      <c r="R9" s="152">
        <f t="shared" si="5"/>
        <v>0</v>
      </c>
      <c r="S9" s="49"/>
      <c r="U9" s="112"/>
    </row>
    <row r="10" spans="1:21" hidden="1" outlineLevel="2" x14ac:dyDescent="0.3">
      <c r="A10" s="40" t="str">
        <f>VLOOKUP(B10,Grupos!$A$2:$B$619,2,FALSE)</f>
        <v>ACCESORIOS</v>
      </c>
      <c r="B10" s="41" t="s">
        <v>23</v>
      </c>
      <c r="C10" s="41" t="s">
        <v>24</v>
      </c>
      <c r="D10" s="42">
        <v>34800</v>
      </c>
      <c r="E10" s="43">
        <f>VLOOKUP(B10,[1]Todos!$A$2:$B$3021,2,FALSE)</f>
        <v>55.77</v>
      </c>
      <c r="F10" s="43">
        <f>VLOOKUP(B10,[1]Todos!$A$2:$C$3021,3,FALSE)</f>
        <v>29.35</v>
      </c>
      <c r="G10" s="126">
        <f t="shared" si="6"/>
        <v>85.12</v>
      </c>
      <c r="H10" s="127">
        <f t="shared" si="7"/>
        <v>1940796</v>
      </c>
      <c r="I10" s="128">
        <f t="shared" si="8"/>
        <v>1021380</v>
      </c>
      <c r="J10" s="128">
        <f t="shared" si="0"/>
        <v>2962176</v>
      </c>
      <c r="K10" s="44">
        <f t="shared" si="1"/>
        <v>1.9632499663009301E-3</v>
      </c>
      <c r="L10" s="45">
        <f t="shared" si="2"/>
        <v>25.584552286939296</v>
      </c>
      <c r="M10" s="45">
        <f t="shared" si="3"/>
        <v>206.08102017868774</v>
      </c>
      <c r="N10" s="45">
        <f t="shared" si="9"/>
        <v>316.78557246562707</v>
      </c>
      <c r="O10" s="46">
        <f t="shared" si="10"/>
        <v>11024137.921803823</v>
      </c>
      <c r="P10" s="47">
        <f t="shared" si="4"/>
        <v>117.37241522988505</v>
      </c>
      <c r="Q10" s="42">
        <v>4084560.05</v>
      </c>
      <c r="R10" s="152">
        <f t="shared" si="5"/>
        <v>2.698978050721478</v>
      </c>
      <c r="S10" s="49"/>
      <c r="U10" s="112"/>
    </row>
    <row r="11" spans="1:21" hidden="1" outlineLevel="2" x14ac:dyDescent="0.3">
      <c r="A11" s="40" t="str">
        <f>VLOOKUP(B11,Grupos!$A$2:$B$619,2,FALSE)</f>
        <v>ACCESORIOS</v>
      </c>
      <c r="B11" s="41" t="s">
        <v>25</v>
      </c>
      <c r="C11" s="41" t="s">
        <v>26</v>
      </c>
      <c r="D11" s="42">
        <v>4800</v>
      </c>
      <c r="E11" s="43">
        <f>VLOOKUP(B11,[1]Todos!$A$2:$B$3021,2,FALSE)</f>
        <v>40.380000000000003</v>
      </c>
      <c r="F11" s="43">
        <f>VLOOKUP(B11,[1]Todos!$A$2:$C$3021,3,FALSE)</f>
        <v>44.51</v>
      </c>
      <c r="G11" s="126">
        <f t="shared" si="6"/>
        <v>84.89</v>
      </c>
      <c r="H11" s="127">
        <f t="shared" si="7"/>
        <v>193824</v>
      </c>
      <c r="I11" s="128">
        <f t="shared" si="8"/>
        <v>213648</v>
      </c>
      <c r="J11" s="128">
        <f t="shared" si="0"/>
        <v>407472</v>
      </c>
      <c r="K11" s="44">
        <f t="shared" si="1"/>
        <v>2.700613975228253E-4</v>
      </c>
      <c r="L11" s="45">
        <f t="shared" si="2"/>
        <v>25.515421095374489</v>
      </c>
      <c r="M11" s="45">
        <f t="shared" si="3"/>
        <v>312.52695768836082</v>
      </c>
      <c r="N11" s="45">
        <f t="shared" si="9"/>
        <v>422.93237878373532</v>
      </c>
      <c r="O11" s="46">
        <f t="shared" si="10"/>
        <v>2030075.4181619296</v>
      </c>
      <c r="P11" s="47">
        <f t="shared" si="4"/>
        <v>101.87499583333333</v>
      </c>
      <c r="Q11" s="42">
        <v>488999.98</v>
      </c>
      <c r="R11" s="152">
        <f t="shared" si="5"/>
        <v>4.1514836425186141</v>
      </c>
      <c r="S11" s="49"/>
      <c r="U11" s="112"/>
    </row>
    <row r="12" spans="1:21" hidden="1" outlineLevel="2" x14ac:dyDescent="0.3">
      <c r="A12" s="40" t="str">
        <f>VLOOKUP(B12,Grupos!$A$2:$B$619,2,FALSE)</f>
        <v>ACCESORIOS</v>
      </c>
      <c r="B12" s="41" t="s">
        <v>708</v>
      </c>
      <c r="C12" s="41" t="s">
        <v>709</v>
      </c>
      <c r="D12" s="42">
        <v>5</v>
      </c>
      <c r="E12" s="43">
        <f>VLOOKUP(B12,[1]Todos!$A$2:$B$3021,2,FALSE)</f>
        <v>3042.06</v>
      </c>
      <c r="F12" s="43">
        <f>VLOOKUP(B12,[1]Todos!$A$2:$C$3021,3,FALSE)</f>
        <v>0</v>
      </c>
      <c r="G12" s="126">
        <f t="shared" si="6"/>
        <v>3042.06</v>
      </c>
      <c r="H12" s="127">
        <f t="shared" si="7"/>
        <v>15210.3</v>
      </c>
      <c r="I12" s="128">
        <f t="shared" si="8"/>
        <v>0</v>
      </c>
      <c r="J12" s="128">
        <f t="shared" si="0"/>
        <v>15210.3</v>
      </c>
      <c r="K12" s="44">
        <f t="shared" si="1"/>
        <v>1.0080974581668016E-5</v>
      </c>
      <c r="L12" s="45">
        <f t="shared" si="2"/>
        <v>914.35318526793401</v>
      </c>
      <c r="M12" s="45">
        <f t="shared" si="3"/>
        <v>0</v>
      </c>
      <c r="N12" s="45">
        <f t="shared" si="9"/>
        <v>3956.4131852679338</v>
      </c>
      <c r="O12" s="46">
        <f t="shared" si="10"/>
        <v>19782.06592633967</v>
      </c>
      <c r="P12" s="47">
        <f t="shared" si="4"/>
        <v>32812.5</v>
      </c>
      <c r="Q12" s="42">
        <v>164062.5</v>
      </c>
      <c r="R12" s="152">
        <f t="shared" si="5"/>
        <v>0.12057640183673704</v>
      </c>
      <c r="S12" s="49"/>
      <c r="U12" s="112"/>
    </row>
    <row r="13" spans="1:21" hidden="1" outlineLevel="2" x14ac:dyDescent="0.3">
      <c r="A13" s="40" t="str">
        <f>VLOOKUP(B13,Grupos!$A$2:$B$619,2,FALSE)</f>
        <v>ACCESORIOS</v>
      </c>
      <c r="B13" s="41" t="s">
        <v>758</v>
      </c>
      <c r="C13" s="41" t="s">
        <v>1152</v>
      </c>
      <c r="D13" s="42">
        <v>1</v>
      </c>
      <c r="E13" s="43">
        <f>VLOOKUP(B13,[1]Todos!$A$2:$B$3021,2,FALSE)</f>
        <v>2342</v>
      </c>
      <c r="F13" s="43">
        <f>VLOOKUP(B13,[1]Todos!$A$2:$C$3021,3,FALSE)</f>
        <v>0</v>
      </c>
      <c r="G13" s="126">
        <f t="shared" si="6"/>
        <v>2342</v>
      </c>
      <c r="H13" s="127">
        <f t="shared" si="7"/>
        <v>2342</v>
      </c>
      <c r="I13" s="128">
        <f t="shared" si="8"/>
        <v>0</v>
      </c>
      <c r="J13" s="128">
        <f t="shared" si="0"/>
        <v>2342</v>
      </c>
      <c r="K13" s="44">
        <f t="shared" si="1"/>
        <v>1.5522141226843977E-6</v>
      </c>
      <c r="L13" s="45">
        <f t="shared" si="2"/>
        <v>703.93587236856001</v>
      </c>
      <c r="M13" s="45">
        <f t="shared" si="3"/>
        <v>0</v>
      </c>
      <c r="N13" s="45">
        <f t="shared" si="9"/>
        <v>3045.93587236856</v>
      </c>
      <c r="O13" s="46">
        <f t="shared" si="10"/>
        <v>3045.93587236856</v>
      </c>
      <c r="P13" s="47">
        <f t="shared" si="4"/>
        <v>18375</v>
      </c>
      <c r="Q13" s="42">
        <v>18375</v>
      </c>
      <c r="R13" s="152">
        <f t="shared" si="5"/>
        <v>0.16576521754386722</v>
      </c>
      <c r="S13" s="49"/>
      <c r="U13" s="112"/>
    </row>
    <row r="14" spans="1:21" hidden="1" outlineLevel="2" x14ac:dyDescent="0.3">
      <c r="A14" s="40" t="str">
        <f>VLOOKUP(B14,Grupos!$A$2:$B$619,2,FALSE)</f>
        <v>ACCESORIOS</v>
      </c>
      <c r="B14" s="41" t="s">
        <v>31</v>
      </c>
      <c r="C14" s="41" t="s">
        <v>1153</v>
      </c>
      <c r="D14" s="42">
        <v>4</v>
      </c>
      <c r="E14" s="43">
        <f>VLOOKUP(B14,[1]Todos!$A$2:$B$3021,2,FALSE)</f>
        <v>11650.16</v>
      </c>
      <c r="F14" s="43">
        <f>VLOOKUP(B14,[1]Todos!$A$2:$C$3021,3,FALSE)</f>
        <v>0</v>
      </c>
      <c r="G14" s="126">
        <f t="shared" si="6"/>
        <v>11650.16</v>
      </c>
      <c r="H14" s="127">
        <f t="shared" si="7"/>
        <v>46600.639999999999</v>
      </c>
      <c r="I14" s="128">
        <f t="shared" si="8"/>
        <v>0</v>
      </c>
      <c r="J14" s="128">
        <f t="shared" si="0"/>
        <v>46600.639999999999</v>
      </c>
      <c r="K14" s="44">
        <f t="shared" si="1"/>
        <v>3.0885641133275593E-5</v>
      </c>
      <c r="L14" s="45">
        <f t="shared" si="2"/>
        <v>3501.6932292200263</v>
      </c>
      <c r="M14" s="45">
        <f t="shared" si="3"/>
        <v>0</v>
      </c>
      <c r="N14" s="45">
        <f t="shared" si="9"/>
        <v>15151.853229220025</v>
      </c>
      <c r="O14" s="46">
        <f t="shared" si="10"/>
        <v>60607.412916880101</v>
      </c>
      <c r="P14" s="47">
        <f t="shared" si="4"/>
        <v>64050</v>
      </c>
      <c r="Q14" s="42">
        <v>256200</v>
      </c>
      <c r="R14" s="152">
        <f t="shared" si="5"/>
        <v>0.23656289194722913</v>
      </c>
      <c r="S14" s="49"/>
      <c r="U14" s="112"/>
    </row>
    <row r="15" spans="1:21" hidden="1" outlineLevel="2" x14ac:dyDescent="0.3">
      <c r="A15" s="40" t="str">
        <f>VLOOKUP(B15,Grupos!$A$2:$B$619,2,FALSE)</f>
        <v>ACCESORIOS</v>
      </c>
      <c r="B15" s="41" t="s">
        <v>611</v>
      </c>
      <c r="C15" s="41" t="s">
        <v>1112</v>
      </c>
      <c r="D15" s="42">
        <v>4</v>
      </c>
      <c r="E15" s="43">
        <f>VLOOKUP(B15,[1]Todos!$A$2:$B$3021,2,FALSE)</f>
        <v>13631.16</v>
      </c>
      <c r="F15" s="43">
        <f>VLOOKUP(B15,[1]Todos!$A$2:$C$3021,3,FALSE)</f>
        <v>0</v>
      </c>
      <c r="G15" s="126">
        <f t="shared" si="6"/>
        <v>13631.16</v>
      </c>
      <c r="H15" s="127">
        <f t="shared" si="7"/>
        <v>54524.639999999999</v>
      </c>
      <c r="I15" s="128">
        <f t="shared" si="8"/>
        <v>0</v>
      </c>
      <c r="J15" s="128">
        <f t="shared" si="0"/>
        <v>54524.639999999999</v>
      </c>
      <c r="K15" s="44">
        <f t="shared" si="1"/>
        <v>3.6137453562033563E-5</v>
      </c>
      <c r="L15" s="45">
        <f t="shared" si="2"/>
        <v>4097.1231878716562</v>
      </c>
      <c r="M15" s="45">
        <f t="shared" si="3"/>
        <v>0</v>
      </c>
      <c r="N15" s="45">
        <f t="shared" si="9"/>
        <v>17728.283187871657</v>
      </c>
      <c r="O15" s="46">
        <f t="shared" si="10"/>
        <v>70913.132751486628</v>
      </c>
      <c r="P15" s="47">
        <f t="shared" si="4"/>
        <v>73650</v>
      </c>
      <c r="Q15" s="42">
        <v>294600</v>
      </c>
      <c r="R15" s="152">
        <f t="shared" si="5"/>
        <v>0.24070988714014468</v>
      </c>
      <c r="S15" s="49"/>
      <c r="U15" s="112"/>
    </row>
    <row r="16" spans="1:21" hidden="1" outlineLevel="2" x14ac:dyDescent="0.3">
      <c r="A16" s="40" t="str">
        <f>VLOOKUP(B16,Grupos!$A$2:$B$619,2,FALSE)</f>
        <v>ACCESORIOS</v>
      </c>
      <c r="B16" s="41" t="s">
        <v>759</v>
      </c>
      <c r="C16" s="41" t="s">
        <v>1154</v>
      </c>
      <c r="D16" s="42">
        <v>4</v>
      </c>
      <c r="E16" s="43">
        <f>VLOOKUP(B16,[1]Todos!$A$2:$B$3021,2,FALSE)</f>
        <v>892</v>
      </c>
      <c r="F16" s="43">
        <f>VLOOKUP(B16,[1]Todos!$A$2:$C$3021,3,FALSE)</f>
        <v>0</v>
      </c>
      <c r="G16" s="126">
        <f t="shared" si="6"/>
        <v>892</v>
      </c>
      <c r="H16" s="127">
        <f t="shared" si="7"/>
        <v>3568</v>
      </c>
      <c r="I16" s="128">
        <f t="shared" si="8"/>
        <v>0</v>
      </c>
      <c r="J16" s="128">
        <f t="shared" si="0"/>
        <v>3568</v>
      </c>
      <c r="K16" s="44">
        <f t="shared" si="1"/>
        <v>2.3647736933125238E-6</v>
      </c>
      <c r="L16" s="45">
        <f t="shared" si="2"/>
        <v>268.10879511219275</v>
      </c>
      <c r="M16" s="45">
        <f t="shared" si="3"/>
        <v>0</v>
      </c>
      <c r="N16" s="45">
        <f t="shared" si="9"/>
        <v>1160.1087951121926</v>
      </c>
      <c r="O16" s="46">
        <f t="shared" si="10"/>
        <v>4640.4351804487706</v>
      </c>
      <c r="P16" s="47">
        <f t="shared" si="4"/>
        <v>6468</v>
      </c>
      <c r="Q16" s="42">
        <v>25872</v>
      </c>
      <c r="R16" s="152">
        <f t="shared" si="5"/>
        <v>0.17936128557702422</v>
      </c>
      <c r="S16" s="49"/>
      <c r="U16" s="112"/>
    </row>
    <row r="17" spans="1:21" hidden="1" outlineLevel="2" x14ac:dyDescent="0.3">
      <c r="A17" s="40" t="str">
        <f>VLOOKUP(B17,Grupos!$A$2:$B$619,2,FALSE)</f>
        <v>ACCESORIOS</v>
      </c>
      <c r="B17" s="41" t="s">
        <v>731</v>
      </c>
      <c r="C17" s="41" t="s">
        <v>732</v>
      </c>
      <c r="D17" s="42">
        <v>5</v>
      </c>
      <c r="E17" s="43">
        <f>VLOOKUP(B17,[1]Todos!$A$2:$B$3021,2,FALSE)</f>
        <v>1185</v>
      </c>
      <c r="F17" s="43">
        <f>VLOOKUP(B17,[1]Todos!$A$2:$C$3021,3,FALSE)</f>
        <v>0</v>
      </c>
      <c r="G17" s="126">
        <f t="shared" si="6"/>
        <v>1185</v>
      </c>
      <c r="H17" s="127">
        <f t="shared" si="7"/>
        <v>5925</v>
      </c>
      <c r="I17" s="128">
        <f t="shared" si="8"/>
        <v>0</v>
      </c>
      <c r="J17" s="128">
        <f t="shared" si="0"/>
        <v>5925</v>
      </c>
      <c r="K17" s="44">
        <f t="shared" si="1"/>
        <v>3.9269294094385376E-6</v>
      </c>
      <c r="L17" s="45">
        <f t="shared" si="2"/>
        <v>356.17592175778969</v>
      </c>
      <c r="M17" s="45">
        <f t="shared" si="3"/>
        <v>0</v>
      </c>
      <c r="N17" s="45">
        <f t="shared" si="9"/>
        <v>1541.1759217577896</v>
      </c>
      <c r="O17" s="46">
        <f t="shared" si="10"/>
        <v>7705.8796087889477</v>
      </c>
      <c r="P17" s="47">
        <f t="shared" si="4"/>
        <v>9900</v>
      </c>
      <c r="Q17" s="42">
        <v>49500</v>
      </c>
      <c r="R17" s="152">
        <f t="shared" si="5"/>
        <v>0.15567433553108986</v>
      </c>
      <c r="S17" s="49"/>
      <c r="U17" s="112"/>
    </row>
    <row r="18" spans="1:21" hidden="1" outlineLevel="2" x14ac:dyDescent="0.3">
      <c r="A18" s="40" t="str">
        <f>VLOOKUP(B18,Grupos!$A$2:$B$619,2,FALSE)</f>
        <v>ACCESORIOS</v>
      </c>
      <c r="B18" s="41" t="s">
        <v>1155</v>
      </c>
      <c r="C18" s="41" t="s">
        <v>1156</v>
      </c>
      <c r="D18" s="42">
        <v>20</v>
      </c>
      <c r="E18" s="43">
        <f>VLOOKUP(B18,[1]Todos!$A$2:$B$3021,2,FALSE)</f>
        <v>1516</v>
      </c>
      <c r="F18" s="43">
        <f>VLOOKUP(B18,[1]Todos!$A$2:$C$3021,3,FALSE)</f>
        <v>0</v>
      </c>
      <c r="G18" s="126">
        <f t="shared" si="6"/>
        <v>1516</v>
      </c>
      <c r="H18" s="127">
        <f t="shared" si="7"/>
        <v>30320</v>
      </c>
      <c r="I18" s="128">
        <f t="shared" si="8"/>
        <v>0</v>
      </c>
      <c r="J18" s="128">
        <f t="shared" si="0"/>
        <v>30320</v>
      </c>
      <c r="K18" s="44">
        <f t="shared" si="1"/>
        <v>2.0095274209987588E-5</v>
      </c>
      <c r="L18" s="45">
        <f t="shared" si="2"/>
        <v>455.66472353148458</v>
      </c>
      <c r="M18" s="45">
        <f t="shared" si="3"/>
        <v>0</v>
      </c>
      <c r="N18" s="45">
        <f t="shared" si="9"/>
        <v>1971.6647235314845</v>
      </c>
      <c r="O18" s="46">
        <f t="shared" si="10"/>
        <v>39433.294470629691</v>
      </c>
      <c r="P18" s="47">
        <f t="shared" si="4"/>
        <v>9240.0005000000001</v>
      </c>
      <c r="Q18" s="42">
        <v>184800.01</v>
      </c>
      <c r="R18" s="152">
        <f t="shared" si="5"/>
        <v>0.2133836165410905</v>
      </c>
      <c r="S18" s="49"/>
      <c r="U18" s="112"/>
    </row>
    <row r="19" spans="1:21" hidden="1" outlineLevel="2" x14ac:dyDescent="0.3">
      <c r="A19" s="40" t="str">
        <f>VLOOKUP(B19,Grupos!$A$2:$B$619,2,FALSE)</f>
        <v>ACCESORIOS</v>
      </c>
      <c r="B19" s="41" t="s">
        <v>614</v>
      </c>
      <c r="C19" s="41" t="s">
        <v>615</v>
      </c>
      <c r="D19" s="42">
        <v>200</v>
      </c>
      <c r="E19" s="43">
        <f>VLOOKUP(B19,[1]Todos!$A$2:$B$3021,2,FALSE)</f>
        <v>84.21</v>
      </c>
      <c r="F19" s="43">
        <f>VLOOKUP(B19,[1]Todos!$A$2:$C$3021,3,FALSE)</f>
        <v>0</v>
      </c>
      <c r="G19" s="126">
        <f t="shared" si="6"/>
        <v>84.21</v>
      </c>
      <c r="H19" s="127">
        <f t="shared" si="7"/>
        <v>16842</v>
      </c>
      <c r="I19" s="128">
        <f t="shared" si="8"/>
        <v>0</v>
      </c>
      <c r="J19" s="128">
        <f t="shared" si="0"/>
        <v>16842</v>
      </c>
      <c r="K19" s="44">
        <f t="shared" si="1"/>
        <v>1.1162421116247063E-5</v>
      </c>
      <c r="L19" s="45">
        <f t="shared" si="2"/>
        <v>25.311033224661156</v>
      </c>
      <c r="M19" s="45">
        <f t="shared" si="3"/>
        <v>0</v>
      </c>
      <c r="N19" s="45">
        <f t="shared" si="9"/>
        <v>109.52103322466115</v>
      </c>
      <c r="O19" s="46">
        <f t="shared" si="10"/>
        <v>21904.20664493223</v>
      </c>
      <c r="P19" s="47">
        <f t="shared" si="4"/>
        <v>540</v>
      </c>
      <c r="Q19" s="42">
        <v>108000</v>
      </c>
      <c r="R19" s="152">
        <f t="shared" si="5"/>
        <v>0.20281672819381694</v>
      </c>
      <c r="S19" s="49"/>
      <c r="U19" s="112"/>
    </row>
    <row r="20" spans="1:21" hidden="1" outlineLevel="2" x14ac:dyDescent="0.3">
      <c r="A20" s="40" t="str">
        <f>VLOOKUP(B20,Grupos!$A$2:$B$619,2,FALSE)</f>
        <v>ACCESORIOS</v>
      </c>
      <c r="B20" s="41" t="s">
        <v>44</v>
      </c>
      <c r="C20" s="41" t="s">
        <v>45</v>
      </c>
      <c r="D20" s="42">
        <v>-2</v>
      </c>
      <c r="E20" s="43">
        <f>VLOOKUP(B20,[1]Todos!$A$2:$B$3021,2,FALSE)</f>
        <v>4675.82</v>
      </c>
      <c r="F20" s="43">
        <f>VLOOKUP(B20,[1]Todos!$A$2:$C$3021,3,FALSE)</f>
        <v>36.590000000000003</v>
      </c>
      <c r="G20" s="126">
        <f t="shared" si="6"/>
        <v>4712.41</v>
      </c>
      <c r="H20" s="127">
        <f t="shared" si="7"/>
        <v>-9351.64</v>
      </c>
      <c r="I20" s="128">
        <f t="shared" si="8"/>
        <v>-73.180000000000007</v>
      </c>
      <c r="J20" s="128">
        <f t="shared" si="0"/>
        <v>-9424.82</v>
      </c>
      <c r="K20" s="44">
        <f t="shared" si="1"/>
        <v>-6.2465152466944339E-6</v>
      </c>
      <c r="L20" s="45">
        <f t="shared" si="2"/>
        <v>1416.4109497473637</v>
      </c>
      <c r="M20" s="45">
        <f t="shared" si="3"/>
        <v>256.91667898937595</v>
      </c>
      <c r="N20" s="45">
        <f t="shared" si="9"/>
        <v>6385.7376287367397</v>
      </c>
      <c r="O20" s="46">
        <f t="shared" si="10"/>
        <v>-12771.475257473479</v>
      </c>
      <c r="P20" s="47">
        <f t="shared" si="4"/>
        <v>22050</v>
      </c>
      <c r="Q20" s="42">
        <v>-44100</v>
      </c>
      <c r="R20" s="152">
        <f t="shared" si="5"/>
        <v>0.28960261354815148</v>
      </c>
      <c r="S20" s="49"/>
      <c r="U20" s="112"/>
    </row>
    <row r="21" spans="1:21" hidden="1" outlineLevel="2" x14ac:dyDescent="0.3">
      <c r="A21" s="40" t="str">
        <f>VLOOKUP(B21,Grupos!$A$2:$B$619,2,FALSE)</f>
        <v>ACCESORIOS</v>
      </c>
      <c r="B21" s="41" t="s">
        <v>666</v>
      </c>
      <c r="C21" s="41" t="s">
        <v>1116</v>
      </c>
      <c r="D21" s="42">
        <v>2</v>
      </c>
      <c r="E21" s="43">
        <f>VLOOKUP(B21,[1]Todos!$A$2:$B$3021,2,FALSE)</f>
        <v>7037.67</v>
      </c>
      <c r="F21" s="43">
        <f>VLOOKUP(B21,[1]Todos!$A$2:$C$3021,3,FALSE)</f>
        <v>205.11</v>
      </c>
      <c r="G21" s="126">
        <f t="shared" si="6"/>
        <v>7242.78</v>
      </c>
      <c r="H21" s="127">
        <f t="shared" si="7"/>
        <v>14075.34</v>
      </c>
      <c r="I21" s="128">
        <f t="shared" si="8"/>
        <v>410.22</v>
      </c>
      <c r="J21" s="128">
        <f t="shared" si="0"/>
        <v>14485.56</v>
      </c>
      <c r="K21" s="44">
        <f t="shared" si="1"/>
        <v>9.6006365529428701E-6</v>
      </c>
      <c r="L21" s="45">
        <f t="shared" si="2"/>
        <v>2176.9652680074973</v>
      </c>
      <c r="M21" s="45">
        <f t="shared" si="3"/>
        <v>1440.1798313066658</v>
      </c>
      <c r="N21" s="45">
        <f t="shared" si="9"/>
        <v>10859.925099314163</v>
      </c>
      <c r="O21" s="46">
        <f t="shared" si="10"/>
        <v>21719.850198628326</v>
      </c>
      <c r="P21" s="47">
        <f t="shared" si="4"/>
        <v>33096</v>
      </c>
      <c r="Q21" s="42">
        <v>66192</v>
      </c>
      <c r="R21" s="152">
        <f t="shared" si="5"/>
        <v>0.32813406754031194</v>
      </c>
      <c r="S21" s="49"/>
      <c r="U21" s="112"/>
    </row>
    <row r="22" spans="1:21" hidden="1" outlineLevel="2" x14ac:dyDescent="0.3">
      <c r="A22" s="40" t="str">
        <f>VLOOKUP(B22,Grupos!$A$2:$B$619,2,FALSE)</f>
        <v>ACCESORIOS</v>
      </c>
      <c r="B22" s="41" t="s">
        <v>667</v>
      </c>
      <c r="C22" s="41" t="s">
        <v>668</v>
      </c>
      <c r="D22" s="42">
        <v>-1</v>
      </c>
      <c r="E22" s="43">
        <f>VLOOKUP(B22,[1]Todos!$A$2:$B$3021,2,FALSE)</f>
        <v>5476.9</v>
      </c>
      <c r="F22" s="43">
        <f>VLOOKUP(B22,[1]Todos!$A$2:$C$3021,3,FALSE)</f>
        <v>36.590000000000003</v>
      </c>
      <c r="G22" s="126">
        <f t="shared" si="6"/>
        <v>5513.49</v>
      </c>
      <c r="H22" s="127">
        <f t="shared" si="7"/>
        <v>-5476.9</v>
      </c>
      <c r="I22" s="128">
        <f t="shared" si="8"/>
        <v>-36.590000000000003</v>
      </c>
      <c r="J22" s="128">
        <f t="shared" si="0"/>
        <v>-5513.49</v>
      </c>
      <c r="K22" s="44">
        <f t="shared" si="1"/>
        <v>-3.6541917349612291E-6</v>
      </c>
      <c r="L22" s="45">
        <f t="shared" si="2"/>
        <v>1657.1918842635914</v>
      </c>
      <c r="M22" s="45">
        <f t="shared" si="3"/>
        <v>256.91667898937595</v>
      </c>
      <c r="N22" s="45">
        <f t="shared" si="9"/>
        <v>7427.5985632529673</v>
      </c>
      <c r="O22" s="46">
        <f t="shared" si="10"/>
        <v>-7427.5985632529673</v>
      </c>
      <c r="P22" s="47">
        <f t="shared" si="4"/>
        <v>28308</v>
      </c>
      <c r="Q22" s="42">
        <v>-28308</v>
      </c>
      <c r="R22" s="152">
        <f t="shared" si="5"/>
        <v>0.26238514071121122</v>
      </c>
      <c r="S22" s="49"/>
      <c r="U22" s="112"/>
    </row>
    <row r="23" spans="1:21" hidden="1" outlineLevel="2" x14ac:dyDescent="0.3">
      <c r="A23" s="40" t="str">
        <f>VLOOKUP(B23,Grupos!$A$2:$B$619,2,FALSE)</f>
        <v>ACCESORIOS</v>
      </c>
      <c r="B23" s="41" t="s">
        <v>616</v>
      </c>
      <c r="C23" s="41" t="s">
        <v>617</v>
      </c>
      <c r="D23" s="42">
        <v>2</v>
      </c>
      <c r="E23" s="43">
        <f>VLOOKUP(B23,[1]Todos!$A$2:$B$3021,2,FALSE)</f>
        <v>3990.63</v>
      </c>
      <c r="F23" s="43">
        <f>VLOOKUP(B23,[1]Todos!$A$2:$C$3021,3,FALSE)</f>
        <v>36.590000000000003</v>
      </c>
      <c r="G23" s="126">
        <f t="shared" si="6"/>
        <v>4027.2200000000003</v>
      </c>
      <c r="H23" s="127">
        <f t="shared" si="7"/>
        <v>7981.26</v>
      </c>
      <c r="I23" s="128">
        <f t="shared" si="8"/>
        <v>73.180000000000007</v>
      </c>
      <c r="J23" s="128">
        <f t="shared" si="0"/>
        <v>8054.4400000000005</v>
      </c>
      <c r="K23" s="44">
        <f t="shared" si="1"/>
        <v>5.3382645253262679E-6</v>
      </c>
      <c r="L23" s="45">
        <f t="shared" si="2"/>
        <v>1210.4631186678532</v>
      </c>
      <c r="M23" s="45">
        <f t="shared" si="3"/>
        <v>256.91667898937595</v>
      </c>
      <c r="N23" s="45">
        <f t="shared" si="9"/>
        <v>5494.5997976572298</v>
      </c>
      <c r="O23" s="46">
        <f t="shared" si="10"/>
        <v>10989.19959531446</v>
      </c>
      <c r="P23" s="47">
        <f t="shared" si="4"/>
        <v>16720</v>
      </c>
      <c r="Q23" s="42">
        <v>33440</v>
      </c>
      <c r="R23" s="152">
        <f t="shared" si="5"/>
        <v>0.32862438981203529</v>
      </c>
      <c r="S23" s="49"/>
      <c r="U23" s="112"/>
    </row>
    <row r="24" spans="1:21" hidden="1" outlineLevel="2" x14ac:dyDescent="0.3">
      <c r="A24" s="40" t="str">
        <f>VLOOKUP(B24,Grupos!$A$2:$B$619,2,FALSE)</f>
        <v>ACCESORIOS</v>
      </c>
      <c r="B24" s="41" t="s">
        <v>47</v>
      </c>
      <c r="C24" s="41" t="s">
        <v>48</v>
      </c>
      <c r="D24" s="42">
        <v>100</v>
      </c>
      <c r="E24" s="43">
        <v>398.94</v>
      </c>
      <c r="F24" s="43">
        <v>46.28</v>
      </c>
      <c r="G24" s="126">
        <f t="shared" si="6"/>
        <v>445.22</v>
      </c>
      <c r="H24" s="127">
        <f t="shared" si="7"/>
        <v>39894</v>
      </c>
      <c r="I24" s="128">
        <f t="shared" si="8"/>
        <v>4628</v>
      </c>
      <c r="J24" s="128">
        <f t="shared" si="0"/>
        <v>44522</v>
      </c>
      <c r="K24" s="44">
        <f t="shared" si="1"/>
        <v>2.9507974880510141E-5</v>
      </c>
      <c r="L24" s="45">
        <f t="shared" si="2"/>
        <v>133.81995264557227</v>
      </c>
      <c r="M24" s="45">
        <f t="shared" si="3"/>
        <v>324.9550123976037</v>
      </c>
      <c r="N24" s="45">
        <f t="shared" si="9"/>
        <v>903.99496504317597</v>
      </c>
      <c r="O24" s="46">
        <f t="shared" si="10"/>
        <v>90399.496504317591</v>
      </c>
      <c r="P24" s="47">
        <f t="shared" si="4"/>
        <v>3075.0002000000004</v>
      </c>
      <c r="Q24" s="42">
        <v>307500.02</v>
      </c>
      <c r="R24" s="152">
        <f t="shared" si="5"/>
        <v>0.29398208333227943</v>
      </c>
      <c r="S24" s="49"/>
      <c r="U24" s="112"/>
    </row>
    <row r="25" spans="1:21" hidden="1" outlineLevel="2" x14ac:dyDescent="0.3">
      <c r="A25" s="40" t="str">
        <f>VLOOKUP(B25,Grupos!$A$2:$B$619,2,FALSE)</f>
        <v>ACCESORIOS</v>
      </c>
      <c r="B25" s="41" t="s">
        <v>49</v>
      </c>
      <c r="C25" s="41" t="s">
        <v>1085</v>
      </c>
      <c r="D25" s="42">
        <v>129</v>
      </c>
      <c r="E25" s="43">
        <v>398.94</v>
      </c>
      <c r="F25" s="43">
        <v>46.28</v>
      </c>
      <c r="G25" s="126">
        <f t="shared" si="6"/>
        <v>445.22</v>
      </c>
      <c r="H25" s="127">
        <f t="shared" si="7"/>
        <v>51463.26</v>
      </c>
      <c r="I25" s="128">
        <f t="shared" si="8"/>
        <v>5970.12</v>
      </c>
      <c r="J25" s="128">
        <f t="shared" si="0"/>
        <v>57433.380000000005</v>
      </c>
      <c r="K25" s="44">
        <f t="shared" si="1"/>
        <v>3.8065287595858087E-5</v>
      </c>
      <c r="L25" s="45">
        <f t="shared" si="2"/>
        <v>133.8199526455723</v>
      </c>
      <c r="M25" s="45">
        <f t="shared" si="3"/>
        <v>324.9550123976037</v>
      </c>
      <c r="N25" s="45">
        <f t="shared" si="9"/>
        <v>903.99496504317608</v>
      </c>
      <c r="O25" s="46">
        <f t="shared" si="10"/>
        <v>116615.35049056972</v>
      </c>
      <c r="P25" s="47">
        <f t="shared" si="4"/>
        <v>2963.3721705426356</v>
      </c>
      <c r="Q25" s="42">
        <v>382275.01</v>
      </c>
      <c r="R25" s="152">
        <f t="shared" si="5"/>
        <v>0.30505617013931857</v>
      </c>
      <c r="S25" s="49"/>
      <c r="U25" s="112"/>
    </row>
    <row r="26" spans="1:21" hidden="1" outlineLevel="2" x14ac:dyDescent="0.3">
      <c r="A26" s="40" t="str">
        <f>VLOOKUP(B26,Grupos!$A$2:$B$619,2,FALSE)</f>
        <v>ACCESORIOS</v>
      </c>
      <c r="B26" s="41" t="s">
        <v>50</v>
      </c>
      <c r="C26" s="41" t="s">
        <v>51</v>
      </c>
      <c r="D26" s="42">
        <v>158</v>
      </c>
      <c r="E26" s="43">
        <v>398.94</v>
      </c>
      <c r="F26" s="43">
        <v>46.28</v>
      </c>
      <c r="G26" s="126">
        <f t="shared" si="6"/>
        <v>445.22</v>
      </c>
      <c r="H26" s="127">
        <f t="shared" si="7"/>
        <v>63032.52</v>
      </c>
      <c r="I26" s="128">
        <f t="shared" si="8"/>
        <v>7312.24</v>
      </c>
      <c r="J26" s="128">
        <f t="shared" si="0"/>
        <v>70344.760000000009</v>
      </c>
      <c r="K26" s="44">
        <f t="shared" si="1"/>
        <v>4.6622600311206027E-5</v>
      </c>
      <c r="L26" s="45">
        <f t="shared" si="2"/>
        <v>133.8199526455723</v>
      </c>
      <c r="M26" s="45">
        <f t="shared" si="3"/>
        <v>324.9550123976037</v>
      </c>
      <c r="N26" s="45">
        <f t="shared" si="9"/>
        <v>903.99496504317608</v>
      </c>
      <c r="O26" s="46">
        <f t="shared" si="10"/>
        <v>142831.20447682182</v>
      </c>
      <c r="P26" s="47">
        <f t="shared" si="4"/>
        <v>2992.4051898734178</v>
      </c>
      <c r="Q26" s="42">
        <v>472800.02</v>
      </c>
      <c r="R26" s="152">
        <f t="shared" si="5"/>
        <v>0.30209644339021352</v>
      </c>
      <c r="S26" s="49"/>
      <c r="U26" s="112"/>
    </row>
    <row r="27" spans="1:21" hidden="1" outlineLevel="2" x14ac:dyDescent="0.3">
      <c r="A27" s="40" t="str">
        <f>VLOOKUP(B27,Grupos!$A$2:$B$619,2,FALSE)</f>
        <v>ACCESORIOS</v>
      </c>
      <c r="B27" s="41" t="s">
        <v>672</v>
      </c>
      <c r="C27" s="41" t="s">
        <v>1158</v>
      </c>
      <c r="D27" s="42">
        <v>6</v>
      </c>
      <c r="E27" s="43">
        <f>VLOOKUP(B27,[1]Todos!$A$2:$B$3021,2,FALSE)</f>
        <v>1783.45</v>
      </c>
      <c r="F27" s="43">
        <f>VLOOKUP(B27,[1]Todos!$A$2:$C$3021,3,FALSE)</f>
        <v>143.05000000000001</v>
      </c>
      <c r="G27" s="126">
        <f t="shared" si="6"/>
        <v>1926.5</v>
      </c>
      <c r="H27" s="127">
        <f t="shared" si="7"/>
        <v>10700.7</v>
      </c>
      <c r="I27" s="128">
        <f t="shared" si="8"/>
        <v>858.30000000000007</v>
      </c>
      <c r="J27" s="128">
        <f t="shared" si="0"/>
        <v>11559</v>
      </c>
      <c r="K27" s="44">
        <f t="shared" si="1"/>
        <v>7.6609919061097146E-6</v>
      </c>
      <c r="L27" s="45">
        <f t="shared" si="2"/>
        <v>579.0488719547526</v>
      </c>
      <c r="M27" s="45">
        <f t="shared" si="3"/>
        <v>1004.4255515012362</v>
      </c>
      <c r="N27" s="45">
        <f t="shared" si="9"/>
        <v>3509.9744234559885</v>
      </c>
      <c r="O27" s="46">
        <f t="shared" si="10"/>
        <v>21059.846540735933</v>
      </c>
      <c r="P27" s="47">
        <f t="shared" si="4"/>
        <v>11720</v>
      </c>
      <c r="Q27" s="42">
        <v>70320</v>
      </c>
      <c r="R27" s="152">
        <f t="shared" si="5"/>
        <v>0.29948587230853146</v>
      </c>
      <c r="S27" s="49"/>
      <c r="U27" s="112"/>
    </row>
    <row r="28" spans="1:21" hidden="1" outlineLevel="2" x14ac:dyDescent="0.3">
      <c r="A28" s="40" t="str">
        <f>VLOOKUP(B28,Grupos!$A$2:$B$619,2,FALSE)</f>
        <v>ACCESORIOS</v>
      </c>
      <c r="B28" s="41" t="s">
        <v>714</v>
      </c>
      <c r="C28" s="41" t="s">
        <v>715</v>
      </c>
      <c r="D28" s="42">
        <v>5</v>
      </c>
      <c r="E28" s="43">
        <f>VLOOKUP(B28,[1]Todos!$A$2:$B$3021,2,FALSE)</f>
        <v>3125.57</v>
      </c>
      <c r="F28" s="43">
        <f>VLOOKUP(B28,[1]Todos!$A$2:$C$3021,3,FALSE)</f>
        <v>0</v>
      </c>
      <c r="G28" s="126">
        <f t="shared" si="6"/>
        <v>3125.57</v>
      </c>
      <c r="H28" s="127">
        <f t="shared" si="7"/>
        <v>15627.85</v>
      </c>
      <c r="I28" s="128">
        <f t="shared" si="8"/>
        <v>0</v>
      </c>
      <c r="J28" s="128">
        <f t="shared" si="0"/>
        <v>15627.85</v>
      </c>
      <c r="K28" s="44">
        <f t="shared" si="1"/>
        <v>1.0357715404437816E-5</v>
      </c>
      <c r="L28" s="45">
        <f t="shared" si="2"/>
        <v>939.45381921391959</v>
      </c>
      <c r="M28" s="45">
        <f t="shared" si="3"/>
        <v>0</v>
      </c>
      <c r="N28" s="45">
        <f t="shared" si="9"/>
        <v>4065.0238192139195</v>
      </c>
      <c r="O28" s="46">
        <f t="shared" si="10"/>
        <v>20325.119096069597</v>
      </c>
      <c r="P28" s="47">
        <f t="shared" si="4"/>
        <v>32812.5</v>
      </c>
      <c r="Q28" s="42">
        <v>164062.5</v>
      </c>
      <c r="R28" s="152">
        <f t="shared" si="5"/>
        <v>0.12388644020461469</v>
      </c>
      <c r="S28" s="49"/>
      <c r="U28" s="112"/>
    </row>
    <row r="29" spans="1:21" hidden="1" outlineLevel="2" x14ac:dyDescent="0.3">
      <c r="A29" s="40" t="str">
        <f>VLOOKUP(B29,Grupos!$A$2:$B$619,2,FALSE)</f>
        <v>ACCESORIOS</v>
      </c>
      <c r="B29" s="41" t="s">
        <v>764</v>
      </c>
      <c r="C29" s="41" t="s">
        <v>1161</v>
      </c>
      <c r="D29" s="42">
        <v>1</v>
      </c>
      <c r="E29" s="43">
        <f>VLOOKUP(B29,[1]Todos!$A$2:$B$3021,2,FALSE)</f>
        <v>2324</v>
      </c>
      <c r="F29" s="43">
        <f>VLOOKUP(B29,[1]Todos!$A$2:$C$3021,3,FALSE)</f>
        <v>0</v>
      </c>
      <c r="G29" s="126">
        <f t="shared" si="6"/>
        <v>2324</v>
      </c>
      <c r="H29" s="127">
        <f t="shared" si="7"/>
        <v>2324</v>
      </c>
      <c r="I29" s="128">
        <f t="shared" si="8"/>
        <v>0</v>
      </c>
      <c r="J29" s="128">
        <f t="shared" si="0"/>
        <v>2324</v>
      </c>
      <c r="K29" s="44">
        <f t="shared" si="1"/>
        <v>1.5402842105544576E-6</v>
      </c>
      <c r="L29" s="45">
        <f t="shared" si="2"/>
        <v>698.52560520261875</v>
      </c>
      <c r="M29" s="45">
        <f t="shared" si="3"/>
        <v>0</v>
      </c>
      <c r="N29" s="45">
        <f t="shared" si="9"/>
        <v>3022.5256052026189</v>
      </c>
      <c r="O29" s="46">
        <f t="shared" si="10"/>
        <v>3022.5256052026189</v>
      </c>
      <c r="P29" s="47">
        <f t="shared" si="4"/>
        <v>18375</v>
      </c>
      <c r="Q29" s="42">
        <v>18375</v>
      </c>
      <c r="R29" s="152">
        <f t="shared" si="5"/>
        <v>0.16449118939878199</v>
      </c>
      <c r="S29" s="49"/>
      <c r="U29" s="112"/>
    </row>
    <row r="30" spans="1:21" hidden="1" outlineLevel="2" x14ac:dyDescent="0.3">
      <c r="A30" s="40" t="str">
        <f>VLOOKUP(B30,Grupos!$A$2:$B$619,2,FALSE)</f>
        <v>ACCESORIOS</v>
      </c>
      <c r="B30" s="41" t="s">
        <v>53</v>
      </c>
      <c r="C30" s="41" t="s">
        <v>1162</v>
      </c>
      <c r="D30" s="42">
        <v>4</v>
      </c>
      <c r="E30" s="43">
        <f>VLOOKUP(B30,[1]Todos!$A$2:$B$3021,2,FALSE)</f>
        <v>11980.41</v>
      </c>
      <c r="F30" s="43">
        <f>VLOOKUP(B30,[1]Todos!$A$2:$C$3021,3,FALSE)</f>
        <v>0</v>
      </c>
      <c r="G30" s="126">
        <f t="shared" si="6"/>
        <v>11980.41</v>
      </c>
      <c r="H30" s="127">
        <f t="shared" si="7"/>
        <v>47921.64</v>
      </c>
      <c r="I30" s="128">
        <f t="shared" si="8"/>
        <v>0</v>
      </c>
      <c r="J30" s="128">
        <f t="shared" si="0"/>
        <v>47921.64</v>
      </c>
      <c r="K30" s="44">
        <f t="shared" si="1"/>
        <v>3.1761164129033962E-5</v>
      </c>
      <c r="L30" s="45">
        <f t="shared" si="2"/>
        <v>3600.9566031951408</v>
      </c>
      <c r="M30" s="45">
        <f t="shared" si="3"/>
        <v>0</v>
      </c>
      <c r="N30" s="45">
        <f t="shared" si="9"/>
        <v>15581.36660319514</v>
      </c>
      <c r="O30" s="46">
        <f t="shared" si="10"/>
        <v>62325.466412780559</v>
      </c>
      <c r="P30" s="47">
        <f t="shared" si="4"/>
        <v>64050</v>
      </c>
      <c r="Q30" s="42">
        <v>256200</v>
      </c>
      <c r="R30" s="152">
        <f t="shared" si="5"/>
        <v>0.24326879942537299</v>
      </c>
      <c r="S30" s="49"/>
      <c r="U30" s="112"/>
    </row>
    <row r="31" spans="1:21" hidden="1" outlineLevel="2" x14ac:dyDescent="0.3">
      <c r="A31" s="40" t="str">
        <f>VLOOKUP(B31,Grupos!$A$2:$B$619,2,FALSE)</f>
        <v>ACCESORIOS</v>
      </c>
      <c r="B31" s="41" t="s">
        <v>622</v>
      </c>
      <c r="C31" s="41" t="s">
        <v>1127</v>
      </c>
      <c r="D31" s="42">
        <v>4</v>
      </c>
      <c r="E31" s="43">
        <f>VLOOKUP(B31,[1]Todos!$A$2:$B$3021,2,FALSE)</f>
        <v>13961.4</v>
      </c>
      <c r="F31" s="43">
        <f>VLOOKUP(B31,[1]Todos!$A$2:$C$3021,3,FALSE)</f>
        <v>0</v>
      </c>
      <c r="G31" s="126">
        <f t="shared" si="6"/>
        <v>13961.4</v>
      </c>
      <c r="H31" s="127">
        <f t="shared" si="7"/>
        <v>55845.599999999999</v>
      </c>
      <c r="I31" s="128">
        <f t="shared" si="8"/>
        <v>0</v>
      </c>
      <c r="J31" s="128">
        <f t="shared" si="0"/>
        <v>55845.599999999999</v>
      </c>
      <c r="K31" s="44">
        <f t="shared" si="1"/>
        <v>3.7012950046876087E-5</v>
      </c>
      <c r="L31" s="45">
        <f t="shared" si="2"/>
        <v>4196.3835561427895</v>
      </c>
      <c r="M31" s="45">
        <f t="shared" si="3"/>
        <v>0</v>
      </c>
      <c r="N31" s="45">
        <f t="shared" si="9"/>
        <v>18157.783556142789</v>
      </c>
      <c r="O31" s="46">
        <f t="shared" si="10"/>
        <v>72631.134224571157</v>
      </c>
      <c r="P31" s="47">
        <f t="shared" si="4"/>
        <v>73650</v>
      </c>
      <c r="Q31" s="42">
        <v>294600</v>
      </c>
      <c r="R31" s="152">
        <f t="shared" si="5"/>
        <v>0.24654152825720013</v>
      </c>
      <c r="S31" s="49"/>
      <c r="U31" s="112"/>
    </row>
    <row r="32" spans="1:21" hidden="1" outlineLevel="2" x14ac:dyDescent="0.3">
      <c r="A32" s="40" t="str">
        <f>VLOOKUP(B32,Grupos!$A$2:$B$619,2,FALSE)</f>
        <v>ACCESORIOS</v>
      </c>
      <c r="B32" s="41" t="s">
        <v>623</v>
      </c>
      <c r="C32" s="41" t="s">
        <v>1163</v>
      </c>
      <c r="D32" s="42">
        <v>10</v>
      </c>
      <c r="E32" s="43">
        <f>VLOOKUP(B32,[1]Todos!$A$2:$B$3021,2,FALSE)</f>
        <v>1083.47</v>
      </c>
      <c r="F32" s="43">
        <f>VLOOKUP(B32,[1]Todos!$A$2:$C$3021,3,FALSE)</f>
        <v>0</v>
      </c>
      <c r="G32" s="126">
        <f t="shared" si="6"/>
        <v>1083.47</v>
      </c>
      <c r="H32" s="127">
        <f t="shared" si="7"/>
        <v>10834.7</v>
      </c>
      <c r="I32" s="128">
        <f t="shared" si="8"/>
        <v>0</v>
      </c>
      <c r="J32" s="128">
        <f t="shared" si="0"/>
        <v>10834.7</v>
      </c>
      <c r="K32" s="44">
        <f t="shared" si="1"/>
        <v>7.1809454974588576E-6</v>
      </c>
      <c r="L32" s="45">
        <f t="shared" si="2"/>
        <v>325.65900923790082</v>
      </c>
      <c r="M32" s="45">
        <f t="shared" si="3"/>
        <v>0</v>
      </c>
      <c r="N32" s="45">
        <f t="shared" si="9"/>
        <v>1409.1290092379008</v>
      </c>
      <c r="O32" s="46">
        <f t="shared" si="10"/>
        <v>14091.290092379008</v>
      </c>
      <c r="P32" s="47">
        <f t="shared" si="4"/>
        <v>4780</v>
      </c>
      <c r="Q32" s="42">
        <v>47800</v>
      </c>
      <c r="R32" s="152">
        <f t="shared" si="5"/>
        <v>0.29479686385730142</v>
      </c>
      <c r="S32" s="49"/>
      <c r="U32" s="112"/>
    </row>
    <row r="33" spans="1:21" hidden="1" outlineLevel="2" x14ac:dyDescent="0.3">
      <c r="A33" s="40" t="str">
        <f>VLOOKUP(B33,Grupos!$A$2:$B$619,2,FALSE)</f>
        <v>ACCESORIOS</v>
      </c>
      <c r="B33" s="41" t="s">
        <v>765</v>
      </c>
      <c r="C33" s="41" t="s">
        <v>1164</v>
      </c>
      <c r="D33" s="42">
        <v>4</v>
      </c>
      <c r="E33" s="43">
        <f>VLOOKUP(B33,[1]Todos!$A$2:$B$3021,2,FALSE)</f>
        <v>899</v>
      </c>
      <c r="F33" s="43">
        <f>VLOOKUP(B33,[1]Todos!$A$2:$C$3021,3,FALSE)</f>
        <v>0</v>
      </c>
      <c r="G33" s="126">
        <f t="shared" si="6"/>
        <v>899</v>
      </c>
      <c r="H33" s="127">
        <f t="shared" si="7"/>
        <v>3596</v>
      </c>
      <c r="I33" s="128">
        <f t="shared" si="8"/>
        <v>0</v>
      </c>
      <c r="J33" s="128">
        <f t="shared" si="0"/>
        <v>3596</v>
      </c>
      <c r="K33" s="44">
        <f t="shared" si="1"/>
        <v>2.3833313344035414E-6</v>
      </c>
      <c r="L33" s="45">
        <f t="shared" si="2"/>
        <v>270.21278789894768</v>
      </c>
      <c r="M33" s="45">
        <f t="shared" si="3"/>
        <v>0</v>
      </c>
      <c r="N33" s="45">
        <f t="shared" si="9"/>
        <v>1169.2127878989477</v>
      </c>
      <c r="O33" s="46">
        <f t="shared" si="10"/>
        <v>4676.8511515957907</v>
      </c>
      <c r="P33" s="47">
        <f t="shared" si="4"/>
        <v>6468</v>
      </c>
      <c r="Q33" s="42">
        <v>25872</v>
      </c>
      <c r="R33" s="152">
        <f t="shared" si="5"/>
        <v>0.18076882929792018</v>
      </c>
      <c r="S33" s="49"/>
      <c r="U33" s="112"/>
    </row>
    <row r="34" spans="1:21" hidden="1" outlineLevel="2" x14ac:dyDescent="0.3">
      <c r="A34" s="40" t="str">
        <f>VLOOKUP(B34,Grupos!$A$2:$B$619,2,FALSE)</f>
        <v>ACCESORIOS</v>
      </c>
      <c r="B34" s="41" t="s">
        <v>56</v>
      </c>
      <c r="C34" s="41" t="s">
        <v>57</v>
      </c>
      <c r="D34" s="42">
        <v>10</v>
      </c>
      <c r="E34" s="43">
        <f>VLOOKUP(B34,[1]Todos!$A$2:$B$3021,2,FALSE)</f>
        <v>1666.74</v>
      </c>
      <c r="F34" s="43">
        <f>VLOOKUP(B34,[1]Todos!$A$2:$C$3021,3,FALSE)</f>
        <v>0</v>
      </c>
      <c r="G34" s="126">
        <f t="shared" si="6"/>
        <v>1666.74</v>
      </c>
      <c r="H34" s="127">
        <f t="shared" si="7"/>
        <v>16667.400000000001</v>
      </c>
      <c r="I34" s="128">
        <f t="shared" si="8"/>
        <v>0</v>
      </c>
      <c r="J34" s="128">
        <f t="shared" si="0"/>
        <v>16667.400000000001</v>
      </c>
      <c r="K34" s="44">
        <f t="shared" si="1"/>
        <v>1.1046700968586648E-5</v>
      </c>
      <c r="L34" s="45">
        <f t="shared" si="2"/>
        <v>500.97270534226027</v>
      </c>
      <c r="M34" s="45">
        <f t="shared" si="3"/>
        <v>0</v>
      </c>
      <c r="N34" s="45">
        <f t="shared" si="9"/>
        <v>2167.7127053422601</v>
      </c>
      <c r="O34" s="46">
        <f t="shared" si="10"/>
        <v>21677.127053422599</v>
      </c>
      <c r="P34" s="47">
        <f t="shared" si="4"/>
        <v>8799.9989999999998</v>
      </c>
      <c r="Q34" s="42">
        <v>87999.99</v>
      </c>
      <c r="R34" s="152">
        <f t="shared" si="5"/>
        <v>0.24633101723559966</v>
      </c>
      <c r="S34" s="49"/>
      <c r="U34" s="112"/>
    </row>
    <row r="35" spans="1:21" hidden="1" outlineLevel="2" x14ac:dyDescent="0.3">
      <c r="A35" s="40" t="str">
        <f>VLOOKUP(B35,Grupos!$A$2:$B$619,2,FALSE)</f>
        <v>ACCESORIOS</v>
      </c>
      <c r="B35" s="41" t="s">
        <v>733</v>
      </c>
      <c r="C35" s="41" t="s">
        <v>734</v>
      </c>
      <c r="D35" s="42">
        <v>5</v>
      </c>
      <c r="E35" s="43">
        <f>VLOOKUP(B35,[1]Todos!$A$2:$B$3021,2,FALSE)</f>
        <v>1201</v>
      </c>
      <c r="F35" s="43">
        <f>VLOOKUP(B35,[1]Todos!$A$2:$C$3021,3,FALSE)</f>
        <v>0</v>
      </c>
      <c r="G35" s="126">
        <f t="shared" si="6"/>
        <v>1201</v>
      </c>
      <c r="H35" s="127">
        <f t="shared" si="7"/>
        <v>6005</v>
      </c>
      <c r="I35" s="128">
        <f t="shared" si="8"/>
        <v>0</v>
      </c>
      <c r="J35" s="128">
        <f t="shared" si="0"/>
        <v>6005</v>
      </c>
      <c r="K35" s="44">
        <f t="shared" si="1"/>
        <v>3.9799512411271596E-6</v>
      </c>
      <c r="L35" s="45">
        <f t="shared" si="2"/>
        <v>360.98504812751514</v>
      </c>
      <c r="M35" s="45">
        <f t="shared" si="3"/>
        <v>0</v>
      </c>
      <c r="N35" s="45">
        <f t="shared" si="9"/>
        <v>1561.9850481275153</v>
      </c>
      <c r="O35" s="46">
        <f t="shared" si="10"/>
        <v>7809.9252406375763</v>
      </c>
      <c r="P35" s="47">
        <f t="shared" si="4"/>
        <v>9900</v>
      </c>
      <c r="Q35" s="42">
        <v>49500</v>
      </c>
      <c r="R35" s="152">
        <f t="shared" si="5"/>
        <v>0.1577762674876278</v>
      </c>
      <c r="S35" s="49"/>
      <c r="U35" s="112"/>
    </row>
    <row r="36" spans="1:21" hidden="1" outlineLevel="2" x14ac:dyDescent="0.3">
      <c r="A36" s="40" t="str">
        <f>VLOOKUP(B36,Grupos!$A$2:$B$619,2,FALSE)</f>
        <v>ACCESORIOS</v>
      </c>
      <c r="B36" s="41" t="s">
        <v>1165</v>
      </c>
      <c r="C36" s="41" t="s">
        <v>1166</v>
      </c>
      <c r="D36" s="42">
        <v>20</v>
      </c>
      <c r="E36" s="43">
        <f>VLOOKUP(B36,[1]Todos!$A$2:$B$3021,2,FALSE)</f>
        <v>1575</v>
      </c>
      <c r="F36" s="43">
        <f>VLOOKUP(B36,[1]Todos!$A$2:$C$3021,3,FALSE)</f>
        <v>0</v>
      </c>
      <c r="G36" s="126">
        <f t="shared" si="6"/>
        <v>1575</v>
      </c>
      <c r="H36" s="127">
        <f t="shared" si="7"/>
        <v>31500</v>
      </c>
      <c r="I36" s="128">
        <f t="shared" si="8"/>
        <v>0</v>
      </c>
      <c r="J36" s="128">
        <f t="shared" si="0"/>
        <v>31500</v>
      </c>
      <c r="K36" s="44">
        <f t="shared" si="1"/>
        <v>2.0877346227394756E-5</v>
      </c>
      <c r="L36" s="45">
        <f t="shared" si="2"/>
        <v>473.39837701984709</v>
      </c>
      <c r="M36" s="45">
        <f t="shared" si="3"/>
        <v>0</v>
      </c>
      <c r="N36" s="45">
        <f t="shared" si="9"/>
        <v>2048.398377019847</v>
      </c>
      <c r="O36" s="46">
        <f t="shared" si="10"/>
        <v>40967.967540396938</v>
      </c>
      <c r="P36" s="47">
        <f t="shared" si="4"/>
        <v>9240.0005000000001</v>
      </c>
      <c r="Q36" s="42">
        <v>184800.01</v>
      </c>
      <c r="R36" s="152">
        <f t="shared" si="5"/>
        <v>0.22168812404499835</v>
      </c>
      <c r="S36" s="49"/>
      <c r="U36" s="112"/>
    </row>
    <row r="37" spans="1:21" s="93" customFormat="1" outlineLevel="1" collapsed="1" x14ac:dyDescent="0.3">
      <c r="A37" s="50" t="s">
        <v>1017</v>
      </c>
      <c r="B37" s="129"/>
      <c r="C37" s="129"/>
      <c r="D37" s="51">
        <f>SUBTOTAL(9,D5:D36)</f>
        <v>40317</v>
      </c>
      <c r="E37" s="52"/>
      <c r="F37" s="52"/>
      <c r="G37" s="130"/>
      <c r="H37" s="131">
        <f>SUBTOTAL(9,H5:H36)</f>
        <v>2709324.16</v>
      </c>
      <c r="I37" s="146">
        <f>SUBTOTAL(9,I5:I36)</f>
        <v>1254321.1800000002</v>
      </c>
      <c r="J37" s="146">
        <f>SUBTOTAL(9,J5:J36)</f>
        <v>3963645.3400000008</v>
      </c>
      <c r="K37" s="53"/>
      <c r="L37" s="54"/>
      <c r="M37" s="54"/>
      <c r="N37" s="54"/>
      <c r="O37" s="55">
        <f>SUBTOTAL(9,O5:O36)</f>
        <v>13962215.757125268</v>
      </c>
      <c r="P37" s="56"/>
      <c r="Q37" s="51">
        <f>SUBTOTAL(9,Q5:Q36)</f>
        <v>-371733.40999999992</v>
      </c>
      <c r="R37" s="198">
        <f>O37/Q37</f>
        <v>-37.559754871442067</v>
      </c>
      <c r="S37" s="58">
        <f>Q37/$Q$295</f>
        <v>-9.5151528737081432E-5</v>
      </c>
      <c r="T37" s="158"/>
      <c r="U37" s="147"/>
    </row>
    <row r="38" spans="1:21" outlineLevel="2" x14ac:dyDescent="0.3">
      <c r="A38" s="40" t="str">
        <f>VLOOKUP(B38,Grupos!$A$2:$B$619,2,FALSE)</f>
        <v>ADAPTADORES</v>
      </c>
      <c r="B38" s="41" t="s">
        <v>58</v>
      </c>
      <c r="C38" s="41" t="s">
        <v>59</v>
      </c>
      <c r="D38" s="42">
        <v>27200</v>
      </c>
      <c r="E38" s="43">
        <f>VLOOKUP(B38,[1]Todos!$A$2:$B$3021,2,FALSE)</f>
        <v>15.04</v>
      </c>
      <c r="F38" s="43">
        <f>VLOOKUP(B38,[1]Todos!$A$2:$C$3021,3,FALSE)</f>
        <v>4.8499999999999996</v>
      </c>
      <c r="G38" s="126">
        <f t="shared" si="6"/>
        <v>19.89</v>
      </c>
      <c r="H38" s="127">
        <f t="shared" si="7"/>
        <v>409088</v>
      </c>
      <c r="I38" s="128">
        <f t="shared" si="8"/>
        <v>131920</v>
      </c>
      <c r="J38" s="128">
        <f t="shared" si="0"/>
        <v>541008</v>
      </c>
      <c r="K38" s="44">
        <f t="shared" ref="K38:K71" si="11">J38/$J$295</f>
        <v>3.5856543897747246E-4</v>
      </c>
      <c r="L38" s="45">
        <f t="shared" ref="L38:L71" si="12">$K$367*K38/D38</f>
        <v>5.9783452183649262</v>
      </c>
      <c r="M38" s="45">
        <f t="shared" ref="M38:M71" si="13">F38*$M$366</f>
        <v>34.054274203292522</v>
      </c>
      <c r="N38" s="45">
        <f t="shared" si="9"/>
        <v>59.922619421657444</v>
      </c>
      <c r="O38" s="46">
        <f t="shared" si="10"/>
        <v>1629895.2482690825</v>
      </c>
      <c r="P38" s="47">
        <f t="shared" si="4"/>
        <v>88.088231985294129</v>
      </c>
      <c r="Q38" s="42">
        <v>2395999.91</v>
      </c>
      <c r="R38" s="152">
        <f t="shared" si="5"/>
        <v>0.68025680696669244</v>
      </c>
      <c r="S38" s="49"/>
      <c r="U38" s="112"/>
    </row>
    <row r="39" spans="1:21" outlineLevel="2" x14ac:dyDescent="0.3">
      <c r="A39" s="40" t="str">
        <f>VLOOKUP(B39,Grupos!$A$2:$B$619,2,FALSE)</f>
        <v>ADAPTADORES</v>
      </c>
      <c r="B39" s="41" t="s">
        <v>624</v>
      </c>
      <c r="C39" s="41" t="s">
        <v>625</v>
      </c>
      <c r="D39" s="42">
        <v>2000</v>
      </c>
      <c r="E39" s="43">
        <f>VLOOKUP(B39,[1]Todos!$A$2:$B$3021,2,FALSE)</f>
        <v>20.18</v>
      </c>
      <c r="F39" s="43">
        <f>VLOOKUP(B39,[1]Todos!$A$2:$C$3021,3,FALSE)</f>
        <v>4.9000000000000004</v>
      </c>
      <c r="G39" s="126">
        <f t="shared" si="6"/>
        <v>25.08</v>
      </c>
      <c r="H39" s="127">
        <f t="shared" si="7"/>
        <v>40360</v>
      </c>
      <c r="I39" s="128">
        <f t="shared" si="8"/>
        <v>9800</v>
      </c>
      <c r="J39" s="128">
        <f t="shared" si="0"/>
        <v>50160</v>
      </c>
      <c r="K39" s="44">
        <f t="shared" si="11"/>
        <v>3.324468846876575E-5</v>
      </c>
      <c r="L39" s="45">
        <f t="shared" si="12"/>
        <v>7.538305584544613</v>
      </c>
      <c r="M39" s="45">
        <f t="shared" si="13"/>
        <v>34.405349195079047</v>
      </c>
      <c r="N39" s="45">
        <f t="shared" si="9"/>
        <v>67.023654779623655</v>
      </c>
      <c r="O39" s="46">
        <f t="shared" si="10"/>
        <v>134047.30955924731</v>
      </c>
      <c r="P39" s="47">
        <f t="shared" si="4"/>
        <v>103.5</v>
      </c>
      <c r="Q39" s="42">
        <v>207000</v>
      </c>
      <c r="R39" s="152">
        <f t="shared" si="5"/>
        <v>0.64757154376447978</v>
      </c>
      <c r="S39" s="49"/>
      <c r="U39" s="112"/>
    </row>
    <row r="40" spans="1:21" s="212" customFormat="1" outlineLevel="2" x14ac:dyDescent="0.3">
      <c r="A40" s="200" t="str">
        <f>VLOOKUP(B40,Grupos!$A$2:$B$619,2,FALSE)</f>
        <v>ADAPTADORES</v>
      </c>
      <c r="B40" s="201" t="s">
        <v>60</v>
      </c>
      <c r="C40" s="201" t="s">
        <v>61</v>
      </c>
      <c r="D40" s="202">
        <v>673200</v>
      </c>
      <c r="E40" s="163">
        <f>VLOOKUP(B40,[1]Todos!$A$2:$B$3021,2,FALSE)</f>
        <v>26.12</v>
      </c>
      <c r="F40" s="163">
        <f>VLOOKUP(B40,[1]Todos!$A$2:$C$3021,3,FALSE)</f>
        <v>10.32</v>
      </c>
      <c r="G40" s="203">
        <f t="shared" si="6"/>
        <v>36.44</v>
      </c>
      <c r="H40" s="204">
        <f t="shared" si="7"/>
        <v>17583984</v>
      </c>
      <c r="I40" s="205">
        <f t="shared" si="8"/>
        <v>6947424</v>
      </c>
      <c r="J40" s="205">
        <f t="shared" si="0"/>
        <v>24531408</v>
      </c>
      <c r="K40" s="206">
        <f t="shared" si="11"/>
        <v>1.6258752325761319E-2</v>
      </c>
      <c r="L40" s="207">
        <f t="shared" si="12"/>
        <v>10.952785307049668</v>
      </c>
      <c r="M40" s="207">
        <f t="shared" si="13"/>
        <v>72.461878304737908</v>
      </c>
      <c r="N40" s="207">
        <f t="shared" si="9"/>
        <v>119.85466361178757</v>
      </c>
      <c r="O40" s="208">
        <f t="shared" si="10"/>
        <v>80686159.543455392</v>
      </c>
      <c r="P40" s="166">
        <f t="shared" si="4"/>
        <v>106.65775821449792</v>
      </c>
      <c r="Q40" s="202">
        <v>71802002.829999998</v>
      </c>
      <c r="R40" s="162">
        <f t="shared" si="5"/>
        <v>1.1237313217361042</v>
      </c>
      <c r="S40" s="209"/>
      <c r="T40" s="210"/>
      <c r="U40" s="211"/>
    </row>
    <row r="41" spans="1:21" outlineLevel="2" x14ac:dyDescent="0.3">
      <c r="A41" s="40" t="str">
        <f>VLOOKUP(B41,Grupos!$A$2:$B$619,2,FALSE)</f>
        <v>ADAPTADORES</v>
      </c>
      <c r="B41" s="41" t="s">
        <v>766</v>
      </c>
      <c r="C41" s="41" t="s">
        <v>1048</v>
      </c>
      <c r="D41" s="42">
        <v>32400</v>
      </c>
      <c r="E41" s="43">
        <f>VLOOKUP(B41,[1]Todos!$A$2:$B$3021,2,FALSE)</f>
        <v>55.65</v>
      </c>
      <c r="F41" s="43">
        <f>VLOOKUP(B41,[1]Todos!$A$2:$C$3021,3,FALSE)</f>
        <v>10.6</v>
      </c>
      <c r="G41" s="126">
        <f t="shared" si="6"/>
        <v>66.25</v>
      </c>
      <c r="H41" s="127">
        <f t="shared" si="7"/>
        <v>1803060</v>
      </c>
      <c r="I41" s="128">
        <f t="shared" si="8"/>
        <v>343440</v>
      </c>
      <c r="J41" s="128">
        <f t="shared" si="0"/>
        <v>2146500</v>
      </c>
      <c r="K41" s="44">
        <f t="shared" si="11"/>
        <v>1.4226420214953285E-3</v>
      </c>
      <c r="L41" s="45">
        <f t="shared" si="12"/>
        <v>19.912788874644363</v>
      </c>
      <c r="M41" s="45">
        <f t="shared" si="13"/>
        <v>74.427898258742417</v>
      </c>
      <c r="N41" s="45">
        <f t="shared" si="9"/>
        <v>160.59068713338678</v>
      </c>
      <c r="O41" s="46">
        <f t="shared" si="10"/>
        <v>5203138.2631217316</v>
      </c>
      <c r="P41" s="47">
        <f t="shared" si="4"/>
        <v>173.39998672839508</v>
      </c>
      <c r="Q41" s="42">
        <v>5618159.5700000003</v>
      </c>
      <c r="R41" s="152">
        <f t="shared" si="5"/>
        <v>0.92612860106458872</v>
      </c>
      <c r="S41" s="49"/>
      <c r="U41" s="112"/>
    </row>
    <row r="42" spans="1:21" s="212" customFormat="1" outlineLevel="2" x14ac:dyDescent="0.3">
      <c r="A42" s="200" t="str">
        <f>VLOOKUP(B42,Grupos!$A$2:$B$619,2,FALSE)</f>
        <v>ADAPTADORES</v>
      </c>
      <c r="B42" s="201" t="s">
        <v>1049</v>
      </c>
      <c r="C42" s="201" t="s">
        <v>1050</v>
      </c>
      <c r="D42" s="202">
        <v>113400</v>
      </c>
      <c r="E42" s="163">
        <f>VLOOKUP(B42,[1]Todos!$A$2:$B$3021,2,FALSE)</f>
        <v>27.67</v>
      </c>
      <c r="F42" s="163">
        <f>VLOOKUP(B42,[1]Todos!$A$2:$C$3021,3,FALSE)</f>
        <v>5.37</v>
      </c>
      <c r="G42" s="203">
        <f t="shared" si="6"/>
        <v>33.04</v>
      </c>
      <c r="H42" s="204">
        <f t="shared" si="7"/>
        <v>3137778</v>
      </c>
      <c r="I42" s="205">
        <f t="shared" si="8"/>
        <v>608958</v>
      </c>
      <c r="J42" s="205">
        <f t="shared" si="0"/>
        <v>3746736</v>
      </c>
      <c r="K42" s="206">
        <f t="shared" si="11"/>
        <v>2.4832350696712422E-3</v>
      </c>
      <c r="L42" s="207">
        <f t="shared" si="12"/>
        <v>9.9308459534830149</v>
      </c>
      <c r="M42" s="207">
        <f t="shared" si="13"/>
        <v>37.705454117872335</v>
      </c>
      <c r="N42" s="207">
        <f t="shared" si="9"/>
        <v>80.676300071355342</v>
      </c>
      <c r="O42" s="208">
        <f t="shared" si="10"/>
        <v>9148692.4280916955</v>
      </c>
      <c r="P42" s="166">
        <f t="shared" si="4"/>
        <v>106.14286278659613</v>
      </c>
      <c r="Q42" s="202">
        <v>12036600.640000001</v>
      </c>
      <c r="R42" s="162">
        <f t="shared" si="5"/>
        <v>0.76007277317889776</v>
      </c>
      <c r="S42" s="209"/>
      <c r="T42" s="210"/>
      <c r="U42" s="211"/>
    </row>
    <row r="43" spans="1:21" outlineLevel="2" x14ac:dyDescent="0.3">
      <c r="A43" s="40" t="str">
        <f>VLOOKUP(B43,Grupos!$A$2:$B$619,2,FALSE)</f>
        <v>ADAPTADORES</v>
      </c>
      <c r="B43" s="41" t="s">
        <v>62</v>
      </c>
      <c r="C43" s="41" t="s">
        <v>63</v>
      </c>
      <c r="D43" s="42">
        <v>250600</v>
      </c>
      <c r="E43" s="43">
        <f>VLOOKUP(B43,[1]Todos!$A$2:$B$3021,2,FALSE)</f>
        <v>41.81</v>
      </c>
      <c r="F43" s="43">
        <f>VLOOKUP(B43,[1]Todos!$A$2:$C$3021,3,FALSE)</f>
        <v>11.11</v>
      </c>
      <c r="G43" s="126">
        <f t="shared" si="6"/>
        <v>52.92</v>
      </c>
      <c r="H43" s="127">
        <f t="shared" si="7"/>
        <v>10477586</v>
      </c>
      <c r="I43" s="128">
        <f t="shared" si="8"/>
        <v>2784166</v>
      </c>
      <c r="J43" s="128">
        <f t="shared" si="0"/>
        <v>13261752</v>
      </c>
      <c r="K43" s="44">
        <f t="shared" si="11"/>
        <v>8.789529780503012E-3</v>
      </c>
      <c r="L43" s="45">
        <f t="shared" si="12"/>
        <v>15.906185467866861</v>
      </c>
      <c r="M43" s="45">
        <f t="shared" si="13"/>
        <v>78.008863174964929</v>
      </c>
      <c r="N43" s="45">
        <f t="shared" si="9"/>
        <v>146.83504864283179</v>
      </c>
      <c r="O43" s="46">
        <f t="shared" si="10"/>
        <v>36796863.189893648</v>
      </c>
      <c r="P43" s="47">
        <f t="shared" si="4"/>
        <v>141.68556025538706</v>
      </c>
      <c r="Q43" s="42">
        <v>35506401.399999999</v>
      </c>
      <c r="R43" s="162">
        <f t="shared" si="5"/>
        <v>1.0363444826569681</v>
      </c>
      <c r="S43" s="49"/>
      <c r="U43" s="112"/>
    </row>
    <row r="44" spans="1:21" s="93" customFormat="1" outlineLevel="1" x14ac:dyDescent="0.3">
      <c r="A44" s="50" t="s">
        <v>1018</v>
      </c>
      <c r="B44" s="129"/>
      <c r="C44" s="129"/>
      <c r="D44" s="51">
        <f>SUBTOTAL(9,D38:D43)</f>
        <v>1098800</v>
      </c>
      <c r="E44" s="52"/>
      <c r="F44" s="52"/>
      <c r="G44" s="130"/>
      <c r="H44" s="131">
        <f>SUBTOTAL(9,H38:H43)</f>
        <v>33451856</v>
      </c>
      <c r="I44" s="146">
        <f>SUBTOTAL(9,I38:I43)</f>
        <v>10825708</v>
      </c>
      <c r="J44" s="146">
        <f>SUBTOTAL(9,J38:J43)</f>
        <v>44277564</v>
      </c>
      <c r="K44" s="53"/>
      <c r="L44" s="54"/>
      <c r="M44" s="54"/>
      <c r="N44" s="54"/>
      <c r="O44" s="55">
        <f>SUBTOTAL(9,O38:O43)</f>
        <v>133598795.98239079</v>
      </c>
      <c r="P44" s="56"/>
      <c r="Q44" s="51">
        <f>SUBTOTAL(9,Q38:Q43)</f>
        <v>127566164.34999999</v>
      </c>
      <c r="R44" s="198">
        <f>O44/Q44</f>
        <v>1.0472902173011898</v>
      </c>
      <c r="S44" s="58">
        <f>Q44/$Q$295</f>
        <v>3.2652743139305877E-2</v>
      </c>
      <c r="T44" s="158"/>
      <c r="U44" s="147"/>
    </row>
    <row r="45" spans="1:21" hidden="1" outlineLevel="2" x14ac:dyDescent="0.3">
      <c r="A45" s="40" t="str">
        <f>VLOOKUP(B45,Grupos!$A$2:$B$619,2,FALSE)</f>
        <v>CAJAS ARRANCADORAS</v>
      </c>
      <c r="B45" s="41" t="s">
        <v>64</v>
      </c>
      <c r="C45" s="41" t="s">
        <v>65</v>
      </c>
      <c r="D45" s="42">
        <v>33</v>
      </c>
      <c r="E45" s="43">
        <f>VLOOKUP(B45,[1]Todos!$A$2:$B$3021,2,FALSE)</f>
        <v>30398.83</v>
      </c>
      <c r="F45" s="43">
        <f>VLOOKUP(B45,[1]Todos!$A$2:$C$3021,3,FALSE)</f>
        <v>4472.47</v>
      </c>
      <c r="G45" s="126">
        <f t="shared" si="6"/>
        <v>34871.300000000003</v>
      </c>
      <c r="H45" s="127">
        <f t="shared" si="7"/>
        <v>1003161.39</v>
      </c>
      <c r="I45" s="128">
        <f t="shared" si="8"/>
        <v>147591.51</v>
      </c>
      <c r="J45" s="128">
        <f t="shared" si="0"/>
        <v>1150752.9000000001</v>
      </c>
      <c r="K45" s="44">
        <f t="shared" si="11"/>
        <v>7.6268783223741522E-4</v>
      </c>
      <c r="L45" s="45">
        <f t="shared" si="12"/>
        <v>10481.280523537902</v>
      </c>
      <c r="M45" s="45">
        <f t="shared" si="13"/>
        <v>31403.447370309219</v>
      </c>
      <c r="N45" s="45">
        <f t="shared" si="9"/>
        <v>76756.027893847131</v>
      </c>
      <c r="O45" s="46">
        <f t="shared" si="10"/>
        <v>2532948.9204969555</v>
      </c>
      <c r="P45" s="47">
        <f t="shared" si="4"/>
        <v>107940.00242424243</v>
      </c>
      <c r="Q45" s="42">
        <v>3562020.08</v>
      </c>
      <c r="R45" s="152">
        <f t="shared" ref="R45:R74" si="14">O45/Q45</f>
        <v>0.71109900101881385</v>
      </c>
      <c r="S45" s="49"/>
      <c r="U45" s="112"/>
    </row>
    <row r="46" spans="1:21" hidden="1" outlineLevel="2" x14ac:dyDescent="0.3">
      <c r="A46" s="40" t="str">
        <f>VLOOKUP(B46,Grupos!$A$2:$B$619,2,FALSE)</f>
        <v>CAJAS ARRANCADORAS</v>
      </c>
      <c r="B46" s="41" t="s">
        <v>66</v>
      </c>
      <c r="C46" s="41" t="s">
        <v>1054</v>
      </c>
      <c r="D46" s="42">
        <v>59</v>
      </c>
      <c r="E46" s="43">
        <f>VLOOKUP(B46,[1]Todos!$A$2:$B$3021,2,FALSE)</f>
        <v>40781.56</v>
      </c>
      <c r="F46" s="43">
        <f>VLOOKUP(B46,[1]Todos!$A$2:$C$3021,3,FALSE)</f>
        <v>5353.18</v>
      </c>
      <c r="G46" s="126">
        <f t="shared" si="6"/>
        <v>46134.74</v>
      </c>
      <c r="H46" s="127">
        <f t="shared" si="7"/>
        <v>2406112.04</v>
      </c>
      <c r="I46" s="128">
        <f t="shared" si="8"/>
        <v>315837.62</v>
      </c>
      <c r="J46" s="128">
        <f t="shared" si="0"/>
        <v>2721949.6599999997</v>
      </c>
      <c r="K46" s="44">
        <f t="shared" si="11"/>
        <v>1.8040344592177599E-3</v>
      </c>
      <c r="L46" s="45">
        <f t="shared" si="12"/>
        <v>13866.737168401662</v>
      </c>
      <c r="M46" s="45">
        <f t="shared" si="13"/>
        <v>37587.352490635356</v>
      </c>
      <c r="N46" s="45">
        <f t="shared" si="9"/>
        <v>97588.829659037016</v>
      </c>
      <c r="O46" s="46">
        <f t="shared" si="10"/>
        <v>5757740.9498831835</v>
      </c>
      <c r="P46" s="47">
        <f t="shared" si="4"/>
        <v>158333.26559322033</v>
      </c>
      <c r="Q46" s="42">
        <v>9341662.6699999999</v>
      </c>
      <c r="R46" s="152">
        <f t="shared" si="14"/>
        <v>0.61635076680446899</v>
      </c>
      <c r="S46" s="49"/>
      <c r="U46" s="112"/>
    </row>
    <row r="47" spans="1:21" hidden="1" outlineLevel="2" x14ac:dyDescent="0.3">
      <c r="A47" s="40" t="str">
        <f>VLOOKUP(B47,Grupos!$A$2:$B$619,2,FALSE)</f>
        <v>CAJAS ARRANCADORAS</v>
      </c>
      <c r="B47" s="41" t="s">
        <v>67</v>
      </c>
      <c r="C47" s="41" t="s">
        <v>1145</v>
      </c>
      <c r="D47" s="42">
        <v>39</v>
      </c>
      <c r="E47" s="43">
        <f>VLOOKUP(B47,[1]Todos!$A$2:$B$3021,2,FALSE)</f>
        <v>45858.54</v>
      </c>
      <c r="F47" s="43">
        <f>VLOOKUP(B47,[1]Todos!$A$2:$C$3021,3,FALSE)</f>
        <v>3844.13</v>
      </c>
      <c r="G47" s="126">
        <f t="shared" si="6"/>
        <v>49702.67</v>
      </c>
      <c r="H47" s="127">
        <f t="shared" si="7"/>
        <v>1788483.06</v>
      </c>
      <c r="I47" s="128">
        <f t="shared" si="8"/>
        <v>149921.07</v>
      </c>
      <c r="J47" s="128">
        <f t="shared" si="0"/>
        <v>1938404.13</v>
      </c>
      <c r="K47" s="44">
        <f t="shared" si="11"/>
        <v>1.2847217190673625E-3</v>
      </c>
      <c r="L47" s="45">
        <f t="shared" si="12"/>
        <v>14939.151308922566</v>
      </c>
      <c r="M47" s="45">
        <f t="shared" si="13"/>
        <v>26991.558163526366</v>
      </c>
      <c r="N47" s="45">
        <f t="shared" si="9"/>
        <v>91633.379472448927</v>
      </c>
      <c r="O47" s="46">
        <f t="shared" si="10"/>
        <v>3573701.7994255084</v>
      </c>
      <c r="P47" s="47">
        <f t="shared" si="4"/>
        <v>175464.92435897436</v>
      </c>
      <c r="Q47" s="42">
        <v>6843132.0499999998</v>
      </c>
      <c r="R47" s="152">
        <f t="shared" si="14"/>
        <v>0.5222318922554634</v>
      </c>
      <c r="S47" s="49"/>
      <c r="U47" s="112"/>
    </row>
    <row r="48" spans="1:21" hidden="1" outlineLevel="2" x14ac:dyDescent="0.3">
      <c r="A48" s="40" t="str">
        <f>VLOOKUP(B48,Grupos!$A$2:$B$619,2,FALSE)</f>
        <v>CAJAS ARRANCADORAS</v>
      </c>
      <c r="B48" s="41" t="s">
        <v>626</v>
      </c>
      <c r="C48" s="41" t="s">
        <v>1055</v>
      </c>
      <c r="D48" s="42">
        <v>41</v>
      </c>
      <c r="E48" s="43">
        <f>VLOOKUP(B48,[1]Todos!$A$2:$B$3021,2,FALSE)</f>
        <v>62538.51</v>
      </c>
      <c r="F48" s="43">
        <f>VLOOKUP(B48,[1]Todos!$A$2:$C$3021,3,FALSE)</f>
        <v>5265.73</v>
      </c>
      <c r="G48" s="126">
        <f t="shared" si="6"/>
        <v>67804.240000000005</v>
      </c>
      <c r="H48" s="127">
        <f t="shared" si="7"/>
        <v>2564078.91</v>
      </c>
      <c r="I48" s="128">
        <f t="shared" si="8"/>
        <v>215894.93</v>
      </c>
      <c r="J48" s="128">
        <f t="shared" si="0"/>
        <v>2779973.8400000003</v>
      </c>
      <c r="K48" s="44">
        <f t="shared" si="11"/>
        <v>1.8424913130406389E-3</v>
      </c>
      <c r="L48" s="45">
        <f t="shared" si="12"/>
        <v>20379.947410199493</v>
      </c>
      <c r="M48" s="45">
        <f t="shared" si="13"/>
        <v>36973.322330000723</v>
      </c>
      <c r="N48" s="45">
        <f t="shared" si="9"/>
        <v>125157.50974020021</v>
      </c>
      <c r="O48" s="46">
        <f t="shared" si="10"/>
        <v>5131457.8993482087</v>
      </c>
      <c r="P48" s="47">
        <f t="shared" si="4"/>
        <v>243025.56487804878</v>
      </c>
      <c r="Q48" s="42">
        <v>9964048.1600000001</v>
      </c>
      <c r="R48" s="152">
        <f t="shared" si="14"/>
        <v>0.5149972999877801</v>
      </c>
      <c r="S48" s="49"/>
      <c r="U48" s="112"/>
    </row>
    <row r="49" spans="1:21" hidden="1" outlineLevel="2" x14ac:dyDescent="0.3">
      <c r="A49" s="40" t="str">
        <f>VLOOKUP(B49,Grupos!$A$2:$B$619,2,FALSE)</f>
        <v>CAJAS ARRANCADORAS</v>
      </c>
      <c r="B49" s="41" t="s">
        <v>627</v>
      </c>
      <c r="C49" s="41" t="s">
        <v>628</v>
      </c>
      <c r="D49" s="42">
        <v>21</v>
      </c>
      <c r="E49" s="43">
        <f>VLOOKUP(B49,[1]Todos!$A$2:$B$3021,2,FALSE)</f>
        <v>78390.899999999994</v>
      </c>
      <c r="F49" s="43">
        <f>VLOOKUP(B49,[1]Todos!$A$2:$C$3021,3,FALSE)</f>
        <v>7236.18</v>
      </c>
      <c r="G49" s="126">
        <f t="shared" si="6"/>
        <v>85627.079999999987</v>
      </c>
      <c r="H49" s="127">
        <f t="shared" si="7"/>
        <v>1646208.9</v>
      </c>
      <c r="I49" s="128">
        <f t="shared" si="8"/>
        <v>151959.78</v>
      </c>
      <c r="J49" s="128">
        <f t="shared" si="0"/>
        <v>1798168.6799999997</v>
      </c>
      <c r="K49" s="44">
        <f t="shared" si="11"/>
        <v>1.1917774637338859E-3</v>
      </c>
      <c r="L49" s="45">
        <f t="shared" si="12"/>
        <v>25736.965524411811</v>
      </c>
      <c r="M49" s="45">
        <f t="shared" si="13"/>
        <v>50808.836681315726</v>
      </c>
      <c r="N49" s="45">
        <f t="shared" si="9"/>
        <v>162172.88220572754</v>
      </c>
      <c r="O49" s="46">
        <f t="shared" si="10"/>
        <v>3405630.5263202782</v>
      </c>
      <c r="P49" s="47">
        <f t="shared" si="4"/>
        <v>296330.64761904761</v>
      </c>
      <c r="Q49" s="42">
        <v>6222943.5999999996</v>
      </c>
      <c r="R49" s="152">
        <f t="shared" si="14"/>
        <v>0.54727002930257607</v>
      </c>
      <c r="S49" s="49"/>
      <c r="U49" s="112"/>
    </row>
    <row r="50" spans="1:21" hidden="1" outlineLevel="2" x14ac:dyDescent="0.3">
      <c r="A50" s="40" t="str">
        <f>VLOOKUP(B50,Grupos!$A$2:$B$619,2,FALSE)</f>
        <v>CAJAS ARRANCADORAS</v>
      </c>
      <c r="B50" s="41" t="s">
        <v>629</v>
      </c>
      <c r="C50" s="41" t="s">
        <v>630</v>
      </c>
      <c r="D50" s="42">
        <v>4</v>
      </c>
      <c r="E50" s="43">
        <f>VLOOKUP(B50,[1]Todos!$A$2:$B$3021,2,FALSE)</f>
        <v>84343.91</v>
      </c>
      <c r="F50" s="43">
        <f>VLOOKUP(B50,[1]Todos!$A$2:$C$3021,3,FALSE)</f>
        <v>8005.49</v>
      </c>
      <c r="G50" s="126">
        <f t="shared" si="6"/>
        <v>92349.400000000009</v>
      </c>
      <c r="H50" s="127">
        <f t="shared" si="7"/>
        <v>337375.64</v>
      </c>
      <c r="I50" s="128">
        <f t="shared" si="8"/>
        <v>32021.96</v>
      </c>
      <c r="J50" s="128">
        <f t="shared" si="0"/>
        <v>369397.60000000003</v>
      </c>
      <c r="K50" s="44">
        <f t="shared" si="11"/>
        <v>2.4482671716725962E-4</v>
      </c>
      <c r="L50" s="45">
        <f t="shared" si="12"/>
        <v>27757.495923020106</v>
      </c>
      <c r="M50" s="45">
        <f t="shared" si="13"/>
        <v>56210.546719941492</v>
      </c>
      <c r="N50" s="45">
        <f t="shared" si="9"/>
        <v>176317.4426429616</v>
      </c>
      <c r="O50" s="46">
        <f t="shared" si="10"/>
        <v>705269.7705718464</v>
      </c>
      <c r="P50" s="47">
        <f t="shared" si="4"/>
        <v>347864.51</v>
      </c>
      <c r="Q50" s="42">
        <v>1391458.04</v>
      </c>
      <c r="R50" s="152">
        <f t="shared" si="14"/>
        <v>0.50685665704432337</v>
      </c>
      <c r="S50" s="49"/>
      <c r="U50" s="112"/>
    </row>
    <row r="51" spans="1:21" hidden="1" outlineLevel="2" x14ac:dyDescent="0.3">
      <c r="A51" s="40" t="str">
        <f>VLOOKUP(B51,Grupos!$A$2:$B$619,2,FALSE)</f>
        <v>CAJAS ARRANCADORAS</v>
      </c>
      <c r="B51" s="41" t="s">
        <v>68</v>
      </c>
      <c r="C51" s="41" t="s">
        <v>69</v>
      </c>
      <c r="D51" s="42">
        <v>5</v>
      </c>
      <c r="E51" s="43">
        <f>VLOOKUP(B51,[1]Todos!$A$2:$B$3021,2,FALSE)</f>
        <v>94916.92</v>
      </c>
      <c r="F51" s="43">
        <f>VLOOKUP(B51,[1]Todos!$A$2:$C$3021,3,FALSE)</f>
        <v>5465.68</v>
      </c>
      <c r="G51" s="126">
        <f t="shared" si="6"/>
        <v>100382.6</v>
      </c>
      <c r="H51" s="127">
        <f t="shared" si="7"/>
        <v>474584.6</v>
      </c>
      <c r="I51" s="128">
        <f t="shared" si="8"/>
        <v>27328.400000000001</v>
      </c>
      <c r="J51" s="128">
        <f t="shared" si="0"/>
        <v>501913</v>
      </c>
      <c r="K51" s="44">
        <f t="shared" si="11"/>
        <v>3.3265433260413921E-4</v>
      </c>
      <c r="L51" s="45">
        <f t="shared" si="12"/>
        <v>30172.038045100002</v>
      </c>
      <c r="M51" s="45">
        <f t="shared" si="13"/>
        <v>38377.271222155025</v>
      </c>
      <c r="N51" s="45">
        <f t="shared" si="9"/>
        <v>168931.90926725502</v>
      </c>
      <c r="O51" s="46">
        <f t="shared" si="10"/>
        <v>844659.54633627506</v>
      </c>
      <c r="P51" s="47">
        <f t="shared" si="4"/>
        <v>332831.09999999998</v>
      </c>
      <c r="Q51" s="42">
        <v>1664155.5</v>
      </c>
      <c r="R51" s="152">
        <f t="shared" si="14"/>
        <v>0.50756046916064934</v>
      </c>
      <c r="S51" s="49"/>
      <c r="U51" s="112"/>
    </row>
    <row r="52" spans="1:21" s="93" customFormat="1" outlineLevel="1" collapsed="1" x14ac:dyDescent="0.3">
      <c r="A52" s="50" t="s">
        <v>1019</v>
      </c>
      <c r="B52" s="129"/>
      <c r="C52" s="129"/>
      <c r="D52" s="51">
        <f>SUBTOTAL(9,D45:D51)</f>
        <v>202</v>
      </c>
      <c r="E52" s="52"/>
      <c r="F52" s="52"/>
      <c r="G52" s="130"/>
      <c r="H52" s="131">
        <f>SUBTOTAL(9,H45:H51)</f>
        <v>10220004.540000001</v>
      </c>
      <c r="I52" s="146">
        <f>SUBTOTAL(9,I45:I51)</f>
        <v>1040555.2699999999</v>
      </c>
      <c r="J52" s="146">
        <f>SUBTOTAL(9,J45:J51)</f>
        <v>11260559.809999999</v>
      </c>
      <c r="K52" s="53"/>
      <c r="L52" s="54"/>
      <c r="M52" s="54"/>
      <c r="N52" s="54"/>
      <c r="O52" s="55">
        <f>SUBTOTAL(9,O45:O51)</f>
        <v>21951409.412382256</v>
      </c>
      <c r="P52" s="56"/>
      <c r="Q52" s="51">
        <f>SUBTOTAL(9,Q45:Q51)</f>
        <v>38989420.100000001</v>
      </c>
      <c r="R52" s="198">
        <f>O52/Q52</f>
        <v>0.5630093844966485</v>
      </c>
      <c r="S52" s="58">
        <f>Q52/$Q$295</f>
        <v>9.9800094026719077E-3</v>
      </c>
      <c r="T52" s="158"/>
      <c r="U52" s="147"/>
    </row>
    <row r="53" spans="1:21" hidden="1" outlineLevel="2" x14ac:dyDescent="0.3">
      <c r="A53" s="40" t="str">
        <f>VLOOKUP(B53,Grupos!$A$2:$B$619,2,FALSE)</f>
        <v>CAJAS EMPALME</v>
      </c>
      <c r="B53" s="41" t="s">
        <v>70</v>
      </c>
      <c r="C53" s="41" t="s">
        <v>71</v>
      </c>
      <c r="D53" s="42">
        <v>252</v>
      </c>
      <c r="E53" s="43">
        <f>VLOOKUP(B53,[1]Todos!$A$2:$B$3021,2,FALSE)</f>
        <v>2813.7</v>
      </c>
      <c r="F53" s="43">
        <f>VLOOKUP(B53,[1]Todos!$A$2:$C$3021,3,FALSE)</f>
        <v>426.22</v>
      </c>
      <c r="G53" s="126">
        <f t="shared" si="6"/>
        <v>3239.92</v>
      </c>
      <c r="H53" s="127">
        <f t="shared" si="7"/>
        <v>709052.39999999991</v>
      </c>
      <c r="I53" s="128">
        <f t="shared" si="8"/>
        <v>107407.44</v>
      </c>
      <c r="J53" s="128">
        <f t="shared" si="0"/>
        <v>816459.84</v>
      </c>
      <c r="K53" s="44">
        <f t="shared" si="11"/>
        <v>5.4112745271248661E-4</v>
      </c>
      <c r="L53" s="45">
        <f t="shared" si="12"/>
        <v>973.82404423755111</v>
      </c>
      <c r="M53" s="45">
        <f t="shared" si="13"/>
        <v>2992.7036599850185</v>
      </c>
      <c r="N53" s="45">
        <f t="shared" si="9"/>
        <v>7206.4477042225699</v>
      </c>
      <c r="O53" s="46">
        <f t="shared" si="10"/>
        <v>1816024.8214640876</v>
      </c>
      <c r="P53" s="47">
        <f t="shared" si="4"/>
        <v>11539.357182539681</v>
      </c>
      <c r="Q53" s="42">
        <v>2907918.01</v>
      </c>
      <c r="R53" s="152">
        <f t="shared" si="14"/>
        <v>0.62451032498818204</v>
      </c>
      <c r="S53" s="49"/>
      <c r="U53" s="112"/>
    </row>
    <row r="54" spans="1:21" hidden="1" outlineLevel="2" x14ac:dyDescent="0.3">
      <c r="A54" s="40" t="str">
        <f>VLOOKUP(B54,Grupos!$A$2:$B$619,2,FALSE)</f>
        <v>CAJAS EMPALME</v>
      </c>
      <c r="B54" s="41" t="s">
        <v>72</v>
      </c>
      <c r="C54" s="41" t="s">
        <v>73</v>
      </c>
      <c r="D54" s="42">
        <v>3060</v>
      </c>
      <c r="E54" s="43">
        <f>VLOOKUP(B54,[1]Todos!$A$2:$B$3021,2,FALSE)</f>
        <v>3808.35</v>
      </c>
      <c r="F54" s="43">
        <f>VLOOKUP(B54,[1]Todos!$A$2:$C$3021,3,FALSE)</f>
        <v>680.53</v>
      </c>
      <c r="G54" s="126">
        <f t="shared" si="6"/>
        <v>4488.88</v>
      </c>
      <c r="H54" s="127">
        <f t="shared" si="7"/>
        <v>11653551</v>
      </c>
      <c r="I54" s="128">
        <f t="shared" si="8"/>
        <v>2082421.7999999998</v>
      </c>
      <c r="J54" s="128">
        <f t="shared" si="0"/>
        <v>13735972.800000001</v>
      </c>
      <c r="K54" s="44">
        <f t="shared" si="11"/>
        <v>9.1038304735135567E-3</v>
      </c>
      <c r="L54" s="45">
        <f t="shared" si="12"/>
        <v>1349.2244486583184</v>
      </c>
      <c r="M54" s="45">
        <f t="shared" si="13"/>
        <v>4778.3412832096201</v>
      </c>
      <c r="N54" s="45">
        <f t="shared" si="9"/>
        <v>10616.445731867938</v>
      </c>
      <c r="O54" s="46">
        <f t="shared" si="10"/>
        <v>32486323.939515889</v>
      </c>
      <c r="P54" s="47">
        <f t="shared" si="4"/>
        <v>12881.916565359475</v>
      </c>
      <c r="Q54" s="42">
        <v>39418664.689999998</v>
      </c>
      <c r="R54" s="152">
        <f t="shared" si="14"/>
        <v>0.82413557625551037</v>
      </c>
      <c r="S54" s="49"/>
      <c r="U54" s="112"/>
    </row>
    <row r="55" spans="1:21" hidden="1" outlineLevel="2" x14ac:dyDescent="0.3">
      <c r="A55" s="40" t="str">
        <f>VLOOKUP(B55,Grupos!$A$2:$B$619,2,FALSE)</f>
        <v>CAJAS EMPALME</v>
      </c>
      <c r="B55" s="41" t="s">
        <v>875</v>
      </c>
      <c r="C55" s="41" t="s">
        <v>1146</v>
      </c>
      <c r="D55" s="42">
        <v>30</v>
      </c>
      <c r="E55" s="43">
        <f>VLOOKUP(B55,[1]Todos!$A$2:$B$3021,2,FALSE)</f>
        <v>3697.02</v>
      </c>
      <c r="F55" s="43">
        <f>VLOOKUP(B55,[1]Todos!$A$2:$C$3021,3,FALSE)</f>
        <v>383.21</v>
      </c>
      <c r="G55" s="126">
        <f t="shared" si="6"/>
        <v>4080.23</v>
      </c>
      <c r="H55" s="127">
        <f t="shared" si="7"/>
        <v>110910.6</v>
      </c>
      <c r="I55" s="128">
        <f t="shared" si="8"/>
        <v>11496.3</v>
      </c>
      <c r="J55" s="128">
        <f t="shared" si="0"/>
        <v>122406.9</v>
      </c>
      <c r="K55" s="44">
        <f t="shared" si="11"/>
        <v>8.1127975616574193E-5</v>
      </c>
      <c r="L55" s="45">
        <f t="shared" si="12"/>
        <v>1226.3963554715494</v>
      </c>
      <c r="M55" s="45">
        <f t="shared" si="13"/>
        <v>2690.7089520502527</v>
      </c>
      <c r="N55" s="45">
        <f t="shared" si="9"/>
        <v>7997.335307521802</v>
      </c>
      <c r="O55" s="46">
        <f t="shared" si="10"/>
        <v>239920.05922565405</v>
      </c>
      <c r="P55" s="47">
        <f t="shared" si="4"/>
        <v>15030</v>
      </c>
      <c r="Q55" s="42">
        <v>450900</v>
      </c>
      <c r="R55" s="152">
        <f t="shared" si="14"/>
        <v>0.53209150415980055</v>
      </c>
      <c r="S55" s="49"/>
      <c r="U55" s="112"/>
    </row>
    <row r="56" spans="1:21" hidden="1" outlineLevel="2" x14ac:dyDescent="0.3">
      <c r="A56" s="40" t="str">
        <f>VLOOKUP(B56,Grupos!$A$2:$B$619,2,FALSE)</f>
        <v>CAJAS EMPALME</v>
      </c>
      <c r="B56" s="41" t="s">
        <v>74</v>
      </c>
      <c r="C56" s="41" t="s">
        <v>75</v>
      </c>
      <c r="D56" s="42">
        <v>66</v>
      </c>
      <c r="E56" s="43">
        <f>VLOOKUP(B56,[1]Todos!$A$2:$B$3021,2,FALSE)</f>
        <v>4623.5200000000004</v>
      </c>
      <c r="F56" s="43">
        <f>VLOOKUP(B56,[1]Todos!$A$2:$C$3021,3,FALSE)</f>
        <v>408.44</v>
      </c>
      <c r="G56" s="126">
        <f t="shared" si="6"/>
        <v>5031.96</v>
      </c>
      <c r="H56" s="127">
        <f t="shared" si="7"/>
        <v>305152.32</v>
      </c>
      <c r="I56" s="128">
        <f t="shared" si="8"/>
        <v>26957.040000000001</v>
      </c>
      <c r="J56" s="128">
        <f t="shared" si="0"/>
        <v>332109.36</v>
      </c>
      <c r="K56" s="44">
        <f t="shared" si="11"/>
        <v>2.20113082351698E-4</v>
      </c>
      <c r="L56" s="45">
        <f t="shared" si="12"/>
        <v>1512.4582204627236</v>
      </c>
      <c r="M56" s="45">
        <f t="shared" si="13"/>
        <v>2867.8613929057315</v>
      </c>
      <c r="N56" s="45">
        <f t="shared" si="9"/>
        <v>9412.2796133684551</v>
      </c>
      <c r="O56" s="46">
        <f t="shared" si="10"/>
        <v>621210.45448231802</v>
      </c>
      <c r="P56" s="47">
        <f t="shared" si="4"/>
        <v>16303.666818181819</v>
      </c>
      <c r="Q56" s="42">
        <v>1076042.01</v>
      </c>
      <c r="R56" s="152">
        <f t="shared" si="14"/>
        <v>0.57731059634216142</v>
      </c>
      <c r="S56" s="49"/>
      <c r="U56" s="112"/>
    </row>
    <row r="57" spans="1:21" hidden="1" outlineLevel="2" x14ac:dyDescent="0.3">
      <c r="A57" s="40" t="str">
        <f>VLOOKUP(B57,Grupos!$A$2:$B$619,2,FALSE)</f>
        <v>CAJAS EMPALME</v>
      </c>
      <c r="B57" s="41" t="s">
        <v>76</v>
      </c>
      <c r="C57" s="41" t="s">
        <v>77</v>
      </c>
      <c r="D57" s="42">
        <v>630</v>
      </c>
      <c r="E57" s="43">
        <f>VLOOKUP(B57,[1]Todos!$A$2:$B$3021,2,FALSE)</f>
        <v>5549.93</v>
      </c>
      <c r="F57" s="43">
        <f>VLOOKUP(B57,[1]Todos!$A$2:$C$3021,3,FALSE)</f>
        <v>701.09</v>
      </c>
      <c r="G57" s="126">
        <f t="shared" si="6"/>
        <v>6251.02</v>
      </c>
      <c r="H57" s="127">
        <f t="shared" si="7"/>
        <v>3496455.9000000004</v>
      </c>
      <c r="I57" s="128">
        <f t="shared" si="8"/>
        <v>441686.7</v>
      </c>
      <c r="J57" s="128">
        <f t="shared" si="0"/>
        <v>3938142.6</v>
      </c>
      <c r="K57" s="44">
        <f t="shared" si="11"/>
        <v>2.6100941762873839E-3</v>
      </c>
      <c r="L57" s="45">
        <f t="shared" si="12"/>
        <v>1878.8715699800666</v>
      </c>
      <c r="M57" s="45">
        <f t="shared" si="13"/>
        <v>4922.7033198322379</v>
      </c>
      <c r="N57" s="45">
        <f t="shared" si="9"/>
        <v>13052.594889812306</v>
      </c>
      <c r="O57" s="46">
        <f t="shared" si="10"/>
        <v>8223134.7805817528</v>
      </c>
      <c r="P57" s="47">
        <f t="shared" si="4"/>
        <v>18055.14246031746</v>
      </c>
      <c r="Q57" s="42">
        <v>11374739.75</v>
      </c>
      <c r="R57" s="152">
        <f t="shared" si="14"/>
        <v>0.72292948773458776</v>
      </c>
      <c r="S57" s="49"/>
      <c r="U57" s="112"/>
    </row>
    <row r="58" spans="1:21" hidden="1" outlineLevel="2" x14ac:dyDescent="0.3">
      <c r="A58" s="40" t="str">
        <f>VLOOKUP(B58,Grupos!$A$2:$B$619,2,FALSE)</f>
        <v>CAJAS EMPALME</v>
      </c>
      <c r="B58" s="41" t="s">
        <v>78</v>
      </c>
      <c r="C58" s="41" t="s">
        <v>79</v>
      </c>
      <c r="D58" s="42">
        <v>2272</v>
      </c>
      <c r="E58" s="43">
        <f>VLOOKUP(B58,[1]Todos!$A$2:$B$3021,2,FALSE)</f>
        <v>6787.81</v>
      </c>
      <c r="F58" s="43">
        <f>VLOOKUP(B58,[1]Todos!$A$2:$C$3021,3,FALSE)</f>
        <v>539.74</v>
      </c>
      <c r="G58" s="126">
        <f t="shared" si="6"/>
        <v>7327.55</v>
      </c>
      <c r="H58" s="127">
        <f t="shared" si="7"/>
        <v>15421904.32</v>
      </c>
      <c r="I58" s="128">
        <f t="shared" si="8"/>
        <v>1226289.28</v>
      </c>
      <c r="J58" s="128">
        <f t="shared" si="0"/>
        <v>16648193.6</v>
      </c>
      <c r="K58" s="44">
        <f t="shared" si="11"/>
        <v>1.1033971487234843E-2</v>
      </c>
      <c r="L58" s="45">
        <f t="shared" si="12"/>
        <v>2202.4446206550988</v>
      </c>
      <c r="M58" s="45">
        <f t="shared" si="13"/>
        <v>3789.7843213371352</v>
      </c>
      <c r="N58" s="45">
        <f t="shared" si="9"/>
        <v>13319.778941992234</v>
      </c>
      <c r="O58" s="46">
        <f t="shared" si="10"/>
        <v>30262537.756206356</v>
      </c>
      <c r="P58" s="47">
        <f t="shared" si="4"/>
        <v>22860.351857394366</v>
      </c>
      <c r="Q58" s="42">
        <v>51938719.420000002</v>
      </c>
      <c r="R58" s="152">
        <f t="shared" si="14"/>
        <v>0.5826585270901613</v>
      </c>
      <c r="S58" s="49"/>
      <c r="U58" s="112"/>
    </row>
    <row r="59" spans="1:21" hidden="1" outlineLevel="2" x14ac:dyDescent="0.3">
      <c r="A59" s="40" t="str">
        <f>VLOOKUP(B59,Grupos!$A$2:$B$619,2,FALSE)</f>
        <v>CAJAS EMPALME</v>
      </c>
      <c r="B59" s="41" t="s">
        <v>80</v>
      </c>
      <c r="C59" s="41" t="s">
        <v>81</v>
      </c>
      <c r="D59" s="42">
        <v>36</v>
      </c>
      <c r="E59" s="43">
        <f>VLOOKUP(B59,[1]Todos!$A$2:$B$3021,2,FALSE)</f>
        <v>6420.01</v>
      </c>
      <c r="F59" s="43">
        <f>VLOOKUP(B59,[1]Todos!$A$2:$C$3021,3,FALSE)</f>
        <v>404.9</v>
      </c>
      <c r="G59" s="126">
        <f t="shared" si="6"/>
        <v>6824.91</v>
      </c>
      <c r="H59" s="127">
        <f t="shared" si="7"/>
        <v>231120.36000000002</v>
      </c>
      <c r="I59" s="128">
        <f t="shared" si="8"/>
        <v>14576.4</v>
      </c>
      <c r="J59" s="128">
        <f t="shared" si="0"/>
        <v>245696.76</v>
      </c>
      <c r="K59" s="44">
        <f t="shared" si="11"/>
        <v>1.6284115318949572E-4</v>
      </c>
      <c r="L59" s="45">
        <f t="shared" si="12"/>
        <v>2051.3659157501743</v>
      </c>
      <c r="M59" s="45">
        <f t="shared" si="13"/>
        <v>2843.0052834872454</v>
      </c>
      <c r="N59" s="45">
        <f t="shared" si="9"/>
        <v>11719.281199237421</v>
      </c>
      <c r="O59" s="46">
        <f t="shared" si="10"/>
        <v>421894.12317254714</v>
      </c>
      <c r="P59" s="47">
        <f t="shared" si="4"/>
        <v>23100</v>
      </c>
      <c r="Q59" s="42">
        <v>831600</v>
      </c>
      <c r="R59" s="152">
        <f t="shared" si="14"/>
        <v>0.50732819044317834</v>
      </c>
      <c r="S59" s="49"/>
      <c r="U59" s="112"/>
    </row>
    <row r="60" spans="1:21" hidden="1" outlineLevel="2" x14ac:dyDescent="0.3">
      <c r="A60" s="40" t="str">
        <f>VLOOKUP(B60,Grupos!$A$2:$B$619,2,FALSE)</f>
        <v>CAJAS EMPALME</v>
      </c>
      <c r="B60" s="41" t="s">
        <v>82</v>
      </c>
      <c r="C60" s="41" t="s">
        <v>83</v>
      </c>
      <c r="D60" s="42">
        <v>60</v>
      </c>
      <c r="E60" s="43">
        <f>VLOOKUP(B60,[1]Todos!$A$2:$B$3021,2,FALSE)</f>
        <v>7687.44</v>
      </c>
      <c r="F60" s="43">
        <f>VLOOKUP(B60,[1]Todos!$A$2:$C$3021,3,FALSE)</f>
        <v>497.98</v>
      </c>
      <c r="G60" s="126">
        <f t="shared" si="6"/>
        <v>8185.42</v>
      </c>
      <c r="H60" s="127">
        <f t="shared" si="7"/>
        <v>461246.39999999997</v>
      </c>
      <c r="I60" s="128">
        <f t="shared" si="8"/>
        <v>29878.800000000003</v>
      </c>
      <c r="J60" s="128">
        <f t="shared" si="0"/>
        <v>491125.2</v>
      </c>
      <c r="K60" s="44">
        <f t="shared" si="11"/>
        <v>3.2550447115550784E-4</v>
      </c>
      <c r="L60" s="45">
        <f t="shared" si="12"/>
        <v>2460.2949480798711</v>
      </c>
      <c r="M60" s="45">
        <f t="shared" si="13"/>
        <v>3496.5664881970329</v>
      </c>
      <c r="N60" s="45">
        <f t="shared" si="9"/>
        <v>14142.281436276904</v>
      </c>
      <c r="O60" s="46">
        <f t="shared" si="10"/>
        <v>848536.88617661421</v>
      </c>
      <c r="P60" s="47">
        <f t="shared" si="4"/>
        <v>28112.899666666668</v>
      </c>
      <c r="Q60" s="42">
        <v>1686773.98</v>
      </c>
      <c r="R60" s="152">
        <f t="shared" si="14"/>
        <v>0.50305310387620172</v>
      </c>
      <c r="S60" s="49"/>
      <c r="U60" s="112"/>
    </row>
    <row r="61" spans="1:21" hidden="1" outlineLevel="2" x14ac:dyDescent="0.3">
      <c r="A61" s="40" t="str">
        <f>VLOOKUP(B61,Grupos!$A$2:$B$619,2,FALSE)</f>
        <v>CAJAS EMPALME</v>
      </c>
      <c r="B61" s="41" t="s">
        <v>84</v>
      </c>
      <c r="C61" s="41" t="s">
        <v>85</v>
      </c>
      <c r="D61" s="42">
        <v>240</v>
      </c>
      <c r="E61" s="43">
        <f>VLOOKUP(B61,[1]Todos!$A$2:$B$3021,2,FALSE)</f>
        <v>9070.9699999999993</v>
      </c>
      <c r="F61" s="43">
        <f>VLOOKUP(B61,[1]Todos!$A$2:$C$3021,3,FALSE)</f>
        <v>501.95</v>
      </c>
      <c r="G61" s="126">
        <f t="shared" si="6"/>
        <v>9572.92</v>
      </c>
      <c r="H61" s="127">
        <f t="shared" si="7"/>
        <v>2177032.7999999998</v>
      </c>
      <c r="I61" s="128">
        <f t="shared" si="8"/>
        <v>120468</v>
      </c>
      <c r="J61" s="128">
        <f t="shared" si="0"/>
        <v>2297500.7999999998</v>
      </c>
      <c r="K61" s="44">
        <f t="shared" si="11"/>
        <v>1.5227212590259187E-3</v>
      </c>
      <c r="L61" s="45">
        <f t="shared" si="12"/>
        <v>2877.336375454498</v>
      </c>
      <c r="M61" s="45">
        <f t="shared" si="13"/>
        <v>3524.4418425448825</v>
      </c>
      <c r="N61" s="45">
        <f t="shared" si="9"/>
        <v>15974.698217999379</v>
      </c>
      <c r="O61" s="46">
        <f t="shared" si="10"/>
        <v>3833927.5723198513</v>
      </c>
      <c r="P61" s="47">
        <f t="shared" si="4"/>
        <v>30632.949958333335</v>
      </c>
      <c r="Q61" s="42">
        <v>7351907.9900000002</v>
      </c>
      <c r="R61" s="152">
        <f t="shared" si="14"/>
        <v>0.52148742578589469</v>
      </c>
      <c r="S61" s="49"/>
      <c r="U61" s="112"/>
    </row>
    <row r="62" spans="1:21" hidden="1" outlineLevel="2" x14ac:dyDescent="0.3">
      <c r="A62" s="40" t="str">
        <f>VLOOKUP(B62,Grupos!$A$2:$B$619,2,FALSE)</f>
        <v>CAJAS EMPALME</v>
      </c>
      <c r="B62" s="41" t="s">
        <v>86</v>
      </c>
      <c r="C62" s="41" t="s">
        <v>87</v>
      </c>
      <c r="D62" s="42">
        <v>1030</v>
      </c>
      <c r="E62" s="43">
        <f>VLOOKUP(B62,[1]Todos!$A$2:$B$3021,2,FALSE)</f>
        <v>10016.299999999999</v>
      </c>
      <c r="F62" s="43">
        <f>VLOOKUP(B62,[1]Todos!$A$2:$C$3021,3,FALSE)</f>
        <v>527.86</v>
      </c>
      <c r="G62" s="126">
        <f t="shared" si="6"/>
        <v>10544.16</v>
      </c>
      <c r="H62" s="127">
        <f t="shared" si="7"/>
        <v>10316789</v>
      </c>
      <c r="I62" s="128">
        <f t="shared" si="8"/>
        <v>543695.80000000005</v>
      </c>
      <c r="J62" s="128">
        <f t="shared" si="0"/>
        <v>10860484.800000001</v>
      </c>
      <c r="K62" s="44">
        <f t="shared" si="11"/>
        <v>7.198034964030417E-3</v>
      </c>
      <c r="L62" s="45">
        <f t="shared" si="12"/>
        <v>3169.2623689127568</v>
      </c>
      <c r="M62" s="45">
        <f t="shared" si="13"/>
        <v>3706.3689032886577</v>
      </c>
      <c r="N62" s="45">
        <f t="shared" si="9"/>
        <v>17419.791272201415</v>
      </c>
      <c r="O62" s="46">
        <f t="shared" si="10"/>
        <v>17942385.010367457</v>
      </c>
      <c r="P62" s="47">
        <f t="shared" si="4"/>
        <v>32707.223077669907</v>
      </c>
      <c r="Q62" s="42">
        <v>33688439.770000003</v>
      </c>
      <c r="R62" s="152">
        <f t="shared" si="14"/>
        <v>0.53259768433518806</v>
      </c>
      <c r="S62" s="49"/>
      <c r="U62" s="112"/>
    </row>
    <row r="63" spans="1:21" hidden="1" outlineLevel="2" x14ac:dyDescent="0.3">
      <c r="A63" s="40" t="str">
        <f>VLOOKUP(B63,Grupos!$A$2:$B$619,2,FALSE)</f>
        <v>CAJAS EMPALME</v>
      </c>
      <c r="B63" s="41" t="s">
        <v>88</v>
      </c>
      <c r="C63" s="41" t="s">
        <v>89</v>
      </c>
      <c r="D63" s="42">
        <v>1266</v>
      </c>
      <c r="E63" s="43">
        <f>VLOOKUP(B63,[1]Todos!$A$2:$B$3021,2,FALSE)</f>
        <v>11678.42</v>
      </c>
      <c r="F63" s="43">
        <f>VLOOKUP(B63,[1]Todos!$A$2:$C$3021,3,FALSE)</f>
        <v>664.85</v>
      </c>
      <c r="G63" s="126">
        <f t="shared" si="6"/>
        <v>12343.27</v>
      </c>
      <c r="H63" s="127">
        <f t="shared" si="7"/>
        <v>14784879.720000001</v>
      </c>
      <c r="I63" s="128">
        <f t="shared" si="8"/>
        <v>841700.1</v>
      </c>
      <c r="J63" s="128">
        <f t="shared" si="0"/>
        <v>15626579.82</v>
      </c>
      <c r="K63" s="44">
        <f t="shared" si="11"/>
        <v>1.0356873563560636E-2</v>
      </c>
      <c r="L63" s="45">
        <f t="shared" si="12"/>
        <v>3710.0215778525508</v>
      </c>
      <c r="M63" s="45">
        <f t="shared" si="13"/>
        <v>4668.2441657853678</v>
      </c>
      <c r="N63" s="45">
        <f t="shared" si="9"/>
        <v>20721.53574363792</v>
      </c>
      <c r="O63" s="46">
        <f t="shared" si="10"/>
        <v>26233464.251445606</v>
      </c>
      <c r="P63" s="47">
        <f t="shared" si="4"/>
        <v>38457.783878357033</v>
      </c>
      <c r="Q63" s="42">
        <v>48687554.390000001</v>
      </c>
      <c r="R63" s="152">
        <f t="shared" si="14"/>
        <v>0.53881252776240762</v>
      </c>
      <c r="S63" s="49"/>
      <c r="U63" s="112"/>
    </row>
    <row r="64" spans="1:21" hidden="1" outlineLevel="2" x14ac:dyDescent="0.3">
      <c r="A64" s="40" t="str">
        <f>VLOOKUP(B64,Grupos!$A$2:$B$619,2,FALSE)</f>
        <v>CAJAS EMPALME</v>
      </c>
      <c r="B64" s="41" t="s">
        <v>90</v>
      </c>
      <c r="C64" s="41" t="s">
        <v>91</v>
      </c>
      <c r="D64" s="42">
        <v>135</v>
      </c>
      <c r="E64" s="43">
        <f>VLOOKUP(B64,[1]Todos!$A$2:$B$3021,2,FALSE)</f>
        <v>14783.94</v>
      </c>
      <c r="F64" s="43">
        <f>VLOOKUP(B64,[1]Todos!$A$2:$C$3021,3,FALSE)</f>
        <v>656.71</v>
      </c>
      <c r="G64" s="126">
        <f t="shared" si="6"/>
        <v>15440.650000000001</v>
      </c>
      <c r="H64" s="127">
        <f t="shared" si="7"/>
        <v>1995831.9000000001</v>
      </c>
      <c r="I64" s="128">
        <f t="shared" si="8"/>
        <v>88655.85</v>
      </c>
      <c r="J64" s="128">
        <f t="shared" si="0"/>
        <v>2084487.7500000002</v>
      </c>
      <c r="K64" s="44">
        <f t="shared" si="11"/>
        <v>1.3815419829686696E-3</v>
      </c>
      <c r="L64" s="45">
        <f t="shared" si="12"/>
        <v>4641.0023175438118</v>
      </c>
      <c r="M64" s="45">
        <f t="shared" si="13"/>
        <v>4611.089157122522</v>
      </c>
      <c r="N64" s="45">
        <f t="shared" si="9"/>
        <v>24692.741474666334</v>
      </c>
      <c r="O64" s="46">
        <f t="shared" si="10"/>
        <v>3333520.0990799554</v>
      </c>
      <c r="P64" s="47">
        <f t="shared" si="4"/>
        <v>47170.664518518519</v>
      </c>
      <c r="Q64" s="42">
        <v>6368039.71</v>
      </c>
      <c r="R64" s="152">
        <f t="shared" si="14"/>
        <v>0.52347665072584093</v>
      </c>
      <c r="S64" s="49"/>
      <c r="U64" s="112"/>
    </row>
    <row r="65" spans="1:21" hidden="1" outlineLevel="2" x14ac:dyDescent="0.3">
      <c r="A65" s="40" t="str">
        <f>VLOOKUP(B65,Grupos!$A$2:$B$619,2,FALSE)</f>
        <v>CAJAS EMPALME</v>
      </c>
      <c r="B65" s="41" t="s">
        <v>92</v>
      </c>
      <c r="C65" s="41" t="s">
        <v>93</v>
      </c>
      <c r="D65" s="42">
        <v>800</v>
      </c>
      <c r="E65" s="43">
        <f>VLOOKUP(B65,[1]Todos!$A$2:$B$3021,2,FALSE)</f>
        <v>18356.189999999999</v>
      </c>
      <c r="F65" s="43">
        <f>VLOOKUP(B65,[1]Todos!$A$2:$C$3021,3,FALSE)</f>
        <v>904.07</v>
      </c>
      <c r="G65" s="126">
        <f t="shared" si="6"/>
        <v>19260.259999999998</v>
      </c>
      <c r="H65" s="127">
        <f t="shared" si="7"/>
        <v>14684951.999999998</v>
      </c>
      <c r="I65" s="128">
        <f t="shared" si="8"/>
        <v>723256</v>
      </c>
      <c r="J65" s="128">
        <f t="shared" si="0"/>
        <v>15408207.999999998</v>
      </c>
      <c r="K65" s="44">
        <f t="shared" si="11"/>
        <v>1.0212142639990911E-2</v>
      </c>
      <c r="L65" s="45">
        <f t="shared" si="12"/>
        <v>5789.0640158604947</v>
      </c>
      <c r="M65" s="45">
        <f t="shared" si="13"/>
        <v>6347.9273564887981</v>
      </c>
      <c r="N65" s="45">
        <f t="shared" si="9"/>
        <v>31397.251372349292</v>
      </c>
      <c r="O65" s="46">
        <f t="shared" si="10"/>
        <v>25117801.097879432</v>
      </c>
      <c r="P65" s="47">
        <f t="shared" si="4"/>
        <v>58076.024474999998</v>
      </c>
      <c r="Q65" s="42">
        <v>46460819.579999998</v>
      </c>
      <c r="R65" s="152">
        <f t="shared" si="14"/>
        <v>0.54062328914860336</v>
      </c>
      <c r="S65" s="49"/>
      <c r="U65" s="112"/>
    </row>
    <row r="66" spans="1:21" hidden="1" outlineLevel="2" x14ac:dyDescent="0.3">
      <c r="A66" s="40" t="str">
        <f>VLOOKUP(B66,Grupos!$A$2:$B$619,2,FALSE)</f>
        <v>CAJAS EMPALME</v>
      </c>
      <c r="B66" s="41" t="s">
        <v>94</v>
      </c>
      <c r="C66" s="41" t="s">
        <v>95</v>
      </c>
      <c r="D66" s="42">
        <v>506</v>
      </c>
      <c r="E66" s="43">
        <f>VLOOKUP(B66,[1]Todos!$A$2:$B$3021,2,FALSE)</f>
        <v>20905.259999999998</v>
      </c>
      <c r="F66" s="43">
        <f>VLOOKUP(B66,[1]Todos!$A$2:$C$3021,3,FALSE)</f>
        <v>834.04</v>
      </c>
      <c r="G66" s="126">
        <f t="shared" si="6"/>
        <v>21739.3</v>
      </c>
      <c r="H66" s="127">
        <f t="shared" si="7"/>
        <v>10578061.559999999</v>
      </c>
      <c r="I66" s="128">
        <f t="shared" si="8"/>
        <v>422024.24</v>
      </c>
      <c r="J66" s="128">
        <f t="shared" si="0"/>
        <v>11000085.799999999</v>
      </c>
      <c r="K66" s="44">
        <f t="shared" si="11"/>
        <v>7.2905587230999566E-3</v>
      </c>
      <c r="L66" s="45">
        <f t="shared" si="12"/>
        <v>6534.1900555857537</v>
      </c>
      <c r="M66" s="45">
        <f t="shared" si="13"/>
        <v>5856.2117229925962</v>
      </c>
      <c r="N66" s="45">
        <f t="shared" si="9"/>
        <v>34129.701778578346</v>
      </c>
      <c r="O66" s="46">
        <f t="shared" si="10"/>
        <v>17269629.099960644</v>
      </c>
      <c r="P66" s="47">
        <f t="shared" si="4"/>
        <v>68906.749031620551</v>
      </c>
      <c r="Q66" s="42">
        <v>34866815.009999998</v>
      </c>
      <c r="R66" s="152">
        <f t="shared" si="14"/>
        <v>0.49530274259371315</v>
      </c>
      <c r="S66" s="49"/>
      <c r="U66" s="112"/>
    </row>
    <row r="67" spans="1:21" hidden="1" outlineLevel="2" x14ac:dyDescent="0.3">
      <c r="A67" s="40" t="str">
        <f>VLOOKUP(B67,Grupos!$A$2:$B$619,2,FALSE)</f>
        <v>CAJAS EMPALME</v>
      </c>
      <c r="B67" s="41" t="s">
        <v>96</v>
      </c>
      <c r="C67" s="41" t="s">
        <v>97</v>
      </c>
      <c r="D67" s="42">
        <v>138</v>
      </c>
      <c r="E67" s="43">
        <f>VLOOKUP(B67,[1]Todos!$A$2:$B$3021,2,FALSE)</f>
        <v>30303.23</v>
      </c>
      <c r="F67" s="43">
        <f>VLOOKUP(B67,[1]Todos!$A$2:$C$3021,3,FALSE)</f>
        <v>1061.76</v>
      </c>
      <c r="G67" s="126">
        <f t="shared" si="6"/>
        <v>31364.989999999998</v>
      </c>
      <c r="H67" s="127">
        <f t="shared" si="7"/>
        <v>4181845.7399999998</v>
      </c>
      <c r="I67" s="128">
        <f t="shared" si="8"/>
        <v>146522.88</v>
      </c>
      <c r="J67" s="128">
        <f t="shared" si="0"/>
        <v>4328368.62</v>
      </c>
      <c r="K67" s="44">
        <f t="shared" si="11"/>
        <v>2.8687254056993924E-3</v>
      </c>
      <c r="L67" s="45">
        <f t="shared" si="12"/>
        <v>9427.3875309484029</v>
      </c>
      <c r="M67" s="45">
        <f t="shared" si="13"/>
        <v>7455.1476655851275</v>
      </c>
      <c r="N67" s="45">
        <f t="shared" si="9"/>
        <v>48247.525196533534</v>
      </c>
      <c r="O67" s="46">
        <f t="shared" si="10"/>
        <v>6658158.4771216279</v>
      </c>
      <c r="P67" s="47">
        <f t="shared" si="4"/>
        <v>87023.674057971017</v>
      </c>
      <c r="Q67" s="42">
        <v>12009267.02</v>
      </c>
      <c r="R67" s="152">
        <f t="shared" si="14"/>
        <v>0.55441838923501829</v>
      </c>
      <c r="S67" s="49"/>
      <c r="U67" s="112"/>
    </row>
    <row r="68" spans="1:21" hidden="1" outlineLevel="2" x14ac:dyDescent="0.3">
      <c r="A68" s="40" t="str">
        <f>VLOOKUP(B68,Grupos!$A$2:$B$619,2,FALSE)</f>
        <v>CAJAS EMPALME</v>
      </c>
      <c r="B68" s="41" t="s">
        <v>98</v>
      </c>
      <c r="C68" s="41" t="s">
        <v>99</v>
      </c>
      <c r="D68" s="42">
        <v>49</v>
      </c>
      <c r="E68" s="43">
        <f>VLOOKUP(B68,[1]Todos!$A$2:$B$3021,2,FALSE)</f>
        <v>35832.339999999997</v>
      </c>
      <c r="F68" s="43">
        <f>VLOOKUP(B68,[1]Todos!$A$2:$C$3021,3,FALSE)</f>
        <v>1256.9100000000001</v>
      </c>
      <c r="G68" s="126">
        <f t="shared" si="6"/>
        <v>37089.25</v>
      </c>
      <c r="H68" s="127">
        <f t="shared" si="7"/>
        <v>1755784.66</v>
      </c>
      <c r="I68" s="128">
        <f t="shared" si="8"/>
        <v>61588.590000000004</v>
      </c>
      <c r="J68" s="128">
        <f t="shared" si="0"/>
        <v>1817373.25</v>
      </c>
      <c r="K68" s="44">
        <f t="shared" si="11"/>
        <v>1.2045057322112905E-3</v>
      </c>
      <c r="L68" s="45">
        <f t="shared" si="12"/>
        <v>11147.930638021184</v>
      </c>
      <c r="M68" s="45">
        <f t="shared" si="13"/>
        <v>8825.3933585279192</v>
      </c>
      <c r="N68" s="45">
        <f t="shared" si="9"/>
        <v>57062.573996549108</v>
      </c>
      <c r="O68" s="46">
        <f t="shared" si="10"/>
        <v>2796066.1258309064</v>
      </c>
      <c r="P68" s="47">
        <f t="shared" si="4"/>
        <v>111669.41979591838</v>
      </c>
      <c r="Q68" s="42">
        <v>5471801.5700000003</v>
      </c>
      <c r="R68" s="152">
        <f t="shared" si="14"/>
        <v>0.51099552680432936</v>
      </c>
      <c r="S68" s="49"/>
      <c r="U68" s="112"/>
    </row>
    <row r="69" spans="1:21" hidden="1" outlineLevel="2" x14ac:dyDescent="0.3">
      <c r="A69" s="40" t="str">
        <f>VLOOKUP(B69,Grupos!$A$2:$B$619,2,FALSE)</f>
        <v>CAJAS EMPALME</v>
      </c>
      <c r="B69" s="41" t="s">
        <v>100</v>
      </c>
      <c r="C69" s="41" t="s">
        <v>101</v>
      </c>
      <c r="D69" s="42">
        <v>13</v>
      </c>
      <c r="E69" s="43">
        <f>VLOOKUP(B69,[1]Todos!$A$2:$B$3021,2,FALSE)</f>
        <v>42663.97</v>
      </c>
      <c r="F69" s="43">
        <f>VLOOKUP(B69,[1]Todos!$A$2:$C$3021,3,FALSE)</f>
        <v>2101.35</v>
      </c>
      <c r="G69" s="126">
        <f t="shared" si="6"/>
        <v>44765.32</v>
      </c>
      <c r="H69" s="127">
        <f t="shared" si="7"/>
        <v>554631.61</v>
      </c>
      <c r="I69" s="128">
        <f t="shared" si="8"/>
        <v>27317.55</v>
      </c>
      <c r="J69" s="128">
        <f t="shared" si="0"/>
        <v>581949.16</v>
      </c>
      <c r="K69" s="44">
        <f t="shared" si="11"/>
        <v>3.8570013016068409E-4</v>
      </c>
      <c r="L69" s="45">
        <f t="shared" si="12"/>
        <v>13455.130053824825</v>
      </c>
      <c r="M69" s="45">
        <f t="shared" si="13"/>
        <v>14754.628679812111</v>
      </c>
      <c r="N69" s="45">
        <f t="shared" si="9"/>
        <v>72975.078733636939</v>
      </c>
      <c r="O69" s="46">
        <f t="shared" si="10"/>
        <v>948676.02353728027</v>
      </c>
      <c r="P69" s="47">
        <f t="shared" si="4"/>
        <v>123524.50153846154</v>
      </c>
      <c r="Q69" s="42">
        <v>1605818.52</v>
      </c>
      <c r="R69" s="152">
        <f t="shared" si="14"/>
        <v>0.5907741203142185</v>
      </c>
      <c r="S69" s="49"/>
      <c r="U69" s="112"/>
    </row>
    <row r="70" spans="1:21" hidden="1" outlineLevel="2" x14ac:dyDescent="0.3">
      <c r="A70" s="40" t="str">
        <f>VLOOKUP(B70,Grupos!$A$2:$B$619,2,FALSE)</f>
        <v>CAJAS EMPALME</v>
      </c>
      <c r="B70" s="41" t="s">
        <v>631</v>
      </c>
      <c r="C70" s="41" t="s">
        <v>1057</v>
      </c>
      <c r="D70" s="42">
        <v>12</v>
      </c>
      <c r="E70" s="43">
        <v>4623.5200000000004</v>
      </c>
      <c r="F70" s="43">
        <v>378.55</v>
      </c>
      <c r="G70" s="126">
        <f t="shared" si="6"/>
        <v>5002.0700000000006</v>
      </c>
      <c r="H70" s="127">
        <f t="shared" si="7"/>
        <v>55482.240000000005</v>
      </c>
      <c r="I70" s="128">
        <f t="shared" si="8"/>
        <v>4542.6000000000004</v>
      </c>
      <c r="J70" s="128">
        <f t="shared" si="0"/>
        <v>60024.840000000011</v>
      </c>
      <c r="K70" s="44">
        <f t="shared" si="11"/>
        <v>3.9782837045205528E-5</v>
      </c>
      <c r="L70" s="45">
        <f t="shared" si="12"/>
        <v>1503.4741712632804</v>
      </c>
      <c r="M70" s="45">
        <f t="shared" si="13"/>
        <v>2657.9887628157494</v>
      </c>
      <c r="N70" s="45">
        <f t="shared" si="9"/>
        <v>9163.5329340790304</v>
      </c>
      <c r="O70" s="46">
        <f t="shared" si="10"/>
        <v>109962.39520894836</v>
      </c>
      <c r="P70" s="47">
        <f t="shared" si="4"/>
        <v>87999.994999999995</v>
      </c>
      <c r="Q70" s="42">
        <v>1055999.94</v>
      </c>
      <c r="R70" s="152">
        <f t="shared" si="14"/>
        <v>0.10413106198561752</v>
      </c>
      <c r="S70" s="49"/>
      <c r="U70" s="112"/>
    </row>
    <row r="71" spans="1:21" hidden="1" outlineLevel="2" x14ac:dyDescent="0.3">
      <c r="A71" s="40" t="str">
        <f>VLOOKUP(B71,Grupos!$A$2:$B$619,2,FALSE)</f>
        <v>CAJAS EMPALME</v>
      </c>
      <c r="B71" s="41" t="s">
        <v>102</v>
      </c>
      <c r="C71" s="41" t="s">
        <v>103</v>
      </c>
      <c r="D71" s="42">
        <v>108</v>
      </c>
      <c r="E71" s="43">
        <f>VLOOKUP(B71,[1]Todos!$A$2:$B$3021,2,FALSE)</f>
        <v>5462.07</v>
      </c>
      <c r="F71" s="43">
        <f>VLOOKUP(B71,[1]Todos!$A$2:$C$3021,3,FALSE)</f>
        <v>430.78</v>
      </c>
      <c r="G71" s="126">
        <f t="shared" si="6"/>
        <v>5892.8499999999995</v>
      </c>
      <c r="H71" s="127">
        <f t="shared" si="7"/>
        <v>589903.55999999994</v>
      </c>
      <c r="I71" s="128">
        <f t="shared" si="8"/>
        <v>46524.24</v>
      </c>
      <c r="J71" s="128">
        <f t="shared" si="0"/>
        <v>636427.79999999993</v>
      </c>
      <c r="K71" s="44">
        <f t="shared" si="11"/>
        <v>4.2180709616949664E-4</v>
      </c>
      <c r="L71" s="45">
        <f t="shared" si="12"/>
        <v>1771.2162704897812</v>
      </c>
      <c r="M71" s="45">
        <f t="shared" si="13"/>
        <v>3024.7216992359486</v>
      </c>
      <c r="N71" s="45">
        <f t="shared" si="9"/>
        <v>10688.787969725729</v>
      </c>
      <c r="O71" s="46">
        <f t="shared" si="10"/>
        <v>1154389.1007303786</v>
      </c>
      <c r="P71" s="47">
        <f t="shared" si="4"/>
        <v>25839.499907407411</v>
      </c>
      <c r="Q71" s="42">
        <v>2790665.99</v>
      </c>
      <c r="R71" s="152">
        <f t="shared" si="14"/>
        <v>0.41366079096064756</v>
      </c>
      <c r="S71" s="49"/>
      <c r="U71" s="112"/>
    </row>
    <row r="72" spans="1:21" hidden="1" outlineLevel="2" x14ac:dyDescent="0.3">
      <c r="A72" s="40" t="str">
        <f>VLOOKUP(B72,Grupos!$A$2:$B$619,2,FALSE)</f>
        <v>CAJAS EMPALME</v>
      </c>
      <c r="B72" s="41" t="s">
        <v>104</v>
      </c>
      <c r="C72" s="41" t="s">
        <v>105</v>
      </c>
      <c r="D72" s="42">
        <v>76</v>
      </c>
      <c r="E72" s="43">
        <f>VLOOKUP(B72,[1]Todos!$A$2:$B$3021,2,FALSE)</f>
        <v>8869.64</v>
      </c>
      <c r="F72" s="43">
        <f>VLOOKUP(B72,[1]Todos!$A$2:$C$3021,3,FALSE)</f>
        <v>498.29</v>
      </c>
      <c r="G72" s="126">
        <f t="shared" si="6"/>
        <v>9367.93</v>
      </c>
      <c r="H72" s="127">
        <f t="shared" si="7"/>
        <v>674092.6399999999</v>
      </c>
      <c r="I72" s="128">
        <f t="shared" si="8"/>
        <v>37870.04</v>
      </c>
      <c r="J72" s="128">
        <f t="shared" ref="J72:J146" si="15">G72*D72</f>
        <v>711962.68</v>
      </c>
      <c r="K72" s="44">
        <f t="shared" ref="K72:K109" si="16">J72/$J$295</f>
        <v>4.7186956734424957E-4</v>
      </c>
      <c r="L72" s="45">
        <f t="shared" ref="L72:L109" si="17">$K$367*K72/D72</f>
        <v>2815.7224495463724</v>
      </c>
      <c r="M72" s="45">
        <f t="shared" ref="M72:M109" si="18">F72*$M$366</f>
        <v>3498.7431531461093</v>
      </c>
      <c r="N72" s="45">
        <f t="shared" si="9"/>
        <v>15682.395602692482</v>
      </c>
      <c r="O72" s="46">
        <f t="shared" si="10"/>
        <v>1191862.0658046287</v>
      </c>
      <c r="P72" s="47">
        <f t="shared" ref="P72:P146" si="19">Q72/D72</f>
        <v>37908.947763157892</v>
      </c>
      <c r="Q72" s="42">
        <v>2881080.03</v>
      </c>
      <c r="R72" s="152">
        <f t="shared" si="14"/>
        <v>0.41368585856486212</v>
      </c>
      <c r="S72" s="49"/>
      <c r="U72" s="112"/>
    </row>
    <row r="73" spans="1:21" s="93" customFormat="1" outlineLevel="1" collapsed="1" x14ac:dyDescent="0.3">
      <c r="A73" s="50" t="s">
        <v>1020</v>
      </c>
      <c r="B73" s="129"/>
      <c r="C73" s="129"/>
      <c r="D73" s="51">
        <f>SUBTOTAL(9,D53:D72)</f>
        <v>10779</v>
      </c>
      <c r="E73" s="52"/>
      <c r="F73" s="52"/>
      <c r="G73" s="130"/>
      <c r="H73" s="131">
        <f>SUBTOTAL(9,H53:H72)</f>
        <v>94738680.729999974</v>
      </c>
      <c r="I73" s="146">
        <f>SUBTOTAL(9,I53:I72)</f>
        <v>7004879.6499999985</v>
      </c>
      <c r="J73" s="146">
        <f>SUBTOTAL(9,J53:J72)</f>
        <v>101743560.38000001</v>
      </c>
      <c r="K73" s="53"/>
      <c r="L73" s="54"/>
      <c r="M73" s="54"/>
      <c r="N73" s="54"/>
      <c r="O73" s="55">
        <f>SUBTOTAL(9,O53:O72)</f>
        <v>181509424.14011195</v>
      </c>
      <c r="P73" s="56"/>
      <c r="Q73" s="51">
        <f>SUBTOTAL(9,Q53:Q72)</f>
        <v>312923567.37999994</v>
      </c>
      <c r="R73" s="198">
        <f>O73/Q73</f>
        <v>0.58004395661160058</v>
      </c>
      <c r="S73" s="58">
        <f>Q73/$Q$295</f>
        <v>8.0098142951606388E-2</v>
      </c>
      <c r="T73" s="158"/>
      <c r="U73" s="147"/>
    </row>
    <row r="74" spans="1:21" hidden="1" outlineLevel="2" x14ac:dyDescent="0.3">
      <c r="A74" s="40" t="str">
        <f>VLOOKUP(B74,Grupos!$A$2:$B$619,2,FALSE)</f>
        <v>CAJAS PLASTICAS CC</v>
      </c>
      <c r="B74" s="41" t="s">
        <v>106</v>
      </c>
      <c r="C74" s="41" t="s">
        <v>107</v>
      </c>
      <c r="D74" s="42">
        <v>486432</v>
      </c>
      <c r="E74" s="43">
        <f>VLOOKUP(B74,[1]Todos!$A$2:$B$3021,2,FALSE)</f>
        <v>162.25</v>
      </c>
      <c r="F74" s="43">
        <f>VLOOKUP(B74,[1]Todos!$A$2:$C$3021,3,FALSE)</f>
        <v>7.55</v>
      </c>
      <c r="G74" s="126">
        <f t="shared" ref="G74:G147" si="20">E74+F74</f>
        <v>169.8</v>
      </c>
      <c r="H74" s="127">
        <f t="shared" ref="H74:H147" si="21">E74*D74</f>
        <v>78923592</v>
      </c>
      <c r="I74" s="128">
        <f t="shared" ref="I74:I147" si="22">F74*D74</f>
        <v>3672561.6</v>
      </c>
      <c r="J74" s="128">
        <f t="shared" si="15"/>
        <v>82596153.600000009</v>
      </c>
      <c r="K74" s="44">
        <f t="shared" si="16"/>
        <v>5.4742491928834229E-2</v>
      </c>
      <c r="L74" s="45">
        <f t="shared" si="17"/>
        <v>51.03685359871114</v>
      </c>
      <c r="M74" s="45">
        <f t="shared" si="18"/>
        <v>53.012323759764648</v>
      </c>
      <c r="N74" s="45">
        <f t="shared" ref="N74:N147" si="23">G74+L74+M74</f>
        <v>273.8491773584758</v>
      </c>
      <c r="O74" s="46">
        <f t="shared" ref="O74:O147" si="24">N74*D74</f>
        <v>133209003.04083811</v>
      </c>
      <c r="P74" s="47">
        <f t="shared" si="19"/>
        <v>311.63588945628572</v>
      </c>
      <c r="Q74" s="42">
        <v>151589668.97999999</v>
      </c>
      <c r="R74" s="152">
        <f t="shared" si="14"/>
        <v>0.87874723876079619</v>
      </c>
      <c r="S74" s="49"/>
      <c r="U74" s="112"/>
    </row>
    <row r="75" spans="1:21" hidden="1" outlineLevel="2" x14ac:dyDescent="0.3">
      <c r="A75" s="40" t="str">
        <f>VLOOKUP(B75,Grupos!$A$2:$B$619,2,FALSE)</f>
        <v>CAJAS PLASTICAS CC</v>
      </c>
      <c r="B75" s="41" t="s">
        <v>108</v>
      </c>
      <c r="C75" s="41" t="s">
        <v>109</v>
      </c>
      <c r="D75" s="42">
        <v>282150</v>
      </c>
      <c r="E75" s="43">
        <f>VLOOKUP(B75,[1]Todos!$A$2:$B$3021,2,FALSE)</f>
        <v>252.52</v>
      </c>
      <c r="F75" s="43">
        <f>VLOOKUP(B75,[1]Todos!$A$2:$C$3021,3,FALSE)</f>
        <v>10.32</v>
      </c>
      <c r="G75" s="126">
        <f t="shared" si="20"/>
        <v>262.84000000000003</v>
      </c>
      <c r="H75" s="127">
        <f t="shared" si="21"/>
        <v>71248518</v>
      </c>
      <c r="I75" s="128">
        <f t="shared" si="22"/>
        <v>2911788</v>
      </c>
      <c r="J75" s="128">
        <f t="shared" si="15"/>
        <v>74160306.000000015</v>
      </c>
      <c r="K75" s="44">
        <f t="shared" si="16"/>
        <v>4.9151440783858448E-2</v>
      </c>
      <c r="L75" s="45">
        <f t="shared" si="17"/>
        <v>79.001923438664519</v>
      </c>
      <c r="M75" s="45">
        <f t="shared" si="18"/>
        <v>72.461878304737908</v>
      </c>
      <c r="N75" s="45">
        <f t="shared" si="23"/>
        <v>414.30380174340246</v>
      </c>
      <c r="O75" s="46">
        <f t="shared" si="24"/>
        <v>116895817.661901</v>
      </c>
      <c r="P75" s="47">
        <f t="shared" si="19"/>
        <v>470.83063802941695</v>
      </c>
      <c r="Q75" s="42">
        <v>132844864.52</v>
      </c>
      <c r="R75" s="152">
        <f t="shared" ref="R75:R140" si="25">O75/Q75</f>
        <v>0.87994231530344291</v>
      </c>
      <c r="S75" s="49"/>
      <c r="U75" s="112"/>
    </row>
    <row r="76" spans="1:21" hidden="1" outlineLevel="2" x14ac:dyDescent="0.3">
      <c r="A76" s="40" t="str">
        <f>VLOOKUP(B76,Grupos!$A$2:$B$619,2,FALSE)</f>
        <v>CAJAS PLASTICAS CC</v>
      </c>
      <c r="B76" s="41" t="s">
        <v>110</v>
      </c>
      <c r="C76" s="41" t="s">
        <v>111</v>
      </c>
      <c r="D76" s="42">
        <v>163890</v>
      </c>
      <c r="E76" s="43">
        <f>VLOOKUP(B76,[1]Todos!$A$2:$B$3021,2,FALSE)</f>
        <v>204.73</v>
      </c>
      <c r="F76" s="43">
        <f>VLOOKUP(B76,[1]Todos!$A$2:$C$3021,3,FALSE)</f>
        <v>8.8699999999999992</v>
      </c>
      <c r="G76" s="126">
        <f t="shared" si="20"/>
        <v>213.6</v>
      </c>
      <c r="H76" s="127">
        <f t="shared" si="21"/>
        <v>33553199.699999999</v>
      </c>
      <c r="I76" s="128">
        <f t="shared" si="22"/>
        <v>1453704.2999999998</v>
      </c>
      <c r="J76" s="128">
        <f t="shared" si="15"/>
        <v>35006904</v>
      </c>
      <c r="K76" s="44">
        <f t="shared" si="16"/>
        <v>2.3201627147846682E-2</v>
      </c>
      <c r="L76" s="45">
        <f t="shared" si="17"/>
        <v>64.201837035834501</v>
      </c>
      <c r="M76" s="45">
        <f t="shared" si="18"/>
        <v>62.280703542928791</v>
      </c>
      <c r="N76" s="45">
        <f t="shared" si="23"/>
        <v>340.08254057876331</v>
      </c>
      <c r="O76" s="46">
        <f t="shared" si="24"/>
        <v>55736127.57545352</v>
      </c>
      <c r="P76" s="47">
        <f t="shared" si="19"/>
        <v>470.70511904326071</v>
      </c>
      <c r="Q76" s="42">
        <v>77143861.959999993</v>
      </c>
      <c r="R76" s="152">
        <f t="shared" si="25"/>
        <v>0.7224959466555273</v>
      </c>
      <c r="S76" s="49"/>
      <c r="U76" s="112"/>
    </row>
    <row r="77" spans="1:21" s="93" customFormat="1" outlineLevel="1" collapsed="1" x14ac:dyDescent="0.3">
      <c r="A77" s="50" t="s">
        <v>1021</v>
      </c>
      <c r="B77" s="129"/>
      <c r="C77" s="129"/>
      <c r="D77" s="51">
        <f>SUBTOTAL(9,D74:D76)</f>
        <v>932472</v>
      </c>
      <c r="E77" s="52"/>
      <c r="F77" s="52"/>
      <c r="G77" s="130"/>
      <c r="H77" s="131">
        <f>SUBTOTAL(9,H74:H76)</f>
        <v>183725309.69999999</v>
      </c>
      <c r="I77" s="146">
        <f>SUBTOTAL(9,I74:I76)</f>
        <v>8038053.8999999994</v>
      </c>
      <c r="J77" s="146">
        <f>SUBTOTAL(9,J74:J76)</f>
        <v>191763363.60000002</v>
      </c>
      <c r="K77" s="53"/>
      <c r="L77" s="54"/>
      <c r="M77" s="54"/>
      <c r="N77" s="54"/>
      <c r="O77" s="55">
        <f>SUBTOTAL(9,O74:O76)</f>
        <v>305840948.27819264</v>
      </c>
      <c r="P77" s="56"/>
      <c r="Q77" s="51">
        <f>SUBTOTAL(9,Q74:Q76)</f>
        <v>361578395.45999998</v>
      </c>
      <c r="R77" s="198">
        <f>O77/Q77</f>
        <v>0.845849619662983</v>
      </c>
      <c r="S77" s="58">
        <f>Q77/$Q$295</f>
        <v>9.2552178956204101E-2</v>
      </c>
      <c r="T77" s="158"/>
      <c r="U77" s="147"/>
    </row>
    <row r="78" spans="1:21" hidden="1" outlineLevel="2" x14ac:dyDescent="0.3">
      <c r="A78" s="40" t="str">
        <f>VLOOKUP(B78,Grupos!$A$2:$B$619,2,FALSE)</f>
        <v>CAJAS PLASTICAS LH</v>
      </c>
      <c r="B78" s="41" t="s">
        <v>112</v>
      </c>
      <c r="C78" s="41" t="s">
        <v>113</v>
      </c>
      <c r="D78" s="42">
        <v>26784</v>
      </c>
      <c r="E78" s="43">
        <f>VLOOKUP(B78,[1]Todos!$A$2:$B$3021,2,FALSE)</f>
        <v>192.91</v>
      </c>
      <c r="F78" s="43">
        <f>VLOOKUP(B78,[1]Todos!$A$2:$C$3021,3,FALSE)</f>
        <v>7.47</v>
      </c>
      <c r="G78" s="126">
        <f t="shared" si="20"/>
        <v>200.38</v>
      </c>
      <c r="H78" s="127">
        <f t="shared" si="21"/>
        <v>5166901.4399999995</v>
      </c>
      <c r="I78" s="128">
        <f t="shared" si="22"/>
        <v>200076.47999999998</v>
      </c>
      <c r="J78" s="128">
        <f t="shared" si="15"/>
        <v>5366977.92</v>
      </c>
      <c r="K78" s="44">
        <f t="shared" si="16"/>
        <v>3.557087499384856E-3</v>
      </c>
      <c r="L78" s="45">
        <f t="shared" si="17"/>
        <v>60.22829637284886</v>
      </c>
      <c r="M78" s="45">
        <f t="shared" si="18"/>
        <v>52.450603772906213</v>
      </c>
      <c r="N78" s="45">
        <f t="shared" si="23"/>
        <v>313.05890014575505</v>
      </c>
      <c r="O78" s="46">
        <f t="shared" si="24"/>
        <v>8384969.5815039035</v>
      </c>
      <c r="P78" s="47">
        <f t="shared" si="19"/>
        <v>340.13710834826765</v>
      </c>
      <c r="Q78" s="42">
        <v>9110232.3100000005</v>
      </c>
      <c r="R78" s="152">
        <f t="shared" si="25"/>
        <v>0.92039031455871878</v>
      </c>
      <c r="S78" s="49"/>
      <c r="U78" s="112"/>
    </row>
    <row r="79" spans="1:21" hidden="1" outlineLevel="2" x14ac:dyDescent="0.3">
      <c r="A79" s="40" t="str">
        <f>VLOOKUP(B79,Grupos!$A$2:$B$619,2,FALSE)</f>
        <v>CAJAS PLASTICAS LH</v>
      </c>
      <c r="B79" s="41" t="s">
        <v>114</v>
      </c>
      <c r="C79" s="41" t="s">
        <v>115</v>
      </c>
      <c r="D79" s="42">
        <v>63450</v>
      </c>
      <c r="E79" s="43">
        <f>VLOOKUP(B79,[1]Todos!$A$2:$B$3021,2,FALSE)</f>
        <v>296.54000000000002</v>
      </c>
      <c r="F79" s="43">
        <f>VLOOKUP(B79,[1]Todos!$A$2:$C$3021,3,FALSE)</f>
        <v>10.69</v>
      </c>
      <c r="G79" s="126">
        <f t="shared" si="20"/>
        <v>307.23</v>
      </c>
      <c r="H79" s="127">
        <f t="shared" si="21"/>
        <v>18815463</v>
      </c>
      <c r="I79" s="128">
        <f t="shared" si="22"/>
        <v>678280.5</v>
      </c>
      <c r="J79" s="128">
        <f t="shared" si="15"/>
        <v>19493743.5</v>
      </c>
      <c r="K79" s="44">
        <f t="shared" si="16"/>
        <v>1.2919924835477018E-2</v>
      </c>
      <c r="L79" s="45">
        <f t="shared" si="17"/>
        <v>92.34424341067151</v>
      </c>
      <c r="M79" s="45">
        <f t="shared" si="18"/>
        <v>75.059833243958153</v>
      </c>
      <c r="N79" s="45">
        <f t="shared" si="23"/>
        <v>474.63407665462972</v>
      </c>
      <c r="O79" s="46">
        <f t="shared" si="24"/>
        <v>30115532.163736258</v>
      </c>
      <c r="P79" s="47">
        <f t="shared" si="19"/>
        <v>492.60427423167846</v>
      </c>
      <c r="Q79" s="42">
        <v>31255741.199999999</v>
      </c>
      <c r="R79" s="152">
        <f t="shared" si="25"/>
        <v>0.96352001288442513</v>
      </c>
      <c r="S79" s="49"/>
      <c r="U79" s="112"/>
    </row>
    <row r="80" spans="1:21" hidden="1" outlineLevel="2" x14ac:dyDescent="0.3">
      <c r="A80" s="40" t="str">
        <f>VLOOKUP(B80,Grupos!$A$2:$B$619,2,FALSE)</f>
        <v>CAJAS PLASTICAS LH</v>
      </c>
      <c r="B80" s="41" t="s">
        <v>116</v>
      </c>
      <c r="C80" s="41" t="s">
        <v>117</v>
      </c>
      <c r="D80" s="42">
        <v>22950</v>
      </c>
      <c r="E80" s="43">
        <f>VLOOKUP(B80,[1]Todos!$A$2:$B$3021,2,FALSE)</f>
        <v>250.34</v>
      </c>
      <c r="F80" s="43">
        <f>VLOOKUP(B80,[1]Todos!$A$2:$C$3021,3,FALSE)</f>
        <v>8.2799999999999994</v>
      </c>
      <c r="G80" s="126">
        <f t="shared" si="20"/>
        <v>258.62</v>
      </c>
      <c r="H80" s="127">
        <f t="shared" si="21"/>
        <v>5745303</v>
      </c>
      <c r="I80" s="128">
        <f t="shared" si="22"/>
        <v>190025.99999999997</v>
      </c>
      <c r="J80" s="128">
        <f t="shared" si="15"/>
        <v>5935329</v>
      </c>
      <c r="K80" s="44">
        <f t="shared" si="16"/>
        <v>3.9337751906824347E-3</v>
      </c>
      <c r="L80" s="45">
        <f t="shared" si="17"/>
        <v>77.733516358649425</v>
      </c>
      <c r="M80" s="45">
        <f t="shared" si="18"/>
        <v>58.13801863984785</v>
      </c>
      <c r="N80" s="45">
        <f t="shared" si="23"/>
        <v>394.49153499849729</v>
      </c>
      <c r="O80" s="46">
        <f t="shared" si="24"/>
        <v>9053580.7282155119</v>
      </c>
      <c r="P80" s="47">
        <f t="shared" si="19"/>
        <v>493.29412723311549</v>
      </c>
      <c r="Q80" s="42">
        <v>11321100.220000001</v>
      </c>
      <c r="R80" s="152">
        <f t="shared" si="25"/>
        <v>0.79970855767369153</v>
      </c>
      <c r="S80" s="49"/>
      <c r="U80" s="112"/>
    </row>
    <row r="81" spans="1:21" s="93" customFormat="1" outlineLevel="1" collapsed="1" x14ac:dyDescent="0.3">
      <c r="A81" s="50" t="s">
        <v>1022</v>
      </c>
      <c r="B81" s="129"/>
      <c r="C81" s="129"/>
      <c r="D81" s="51">
        <f>SUBTOTAL(9,D78:D80)</f>
        <v>113184</v>
      </c>
      <c r="E81" s="52"/>
      <c r="F81" s="52"/>
      <c r="G81" s="130"/>
      <c r="H81" s="131">
        <f>SUBTOTAL(9,H78:H80)</f>
        <v>29727667.439999998</v>
      </c>
      <c r="I81" s="146">
        <f>SUBTOTAL(9,I78:I80)</f>
        <v>1068382.98</v>
      </c>
      <c r="J81" s="146">
        <f>SUBTOTAL(9,J78:J80)</f>
        <v>30796050.420000002</v>
      </c>
      <c r="K81" s="53"/>
      <c r="L81" s="54"/>
      <c r="M81" s="54"/>
      <c r="N81" s="54"/>
      <c r="O81" s="55">
        <f>SUBTOTAL(9,O78:O80)</f>
        <v>47554082.473455667</v>
      </c>
      <c r="P81" s="56"/>
      <c r="Q81" s="51">
        <f>SUBTOTAL(9,Q78:Q80)</f>
        <v>51687073.729999997</v>
      </c>
      <c r="R81" s="198">
        <f>O81/Q81</f>
        <v>0.92003820378506984</v>
      </c>
      <c r="S81" s="58">
        <f>Q81/$Q$295</f>
        <v>1.3230191177477812E-2</v>
      </c>
      <c r="T81" s="158"/>
      <c r="U81" s="147"/>
    </row>
    <row r="82" spans="1:21" hidden="1" outlineLevel="2" x14ac:dyDescent="0.3">
      <c r="A82" s="40" t="str">
        <f>VLOOKUP(B82,Grupos!$A$2:$B$619,2,FALSE)</f>
        <v>CAJAS TELEFONICAS</v>
      </c>
      <c r="B82" s="41" t="s">
        <v>118</v>
      </c>
      <c r="C82" s="41" t="s">
        <v>119</v>
      </c>
      <c r="D82" s="42">
        <v>160</v>
      </c>
      <c r="E82" s="43">
        <f>VLOOKUP(B82,[1]Todos!$A$2:$B$3021,2,FALSE)</f>
        <v>5915.72</v>
      </c>
      <c r="F82" s="43">
        <f>VLOOKUP(B82,[1]Todos!$A$2:$C$3021,3,FALSE)</f>
        <v>572.53</v>
      </c>
      <c r="G82" s="126">
        <f t="shared" si="20"/>
        <v>6488.25</v>
      </c>
      <c r="H82" s="127">
        <f t="shared" si="21"/>
        <v>946515.20000000007</v>
      </c>
      <c r="I82" s="128">
        <f t="shared" si="22"/>
        <v>91604.799999999988</v>
      </c>
      <c r="J82" s="128">
        <f t="shared" si="15"/>
        <v>1038120</v>
      </c>
      <c r="K82" s="44">
        <f t="shared" si="16"/>
        <v>6.8803779890739831E-4</v>
      </c>
      <c r="L82" s="45">
        <f t="shared" si="17"/>
        <v>1950.1758855231892</v>
      </c>
      <c r="M82" s="45">
        <f t="shared" si="18"/>
        <v>4020.0193009507352</v>
      </c>
      <c r="N82" s="45">
        <f t="shared" si="23"/>
        <v>12458.445186473924</v>
      </c>
      <c r="O82" s="46">
        <f t="shared" si="24"/>
        <v>1993351.2298358278</v>
      </c>
      <c r="P82" s="47">
        <f t="shared" si="19"/>
        <v>33076.311812499996</v>
      </c>
      <c r="Q82" s="42">
        <v>5292209.8899999997</v>
      </c>
      <c r="R82" s="152">
        <f t="shared" si="25"/>
        <v>0.37665762909411515</v>
      </c>
      <c r="S82" s="49"/>
      <c r="U82" s="112"/>
    </row>
    <row r="83" spans="1:21" hidden="1" outlineLevel="2" x14ac:dyDescent="0.3">
      <c r="A83" s="40" t="str">
        <f>VLOOKUP(B83,Grupos!$A$2:$B$619,2,FALSE)</f>
        <v>CAJAS TELEFONICAS</v>
      </c>
      <c r="B83" s="41" t="s">
        <v>120</v>
      </c>
      <c r="C83" s="41" t="s">
        <v>121</v>
      </c>
      <c r="D83" s="42">
        <v>128</v>
      </c>
      <c r="E83" s="43">
        <f>VLOOKUP(B83,[1]Todos!$A$2:$B$3021,2,FALSE)</f>
        <v>6976.34</v>
      </c>
      <c r="F83" s="43">
        <f>VLOOKUP(B83,[1]Todos!$A$2:$C$3021,3,FALSE)</f>
        <v>490.63</v>
      </c>
      <c r="G83" s="126">
        <f t="shared" si="20"/>
        <v>7466.97</v>
      </c>
      <c r="H83" s="127">
        <f t="shared" si="21"/>
        <v>892971.52000000002</v>
      </c>
      <c r="I83" s="128">
        <f t="shared" si="22"/>
        <v>62800.639999999999</v>
      </c>
      <c r="J83" s="128">
        <f t="shared" si="15"/>
        <v>955772.16</v>
      </c>
      <c r="K83" s="44">
        <f t="shared" si="16"/>
        <v>6.3345988250237907E-4</v>
      </c>
      <c r="L83" s="45">
        <f t="shared" si="17"/>
        <v>2244.3501455592941</v>
      </c>
      <c r="M83" s="45">
        <f t="shared" si="18"/>
        <v>3444.9584644044144</v>
      </c>
      <c r="N83" s="45">
        <f t="shared" si="23"/>
        <v>13156.278609963709</v>
      </c>
      <c r="O83" s="46">
        <f t="shared" si="24"/>
        <v>1684003.6620753547</v>
      </c>
      <c r="P83" s="47">
        <f t="shared" si="19"/>
        <v>36247.373437499999</v>
      </c>
      <c r="Q83" s="42">
        <v>4639663.8</v>
      </c>
      <c r="R83" s="152">
        <f t="shared" si="25"/>
        <v>0.36295812254227444</v>
      </c>
      <c r="S83" s="49"/>
      <c r="U83" s="112"/>
    </row>
    <row r="84" spans="1:21" hidden="1" outlineLevel="2" x14ac:dyDescent="0.3">
      <c r="A84" s="40" t="str">
        <f>VLOOKUP(B84,Grupos!$A$2:$B$619,2,FALSE)</f>
        <v>CAJAS TELEFONICAS</v>
      </c>
      <c r="B84" s="41" t="s">
        <v>122</v>
      </c>
      <c r="C84" s="41" t="s">
        <v>123</v>
      </c>
      <c r="D84" s="42">
        <v>200</v>
      </c>
      <c r="E84" s="43">
        <f>VLOOKUP(B84,[1]Todos!$A$2:$B$3021,2,FALSE)</f>
        <v>11364.94</v>
      </c>
      <c r="F84" s="43">
        <f>VLOOKUP(B84,[1]Todos!$A$2:$C$3021,3,FALSE)</f>
        <v>524.96</v>
      </c>
      <c r="G84" s="126">
        <f t="shared" si="20"/>
        <v>11889.900000000001</v>
      </c>
      <c r="H84" s="127">
        <f t="shared" si="21"/>
        <v>2272988</v>
      </c>
      <c r="I84" s="128">
        <f t="shared" si="22"/>
        <v>104992</v>
      </c>
      <c r="J84" s="128">
        <f t="shared" si="15"/>
        <v>2377980.0000000005</v>
      </c>
      <c r="K84" s="44">
        <f t="shared" si="16"/>
        <v>1.5760606914863554E-3</v>
      </c>
      <c r="L84" s="45">
        <f t="shared" si="17"/>
        <v>3573.7519764624008</v>
      </c>
      <c r="M84" s="45">
        <f t="shared" si="18"/>
        <v>3686.0065537650398</v>
      </c>
      <c r="N84" s="45">
        <f t="shared" si="23"/>
        <v>19149.658530227443</v>
      </c>
      <c r="O84" s="46">
        <f t="shared" si="24"/>
        <v>3829931.7060454888</v>
      </c>
      <c r="P84" s="47">
        <f t="shared" si="19"/>
        <v>42598.099549999999</v>
      </c>
      <c r="Q84" s="42">
        <v>8519619.9100000001</v>
      </c>
      <c r="R84" s="152">
        <f t="shared" si="25"/>
        <v>0.44954255547833338</v>
      </c>
      <c r="S84" s="49"/>
      <c r="U84" s="112"/>
    </row>
    <row r="85" spans="1:21" hidden="1" outlineLevel="2" x14ac:dyDescent="0.3">
      <c r="A85" s="40" t="str">
        <f>VLOOKUP(B85,Grupos!$A$2:$B$619,2,FALSE)</f>
        <v>CAJAS TELEFONICAS</v>
      </c>
      <c r="B85" s="41" t="s">
        <v>124</v>
      </c>
      <c r="C85" s="41" t="s">
        <v>1060</v>
      </c>
      <c r="D85" s="42">
        <v>54</v>
      </c>
      <c r="E85" s="43">
        <f>VLOOKUP(B85,[1]Todos!$A$2:$B$3021,2,FALSE)</f>
        <v>13220.83</v>
      </c>
      <c r="F85" s="43">
        <f>VLOOKUP(B85,[1]Todos!$A$2:$C$3021,3,FALSE)</f>
        <v>484.41</v>
      </c>
      <c r="G85" s="126">
        <f t="shared" si="20"/>
        <v>13705.24</v>
      </c>
      <c r="H85" s="127">
        <f t="shared" si="21"/>
        <v>713924.82</v>
      </c>
      <c r="I85" s="128">
        <f t="shared" si="22"/>
        <v>26158.140000000003</v>
      </c>
      <c r="J85" s="128">
        <f t="shared" si="15"/>
        <v>740082.96</v>
      </c>
      <c r="K85" s="44">
        <f t="shared" si="16"/>
        <v>4.9050692675921097E-4</v>
      </c>
      <c r="L85" s="45">
        <f t="shared" si="17"/>
        <v>4119.3894429634856</v>
      </c>
      <c r="M85" s="45">
        <f t="shared" si="18"/>
        <v>3401.2847354261712</v>
      </c>
      <c r="N85" s="45">
        <f t="shared" si="23"/>
        <v>21225.914178389659</v>
      </c>
      <c r="O85" s="46">
        <f t="shared" si="24"/>
        <v>1146199.3656330416</v>
      </c>
      <c r="P85" s="47">
        <f t="shared" si="19"/>
        <v>49763.999074074076</v>
      </c>
      <c r="Q85" s="42">
        <v>2687255.95</v>
      </c>
      <c r="R85" s="152">
        <f t="shared" si="25"/>
        <v>0.42653152024206759</v>
      </c>
      <c r="S85" s="49"/>
      <c r="U85" s="112"/>
    </row>
    <row r="86" spans="1:21" hidden="1" outlineLevel="2" x14ac:dyDescent="0.3">
      <c r="A86" s="40" t="str">
        <f>VLOOKUP(B86,Grupos!$A$2:$B$619,2,FALSE)</f>
        <v>CAJAS TELEFONICAS</v>
      </c>
      <c r="B86" s="41" t="s">
        <v>125</v>
      </c>
      <c r="C86" s="41" t="s">
        <v>126</v>
      </c>
      <c r="D86" s="42">
        <v>22</v>
      </c>
      <c r="E86" s="43">
        <f>VLOOKUP(B86,[1]Todos!$A$2:$B$3021,2,FALSE)</f>
        <v>20766.8</v>
      </c>
      <c r="F86" s="43">
        <f>VLOOKUP(B86,[1]Todos!$A$2:$C$3021,3,FALSE)</f>
        <v>519.24</v>
      </c>
      <c r="G86" s="126">
        <f t="shared" si="20"/>
        <v>21286.04</v>
      </c>
      <c r="H86" s="127">
        <f t="shared" si="21"/>
        <v>456869.6</v>
      </c>
      <c r="I86" s="128">
        <f t="shared" si="22"/>
        <v>11423.28</v>
      </c>
      <c r="J86" s="128">
        <f t="shared" si="15"/>
        <v>468292.88</v>
      </c>
      <c r="K86" s="44">
        <f t="shared" si="16"/>
        <v>3.1037182830424847E-4</v>
      </c>
      <c r="L86" s="45">
        <f t="shared" si="17"/>
        <v>6397.9535169393939</v>
      </c>
      <c r="M86" s="45">
        <f t="shared" si="18"/>
        <v>3645.8435747046615</v>
      </c>
      <c r="N86" s="45">
        <f t="shared" si="23"/>
        <v>31329.837091644054</v>
      </c>
      <c r="O86" s="46">
        <f t="shared" si="24"/>
        <v>689256.41601616924</v>
      </c>
      <c r="P86" s="47">
        <f t="shared" si="19"/>
        <v>71239.498636363642</v>
      </c>
      <c r="Q86" s="42">
        <v>1567268.97</v>
      </c>
      <c r="R86" s="152">
        <f t="shared" si="25"/>
        <v>0.43978183018334704</v>
      </c>
      <c r="S86" s="49"/>
      <c r="U86" s="112"/>
    </row>
    <row r="87" spans="1:21" hidden="1" outlineLevel="2" x14ac:dyDescent="0.3">
      <c r="A87" s="40" t="str">
        <f>VLOOKUP(B87,Grupos!$A$2:$B$619,2,FALSE)</f>
        <v>CAJAS TELEFONICAS</v>
      </c>
      <c r="B87" s="41" t="s">
        <v>127</v>
      </c>
      <c r="C87" s="41" t="s">
        <v>128</v>
      </c>
      <c r="D87" s="42">
        <v>48</v>
      </c>
      <c r="E87" s="43">
        <f>VLOOKUP(B87,[1]Todos!$A$2:$B$3021,2,FALSE)</f>
        <v>22935.13</v>
      </c>
      <c r="F87" s="43">
        <f>VLOOKUP(B87,[1]Todos!$A$2:$C$3021,3,FALSE)</f>
        <v>503.76</v>
      </c>
      <c r="G87" s="126">
        <f t="shared" si="20"/>
        <v>23438.89</v>
      </c>
      <c r="H87" s="127">
        <f t="shared" si="21"/>
        <v>1100886.24</v>
      </c>
      <c r="I87" s="128">
        <f t="shared" si="22"/>
        <v>24180.48</v>
      </c>
      <c r="J87" s="128">
        <f t="shared" si="15"/>
        <v>1125066.72</v>
      </c>
      <c r="K87" s="44">
        <f t="shared" si="16"/>
        <v>7.4566372832886969E-4</v>
      </c>
      <c r="L87" s="45">
        <f t="shared" si="17"/>
        <v>7045.0364985058559</v>
      </c>
      <c r="M87" s="45">
        <f t="shared" si="18"/>
        <v>3537.1507572475548</v>
      </c>
      <c r="N87" s="45">
        <f t="shared" si="23"/>
        <v>34021.077255753407</v>
      </c>
      <c r="O87" s="46">
        <f t="shared" si="24"/>
        <v>1633011.7082761636</v>
      </c>
      <c r="P87" s="47">
        <f t="shared" si="19"/>
        <v>88498.748124999998</v>
      </c>
      <c r="Q87" s="42">
        <v>4247939.91</v>
      </c>
      <c r="R87" s="152">
        <f t="shared" si="25"/>
        <v>0.38442438991001721</v>
      </c>
      <c r="S87" s="49"/>
      <c r="U87" s="112"/>
    </row>
    <row r="88" spans="1:21" hidden="1" outlineLevel="2" x14ac:dyDescent="0.3">
      <c r="A88" s="40" t="str">
        <f>VLOOKUP(B88,Grupos!$A$2:$B$619,2,FALSE)</f>
        <v>CAJAS TELEFONICAS</v>
      </c>
      <c r="B88" s="41" t="s">
        <v>130</v>
      </c>
      <c r="C88" s="41" t="s">
        <v>1062</v>
      </c>
      <c r="D88" s="42">
        <v>17</v>
      </c>
      <c r="E88" s="43">
        <f>VLOOKUP(B88,[1]Todos!$A$2:$B$3021,2,FALSE)</f>
        <v>50373.89</v>
      </c>
      <c r="F88" s="43">
        <f>VLOOKUP(B88,[1]Todos!$A$2:$C$3021,3,FALSE)</f>
        <v>1363.87</v>
      </c>
      <c r="G88" s="126">
        <f t="shared" si="20"/>
        <v>51737.760000000002</v>
      </c>
      <c r="H88" s="127">
        <f t="shared" si="21"/>
        <v>856356.13</v>
      </c>
      <c r="I88" s="128">
        <f t="shared" si="22"/>
        <v>23185.789999999997</v>
      </c>
      <c r="J88" s="128">
        <f t="shared" si="15"/>
        <v>879541.92</v>
      </c>
      <c r="K88" s="44">
        <f t="shared" si="16"/>
        <v>5.8293654556658869E-4</v>
      </c>
      <c r="L88" s="45">
        <f t="shared" si="17"/>
        <v>15550.839120407853</v>
      </c>
      <c r="M88" s="45">
        <f t="shared" si="18"/>
        <v>9576.4129809576425</v>
      </c>
      <c r="N88" s="45">
        <f t="shared" si="23"/>
        <v>76865.012101365501</v>
      </c>
      <c r="O88" s="46">
        <f t="shared" si="24"/>
        <v>1306705.2057232135</v>
      </c>
      <c r="P88" s="47">
        <f t="shared" si="19"/>
        <v>177726.59411764707</v>
      </c>
      <c r="Q88" s="42">
        <v>3021352.1</v>
      </c>
      <c r="R88" s="152">
        <f t="shared" si="25"/>
        <v>0.43249021049986641</v>
      </c>
      <c r="S88" s="49"/>
      <c r="U88" s="112"/>
    </row>
    <row r="89" spans="1:21" s="93" customFormat="1" outlineLevel="1" collapsed="1" x14ac:dyDescent="0.3">
      <c r="A89" s="50" t="s">
        <v>1023</v>
      </c>
      <c r="B89" s="129"/>
      <c r="C89" s="129"/>
      <c r="D89" s="51">
        <f>SUBTOTAL(9,D82:D88)</f>
        <v>629</v>
      </c>
      <c r="E89" s="52"/>
      <c r="F89" s="52"/>
      <c r="G89" s="130"/>
      <c r="H89" s="131">
        <f>SUBTOTAL(9,H82:H88)</f>
        <v>7240511.5099999998</v>
      </c>
      <c r="I89" s="146">
        <f>SUBTOTAL(9,I82:I88)</f>
        <v>344345.13</v>
      </c>
      <c r="J89" s="146">
        <f>SUBTOTAL(9,J82:J88)</f>
        <v>7584856.6399999997</v>
      </c>
      <c r="K89" s="53"/>
      <c r="L89" s="54"/>
      <c r="M89" s="54"/>
      <c r="N89" s="54"/>
      <c r="O89" s="55">
        <f>SUBTOTAL(9,O82:O88)</f>
        <v>12282459.293605259</v>
      </c>
      <c r="P89" s="56"/>
      <c r="Q89" s="51">
        <f>SUBTOTAL(9,Q82:Q88)</f>
        <v>29975310.530000001</v>
      </c>
      <c r="R89" s="198">
        <f>O89/Q89</f>
        <v>0.40975252887914815</v>
      </c>
      <c r="S89" s="58">
        <f>Q89/$Q$295</f>
        <v>7.67269377616135E-3</v>
      </c>
      <c r="T89" s="158"/>
      <c r="U89" s="147"/>
    </row>
    <row r="90" spans="1:21" hidden="1" outlineLevel="2" x14ac:dyDescent="0.3">
      <c r="A90" s="40" t="str">
        <f>VLOOKUP(B90,Grupos!$A$2:$B$619,2,FALSE)</f>
        <v>CE 125</v>
      </c>
      <c r="B90" s="41" t="s">
        <v>131</v>
      </c>
      <c r="C90" s="41" t="s">
        <v>132</v>
      </c>
      <c r="D90" s="42">
        <v>11820</v>
      </c>
      <c r="E90" s="43">
        <f>VLOOKUP(B90,[1]Todos!$A$2:$B$3021,2,FALSE)</f>
        <v>1987.78</v>
      </c>
      <c r="F90" s="43">
        <f>VLOOKUP(B90,[1]Todos!$A$2:$C$3021,3,FALSE)</f>
        <v>304.75</v>
      </c>
      <c r="G90" s="126">
        <f t="shared" si="20"/>
        <v>2292.5299999999997</v>
      </c>
      <c r="H90" s="127">
        <f t="shared" si="21"/>
        <v>23495559.600000001</v>
      </c>
      <c r="I90" s="128">
        <f t="shared" si="22"/>
        <v>3602145</v>
      </c>
      <c r="J90" s="128">
        <f t="shared" si="15"/>
        <v>27097704.599999998</v>
      </c>
      <c r="K90" s="44">
        <f t="shared" si="16"/>
        <v>1.7959624155614841E-2</v>
      </c>
      <c r="L90" s="45">
        <f t="shared" si="17"/>
        <v>689.06665477416504</v>
      </c>
      <c r="M90" s="45">
        <f t="shared" si="18"/>
        <v>2139.8020749388447</v>
      </c>
      <c r="N90" s="45">
        <f t="shared" si="23"/>
        <v>5121.3987297130097</v>
      </c>
      <c r="O90" s="46">
        <f t="shared" si="24"/>
        <v>60534932.985207774</v>
      </c>
      <c r="P90" s="47">
        <f t="shared" si="19"/>
        <v>4837.8172368866326</v>
      </c>
      <c r="Q90" s="42">
        <v>57182999.740000002</v>
      </c>
      <c r="R90" s="162">
        <f t="shared" si="25"/>
        <v>1.0586176531565039</v>
      </c>
      <c r="S90" s="49"/>
      <c r="U90" s="112"/>
    </row>
    <row r="91" spans="1:21" hidden="1" outlineLevel="2" x14ac:dyDescent="0.3">
      <c r="A91" s="40" t="str">
        <f>VLOOKUP(B91,Grupos!$A$2:$B$619,2,FALSE)</f>
        <v>CE 125</v>
      </c>
      <c r="B91" s="41" t="s">
        <v>133</v>
      </c>
      <c r="C91" s="41" t="s">
        <v>134</v>
      </c>
      <c r="D91" s="42">
        <v>120</v>
      </c>
      <c r="E91" s="43">
        <f>VLOOKUP(B91,[1]Todos!$A$2:$B$3021,2,FALSE)</f>
        <v>1946.49</v>
      </c>
      <c r="F91" s="43">
        <f>VLOOKUP(B91,[1]Todos!$A$2:$C$3021,3,FALSE)</f>
        <v>334.79</v>
      </c>
      <c r="G91" s="126">
        <f t="shared" si="20"/>
        <v>2281.2800000000002</v>
      </c>
      <c r="H91" s="127">
        <f t="shared" si="21"/>
        <v>233578.8</v>
      </c>
      <c r="I91" s="128">
        <f t="shared" si="22"/>
        <v>40174.800000000003</v>
      </c>
      <c r="J91" s="128">
        <f t="shared" si="15"/>
        <v>273753.60000000003</v>
      </c>
      <c r="K91" s="44">
        <f t="shared" si="16"/>
        <v>1.8143646629192807E-4</v>
      </c>
      <c r="L91" s="45">
        <f t="shared" si="17"/>
        <v>685.68523779545205</v>
      </c>
      <c r="M91" s="45">
        <f t="shared" si="18"/>
        <v>2350.7279300041864</v>
      </c>
      <c r="N91" s="45">
        <f t="shared" si="23"/>
        <v>5317.6931677996381</v>
      </c>
      <c r="O91" s="46">
        <f t="shared" si="24"/>
        <v>638123.18013595662</v>
      </c>
      <c r="P91" s="47">
        <f t="shared" si="19"/>
        <v>5544.0002500000001</v>
      </c>
      <c r="Q91" s="42">
        <v>665280.03</v>
      </c>
      <c r="R91" s="162">
        <f t="shared" si="25"/>
        <v>0.95917982106866573</v>
      </c>
      <c r="S91" s="49"/>
      <c r="U91" s="112"/>
    </row>
    <row r="92" spans="1:21" hidden="1" outlineLevel="2" x14ac:dyDescent="0.3">
      <c r="A92" s="40" t="str">
        <f>VLOOKUP(B92,Grupos!$A$2:$B$619,2,FALSE)</f>
        <v>CE 125</v>
      </c>
      <c r="B92" s="41" t="s">
        <v>138</v>
      </c>
      <c r="C92" s="41" t="s">
        <v>139</v>
      </c>
      <c r="D92" s="42">
        <v>15840</v>
      </c>
      <c r="E92" s="43">
        <f>VLOOKUP(B92,[1]Todos!$A$2:$B$3021,2,FALSE)</f>
        <v>1987.78</v>
      </c>
      <c r="F92" s="43">
        <f>VLOOKUP(B92,[1]Todos!$A$2:$C$3021,3,FALSE)</f>
        <v>324.11</v>
      </c>
      <c r="G92" s="126">
        <f t="shared" si="20"/>
        <v>2311.89</v>
      </c>
      <c r="H92" s="127">
        <f t="shared" si="21"/>
        <v>31486435.199999999</v>
      </c>
      <c r="I92" s="128">
        <f t="shared" si="22"/>
        <v>5133902.4000000004</v>
      </c>
      <c r="J92" s="128">
        <f t="shared" si="15"/>
        <v>36620337.600000001</v>
      </c>
      <c r="K92" s="44">
        <f t="shared" si="16"/>
        <v>2.4270967207596267E-2</v>
      </c>
      <c r="L92" s="45">
        <f t="shared" si="17"/>
        <v>694.88569768153286</v>
      </c>
      <c r="M92" s="45">
        <f t="shared" si="18"/>
        <v>2275.7383117585855</v>
      </c>
      <c r="N92" s="45">
        <f t="shared" si="23"/>
        <v>5282.5140094401177</v>
      </c>
      <c r="O92" s="46">
        <f t="shared" si="24"/>
        <v>83675021.909531459</v>
      </c>
      <c r="P92" s="47">
        <f t="shared" si="19"/>
        <v>4939.2650877525248</v>
      </c>
      <c r="Q92" s="42">
        <v>78237958.989999995</v>
      </c>
      <c r="R92" s="162">
        <f t="shared" si="25"/>
        <v>1.0694939258349825</v>
      </c>
      <c r="S92" s="49"/>
      <c r="U92" s="112"/>
    </row>
    <row r="93" spans="1:21" hidden="1" outlineLevel="2" x14ac:dyDescent="0.3">
      <c r="A93" s="40" t="str">
        <f>VLOOKUP(B93,Grupos!$A$2:$B$619,2,FALSE)</f>
        <v>CE 125</v>
      </c>
      <c r="B93" s="41" t="s">
        <v>140</v>
      </c>
      <c r="C93" s="41" t="s">
        <v>141</v>
      </c>
      <c r="D93" s="42">
        <v>1320</v>
      </c>
      <c r="E93" s="43">
        <f>VLOOKUP(B93,[1]Todos!$A$2:$B$3021,2,FALSE)</f>
        <v>1946.49</v>
      </c>
      <c r="F93" s="43">
        <f>VLOOKUP(B93,[1]Todos!$A$2:$C$3021,3,FALSE)</f>
        <v>311.52999999999997</v>
      </c>
      <c r="G93" s="126">
        <f t="shared" si="20"/>
        <v>2258.02</v>
      </c>
      <c r="H93" s="127">
        <f t="shared" si="21"/>
        <v>2569366.7999999998</v>
      </c>
      <c r="I93" s="128">
        <f t="shared" si="22"/>
        <v>411219.6</v>
      </c>
      <c r="J93" s="128">
        <f t="shared" si="15"/>
        <v>2980586.4</v>
      </c>
      <c r="K93" s="44">
        <f t="shared" si="16"/>
        <v>1.9754518804274324E-3</v>
      </c>
      <c r="L93" s="45">
        <f t="shared" si="17"/>
        <v>678.69397033546352</v>
      </c>
      <c r="M93" s="45">
        <f t="shared" si="18"/>
        <v>2187.4078438250967</v>
      </c>
      <c r="N93" s="45">
        <f t="shared" si="23"/>
        <v>5124.1218141605605</v>
      </c>
      <c r="O93" s="46">
        <f t="shared" si="24"/>
        <v>6763840.7946919398</v>
      </c>
      <c r="P93" s="47">
        <f t="shared" si="19"/>
        <v>5705.0001439393945</v>
      </c>
      <c r="Q93" s="42">
        <v>7530600.1900000004</v>
      </c>
      <c r="R93" s="162">
        <f t="shared" si="25"/>
        <v>0.89818083871638121</v>
      </c>
      <c r="S93" s="49"/>
      <c r="U93" s="112"/>
    </row>
    <row r="94" spans="1:21" hidden="1" outlineLevel="2" x14ac:dyDescent="0.3">
      <c r="A94" s="40" t="str">
        <f>VLOOKUP(B94,Grupos!$A$2:$B$619,2,FALSE)</f>
        <v>CE 125</v>
      </c>
      <c r="B94" s="41" t="s">
        <v>142</v>
      </c>
      <c r="C94" s="41" t="s">
        <v>143</v>
      </c>
      <c r="D94" s="42">
        <v>10980</v>
      </c>
      <c r="E94" s="43">
        <f>VLOOKUP(B94,[1]Todos!$A$2:$B$3021,2,FALSE)</f>
        <v>1984.17</v>
      </c>
      <c r="F94" s="43">
        <f>VLOOKUP(B94,[1]Todos!$A$2:$C$3021,3,FALSE)</f>
        <v>359.89</v>
      </c>
      <c r="G94" s="126">
        <f t="shared" si="20"/>
        <v>2344.06</v>
      </c>
      <c r="H94" s="127">
        <f t="shared" si="21"/>
        <v>21786186.600000001</v>
      </c>
      <c r="I94" s="128">
        <f t="shared" si="22"/>
        <v>3951592.1999999997</v>
      </c>
      <c r="J94" s="128">
        <f t="shared" si="15"/>
        <v>25737778.800000001</v>
      </c>
      <c r="K94" s="44">
        <f t="shared" si="16"/>
        <v>1.705830219465717E-2</v>
      </c>
      <c r="L94" s="45">
        <f t="shared" si="17"/>
        <v>704.55504738866216</v>
      </c>
      <c r="M94" s="45">
        <f t="shared" si="18"/>
        <v>2526.9675758810195</v>
      </c>
      <c r="N94" s="45">
        <f t="shared" si="23"/>
        <v>5575.5826232696818</v>
      </c>
      <c r="O94" s="46">
        <f t="shared" si="24"/>
        <v>61219897.203501105</v>
      </c>
      <c r="P94" s="47">
        <f t="shared" si="19"/>
        <v>4813.7595646630243</v>
      </c>
      <c r="Q94" s="42">
        <v>52855080.020000003</v>
      </c>
      <c r="R94" s="162">
        <f t="shared" si="25"/>
        <v>1.1582594744031398</v>
      </c>
      <c r="S94" s="49"/>
      <c r="U94" s="112"/>
    </row>
    <row r="95" spans="1:21" s="93" customFormat="1" outlineLevel="1" collapsed="1" x14ac:dyDescent="0.3">
      <c r="A95" s="50" t="s">
        <v>1024</v>
      </c>
      <c r="B95" s="129"/>
      <c r="C95" s="129"/>
      <c r="D95" s="51">
        <f>SUBTOTAL(9,D90:D94)</f>
        <v>40080</v>
      </c>
      <c r="E95" s="52"/>
      <c r="F95" s="52"/>
      <c r="G95" s="130"/>
      <c r="H95" s="131">
        <f>SUBTOTAL(9,H90:H94)</f>
        <v>79571127</v>
      </c>
      <c r="I95" s="146">
        <f>SUBTOTAL(9,I90:I94)</f>
        <v>13139033.999999998</v>
      </c>
      <c r="J95" s="146">
        <f>SUBTOTAL(9,J90:J94)</f>
        <v>92710161</v>
      </c>
      <c r="K95" s="53"/>
      <c r="L95" s="54"/>
      <c r="M95" s="54"/>
      <c r="N95" s="54"/>
      <c r="O95" s="55">
        <f>SUBTOTAL(9,O90:O94)</f>
        <v>212831816.07306823</v>
      </c>
      <c r="P95" s="56"/>
      <c r="Q95" s="51">
        <f>SUBTOTAL(9,Q90:Q94)</f>
        <v>196471918.97</v>
      </c>
      <c r="R95" s="198">
        <f>O95/Q95</f>
        <v>1.0832683733575499</v>
      </c>
      <c r="S95" s="58">
        <f>Q95/$Q$295</f>
        <v>5.0290350398968696E-2</v>
      </c>
      <c r="T95" s="158"/>
      <c r="U95" s="147"/>
    </row>
    <row r="96" spans="1:21" hidden="1" outlineLevel="2" x14ac:dyDescent="0.3">
      <c r="A96" s="40" t="str">
        <f>VLOOKUP(B96,Grupos!$A$2:$B$619,2,FALSE)</f>
        <v>EXCEDENTES INDUSTRIALES</v>
      </c>
      <c r="B96" s="41" t="s">
        <v>1148</v>
      </c>
      <c r="C96" s="41" t="s">
        <v>1149</v>
      </c>
      <c r="D96" s="42">
        <v>55</v>
      </c>
      <c r="E96" s="43">
        <v>0</v>
      </c>
      <c r="F96" s="43">
        <v>0</v>
      </c>
      <c r="G96" s="126">
        <f t="shared" si="20"/>
        <v>0</v>
      </c>
      <c r="H96" s="127">
        <f t="shared" si="21"/>
        <v>0</v>
      </c>
      <c r="I96" s="128">
        <f t="shared" si="22"/>
        <v>0</v>
      </c>
      <c r="J96" s="128">
        <f t="shared" si="15"/>
        <v>0</v>
      </c>
      <c r="K96" s="44">
        <f t="shared" si="16"/>
        <v>0</v>
      </c>
      <c r="L96" s="45">
        <f t="shared" si="17"/>
        <v>0</v>
      </c>
      <c r="M96" s="45">
        <f t="shared" si="18"/>
        <v>0</v>
      </c>
      <c r="N96" s="45">
        <f t="shared" si="23"/>
        <v>0</v>
      </c>
      <c r="O96" s="46">
        <f t="shared" si="24"/>
        <v>0</v>
      </c>
      <c r="P96" s="47">
        <f t="shared" si="19"/>
        <v>1000</v>
      </c>
      <c r="Q96" s="42">
        <v>55000</v>
      </c>
      <c r="R96" s="152">
        <f t="shared" si="25"/>
        <v>0</v>
      </c>
      <c r="S96" s="49"/>
      <c r="U96" s="112"/>
    </row>
    <row r="97" spans="1:21" hidden="1" outlineLevel="2" x14ac:dyDescent="0.3">
      <c r="A97" s="40" t="str">
        <f>VLOOKUP(B97,Grupos!$A$2:$B$619,2,FALSE)</f>
        <v>EXCEDENTES INDUSTRIALES</v>
      </c>
      <c r="B97" s="41" t="s">
        <v>716</v>
      </c>
      <c r="C97" s="41" t="s">
        <v>717</v>
      </c>
      <c r="D97" s="42">
        <v>79.55</v>
      </c>
      <c r="E97" s="43">
        <v>0</v>
      </c>
      <c r="F97" s="43">
        <v>0</v>
      </c>
      <c r="G97" s="126">
        <f t="shared" si="20"/>
        <v>0</v>
      </c>
      <c r="H97" s="127">
        <f t="shared" si="21"/>
        <v>0</v>
      </c>
      <c r="I97" s="128">
        <f t="shared" si="22"/>
        <v>0</v>
      </c>
      <c r="J97" s="128">
        <f t="shared" si="15"/>
        <v>0</v>
      </c>
      <c r="K97" s="44">
        <f t="shared" si="16"/>
        <v>0</v>
      </c>
      <c r="L97" s="45">
        <f t="shared" si="17"/>
        <v>0</v>
      </c>
      <c r="M97" s="45">
        <f t="shared" si="18"/>
        <v>0</v>
      </c>
      <c r="N97" s="45">
        <f t="shared" si="23"/>
        <v>0</v>
      </c>
      <c r="O97" s="46">
        <f t="shared" si="24"/>
        <v>0</v>
      </c>
      <c r="P97" s="47">
        <f t="shared" si="19"/>
        <v>500</v>
      </c>
      <c r="Q97" s="42">
        <v>39775</v>
      </c>
      <c r="R97" s="152">
        <f t="shared" si="25"/>
        <v>0</v>
      </c>
      <c r="S97" s="49"/>
      <c r="U97" s="112"/>
    </row>
    <row r="98" spans="1:21" hidden="1" outlineLevel="2" x14ac:dyDescent="0.3">
      <c r="A98" s="40" t="str">
        <f>VLOOKUP(B98,Grupos!$A$2:$B$619,2,FALSE)</f>
        <v>EXCEDENTES INDUSTRIALES</v>
      </c>
      <c r="B98" s="41" t="s">
        <v>739</v>
      </c>
      <c r="C98" s="41" t="s">
        <v>740</v>
      </c>
      <c r="D98" s="42">
        <v>496</v>
      </c>
      <c r="E98" s="43">
        <v>0</v>
      </c>
      <c r="F98" s="43">
        <v>0</v>
      </c>
      <c r="G98" s="126">
        <f t="shared" si="20"/>
        <v>0</v>
      </c>
      <c r="H98" s="127">
        <f t="shared" si="21"/>
        <v>0</v>
      </c>
      <c r="I98" s="128">
        <f t="shared" si="22"/>
        <v>0</v>
      </c>
      <c r="J98" s="128">
        <f t="shared" si="15"/>
        <v>0</v>
      </c>
      <c r="K98" s="44">
        <f t="shared" si="16"/>
        <v>0</v>
      </c>
      <c r="L98" s="45">
        <f t="shared" si="17"/>
        <v>0</v>
      </c>
      <c r="M98" s="45">
        <f t="shared" si="18"/>
        <v>0</v>
      </c>
      <c r="N98" s="45">
        <f t="shared" si="23"/>
        <v>0</v>
      </c>
      <c r="O98" s="46">
        <f t="shared" si="24"/>
        <v>0</v>
      </c>
      <c r="P98" s="47">
        <f t="shared" si="19"/>
        <v>300</v>
      </c>
      <c r="Q98" s="42">
        <v>148800</v>
      </c>
      <c r="R98" s="152">
        <f t="shared" si="25"/>
        <v>0</v>
      </c>
      <c r="S98" s="49"/>
      <c r="U98" s="112"/>
    </row>
    <row r="99" spans="1:21" hidden="1" outlineLevel="2" x14ac:dyDescent="0.3">
      <c r="A99" s="40" t="str">
        <f>VLOOKUP(B99,Grupos!$A$2:$B$619,2,FALSE)</f>
        <v>EXCEDENTES INDUSTRIALES</v>
      </c>
      <c r="B99" s="41" t="s">
        <v>678</v>
      </c>
      <c r="C99" s="41" t="s">
        <v>679</v>
      </c>
      <c r="D99" s="42">
        <v>74</v>
      </c>
      <c r="E99" s="43">
        <v>0</v>
      </c>
      <c r="F99" s="43">
        <v>0</v>
      </c>
      <c r="G99" s="126">
        <f t="shared" si="20"/>
        <v>0</v>
      </c>
      <c r="H99" s="127">
        <f t="shared" si="21"/>
        <v>0</v>
      </c>
      <c r="I99" s="128">
        <f t="shared" si="22"/>
        <v>0</v>
      </c>
      <c r="J99" s="128">
        <f t="shared" si="15"/>
        <v>0</v>
      </c>
      <c r="K99" s="44">
        <f t="shared" si="16"/>
        <v>0</v>
      </c>
      <c r="L99" s="45">
        <f t="shared" si="17"/>
        <v>0</v>
      </c>
      <c r="M99" s="45">
        <f t="shared" si="18"/>
        <v>0</v>
      </c>
      <c r="N99" s="45">
        <f t="shared" si="23"/>
        <v>0</v>
      </c>
      <c r="O99" s="46">
        <f t="shared" si="24"/>
        <v>0</v>
      </c>
      <c r="P99" s="47">
        <f t="shared" si="19"/>
        <v>500</v>
      </c>
      <c r="Q99" s="42">
        <v>37000</v>
      </c>
      <c r="R99" s="152">
        <f t="shared" si="25"/>
        <v>0</v>
      </c>
      <c r="S99" s="49"/>
      <c r="U99" s="112"/>
    </row>
    <row r="100" spans="1:21" hidden="1" outlineLevel="2" x14ac:dyDescent="0.3">
      <c r="A100" s="40" t="str">
        <f>VLOOKUP(B100,Grupos!$A$2:$B$619,2,FALSE)</f>
        <v>EXCEDENTES INDUSTRIALES</v>
      </c>
      <c r="B100" s="41" t="s">
        <v>680</v>
      </c>
      <c r="C100" s="41" t="s">
        <v>681</v>
      </c>
      <c r="D100" s="42">
        <v>43</v>
      </c>
      <c r="E100" s="43">
        <v>0</v>
      </c>
      <c r="F100" s="43">
        <v>0</v>
      </c>
      <c r="G100" s="126">
        <f t="shared" si="20"/>
        <v>0</v>
      </c>
      <c r="H100" s="127">
        <f t="shared" si="21"/>
        <v>0</v>
      </c>
      <c r="I100" s="128">
        <f t="shared" si="22"/>
        <v>0</v>
      </c>
      <c r="J100" s="128">
        <f t="shared" si="15"/>
        <v>0</v>
      </c>
      <c r="K100" s="44">
        <f t="shared" si="16"/>
        <v>0</v>
      </c>
      <c r="L100" s="45">
        <f t="shared" si="17"/>
        <v>0</v>
      </c>
      <c r="M100" s="45">
        <f t="shared" si="18"/>
        <v>0</v>
      </c>
      <c r="N100" s="45">
        <f t="shared" si="23"/>
        <v>0</v>
      </c>
      <c r="O100" s="46">
        <f t="shared" si="24"/>
        <v>0</v>
      </c>
      <c r="P100" s="47">
        <f t="shared" si="19"/>
        <v>1000</v>
      </c>
      <c r="Q100" s="42">
        <v>43000</v>
      </c>
      <c r="R100" s="152">
        <f t="shared" si="25"/>
        <v>0</v>
      </c>
      <c r="S100" s="49"/>
      <c r="U100" s="112"/>
    </row>
    <row r="101" spans="1:21" hidden="1" outlineLevel="2" x14ac:dyDescent="0.3">
      <c r="A101" s="40" t="str">
        <f>VLOOKUP(B101,Grupos!$A$2:$B$619,2,FALSE)</f>
        <v>EXCEDENTES INDUSTRIALES</v>
      </c>
      <c r="B101" s="41" t="s">
        <v>720</v>
      </c>
      <c r="C101" s="41" t="s">
        <v>1107</v>
      </c>
      <c r="D101" s="42">
        <v>4</v>
      </c>
      <c r="E101" s="43">
        <v>0</v>
      </c>
      <c r="F101" s="43">
        <v>0</v>
      </c>
      <c r="G101" s="126">
        <f t="shared" si="20"/>
        <v>0</v>
      </c>
      <c r="H101" s="127">
        <f t="shared" si="21"/>
        <v>0</v>
      </c>
      <c r="I101" s="128">
        <f t="shared" si="22"/>
        <v>0</v>
      </c>
      <c r="J101" s="128">
        <f t="shared" si="15"/>
        <v>0</v>
      </c>
      <c r="K101" s="44">
        <f t="shared" si="16"/>
        <v>0</v>
      </c>
      <c r="L101" s="45">
        <f t="shared" si="17"/>
        <v>0</v>
      </c>
      <c r="M101" s="45">
        <f t="shared" si="18"/>
        <v>0</v>
      </c>
      <c r="N101" s="45">
        <f t="shared" si="23"/>
        <v>0</v>
      </c>
      <c r="O101" s="46">
        <f t="shared" si="24"/>
        <v>0</v>
      </c>
      <c r="P101" s="47">
        <f t="shared" si="19"/>
        <v>4000</v>
      </c>
      <c r="Q101" s="42">
        <v>16000</v>
      </c>
      <c r="R101" s="152">
        <f t="shared" si="25"/>
        <v>0</v>
      </c>
      <c r="S101" s="49"/>
      <c r="U101" s="112"/>
    </row>
    <row r="102" spans="1:21" hidden="1" outlineLevel="2" x14ac:dyDescent="0.3">
      <c r="A102" s="40" t="str">
        <f>VLOOKUP(B102,Grupos!$A$2:$B$619,2,FALSE)</f>
        <v>EXCEDENTES INDUSTRIALES</v>
      </c>
      <c r="B102" s="41" t="s">
        <v>682</v>
      </c>
      <c r="C102" s="41" t="s">
        <v>1063</v>
      </c>
      <c r="D102" s="42">
        <v>220.7</v>
      </c>
      <c r="E102" s="43">
        <v>0</v>
      </c>
      <c r="F102" s="43">
        <v>0</v>
      </c>
      <c r="G102" s="126">
        <f t="shared" si="20"/>
        <v>0</v>
      </c>
      <c r="H102" s="127">
        <f t="shared" si="21"/>
        <v>0</v>
      </c>
      <c r="I102" s="128">
        <f t="shared" si="22"/>
        <v>0</v>
      </c>
      <c r="J102" s="128">
        <f t="shared" si="15"/>
        <v>0</v>
      </c>
      <c r="K102" s="44">
        <f t="shared" si="16"/>
        <v>0</v>
      </c>
      <c r="L102" s="45">
        <f t="shared" si="17"/>
        <v>0</v>
      </c>
      <c r="M102" s="45">
        <f t="shared" si="18"/>
        <v>0</v>
      </c>
      <c r="N102" s="45">
        <f t="shared" si="23"/>
        <v>0</v>
      </c>
      <c r="O102" s="46">
        <f t="shared" si="24"/>
        <v>0</v>
      </c>
      <c r="P102" s="47">
        <f t="shared" si="19"/>
        <v>7500</v>
      </c>
      <c r="Q102" s="42">
        <v>1655250</v>
      </c>
      <c r="R102" s="152">
        <f t="shared" si="25"/>
        <v>0</v>
      </c>
      <c r="S102" s="49"/>
      <c r="U102" s="112"/>
    </row>
    <row r="103" spans="1:21" hidden="1" outlineLevel="2" x14ac:dyDescent="0.3">
      <c r="A103" s="40" t="str">
        <f>VLOOKUP(B103,Grupos!$A$2:$B$619,2,FALSE)</f>
        <v>EXCEDENTES INDUSTRIALES</v>
      </c>
      <c r="B103" s="41" t="s">
        <v>703</v>
      </c>
      <c r="C103" s="41" t="s">
        <v>1064</v>
      </c>
      <c r="D103" s="42">
        <v>30</v>
      </c>
      <c r="E103" s="43">
        <v>0</v>
      </c>
      <c r="F103" s="43">
        <v>0</v>
      </c>
      <c r="G103" s="126">
        <f t="shared" si="20"/>
        <v>0</v>
      </c>
      <c r="H103" s="127">
        <f t="shared" si="21"/>
        <v>0</v>
      </c>
      <c r="I103" s="128">
        <f t="shared" si="22"/>
        <v>0</v>
      </c>
      <c r="J103" s="128">
        <f t="shared" si="15"/>
        <v>0</v>
      </c>
      <c r="K103" s="44">
        <f t="shared" si="16"/>
        <v>0</v>
      </c>
      <c r="L103" s="45">
        <f t="shared" si="17"/>
        <v>0</v>
      </c>
      <c r="M103" s="45">
        <f t="shared" si="18"/>
        <v>0</v>
      </c>
      <c r="N103" s="45">
        <f t="shared" si="23"/>
        <v>0</v>
      </c>
      <c r="O103" s="46">
        <f t="shared" si="24"/>
        <v>0</v>
      </c>
      <c r="P103" s="47">
        <f t="shared" si="19"/>
        <v>40000</v>
      </c>
      <c r="Q103" s="42">
        <v>1200000</v>
      </c>
      <c r="R103" s="152">
        <f t="shared" si="25"/>
        <v>0</v>
      </c>
      <c r="S103" s="49"/>
      <c r="U103" s="112"/>
    </row>
    <row r="104" spans="1:21" hidden="1" outlineLevel="2" x14ac:dyDescent="0.3">
      <c r="A104" s="40" t="str">
        <f>VLOOKUP(B104,Grupos!$A$2:$B$619,2,FALSE)</f>
        <v>EXCEDENTES INDUSTRIALES</v>
      </c>
      <c r="B104" s="41" t="s">
        <v>683</v>
      </c>
      <c r="C104" s="41" t="s">
        <v>1109</v>
      </c>
      <c r="D104" s="42">
        <v>172.5</v>
      </c>
      <c r="E104" s="43">
        <v>0</v>
      </c>
      <c r="F104" s="43">
        <v>0</v>
      </c>
      <c r="G104" s="126">
        <f t="shared" si="20"/>
        <v>0</v>
      </c>
      <c r="H104" s="127">
        <f t="shared" si="21"/>
        <v>0</v>
      </c>
      <c r="I104" s="128">
        <f t="shared" si="22"/>
        <v>0</v>
      </c>
      <c r="J104" s="128">
        <f t="shared" si="15"/>
        <v>0</v>
      </c>
      <c r="K104" s="44">
        <f t="shared" si="16"/>
        <v>0</v>
      </c>
      <c r="L104" s="45">
        <f t="shared" si="17"/>
        <v>0</v>
      </c>
      <c r="M104" s="45">
        <f t="shared" si="18"/>
        <v>0</v>
      </c>
      <c r="N104" s="45">
        <f t="shared" si="23"/>
        <v>0</v>
      </c>
      <c r="O104" s="46">
        <f t="shared" si="24"/>
        <v>0</v>
      </c>
      <c r="P104" s="47">
        <f t="shared" si="19"/>
        <v>40000</v>
      </c>
      <c r="Q104" s="42">
        <v>6900000</v>
      </c>
      <c r="R104" s="152">
        <f t="shared" si="25"/>
        <v>0</v>
      </c>
      <c r="S104" s="49"/>
      <c r="U104" s="112"/>
    </row>
    <row r="105" spans="1:21" hidden="1" outlineLevel="2" x14ac:dyDescent="0.3">
      <c r="A105" s="40" t="str">
        <f>VLOOKUP(B105,Grupos!$A$2:$B$619,2,FALSE)</f>
        <v>EXCEDENTES INDUSTRIALES</v>
      </c>
      <c r="B105" s="41" t="s">
        <v>741</v>
      </c>
      <c r="C105" s="41" t="s">
        <v>742</v>
      </c>
      <c r="D105" s="42">
        <v>457.6</v>
      </c>
      <c r="E105" s="43">
        <v>0</v>
      </c>
      <c r="F105" s="43">
        <v>0</v>
      </c>
      <c r="G105" s="126">
        <f t="shared" si="20"/>
        <v>0</v>
      </c>
      <c r="H105" s="127">
        <f t="shared" si="21"/>
        <v>0</v>
      </c>
      <c r="I105" s="128">
        <f t="shared" si="22"/>
        <v>0</v>
      </c>
      <c r="J105" s="128">
        <f t="shared" si="15"/>
        <v>0</v>
      </c>
      <c r="K105" s="44">
        <f t="shared" si="16"/>
        <v>0</v>
      </c>
      <c r="L105" s="45">
        <f t="shared" si="17"/>
        <v>0</v>
      </c>
      <c r="M105" s="45">
        <f t="shared" si="18"/>
        <v>0</v>
      </c>
      <c r="N105" s="45">
        <f t="shared" si="23"/>
        <v>0</v>
      </c>
      <c r="O105" s="46">
        <f t="shared" si="24"/>
        <v>0</v>
      </c>
      <c r="P105" s="47">
        <f t="shared" si="19"/>
        <v>500</v>
      </c>
      <c r="Q105" s="42">
        <v>228800</v>
      </c>
      <c r="R105" s="152">
        <f t="shared" si="25"/>
        <v>0</v>
      </c>
      <c r="S105" s="49"/>
      <c r="U105" s="112"/>
    </row>
    <row r="106" spans="1:21" hidden="1" outlineLevel="2" x14ac:dyDescent="0.3">
      <c r="A106" s="40" t="str">
        <f>VLOOKUP(B106,Grupos!$A$2:$B$619,2,FALSE)</f>
        <v>EXCEDENTES INDUSTRIALES</v>
      </c>
      <c r="B106" s="41" t="s">
        <v>478</v>
      </c>
      <c r="C106" s="41" t="s">
        <v>479</v>
      </c>
      <c r="D106" s="42">
        <v>2828</v>
      </c>
      <c r="E106" s="43">
        <v>0</v>
      </c>
      <c r="F106" s="43">
        <v>0</v>
      </c>
      <c r="G106" s="126">
        <f t="shared" si="20"/>
        <v>0</v>
      </c>
      <c r="H106" s="127">
        <f t="shared" si="21"/>
        <v>0</v>
      </c>
      <c r="I106" s="128">
        <f t="shared" si="22"/>
        <v>0</v>
      </c>
      <c r="J106" s="128">
        <f t="shared" si="15"/>
        <v>0</v>
      </c>
      <c r="K106" s="44">
        <f t="shared" si="16"/>
        <v>0</v>
      </c>
      <c r="L106" s="45">
        <f t="shared" si="17"/>
        <v>0</v>
      </c>
      <c r="M106" s="45">
        <f t="shared" si="18"/>
        <v>0</v>
      </c>
      <c r="N106" s="45">
        <f t="shared" si="23"/>
        <v>0</v>
      </c>
      <c r="O106" s="46">
        <f t="shared" si="24"/>
        <v>0</v>
      </c>
      <c r="P106" s="47">
        <f t="shared" si="19"/>
        <v>220</v>
      </c>
      <c r="Q106" s="42">
        <v>622160</v>
      </c>
      <c r="R106" s="152">
        <f t="shared" si="25"/>
        <v>0</v>
      </c>
      <c r="S106" s="49"/>
      <c r="U106" s="112"/>
    </row>
    <row r="107" spans="1:21" s="93" customFormat="1" outlineLevel="1" collapsed="1" x14ac:dyDescent="0.3">
      <c r="A107" s="50" t="s">
        <v>1025</v>
      </c>
      <c r="B107" s="129"/>
      <c r="C107" s="129"/>
      <c r="D107" s="51">
        <f>SUBTOTAL(9,D96:D106)</f>
        <v>4460.3500000000004</v>
      </c>
      <c r="E107" s="52"/>
      <c r="F107" s="52"/>
      <c r="G107" s="130"/>
      <c r="H107" s="131">
        <f>SUBTOTAL(9,H96:H106)</f>
        <v>0</v>
      </c>
      <c r="I107" s="146">
        <f>SUBTOTAL(9,I96:I106)</f>
        <v>0</v>
      </c>
      <c r="J107" s="146">
        <f>SUBTOTAL(9,J96:J106)</f>
        <v>0</v>
      </c>
      <c r="K107" s="53"/>
      <c r="L107" s="54"/>
      <c r="M107" s="54"/>
      <c r="N107" s="54"/>
      <c r="O107" s="55">
        <f>SUBTOTAL(9,O96:O106)</f>
        <v>0</v>
      </c>
      <c r="P107" s="56"/>
      <c r="Q107" s="51">
        <f>SUBTOTAL(9,Q96:Q106)</f>
        <v>10945785</v>
      </c>
      <c r="R107" s="198">
        <f>O107/Q107</f>
        <v>0</v>
      </c>
      <c r="S107" s="58">
        <f>Q107/$Q$295</f>
        <v>2.8017610146406132E-3</v>
      </c>
      <c r="T107" s="158"/>
      <c r="U107" s="147"/>
    </row>
    <row r="108" spans="1:21" hidden="1" outlineLevel="2" x14ac:dyDescent="0.3">
      <c r="A108" s="40" t="str">
        <f>VLOOKUP(B108,Grupos!$A$2:$B$619,2,FALSE)</f>
        <v>INTERIORES</v>
      </c>
      <c r="B108" s="41" t="s">
        <v>639</v>
      </c>
      <c r="C108" s="41" t="s">
        <v>640</v>
      </c>
      <c r="D108" s="42">
        <v>5</v>
      </c>
      <c r="E108" s="43">
        <f>VLOOKUP(B108,[1]Todos!$A$2:$B$3021,2,FALSE)</f>
        <v>26015.08</v>
      </c>
      <c r="F108" s="43">
        <f>VLOOKUP(B108,[1]Todos!$A$2:$C$3021,3,FALSE)</f>
        <v>1418.47</v>
      </c>
      <c r="G108" s="126">
        <f t="shared" si="20"/>
        <v>27433.550000000003</v>
      </c>
      <c r="H108" s="127">
        <f t="shared" si="21"/>
        <v>130075.40000000001</v>
      </c>
      <c r="I108" s="128">
        <f t="shared" si="22"/>
        <v>7092.35</v>
      </c>
      <c r="J108" s="128">
        <f t="shared" si="15"/>
        <v>137167.75</v>
      </c>
      <c r="K108" s="44">
        <f t="shared" si="16"/>
        <v>9.0911066920086576E-5</v>
      </c>
      <c r="L108" s="45">
        <f t="shared" si="17"/>
        <v>8245.7130450113182</v>
      </c>
      <c r="M108" s="45">
        <f t="shared" si="18"/>
        <v>9959.7868719885246</v>
      </c>
      <c r="N108" s="45">
        <f t="shared" si="23"/>
        <v>45639.049916999844</v>
      </c>
      <c r="O108" s="46">
        <f t="shared" si="24"/>
        <v>228195.24958499923</v>
      </c>
      <c r="P108" s="47">
        <f t="shared" si="19"/>
        <v>97336.997999999992</v>
      </c>
      <c r="Q108" s="42">
        <v>486684.99</v>
      </c>
      <c r="R108" s="152">
        <f t="shared" si="25"/>
        <v>0.4688766949336145</v>
      </c>
      <c r="S108" s="49"/>
      <c r="U108" s="112"/>
    </row>
    <row r="109" spans="1:21" hidden="1" outlineLevel="2" x14ac:dyDescent="0.3">
      <c r="A109" s="40" t="str">
        <f>VLOOKUP(B109,Grupos!$A$2:$B$619,2,FALSE)</f>
        <v>INTERIORES</v>
      </c>
      <c r="B109" s="41" t="s">
        <v>147</v>
      </c>
      <c r="C109" s="41" t="s">
        <v>148</v>
      </c>
      <c r="D109" s="42">
        <v>6</v>
      </c>
      <c r="E109" s="43">
        <f>VLOOKUP(B109,[1]Todos!$A$2:$B$3021,2,FALSE)</f>
        <v>37890.61</v>
      </c>
      <c r="F109" s="43">
        <f>VLOOKUP(B109,[1]Todos!$A$2:$C$3021,3,FALSE)</f>
        <v>1956.45</v>
      </c>
      <c r="G109" s="126">
        <f t="shared" si="20"/>
        <v>39847.06</v>
      </c>
      <c r="H109" s="127">
        <f t="shared" si="21"/>
        <v>227343.66</v>
      </c>
      <c r="I109" s="128">
        <f t="shared" si="22"/>
        <v>11738.7</v>
      </c>
      <c r="J109" s="128">
        <f t="shared" si="15"/>
        <v>239082.36</v>
      </c>
      <c r="K109" s="44">
        <f t="shared" si="16"/>
        <v>1.5845730814548049E-4</v>
      </c>
      <c r="L109" s="45">
        <f t="shared" si="17"/>
        <v>11976.846687626965</v>
      </c>
      <c r="M109" s="45">
        <f t="shared" si="18"/>
        <v>13737.213353614774</v>
      </c>
      <c r="N109" s="45">
        <f t="shared" si="23"/>
        <v>65561.120041241738</v>
      </c>
      <c r="O109" s="46">
        <f t="shared" si="24"/>
        <v>393366.7202474504</v>
      </c>
      <c r="P109" s="47">
        <f t="shared" si="19"/>
        <v>119072.99833333334</v>
      </c>
      <c r="Q109" s="42">
        <v>714437.99</v>
      </c>
      <c r="R109" s="152">
        <f t="shared" si="25"/>
        <v>0.55059602898139615</v>
      </c>
      <c r="S109" s="49"/>
      <c r="U109" s="112"/>
    </row>
    <row r="110" spans="1:21" hidden="1" outlineLevel="2" x14ac:dyDescent="0.3">
      <c r="A110" s="40" t="str">
        <f>VLOOKUP(B110,Grupos!$A$2:$B$619,2,FALSE)</f>
        <v>INTERIORES</v>
      </c>
      <c r="B110" s="41" t="s">
        <v>743</v>
      </c>
      <c r="C110" s="41" t="s">
        <v>744</v>
      </c>
      <c r="D110" s="42">
        <v>1</v>
      </c>
      <c r="E110" s="43">
        <f>VLOOKUP(B110,[1]Todos!$A$2:$B$3021,2,FALSE)</f>
        <v>29821.02</v>
      </c>
      <c r="F110" s="43">
        <f>VLOOKUP(B110,[1]Todos!$A$2:$C$3021,3,FALSE)</f>
        <v>1521.73</v>
      </c>
      <c r="G110" s="126">
        <f t="shared" si="20"/>
        <v>31342.75</v>
      </c>
      <c r="H110" s="127">
        <f t="shared" si="21"/>
        <v>29821.02</v>
      </c>
      <c r="I110" s="128">
        <f t="shared" si="22"/>
        <v>1521.73</v>
      </c>
      <c r="J110" s="128">
        <f t="shared" si="15"/>
        <v>31342.75</v>
      </c>
      <c r="K110" s="44">
        <f t="shared" ref="K110:K146" si="26">J110/$J$295</f>
        <v>2.077312518948181E-5</v>
      </c>
      <c r="L110" s="45">
        <f t="shared" ref="L110:L146" si="27">$K$367*K110/D110</f>
        <v>9420.7028452944833</v>
      </c>
      <c r="M110" s="45">
        <f t="shared" ref="M110:M146" si="28">F110*$M$366</f>
        <v>10684.826945026047</v>
      </c>
      <c r="N110" s="45">
        <f t="shared" si="23"/>
        <v>51448.279790320528</v>
      </c>
      <c r="O110" s="46">
        <f t="shared" si="24"/>
        <v>51448.279790320528</v>
      </c>
      <c r="P110" s="47">
        <f t="shared" si="19"/>
        <v>106984</v>
      </c>
      <c r="Q110" s="42">
        <v>106984</v>
      </c>
      <c r="R110" s="152">
        <f t="shared" si="25"/>
        <v>0.48089695459433679</v>
      </c>
      <c r="S110" s="49"/>
      <c r="U110" s="112"/>
    </row>
    <row r="111" spans="1:21" hidden="1" outlineLevel="2" x14ac:dyDescent="0.3">
      <c r="A111" s="40" t="str">
        <f>VLOOKUP(B111,Grupos!$A$2:$B$619,2,FALSE)</f>
        <v>INTERIORES</v>
      </c>
      <c r="B111" s="41" t="s">
        <v>149</v>
      </c>
      <c r="C111" s="41" t="s">
        <v>150</v>
      </c>
      <c r="D111" s="42">
        <v>2</v>
      </c>
      <c r="E111" s="43">
        <f>VLOOKUP(B111,[1]Todos!$A$2:$B$3021,2,FALSE)</f>
        <v>49777.86</v>
      </c>
      <c r="F111" s="43">
        <f>VLOOKUP(B111,[1]Todos!$A$2:$C$3021,3,FALSE)</f>
        <v>2292.84</v>
      </c>
      <c r="G111" s="126">
        <f t="shared" si="20"/>
        <v>52070.7</v>
      </c>
      <c r="H111" s="127">
        <f t="shared" si="21"/>
        <v>99555.72</v>
      </c>
      <c r="I111" s="128">
        <f t="shared" si="22"/>
        <v>4585.68</v>
      </c>
      <c r="J111" s="128">
        <f t="shared" si="15"/>
        <v>104141.4</v>
      </c>
      <c r="K111" s="44">
        <f t="shared" si="26"/>
        <v>6.902209728271772E-5</v>
      </c>
      <c r="L111" s="45">
        <f t="shared" si="27"/>
        <v>15650.911028753872</v>
      </c>
      <c r="M111" s="45">
        <f t="shared" si="28"/>
        <v>16099.17568335613</v>
      </c>
      <c r="N111" s="45">
        <f t="shared" si="23"/>
        <v>83820.786712109984</v>
      </c>
      <c r="O111" s="46">
        <f t="shared" si="24"/>
        <v>167641.57342421997</v>
      </c>
      <c r="P111" s="47">
        <f t="shared" si="19"/>
        <v>143963</v>
      </c>
      <c r="Q111" s="42">
        <v>287926</v>
      </c>
      <c r="R111" s="152">
        <f t="shared" si="25"/>
        <v>0.58223839953397738</v>
      </c>
      <c r="S111" s="49"/>
      <c r="U111" s="112"/>
    </row>
    <row r="112" spans="1:21" hidden="1" outlineLevel="2" x14ac:dyDescent="0.3">
      <c r="A112" s="40" t="str">
        <f>VLOOKUP(B112,Grupos!$A$2:$B$619,2,FALSE)</f>
        <v>INTERIORES</v>
      </c>
      <c r="B112" s="41" t="s">
        <v>153</v>
      </c>
      <c r="C112" s="41" t="s">
        <v>154</v>
      </c>
      <c r="D112" s="42">
        <v>2</v>
      </c>
      <c r="E112" s="43">
        <f>VLOOKUP(B112,[1]Todos!$A$2:$B$3021,2,FALSE)</f>
        <v>85949.06</v>
      </c>
      <c r="F112" s="43">
        <f>VLOOKUP(B112,[1]Todos!$A$2:$C$3021,3,FALSE)</f>
        <v>3956.03</v>
      </c>
      <c r="G112" s="126">
        <f t="shared" si="20"/>
        <v>89905.09</v>
      </c>
      <c r="H112" s="127">
        <f t="shared" si="21"/>
        <v>171898.12</v>
      </c>
      <c r="I112" s="128">
        <f t="shared" si="22"/>
        <v>7912.06</v>
      </c>
      <c r="J112" s="128">
        <f t="shared" si="15"/>
        <v>179810.18</v>
      </c>
      <c r="K112" s="44">
        <f t="shared" si="26"/>
        <v>1.1917331374825943E-4</v>
      </c>
      <c r="L112" s="45">
        <f t="shared" si="27"/>
        <v>27022.80869322113</v>
      </c>
      <c r="M112" s="45">
        <f t="shared" si="28"/>
        <v>27777.263995144604</v>
      </c>
      <c r="N112" s="45">
        <f t="shared" si="23"/>
        <v>144705.16268836573</v>
      </c>
      <c r="O112" s="46">
        <f t="shared" si="24"/>
        <v>289410.32537673146</v>
      </c>
      <c r="P112" s="47">
        <f t="shared" si="19"/>
        <v>271867.495</v>
      </c>
      <c r="Q112" s="42">
        <v>543734.99</v>
      </c>
      <c r="R112" s="152">
        <f t="shared" si="25"/>
        <v>0.53226356717770074</v>
      </c>
      <c r="S112" s="49"/>
      <c r="U112" s="112"/>
    </row>
    <row r="113" spans="1:21" hidden="1" outlineLevel="2" x14ac:dyDescent="0.3">
      <c r="A113" s="40" t="str">
        <f>VLOOKUP(B113,Grupos!$A$2:$B$619,2,FALSE)</f>
        <v>INTERIORES</v>
      </c>
      <c r="B113" s="41" t="s">
        <v>705</v>
      </c>
      <c r="C113" s="41" t="s">
        <v>1150</v>
      </c>
      <c r="D113" s="42">
        <v>6</v>
      </c>
      <c r="E113" s="43">
        <v>7115.37</v>
      </c>
      <c r="F113" s="43">
        <v>424.22</v>
      </c>
      <c r="G113" s="126">
        <f t="shared" si="20"/>
        <v>7539.59</v>
      </c>
      <c r="H113" s="127">
        <f t="shared" si="21"/>
        <v>42692.22</v>
      </c>
      <c r="I113" s="128">
        <f t="shared" si="22"/>
        <v>2545.3200000000002</v>
      </c>
      <c r="J113" s="128">
        <f t="shared" si="15"/>
        <v>45237.54</v>
      </c>
      <c r="K113" s="44">
        <f t="shared" si="26"/>
        <v>2.9982215398591096E-5</v>
      </c>
      <c r="L113" s="45">
        <f t="shared" si="27"/>
        <v>2266.177567869885</v>
      </c>
      <c r="M113" s="45">
        <f t="shared" si="28"/>
        <v>2978.6606603135574</v>
      </c>
      <c r="N113" s="45">
        <f t="shared" si="23"/>
        <v>12784.428228183442</v>
      </c>
      <c r="O113" s="46">
        <f t="shared" si="24"/>
        <v>76706.569369100645</v>
      </c>
      <c r="P113" s="47">
        <f t="shared" si="19"/>
        <v>29778.001666666667</v>
      </c>
      <c r="Q113" s="42">
        <v>178668.01</v>
      </c>
      <c r="R113" s="152">
        <f t="shared" si="25"/>
        <v>0.42932458568884624</v>
      </c>
      <c r="S113" s="49"/>
      <c r="U113" s="112"/>
    </row>
    <row r="114" spans="1:21" s="93" customFormat="1" outlineLevel="1" collapsed="1" x14ac:dyDescent="0.3">
      <c r="A114" s="50" t="s">
        <v>1026</v>
      </c>
      <c r="B114" s="129"/>
      <c r="C114" s="129"/>
      <c r="D114" s="51">
        <f>SUBTOTAL(9,D108:D113)</f>
        <v>22</v>
      </c>
      <c r="E114" s="52"/>
      <c r="F114" s="52"/>
      <c r="G114" s="130"/>
      <c r="H114" s="131">
        <f>SUBTOTAL(9,H108:H113)</f>
        <v>701386.14</v>
      </c>
      <c r="I114" s="146">
        <f>SUBTOTAL(9,I108:I113)</f>
        <v>35395.840000000004</v>
      </c>
      <c r="J114" s="146">
        <f>SUBTOTAL(9,J108:J113)</f>
        <v>736781.98</v>
      </c>
      <c r="K114" s="53"/>
      <c r="L114" s="54"/>
      <c r="M114" s="54"/>
      <c r="N114" s="54"/>
      <c r="O114" s="55">
        <f>SUBTOTAL(9,O108:O113)</f>
        <v>1206768.7177928223</v>
      </c>
      <c r="P114" s="56"/>
      <c r="Q114" s="51">
        <f>SUBTOTAL(9,Q108:Q113)</f>
        <v>2318435.9799999995</v>
      </c>
      <c r="R114" s="198">
        <f>O114/Q114</f>
        <v>0.52050982999013951</v>
      </c>
      <c r="S114" s="58">
        <f>Q114/$Q$295</f>
        <v>5.9344337054894681E-4</v>
      </c>
      <c r="T114" s="158"/>
      <c r="U114" s="147"/>
    </row>
    <row r="115" spans="1:21" hidden="1" outlineLevel="2" x14ac:dyDescent="0.3">
      <c r="A115" s="40" t="str">
        <f>VLOOKUP(B115,Grupos!$A$2:$B$619,2,FALSE)</f>
        <v>REGLETAS</v>
      </c>
      <c r="B115" s="41" t="s">
        <v>951</v>
      </c>
      <c r="C115" s="41" t="s">
        <v>1114</v>
      </c>
      <c r="D115" s="42">
        <v>10</v>
      </c>
      <c r="E115" s="43">
        <v>1630.76</v>
      </c>
      <c r="F115" s="43">
        <v>154.51</v>
      </c>
      <c r="G115" s="126">
        <f t="shared" si="20"/>
        <v>1785.27</v>
      </c>
      <c r="H115" s="127">
        <f t="shared" si="21"/>
        <v>16307.6</v>
      </c>
      <c r="I115" s="128">
        <f t="shared" si="22"/>
        <v>1545.1</v>
      </c>
      <c r="J115" s="128">
        <f t="shared" si="15"/>
        <v>17852.7</v>
      </c>
      <c r="K115" s="44">
        <f t="shared" si="26"/>
        <v>1.1832285682343187E-5</v>
      </c>
      <c r="L115" s="45">
        <f t="shared" si="27"/>
        <v>536.59931462998247</v>
      </c>
      <c r="M115" s="45">
        <f t="shared" si="28"/>
        <v>1084.8919396187066</v>
      </c>
      <c r="N115" s="45">
        <f t="shared" si="23"/>
        <v>3406.7612542486891</v>
      </c>
      <c r="O115" s="46">
        <f t="shared" si="24"/>
        <v>34067.612542486888</v>
      </c>
      <c r="P115" s="47">
        <f t="shared" si="19"/>
        <v>12405.5</v>
      </c>
      <c r="Q115" s="42">
        <v>124055</v>
      </c>
      <c r="R115" s="152">
        <f t="shared" si="25"/>
        <v>0.27461700489691576</v>
      </c>
      <c r="S115" s="49"/>
      <c r="U115" s="112"/>
    </row>
    <row r="116" spans="1:21" hidden="1" outlineLevel="2" x14ac:dyDescent="0.3">
      <c r="A116" s="40" t="str">
        <f>VLOOKUP(B116,Grupos!$A$2:$B$619,2,FALSE)</f>
        <v>REGLETAS</v>
      </c>
      <c r="B116" s="41" t="s">
        <v>692</v>
      </c>
      <c r="C116" s="41" t="s">
        <v>693</v>
      </c>
      <c r="D116" s="42">
        <v>8</v>
      </c>
      <c r="E116" s="43">
        <v>4469.78</v>
      </c>
      <c r="F116" s="43">
        <v>443.78</v>
      </c>
      <c r="G116" s="126">
        <f t="shared" si="20"/>
        <v>4913.5599999999995</v>
      </c>
      <c r="H116" s="127">
        <f t="shared" si="21"/>
        <v>35758.239999999998</v>
      </c>
      <c r="I116" s="128">
        <f t="shared" si="22"/>
        <v>3550.24</v>
      </c>
      <c r="J116" s="128">
        <f t="shared" si="15"/>
        <v>39308.479999999996</v>
      </c>
      <c r="K116" s="44">
        <f t="shared" si="26"/>
        <v>2.6052595131194356E-5</v>
      </c>
      <c r="L116" s="45">
        <f t="shared" si="27"/>
        <v>1476.8706853267554</v>
      </c>
      <c r="M116" s="45">
        <f t="shared" si="28"/>
        <v>3116.0011971004442</v>
      </c>
      <c r="N116" s="45">
        <f t="shared" si="23"/>
        <v>9506.4318824271995</v>
      </c>
      <c r="O116" s="46">
        <f t="shared" si="24"/>
        <v>76051.455059417596</v>
      </c>
      <c r="P116" s="47">
        <f t="shared" si="19"/>
        <v>17243</v>
      </c>
      <c r="Q116" s="42">
        <v>137944</v>
      </c>
      <c r="R116" s="152">
        <f t="shared" si="25"/>
        <v>0.55132122498562897</v>
      </c>
      <c r="S116" s="49"/>
      <c r="U116" s="112"/>
    </row>
    <row r="117" spans="1:21" hidden="1" outlineLevel="2" x14ac:dyDescent="0.3">
      <c r="A117" s="40" t="str">
        <f>VLOOKUP(B117,Grupos!$A$2:$B$619,2,FALSE)</f>
        <v>REGLETAS</v>
      </c>
      <c r="B117" s="41" t="s">
        <v>695</v>
      </c>
      <c r="C117" s="41" t="s">
        <v>643</v>
      </c>
      <c r="D117" s="42">
        <v>2</v>
      </c>
      <c r="E117" s="43">
        <v>1640.13</v>
      </c>
      <c r="F117" s="43">
        <v>467.65</v>
      </c>
      <c r="G117" s="126">
        <f t="shared" si="20"/>
        <v>2107.7800000000002</v>
      </c>
      <c r="H117" s="127">
        <f t="shared" si="21"/>
        <v>3280.26</v>
      </c>
      <c r="I117" s="128">
        <f t="shared" si="22"/>
        <v>935.3</v>
      </c>
      <c r="J117" s="128">
        <f t="shared" si="15"/>
        <v>4215.5600000000004</v>
      </c>
      <c r="K117" s="44">
        <f t="shared" si="26"/>
        <v>2.7939589099160714E-6</v>
      </c>
      <c r="L117" s="45">
        <f t="shared" si="27"/>
        <v>633.53627372374183</v>
      </c>
      <c r="M117" s="45">
        <f t="shared" si="28"/>
        <v>3283.6043981793291</v>
      </c>
      <c r="N117" s="45">
        <f t="shared" si="23"/>
        <v>6024.9206719030717</v>
      </c>
      <c r="O117" s="46">
        <f t="shared" si="24"/>
        <v>12049.841343806143</v>
      </c>
      <c r="P117" s="47">
        <f t="shared" si="19"/>
        <v>20538</v>
      </c>
      <c r="Q117" s="42">
        <v>41076</v>
      </c>
      <c r="R117" s="152">
        <f t="shared" si="25"/>
        <v>0.29335478975085555</v>
      </c>
      <c r="S117" s="49"/>
      <c r="U117" s="112"/>
    </row>
    <row r="118" spans="1:21" hidden="1" outlineLevel="2" x14ac:dyDescent="0.3">
      <c r="A118" s="40" t="str">
        <f>VLOOKUP(B118,Grupos!$A$2:$B$619,2,FALSE)</f>
        <v>REGLETAS</v>
      </c>
      <c r="B118" s="41" t="s">
        <v>644</v>
      </c>
      <c r="C118" s="41" t="s">
        <v>1157</v>
      </c>
      <c r="D118" s="42">
        <v>10</v>
      </c>
      <c r="E118" s="163">
        <v>4469.78</v>
      </c>
      <c r="F118" s="163">
        <v>443.78</v>
      </c>
      <c r="G118" s="126">
        <f t="shared" si="20"/>
        <v>4913.5599999999995</v>
      </c>
      <c r="H118" s="127">
        <f t="shared" si="21"/>
        <v>44697.799999999996</v>
      </c>
      <c r="I118" s="128">
        <f t="shared" si="22"/>
        <v>4437.7999999999993</v>
      </c>
      <c r="J118" s="128">
        <f t="shared" si="15"/>
        <v>49135.599999999991</v>
      </c>
      <c r="K118" s="44">
        <f t="shared" si="26"/>
        <v>3.2565743913992945E-5</v>
      </c>
      <c r="L118" s="45">
        <f t="shared" si="27"/>
        <v>1476.8706853267554</v>
      </c>
      <c r="M118" s="45">
        <f t="shared" si="28"/>
        <v>3116.0011971004442</v>
      </c>
      <c r="N118" s="45">
        <f t="shared" si="23"/>
        <v>9506.4318824271995</v>
      </c>
      <c r="O118" s="46">
        <f t="shared" si="24"/>
        <v>95064.318824271992</v>
      </c>
      <c r="P118" s="47">
        <f t="shared" si="19"/>
        <v>27326.5</v>
      </c>
      <c r="Q118" s="42">
        <v>273265</v>
      </c>
      <c r="R118" s="152">
        <f t="shared" si="25"/>
        <v>0.34788325919628199</v>
      </c>
      <c r="S118" s="49"/>
      <c r="U118" s="112"/>
    </row>
    <row r="119" spans="1:21" s="93" customFormat="1" outlineLevel="1" collapsed="1" x14ac:dyDescent="0.3">
      <c r="A119" s="50" t="s">
        <v>1027</v>
      </c>
      <c r="B119" s="129"/>
      <c r="C119" s="129"/>
      <c r="D119" s="51">
        <f>SUBTOTAL(9,D115:D118)</f>
        <v>30</v>
      </c>
      <c r="E119" s="52"/>
      <c r="F119" s="52"/>
      <c r="G119" s="130"/>
      <c r="H119" s="131">
        <f>SUBTOTAL(9,H115:H118)</f>
        <v>100043.9</v>
      </c>
      <c r="I119" s="146">
        <f>SUBTOTAL(9,I115:I118)</f>
        <v>10468.439999999999</v>
      </c>
      <c r="J119" s="146">
        <f>SUBTOTAL(9,J115:J118)</f>
        <v>110512.33999999998</v>
      </c>
      <c r="K119" s="53"/>
      <c r="L119" s="54"/>
      <c r="M119" s="54"/>
      <c r="N119" s="54"/>
      <c r="O119" s="55">
        <f>SUBTOTAL(9,O115:O118)</f>
        <v>217233.22776998259</v>
      </c>
      <c r="P119" s="56"/>
      <c r="Q119" s="51">
        <f>SUBTOTAL(9,Q115:Q118)</f>
        <v>576340</v>
      </c>
      <c r="R119" s="198">
        <f>O119/Q119</f>
        <v>0.37691853379946316</v>
      </c>
      <c r="S119" s="58">
        <f>Q119/$Q$295</f>
        <v>1.4752408741611233E-4</v>
      </c>
      <c r="T119" s="158"/>
      <c r="U119" s="147"/>
    </row>
    <row r="120" spans="1:21" outlineLevel="2" x14ac:dyDescent="0.3">
      <c r="A120" s="40" t="str">
        <f>VLOOKUP(B120,Grupos!$A$2:$B$619,2,FALSE)</f>
        <v>RITEL</v>
      </c>
      <c r="B120" s="41" t="s">
        <v>645</v>
      </c>
      <c r="C120" s="41" t="s">
        <v>646</v>
      </c>
      <c r="D120" s="42">
        <v>10</v>
      </c>
      <c r="E120" s="43">
        <v>27387.5</v>
      </c>
      <c r="F120" s="43">
        <v>4984.9399999999996</v>
      </c>
      <c r="G120" s="126">
        <f t="shared" si="20"/>
        <v>32372.44</v>
      </c>
      <c r="H120" s="127">
        <f t="shared" si="21"/>
        <v>273875</v>
      </c>
      <c r="I120" s="128">
        <f t="shared" si="22"/>
        <v>49849.399999999994</v>
      </c>
      <c r="J120" s="128">
        <f t="shared" si="15"/>
        <v>323724.39999999997</v>
      </c>
      <c r="K120" s="44">
        <f t="shared" si="26"/>
        <v>2.1455575812875019E-4</v>
      </c>
      <c r="L120" s="45">
        <f t="shared" si="27"/>
        <v>9730.1971785221431</v>
      </c>
      <c r="M120" s="45">
        <f t="shared" si="28"/>
        <v>35001.755391125982</v>
      </c>
      <c r="N120" s="45">
        <f t="shared" si="23"/>
        <v>77104.392569648131</v>
      </c>
      <c r="O120" s="46">
        <f t="shared" si="24"/>
        <v>771043.92569648125</v>
      </c>
      <c r="P120" s="47">
        <f t="shared" si="19"/>
        <v>184060.00200000001</v>
      </c>
      <c r="Q120" s="42">
        <v>1840600.02</v>
      </c>
      <c r="R120" s="152">
        <f t="shared" si="25"/>
        <v>0.41890900647522605</v>
      </c>
      <c r="S120" s="49"/>
      <c r="U120" s="112"/>
    </row>
    <row r="121" spans="1:21" outlineLevel="2" x14ac:dyDescent="0.3">
      <c r="A121" s="40" t="str">
        <f>VLOOKUP(B121,Grupos!$A$2:$B$619,2,FALSE)</f>
        <v>RITEL</v>
      </c>
      <c r="B121" s="41" t="s">
        <v>159</v>
      </c>
      <c r="C121" s="41" t="s">
        <v>160</v>
      </c>
      <c r="D121" s="42">
        <v>177</v>
      </c>
      <c r="E121" s="43">
        <f>VLOOKUP(B121,[1]Todos!$A$2:$B$3021,2,FALSE)</f>
        <v>99648.75</v>
      </c>
      <c r="F121" s="43">
        <f>VLOOKUP(B121,[1]Todos!$A$2:$C$3021,3,FALSE)</f>
        <v>4226.8599999999997</v>
      </c>
      <c r="G121" s="126">
        <f t="shared" si="20"/>
        <v>103875.61</v>
      </c>
      <c r="H121" s="127">
        <f t="shared" si="21"/>
        <v>17637828.75</v>
      </c>
      <c r="I121" s="128">
        <f t="shared" si="22"/>
        <v>748154.22</v>
      </c>
      <c r="J121" s="128">
        <f t="shared" si="15"/>
        <v>18385982.969999999</v>
      </c>
      <c r="K121" s="44">
        <f t="shared" si="26"/>
        <v>1.218573118081504E-2</v>
      </c>
      <c r="L121" s="45">
        <f t="shared" si="27"/>
        <v>31221.933451394667</v>
      </c>
      <c r="M121" s="45">
        <f t="shared" si="28"/>
        <v>29678.896795655466</v>
      </c>
      <c r="N121" s="45">
        <f t="shared" si="23"/>
        <v>164776.44024705011</v>
      </c>
      <c r="O121" s="46">
        <f t="shared" si="24"/>
        <v>29165429.92372787</v>
      </c>
      <c r="P121" s="47">
        <f t="shared" si="19"/>
        <v>354683.61581920902</v>
      </c>
      <c r="Q121" s="42">
        <v>62779000</v>
      </c>
      <c r="R121" s="152">
        <f t="shared" si="25"/>
        <v>0.46457302479695234</v>
      </c>
      <c r="S121" s="49"/>
      <c r="U121" s="112"/>
    </row>
    <row r="122" spans="1:21" outlineLevel="2" x14ac:dyDescent="0.3">
      <c r="A122" s="40" t="str">
        <f>VLOOKUP(B122,Grupos!$A$2:$B$619,2,FALSE)</f>
        <v>RITEL</v>
      </c>
      <c r="B122" s="41" t="s">
        <v>161</v>
      </c>
      <c r="C122" s="41" t="s">
        <v>162</v>
      </c>
      <c r="D122" s="42">
        <v>8</v>
      </c>
      <c r="E122" s="43">
        <f>VLOOKUP(B122,[1]Todos!$A$2:$B$3021,2,FALSE)</f>
        <v>70790.58</v>
      </c>
      <c r="F122" s="43">
        <f>VLOOKUP(B122,[1]Todos!$A$2:$C$3021,3,FALSE)</f>
        <v>4031.56</v>
      </c>
      <c r="G122" s="126">
        <f t="shared" si="20"/>
        <v>74822.14</v>
      </c>
      <c r="H122" s="127">
        <f t="shared" si="21"/>
        <v>566324.64</v>
      </c>
      <c r="I122" s="128">
        <f t="shared" si="22"/>
        <v>32252.48</v>
      </c>
      <c r="J122" s="128">
        <f t="shared" si="15"/>
        <v>598577.12</v>
      </c>
      <c r="K122" s="44">
        <f t="shared" si="26"/>
        <v>3.9672069136624825E-4</v>
      </c>
      <c r="L122" s="45">
        <f t="shared" si="27"/>
        <v>22489.320407080497</v>
      </c>
      <c r="M122" s="45">
        <f t="shared" si="28"/>
        <v>28307.59787773732</v>
      </c>
      <c r="N122" s="45">
        <f t="shared" si="23"/>
        <v>125619.05828481782</v>
      </c>
      <c r="O122" s="46">
        <f t="shared" si="24"/>
        <v>1004952.4662785425</v>
      </c>
      <c r="P122" s="47">
        <f t="shared" si="19"/>
        <v>250812.5</v>
      </c>
      <c r="Q122" s="42">
        <v>2006500</v>
      </c>
      <c r="R122" s="152">
        <f t="shared" si="25"/>
        <v>0.50084847559359214</v>
      </c>
      <c r="S122" s="49"/>
      <c r="U122" s="112"/>
    </row>
    <row r="123" spans="1:21" outlineLevel="2" x14ac:dyDescent="0.3">
      <c r="A123" s="40" t="str">
        <f>VLOOKUP(B123,Grupos!$A$2:$B$619,2,FALSE)</f>
        <v>RITEL</v>
      </c>
      <c r="B123" s="41" t="s">
        <v>163</v>
      </c>
      <c r="C123" s="41" t="s">
        <v>164</v>
      </c>
      <c r="D123" s="42">
        <v>284</v>
      </c>
      <c r="E123" s="43">
        <f>VLOOKUP(B123,[1]Todos!$A$2:$B$3021,2,FALSE)</f>
        <v>71740.69</v>
      </c>
      <c r="F123" s="43">
        <f>VLOOKUP(B123,[1]Todos!$A$2:$C$3021,3,FALSE)</f>
        <v>3924.98</v>
      </c>
      <c r="G123" s="126">
        <f t="shared" si="20"/>
        <v>75665.67</v>
      </c>
      <c r="H123" s="127">
        <f t="shared" si="21"/>
        <v>20374355.960000001</v>
      </c>
      <c r="I123" s="128">
        <f t="shared" si="22"/>
        <v>1114694.32</v>
      </c>
      <c r="J123" s="128">
        <f t="shared" si="15"/>
        <v>21489050.280000001</v>
      </c>
      <c r="K123" s="44">
        <f t="shared" si="26"/>
        <v>1.4242360088681089E-2</v>
      </c>
      <c r="L123" s="45">
        <f t="shared" si="27"/>
        <v>22742.860554996405</v>
      </c>
      <c r="M123" s="45">
        <f t="shared" si="28"/>
        <v>27559.246425245172</v>
      </c>
      <c r="N123" s="45">
        <f t="shared" si="23"/>
        <v>125967.77698024157</v>
      </c>
      <c r="O123" s="46">
        <f t="shared" si="24"/>
        <v>35774848.662388608</v>
      </c>
      <c r="P123" s="47">
        <f t="shared" si="19"/>
        <v>239536.97183098592</v>
      </c>
      <c r="Q123" s="42">
        <v>68028500</v>
      </c>
      <c r="R123" s="152">
        <f t="shared" si="25"/>
        <v>0.52588030990523982</v>
      </c>
      <c r="S123" s="49"/>
      <c r="U123" s="112"/>
    </row>
    <row r="124" spans="1:21" outlineLevel="2" x14ac:dyDescent="0.3">
      <c r="A124" s="40" t="str">
        <f>VLOOKUP(B124,Grupos!$A$2:$B$619,2,FALSE)</f>
        <v>RITEL</v>
      </c>
      <c r="B124" s="41" t="s">
        <v>166</v>
      </c>
      <c r="C124" s="41" t="s">
        <v>167</v>
      </c>
      <c r="D124" s="42">
        <v>488</v>
      </c>
      <c r="E124" s="43">
        <f>VLOOKUP(B124,[1]Todos!$A$2:$B$3021,2,FALSE)</f>
        <v>17761.330000000002</v>
      </c>
      <c r="F124" s="43">
        <f>VLOOKUP(B124,[1]Todos!$A$2:$C$3021,3,FALSE)</f>
        <v>865.24</v>
      </c>
      <c r="G124" s="126">
        <f t="shared" si="20"/>
        <v>18626.570000000003</v>
      </c>
      <c r="H124" s="127">
        <f t="shared" si="21"/>
        <v>8667529.040000001</v>
      </c>
      <c r="I124" s="128">
        <f t="shared" si="22"/>
        <v>422237.12</v>
      </c>
      <c r="J124" s="128">
        <f t="shared" si="15"/>
        <v>9089766.160000002</v>
      </c>
      <c r="K124" s="44">
        <f t="shared" si="26"/>
        <v>6.0244506428056054E-3</v>
      </c>
      <c r="L124" s="45">
        <f t="shared" si="27"/>
        <v>5598.5955602835393</v>
      </c>
      <c r="M124" s="45">
        <f t="shared" si="28"/>
        <v>6075.2825178673856</v>
      </c>
      <c r="N124" s="45">
        <f t="shared" si="23"/>
        <v>30300.448078150926</v>
      </c>
      <c r="O124" s="46">
        <f t="shared" si="24"/>
        <v>14786618.662137652</v>
      </c>
      <c r="P124" s="47">
        <f t="shared" si="19"/>
        <v>70403.278688524588</v>
      </c>
      <c r="Q124" s="42">
        <v>34356800</v>
      </c>
      <c r="R124" s="152">
        <f t="shared" si="25"/>
        <v>0.43038404805271885</v>
      </c>
      <c r="S124" s="49"/>
      <c r="U124" s="112"/>
    </row>
    <row r="125" spans="1:21" outlineLevel="2" x14ac:dyDescent="0.3">
      <c r="A125" s="40" t="str">
        <f>VLOOKUP(B125,Grupos!$A$2:$B$619,2,FALSE)</f>
        <v>RITEL</v>
      </c>
      <c r="B125" s="41" t="s">
        <v>168</v>
      </c>
      <c r="C125" s="41" t="s">
        <v>169</v>
      </c>
      <c r="D125" s="42">
        <v>3969</v>
      </c>
      <c r="E125" s="43">
        <f>VLOOKUP(B125,[1]Todos!$A$2:$B$3021,2,FALSE)</f>
        <v>13894.41</v>
      </c>
      <c r="F125" s="43">
        <f>VLOOKUP(B125,[1]Todos!$A$2:$C$3021,3,FALSE)</f>
        <v>522.83000000000004</v>
      </c>
      <c r="G125" s="126">
        <f t="shared" si="20"/>
        <v>14417.24</v>
      </c>
      <c r="H125" s="127">
        <f t="shared" si="21"/>
        <v>55146913.289999999</v>
      </c>
      <c r="I125" s="128">
        <f t="shared" si="22"/>
        <v>2075112.2700000003</v>
      </c>
      <c r="J125" s="128">
        <f t="shared" si="15"/>
        <v>57222025.560000002</v>
      </c>
      <c r="K125" s="44">
        <f t="shared" si="26"/>
        <v>3.7925207601554045E-2</v>
      </c>
      <c r="L125" s="45">
        <f t="shared" si="27"/>
        <v>4333.3955664162668</v>
      </c>
      <c r="M125" s="45">
        <f t="shared" si="28"/>
        <v>3671.050759114934</v>
      </c>
      <c r="N125" s="45">
        <f t="shared" si="23"/>
        <v>22421.686325531198</v>
      </c>
      <c r="O125" s="46">
        <f t="shared" si="24"/>
        <v>88991673.026033327</v>
      </c>
      <c r="P125" s="47">
        <f t="shared" si="19"/>
        <v>37774.604182413706</v>
      </c>
      <c r="Q125" s="42">
        <v>149927404</v>
      </c>
      <c r="R125" s="152">
        <f t="shared" si="25"/>
        <v>0.59356508984863987</v>
      </c>
      <c r="S125" s="49"/>
      <c r="U125" s="112"/>
    </row>
    <row r="126" spans="1:21" outlineLevel="2" x14ac:dyDescent="0.3">
      <c r="A126" s="40" t="str">
        <f>VLOOKUP(B126,Grupos!$A$2:$B$619,2,FALSE)</f>
        <v>RITEL</v>
      </c>
      <c r="B126" s="41" t="s">
        <v>773</v>
      </c>
      <c r="C126" s="41" t="s">
        <v>774</v>
      </c>
      <c r="D126" s="42">
        <v>266</v>
      </c>
      <c r="E126" s="43">
        <f>VLOOKUP(B126,[1]Todos!$A$2:$B$3021,2,FALSE)</f>
        <v>12766.98</v>
      </c>
      <c r="F126" s="43">
        <f>VLOOKUP(B126,[1]Todos!$A$2:$C$3021,3,FALSE)</f>
        <v>280.39</v>
      </c>
      <c r="G126" s="126">
        <f t="shared" si="20"/>
        <v>13047.369999999999</v>
      </c>
      <c r="H126" s="127">
        <f t="shared" si="21"/>
        <v>3396016.6799999997</v>
      </c>
      <c r="I126" s="128">
        <f t="shared" si="22"/>
        <v>74583.739999999991</v>
      </c>
      <c r="J126" s="128">
        <f t="shared" si="15"/>
        <v>3470600.42</v>
      </c>
      <c r="K126" s="44">
        <f t="shared" si="26"/>
        <v>2.3002198915962431E-3</v>
      </c>
      <c r="L126" s="45">
        <f t="shared" si="27"/>
        <v>3921.6531951602806</v>
      </c>
      <c r="M126" s="45">
        <f t="shared" si="28"/>
        <v>1968.7583389404515</v>
      </c>
      <c r="N126" s="45">
        <f t="shared" si="23"/>
        <v>18937.78153410073</v>
      </c>
      <c r="O126" s="46">
        <f t="shared" si="24"/>
        <v>5037449.8880707938</v>
      </c>
      <c r="P126" s="47">
        <f t="shared" si="19"/>
        <v>38278.195488721802</v>
      </c>
      <c r="Q126" s="42">
        <v>10182000</v>
      </c>
      <c r="R126" s="152">
        <f t="shared" si="25"/>
        <v>0.49474070792288294</v>
      </c>
      <c r="S126" s="49"/>
      <c r="U126" s="112"/>
    </row>
    <row r="127" spans="1:21" outlineLevel="2" x14ac:dyDescent="0.3">
      <c r="A127" s="40" t="str">
        <f>VLOOKUP(B127,Grupos!$A$2:$B$619,2,FALSE)</f>
        <v>RITEL</v>
      </c>
      <c r="B127" s="41" t="s">
        <v>170</v>
      </c>
      <c r="C127" s="41" t="s">
        <v>171</v>
      </c>
      <c r="D127" s="42">
        <v>50</v>
      </c>
      <c r="E127" s="43">
        <f>VLOOKUP(B127,[1]Todos!$A$2:$B$3021,2,FALSE)</f>
        <v>14799.95</v>
      </c>
      <c r="F127" s="43">
        <f>VLOOKUP(B127,[1]Todos!$A$2:$C$3021,3,FALSE)</f>
        <v>1154.7</v>
      </c>
      <c r="G127" s="126">
        <f t="shared" si="20"/>
        <v>15954.650000000001</v>
      </c>
      <c r="H127" s="127">
        <f t="shared" si="21"/>
        <v>739997.5</v>
      </c>
      <c r="I127" s="128">
        <f t="shared" si="22"/>
        <v>57735</v>
      </c>
      <c r="J127" s="128">
        <f t="shared" si="15"/>
        <v>797732.50000000012</v>
      </c>
      <c r="K127" s="44">
        <f t="shared" si="26"/>
        <v>5.2871547934429182E-4</v>
      </c>
      <c r="L127" s="45">
        <f t="shared" si="27"/>
        <v>4795.4955021712412</v>
      </c>
      <c r="M127" s="45">
        <f t="shared" si="28"/>
        <v>8107.7258603179125</v>
      </c>
      <c r="N127" s="45">
        <f t="shared" si="23"/>
        <v>28857.871362489153</v>
      </c>
      <c r="O127" s="46">
        <f t="shared" si="24"/>
        <v>1442893.5681244577</v>
      </c>
      <c r="P127" s="47">
        <f t="shared" si="19"/>
        <v>63000</v>
      </c>
      <c r="Q127" s="42">
        <v>3150000</v>
      </c>
      <c r="R127" s="152">
        <f t="shared" si="25"/>
        <v>0.45806145019824057</v>
      </c>
      <c r="S127" s="49"/>
      <c r="U127" s="112"/>
    </row>
    <row r="128" spans="1:21" outlineLevel="2" x14ac:dyDescent="0.3">
      <c r="A128" s="40" t="str">
        <f>VLOOKUP(B128,Grupos!$A$2:$B$619,2,FALSE)</f>
        <v>RITEL</v>
      </c>
      <c r="B128" s="41" t="s">
        <v>696</v>
      </c>
      <c r="C128" s="41" t="s">
        <v>1077</v>
      </c>
      <c r="D128" s="42">
        <v>20</v>
      </c>
      <c r="E128" s="43">
        <v>15362.23</v>
      </c>
      <c r="F128" s="43">
        <v>580.02</v>
      </c>
      <c r="G128" s="126">
        <f t="shared" si="20"/>
        <v>15942.25</v>
      </c>
      <c r="H128" s="127">
        <f t="shared" si="21"/>
        <v>307244.59999999998</v>
      </c>
      <c r="I128" s="128">
        <f t="shared" si="22"/>
        <v>11600.4</v>
      </c>
      <c r="J128" s="128">
        <f t="shared" si="15"/>
        <v>318845</v>
      </c>
      <c r="K128" s="44">
        <f t="shared" si="26"/>
        <v>2.1132182405948197E-4</v>
      </c>
      <c r="L128" s="45">
        <f t="shared" si="27"/>
        <v>4791.768429234703</v>
      </c>
      <c r="M128" s="45">
        <f t="shared" si="28"/>
        <v>4072.6103347203561</v>
      </c>
      <c r="N128" s="45">
        <f t="shared" si="23"/>
        <v>24806.628763955061</v>
      </c>
      <c r="O128" s="46">
        <f t="shared" si="24"/>
        <v>496132.57527910121</v>
      </c>
      <c r="P128" s="47">
        <f t="shared" si="19"/>
        <v>44000</v>
      </c>
      <c r="Q128" s="42">
        <v>880000</v>
      </c>
      <c r="R128" s="152">
        <f t="shared" si="25"/>
        <v>0.56378701736261505</v>
      </c>
      <c r="S128" s="49"/>
      <c r="U128" s="112"/>
    </row>
    <row r="129" spans="1:21" s="93" customFormat="1" outlineLevel="1" x14ac:dyDescent="0.3">
      <c r="A129" s="50" t="s">
        <v>1028</v>
      </c>
      <c r="B129" s="129"/>
      <c r="C129" s="129"/>
      <c r="D129" s="51">
        <f>SUBTOTAL(9,D120:D128)</f>
        <v>5272</v>
      </c>
      <c r="E129" s="52"/>
      <c r="F129" s="52"/>
      <c r="G129" s="130"/>
      <c r="H129" s="131">
        <f>SUBTOTAL(9,H120:H128)</f>
        <v>107110085.46000001</v>
      </c>
      <c r="I129" s="146">
        <f>SUBTOTAL(9,I120:I128)</f>
        <v>4586218.9500000011</v>
      </c>
      <c r="J129" s="146">
        <f>SUBTOTAL(9,J120:J128)</f>
        <v>111696304.41000001</v>
      </c>
      <c r="K129" s="53"/>
      <c r="L129" s="54"/>
      <c r="M129" s="54"/>
      <c r="N129" s="54"/>
      <c r="O129" s="55">
        <f>SUBTOTAL(9,O120:O128)</f>
        <v>177471042.6977368</v>
      </c>
      <c r="P129" s="56"/>
      <c r="Q129" s="51">
        <f>SUBTOTAL(9,Q120:Q128)</f>
        <v>333150804.01999998</v>
      </c>
      <c r="R129" s="198">
        <f>O129/Q129</f>
        <v>0.53270483083415499</v>
      </c>
      <c r="S129" s="58">
        <f>Q129/$Q$295</f>
        <v>8.5275650371299208E-2</v>
      </c>
      <c r="T129" s="158"/>
      <c r="U129" s="147"/>
    </row>
    <row r="130" spans="1:21" hidden="1" outlineLevel="2" x14ac:dyDescent="0.3">
      <c r="A130" s="40" t="str">
        <f>VLOOKUP(B130,Grupos!$A$2:$B$619,2,FALSE)</f>
        <v>TABLERO RIEL</v>
      </c>
      <c r="B130" s="41" t="s">
        <v>707</v>
      </c>
      <c r="C130" s="41" t="s">
        <v>1159</v>
      </c>
      <c r="D130" s="42">
        <v>20</v>
      </c>
      <c r="E130" s="43">
        <f>VLOOKUP(B130,[1]Todos!$A$2:$B$3021,2,FALSE)</f>
        <v>14470.34</v>
      </c>
      <c r="F130" s="43">
        <f>VLOOKUP(B130,[1]Todos!$A$2:$C$3021,3,FALSE)</f>
        <v>121.14</v>
      </c>
      <c r="G130" s="126">
        <f t="shared" si="20"/>
        <v>14591.48</v>
      </c>
      <c r="H130" s="127">
        <f t="shared" si="21"/>
        <v>289406.8</v>
      </c>
      <c r="I130" s="128">
        <f t="shared" si="22"/>
        <v>2422.8000000000002</v>
      </c>
      <c r="J130" s="128">
        <f t="shared" si="15"/>
        <v>291829.59999999998</v>
      </c>
      <c r="K130" s="44">
        <f t="shared" si="26"/>
        <v>1.9341674916197209E-4</v>
      </c>
      <c r="L130" s="45">
        <f t="shared" si="27"/>
        <v>4385.7669525825759</v>
      </c>
      <c r="M130" s="45">
        <f t="shared" si="28"/>
        <v>850.58449010038271</v>
      </c>
      <c r="N130" s="45">
        <f t="shared" si="23"/>
        <v>19827.83144268296</v>
      </c>
      <c r="O130" s="46">
        <f t="shared" si="24"/>
        <v>396556.6288536592</v>
      </c>
      <c r="P130" s="47">
        <f t="shared" si="19"/>
        <v>32056.500500000002</v>
      </c>
      <c r="Q130" s="42">
        <v>641130.01</v>
      </c>
      <c r="R130" s="152">
        <f t="shared" si="25"/>
        <v>0.61852763506368891</v>
      </c>
      <c r="S130" s="49"/>
      <c r="U130" s="112"/>
    </row>
    <row r="131" spans="1:21" hidden="1" outlineLevel="2" x14ac:dyDescent="0.3">
      <c r="A131" s="40" t="str">
        <f>VLOOKUP(B131,Grupos!$A$2:$B$619,2,FALSE)</f>
        <v>TABLERO RIEL</v>
      </c>
      <c r="B131" s="41" t="s">
        <v>729</v>
      </c>
      <c r="C131" s="41" t="s">
        <v>1160</v>
      </c>
      <c r="D131" s="42">
        <v>160</v>
      </c>
      <c r="E131" s="43">
        <f>VLOOKUP(B131,[1]Todos!$A$2:$B$3021,2,FALSE)</f>
        <v>13988.83</v>
      </c>
      <c r="F131" s="43">
        <f>VLOOKUP(B131,[1]Todos!$A$2:$C$3021,3,FALSE)</f>
        <v>211.63</v>
      </c>
      <c r="G131" s="126">
        <f t="shared" si="20"/>
        <v>14200.46</v>
      </c>
      <c r="H131" s="127">
        <f t="shared" si="21"/>
        <v>2238212.7999999998</v>
      </c>
      <c r="I131" s="128">
        <f t="shared" si="22"/>
        <v>33860.800000000003</v>
      </c>
      <c r="J131" s="128">
        <f t="shared" si="15"/>
        <v>2272073.5999999996</v>
      </c>
      <c r="K131" s="44">
        <f t="shared" si="26"/>
        <v>1.5058688000420069E-3</v>
      </c>
      <c r="L131" s="45">
        <f t="shared" si="27"/>
        <v>4268.237915514449</v>
      </c>
      <c r="M131" s="45">
        <f t="shared" si="28"/>
        <v>1485.960010235628</v>
      </c>
      <c r="N131" s="45">
        <f t="shared" si="23"/>
        <v>19954.657925750074</v>
      </c>
      <c r="O131" s="46">
        <f t="shared" si="24"/>
        <v>3192745.2681200118</v>
      </c>
      <c r="P131" s="47">
        <f t="shared" si="19"/>
        <v>31217.8138125</v>
      </c>
      <c r="Q131" s="42">
        <v>4994850.21</v>
      </c>
      <c r="R131" s="152">
        <f t="shared" si="25"/>
        <v>0.63920741041001339</v>
      </c>
      <c r="S131" s="49"/>
      <c r="U131" s="112"/>
    </row>
    <row r="132" spans="1:21" s="93" customFormat="1" outlineLevel="1" collapsed="1" x14ac:dyDescent="0.3">
      <c r="A132" s="50" t="s">
        <v>1029</v>
      </c>
      <c r="B132" s="129"/>
      <c r="C132" s="129"/>
      <c r="D132" s="51">
        <f>SUBTOTAL(9,D130:D131)</f>
        <v>180</v>
      </c>
      <c r="E132" s="52"/>
      <c r="F132" s="52"/>
      <c r="G132" s="130"/>
      <c r="H132" s="131">
        <f>SUBTOTAL(9,H130:H131)</f>
        <v>2527619.5999999996</v>
      </c>
      <c r="I132" s="146">
        <f>SUBTOTAL(9,I130:I131)</f>
        <v>36283.600000000006</v>
      </c>
      <c r="J132" s="146">
        <f>SUBTOTAL(9,J130:J131)</f>
        <v>2563903.1999999997</v>
      </c>
      <c r="K132" s="53"/>
      <c r="L132" s="54"/>
      <c r="M132" s="54"/>
      <c r="N132" s="54"/>
      <c r="O132" s="55">
        <f>SUBTOTAL(9,O130:O131)</f>
        <v>3589301.8969736709</v>
      </c>
      <c r="P132" s="56"/>
      <c r="Q132" s="51">
        <f>SUBTOTAL(9,Q130:Q131)</f>
        <v>5635980.2199999997</v>
      </c>
      <c r="R132" s="198">
        <f>O132/Q132</f>
        <v>0.63685494924850372</v>
      </c>
      <c r="S132" s="58">
        <f>Q132/$Q$295</f>
        <v>1.4426256006016586E-3</v>
      </c>
      <c r="T132" s="158"/>
      <c r="U132" s="147"/>
    </row>
    <row r="133" spans="1:21" hidden="1" outlineLevel="2" x14ac:dyDescent="0.3">
      <c r="A133" s="40" t="str">
        <f>VLOOKUP(B133,Grupos!$A$2:$B$619,2,FALSE)</f>
        <v>TABLEROS 100 AMP BIMETALICO 2 FASES</v>
      </c>
      <c r="B133" s="41" t="s">
        <v>174</v>
      </c>
      <c r="C133" s="41" t="s">
        <v>175</v>
      </c>
      <c r="D133" s="42">
        <v>29</v>
      </c>
      <c r="E133" s="43">
        <f>VLOOKUP(B133,[1]Todos!$A$2:$B$3021,2,FALSE)</f>
        <v>25688.959999999999</v>
      </c>
      <c r="F133" s="43">
        <f>VLOOKUP(B133,[1]Todos!$A$2:$C$3021,3,FALSE)</f>
        <v>1640.66</v>
      </c>
      <c r="G133" s="126">
        <f t="shared" si="20"/>
        <v>27329.62</v>
      </c>
      <c r="H133" s="127">
        <f t="shared" si="21"/>
        <v>744979.84</v>
      </c>
      <c r="I133" s="128">
        <f t="shared" si="22"/>
        <v>47579.14</v>
      </c>
      <c r="J133" s="128">
        <f t="shared" si="15"/>
        <v>792558.98</v>
      </c>
      <c r="K133" s="44">
        <f t="shared" si="26"/>
        <v>5.252866105108202E-4</v>
      </c>
      <c r="L133" s="45">
        <f t="shared" si="27"/>
        <v>8214.474763535969</v>
      </c>
      <c r="M133" s="45">
        <f t="shared" si="28"/>
        <v>11519.893920489467</v>
      </c>
      <c r="N133" s="45">
        <f t="shared" si="23"/>
        <v>47063.988684025433</v>
      </c>
      <c r="O133" s="46">
        <f t="shared" si="24"/>
        <v>1364855.6718367375</v>
      </c>
      <c r="P133" s="47">
        <f t="shared" si="19"/>
        <v>88193.104137931034</v>
      </c>
      <c r="Q133" s="42">
        <v>2557600.02</v>
      </c>
      <c r="R133" s="152">
        <f t="shared" si="25"/>
        <v>0.53364703673905101</v>
      </c>
      <c r="S133" s="49"/>
      <c r="U133" s="112"/>
    </row>
    <row r="134" spans="1:21" hidden="1" outlineLevel="2" x14ac:dyDescent="0.3">
      <c r="A134" s="40" t="str">
        <f>VLOOKUP(B134,Grupos!$A$2:$B$619,2,FALSE)</f>
        <v>TABLEROS 100 AMP BIMETALICO 2 FASES</v>
      </c>
      <c r="B134" s="41" t="s">
        <v>176</v>
      </c>
      <c r="C134" s="41" t="s">
        <v>177</v>
      </c>
      <c r="D134" s="42">
        <v>756</v>
      </c>
      <c r="E134" s="43">
        <f>VLOOKUP(B134,[1]Todos!$A$2:$B$3021,2,FALSE)</f>
        <v>25601.09</v>
      </c>
      <c r="F134" s="43">
        <f>VLOOKUP(B134,[1]Todos!$A$2:$C$3021,3,FALSE)</f>
        <v>1609.68</v>
      </c>
      <c r="G134" s="126">
        <f t="shared" si="20"/>
        <v>27210.77</v>
      </c>
      <c r="H134" s="127">
        <f t="shared" si="21"/>
        <v>19354424.039999999</v>
      </c>
      <c r="I134" s="128">
        <f t="shared" si="22"/>
        <v>1216918.08</v>
      </c>
      <c r="J134" s="128">
        <f t="shared" si="15"/>
        <v>20571342.120000001</v>
      </c>
      <c r="K134" s="44">
        <f t="shared" si="26"/>
        <v>1.3634127993696156E-2</v>
      </c>
      <c r="L134" s="45">
        <f t="shared" si="27"/>
        <v>8178.7519717208543</v>
      </c>
      <c r="M134" s="45">
        <f t="shared" si="28"/>
        <v>11302.367855578537</v>
      </c>
      <c r="N134" s="45">
        <f t="shared" si="23"/>
        <v>46691.88982729939</v>
      </c>
      <c r="O134" s="46">
        <f t="shared" si="24"/>
        <v>35299068.709438339</v>
      </c>
      <c r="P134" s="47">
        <f t="shared" si="19"/>
        <v>84987.39593915343</v>
      </c>
      <c r="Q134" s="42">
        <v>64250471.329999998</v>
      </c>
      <c r="R134" s="152">
        <f t="shared" si="25"/>
        <v>0.54939781730373716</v>
      </c>
      <c r="S134" s="49"/>
      <c r="U134" s="112"/>
    </row>
    <row r="135" spans="1:21" hidden="1" outlineLevel="2" x14ac:dyDescent="0.3">
      <c r="A135" s="40" t="str">
        <f>VLOOKUP(B135,Grupos!$A$2:$B$619,2,FALSE)</f>
        <v>TABLEROS 100 AMP BIMETALICO 2 FASES</v>
      </c>
      <c r="B135" s="41" t="s">
        <v>178</v>
      </c>
      <c r="C135" s="41" t="s">
        <v>179</v>
      </c>
      <c r="D135" s="42">
        <v>55</v>
      </c>
      <c r="E135" s="43">
        <f>VLOOKUP(B135,[1]Todos!$A$2:$B$3021,2,FALSE)</f>
        <v>32009.93</v>
      </c>
      <c r="F135" s="43">
        <f>VLOOKUP(B135,[1]Todos!$A$2:$C$3021,3,FALSE)</f>
        <v>1698.91</v>
      </c>
      <c r="G135" s="126">
        <f t="shared" si="20"/>
        <v>33708.840000000004</v>
      </c>
      <c r="H135" s="127">
        <f t="shared" si="21"/>
        <v>1760546.15</v>
      </c>
      <c r="I135" s="128">
        <f t="shared" si="22"/>
        <v>93440.05</v>
      </c>
      <c r="J135" s="128">
        <f t="shared" si="15"/>
        <v>1853986.2000000002</v>
      </c>
      <c r="K135" s="44">
        <f t="shared" si="26"/>
        <v>1.2287718031178396E-3</v>
      </c>
      <c r="L135" s="45">
        <f t="shared" si="27"/>
        <v>10131.879458553463</v>
      </c>
      <c r="M135" s="45">
        <f t="shared" si="28"/>
        <v>11928.896285920762</v>
      </c>
      <c r="N135" s="45">
        <f t="shared" si="23"/>
        <v>55769.615744474228</v>
      </c>
      <c r="O135" s="46">
        <f t="shared" si="24"/>
        <v>3067328.8659460824</v>
      </c>
      <c r="P135" s="47">
        <f t="shared" si="19"/>
        <v>112868.774</v>
      </c>
      <c r="Q135" s="42">
        <v>6207782.5700000003</v>
      </c>
      <c r="R135" s="152">
        <f t="shared" si="25"/>
        <v>0.49411022879077454</v>
      </c>
      <c r="S135" s="49"/>
      <c r="U135" s="112"/>
    </row>
    <row r="136" spans="1:21" hidden="1" outlineLevel="2" x14ac:dyDescent="0.3">
      <c r="A136" s="40" t="str">
        <f>VLOOKUP(B136,Grupos!$A$2:$B$619,2,FALSE)</f>
        <v>TABLEROS 100 AMP BIMETALICO 2 FASES</v>
      </c>
      <c r="B136" s="41" t="s">
        <v>180</v>
      </c>
      <c r="C136" s="41" t="s">
        <v>181</v>
      </c>
      <c r="D136" s="42">
        <v>115</v>
      </c>
      <c r="E136" s="43">
        <f>VLOOKUP(B136,[1]Todos!$A$2:$B$3021,2,FALSE)</f>
        <v>31952.29</v>
      </c>
      <c r="F136" s="43">
        <f>VLOOKUP(B136,[1]Todos!$A$2:$C$3021,3,FALSE)</f>
        <v>1583.35</v>
      </c>
      <c r="G136" s="126">
        <f t="shared" si="20"/>
        <v>33535.64</v>
      </c>
      <c r="H136" s="127">
        <f t="shared" si="21"/>
        <v>3674513.35</v>
      </c>
      <c r="I136" s="128">
        <f t="shared" si="22"/>
        <v>182085.25</v>
      </c>
      <c r="J136" s="128">
        <f t="shared" si="15"/>
        <v>3856598.6</v>
      </c>
      <c r="K136" s="44">
        <f t="shared" si="26"/>
        <v>2.5560490232471715E-3</v>
      </c>
      <c r="L136" s="45">
        <f t="shared" si="27"/>
        <v>10079.820665601183</v>
      </c>
      <c r="M136" s="45">
        <f t="shared" si="28"/>
        <v>11117.491764903754</v>
      </c>
      <c r="N136" s="45">
        <f t="shared" si="23"/>
        <v>54732.952430504934</v>
      </c>
      <c r="O136" s="46">
        <f t="shared" si="24"/>
        <v>6294289.5295080673</v>
      </c>
      <c r="P136" s="47">
        <f t="shared" si="19"/>
        <v>109521.39208695652</v>
      </c>
      <c r="Q136" s="42">
        <v>12594960.09</v>
      </c>
      <c r="R136" s="152">
        <f t="shared" si="25"/>
        <v>0.49974668315984061</v>
      </c>
      <c r="S136" s="49"/>
      <c r="U136" s="112"/>
    </row>
    <row r="137" spans="1:21" hidden="1" outlineLevel="2" x14ac:dyDescent="0.3">
      <c r="A137" s="40" t="str">
        <f>VLOOKUP(B137,Grupos!$A$2:$B$619,2,FALSE)</f>
        <v>TABLEROS 100 AMP BIMETALICO 2 FASES</v>
      </c>
      <c r="B137" s="41" t="s">
        <v>182</v>
      </c>
      <c r="C137" s="41" t="s">
        <v>183</v>
      </c>
      <c r="D137" s="42">
        <v>6</v>
      </c>
      <c r="E137" s="43">
        <f>VLOOKUP(B137,[1]Todos!$A$2:$B$3021,2,FALSE)</f>
        <v>20127.689999999999</v>
      </c>
      <c r="F137" s="43">
        <f>VLOOKUP(B137,[1]Todos!$A$2:$C$3021,3,FALSE)</f>
        <v>1132.23</v>
      </c>
      <c r="G137" s="126">
        <f t="shared" si="20"/>
        <v>21259.919999999998</v>
      </c>
      <c r="H137" s="127">
        <f t="shared" si="21"/>
        <v>120766.13999999998</v>
      </c>
      <c r="I137" s="128">
        <f t="shared" si="22"/>
        <v>6793.38</v>
      </c>
      <c r="J137" s="128">
        <f t="shared" si="15"/>
        <v>127559.51999999999</v>
      </c>
      <c r="K137" s="44">
        <f t="shared" si="26"/>
        <v>8.454299249651701E-5</v>
      </c>
      <c r="L137" s="45">
        <f t="shared" si="27"/>
        <v>6390.102618140816</v>
      </c>
      <c r="M137" s="45">
        <f t="shared" si="28"/>
        <v>7949.9527590090502</v>
      </c>
      <c r="N137" s="45">
        <f t="shared" si="23"/>
        <v>35599.975377149865</v>
      </c>
      <c r="O137" s="46">
        <f t="shared" si="24"/>
        <v>213599.85226289919</v>
      </c>
      <c r="P137" s="47">
        <f t="shared" si="19"/>
        <v>57386.281666666669</v>
      </c>
      <c r="Q137" s="42">
        <v>344317.69</v>
      </c>
      <c r="R137" s="152">
        <f t="shared" si="25"/>
        <v>0.62035689267925553</v>
      </c>
      <c r="S137" s="49"/>
      <c r="U137" s="112"/>
    </row>
    <row r="138" spans="1:21" hidden="1" outlineLevel="2" x14ac:dyDescent="0.3">
      <c r="A138" s="40" t="str">
        <f>VLOOKUP(B138,Grupos!$A$2:$B$619,2,FALSE)</f>
        <v>TABLEROS 100 AMP BIMETALICO 2 FASES</v>
      </c>
      <c r="B138" s="41" t="s">
        <v>184</v>
      </c>
      <c r="C138" s="41" t="s">
        <v>1084</v>
      </c>
      <c r="D138" s="42">
        <v>16</v>
      </c>
      <c r="E138" s="43">
        <f>VLOOKUP(B138,[1]Todos!$A$2:$B$3021,2,FALSE)</f>
        <v>18702.21</v>
      </c>
      <c r="F138" s="43">
        <f>VLOOKUP(B138,[1]Todos!$A$2:$C$3021,3,FALSE)</f>
        <v>663.69</v>
      </c>
      <c r="G138" s="126">
        <f t="shared" si="20"/>
        <v>19365.899999999998</v>
      </c>
      <c r="H138" s="127">
        <f t="shared" si="21"/>
        <v>299235.36</v>
      </c>
      <c r="I138" s="128">
        <f t="shared" si="22"/>
        <v>10619.04</v>
      </c>
      <c r="J138" s="128">
        <f t="shared" si="15"/>
        <v>309854.39999999997</v>
      </c>
      <c r="K138" s="44">
        <f t="shared" si="26"/>
        <v>2.0536309805973543E-4</v>
      </c>
      <c r="L138" s="45">
        <f t="shared" si="27"/>
        <v>5820.8162727166073</v>
      </c>
      <c r="M138" s="45">
        <f t="shared" si="28"/>
        <v>4660.0992259759205</v>
      </c>
      <c r="N138" s="45">
        <f t="shared" si="23"/>
        <v>29846.815498692529</v>
      </c>
      <c r="O138" s="46">
        <f t="shared" si="24"/>
        <v>477549.04797908047</v>
      </c>
      <c r="P138" s="47">
        <f t="shared" si="19"/>
        <v>53546.003125000003</v>
      </c>
      <c r="Q138" s="42">
        <v>856736.05</v>
      </c>
      <c r="R138" s="152">
        <f t="shared" si="25"/>
        <v>0.55740510508350904</v>
      </c>
      <c r="S138" s="49"/>
      <c r="U138" s="112"/>
    </row>
    <row r="139" spans="1:21" hidden="1" outlineLevel="2" x14ac:dyDescent="0.3">
      <c r="A139" s="40" t="str">
        <f>VLOOKUP(B139,Grupos!$A$2:$B$619,2,FALSE)</f>
        <v>TABLEROS 100 AMP BIMETALICO 2 FASES</v>
      </c>
      <c r="B139" s="41" t="s">
        <v>185</v>
      </c>
      <c r="C139" s="41" t="s">
        <v>186</v>
      </c>
      <c r="D139" s="42">
        <v>243</v>
      </c>
      <c r="E139" s="43">
        <f>VLOOKUP(B139,[1]Todos!$A$2:$B$3021,2,FALSE)</f>
        <v>18754.66</v>
      </c>
      <c r="F139" s="43">
        <f>VLOOKUP(B139,[1]Todos!$A$2:$C$3021,3,FALSE)</f>
        <v>852.63</v>
      </c>
      <c r="G139" s="126">
        <f t="shared" si="20"/>
        <v>19607.29</v>
      </c>
      <c r="H139" s="127">
        <f t="shared" si="21"/>
        <v>4557382.38</v>
      </c>
      <c r="I139" s="128">
        <f t="shared" si="22"/>
        <v>207189.09</v>
      </c>
      <c r="J139" s="128">
        <f t="shared" si="15"/>
        <v>4764571.4700000007</v>
      </c>
      <c r="K139" s="44">
        <f t="shared" si="26"/>
        <v>3.1578288318843558E-3</v>
      </c>
      <c r="L139" s="45">
        <f t="shared" si="27"/>
        <v>5893.3709611158592</v>
      </c>
      <c r="M139" s="45">
        <f t="shared" si="28"/>
        <v>5986.7414049388253</v>
      </c>
      <c r="N139" s="45">
        <f t="shared" si="23"/>
        <v>31487.402366054685</v>
      </c>
      <c r="O139" s="46">
        <f t="shared" si="24"/>
        <v>7651438.7749512885</v>
      </c>
      <c r="P139" s="47">
        <f t="shared" si="19"/>
        <v>52358.239753086418</v>
      </c>
      <c r="Q139" s="42">
        <v>12723052.26</v>
      </c>
      <c r="R139" s="152">
        <f t="shared" si="25"/>
        <v>0.60138389897262656</v>
      </c>
      <c r="S139" s="49"/>
      <c r="U139" s="112"/>
    </row>
    <row r="140" spans="1:21" hidden="1" outlineLevel="2" x14ac:dyDescent="0.3">
      <c r="A140" s="40" t="str">
        <f>VLOOKUP(B140,Grupos!$A$2:$B$619,2,FALSE)</f>
        <v>TABLEROS 100 AMP BIMETALICO 2 FASES</v>
      </c>
      <c r="B140" s="41" t="s">
        <v>187</v>
      </c>
      <c r="C140" s="41" t="s">
        <v>188</v>
      </c>
      <c r="D140" s="42">
        <v>6</v>
      </c>
      <c r="E140" s="43">
        <f>VLOOKUP(B140,[1]Todos!$A$2:$B$3021,2,FALSE)</f>
        <v>21991.71</v>
      </c>
      <c r="F140" s="43">
        <f>VLOOKUP(B140,[1]Todos!$A$2:$C$3021,3,FALSE)</f>
        <v>1510.93</v>
      </c>
      <c r="G140" s="126">
        <f t="shared" si="20"/>
        <v>23502.639999999999</v>
      </c>
      <c r="H140" s="127">
        <f t="shared" si="21"/>
        <v>131950.26</v>
      </c>
      <c r="I140" s="128">
        <f t="shared" si="22"/>
        <v>9065.58</v>
      </c>
      <c r="J140" s="128">
        <f t="shared" si="15"/>
        <v>141015.84</v>
      </c>
      <c r="K140" s="44">
        <f t="shared" si="26"/>
        <v>9.3461476673869923E-5</v>
      </c>
      <c r="L140" s="45">
        <f t="shared" si="27"/>
        <v>7064.1978613852307</v>
      </c>
      <c r="M140" s="45">
        <f t="shared" si="28"/>
        <v>10608.994746800159</v>
      </c>
      <c r="N140" s="45">
        <f t="shared" si="23"/>
        <v>41175.832608185388</v>
      </c>
      <c r="O140" s="46">
        <f t="shared" si="24"/>
        <v>247054.99564911233</v>
      </c>
      <c r="P140" s="47">
        <f t="shared" si="19"/>
        <v>67468.998333333337</v>
      </c>
      <c r="Q140" s="42">
        <v>404813.99</v>
      </c>
      <c r="R140" s="152">
        <f t="shared" si="25"/>
        <v>0.61029263254738886</v>
      </c>
      <c r="S140" s="49"/>
      <c r="U140" s="112"/>
    </row>
    <row r="141" spans="1:21" hidden="1" outlineLevel="2" x14ac:dyDescent="0.3">
      <c r="A141" s="40" t="str">
        <f>VLOOKUP(B141,Grupos!$A$2:$B$619,2,FALSE)</f>
        <v>TABLEROS 100 AMP BIMETALICO 2 FASES</v>
      </c>
      <c r="B141" s="41" t="s">
        <v>189</v>
      </c>
      <c r="C141" s="41" t="s">
        <v>190</v>
      </c>
      <c r="D141" s="42">
        <v>1622</v>
      </c>
      <c r="E141" s="43">
        <f>VLOOKUP(B141,[1]Todos!$A$2:$B$3021,2,FALSE)</f>
        <v>21996.36</v>
      </c>
      <c r="F141" s="43">
        <f>VLOOKUP(B141,[1]Todos!$A$2:$C$3021,3,FALSE)</f>
        <v>1450.08</v>
      </c>
      <c r="G141" s="126">
        <f t="shared" si="20"/>
        <v>23446.440000000002</v>
      </c>
      <c r="H141" s="127">
        <f t="shared" si="21"/>
        <v>35678095.920000002</v>
      </c>
      <c r="I141" s="128">
        <f t="shared" si="22"/>
        <v>2352029.7599999998</v>
      </c>
      <c r="J141" s="128">
        <f t="shared" si="15"/>
        <v>38030125.680000007</v>
      </c>
      <c r="K141" s="44">
        <f t="shared" si="26"/>
        <v>2.5205336536276084E-2</v>
      </c>
      <c r="L141" s="45">
        <f t="shared" si="27"/>
        <v>7047.3058050115724</v>
      </c>
      <c r="M141" s="45">
        <f t="shared" si="28"/>
        <v>10181.736481795962</v>
      </c>
      <c r="N141" s="45">
        <f t="shared" si="23"/>
        <v>40675.482286807535</v>
      </c>
      <c r="O141" s="46">
        <f t="shared" si="24"/>
        <v>65975632.269201823</v>
      </c>
      <c r="P141" s="47">
        <f t="shared" si="19"/>
        <v>66449.600480887791</v>
      </c>
      <c r="Q141" s="42">
        <v>107781251.98</v>
      </c>
      <c r="R141" s="152">
        <f t="shared" ref="R141:R202" si="29">O141/Q141</f>
        <v>0.61212530989567948</v>
      </c>
      <c r="S141" s="49"/>
      <c r="U141" s="112"/>
    </row>
    <row r="142" spans="1:21" s="93" customFormat="1" outlineLevel="1" collapsed="1" x14ac:dyDescent="0.3">
      <c r="A142" s="50" t="s">
        <v>1030</v>
      </c>
      <c r="B142" s="129"/>
      <c r="C142" s="129"/>
      <c r="D142" s="51">
        <f>SUBTOTAL(9,D133:D141)</f>
        <v>2848</v>
      </c>
      <c r="E142" s="52"/>
      <c r="F142" s="52"/>
      <c r="G142" s="130"/>
      <c r="H142" s="131">
        <f>SUBTOTAL(9,H133:H141)</f>
        <v>66321893.439999998</v>
      </c>
      <c r="I142" s="146">
        <f>SUBTOTAL(9,I133:I141)</f>
        <v>4125719.37</v>
      </c>
      <c r="J142" s="146">
        <f>SUBTOTAL(9,J133:J141)</f>
        <v>70447612.810000002</v>
      </c>
      <c r="K142" s="53"/>
      <c r="L142" s="54"/>
      <c r="M142" s="54"/>
      <c r="N142" s="54"/>
      <c r="O142" s="55">
        <f>SUBTOTAL(9,O133:O141)</f>
        <v>120590817.71677342</v>
      </c>
      <c r="P142" s="56"/>
      <c r="Q142" s="51">
        <f>SUBTOTAL(9,Q133:Q141)</f>
        <v>207720985.98000002</v>
      </c>
      <c r="R142" s="198">
        <f>O142/Q142</f>
        <v>0.58054229401926805</v>
      </c>
      <c r="S142" s="58">
        <f>Q142/$Q$295</f>
        <v>5.3169741634928283E-2</v>
      </c>
      <c r="T142" s="158"/>
      <c r="U142" s="147"/>
    </row>
    <row r="143" spans="1:21" hidden="1" outlineLevel="2" x14ac:dyDescent="0.3">
      <c r="A143" s="40" t="str">
        <f>VLOOKUP(B143,Grupos!$A$2:$B$619,2,FALSE)</f>
        <v>TABLEROS 100 AMP BIMETALICO 3 FASES</v>
      </c>
      <c r="B143" s="41" t="s">
        <v>191</v>
      </c>
      <c r="C143" s="41" t="s">
        <v>192</v>
      </c>
      <c r="D143" s="42">
        <v>18</v>
      </c>
      <c r="E143" s="43">
        <f>VLOOKUP(B143,[1]Todos!$A$2:$B$3021,2,FALSE)</f>
        <v>22436.84</v>
      </c>
      <c r="F143" s="43">
        <f>VLOOKUP(B143,[1]Todos!$A$2:$C$3021,3,FALSE)</f>
        <v>1909.9</v>
      </c>
      <c r="G143" s="126">
        <f t="shared" si="20"/>
        <v>24346.74</v>
      </c>
      <c r="H143" s="127">
        <f t="shared" si="21"/>
        <v>403863.12</v>
      </c>
      <c r="I143" s="128">
        <f t="shared" si="22"/>
        <v>34378.200000000004</v>
      </c>
      <c r="J143" s="128">
        <f t="shared" si="15"/>
        <v>438241.32</v>
      </c>
      <c r="K143" s="44">
        <f t="shared" si="26"/>
        <v>2.9045446885049201E-4</v>
      </c>
      <c r="L143" s="45">
        <f t="shared" si="27"/>
        <v>7317.9093344280573</v>
      </c>
      <c r="M143" s="45">
        <f t="shared" si="28"/>
        <v>13410.362536261524</v>
      </c>
      <c r="N143" s="45">
        <f t="shared" si="23"/>
        <v>45075.011870689588</v>
      </c>
      <c r="O143" s="46">
        <f t="shared" si="24"/>
        <v>811350.21367241256</v>
      </c>
      <c r="P143" s="47">
        <f t="shared" si="19"/>
        <v>72020.664444444439</v>
      </c>
      <c r="Q143" s="42">
        <v>1296371.96</v>
      </c>
      <c r="R143" s="152">
        <f t="shared" si="29"/>
        <v>0.62586220522111002</v>
      </c>
      <c r="S143" s="49"/>
      <c r="U143" s="112"/>
    </row>
    <row r="144" spans="1:21" hidden="1" outlineLevel="2" x14ac:dyDescent="0.3">
      <c r="A144" s="40" t="str">
        <f>VLOOKUP(B144,Grupos!$A$2:$B$619,2,FALSE)</f>
        <v>TABLEROS 100 AMP BIMETALICO 3 FASES</v>
      </c>
      <c r="B144" s="41" t="s">
        <v>193</v>
      </c>
      <c r="C144" s="41" t="s">
        <v>194</v>
      </c>
      <c r="D144" s="42">
        <v>357</v>
      </c>
      <c r="E144" s="43">
        <f>VLOOKUP(B144,[1]Todos!$A$2:$B$3021,2,FALSE)</f>
        <v>22441.5</v>
      </c>
      <c r="F144" s="43">
        <f>VLOOKUP(B144,[1]Todos!$A$2:$C$3021,3,FALSE)</f>
        <v>1629.32</v>
      </c>
      <c r="G144" s="126">
        <f t="shared" si="20"/>
        <v>24070.82</v>
      </c>
      <c r="H144" s="127">
        <f t="shared" si="21"/>
        <v>8011615.5</v>
      </c>
      <c r="I144" s="128">
        <f t="shared" si="22"/>
        <v>581667.24</v>
      </c>
      <c r="J144" s="128">
        <f t="shared" si="15"/>
        <v>8593282.7400000002</v>
      </c>
      <c r="K144" s="44">
        <f t="shared" si="26"/>
        <v>5.6953948886627141E-3</v>
      </c>
      <c r="L144" s="45">
        <f t="shared" si="27"/>
        <v>7234.9759501821427</v>
      </c>
      <c r="M144" s="45">
        <f t="shared" si="28"/>
        <v>11440.270112352282</v>
      </c>
      <c r="N144" s="45">
        <f t="shared" si="23"/>
        <v>42746.066062534424</v>
      </c>
      <c r="O144" s="46">
        <f t="shared" si="24"/>
        <v>15260345.58432479</v>
      </c>
      <c r="P144" s="47">
        <f t="shared" si="19"/>
        <v>66455.484425770308</v>
      </c>
      <c r="Q144" s="42">
        <v>23724607.940000001</v>
      </c>
      <c r="R144" s="152">
        <f t="shared" si="29"/>
        <v>0.64322856769302583</v>
      </c>
      <c r="S144" s="49"/>
      <c r="U144" s="112"/>
    </row>
    <row r="145" spans="1:21" hidden="1" outlineLevel="2" x14ac:dyDescent="0.3">
      <c r="A145" s="40" t="str">
        <f>VLOOKUP(B145,Grupos!$A$2:$B$619,2,FALSE)</f>
        <v>TABLEROS 100 AMP BIMETALICO 3 FASES</v>
      </c>
      <c r="B145" s="41" t="s">
        <v>195</v>
      </c>
      <c r="C145" s="41" t="s">
        <v>196</v>
      </c>
      <c r="D145" s="42">
        <v>18</v>
      </c>
      <c r="E145" s="43">
        <f>VLOOKUP(B145,[1]Todos!$A$2:$B$3021,2,FALSE)</f>
        <v>27361.759999999998</v>
      </c>
      <c r="F145" s="43">
        <f>VLOOKUP(B145,[1]Todos!$A$2:$C$3021,3,FALSE)</f>
        <v>1717.81</v>
      </c>
      <c r="G145" s="126">
        <f t="shared" si="20"/>
        <v>29079.57</v>
      </c>
      <c r="H145" s="127">
        <f t="shared" si="21"/>
        <v>492511.68</v>
      </c>
      <c r="I145" s="128">
        <f t="shared" si="22"/>
        <v>30920.579999999998</v>
      </c>
      <c r="J145" s="128">
        <f t="shared" si="15"/>
        <v>523432.26</v>
      </c>
      <c r="K145" s="44">
        <f t="shared" si="26"/>
        <v>3.4691671487643529E-4</v>
      </c>
      <c r="L145" s="45">
        <f t="shared" si="27"/>
        <v>8740.4579317047828</v>
      </c>
      <c r="M145" s="45">
        <f t="shared" si="28"/>
        <v>12061.602632816066</v>
      </c>
      <c r="N145" s="45">
        <f t="shared" si="23"/>
        <v>49881.630564520849</v>
      </c>
      <c r="O145" s="46">
        <f t="shared" si="24"/>
        <v>897869.35016137525</v>
      </c>
      <c r="P145" s="47">
        <f t="shared" si="19"/>
        <v>102417.99666666666</v>
      </c>
      <c r="Q145" s="42">
        <v>1843523.94</v>
      </c>
      <c r="R145" s="152">
        <f t="shared" si="29"/>
        <v>0.48703970188820833</v>
      </c>
      <c r="S145" s="49"/>
      <c r="U145" s="112"/>
    </row>
    <row r="146" spans="1:21" hidden="1" outlineLevel="2" x14ac:dyDescent="0.3">
      <c r="A146" s="40" t="str">
        <f>VLOOKUP(B146,Grupos!$A$2:$B$619,2,FALSE)</f>
        <v>TABLEROS 100 AMP BIMETALICO 3 FASES</v>
      </c>
      <c r="B146" s="41" t="s">
        <v>197</v>
      </c>
      <c r="C146" s="41" t="s">
        <v>198</v>
      </c>
      <c r="D146" s="42">
        <v>864</v>
      </c>
      <c r="E146" s="43">
        <f>VLOOKUP(B146,[1]Todos!$A$2:$B$3021,2,FALSE)</f>
        <v>27273.89</v>
      </c>
      <c r="F146" s="43">
        <f>VLOOKUP(B146,[1]Todos!$A$2:$C$3021,3,FALSE)</f>
        <v>1685.22</v>
      </c>
      <c r="G146" s="126">
        <f t="shared" si="20"/>
        <v>28959.11</v>
      </c>
      <c r="H146" s="127">
        <f t="shared" si="21"/>
        <v>23564640.960000001</v>
      </c>
      <c r="I146" s="128">
        <f t="shared" si="22"/>
        <v>1456030.08</v>
      </c>
      <c r="J146" s="128">
        <f t="shared" si="15"/>
        <v>25020671.039999999</v>
      </c>
      <c r="K146" s="44">
        <f t="shared" si="26"/>
        <v>1.6583022607740611E-2</v>
      </c>
      <c r="L146" s="45">
        <f t="shared" si="27"/>
        <v>8704.2512215487131</v>
      </c>
      <c r="M146" s="45">
        <f t="shared" si="28"/>
        <v>11832.771953169613</v>
      </c>
      <c r="N146" s="45">
        <f t="shared" si="23"/>
        <v>49496.133174718329</v>
      </c>
      <c r="O146" s="46">
        <f t="shared" si="24"/>
        <v>42764659.062956639</v>
      </c>
      <c r="P146" s="47">
        <f t="shared" si="19"/>
        <v>94951.406226851861</v>
      </c>
      <c r="Q146" s="42">
        <v>82038014.980000004</v>
      </c>
      <c r="R146" s="152">
        <f t="shared" si="29"/>
        <v>0.52127856912898496</v>
      </c>
      <c r="S146" s="49"/>
      <c r="U146" s="112"/>
    </row>
    <row r="147" spans="1:21" hidden="1" outlineLevel="2" x14ac:dyDescent="0.3">
      <c r="A147" s="40" t="str">
        <f>VLOOKUP(B147,Grupos!$A$2:$B$619,2,FALSE)</f>
        <v>TABLEROS 100 AMP BIMETALICO 3 FASES</v>
      </c>
      <c r="B147" s="41" t="s">
        <v>199</v>
      </c>
      <c r="C147" s="41" t="s">
        <v>200</v>
      </c>
      <c r="D147" s="42">
        <v>445</v>
      </c>
      <c r="E147" s="43">
        <f>VLOOKUP(B147,[1]Todos!$A$2:$B$3021,2,FALSE)</f>
        <v>34056.449999999997</v>
      </c>
      <c r="F147" s="43">
        <f>VLOOKUP(B147,[1]Todos!$A$2:$C$3021,3,FALSE)</f>
        <v>1967.09</v>
      </c>
      <c r="G147" s="126">
        <f t="shared" si="20"/>
        <v>36023.539999999994</v>
      </c>
      <c r="H147" s="127">
        <f t="shared" si="21"/>
        <v>15155120.249999998</v>
      </c>
      <c r="I147" s="128">
        <f t="shared" si="22"/>
        <v>875355.04999999993</v>
      </c>
      <c r="J147" s="128">
        <f t="shared" ref="J147:J215" si="30">G147*D147</f>
        <v>16030475.299999997</v>
      </c>
      <c r="K147" s="44">
        <f t="shared" ref="K147:K182" si="31">J147/$J$295</f>
        <v>1.0624564540565073E-2</v>
      </c>
      <c r="L147" s="45">
        <f t="shared" ref="L147:L182" si="32">$K$367*K147/D147</f>
        <v>10827.609759053676</v>
      </c>
      <c r="M147" s="45">
        <f t="shared" ref="M147:M182" si="33">F147*$M$366</f>
        <v>13811.922111866945</v>
      </c>
      <c r="N147" s="45">
        <f t="shared" si="23"/>
        <v>60663.071870920612</v>
      </c>
      <c r="O147" s="46">
        <f t="shared" si="24"/>
        <v>26995066.982559673</v>
      </c>
      <c r="P147" s="47">
        <f t="shared" ref="P147:P215" si="34">Q147/D147</f>
        <v>134917.95914606741</v>
      </c>
      <c r="Q147" s="42">
        <v>60038491.82</v>
      </c>
      <c r="R147" s="152">
        <f t="shared" si="29"/>
        <v>0.44962933218730666</v>
      </c>
      <c r="S147" s="49"/>
      <c r="U147" s="112"/>
    </row>
    <row r="148" spans="1:21" s="93" customFormat="1" outlineLevel="1" collapsed="1" x14ac:dyDescent="0.3">
      <c r="A148" s="50" t="s">
        <v>1031</v>
      </c>
      <c r="B148" s="129"/>
      <c r="C148" s="129"/>
      <c r="D148" s="51">
        <f>SUBTOTAL(9,D143:D147)</f>
        <v>1702</v>
      </c>
      <c r="E148" s="52"/>
      <c r="F148" s="52"/>
      <c r="G148" s="130"/>
      <c r="H148" s="131">
        <f>SUBTOTAL(9,H143:H147)</f>
        <v>47627751.509999998</v>
      </c>
      <c r="I148" s="146">
        <f>SUBTOTAL(9,I143:I147)</f>
        <v>2978351.15</v>
      </c>
      <c r="J148" s="146">
        <f>SUBTOTAL(9,J143:J147)</f>
        <v>50606102.659999996</v>
      </c>
      <c r="K148" s="53"/>
      <c r="L148" s="54"/>
      <c r="M148" s="54"/>
      <c r="N148" s="54"/>
      <c r="O148" s="55">
        <f>SUBTOTAL(9,O143:O147)</f>
        <v>86729291.193674892</v>
      </c>
      <c r="P148" s="56"/>
      <c r="Q148" s="51">
        <f>SUBTOTAL(9,Q143:Q147)</f>
        <v>168941010.64000002</v>
      </c>
      <c r="R148" s="198">
        <f>O148/Q148</f>
        <v>0.51337026376909856</v>
      </c>
      <c r="S148" s="58">
        <f>Q148/$Q$295</f>
        <v>4.3243343203355183E-2</v>
      </c>
      <c r="T148" s="158"/>
      <c r="U148" s="147"/>
    </row>
    <row r="149" spans="1:21" hidden="1" outlineLevel="2" x14ac:dyDescent="0.3">
      <c r="A149" s="40" t="str">
        <f>VLOOKUP(B149,Grupos!$A$2:$B$619,2,FALSE)</f>
        <v>TABLEROS 125 AMP COBRE 2 FASES</v>
      </c>
      <c r="B149" s="41" t="s">
        <v>201</v>
      </c>
      <c r="C149" s="41" t="s">
        <v>202</v>
      </c>
      <c r="D149" s="42">
        <v>768</v>
      </c>
      <c r="E149" s="43">
        <f>VLOOKUP(B149,[1]Todos!$A$2:$B$3021,2,FALSE)</f>
        <v>35359.94</v>
      </c>
      <c r="F149" s="43">
        <f>VLOOKUP(B149,[1]Todos!$A$2:$C$3021,3,FALSE)</f>
        <v>1602.34</v>
      </c>
      <c r="G149" s="126">
        <f t="shared" ref="G149:G215" si="35">E149+F149</f>
        <v>36962.28</v>
      </c>
      <c r="H149" s="127">
        <f t="shared" ref="H149:H215" si="36">E149*D149</f>
        <v>27156433.920000002</v>
      </c>
      <c r="I149" s="128">
        <f t="shared" ref="I149:I215" si="37">F149*D149</f>
        <v>1230597.1199999999</v>
      </c>
      <c r="J149" s="128">
        <f t="shared" si="30"/>
        <v>28387031.039999999</v>
      </c>
      <c r="K149" s="44">
        <f t="shared" si="31"/>
        <v>1.8814154774281965E-2</v>
      </c>
      <c r="L149" s="45">
        <f t="shared" si="32"/>
        <v>11109.76721457343</v>
      </c>
      <c r="M149" s="45">
        <f t="shared" si="33"/>
        <v>11250.830046784275</v>
      </c>
      <c r="N149" s="45">
        <f t="shared" ref="N149:N215" si="38">G149+L149+M149</f>
        <v>59322.877261357702</v>
      </c>
      <c r="O149" s="46">
        <f t="shared" ref="O149:O215" si="39">N149*D149</f>
        <v>45559969.736722715</v>
      </c>
      <c r="P149" s="47">
        <f t="shared" si="34"/>
        <v>96019.876861979181</v>
      </c>
      <c r="Q149" s="42">
        <v>73743265.430000007</v>
      </c>
      <c r="R149" s="152">
        <f t="shared" si="29"/>
        <v>0.61781871837462932</v>
      </c>
      <c r="S149" s="49"/>
      <c r="U149" s="112"/>
    </row>
    <row r="150" spans="1:21" hidden="1" outlineLevel="2" x14ac:dyDescent="0.3">
      <c r="A150" s="40" t="str">
        <f>VLOOKUP(B150,Grupos!$A$2:$B$619,2,FALSE)</f>
        <v>TABLEROS 125 AMP COBRE 2 FASES</v>
      </c>
      <c r="B150" s="41" t="s">
        <v>203</v>
      </c>
      <c r="C150" s="41" t="s">
        <v>204</v>
      </c>
      <c r="D150" s="42">
        <v>1098</v>
      </c>
      <c r="E150" s="43">
        <f>VLOOKUP(B150,[1]Todos!$A$2:$B$3021,2,FALSE)</f>
        <v>35272.07</v>
      </c>
      <c r="F150" s="43">
        <f>VLOOKUP(B150,[1]Todos!$A$2:$C$3021,3,FALSE)</f>
        <v>1537.24</v>
      </c>
      <c r="G150" s="126">
        <f t="shared" si="35"/>
        <v>36809.31</v>
      </c>
      <c r="H150" s="127">
        <f t="shared" si="36"/>
        <v>38728732.859999999</v>
      </c>
      <c r="I150" s="128">
        <f t="shared" si="37"/>
        <v>1687889.52</v>
      </c>
      <c r="J150" s="128">
        <f t="shared" si="30"/>
        <v>40416622.379999995</v>
      </c>
      <c r="K150" s="44">
        <f t="shared" si="31"/>
        <v>2.6787041865686714E-2</v>
      </c>
      <c r="L150" s="45">
        <f t="shared" si="32"/>
        <v>11063.788960774873</v>
      </c>
      <c r="M150" s="45">
        <f t="shared" si="33"/>
        <v>10793.730407478226</v>
      </c>
      <c r="N150" s="45">
        <f t="shared" si="38"/>
        <v>58666.829368253093</v>
      </c>
      <c r="O150" s="46">
        <f t="shared" si="39"/>
        <v>64416178.646341898</v>
      </c>
      <c r="P150" s="47">
        <f t="shared" si="34"/>
        <v>93473.244644808743</v>
      </c>
      <c r="Q150" s="42">
        <v>102633622.62</v>
      </c>
      <c r="R150" s="152">
        <f t="shared" si="29"/>
        <v>0.62763231972082068</v>
      </c>
      <c r="S150" s="49"/>
      <c r="U150" s="112"/>
    </row>
    <row r="151" spans="1:21" hidden="1" outlineLevel="2" x14ac:dyDescent="0.3">
      <c r="A151" s="40" t="str">
        <f>VLOOKUP(B151,Grupos!$A$2:$B$619,2,FALSE)</f>
        <v>TABLEROS 125 AMP COBRE 2 FASES</v>
      </c>
      <c r="B151" s="41" t="s">
        <v>205</v>
      </c>
      <c r="C151" s="41" t="s">
        <v>206</v>
      </c>
      <c r="D151" s="42">
        <v>132</v>
      </c>
      <c r="E151" s="43">
        <f>VLOOKUP(B151,[1]Todos!$A$2:$B$3021,2,FALSE)</f>
        <v>46968.33</v>
      </c>
      <c r="F151" s="43">
        <f>VLOOKUP(B151,[1]Todos!$A$2:$C$3021,3,FALSE)</f>
        <v>1816.87</v>
      </c>
      <c r="G151" s="126">
        <f t="shared" si="35"/>
        <v>48785.200000000004</v>
      </c>
      <c r="H151" s="127">
        <f t="shared" si="36"/>
        <v>6199819.5600000005</v>
      </c>
      <c r="I151" s="128">
        <f t="shared" si="37"/>
        <v>239826.84</v>
      </c>
      <c r="J151" s="128">
        <f t="shared" si="30"/>
        <v>6439646.4000000004</v>
      </c>
      <c r="K151" s="44">
        <f t="shared" si="31"/>
        <v>4.2680230944379758E-3</v>
      </c>
      <c r="L151" s="45">
        <f t="shared" si="32"/>
        <v>14663.386985770569</v>
      </c>
      <c r="M151" s="45">
        <f t="shared" si="33"/>
        <v>12757.152406543522</v>
      </c>
      <c r="N151" s="45">
        <f t="shared" si="38"/>
        <v>76205.739392314092</v>
      </c>
      <c r="O151" s="46">
        <f t="shared" si="39"/>
        <v>10059157.59978546</v>
      </c>
      <c r="P151" s="47">
        <f t="shared" si="34"/>
        <v>129805.43015151516</v>
      </c>
      <c r="Q151" s="42">
        <v>17134316.780000001</v>
      </c>
      <c r="R151" s="152">
        <f t="shared" si="29"/>
        <v>0.5870766677739373</v>
      </c>
      <c r="S151" s="49"/>
      <c r="U151" s="112"/>
    </row>
    <row r="152" spans="1:21" hidden="1" outlineLevel="2" x14ac:dyDescent="0.3">
      <c r="A152" s="40" t="str">
        <f>VLOOKUP(B152,Grupos!$A$2:$B$619,2,FALSE)</f>
        <v>TABLEROS 125 AMP COBRE 2 FASES</v>
      </c>
      <c r="B152" s="41" t="s">
        <v>207</v>
      </c>
      <c r="C152" s="41" t="s">
        <v>208</v>
      </c>
      <c r="D152" s="42">
        <v>617</v>
      </c>
      <c r="E152" s="43">
        <f>VLOOKUP(B152,[1]Todos!$A$2:$B$3021,2,FALSE)</f>
        <v>46910.7</v>
      </c>
      <c r="F152" s="43">
        <f>VLOOKUP(B152,[1]Todos!$A$2:$C$3021,3,FALSE)</f>
        <v>1689.18</v>
      </c>
      <c r="G152" s="126">
        <f t="shared" si="35"/>
        <v>48599.88</v>
      </c>
      <c r="H152" s="127">
        <f t="shared" si="36"/>
        <v>28943901.899999999</v>
      </c>
      <c r="I152" s="128">
        <f t="shared" si="37"/>
        <v>1042224.06</v>
      </c>
      <c r="J152" s="128">
        <f t="shared" si="30"/>
        <v>29986125.959999997</v>
      </c>
      <c r="K152" s="44">
        <f t="shared" si="31"/>
        <v>1.9873991545561586E-2</v>
      </c>
      <c r="L152" s="45">
        <f t="shared" si="32"/>
        <v>14607.685279593223</v>
      </c>
      <c r="M152" s="45">
        <f t="shared" si="33"/>
        <v>11860.577092519106</v>
      </c>
      <c r="N152" s="45">
        <f t="shared" si="38"/>
        <v>75068.142372112328</v>
      </c>
      <c r="O152" s="46">
        <f t="shared" si="39"/>
        <v>46317043.843593307</v>
      </c>
      <c r="P152" s="47">
        <f t="shared" si="34"/>
        <v>123409.64106969206</v>
      </c>
      <c r="Q152" s="42">
        <v>76143748.540000007</v>
      </c>
      <c r="R152" s="152">
        <f t="shared" si="29"/>
        <v>0.60828426143561787</v>
      </c>
      <c r="S152" s="49"/>
      <c r="U152" s="112"/>
    </row>
    <row r="153" spans="1:21" hidden="1" outlineLevel="2" x14ac:dyDescent="0.3">
      <c r="A153" s="40" t="str">
        <f>VLOOKUP(B153,Grupos!$A$2:$B$619,2,FALSE)</f>
        <v>TABLEROS 125 AMP COBRE 2 FASES</v>
      </c>
      <c r="B153" s="41" t="s">
        <v>209</v>
      </c>
      <c r="C153" s="41" t="s">
        <v>210</v>
      </c>
      <c r="D153" s="42">
        <v>48</v>
      </c>
      <c r="E153" s="43">
        <f>VLOOKUP(B153,[1]Todos!$A$2:$B$3021,2,FALSE)</f>
        <v>25348.880000000001</v>
      </c>
      <c r="F153" s="43">
        <f>VLOOKUP(B153,[1]Todos!$A$2:$C$3021,3,FALSE)</f>
        <v>834.49</v>
      </c>
      <c r="G153" s="126">
        <f t="shared" si="35"/>
        <v>26183.370000000003</v>
      </c>
      <c r="H153" s="127">
        <f t="shared" si="36"/>
        <v>1216746.24</v>
      </c>
      <c r="I153" s="128">
        <f t="shared" si="37"/>
        <v>40055.520000000004</v>
      </c>
      <c r="J153" s="128">
        <f t="shared" si="30"/>
        <v>1256801.7600000002</v>
      </c>
      <c r="K153" s="44">
        <f t="shared" si="31"/>
        <v>8.3297414230854277E-4</v>
      </c>
      <c r="L153" s="45">
        <f t="shared" si="32"/>
        <v>7869.9459447048612</v>
      </c>
      <c r="M153" s="45">
        <f t="shared" si="33"/>
        <v>5859.3713979186759</v>
      </c>
      <c r="N153" s="45">
        <f t="shared" si="38"/>
        <v>39912.68734262354</v>
      </c>
      <c r="O153" s="46">
        <f t="shared" si="39"/>
        <v>1915808.9924459299</v>
      </c>
      <c r="P153" s="47">
        <f t="shared" si="34"/>
        <v>59411.416041666671</v>
      </c>
      <c r="Q153" s="42">
        <v>2851747.97</v>
      </c>
      <c r="R153" s="152">
        <f t="shared" si="29"/>
        <v>0.67180165028606287</v>
      </c>
      <c r="S153" s="49"/>
      <c r="U153" s="112"/>
    </row>
    <row r="154" spans="1:21" hidden="1" outlineLevel="2" x14ac:dyDescent="0.3">
      <c r="A154" s="40" t="str">
        <f>VLOOKUP(B154,Grupos!$A$2:$B$619,2,FALSE)</f>
        <v>TABLEROS 125 AMP COBRE 2 FASES</v>
      </c>
      <c r="B154" s="41" t="s">
        <v>211</v>
      </c>
      <c r="C154" s="41" t="s">
        <v>212</v>
      </c>
      <c r="D154" s="42">
        <v>2171</v>
      </c>
      <c r="E154" s="43">
        <f>VLOOKUP(B154,[1]Todos!$A$2:$B$3021,2,FALSE)</f>
        <v>28638.38</v>
      </c>
      <c r="F154" s="43">
        <f>VLOOKUP(B154,[1]Todos!$A$2:$C$3021,3,FALSE)</f>
        <v>1449.17</v>
      </c>
      <c r="G154" s="126">
        <f t="shared" si="35"/>
        <v>30087.550000000003</v>
      </c>
      <c r="H154" s="127">
        <f t="shared" si="36"/>
        <v>62173922.980000004</v>
      </c>
      <c r="I154" s="128">
        <f t="shared" si="37"/>
        <v>3146148.0700000003</v>
      </c>
      <c r="J154" s="128">
        <f t="shared" si="30"/>
        <v>65320071.050000004</v>
      </c>
      <c r="K154" s="44">
        <f t="shared" si="31"/>
        <v>4.3292372663773816E-2</v>
      </c>
      <c r="L154" s="45">
        <f t="shared" si="32"/>
        <v>9043.4268815895248</v>
      </c>
      <c r="M154" s="45">
        <f t="shared" si="33"/>
        <v>10175.346916945449</v>
      </c>
      <c r="N154" s="45">
        <f t="shared" si="38"/>
        <v>49306.323798534977</v>
      </c>
      <c r="O154" s="46">
        <f t="shared" si="39"/>
        <v>107044028.96661943</v>
      </c>
      <c r="P154" s="47">
        <f t="shared" si="34"/>
        <v>79084.168314140945</v>
      </c>
      <c r="Q154" s="42">
        <v>171691729.41</v>
      </c>
      <c r="R154" s="152">
        <f t="shared" si="29"/>
        <v>0.62346642633552951</v>
      </c>
      <c r="S154" s="49"/>
      <c r="U154" s="112"/>
    </row>
    <row r="155" spans="1:21" hidden="1" outlineLevel="2" x14ac:dyDescent="0.3">
      <c r="A155" s="40" t="str">
        <f>VLOOKUP(B155,Grupos!$A$2:$B$619,2,FALSE)</f>
        <v>TABLEROS 125 AMP COBRE 2 FASES</v>
      </c>
      <c r="B155" s="41" t="s">
        <v>213</v>
      </c>
      <c r="C155" s="41" t="s">
        <v>214</v>
      </c>
      <c r="D155" s="42">
        <v>1512</v>
      </c>
      <c r="E155" s="43">
        <f>VLOOKUP(B155,[1]Todos!$A$2:$B$3021,2,FALSE)</f>
        <v>28643.040000000001</v>
      </c>
      <c r="F155" s="43">
        <f>VLOOKUP(B155,[1]Todos!$A$2:$C$3021,3,FALSE)</f>
        <v>1417.78</v>
      </c>
      <c r="G155" s="126">
        <f t="shared" si="35"/>
        <v>30060.82</v>
      </c>
      <c r="H155" s="127">
        <f t="shared" si="36"/>
        <v>43308276.480000004</v>
      </c>
      <c r="I155" s="128">
        <f t="shared" si="37"/>
        <v>2143683.36</v>
      </c>
      <c r="J155" s="128">
        <f t="shared" si="30"/>
        <v>45451959.839999996</v>
      </c>
      <c r="K155" s="44">
        <f t="shared" si="31"/>
        <v>3.0124327056930855E-2</v>
      </c>
      <c r="L155" s="45">
        <f t="shared" si="32"/>
        <v>9035.3926348481</v>
      </c>
      <c r="M155" s="45">
        <f t="shared" si="33"/>
        <v>9954.9420371018696</v>
      </c>
      <c r="N155" s="45">
        <f t="shared" si="38"/>
        <v>49051.154671949967</v>
      </c>
      <c r="O155" s="46">
        <f t="shared" si="39"/>
        <v>74165345.863988355</v>
      </c>
      <c r="P155" s="47">
        <f t="shared" si="34"/>
        <v>77026.876335978828</v>
      </c>
      <c r="Q155" s="42">
        <v>116464637.02</v>
      </c>
      <c r="R155" s="152">
        <f t="shared" si="29"/>
        <v>0.63680570997059172</v>
      </c>
      <c r="S155" s="49"/>
      <c r="U155" s="112"/>
    </row>
    <row r="156" spans="1:21" s="93" customFormat="1" outlineLevel="1" collapsed="1" x14ac:dyDescent="0.3">
      <c r="A156" s="50" t="s">
        <v>1032</v>
      </c>
      <c r="B156" s="129"/>
      <c r="C156" s="129"/>
      <c r="D156" s="51">
        <f>SUBTOTAL(9,D149:D155)</f>
        <v>6346</v>
      </c>
      <c r="E156" s="52"/>
      <c r="F156" s="52"/>
      <c r="G156" s="130"/>
      <c r="H156" s="131">
        <f>SUBTOTAL(9,H149:H155)</f>
        <v>207727833.94</v>
      </c>
      <c r="I156" s="146">
        <f>SUBTOTAL(9,I149:I155)</f>
        <v>9530424.4899999984</v>
      </c>
      <c r="J156" s="146">
        <f>SUBTOTAL(9,J149:J155)</f>
        <v>217258258.43000001</v>
      </c>
      <c r="K156" s="53"/>
      <c r="L156" s="54"/>
      <c r="M156" s="54"/>
      <c r="N156" s="54"/>
      <c r="O156" s="55">
        <f>SUBTOTAL(9,O149:O155)</f>
        <v>349477533.64949709</v>
      </c>
      <c r="P156" s="56"/>
      <c r="Q156" s="51">
        <f>SUBTOTAL(9,Q149:Q155)</f>
        <v>560663067.76999998</v>
      </c>
      <c r="R156" s="198">
        <f>O156/Q156</f>
        <v>0.62332897196086179</v>
      </c>
      <c r="S156" s="58">
        <f>Q156/$Q$295</f>
        <v>0.14351130829143766</v>
      </c>
      <c r="T156" s="158"/>
      <c r="U156" s="147"/>
    </row>
    <row r="157" spans="1:21" hidden="1" outlineLevel="2" x14ac:dyDescent="0.3">
      <c r="A157" s="40" t="str">
        <f>VLOOKUP(B157,Grupos!$A$2:$B$619,2,FALSE)</f>
        <v>TABLEROS 125 AMP COBRE 3 FASES</v>
      </c>
      <c r="B157" s="41" t="s">
        <v>215</v>
      </c>
      <c r="C157" s="41" t="s">
        <v>216</v>
      </c>
      <c r="D157" s="42">
        <v>36</v>
      </c>
      <c r="E157" s="43">
        <f>VLOOKUP(B157,[1]Todos!$A$2:$B$3021,2,FALSE)</f>
        <v>29799.21</v>
      </c>
      <c r="F157" s="43">
        <f>VLOOKUP(B157,[1]Todos!$A$2:$C$3021,3,FALSE)</f>
        <v>1504.23</v>
      </c>
      <c r="G157" s="126">
        <f t="shared" si="35"/>
        <v>31303.439999999999</v>
      </c>
      <c r="H157" s="127">
        <f t="shared" si="36"/>
        <v>1072771.56</v>
      </c>
      <c r="I157" s="128">
        <f t="shared" si="37"/>
        <v>54152.28</v>
      </c>
      <c r="J157" s="128">
        <f t="shared" si="30"/>
        <v>1126923.8399999999</v>
      </c>
      <c r="K157" s="44">
        <f t="shared" si="31"/>
        <v>7.4689457712968921E-4</v>
      </c>
      <c r="L157" s="45">
        <f t="shared" si="32"/>
        <v>9408.8874229448629</v>
      </c>
      <c r="M157" s="45">
        <f t="shared" si="33"/>
        <v>10561.950697900766</v>
      </c>
      <c r="N157" s="45">
        <f t="shared" si="38"/>
        <v>51274.278120845622</v>
      </c>
      <c r="O157" s="46">
        <f t="shared" si="39"/>
        <v>1845874.0123504424</v>
      </c>
      <c r="P157" s="47">
        <f t="shared" si="34"/>
        <v>77278.497222222213</v>
      </c>
      <c r="Q157" s="42">
        <v>2782025.9</v>
      </c>
      <c r="R157" s="152">
        <f t="shared" si="29"/>
        <v>0.66349993806687513</v>
      </c>
      <c r="S157" s="49"/>
      <c r="U157" s="112"/>
    </row>
    <row r="158" spans="1:21" hidden="1" outlineLevel="2" x14ac:dyDescent="0.3">
      <c r="A158" s="40" t="str">
        <f>VLOOKUP(B158,Grupos!$A$2:$B$619,2,FALSE)</f>
        <v>TABLEROS 125 AMP COBRE 3 FASES</v>
      </c>
      <c r="B158" s="41" t="s">
        <v>217</v>
      </c>
      <c r="C158" s="41" t="s">
        <v>218</v>
      </c>
      <c r="D158" s="42">
        <v>42</v>
      </c>
      <c r="E158" s="43">
        <f>VLOOKUP(B158,[1]Todos!$A$2:$B$3021,2,FALSE)</f>
        <v>29765.91</v>
      </c>
      <c r="F158" s="43">
        <f>VLOOKUP(B158,[1]Todos!$A$2:$C$3021,3,FALSE)</f>
        <v>1465.03</v>
      </c>
      <c r="G158" s="126">
        <f t="shared" si="35"/>
        <v>31230.94</v>
      </c>
      <c r="H158" s="127">
        <f t="shared" si="36"/>
        <v>1250168.22</v>
      </c>
      <c r="I158" s="128">
        <f t="shared" si="37"/>
        <v>61531.26</v>
      </c>
      <c r="J158" s="128">
        <f t="shared" si="30"/>
        <v>1311699.48</v>
      </c>
      <c r="K158" s="44">
        <f t="shared" si="31"/>
        <v>8.6935886318265608E-4</v>
      </c>
      <c r="L158" s="45">
        <f t="shared" si="32"/>
        <v>9387.0960690820466</v>
      </c>
      <c r="M158" s="45">
        <f t="shared" si="33"/>
        <v>10286.707904340132</v>
      </c>
      <c r="N158" s="45">
        <f t="shared" si="38"/>
        <v>50904.743973422177</v>
      </c>
      <c r="O158" s="46">
        <f t="shared" si="39"/>
        <v>2137999.2468837313</v>
      </c>
      <c r="P158" s="47">
        <f t="shared" si="34"/>
        <v>78212.571190476199</v>
      </c>
      <c r="Q158" s="42">
        <v>3284927.99</v>
      </c>
      <c r="R158" s="152">
        <f t="shared" si="29"/>
        <v>0.65085117646178026</v>
      </c>
      <c r="S158" s="49"/>
      <c r="U158" s="112"/>
    </row>
    <row r="159" spans="1:21" hidden="1" outlineLevel="2" x14ac:dyDescent="0.3">
      <c r="A159" s="40" t="str">
        <f>VLOOKUP(B159,Grupos!$A$2:$B$619,2,FALSE)</f>
        <v>TABLEROS 125 AMP COBRE 3 FASES</v>
      </c>
      <c r="B159" s="41" t="s">
        <v>219</v>
      </c>
      <c r="C159" s="41" t="s">
        <v>220</v>
      </c>
      <c r="D159" s="42">
        <v>54</v>
      </c>
      <c r="E159" s="43">
        <f>VLOOKUP(B159,[1]Todos!$A$2:$B$3021,2,FALSE)</f>
        <v>40812.980000000003</v>
      </c>
      <c r="F159" s="43">
        <f>VLOOKUP(B159,[1]Todos!$A$2:$C$3021,3,FALSE)</f>
        <v>1915.8</v>
      </c>
      <c r="G159" s="126">
        <f t="shared" si="35"/>
        <v>42728.780000000006</v>
      </c>
      <c r="H159" s="127">
        <f t="shared" si="36"/>
        <v>2203900.9200000004</v>
      </c>
      <c r="I159" s="128">
        <f t="shared" si="37"/>
        <v>103453.2</v>
      </c>
      <c r="J159" s="128">
        <f t="shared" si="30"/>
        <v>2307354.12</v>
      </c>
      <c r="K159" s="44">
        <f t="shared" si="31"/>
        <v>1.5292517724585953E-3</v>
      </c>
      <c r="L159" s="45">
        <f t="shared" si="32"/>
        <v>12843.006415262285</v>
      </c>
      <c r="M159" s="45">
        <f t="shared" si="33"/>
        <v>13451.789385292332</v>
      </c>
      <c r="N159" s="45">
        <f t="shared" si="38"/>
        <v>69023.575800554623</v>
      </c>
      <c r="O159" s="46">
        <f t="shared" si="39"/>
        <v>3727273.0932299495</v>
      </c>
      <c r="P159" s="47">
        <f t="shared" si="34"/>
        <v>110104.88277777778</v>
      </c>
      <c r="Q159" s="42">
        <v>5945663.6699999999</v>
      </c>
      <c r="R159" s="152">
        <f t="shared" si="29"/>
        <v>0.6268893264240003</v>
      </c>
      <c r="S159" s="49"/>
      <c r="U159" s="112"/>
    </row>
    <row r="160" spans="1:21" hidden="1" outlineLevel="2" x14ac:dyDescent="0.3">
      <c r="A160" s="40" t="str">
        <f>VLOOKUP(B160,Grupos!$A$2:$B$619,2,FALSE)</f>
        <v>TABLEROS 125 AMP COBRE 3 FASES</v>
      </c>
      <c r="B160" s="41" t="s">
        <v>221</v>
      </c>
      <c r="C160" s="41" t="s">
        <v>222</v>
      </c>
      <c r="D160" s="42">
        <v>348</v>
      </c>
      <c r="E160" s="43">
        <f>VLOOKUP(B160,[1]Todos!$A$2:$B$3021,2,FALSE)</f>
        <v>40772.43</v>
      </c>
      <c r="F160" s="43">
        <f>VLOOKUP(B160,[1]Todos!$A$2:$C$3021,3,FALSE)</f>
        <v>1719.23</v>
      </c>
      <c r="G160" s="126">
        <f t="shared" si="35"/>
        <v>42491.66</v>
      </c>
      <c r="H160" s="127">
        <f t="shared" si="36"/>
        <v>14188805.640000001</v>
      </c>
      <c r="I160" s="128">
        <f t="shared" si="37"/>
        <v>598292.04</v>
      </c>
      <c r="J160" s="128">
        <f t="shared" si="30"/>
        <v>14787097.680000002</v>
      </c>
      <c r="K160" s="44">
        <f t="shared" si="31"/>
        <v>9.8004875544020886E-3</v>
      </c>
      <c r="L160" s="45">
        <f t="shared" si="32"/>
        <v>12771.735162462955</v>
      </c>
      <c r="M160" s="45">
        <f t="shared" si="33"/>
        <v>12071.573162582805</v>
      </c>
      <c r="N160" s="45">
        <f t="shared" si="38"/>
        <v>67334.96832504576</v>
      </c>
      <c r="O160" s="46">
        <f t="shared" si="39"/>
        <v>23432568.977115925</v>
      </c>
      <c r="P160" s="47">
        <f t="shared" si="34"/>
        <v>108618.15318965518</v>
      </c>
      <c r="Q160" s="42">
        <v>37799117.310000002</v>
      </c>
      <c r="R160" s="152">
        <f t="shared" si="29"/>
        <v>0.61992370840143107</v>
      </c>
      <c r="S160" s="49"/>
      <c r="U160" s="112"/>
    </row>
    <row r="161" spans="1:21" hidden="1" outlineLevel="2" x14ac:dyDescent="0.3">
      <c r="A161" s="40" t="str">
        <f>VLOOKUP(B161,Grupos!$A$2:$B$619,2,FALSE)</f>
        <v>TABLEROS 125 AMP COBRE 3 FASES</v>
      </c>
      <c r="B161" s="41" t="s">
        <v>223</v>
      </c>
      <c r="C161" s="41" t="s">
        <v>224</v>
      </c>
      <c r="D161" s="42">
        <v>90</v>
      </c>
      <c r="E161" s="43">
        <f>VLOOKUP(B161,[1]Todos!$A$2:$B$3021,2,FALSE)</f>
        <v>55138.91</v>
      </c>
      <c r="F161" s="43">
        <f>VLOOKUP(B161,[1]Todos!$A$2:$C$3021,3,FALSE)</f>
        <v>2162.14</v>
      </c>
      <c r="G161" s="126">
        <f t="shared" si="35"/>
        <v>57301.05</v>
      </c>
      <c r="H161" s="127">
        <f t="shared" si="36"/>
        <v>4962501.9000000004</v>
      </c>
      <c r="I161" s="128">
        <f t="shared" si="37"/>
        <v>194592.59999999998</v>
      </c>
      <c r="J161" s="128">
        <f t="shared" si="30"/>
        <v>5157094.5</v>
      </c>
      <c r="K161" s="44">
        <f t="shared" si="31"/>
        <v>3.4179824572664525E-3</v>
      </c>
      <c r="L161" s="45">
        <f t="shared" si="32"/>
        <v>17222.99941049721</v>
      </c>
      <c r="M161" s="45">
        <f t="shared" si="33"/>
        <v>15181.465654826163</v>
      </c>
      <c r="N161" s="45">
        <f t="shared" si="38"/>
        <v>89705.515065323387</v>
      </c>
      <c r="O161" s="46">
        <f t="shared" si="39"/>
        <v>8073496.3558791047</v>
      </c>
      <c r="P161" s="47">
        <f t="shared" si="34"/>
        <v>145212.66500000001</v>
      </c>
      <c r="Q161" s="42">
        <v>13069139.85</v>
      </c>
      <c r="R161" s="152">
        <f t="shared" si="29"/>
        <v>0.61775269440391711</v>
      </c>
      <c r="S161" s="49"/>
      <c r="U161" s="112"/>
    </row>
    <row r="162" spans="1:21" s="93" customFormat="1" outlineLevel="1" collapsed="1" x14ac:dyDescent="0.3">
      <c r="A162" s="50" t="s">
        <v>1033</v>
      </c>
      <c r="B162" s="129"/>
      <c r="C162" s="129"/>
      <c r="D162" s="51">
        <f>SUBTOTAL(9,D157:D161)</f>
        <v>570</v>
      </c>
      <c r="E162" s="52"/>
      <c r="F162" s="52"/>
      <c r="G162" s="130"/>
      <c r="H162" s="131">
        <f>SUBTOTAL(9,H157:H161)</f>
        <v>23678148.240000002</v>
      </c>
      <c r="I162" s="146">
        <f>SUBTOTAL(9,I157:I161)</f>
        <v>1012021.38</v>
      </c>
      <c r="J162" s="146">
        <f>SUBTOTAL(9,J157:J161)</f>
        <v>24690169.620000001</v>
      </c>
      <c r="K162" s="53"/>
      <c r="L162" s="54"/>
      <c r="M162" s="54"/>
      <c r="N162" s="54"/>
      <c r="O162" s="55">
        <f>SUBTOTAL(9,O157:O161)</f>
        <v>39217211.685459152</v>
      </c>
      <c r="P162" s="56"/>
      <c r="Q162" s="51">
        <f>SUBTOTAL(9,Q157:Q161)</f>
        <v>62880874.720000006</v>
      </c>
      <c r="R162" s="198">
        <f>O162/Q162</f>
        <v>0.6236747160418501</v>
      </c>
      <c r="S162" s="58">
        <f>Q162/$Q$295</f>
        <v>1.609543612970623E-2</v>
      </c>
      <c r="T162" s="158"/>
      <c r="U162" s="147"/>
    </row>
    <row r="163" spans="1:21" hidden="1" outlineLevel="2" x14ac:dyDescent="0.3">
      <c r="A163" s="40" t="str">
        <f>VLOOKUP(B163,Grupos!$A$2:$B$619,2,FALSE)</f>
        <v>TABLEROS 175 AMP BIMETALICO</v>
      </c>
      <c r="B163" s="41" t="s">
        <v>227</v>
      </c>
      <c r="C163" s="41" t="s">
        <v>228</v>
      </c>
      <c r="D163" s="42">
        <v>32</v>
      </c>
      <c r="E163" s="43">
        <f>VLOOKUP(B163,[1]Todos!$A$2:$B$3021,2,FALSE)</f>
        <v>54850.44</v>
      </c>
      <c r="F163" s="43">
        <f>VLOOKUP(B163,[1]Todos!$A$2:$C$3021,3,FALSE)</f>
        <v>7019.5</v>
      </c>
      <c r="G163" s="126">
        <f t="shared" si="35"/>
        <v>61869.94</v>
      </c>
      <c r="H163" s="127">
        <f t="shared" si="36"/>
        <v>1755214.08</v>
      </c>
      <c r="I163" s="128">
        <f t="shared" si="37"/>
        <v>224624</v>
      </c>
      <c r="J163" s="128">
        <f t="shared" si="30"/>
        <v>1979838.08</v>
      </c>
      <c r="K163" s="44">
        <f t="shared" si="31"/>
        <v>1.312183018106047E-3</v>
      </c>
      <c r="L163" s="45">
        <f t="shared" si="32"/>
        <v>18596.272496708138</v>
      </c>
      <c r="M163" s="45">
        <f t="shared" si="33"/>
        <v>49287.418096909663</v>
      </c>
      <c r="N163" s="45">
        <f t="shared" si="38"/>
        <v>129753.63059361781</v>
      </c>
      <c r="O163" s="46">
        <f t="shared" si="39"/>
        <v>4152116.1789957699</v>
      </c>
      <c r="P163" s="47">
        <f t="shared" si="34"/>
        <v>184212.00718750001</v>
      </c>
      <c r="Q163" s="42">
        <v>5894784.2300000004</v>
      </c>
      <c r="R163" s="152">
        <f t="shared" si="29"/>
        <v>0.70437118934135601</v>
      </c>
      <c r="S163" s="49"/>
      <c r="U163" s="112"/>
    </row>
    <row r="164" spans="1:21" hidden="1" outlineLevel="2" x14ac:dyDescent="0.3">
      <c r="A164" s="40" t="str">
        <f>VLOOKUP(B164,Grupos!$A$2:$B$619,2,FALSE)</f>
        <v>TABLEROS 175 AMP BIMETALICO</v>
      </c>
      <c r="B164" s="41" t="s">
        <v>229</v>
      </c>
      <c r="C164" s="41" t="s">
        <v>230</v>
      </c>
      <c r="D164" s="42">
        <v>1</v>
      </c>
      <c r="E164" s="43">
        <f>VLOOKUP(B164,[1]Todos!$A$2:$B$3021,2,FALSE)</f>
        <v>49897.08</v>
      </c>
      <c r="F164" s="43">
        <f>VLOOKUP(B164,[1]Todos!$A$2:$C$3021,3,FALSE)</f>
        <v>6824.13</v>
      </c>
      <c r="G164" s="126">
        <f t="shared" si="35"/>
        <v>56721.21</v>
      </c>
      <c r="H164" s="127">
        <f t="shared" si="36"/>
        <v>49897.08</v>
      </c>
      <c r="I164" s="128">
        <f t="shared" si="37"/>
        <v>6824.13</v>
      </c>
      <c r="J164" s="128">
        <f t="shared" si="30"/>
        <v>56721.21</v>
      </c>
      <c r="K164" s="44">
        <f t="shared" si="31"/>
        <v>3.7593280622437008E-5</v>
      </c>
      <c r="L164" s="45">
        <f t="shared" si="32"/>
        <v>17048.716670858361</v>
      </c>
      <c r="M164" s="45">
        <f t="shared" si="33"/>
        <v>47915.627674003008</v>
      </c>
      <c r="N164" s="45">
        <f t="shared" si="38"/>
        <v>121685.55434486136</v>
      </c>
      <c r="O164" s="46">
        <f t="shared" si="39"/>
        <v>121685.55434486136</v>
      </c>
      <c r="P164" s="47">
        <f t="shared" si="34"/>
        <v>148082.99</v>
      </c>
      <c r="Q164" s="42">
        <v>148082.99</v>
      </c>
      <c r="R164" s="152">
        <f t="shared" si="29"/>
        <v>0.82173890697953467</v>
      </c>
      <c r="S164" s="49"/>
      <c r="U164" s="112"/>
    </row>
    <row r="165" spans="1:21" hidden="1" outlineLevel="2" x14ac:dyDescent="0.3">
      <c r="A165" s="40" t="str">
        <f>VLOOKUP(B165,Grupos!$A$2:$B$619,2,FALSE)</f>
        <v>TABLEROS 175 AMP BIMETALICO</v>
      </c>
      <c r="B165" s="41" t="s">
        <v>231</v>
      </c>
      <c r="C165" s="41" t="s">
        <v>232</v>
      </c>
      <c r="D165" s="42">
        <v>78</v>
      </c>
      <c r="E165" s="43">
        <f>VLOOKUP(B165,[1]Todos!$A$2:$B$3021,2,FALSE)</f>
        <v>64153.43</v>
      </c>
      <c r="F165" s="43">
        <f>VLOOKUP(B165,[1]Todos!$A$2:$C$3021,3,FALSE)</f>
        <v>7523.99</v>
      </c>
      <c r="G165" s="126">
        <f t="shared" si="35"/>
        <v>71677.42</v>
      </c>
      <c r="H165" s="127">
        <f t="shared" si="36"/>
        <v>5003967.54</v>
      </c>
      <c r="I165" s="128">
        <f t="shared" si="37"/>
        <v>586871.22</v>
      </c>
      <c r="J165" s="128">
        <f t="shared" si="30"/>
        <v>5590838.7599999998</v>
      </c>
      <c r="K165" s="44">
        <f t="shared" si="31"/>
        <v>3.705456396636774E-3</v>
      </c>
      <c r="L165" s="45">
        <f t="shared" si="32"/>
        <v>21544.11066474281</v>
      </c>
      <c r="M165" s="45">
        <f t="shared" si="33"/>
        <v>52829.694549037296</v>
      </c>
      <c r="N165" s="45">
        <f t="shared" si="38"/>
        <v>146051.2252137801</v>
      </c>
      <c r="O165" s="46">
        <f t="shared" si="39"/>
        <v>11391995.566674847</v>
      </c>
      <c r="P165" s="47">
        <f t="shared" si="34"/>
        <v>240661.16205128207</v>
      </c>
      <c r="Q165" s="42">
        <v>18771570.640000001</v>
      </c>
      <c r="R165" s="152">
        <f t="shared" si="29"/>
        <v>0.60687492725834302</v>
      </c>
      <c r="S165" s="49"/>
      <c r="U165" s="112"/>
    </row>
    <row r="166" spans="1:21" hidden="1" outlineLevel="2" x14ac:dyDescent="0.3">
      <c r="A166" s="40" t="str">
        <f>VLOOKUP(B166,Grupos!$A$2:$B$619,2,FALSE)</f>
        <v>TABLEROS 175 AMP BIMETALICO</v>
      </c>
      <c r="B166" s="41" t="s">
        <v>233</v>
      </c>
      <c r="C166" s="41" t="s">
        <v>234</v>
      </c>
      <c r="D166" s="42">
        <v>-3</v>
      </c>
      <c r="E166" s="43">
        <f>VLOOKUP(B166,[1]Todos!$A$2:$B$3021,2,FALSE)</f>
        <v>58255.02</v>
      </c>
      <c r="F166" s="43">
        <f>VLOOKUP(B166,[1]Todos!$A$2:$C$3021,3,FALSE)</f>
        <v>6733.26</v>
      </c>
      <c r="G166" s="126">
        <f t="shared" si="35"/>
        <v>64988.28</v>
      </c>
      <c r="H166" s="127">
        <f t="shared" si="36"/>
        <v>-174765.06</v>
      </c>
      <c r="I166" s="128">
        <f t="shared" si="37"/>
        <v>-20199.78</v>
      </c>
      <c r="J166" s="128">
        <f t="shared" si="30"/>
        <v>-194964.84</v>
      </c>
      <c r="K166" s="44">
        <f t="shared" si="31"/>
        <v>-1.2921741164598801E-4</v>
      </c>
      <c r="L166" s="45">
        <f t="shared" si="32"/>
        <v>19533.553191943738</v>
      </c>
      <c r="M166" s="45">
        <f t="shared" si="33"/>
        <v>47277.583983930184</v>
      </c>
      <c r="N166" s="45">
        <f t="shared" si="38"/>
        <v>131799.41717587391</v>
      </c>
      <c r="O166" s="46">
        <f t="shared" si="39"/>
        <v>-395398.25152762176</v>
      </c>
      <c r="P166" s="47">
        <f t="shared" si="34"/>
        <v>185894.01333333334</v>
      </c>
      <c r="Q166" s="42">
        <v>-557682.04</v>
      </c>
      <c r="R166" s="152">
        <f t="shared" si="29"/>
        <v>0.70900302173550678</v>
      </c>
      <c r="S166" s="49"/>
      <c r="U166" s="112"/>
    </row>
    <row r="167" spans="1:21" hidden="1" outlineLevel="2" x14ac:dyDescent="0.3">
      <c r="A167" s="40" t="str">
        <f>VLOOKUP(B167,Grupos!$A$2:$B$619,2,FALSE)</f>
        <v>TABLEROS 175 AMP BIMETALICO</v>
      </c>
      <c r="B167" s="41" t="s">
        <v>235</v>
      </c>
      <c r="C167" s="41" t="s">
        <v>236</v>
      </c>
      <c r="D167" s="42">
        <v>123</v>
      </c>
      <c r="E167" s="43">
        <f>VLOOKUP(B167,[1]Todos!$A$2:$B$3021,2,FALSE)</f>
        <v>63662.01</v>
      </c>
      <c r="F167" s="43">
        <f>VLOOKUP(B167,[1]Todos!$A$2:$C$3021,3,FALSE)</f>
        <v>7772.76</v>
      </c>
      <c r="G167" s="126">
        <f t="shared" si="35"/>
        <v>71434.77</v>
      </c>
      <c r="H167" s="127">
        <f t="shared" si="36"/>
        <v>7830427.2300000004</v>
      </c>
      <c r="I167" s="128">
        <f t="shared" si="37"/>
        <v>956049.48</v>
      </c>
      <c r="J167" s="128">
        <f t="shared" si="30"/>
        <v>8786476.7100000009</v>
      </c>
      <c r="K167" s="44">
        <f t="shared" si="31"/>
        <v>5.8234386156701722E-3</v>
      </c>
      <c r="L167" s="45">
        <f t="shared" si="32"/>
        <v>21471.177257641946</v>
      </c>
      <c r="M167" s="45">
        <f t="shared" si="33"/>
        <v>54576.433063171957</v>
      </c>
      <c r="N167" s="45">
        <f t="shared" si="38"/>
        <v>147482.38032081391</v>
      </c>
      <c r="O167" s="46">
        <f t="shared" si="39"/>
        <v>18140332.77946011</v>
      </c>
      <c r="P167" s="47">
        <f t="shared" si="34"/>
        <v>269864.57455284556</v>
      </c>
      <c r="Q167" s="42">
        <v>33193342.670000002</v>
      </c>
      <c r="R167" s="152">
        <f t="shared" si="29"/>
        <v>0.54650515194588289</v>
      </c>
      <c r="S167" s="49"/>
      <c r="U167" s="112"/>
    </row>
    <row r="168" spans="1:21" hidden="1" outlineLevel="2" x14ac:dyDescent="0.3">
      <c r="A168" s="40" t="str">
        <f>VLOOKUP(B168,Grupos!$A$2:$B$619,2,FALSE)</f>
        <v>TABLEROS 175 AMP BIMETALICO</v>
      </c>
      <c r="B168" s="41" t="s">
        <v>237</v>
      </c>
      <c r="C168" s="41" t="s">
        <v>238</v>
      </c>
      <c r="D168" s="42">
        <v>4</v>
      </c>
      <c r="E168" s="43">
        <f>VLOOKUP(B168,[1]Todos!$A$2:$B$3021,2,FALSE)</f>
        <v>59420.81</v>
      </c>
      <c r="F168" s="163">
        <f>VLOOKUP(B168,[1]Todos!$A$2:$C$3021,3,FALSE)</f>
        <v>11113.38</v>
      </c>
      <c r="G168" s="126">
        <f t="shared" si="35"/>
        <v>70534.19</v>
      </c>
      <c r="H168" s="127">
        <f t="shared" si="36"/>
        <v>237683.24</v>
      </c>
      <c r="I168" s="128">
        <f t="shared" si="37"/>
        <v>44453.52</v>
      </c>
      <c r="J168" s="128">
        <f t="shared" si="30"/>
        <v>282136.76</v>
      </c>
      <c r="K168" s="44">
        <f t="shared" si="31"/>
        <v>1.8699259752366287E-4</v>
      </c>
      <c r="L168" s="45">
        <f t="shared" si="32"/>
        <v>21200.489568513985</v>
      </c>
      <c r="M168" s="45">
        <f t="shared" si="33"/>
        <v>78032.59584440969</v>
      </c>
      <c r="N168" s="45">
        <f t="shared" si="38"/>
        <v>169767.27541292369</v>
      </c>
      <c r="O168" s="46">
        <f t="shared" si="39"/>
        <v>679069.10165169474</v>
      </c>
      <c r="P168" s="47">
        <f t="shared" si="34"/>
        <v>169331.25</v>
      </c>
      <c r="Q168" s="42">
        <v>677325</v>
      </c>
      <c r="R168" s="162">
        <f t="shared" si="29"/>
        <v>1.0025749849063519</v>
      </c>
      <c r="S168" s="49"/>
      <c r="U168" s="112"/>
    </row>
    <row r="169" spans="1:21" hidden="1" outlineLevel="2" x14ac:dyDescent="0.3">
      <c r="A169" s="40" t="str">
        <f>VLOOKUP(B169,Grupos!$A$2:$B$619,2,FALSE)</f>
        <v>TABLEROS 175 AMP BIMETALICO</v>
      </c>
      <c r="B169" s="41" t="s">
        <v>239</v>
      </c>
      <c r="C169" s="41" t="s">
        <v>240</v>
      </c>
      <c r="D169" s="42">
        <v>1</v>
      </c>
      <c r="E169" s="43">
        <f>VLOOKUP(B169,[1]Todos!$A$2:$B$3021,2,FALSE)</f>
        <v>74705.16</v>
      </c>
      <c r="F169" s="43">
        <f>VLOOKUP(B169,[1]Todos!$A$2:$C$3021,3,FALSE)</f>
        <v>11694.84</v>
      </c>
      <c r="G169" s="126">
        <f t="shared" si="35"/>
        <v>86400</v>
      </c>
      <c r="H169" s="127">
        <f t="shared" si="36"/>
        <v>74705.16</v>
      </c>
      <c r="I169" s="128">
        <f t="shared" si="37"/>
        <v>11694.84</v>
      </c>
      <c r="J169" s="128">
        <f t="shared" si="30"/>
        <v>86400</v>
      </c>
      <c r="K169" s="44">
        <f t="shared" si="31"/>
        <v>5.7263578223711334E-5</v>
      </c>
      <c r="L169" s="45">
        <f t="shared" si="32"/>
        <v>25969.282396517327</v>
      </c>
      <c r="M169" s="45">
        <f t="shared" si="33"/>
        <v>82115.317138893515</v>
      </c>
      <c r="N169" s="45">
        <f t="shared" si="38"/>
        <v>194484.59953541085</v>
      </c>
      <c r="O169" s="46">
        <f t="shared" si="39"/>
        <v>194484.59953541085</v>
      </c>
      <c r="P169" s="47">
        <f t="shared" si="34"/>
        <v>332442.01</v>
      </c>
      <c r="Q169" s="42">
        <v>332442.01</v>
      </c>
      <c r="R169" s="152">
        <f t="shared" si="29"/>
        <v>0.58501811950725136</v>
      </c>
      <c r="S169" s="49"/>
      <c r="U169" s="112"/>
    </row>
    <row r="170" spans="1:21" hidden="1" outlineLevel="2" x14ac:dyDescent="0.3">
      <c r="A170" s="40" t="str">
        <f>VLOOKUP(B170,Grupos!$A$2:$B$619,2,FALSE)</f>
        <v>TABLEROS 175 AMP BIMETALICO</v>
      </c>
      <c r="B170" s="41" t="s">
        <v>241</v>
      </c>
      <c r="C170" s="41" t="s">
        <v>242</v>
      </c>
      <c r="D170" s="42">
        <v>33</v>
      </c>
      <c r="E170" s="43">
        <f>VLOOKUP(B170,[1]Todos!$A$2:$B$3021,2,FALSE)</f>
        <v>76519.41</v>
      </c>
      <c r="F170" s="43">
        <f>VLOOKUP(B170,[1]Todos!$A$2:$C$3021,3,FALSE)</f>
        <v>7722.66</v>
      </c>
      <c r="G170" s="126">
        <f t="shared" si="35"/>
        <v>84242.07</v>
      </c>
      <c r="H170" s="127">
        <f t="shared" si="36"/>
        <v>2525140.5300000003</v>
      </c>
      <c r="I170" s="128">
        <f t="shared" si="37"/>
        <v>254847.78</v>
      </c>
      <c r="J170" s="128">
        <f t="shared" si="30"/>
        <v>2779988.31</v>
      </c>
      <c r="K170" s="44">
        <f t="shared" si="31"/>
        <v>1.8425009033644455E-3</v>
      </c>
      <c r="L170" s="45">
        <f t="shared" si="32"/>
        <v>25320.672517328476</v>
      </c>
      <c r="M170" s="45">
        <f t="shared" si="33"/>
        <v>54224.655921401856</v>
      </c>
      <c r="N170" s="45">
        <f t="shared" si="38"/>
        <v>163787.39843873034</v>
      </c>
      <c r="O170" s="46">
        <f t="shared" si="39"/>
        <v>5404984.148478101</v>
      </c>
      <c r="P170" s="47">
        <f t="shared" si="34"/>
        <v>249329.66030303031</v>
      </c>
      <c r="Q170" s="42">
        <v>8227878.79</v>
      </c>
      <c r="R170" s="152">
        <f t="shared" si="29"/>
        <v>0.6569110078586976</v>
      </c>
      <c r="S170" s="49"/>
      <c r="U170" s="112"/>
    </row>
    <row r="171" spans="1:21" hidden="1" outlineLevel="2" x14ac:dyDescent="0.3">
      <c r="A171" s="40" t="str">
        <f>VLOOKUP(B171,Grupos!$A$2:$B$619,2,FALSE)</f>
        <v>TABLEROS 175 AMP BIMETALICO</v>
      </c>
      <c r="B171" s="41" t="s">
        <v>243</v>
      </c>
      <c r="C171" s="41" t="s">
        <v>244</v>
      </c>
      <c r="D171" s="42">
        <v>63</v>
      </c>
      <c r="E171" s="43">
        <f>VLOOKUP(B171,[1]Todos!$A$2:$B$3021,2,FALSE)</f>
        <v>91575.06</v>
      </c>
      <c r="F171" s="43">
        <f>VLOOKUP(B171,[1]Todos!$A$2:$C$3021,3,FALSE)</f>
        <v>8673.58</v>
      </c>
      <c r="G171" s="126">
        <f t="shared" si="35"/>
        <v>100248.64</v>
      </c>
      <c r="H171" s="127">
        <f t="shared" si="36"/>
        <v>5769228.7800000003</v>
      </c>
      <c r="I171" s="128">
        <f t="shared" si="37"/>
        <v>546435.54</v>
      </c>
      <c r="J171" s="128">
        <f t="shared" si="30"/>
        <v>6315664.3200000003</v>
      </c>
      <c r="K171" s="44">
        <f t="shared" si="31"/>
        <v>4.1858511322109106E-3</v>
      </c>
      <c r="L171" s="45">
        <f t="shared" si="32"/>
        <v>30131.773634569476</v>
      </c>
      <c r="M171" s="45">
        <f t="shared" si="33"/>
        <v>60901.540545194628</v>
      </c>
      <c r="N171" s="45">
        <f t="shared" si="38"/>
        <v>191281.95417976408</v>
      </c>
      <c r="O171" s="46">
        <f t="shared" si="39"/>
        <v>12050763.113325138</v>
      </c>
      <c r="P171" s="47">
        <f t="shared" si="34"/>
        <v>358182.99015873013</v>
      </c>
      <c r="Q171" s="42">
        <v>22565528.379999999</v>
      </c>
      <c r="R171" s="152">
        <f t="shared" si="29"/>
        <v>0.53403416531588166</v>
      </c>
      <c r="S171" s="49"/>
      <c r="U171" s="112"/>
    </row>
    <row r="172" spans="1:21" hidden="1" outlineLevel="2" x14ac:dyDescent="0.3">
      <c r="A172" s="40" t="str">
        <f>VLOOKUP(B172,Grupos!$A$2:$B$619,2,FALSE)</f>
        <v>TABLEROS 175 AMP BIMETALICO</v>
      </c>
      <c r="B172" s="41" t="s">
        <v>647</v>
      </c>
      <c r="C172" s="41" t="s">
        <v>648</v>
      </c>
      <c r="D172" s="42">
        <v>4</v>
      </c>
      <c r="E172" s="43">
        <f>VLOOKUP(B172,[1]Todos!$A$2:$B$3021,2,FALSE)</f>
        <v>65667.759999999995</v>
      </c>
      <c r="F172" s="43">
        <f>VLOOKUP(B172,[1]Todos!$A$2:$C$3021,3,FALSE)</f>
        <v>6260.94</v>
      </c>
      <c r="G172" s="126">
        <f t="shared" si="35"/>
        <v>71928.7</v>
      </c>
      <c r="H172" s="127">
        <f t="shared" si="36"/>
        <v>262671.03999999998</v>
      </c>
      <c r="I172" s="128">
        <f t="shared" si="37"/>
        <v>25043.759999999998</v>
      </c>
      <c r="J172" s="128">
        <f t="shared" si="30"/>
        <v>287714.8</v>
      </c>
      <c r="K172" s="44">
        <f t="shared" si="31"/>
        <v>1.9068957124906784E-4</v>
      </c>
      <c r="L172" s="45">
        <f t="shared" si="32"/>
        <v>21619.637994379347</v>
      </c>
      <c r="M172" s="45">
        <f t="shared" si="33"/>
        <v>43961.189181517992</v>
      </c>
      <c r="N172" s="45">
        <f t="shared" si="38"/>
        <v>137509.52717589732</v>
      </c>
      <c r="O172" s="46">
        <f t="shared" si="39"/>
        <v>550038.1087035893</v>
      </c>
      <c r="P172" s="47">
        <f t="shared" si="34"/>
        <v>346269.01500000001</v>
      </c>
      <c r="Q172" s="42">
        <v>1385076.06</v>
      </c>
      <c r="R172" s="152">
        <f t="shared" si="29"/>
        <v>0.39711762017140723</v>
      </c>
      <c r="S172" s="49"/>
      <c r="U172" s="112"/>
    </row>
    <row r="173" spans="1:21" hidden="1" outlineLevel="2" x14ac:dyDescent="0.3">
      <c r="A173" s="40" t="str">
        <f>VLOOKUP(B173,Grupos!$A$2:$B$619,2,FALSE)</f>
        <v>TABLEROS 175 AMP BIMETALICO</v>
      </c>
      <c r="B173" s="41" t="s">
        <v>245</v>
      </c>
      <c r="C173" s="41" t="s">
        <v>246</v>
      </c>
      <c r="D173" s="42">
        <v>30</v>
      </c>
      <c r="E173" s="43">
        <f>VLOOKUP(B173,[1]Todos!$A$2:$B$3021,2,FALSE)</f>
        <v>88270.33</v>
      </c>
      <c r="F173" s="43">
        <f>VLOOKUP(B173,[1]Todos!$A$2:$C$3021,3,FALSE)</f>
        <v>7852.52</v>
      </c>
      <c r="G173" s="126">
        <f t="shared" si="35"/>
        <v>96122.85</v>
      </c>
      <c r="H173" s="127">
        <f t="shared" si="36"/>
        <v>2648109.9</v>
      </c>
      <c r="I173" s="128">
        <f t="shared" si="37"/>
        <v>235575.6</v>
      </c>
      <c r="J173" s="128">
        <f t="shared" si="30"/>
        <v>2883685.5</v>
      </c>
      <c r="K173" s="44">
        <f t="shared" si="31"/>
        <v>1.9112285902989831E-3</v>
      </c>
      <c r="L173" s="45">
        <f t="shared" si="32"/>
        <v>28891.683291760135</v>
      </c>
      <c r="M173" s="45">
        <f t="shared" si="33"/>
        <v>55136.467890069813</v>
      </c>
      <c r="N173" s="45">
        <f t="shared" si="38"/>
        <v>180151.00118182995</v>
      </c>
      <c r="O173" s="46">
        <f t="shared" si="39"/>
        <v>5404530.0354548991</v>
      </c>
      <c r="P173" s="47">
        <f t="shared" si="34"/>
        <v>433387.266</v>
      </c>
      <c r="Q173" s="42">
        <v>13001617.98</v>
      </c>
      <c r="R173" s="152">
        <f t="shared" si="29"/>
        <v>0.41568134395030876</v>
      </c>
      <c r="S173" s="49"/>
      <c r="U173" s="112"/>
    </row>
    <row r="174" spans="1:21" s="93" customFormat="1" outlineLevel="1" collapsed="1" x14ac:dyDescent="0.3">
      <c r="A174" s="50" t="s">
        <v>1034</v>
      </c>
      <c r="B174" s="129"/>
      <c r="C174" s="129"/>
      <c r="D174" s="51">
        <f>SUBTOTAL(9,D163:D173)</f>
        <v>366</v>
      </c>
      <c r="E174" s="52"/>
      <c r="F174" s="52"/>
      <c r="G174" s="130"/>
      <c r="H174" s="131">
        <f>SUBTOTAL(9,H163:H173)</f>
        <v>25982279.52</v>
      </c>
      <c r="I174" s="146">
        <f>SUBTOTAL(9,I163:I173)</f>
        <v>2872220.09</v>
      </c>
      <c r="J174" s="146">
        <f>SUBTOTAL(9,J163:J173)</f>
        <v>28854499.610000003</v>
      </c>
      <c r="K174" s="53"/>
      <c r="L174" s="54"/>
      <c r="M174" s="54"/>
      <c r="N174" s="54"/>
      <c r="O174" s="55">
        <f>SUBTOTAL(9,O163:O173)</f>
        <v>57694600.935096808</v>
      </c>
      <c r="P174" s="56"/>
      <c r="Q174" s="51">
        <f>SUBTOTAL(9,Q163:Q173)</f>
        <v>103639966.71000001</v>
      </c>
      <c r="R174" s="198">
        <f>O174/Q174</f>
        <v>0.55668293580733053</v>
      </c>
      <c r="S174" s="58">
        <f>Q174/$Q$295</f>
        <v>2.6528423341654252E-2</v>
      </c>
      <c r="T174" s="158"/>
      <c r="U174" s="147"/>
    </row>
    <row r="175" spans="1:21" outlineLevel="2" x14ac:dyDescent="0.3">
      <c r="A175" s="40" t="str">
        <f>VLOOKUP(B175,Grupos!$A$2:$B$619,2,FALSE)</f>
        <v>TABLEROS 225 AMP COBRE</v>
      </c>
      <c r="B175" s="41" t="s">
        <v>247</v>
      </c>
      <c r="C175" s="41" t="s">
        <v>248</v>
      </c>
      <c r="D175" s="42">
        <v>30</v>
      </c>
      <c r="E175" s="43">
        <f>VLOOKUP(B175,[1]Todos!$A$2:$B$3021,2,FALSE)</f>
        <v>71237.61</v>
      </c>
      <c r="F175" s="43">
        <f>VLOOKUP(B175,[1]Todos!$A$2:$C$3021,3,FALSE)</f>
        <v>2824.89</v>
      </c>
      <c r="G175" s="126">
        <f t="shared" si="35"/>
        <v>74062.5</v>
      </c>
      <c r="H175" s="127">
        <f t="shared" si="36"/>
        <v>2137128.2999999998</v>
      </c>
      <c r="I175" s="128">
        <f t="shared" si="37"/>
        <v>84746.7</v>
      </c>
      <c r="J175" s="128">
        <f t="shared" si="30"/>
        <v>2221875</v>
      </c>
      <c r="K175" s="44">
        <f t="shared" si="31"/>
        <v>1.4725985285394517E-3</v>
      </c>
      <c r="L175" s="45">
        <f t="shared" si="32"/>
        <v>22260.995109861855</v>
      </c>
      <c r="M175" s="45">
        <f t="shared" si="33"/>
        <v>19834.964670956495</v>
      </c>
      <c r="N175" s="45">
        <f t="shared" si="38"/>
        <v>116158.45978081836</v>
      </c>
      <c r="O175" s="46">
        <f t="shared" si="39"/>
        <v>3484753.7934245509</v>
      </c>
      <c r="P175" s="47">
        <f t="shared" si="34"/>
        <v>226903.52733333333</v>
      </c>
      <c r="Q175" s="42">
        <v>6807105.8200000003</v>
      </c>
      <c r="R175" s="152">
        <f t="shared" si="29"/>
        <v>0.51192884106281611</v>
      </c>
      <c r="S175" s="49"/>
      <c r="U175" s="112"/>
    </row>
    <row r="176" spans="1:21" outlineLevel="2" x14ac:dyDescent="0.3">
      <c r="A176" s="40" t="str">
        <f>VLOOKUP(B176,Grupos!$A$2:$B$619,2,FALSE)</f>
        <v>TABLEROS 225 AMP COBRE</v>
      </c>
      <c r="B176" s="41" t="s">
        <v>249</v>
      </c>
      <c r="C176" s="41" t="s">
        <v>250</v>
      </c>
      <c r="D176" s="42">
        <v>56</v>
      </c>
      <c r="E176" s="43">
        <f>VLOOKUP(B176,[1]Todos!$A$2:$B$3021,2,FALSE)</f>
        <v>72361.87</v>
      </c>
      <c r="F176" s="43">
        <f>VLOOKUP(B176,[1]Todos!$A$2:$C$3021,3,FALSE)</f>
        <v>7005.76</v>
      </c>
      <c r="G176" s="126">
        <f t="shared" si="35"/>
        <v>79367.62999999999</v>
      </c>
      <c r="H176" s="127">
        <f t="shared" si="36"/>
        <v>4052264.7199999997</v>
      </c>
      <c r="I176" s="128">
        <f t="shared" si="37"/>
        <v>392322.56</v>
      </c>
      <c r="J176" s="128">
        <f t="shared" si="30"/>
        <v>4444587.2799999993</v>
      </c>
      <c r="K176" s="44">
        <f t="shared" si="31"/>
        <v>2.9457519835693561E-3</v>
      </c>
      <c r="L176" s="45">
        <f t="shared" si="32"/>
        <v>23855.560145975698</v>
      </c>
      <c r="M176" s="45">
        <f t="shared" si="33"/>
        <v>49190.942689166724</v>
      </c>
      <c r="N176" s="45">
        <f t="shared" si="38"/>
        <v>152414.13283514243</v>
      </c>
      <c r="O176" s="46">
        <f t="shared" si="39"/>
        <v>8535191.4387679771</v>
      </c>
      <c r="P176" s="47">
        <f t="shared" si="34"/>
        <v>216296.78732142856</v>
      </c>
      <c r="Q176" s="42">
        <v>12112620.09</v>
      </c>
      <c r="R176" s="152">
        <f t="shared" si="29"/>
        <v>0.70465278159054168</v>
      </c>
      <c r="S176" s="49"/>
      <c r="U176" s="112"/>
    </row>
    <row r="177" spans="1:21" outlineLevel="2" x14ac:dyDescent="0.3">
      <c r="A177" s="40" t="str">
        <f>VLOOKUP(B177,Grupos!$A$2:$B$619,2,FALSE)</f>
        <v>TABLEROS 225 AMP COBRE</v>
      </c>
      <c r="B177" s="41" t="s">
        <v>251</v>
      </c>
      <c r="C177" s="41" t="s">
        <v>252</v>
      </c>
      <c r="D177" s="42">
        <v>39</v>
      </c>
      <c r="E177" s="43">
        <f>VLOOKUP(B177,[1]Todos!$A$2:$B$3021,2,FALSE)</f>
        <v>74286.210000000006</v>
      </c>
      <c r="F177" s="43">
        <f>VLOOKUP(B177,[1]Todos!$A$2:$C$3021,3,FALSE)</f>
        <v>2151.94</v>
      </c>
      <c r="G177" s="126">
        <f t="shared" si="35"/>
        <v>76438.150000000009</v>
      </c>
      <c r="H177" s="127">
        <f t="shared" si="36"/>
        <v>2897162.1900000004</v>
      </c>
      <c r="I177" s="128">
        <f t="shared" si="37"/>
        <v>83925.66</v>
      </c>
      <c r="J177" s="128">
        <f t="shared" si="30"/>
        <v>2981087.8500000006</v>
      </c>
      <c r="K177" s="44">
        <f t="shared" si="31"/>
        <v>1.9757842278961863E-3</v>
      </c>
      <c r="L177" s="45">
        <f t="shared" si="32"/>
        <v>22975.045176126754</v>
      </c>
      <c r="M177" s="45">
        <f t="shared" si="33"/>
        <v>15109.846356501714</v>
      </c>
      <c r="N177" s="45">
        <f t="shared" si="38"/>
        <v>114523.04153262847</v>
      </c>
      <c r="O177" s="46">
        <f t="shared" si="39"/>
        <v>4466398.6197725106</v>
      </c>
      <c r="P177" s="47">
        <f t="shared" si="34"/>
        <v>171732.25230769231</v>
      </c>
      <c r="Q177" s="42">
        <v>6697557.8399999999</v>
      </c>
      <c r="R177" s="152">
        <f t="shared" si="29"/>
        <v>0.66686973468115818</v>
      </c>
      <c r="S177" s="49"/>
      <c r="U177" s="112"/>
    </row>
    <row r="178" spans="1:21" outlineLevel="2" x14ac:dyDescent="0.3">
      <c r="A178" s="40" t="str">
        <f>VLOOKUP(B178,Grupos!$A$2:$B$619,2,FALSE)</f>
        <v>TABLEROS 225 AMP COBRE</v>
      </c>
      <c r="B178" s="41" t="s">
        <v>253</v>
      </c>
      <c r="C178" s="41" t="s">
        <v>254</v>
      </c>
      <c r="D178" s="42">
        <v>10</v>
      </c>
      <c r="E178" s="43">
        <f>VLOOKUP(B178,[1]Todos!$A$2:$B$3021,2,FALSE)</f>
        <v>75188.23</v>
      </c>
      <c r="F178" s="43">
        <f>VLOOKUP(B178,[1]Todos!$A$2:$C$3021,3,FALSE)</f>
        <v>6485.47</v>
      </c>
      <c r="G178" s="126">
        <f t="shared" si="35"/>
        <v>81673.7</v>
      </c>
      <c r="H178" s="127">
        <f t="shared" si="36"/>
        <v>751882.29999999993</v>
      </c>
      <c r="I178" s="128">
        <f t="shared" si="37"/>
        <v>64854.700000000004</v>
      </c>
      <c r="J178" s="128">
        <f t="shared" si="30"/>
        <v>816737</v>
      </c>
      <c r="K178" s="44">
        <f t="shared" si="31"/>
        <v>5.4131114684837184E-4</v>
      </c>
      <c r="L178" s="45">
        <f t="shared" si="32"/>
        <v>24548.696523940245</v>
      </c>
      <c r="M178" s="45">
        <f t="shared" si="33"/>
        <v>45537.726539634546</v>
      </c>
      <c r="N178" s="45">
        <f t="shared" si="38"/>
        <v>151760.12306357478</v>
      </c>
      <c r="O178" s="46">
        <f t="shared" si="39"/>
        <v>1517601.2306357478</v>
      </c>
      <c r="P178" s="47">
        <f t="shared" si="34"/>
        <v>174307.204</v>
      </c>
      <c r="Q178" s="42">
        <v>1743072.04</v>
      </c>
      <c r="R178" s="152">
        <f t="shared" si="29"/>
        <v>0.87064745220498618</v>
      </c>
      <c r="S178" s="49"/>
      <c r="U178" s="112"/>
    </row>
    <row r="179" spans="1:21" outlineLevel="2" x14ac:dyDescent="0.3">
      <c r="A179" s="40" t="str">
        <f>VLOOKUP(B179,Grupos!$A$2:$B$619,2,FALSE)</f>
        <v>TABLEROS 225 AMP COBRE</v>
      </c>
      <c r="B179" s="41" t="s">
        <v>255</v>
      </c>
      <c r="C179" s="41" t="s">
        <v>256</v>
      </c>
      <c r="D179" s="42">
        <v>33</v>
      </c>
      <c r="E179" s="43">
        <f>VLOOKUP(B179,[1]Todos!$A$2:$B$3021,2,FALSE)</f>
        <v>88227.96</v>
      </c>
      <c r="F179" s="43">
        <f>VLOOKUP(B179,[1]Todos!$A$2:$C$3021,3,FALSE)</f>
        <v>3428.16</v>
      </c>
      <c r="G179" s="126">
        <f t="shared" si="35"/>
        <v>91656.12000000001</v>
      </c>
      <c r="H179" s="127">
        <f t="shared" si="36"/>
        <v>2911522.68</v>
      </c>
      <c r="I179" s="128">
        <f t="shared" si="37"/>
        <v>113129.28</v>
      </c>
      <c r="J179" s="128">
        <f t="shared" si="30"/>
        <v>3024651.9600000004</v>
      </c>
      <c r="K179" s="44">
        <f t="shared" si="31"/>
        <v>2.0046573392472435E-3</v>
      </c>
      <c r="L179" s="45">
        <f t="shared" si="32"/>
        <v>27549.11647741991</v>
      </c>
      <c r="M179" s="45">
        <f t="shared" si="33"/>
        <v>24070.824876857583</v>
      </c>
      <c r="N179" s="45">
        <f t="shared" si="38"/>
        <v>143276.06135427751</v>
      </c>
      <c r="O179" s="46">
        <f t="shared" si="39"/>
        <v>4728110.024691158</v>
      </c>
      <c r="P179" s="47">
        <f t="shared" si="34"/>
        <v>279159.41666666669</v>
      </c>
      <c r="Q179" s="42">
        <v>9212260.75</v>
      </c>
      <c r="R179" s="152">
        <f t="shared" si="29"/>
        <v>0.513241011408753</v>
      </c>
      <c r="S179" s="49"/>
      <c r="U179" s="112"/>
    </row>
    <row r="180" spans="1:21" outlineLevel="2" x14ac:dyDescent="0.3">
      <c r="A180" s="40" t="str">
        <f>VLOOKUP(B180,Grupos!$A$2:$B$619,2,FALSE)</f>
        <v>TABLEROS 225 AMP COBRE</v>
      </c>
      <c r="B180" s="41" t="s">
        <v>257</v>
      </c>
      <c r="C180" s="41" t="s">
        <v>258</v>
      </c>
      <c r="D180" s="42">
        <v>134</v>
      </c>
      <c r="E180" s="43">
        <f>VLOOKUP(B180,[1]Todos!$A$2:$B$3021,2,FALSE)</f>
        <v>89418.63</v>
      </c>
      <c r="F180" s="43">
        <f>VLOOKUP(B180,[1]Todos!$A$2:$C$3021,3,FALSE)</f>
        <v>7164.73</v>
      </c>
      <c r="G180" s="126">
        <f t="shared" si="35"/>
        <v>96583.360000000001</v>
      </c>
      <c r="H180" s="127">
        <f t="shared" si="36"/>
        <v>11982096.42</v>
      </c>
      <c r="I180" s="128">
        <f t="shared" si="37"/>
        <v>960073.82</v>
      </c>
      <c r="J180" s="128">
        <f t="shared" si="30"/>
        <v>12942170.24</v>
      </c>
      <c r="K180" s="44">
        <f t="shared" si="31"/>
        <v>8.5777196518845942E-3</v>
      </c>
      <c r="L180" s="45">
        <f t="shared" si="32"/>
        <v>29030.098965792775</v>
      </c>
      <c r="M180" s="45">
        <f t="shared" si="33"/>
        <v>50307.150518052789</v>
      </c>
      <c r="N180" s="45">
        <f t="shared" si="38"/>
        <v>175920.60948384556</v>
      </c>
      <c r="O180" s="46">
        <f t="shared" si="39"/>
        <v>23573361.670835305</v>
      </c>
      <c r="P180" s="47">
        <f t="shared" si="34"/>
        <v>273468.01529850747</v>
      </c>
      <c r="Q180" s="42">
        <v>36644714.049999997</v>
      </c>
      <c r="R180" s="152">
        <f t="shared" si="29"/>
        <v>0.64329500944312346</v>
      </c>
      <c r="S180" s="49"/>
      <c r="U180" s="112"/>
    </row>
    <row r="181" spans="1:21" outlineLevel="2" x14ac:dyDescent="0.3">
      <c r="A181" s="40" t="str">
        <f>VLOOKUP(B181,Grupos!$A$2:$B$619,2,FALSE)</f>
        <v>TABLEROS 225 AMP COBRE</v>
      </c>
      <c r="B181" s="41" t="s">
        <v>259</v>
      </c>
      <c r="C181" s="41" t="s">
        <v>260</v>
      </c>
      <c r="D181" s="42">
        <v>101</v>
      </c>
      <c r="E181" s="43">
        <f>VLOOKUP(B181,[1]Todos!$A$2:$B$3021,2,FALSE)</f>
        <v>90103.98</v>
      </c>
      <c r="F181" s="43">
        <f>VLOOKUP(B181,[1]Todos!$A$2:$C$3021,3,FALSE)</f>
        <v>2457.17</v>
      </c>
      <c r="G181" s="126">
        <f t="shared" si="35"/>
        <v>92561.15</v>
      </c>
      <c r="H181" s="127">
        <f t="shared" si="36"/>
        <v>9100501.9800000004</v>
      </c>
      <c r="I181" s="128">
        <f t="shared" si="37"/>
        <v>248174.17</v>
      </c>
      <c r="J181" s="128">
        <f t="shared" si="30"/>
        <v>9348676.1499999985</v>
      </c>
      <c r="K181" s="44">
        <f t="shared" si="31"/>
        <v>6.1960491667091373E-3</v>
      </c>
      <c r="L181" s="45">
        <f t="shared" si="32"/>
        <v>27821.141704819438</v>
      </c>
      <c r="M181" s="45">
        <f t="shared" si="33"/>
        <v>17253.018751361709</v>
      </c>
      <c r="N181" s="45">
        <f t="shared" si="38"/>
        <v>137635.31045618115</v>
      </c>
      <c r="O181" s="46">
        <f t="shared" si="39"/>
        <v>13901166.356074296</v>
      </c>
      <c r="P181" s="47">
        <f t="shared" si="34"/>
        <v>211393.09950495051</v>
      </c>
      <c r="Q181" s="42">
        <v>21350703.050000001</v>
      </c>
      <c r="R181" s="152">
        <f t="shared" si="29"/>
        <v>0.65108705430073865</v>
      </c>
      <c r="S181" s="49"/>
      <c r="U181" s="112"/>
    </row>
    <row r="182" spans="1:21" outlineLevel="2" x14ac:dyDescent="0.3">
      <c r="A182" s="40" t="str">
        <f>VLOOKUP(B182,Grupos!$A$2:$B$619,2,FALSE)</f>
        <v>TABLEROS 225 AMP COBRE</v>
      </c>
      <c r="B182" s="41" t="s">
        <v>261</v>
      </c>
      <c r="C182" s="41" t="s">
        <v>262</v>
      </c>
      <c r="D182" s="42">
        <v>81</v>
      </c>
      <c r="E182" s="43">
        <f>VLOOKUP(B182,[1]Todos!$A$2:$B$3021,2,FALSE)</f>
        <v>91072.39</v>
      </c>
      <c r="F182" s="43">
        <f>VLOOKUP(B182,[1]Todos!$A$2:$C$3021,3,FALSE)</f>
        <v>6673.61</v>
      </c>
      <c r="G182" s="126">
        <f t="shared" si="35"/>
        <v>97746</v>
      </c>
      <c r="H182" s="127">
        <f t="shared" si="36"/>
        <v>7376863.5899999999</v>
      </c>
      <c r="I182" s="128">
        <f t="shared" si="37"/>
        <v>540562.40999999992</v>
      </c>
      <c r="J182" s="128">
        <f t="shared" si="30"/>
        <v>7917426</v>
      </c>
      <c r="K182" s="44">
        <f t="shared" si="31"/>
        <v>5.2474553597389581E-3</v>
      </c>
      <c r="L182" s="45">
        <f t="shared" si="32"/>
        <v>29379.554133448877</v>
      </c>
      <c r="M182" s="45">
        <f t="shared" si="33"/>
        <v>46858.751518728866</v>
      </c>
      <c r="N182" s="45">
        <f t="shared" si="38"/>
        <v>173984.30565217775</v>
      </c>
      <c r="O182" s="46">
        <f t="shared" si="39"/>
        <v>14092728.757826397</v>
      </c>
      <c r="P182" s="47">
        <f t="shared" si="34"/>
        <v>202062.11493827161</v>
      </c>
      <c r="Q182" s="42">
        <v>16367031.310000001</v>
      </c>
      <c r="R182" s="152">
        <f t="shared" si="29"/>
        <v>0.86104367315628949</v>
      </c>
      <c r="S182" s="49"/>
      <c r="U182" s="112"/>
    </row>
    <row r="183" spans="1:21" outlineLevel="2" x14ac:dyDescent="0.3">
      <c r="A183" s="40" t="str">
        <f>VLOOKUP(B183,Grupos!$A$2:$B$619,2,FALSE)</f>
        <v>TABLEROS 225 AMP COBRE</v>
      </c>
      <c r="B183" s="41" t="s">
        <v>263</v>
      </c>
      <c r="C183" s="41" t="s">
        <v>264</v>
      </c>
      <c r="D183" s="42">
        <v>66</v>
      </c>
      <c r="E183" s="43">
        <f>VLOOKUP(B183,[1]Todos!$A$2:$B$3021,2,FALSE)</f>
        <v>95392.05</v>
      </c>
      <c r="F183" s="43">
        <f>VLOOKUP(B183,[1]Todos!$A$2:$C$3021,3,FALSE)</f>
        <v>2988.43</v>
      </c>
      <c r="G183" s="126">
        <f t="shared" si="35"/>
        <v>98380.479999999996</v>
      </c>
      <c r="H183" s="127">
        <f t="shared" si="36"/>
        <v>6295875.2999999998</v>
      </c>
      <c r="I183" s="128">
        <f t="shared" si="37"/>
        <v>197236.37999999998</v>
      </c>
      <c r="J183" s="128">
        <f t="shared" si="30"/>
        <v>6493111.6799999997</v>
      </c>
      <c r="K183" s="44">
        <f t="shared" ref="K183:K215" si="40">J183/$J$295</f>
        <v>4.303458432904788E-3</v>
      </c>
      <c r="L183" s="45">
        <f t="shared" ref="L183:L215" si="41">$K$367*K183/D183</f>
        <v>29570.260039640329</v>
      </c>
      <c r="M183" s="45">
        <f t="shared" ref="M183:M215" si="42">F183*$M$366</f>
        <v>20983.260754091847</v>
      </c>
      <c r="N183" s="45">
        <f t="shared" si="38"/>
        <v>148934.00079373218</v>
      </c>
      <c r="O183" s="46">
        <f t="shared" si="39"/>
        <v>9829644.052386323</v>
      </c>
      <c r="P183" s="47">
        <f t="shared" si="34"/>
        <v>326532.15666666668</v>
      </c>
      <c r="Q183" s="42">
        <v>21551122.34</v>
      </c>
      <c r="R183" s="152">
        <f t="shared" si="29"/>
        <v>0.45610822013394609</v>
      </c>
      <c r="S183" s="49"/>
      <c r="U183" s="112"/>
    </row>
    <row r="184" spans="1:21" outlineLevel="2" x14ac:dyDescent="0.3">
      <c r="A184" s="40" t="str">
        <f>VLOOKUP(B184,Grupos!$A$2:$B$619,2,FALSE)</f>
        <v>TABLEROS 225 AMP COBRE</v>
      </c>
      <c r="B184" s="41" t="s">
        <v>265</v>
      </c>
      <c r="C184" s="41" t="s">
        <v>266</v>
      </c>
      <c r="D184" s="42">
        <v>136</v>
      </c>
      <c r="E184" s="43">
        <f>VLOOKUP(B184,[1]Todos!$A$2:$B$3021,2,FALSE)</f>
        <v>96649.13</v>
      </c>
      <c r="F184" s="43">
        <f>VLOOKUP(B184,[1]Todos!$A$2:$C$3021,3,FALSE)</f>
        <v>7390.11</v>
      </c>
      <c r="G184" s="126">
        <f t="shared" si="35"/>
        <v>104039.24</v>
      </c>
      <c r="H184" s="127">
        <f t="shared" si="36"/>
        <v>13144281.68</v>
      </c>
      <c r="I184" s="128">
        <f t="shared" si="37"/>
        <v>1005054.96</v>
      </c>
      <c r="J184" s="128">
        <f t="shared" si="30"/>
        <v>14149336.640000001</v>
      </c>
      <c r="K184" s="44">
        <f t="shared" si="40"/>
        <v>9.3777968228965849E-3</v>
      </c>
      <c r="L184" s="45">
        <f t="shared" si="41"/>
        <v>31271.115785637048</v>
      </c>
      <c r="M184" s="45">
        <f t="shared" si="42"/>
        <v>51889.656151029711</v>
      </c>
      <c r="N184" s="45">
        <f t="shared" si="38"/>
        <v>187200.01193666676</v>
      </c>
      <c r="O184" s="46">
        <f t="shared" si="39"/>
        <v>25459201.623386681</v>
      </c>
      <c r="P184" s="47">
        <f t="shared" si="34"/>
        <v>312833.85389705887</v>
      </c>
      <c r="Q184" s="42">
        <v>42545404.130000003</v>
      </c>
      <c r="R184" s="152">
        <f t="shared" si="29"/>
        <v>0.59840074724862369</v>
      </c>
      <c r="S184" s="49"/>
      <c r="U184" s="112"/>
    </row>
    <row r="185" spans="1:21" outlineLevel="2" x14ac:dyDescent="0.3">
      <c r="A185" s="40" t="str">
        <f>VLOOKUP(B185,Grupos!$A$2:$B$619,2,FALSE)</f>
        <v>TABLEROS 225 AMP COBRE</v>
      </c>
      <c r="B185" s="41" t="s">
        <v>267</v>
      </c>
      <c r="C185" s="41" t="s">
        <v>268</v>
      </c>
      <c r="D185" s="42">
        <v>3</v>
      </c>
      <c r="E185" s="43">
        <f>VLOOKUP(B185,[1]Todos!$A$2:$B$3021,2,FALSE)</f>
        <v>123613.93</v>
      </c>
      <c r="F185" s="43">
        <f>VLOOKUP(B185,[1]Todos!$A$2:$C$3021,3,FALSE)</f>
        <v>2726.25</v>
      </c>
      <c r="G185" s="126">
        <f t="shared" si="35"/>
        <v>126340.18</v>
      </c>
      <c r="H185" s="127">
        <f t="shared" si="36"/>
        <v>370841.79</v>
      </c>
      <c r="I185" s="128">
        <f t="shared" si="37"/>
        <v>8178.75</v>
      </c>
      <c r="J185" s="128">
        <f t="shared" si="30"/>
        <v>379020.54</v>
      </c>
      <c r="K185" s="44">
        <f t="shared" si="40"/>
        <v>2.5120454098013091E-4</v>
      </c>
      <c r="L185" s="45">
        <f t="shared" si="41"/>
        <v>37974.118199616089</v>
      </c>
      <c r="M185" s="45">
        <f t="shared" si="42"/>
        <v>19142.363927160048</v>
      </c>
      <c r="N185" s="45">
        <f t="shared" si="38"/>
        <v>183456.66212677612</v>
      </c>
      <c r="O185" s="46">
        <f t="shared" si="39"/>
        <v>550369.98638032842</v>
      </c>
      <c r="P185" s="47">
        <f t="shared" si="34"/>
        <v>382842.8133333333</v>
      </c>
      <c r="Q185" s="42">
        <v>1148528.44</v>
      </c>
      <c r="R185" s="152">
        <f t="shared" si="29"/>
        <v>0.47919578411164854</v>
      </c>
      <c r="S185" s="49"/>
      <c r="U185" s="112"/>
    </row>
    <row r="186" spans="1:21" outlineLevel="2" x14ac:dyDescent="0.3">
      <c r="A186" s="40" t="str">
        <f>VLOOKUP(B186,Grupos!$A$2:$B$619,2,FALSE)</f>
        <v>TABLEROS 225 AMP COBRE</v>
      </c>
      <c r="B186" s="41" t="s">
        <v>269</v>
      </c>
      <c r="C186" s="41" t="s">
        <v>270</v>
      </c>
      <c r="D186" s="42">
        <v>25</v>
      </c>
      <c r="E186" s="43">
        <f>VLOOKUP(B186,[1]Todos!$A$2:$B$3021,2,FALSE)</f>
        <v>124936.02</v>
      </c>
      <c r="F186" s="43">
        <f>VLOOKUP(B186,[1]Todos!$A$2:$C$3021,3,FALSE)</f>
        <v>6937.78</v>
      </c>
      <c r="G186" s="126">
        <f t="shared" si="35"/>
        <v>131873.80000000002</v>
      </c>
      <c r="H186" s="127">
        <f t="shared" si="36"/>
        <v>3123400.5</v>
      </c>
      <c r="I186" s="128">
        <f t="shared" si="37"/>
        <v>173444.5</v>
      </c>
      <c r="J186" s="128">
        <f t="shared" si="30"/>
        <v>3296845.0000000005</v>
      </c>
      <c r="K186" s="44">
        <f t="shared" si="40"/>
        <v>2.1850595086684217E-3</v>
      </c>
      <c r="L186" s="45">
        <f t="shared" si="41"/>
        <v>39637.3605659936</v>
      </c>
      <c r="M186" s="45">
        <f t="shared" si="42"/>
        <v>48713.62113033377</v>
      </c>
      <c r="N186" s="45">
        <f t="shared" si="38"/>
        <v>220224.78169632741</v>
      </c>
      <c r="O186" s="46">
        <f t="shared" si="39"/>
        <v>5505619.5424081851</v>
      </c>
      <c r="P186" s="47">
        <f t="shared" si="34"/>
        <v>371679.9044</v>
      </c>
      <c r="Q186" s="42">
        <v>9291997.6099999994</v>
      </c>
      <c r="R186" s="152">
        <f t="shared" si="29"/>
        <v>0.59251194129484774</v>
      </c>
      <c r="S186" s="49"/>
      <c r="U186" s="112"/>
    </row>
    <row r="187" spans="1:21" outlineLevel="2" x14ac:dyDescent="0.3">
      <c r="A187" s="40" t="str">
        <f>VLOOKUP(B187,Grupos!$A$2:$B$619,2,FALSE)</f>
        <v>TABLEROS 225 AMP COBRE</v>
      </c>
      <c r="B187" s="41" t="s">
        <v>271</v>
      </c>
      <c r="C187" s="41" t="s">
        <v>272</v>
      </c>
      <c r="D187" s="42">
        <v>30</v>
      </c>
      <c r="E187" s="43">
        <f>VLOOKUP(B187,[1]Todos!$A$2:$B$3021,2,FALSE)</f>
        <v>124679.23</v>
      </c>
      <c r="F187" s="43">
        <f>VLOOKUP(B187,[1]Todos!$A$2:$C$3021,3,FALSE)</f>
        <v>3578.98</v>
      </c>
      <c r="G187" s="126">
        <f t="shared" si="35"/>
        <v>128258.20999999999</v>
      </c>
      <c r="H187" s="127">
        <f t="shared" si="36"/>
        <v>3740376.9</v>
      </c>
      <c r="I187" s="128">
        <f t="shared" si="37"/>
        <v>107369.4</v>
      </c>
      <c r="J187" s="128">
        <f t="shared" si="30"/>
        <v>3847746.3</v>
      </c>
      <c r="K187" s="44">
        <f t="shared" si="40"/>
        <v>2.5501819587389566E-3</v>
      </c>
      <c r="L187" s="45">
        <f t="shared" si="41"/>
        <v>38550.621240298868</v>
      </c>
      <c r="M187" s="45">
        <f t="shared" si="42"/>
        <v>25129.807482082448</v>
      </c>
      <c r="N187" s="45">
        <f t="shared" si="38"/>
        <v>191938.63872238132</v>
      </c>
      <c r="O187" s="46">
        <f t="shared" si="39"/>
        <v>5758159.1616714392</v>
      </c>
      <c r="P187" s="47">
        <f t="shared" si="34"/>
        <v>304339.99166666664</v>
      </c>
      <c r="Q187" s="42">
        <v>9130199.75</v>
      </c>
      <c r="R187" s="152">
        <f t="shared" si="29"/>
        <v>0.63067176177294904</v>
      </c>
      <c r="S187" s="49"/>
      <c r="U187" s="112"/>
    </row>
    <row r="188" spans="1:21" outlineLevel="2" x14ac:dyDescent="0.3">
      <c r="A188" s="40" t="str">
        <f>VLOOKUP(B188,Grupos!$A$2:$B$619,2,FALSE)</f>
        <v>TABLEROS 225 AMP COBRE</v>
      </c>
      <c r="B188" s="41" t="s">
        <v>273</v>
      </c>
      <c r="C188" s="41" t="s">
        <v>274</v>
      </c>
      <c r="D188" s="42">
        <v>2</v>
      </c>
      <c r="E188" s="43">
        <f>VLOOKUP(B188,[1]Todos!$A$2:$B$3021,2,FALSE)</f>
        <v>125800.77</v>
      </c>
      <c r="F188" s="43">
        <f>VLOOKUP(B188,[1]Todos!$A$2:$C$3021,3,FALSE)</f>
        <v>7605.78</v>
      </c>
      <c r="G188" s="126">
        <f t="shared" si="35"/>
        <v>133406.55000000002</v>
      </c>
      <c r="H188" s="127">
        <f t="shared" si="36"/>
        <v>251601.54</v>
      </c>
      <c r="I188" s="128">
        <f t="shared" si="37"/>
        <v>15211.56</v>
      </c>
      <c r="J188" s="128">
        <f t="shared" si="30"/>
        <v>266813.10000000003</v>
      </c>
      <c r="K188" s="44">
        <f t="shared" si="40"/>
        <v>1.768364910064921E-4</v>
      </c>
      <c r="L188" s="45">
        <f t="shared" si="41"/>
        <v>40098.059843693387</v>
      </c>
      <c r="M188" s="45">
        <f t="shared" si="42"/>
        <v>53403.983020601685</v>
      </c>
      <c r="N188" s="45">
        <f t="shared" si="38"/>
        <v>226908.59286429509</v>
      </c>
      <c r="O188" s="46">
        <f t="shared" si="39"/>
        <v>453817.18572859018</v>
      </c>
      <c r="P188" s="47">
        <f t="shared" si="34"/>
        <v>287488.51</v>
      </c>
      <c r="Q188" s="42">
        <v>574977.02</v>
      </c>
      <c r="R188" s="152">
        <f t="shared" si="29"/>
        <v>0.78927882322773557</v>
      </c>
      <c r="S188" s="49"/>
      <c r="U188" s="112"/>
    </row>
    <row r="189" spans="1:21" outlineLevel="2" x14ac:dyDescent="0.3">
      <c r="A189" s="40" t="str">
        <f>VLOOKUP(B189,Grupos!$A$2:$B$619,2,FALSE)</f>
        <v>TABLEROS 225 AMP COBRE</v>
      </c>
      <c r="B189" s="41" t="s">
        <v>275</v>
      </c>
      <c r="C189" s="41" t="s">
        <v>276</v>
      </c>
      <c r="D189" s="42">
        <v>60</v>
      </c>
      <c r="E189" s="43">
        <f>VLOOKUP(B189,[1]Todos!$A$2:$B$3021,2,FALSE)</f>
        <v>139324.10999999999</v>
      </c>
      <c r="F189" s="43">
        <f>VLOOKUP(B189,[1]Todos!$A$2:$C$3021,3,FALSE)</f>
        <v>4163.6099999999997</v>
      </c>
      <c r="G189" s="126">
        <f t="shared" si="35"/>
        <v>143487.71999999997</v>
      </c>
      <c r="H189" s="127">
        <f t="shared" si="36"/>
        <v>8359446.5999999996</v>
      </c>
      <c r="I189" s="128">
        <f t="shared" si="37"/>
        <v>249816.59999999998</v>
      </c>
      <c r="J189" s="128">
        <f t="shared" si="30"/>
        <v>8609263.1999999993</v>
      </c>
      <c r="K189" s="44">
        <f t="shared" si="40"/>
        <v>5.7059863044180478E-3</v>
      </c>
      <c r="L189" s="45">
        <f t="shared" si="41"/>
        <v>43128.161123986189</v>
      </c>
      <c r="M189" s="45">
        <f t="shared" si="42"/>
        <v>29234.786931045517</v>
      </c>
      <c r="N189" s="45">
        <f t="shared" si="38"/>
        <v>215850.66805503168</v>
      </c>
      <c r="O189" s="46">
        <f t="shared" si="39"/>
        <v>12951040.083301902</v>
      </c>
      <c r="P189" s="47">
        <f t="shared" si="34"/>
        <v>401573.70233333332</v>
      </c>
      <c r="Q189" s="42">
        <v>24094422.140000001</v>
      </c>
      <c r="R189" s="152">
        <f t="shared" si="29"/>
        <v>0.53751196057121553</v>
      </c>
      <c r="S189" s="49"/>
      <c r="U189" s="112"/>
    </row>
    <row r="190" spans="1:21" outlineLevel="2" x14ac:dyDescent="0.3">
      <c r="A190" s="40" t="str">
        <f>VLOOKUP(B190,Grupos!$A$2:$B$619,2,FALSE)</f>
        <v>TABLEROS 225 AMP COBRE</v>
      </c>
      <c r="B190" s="41" t="s">
        <v>277</v>
      </c>
      <c r="C190" s="41" t="s">
        <v>278</v>
      </c>
      <c r="D190" s="42">
        <v>40</v>
      </c>
      <c r="E190" s="43">
        <f>VLOOKUP(B190,[1]Todos!$A$2:$B$3021,2,FALSE)</f>
        <v>140712.60999999999</v>
      </c>
      <c r="F190" s="43">
        <f>VLOOKUP(B190,[1]Todos!$A$2:$C$3021,3,FALSE)</f>
        <v>8455.7000000000007</v>
      </c>
      <c r="G190" s="126">
        <f t="shared" si="35"/>
        <v>149168.31</v>
      </c>
      <c r="H190" s="127">
        <f t="shared" si="36"/>
        <v>5628504.3999999994</v>
      </c>
      <c r="I190" s="128">
        <f t="shared" si="37"/>
        <v>338228</v>
      </c>
      <c r="J190" s="128">
        <f t="shared" si="30"/>
        <v>5966732.4000000004</v>
      </c>
      <c r="K190" s="44">
        <f t="shared" si="40"/>
        <v>3.954588513048066E-3</v>
      </c>
      <c r="L190" s="45">
        <f t="shared" si="41"/>
        <v>44835.578321773603</v>
      </c>
      <c r="M190" s="45">
        <f t="shared" si="42"/>
        <v>59371.696160985688</v>
      </c>
      <c r="N190" s="45">
        <f t="shared" si="38"/>
        <v>253375.5844827593</v>
      </c>
      <c r="O190" s="46">
        <f t="shared" si="39"/>
        <v>10135023.379310371</v>
      </c>
      <c r="P190" s="47">
        <f t="shared" si="34"/>
        <v>417231.51049999997</v>
      </c>
      <c r="Q190" s="42">
        <v>16689260.42</v>
      </c>
      <c r="R190" s="152">
        <f t="shared" si="29"/>
        <v>0.60727816117991718</v>
      </c>
      <c r="S190" s="49"/>
      <c r="U190" s="112"/>
    </row>
    <row r="191" spans="1:21" outlineLevel="2" x14ac:dyDescent="0.3">
      <c r="A191" s="40" t="str">
        <f>VLOOKUP(B191,Grupos!$A$2:$B$619,2,FALSE)</f>
        <v>TABLEROS 225 AMP COBRE</v>
      </c>
      <c r="B191" s="41" t="s">
        <v>279</v>
      </c>
      <c r="C191" s="41" t="s">
        <v>280</v>
      </c>
      <c r="D191" s="42">
        <v>5</v>
      </c>
      <c r="E191" s="43">
        <f>VLOOKUP(B191,[1]Todos!$A$2:$B$3021,2,FALSE)</f>
        <v>40485.870000000003</v>
      </c>
      <c r="F191" s="43">
        <f>VLOOKUP(B191,[1]Todos!$A$2:$C$3021,3,FALSE)</f>
        <v>2069.3000000000002</v>
      </c>
      <c r="G191" s="126">
        <f t="shared" si="35"/>
        <v>42555.170000000006</v>
      </c>
      <c r="H191" s="127">
        <f t="shared" si="36"/>
        <v>202429.35</v>
      </c>
      <c r="I191" s="128">
        <f t="shared" si="37"/>
        <v>10346.5</v>
      </c>
      <c r="J191" s="128">
        <f t="shared" si="30"/>
        <v>212775.85000000003</v>
      </c>
      <c r="K191" s="44">
        <f t="shared" si="40"/>
        <v>1.410220663262925E-4</v>
      </c>
      <c r="L191" s="45">
        <f t="shared" si="41"/>
        <v>12790.824388446787</v>
      </c>
      <c r="M191" s="45">
        <f t="shared" si="42"/>
        <v>14529.589610076953</v>
      </c>
      <c r="N191" s="45">
        <f t="shared" si="38"/>
        <v>69875.58399852374</v>
      </c>
      <c r="O191" s="46">
        <f t="shared" si="39"/>
        <v>349377.91999261873</v>
      </c>
      <c r="P191" s="47">
        <f t="shared" si="34"/>
        <v>100439.99799999999</v>
      </c>
      <c r="Q191" s="42">
        <v>502199.99</v>
      </c>
      <c r="R191" s="152">
        <f t="shared" si="29"/>
        <v>0.69569479679324309</v>
      </c>
      <c r="S191" s="49"/>
      <c r="U191" s="112"/>
    </row>
    <row r="192" spans="1:21" outlineLevel="2" x14ac:dyDescent="0.3">
      <c r="A192" s="40" t="str">
        <f>VLOOKUP(B192,Grupos!$A$2:$B$619,2,FALSE)</f>
        <v>TABLEROS 225 AMP COBRE</v>
      </c>
      <c r="B192" s="41" t="s">
        <v>283</v>
      </c>
      <c r="C192" s="41" t="s">
        <v>284</v>
      </c>
      <c r="D192" s="42">
        <v>73</v>
      </c>
      <c r="E192" s="43">
        <f>VLOOKUP(B192,[1]Todos!$A$2:$B$3021,2,FALSE)</f>
        <v>61935.58</v>
      </c>
      <c r="F192" s="43">
        <f>VLOOKUP(B192,[1]Todos!$A$2:$C$3021,3,FALSE)</f>
        <v>2093.4899999999998</v>
      </c>
      <c r="G192" s="126">
        <f t="shared" si="35"/>
        <v>64029.07</v>
      </c>
      <c r="H192" s="127">
        <f t="shared" si="36"/>
        <v>4521297.34</v>
      </c>
      <c r="I192" s="128">
        <f t="shared" si="37"/>
        <v>152824.76999999999</v>
      </c>
      <c r="J192" s="128">
        <f t="shared" si="30"/>
        <v>4674122.1100000003</v>
      </c>
      <c r="K192" s="44">
        <f t="shared" si="40"/>
        <v>3.0978814476060614E-3</v>
      </c>
      <c r="L192" s="45">
        <f t="shared" si="41"/>
        <v>19245.24306037472</v>
      </c>
      <c r="M192" s="45">
        <f t="shared" si="42"/>
        <v>14699.439691103269</v>
      </c>
      <c r="N192" s="45">
        <f t="shared" si="38"/>
        <v>97973.752751477994</v>
      </c>
      <c r="O192" s="46">
        <f t="shared" si="39"/>
        <v>7152083.9508578936</v>
      </c>
      <c r="P192" s="47">
        <f t="shared" si="34"/>
        <v>139069.47863013699</v>
      </c>
      <c r="Q192" s="42">
        <v>10152071.939999999</v>
      </c>
      <c r="R192" s="152">
        <f t="shared" si="29"/>
        <v>0.70449500290458877</v>
      </c>
      <c r="S192" s="49"/>
      <c r="U192" s="112"/>
    </row>
    <row r="193" spans="1:21" outlineLevel="2" x14ac:dyDescent="0.3">
      <c r="A193" s="40" t="str">
        <f>VLOOKUP(B193,Grupos!$A$2:$B$619,2,FALSE)</f>
        <v>TABLEROS 225 AMP COBRE</v>
      </c>
      <c r="B193" s="41" t="s">
        <v>285</v>
      </c>
      <c r="C193" s="41" t="s">
        <v>286</v>
      </c>
      <c r="D193" s="42">
        <v>71</v>
      </c>
      <c r="E193" s="43">
        <f>VLOOKUP(B193,[1]Todos!$A$2:$B$3021,2,FALSE)</f>
        <v>62772.55</v>
      </c>
      <c r="F193" s="43">
        <f>VLOOKUP(B193,[1]Todos!$A$2:$C$3021,3,FALSE)</f>
        <v>6390.55</v>
      </c>
      <c r="G193" s="126">
        <f t="shared" si="35"/>
        <v>69163.100000000006</v>
      </c>
      <c r="H193" s="127">
        <f t="shared" si="36"/>
        <v>4456851.05</v>
      </c>
      <c r="I193" s="128">
        <f t="shared" si="37"/>
        <v>453729.05</v>
      </c>
      <c r="J193" s="128">
        <f t="shared" si="30"/>
        <v>4910580.1000000006</v>
      </c>
      <c r="K193" s="44">
        <f t="shared" si="40"/>
        <v>3.2545993944461836E-3</v>
      </c>
      <c r="L193" s="45">
        <f t="shared" si="41"/>
        <v>20788.38050137231</v>
      </c>
      <c r="M193" s="45">
        <f t="shared" si="42"/>
        <v>44871.245775227013</v>
      </c>
      <c r="N193" s="45">
        <f t="shared" si="38"/>
        <v>134822.72627659934</v>
      </c>
      <c r="O193" s="46">
        <f t="shared" si="39"/>
        <v>9572413.5656385534</v>
      </c>
      <c r="P193" s="47">
        <f t="shared" si="34"/>
        <v>133754.20788732395</v>
      </c>
      <c r="Q193" s="42">
        <v>9496548.7599999998</v>
      </c>
      <c r="R193" s="162">
        <f t="shared" si="29"/>
        <v>1.0079886712063335</v>
      </c>
      <c r="S193" s="49"/>
      <c r="U193" s="112"/>
    </row>
    <row r="194" spans="1:21" outlineLevel="2" x14ac:dyDescent="0.3">
      <c r="A194" s="40" t="str">
        <f>VLOOKUP(B194,Grupos!$A$2:$B$619,2,FALSE)</f>
        <v>TABLEROS 225 AMP COBRE</v>
      </c>
      <c r="B194" s="41" t="s">
        <v>287</v>
      </c>
      <c r="C194" s="41" t="s">
        <v>288</v>
      </c>
      <c r="D194" s="42">
        <v>51</v>
      </c>
      <c r="E194" s="43">
        <f>VLOOKUP(B194,[1]Todos!$A$2:$B$3021,2,FALSE)</f>
        <v>75607.27</v>
      </c>
      <c r="F194" s="43">
        <f>VLOOKUP(B194,[1]Todos!$A$2:$C$3021,3,FALSE)</f>
        <v>2765.52</v>
      </c>
      <c r="G194" s="126">
        <f t="shared" si="35"/>
        <v>78372.790000000008</v>
      </c>
      <c r="H194" s="127">
        <f t="shared" si="36"/>
        <v>3855970.77</v>
      </c>
      <c r="I194" s="128">
        <f t="shared" si="37"/>
        <v>141041.51999999999</v>
      </c>
      <c r="J194" s="128">
        <f t="shared" si="30"/>
        <v>3997012.2900000005</v>
      </c>
      <c r="K194" s="44">
        <f t="shared" si="40"/>
        <v>2.6491114112216505E-3</v>
      </c>
      <c r="L194" s="45">
        <f t="shared" si="41"/>
        <v>23556.540691122096</v>
      </c>
      <c r="M194" s="45">
        <f t="shared" si="42"/>
        <v>19418.098225709182</v>
      </c>
      <c r="N194" s="45">
        <f t="shared" si="38"/>
        <v>121347.42891683128</v>
      </c>
      <c r="O194" s="46">
        <f t="shared" si="39"/>
        <v>6188718.8747583954</v>
      </c>
      <c r="P194" s="47">
        <f t="shared" si="34"/>
        <v>226187.67058823528</v>
      </c>
      <c r="Q194" s="42">
        <v>11535571.199999999</v>
      </c>
      <c r="R194" s="152">
        <f t="shared" si="29"/>
        <v>0.53649002441755078</v>
      </c>
      <c r="S194" s="49"/>
      <c r="U194" s="112"/>
    </row>
    <row r="195" spans="1:21" s="93" customFormat="1" outlineLevel="2" x14ac:dyDescent="0.3">
      <c r="A195" s="40" t="str">
        <f>VLOOKUP(B195,Grupos!$A$2:$B$619,2,FALSE)</f>
        <v>TABLEROS 225 AMP COBRE</v>
      </c>
      <c r="B195" s="41" t="s">
        <v>289</v>
      </c>
      <c r="C195" s="41" t="s">
        <v>290</v>
      </c>
      <c r="D195" s="42">
        <v>16</v>
      </c>
      <c r="E195" s="43">
        <f>VLOOKUP(B195,[1]Todos!$A$2:$B$3021,2,FALSE)</f>
        <v>76731.53</v>
      </c>
      <c r="F195" s="43">
        <f>VLOOKUP(B195,[1]Todos!$A$2:$C$3021,3,FALSE)</f>
        <v>6731.65</v>
      </c>
      <c r="G195" s="126">
        <f t="shared" si="35"/>
        <v>83463.179999999993</v>
      </c>
      <c r="H195" s="127">
        <f t="shared" si="36"/>
        <v>1227704.48</v>
      </c>
      <c r="I195" s="128">
        <f t="shared" si="37"/>
        <v>107706.4</v>
      </c>
      <c r="J195" s="128">
        <f t="shared" si="30"/>
        <v>1335410.8799999999</v>
      </c>
      <c r="K195" s="44">
        <f t="shared" si="40"/>
        <v>8.8507413643142574E-4</v>
      </c>
      <c r="L195" s="45">
        <f t="shared" si="41"/>
        <v>25086.561239946259</v>
      </c>
      <c r="M195" s="45">
        <f t="shared" si="42"/>
        <v>47266.279369194657</v>
      </c>
      <c r="N195" s="45">
        <f t="shared" si="38"/>
        <v>155816.02060914092</v>
      </c>
      <c r="O195" s="46">
        <f t="shared" si="39"/>
        <v>2493056.3297462547</v>
      </c>
      <c r="P195" s="47">
        <f t="shared" si="34"/>
        <v>231396.74625</v>
      </c>
      <c r="Q195" s="42">
        <v>3702347.94</v>
      </c>
      <c r="R195" s="152">
        <f t="shared" si="29"/>
        <v>0.67337170091751419</v>
      </c>
      <c r="S195" s="58"/>
      <c r="T195" s="157"/>
      <c r="U195" s="112"/>
    </row>
    <row r="196" spans="1:21" outlineLevel="2" x14ac:dyDescent="0.3">
      <c r="A196" s="40" t="str">
        <f>VLOOKUP(B196,Grupos!$A$2:$B$619,2,FALSE)</f>
        <v>TABLEROS 225 AMP COBRE</v>
      </c>
      <c r="B196" s="41" t="s">
        <v>291</v>
      </c>
      <c r="C196" s="41" t="s">
        <v>292</v>
      </c>
      <c r="D196" s="42">
        <v>43</v>
      </c>
      <c r="E196" s="43">
        <f>VLOOKUP(B196,[1]Todos!$A$2:$B$3021,2,FALSE)</f>
        <v>80539.5</v>
      </c>
      <c r="F196" s="43">
        <f>VLOOKUP(B196,[1]Todos!$A$2:$C$3021,3,FALSE)</f>
        <v>2445.36</v>
      </c>
      <c r="G196" s="126">
        <f t="shared" si="35"/>
        <v>82984.86</v>
      </c>
      <c r="H196" s="127">
        <f t="shared" si="36"/>
        <v>3463198.5</v>
      </c>
      <c r="I196" s="128">
        <f t="shared" si="37"/>
        <v>105150.48000000001</v>
      </c>
      <c r="J196" s="128">
        <f t="shared" si="30"/>
        <v>3568348.98</v>
      </c>
      <c r="K196" s="44">
        <f t="shared" si="40"/>
        <v>2.3650049877978075E-3</v>
      </c>
      <c r="L196" s="45">
        <f t="shared" si="41"/>
        <v>24942.792407123317</v>
      </c>
      <c r="M196" s="45">
        <f t="shared" si="42"/>
        <v>17170.094838301731</v>
      </c>
      <c r="N196" s="45">
        <f t="shared" si="38"/>
        <v>125097.74724542504</v>
      </c>
      <c r="O196" s="46">
        <f t="shared" si="39"/>
        <v>5379203.1315532764</v>
      </c>
      <c r="P196" s="47">
        <f t="shared" si="34"/>
        <v>176229.20581395348</v>
      </c>
      <c r="Q196" s="42">
        <v>7577855.8499999996</v>
      </c>
      <c r="R196" s="152">
        <f t="shared" si="29"/>
        <v>0.70985820237703212</v>
      </c>
      <c r="S196" s="49"/>
      <c r="U196" s="112"/>
    </row>
    <row r="197" spans="1:21" outlineLevel="2" x14ac:dyDescent="0.3">
      <c r="A197" s="40" t="str">
        <f>VLOOKUP(B197,Grupos!$A$2:$B$619,2,FALSE)</f>
        <v>TABLEROS 225 AMP COBRE</v>
      </c>
      <c r="B197" s="41" t="s">
        <v>293</v>
      </c>
      <c r="C197" s="41" t="s">
        <v>294</v>
      </c>
      <c r="D197" s="42">
        <v>68</v>
      </c>
      <c r="E197" s="43">
        <f>VLOOKUP(B197,[1]Todos!$A$2:$B$3021,2,FALSE)</f>
        <v>81441.52</v>
      </c>
      <c r="F197" s="43">
        <f>VLOOKUP(B197,[1]Todos!$A$2:$C$3021,3,FALSE)</f>
        <v>6711.62</v>
      </c>
      <c r="G197" s="126">
        <f t="shared" si="35"/>
        <v>88153.14</v>
      </c>
      <c r="H197" s="127">
        <f t="shared" si="36"/>
        <v>5538023.3600000003</v>
      </c>
      <c r="I197" s="128">
        <f t="shared" si="37"/>
        <v>456390.16</v>
      </c>
      <c r="J197" s="128">
        <f t="shared" si="30"/>
        <v>5994413.5199999996</v>
      </c>
      <c r="K197" s="44">
        <f t="shared" si="40"/>
        <v>3.9729348091179723E-3</v>
      </c>
      <c r="L197" s="45">
        <f t="shared" si="41"/>
        <v>26496.2243842561</v>
      </c>
      <c r="M197" s="45">
        <f t="shared" si="42"/>
        <v>47125.638727484977</v>
      </c>
      <c r="N197" s="45">
        <f t="shared" si="38"/>
        <v>161775.00311174107</v>
      </c>
      <c r="O197" s="46">
        <f t="shared" si="39"/>
        <v>11000700.211598393</v>
      </c>
      <c r="P197" s="47">
        <f t="shared" si="34"/>
        <v>170634.35588235292</v>
      </c>
      <c r="Q197" s="42">
        <v>11603136.199999999</v>
      </c>
      <c r="R197" s="152">
        <f t="shared" si="29"/>
        <v>0.94807990029440425</v>
      </c>
      <c r="S197" s="49"/>
      <c r="U197" s="112"/>
    </row>
    <row r="198" spans="1:21" outlineLevel="2" x14ac:dyDescent="0.3">
      <c r="A198" s="40" t="str">
        <f>VLOOKUP(B198,Grupos!$A$2:$B$619,2,FALSE)</f>
        <v>TABLEROS 225 AMP COBRE</v>
      </c>
      <c r="B198" s="41" t="s">
        <v>295</v>
      </c>
      <c r="C198" s="41" t="s">
        <v>296</v>
      </c>
      <c r="D198" s="42">
        <v>73</v>
      </c>
      <c r="E198" s="43">
        <f>VLOOKUP(B198,[1]Todos!$A$2:$B$3021,2,FALSE)</f>
        <v>94507.21</v>
      </c>
      <c r="F198" s="43">
        <f>VLOOKUP(B198,[1]Todos!$A$2:$C$3021,3,FALSE)</f>
        <v>3461.64</v>
      </c>
      <c r="G198" s="126">
        <f t="shared" si="35"/>
        <v>97968.85</v>
      </c>
      <c r="H198" s="127">
        <f t="shared" si="36"/>
        <v>6899026.3300000001</v>
      </c>
      <c r="I198" s="128">
        <f t="shared" si="37"/>
        <v>252699.72</v>
      </c>
      <c r="J198" s="128">
        <f t="shared" si="30"/>
        <v>7151726.0500000007</v>
      </c>
      <c r="K198" s="44">
        <f t="shared" si="40"/>
        <v>4.7399701863278833E-3</v>
      </c>
      <c r="L198" s="45">
        <f t="shared" si="41"/>
        <v>29446.536246667209</v>
      </c>
      <c r="M198" s="45">
        <f t="shared" si="42"/>
        <v>24305.904691357839</v>
      </c>
      <c r="N198" s="45">
        <f t="shared" si="38"/>
        <v>151721.29093802505</v>
      </c>
      <c r="O198" s="46">
        <f t="shared" si="39"/>
        <v>11075654.238475829</v>
      </c>
      <c r="P198" s="47">
        <f t="shared" si="34"/>
        <v>278493.32068493153</v>
      </c>
      <c r="Q198" s="42">
        <v>20330012.41</v>
      </c>
      <c r="R198" s="152">
        <f t="shared" si="29"/>
        <v>0.54479328468230037</v>
      </c>
      <c r="S198" s="58"/>
      <c r="U198" s="112"/>
    </row>
    <row r="199" spans="1:21" outlineLevel="2" x14ac:dyDescent="0.3">
      <c r="A199" s="40" t="str">
        <f>VLOOKUP(B199,Grupos!$A$2:$B$619,2,FALSE)</f>
        <v>TABLEROS 225 AMP COBRE</v>
      </c>
      <c r="B199" s="41" t="s">
        <v>297</v>
      </c>
      <c r="C199" s="41" t="s">
        <v>298</v>
      </c>
      <c r="D199" s="42">
        <v>182</v>
      </c>
      <c r="E199" s="43">
        <f>VLOOKUP(B199,[1]Todos!$A$2:$B$3021,2,FALSE)</f>
        <v>95697.87</v>
      </c>
      <c r="F199" s="43">
        <f>VLOOKUP(B199,[1]Todos!$A$2:$C$3021,3,FALSE)</f>
        <v>7317.32</v>
      </c>
      <c r="G199" s="126">
        <f t="shared" si="35"/>
        <v>103015.19</v>
      </c>
      <c r="H199" s="127">
        <f t="shared" si="36"/>
        <v>17417012.34</v>
      </c>
      <c r="I199" s="128">
        <f t="shared" si="37"/>
        <v>1331752.24</v>
      </c>
      <c r="J199" s="128">
        <f t="shared" si="30"/>
        <v>18748764.580000002</v>
      </c>
      <c r="K199" s="44">
        <f t="shared" si="40"/>
        <v>1.2426172999129381E-2</v>
      </c>
      <c r="L199" s="45">
        <f t="shared" si="41"/>
        <v>30963.316669454722</v>
      </c>
      <c r="M199" s="45">
        <f t="shared" si="42"/>
        <v>51378.561177986892</v>
      </c>
      <c r="N199" s="45">
        <f t="shared" si="38"/>
        <v>185357.06784744159</v>
      </c>
      <c r="O199" s="46">
        <f t="shared" si="39"/>
        <v>33734986.34823437</v>
      </c>
      <c r="P199" s="47">
        <f t="shared" si="34"/>
        <v>276223.53532967035</v>
      </c>
      <c r="Q199" s="42">
        <v>50272683.43</v>
      </c>
      <c r="R199" s="152">
        <f t="shared" si="29"/>
        <v>0.67104009666019071</v>
      </c>
      <c r="S199" s="49"/>
      <c r="U199" s="112"/>
    </row>
    <row r="200" spans="1:21" outlineLevel="2" x14ac:dyDescent="0.3">
      <c r="A200" s="40" t="str">
        <f>VLOOKUP(B200,Grupos!$A$2:$B$619,2,FALSE)</f>
        <v>TABLEROS 225 AMP COBRE</v>
      </c>
      <c r="B200" s="41" t="s">
        <v>299</v>
      </c>
      <c r="C200" s="41" t="s">
        <v>300</v>
      </c>
      <c r="D200" s="42">
        <v>26</v>
      </c>
      <c r="E200" s="43">
        <f>VLOOKUP(B200,[1]Todos!$A$2:$B$3021,2,FALSE)</f>
        <v>99954.11</v>
      </c>
      <c r="F200" s="43">
        <f>VLOOKUP(B200,[1]Todos!$A$2:$C$3021,3,FALSE)</f>
        <v>2850.14</v>
      </c>
      <c r="G200" s="126">
        <f t="shared" si="35"/>
        <v>102804.25</v>
      </c>
      <c r="H200" s="127">
        <f t="shared" si="36"/>
        <v>2598806.86</v>
      </c>
      <c r="I200" s="128">
        <f t="shared" si="37"/>
        <v>74103.64</v>
      </c>
      <c r="J200" s="128">
        <f t="shared" si="30"/>
        <v>2672910.5</v>
      </c>
      <c r="K200" s="44">
        <f t="shared" si="40"/>
        <v>1.7715326331218678E-3</v>
      </c>
      <c r="L200" s="45">
        <f t="shared" si="41"/>
        <v>30899.914349677852</v>
      </c>
      <c r="M200" s="45">
        <f t="shared" si="42"/>
        <v>20012.257541808689</v>
      </c>
      <c r="N200" s="45">
        <f t="shared" si="38"/>
        <v>153716.42189148653</v>
      </c>
      <c r="O200" s="46">
        <f t="shared" si="39"/>
        <v>3996626.9691786501</v>
      </c>
      <c r="P200" s="47">
        <f t="shared" si="34"/>
        <v>216455.75999999998</v>
      </c>
      <c r="Q200" s="42">
        <v>5627849.7599999998</v>
      </c>
      <c r="R200" s="152">
        <f t="shared" si="29"/>
        <v>0.71015168130192774</v>
      </c>
      <c r="S200" s="49"/>
      <c r="U200" s="112"/>
    </row>
    <row r="201" spans="1:21" outlineLevel="2" x14ac:dyDescent="0.3">
      <c r="A201" s="40" t="str">
        <f>VLOOKUP(B201,Grupos!$A$2:$B$619,2,FALSE)</f>
        <v>TABLEROS 225 AMP COBRE</v>
      </c>
      <c r="B201" s="41" t="s">
        <v>301</v>
      </c>
      <c r="C201" s="41" t="s">
        <v>302</v>
      </c>
      <c r="D201" s="42">
        <v>65</v>
      </c>
      <c r="E201" s="43">
        <f>VLOOKUP(B201,[1]Todos!$A$2:$B$3021,2,FALSE)</f>
        <v>100922.53</v>
      </c>
      <c r="F201" s="43">
        <f>VLOOKUP(B201,[1]Todos!$A$2:$C$3021,3,FALSE)</f>
        <v>6892.31</v>
      </c>
      <c r="G201" s="126">
        <f t="shared" si="35"/>
        <v>107814.84</v>
      </c>
      <c r="H201" s="127">
        <f t="shared" si="36"/>
        <v>6559964.4500000002</v>
      </c>
      <c r="I201" s="128">
        <f t="shared" si="37"/>
        <v>448000.15</v>
      </c>
      <c r="J201" s="128">
        <f t="shared" si="30"/>
        <v>7007964.5999999996</v>
      </c>
      <c r="K201" s="44">
        <f t="shared" si="40"/>
        <v>4.6446889937627302E-3</v>
      </c>
      <c r="L201" s="45">
        <f t="shared" si="41"/>
        <v>32405.949380733007</v>
      </c>
      <c r="M201" s="45">
        <f t="shared" si="42"/>
        <v>48394.353532803114</v>
      </c>
      <c r="N201" s="45">
        <f t="shared" si="38"/>
        <v>188615.14291353611</v>
      </c>
      <c r="O201" s="46">
        <f t="shared" si="39"/>
        <v>12259984.289379846</v>
      </c>
      <c r="P201" s="47">
        <f t="shared" si="34"/>
        <v>204745.96323076921</v>
      </c>
      <c r="Q201" s="42">
        <v>13308487.609999999</v>
      </c>
      <c r="R201" s="152">
        <f t="shared" si="29"/>
        <v>0.92121544150273638</v>
      </c>
      <c r="S201" s="49"/>
      <c r="U201" s="112"/>
    </row>
    <row r="202" spans="1:21" outlineLevel="2" x14ac:dyDescent="0.3">
      <c r="A202" s="40" t="str">
        <f>VLOOKUP(B202,Grupos!$A$2:$B$619,2,FALSE)</f>
        <v>TABLEROS 225 AMP COBRE</v>
      </c>
      <c r="B202" s="41" t="s">
        <v>303</v>
      </c>
      <c r="C202" s="41" t="s">
        <v>304</v>
      </c>
      <c r="D202" s="42">
        <v>122</v>
      </c>
      <c r="E202" s="43">
        <f>VLOOKUP(B202,[1]Todos!$A$2:$B$3021,2,FALSE)</f>
        <v>105072.44</v>
      </c>
      <c r="F202" s="43">
        <f>VLOOKUP(B202,[1]Todos!$A$2:$C$3021,3,FALSE)</f>
        <v>3539.41</v>
      </c>
      <c r="G202" s="126">
        <f t="shared" si="35"/>
        <v>108611.85</v>
      </c>
      <c r="H202" s="127">
        <f t="shared" si="36"/>
        <v>12818837.68</v>
      </c>
      <c r="I202" s="128">
        <f t="shared" si="37"/>
        <v>431808.01999999996</v>
      </c>
      <c r="J202" s="128">
        <f t="shared" si="30"/>
        <v>13250645.700000001</v>
      </c>
      <c r="K202" s="44">
        <f t="shared" si="40"/>
        <v>8.7821688258869716E-3</v>
      </c>
      <c r="L202" s="45">
        <f t="shared" si="41"/>
        <v>32645.506993728941</v>
      </c>
      <c r="M202" s="45">
        <f t="shared" si="42"/>
        <v>24851.966733582594</v>
      </c>
      <c r="N202" s="45">
        <f t="shared" si="38"/>
        <v>166109.32372731157</v>
      </c>
      <c r="O202" s="46">
        <f t="shared" si="39"/>
        <v>20265337.494732011</v>
      </c>
      <c r="P202" s="47">
        <f t="shared" si="34"/>
        <v>321637.56213114754</v>
      </c>
      <c r="Q202" s="42">
        <v>39239782.579999998</v>
      </c>
      <c r="R202" s="152">
        <f t="shared" si="29"/>
        <v>0.51644877117797761</v>
      </c>
      <c r="S202" s="49"/>
      <c r="U202" s="112"/>
    </row>
    <row r="203" spans="1:21" outlineLevel="2" x14ac:dyDescent="0.3">
      <c r="A203" s="40" t="str">
        <f>VLOOKUP(B203,Grupos!$A$2:$B$619,2,FALSE)</f>
        <v>TABLEROS 225 AMP COBRE</v>
      </c>
      <c r="B203" s="41" t="s">
        <v>305</v>
      </c>
      <c r="C203" s="41" t="s">
        <v>306</v>
      </c>
      <c r="D203" s="42">
        <v>157</v>
      </c>
      <c r="E203" s="43">
        <f>VLOOKUP(B203,[1]Todos!$A$2:$B$3021,2,FALSE)</f>
        <v>106329.52</v>
      </c>
      <c r="F203" s="43">
        <f>VLOOKUP(B203,[1]Todos!$A$2:$C$3021,3,FALSE)</f>
        <v>7569.93</v>
      </c>
      <c r="G203" s="126">
        <f t="shared" si="35"/>
        <v>113899.45000000001</v>
      </c>
      <c r="H203" s="127">
        <f t="shared" si="36"/>
        <v>16693734.640000001</v>
      </c>
      <c r="I203" s="128">
        <f t="shared" si="37"/>
        <v>1188479.01</v>
      </c>
      <c r="J203" s="128">
        <f t="shared" si="30"/>
        <v>17882213.650000002</v>
      </c>
      <c r="K203" s="44">
        <f t="shared" si="40"/>
        <v>1.1851846529628399E-2</v>
      </c>
      <c r="L203" s="45">
        <f t="shared" si="41"/>
        <v>34234.803030763956</v>
      </c>
      <c r="M203" s="45">
        <f t="shared" si="42"/>
        <v>53152.262251490756</v>
      </c>
      <c r="N203" s="45">
        <f t="shared" si="38"/>
        <v>201286.51528225472</v>
      </c>
      <c r="O203" s="46">
        <f t="shared" si="39"/>
        <v>31601982.89931399</v>
      </c>
      <c r="P203" s="47">
        <f t="shared" si="34"/>
        <v>319093.86840764334</v>
      </c>
      <c r="Q203" s="42">
        <v>50097737.340000004</v>
      </c>
      <c r="R203" s="152">
        <f t="shared" ref="R203:R242" si="43">O203/Q203</f>
        <v>0.63080659082145263</v>
      </c>
      <c r="S203" s="49"/>
      <c r="U203" s="112"/>
    </row>
    <row r="204" spans="1:21" outlineLevel="2" x14ac:dyDescent="0.3">
      <c r="A204" s="40" t="str">
        <f>VLOOKUP(B204,Grupos!$A$2:$B$619,2,FALSE)</f>
        <v>TABLEROS 225 AMP COBRE</v>
      </c>
      <c r="B204" s="41" t="s">
        <v>309</v>
      </c>
      <c r="C204" s="41" t="s">
        <v>310</v>
      </c>
      <c r="D204" s="42">
        <v>9</v>
      </c>
      <c r="E204" s="43">
        <f>VLOOKUP(B204,[1]Todos!$A$2:$B$3021,2,FALSE)</f>
        <v>121240.25</v>
      </c>
      <c r="F204" s="43">
        <f>VLOOKUP(B204,[1]Todos!$A$2:$C$3021,3,FALSE)</f>
        <v>7224.29</v>
      </c>
      <c r="G204" s="126">
        <f t="shared" si="35"/>
        <v>128464.54</v>
      </c>
      <c r="H204" s="127">
        <f t="shared" si="36"/>
        <v>1091162.25</v>
      </c>
      <c r="I204" s="128">
        <f t="shared" si="37"/>
        <v>65018.61</v>
      </c>
      <c r="J204" s="128">
        <f t="shared" si="30"/>
        <v>1156180.8599999999</v>
      </c>
      <c r="K204" s="44">
        <f t="shared" si="40"/>
        <v>7.6628533700657218E-4</v>
      </c>
      <c r="L204" s="45">
        <f t="shared" si="41"/>
        <v>38612.637930540455</v>
      </c>
      <c r="M204" s="45">
        <f t="shared" si="42"/>
        <v>50725.351048268894</v>
      </c>
      <c r="N204" s="45">
        <f t="shared" si="38"/>
        <v>217802.52897880937</v>
      </c>
      <c r="O204" s="46">
        <f t="shared" si="39"/>
        <v>1960222.7608092842</v>
      </c>
      <c r="P204" s="47">
        <f t="shared" si="34"/>
        <v>251035.22444444444</v>
      </c>
      <c r="Q204" s="42">
        <v>2259317.02</v>
      </c>
      <c r="R204" s="152">
        <f t="shared" si="43"/>
        <v>0.8676174009476918</v>
      </c>
      <c r="S204" s="49"/>
      <c r="U204" s="112"/>
    </row>
    <row r="205" spans="1:21" outlineLevel="2" x14ac:dyDescent="0.3">
      <c r="A205" s="40" t="str">
        <f>VLOOKUP(B205,Grupos!$A$2:$B$619,2,FALSE)</f>
        <v>TABLEROS 225 AMP COBRE</v>
      </c>
      <c r="B205" s="41" t="s">
        <v>311</v>
      </c>
      <c r="C205" s="41" t="s">
        <v>312</v>
      </c>
      <c r="D205" s="42">
        <v>26</v>
      </c>
      <c r="E205" s="43">
        <f>VLOOKUP(B205,[1]Todos!$A$2:$B$3021,2,FALSE)</f>
        <v>135202.51999999999</v>
      </c>
      <c r="F205" s="43">
        <f>VLOOKUP(B205,[1]Todos!$A$2:$C$3021,3,FALSE)</f>
        <v>3402.52</v>
      </c>
      <c r="G205" s="126">
        <f t="shared" si="35"/>
        <v>138605.03999999998</v>
      </c>
      <c r="H205" s="127">
        <f t="shared" si="36"/>
        <v>3515265.5199999996</v>
      </c>
      <c r="I205" s="128">
        <f t="shared" si="37"/>
        <v>88465.52</v>
      </c>
      <c r="J205" s="128">
        <f t="shared" si="30"/>
        <v>3603731.0399999996</v>
      </c>
      <c r="K205" s="44">
        <f t="shared" si="40"/>
        <v>2.3884552581742661E-3</v>
      </c>
      <c r="L205" s="45">
        <f t="shared" si="41"/>
        <v>41660.572052552998</v>
      </c>
      <c r="M205" s="45">
        <f t="shared" si="42"/>
        <v>23890.793621069457</v>
      </c>
      <c r="N205" s="45">
        <f t="shared" si="38"/>
        <v>204156.40567362244</v>
      </c>
      <c r="O205" s="46">
        <f t="shared" si="39"/>
        <v>5308066.5475141834</v>
      </c>
      <c r="P205" s="47">
        <f t="shared" si="34"/>
        <v>379378.18</v>
      </c>
      <c r="Q205" s="42">
        <v>9863832.6799999997</v>
      </c>
      <c r="R205" s="152">
        <f t="shared" si="43"/>
        <v>0.53813428509152117</v>
      </c>
      <c r="S205" s="49"/>
      <c r="U205" s="112"/>
    </row>
    <row r="206" spans="1:21" outlineLevel="2" x14ac:dyDescent="0.3">
      <c r="A206" s="40" t="str">
        <f>VLOOKUP(B206,Grupos!$A$2:$B$619,2,FALSE)</f>
        <v>TABLEROS 225 AMP COBRE</v>
      </c>
      <c r="B206" s="41" t="s">
        <v>313</v>
      </c>
      <c r="C206" s="41" t="s">
        <v>314</v>
      </c>
      <c r="D206" s="42">
        <v>48</v>
      </c>
      <c r="E206" s="43">
        <f>VLOOKUP(B206,[1]Todos!$A$2:$B$3021,2,FALSE)</f>
        <v>136524.6</v>
      </c>
      <c r="F206" s="43">
        <f>VLOOKUP(B206,[1]Todos!$A$2:$C$3021,3,FALSE)</f>
        <v>7621.55</v>
      </c>
      <c r="G206" s="126">
        <f t="shared" si="35"/>
        <v>144146.15</v>
      </c>
      <c r="H206" s="127">
        <f t="shared" si="36"/>
        <v>6553180.8000000007</v>
      </c>
      <c r="I206" s="128">
        <f t="shared" si="37"/>
        <v>365834.4</v>
      </c>
      <c r="J206" s="128">
        <f t="shared" si="30"/>
        <v>6919015.1999999993</v>
      </c>
      <c r="K206" s="44">
        <f t="shared" si="40"/>
        <v>4.5857357423176818E-3</v>
      </c>
      <c r="L206" s="45">
        <f t="shared" si="41"/>
        <v>43326.06569121233</v>
      </c>
      <c r="M206" s="45">
        <f t="shared" si="42"/>
        <v>53514.712073011156</v>
      </c>
      <c r="N206" s="45">
        <f t="shared" si="38"/>
        <v>240986.92776422348</v>
      </c>
      <c r="O206" s="46">
        <f t="shared" si="39"/>
        <v>11567372.532682728</v>
      </c>
      <c r="P206" s="47">
        <f t="shared" si="34"/>
        <v>371550.87166666664</v>
      </c>
      <c r="Q206" s="42">
        <v>17834441.84</v>
      </c>
      <c r="R206" s="152">
        <f t="shared" si="43"/>
        <v>0.64859739578386089</v>
      </c>
      <c r="S206" s="49"/>
      <c r="U206" s="112"/>
    </row>
    <row r="207" spans="1:21" outlineLevel="2" x14ac:dyDescent="0.3">
      <c r="A207" s="40" t="str">
        <f>VLOOKUP(B207,Grupos!$A$2:$B$619,2,FALSE)</f>
        <v>TABLEROS 225 AMP COBRE</v>
      </c>
      <c r="B207" s="41" t="s">
        <v>315</v>
      </c>
      <c r="C207" s="41" t="s">
        <v>316</v>
      </c>
      <c r="D207" s="42">
        <v>26</v>
      </c>
      <c r="E207" s="43">
        <f>VLOOKUP(B207,[1]Todos!$A$2:$B$3021,2,FALSE)</f>
        <v>139692.1</v>
      </c>
      <c r="F207" s="43">
        <f>VLOOKUP(B207,[1]Todos!$A$2:$C$3021,3,FALSE)</f>
        <v>3665.93</v>
      </c>
      <c r="G207" s="126">
        <f t="shared" si="35"/>
        <v>143358.03</v>
      </c>
      <c r="H207" s="127">
        <f t="shared" si="36"/>
        <v>3631994.6</v>
      </c>
      <c r="I207" s="128">
        <f t="shared" si="37"/>
        <v>95314.18</v>
      </c>
      <c r="J207" s="128">
        <f t="shared" si="30"/>
        <v>3727308.78</v>
      </c>
      <c r="K207" s="44">
        <f t="shared" si="40"/>
        <v>2.4703592348085191E-3</v>
      </c>
      <c r="L207" s="45">
        <f t="shared" si="41"/>
        <v>43089.180149055581</v>
      </c>
      <c r="M207" s="45">
        <f t="shared" si="42"/>
        <v>25740.326892799207</v>
      </c>
      <c r="N207" s="45">
        <f t="shared" si="38"/>
        <v>212187.53704185478</v>
      </c>
      <c r="O207" s="46">
        <f t="shared" si="39"/>
        <v>5516875.9630882246</v>
      </c>
      <c r="P207" s="47">
        <f t="shared" si="34"/>
        <v>304018.83346153848</v>
      </c>
      <c r="Q207" s="42">
        <v>7904489.6699999999</v>
      </c>
      <c r="R207" s="152">
        <f t="shared" si="43"/>
        <v>0.69794208018595905</v>
      </c>
      <c r="S207" s="49"/>
      <c r="U207" s="112"/>
    </row>
    <row r="208" spans="1:21" outlineLevel="2" x14ac:dyDescent="0.3">
      <c r="A208" s="40" t="str">
        <f>VLOOKUP(B208,Grupos!$A$2:$B$619,2,FALSE)</f>
        <v>TABLEROS 225 AMP COBRE</v>
      </c>
      <c r="B208" s="41" t="s">
        <v>317</v>
      </c>
      <c r="C208" s="41" t="s">
        <v>318</v>
      </c>
      <c r="D208" s="42">
        <v>19</v>
      </c>
      <c r="E208" s="43">
        <f>VLOOKUP(B208,[1]Todos!$A$2:$B$3021,2,FALSE)</f>
        <v>140771.03</v>
      </c>
      <c r="F208" s="43">
        <f>VLOOKUP(B208,[1]Todos!$A$2:$C$3021,3,FALSE)</f>
        <v>7561.91</v>
      </c>
      <c r="G208" s="126">
        <f t="shared" si="35"/>
        <v>148332.94</v>
      </c>
      <c r="H208" s="127">
        <f t="shared" si="36"/>
        <v>2674649.5699999998</v>
      </c>
      <c r="I208" s="128">
        <f t="shared" si="37"/>
        <v>143676.29</v>
      </c>
      <c r="J208" s="128">
        <f t="shared" si="30"/>
        <v>2818325.86</v>
      </c>
      <c r="K208" s="44">
        <f t="shared" si="40"/>
        <v>1.8679099924076216E-3</v>
      </c>
      <c r="L208" s="45">
        <f t="shared" si="41"/>
        <v>44584.490828306254</v>
      </c>
      <c r="M208" s="45">
        <f t="shared" si="42"/>
        <v>53095.949822808194</v>
      </c>
      <c r="N208" s="45">
        <f t="shared" si="38"/>
        <v>246013.38065111445</v>
      </c>
      <c r="O208" s="46">
        <f t="shared" si="39"/>
        <v>4674254.2323711747</v>
      </c>
      <c r="P208" s="47">
        <f t="shared" si="34"/>
        <v>295247.97631578945</v>
      </c>
      <c r="Q208" s="42">
        <v>5609711.5499999998</v>
      </c>
      <c r="R208" s="152">
        <f t="shared" si="43"/>
        <v>0.83324324088841517</v>
      </c>
      <c r="S208" s="49"/>
      <c r="U208" s="112"/>
    </row>
    <row r="209" spans="1:21" outlineLevel="2" x14ac:dyDescent="0.3">
      <c r="A209" s="40" t="str">
        <f>VLOOKUP(B209,Grupos!$A$2:$B$619,2,FALSE)</f>
        <v>TABLEROS 225 AMP COBRE</v>
      </c>
      <c r="B209" s="41" t="s">
        <v>319</v>
      </c>
      <c r="C209" s="41" t="s">
        <v>320</v>
      </c>
      <c r="D209" s="42">
        <v>73</v>
      </c>
      <c r="E209" s="43">
        <f>VLOOKUP(B209,[1]Todos!$A$2:$B$3021,2,FALSE)</f>
        <v>154336.97</v>
      </c>
      <c r="F209" s="43">
        <f>VLOOKUP(B209,[1]Todos!$A$2:$C$3021,3,FALSE)</f>
        <v>4491.3900000000003</v>
      </c>
      <c r="G209" s="126">
        <f t="shared" si="35"/>
        <v>158828.36000000002</v>
      </c>
      <c r="H209" s="127">
        <f t="shared" si="36"/>
        <v>11266598.810000001</v>
      </c>
      <c r="I209" s="128">
        <f t="shared" si="37"/>
        <v>327871.47000000003</v>
      </c>
      <c r="J209" s="128">
        <f t="shared" si="30"/>
        <v>11594470.280000001</v>
      </c>
      <c r="K209" s="44">
        <f t="shared" si="40"/>
        <v>7.6845006463110693E-3</v>
      </c>
      <c r="L209" s="45">
        <f t="shared" si="41"/>
        <v>47739.103396015249</v>
      </c>
      <c r="M209" s="45">
        <f t="shared" si="42"/>
        <v>31536.294147201239</v>
      </c>
      <c r="N209" s="45">
        <f t="shared" si="38"/>
        <v>238103.75754321649</v>
      </c>
      <c r="O209" s="46">
        <f t="shared" si="39"/>
        <v>17381574.300654802</v>
      </c>
      <c r="P209" s="47">
        <f t="shared" si="34"/>
        <v>414859.92534246575</v>
      </c>
      <c r="Q209" s="42">
        <v>30284774.550000001</v>
      </c>
      <c r="R209" s="152">
        <f t="shared" si="43"/>
        <v>0.57393771487246559</v>
      </c>
      <c r="S209" s="49"/>
      <c r="U209" s="112"/>
    </row>
    <row r="210" spans="1:21" outlineLevel="2" x14ac:dyDescent="0.3">
      <c r="A210" s="40" t="str">
        <f>VLOOKUP(B210,Grupos!$A$2:$B$619,2,FALSE)</f>
        <v>TABLEROS 225 AMP COBRE</v>
      </c>
      <c r="B210" s="41" t="s">
        <v>321</v>
      </c>
      <c r="C210" s="41" t="s">
        <v>322</v>
      </c>
      <c r="D210" s="42">
        <v>77</v>
      </c>
      <c r="E210" s="43">
        <f>VLOOKUP(B210,[1]Todos!$A$2:$B$3021,2,FALSE)</f>
        <v>155725.47</v>
      </c>
      <c r="F210" s="43">
        <f>VLOOKUP(B210,[1]Todos!$A$2:$C$3021,3,FALSE)</f>
        <v>9184.11</v>
      </c>
      <c r="G210" s="126">
        <f t="shared" si="35"/>
        <v>164909.58000000002</v>
      </c>
      <c r="H210" s="127">
        <f t="shared" si="36"/>
        <v>11990861.189999999</v>
      </c>
      <c r="I210" s="128">
        <f t="shared" si="37"/>
        <v>707176.47000000009</v>
      </c>
      <c r="J210" s="128">
        <f t="shared" si="30"/>
        <v>12698037.660000002</v>
      </c>
      <c r="K210" s="44">
        <f t="shared" si="40"/>
        <v>8.4159151948037334E-3</v>
      </c>
      <c r="L210" s="45">
        <f t="shared" si="41"/>
        <v>49566.938112396601</v>
      </c>
      <c r="M210" s="45">
        <f t="shared" si="42"/>
        <v>64486.226856330082</v>
      </c>
      <c r="N210" s="45">
        <f t="shared" si="38"/>
        <v>278962.74496872671</v>
      </c>
      <c r="O210" s="46">
        <f t="shared" si="39"/>
        <v>21480131.362591956</v>
      </c>
      <c r="P210" s="47">
        <f t="shared" si="34"/>
        <v>410525.45792207797</v>
      </c>
      <c r="Q210" s="42">
        <v>31610460.260000002</v>
      </c>
      <c r="R210" s="152">
        <f t="shared" si="43"/>
        <v>0.67952605517019304</v>
      </c>
      <c r="S210" s="49"/>
      <c r="U210" s="112"/>
    </row>
    <row r="211" spans="1:21" outlineLevel="2" x14ac:dyDescent="0.3">
      <c r="A211" s="40" t="str">
        <f>VLOOKUP(B211,Grupos!$A$2:$B$619,2,FALSE)</f>
        <v>TABLEROS 225 AMP COBRE</v>
      </c>
      <c r="B211" s="41" t="s">
        <v>325</v>
      </c>
      <c r="C211" s="41" t="s">
        <v>326</v>
      </c>
      <c r="D211" s="42">
        <v>4</v>
      </c>
      <c r="E211" s="43">
        <f>VLOOKUP(B211,[1]Todos!$A$2:$B$3021,2,FALSE)</f>
        <v>151896.51999999999</v>
      </c>
      <c r="F211" s="43">
        <f>VLOOKUP(B211,[1]Todos!$A$2:$C$3021,3,FALSE)</f>
        <v>8243.17</v>
      </c>
      <c r="G211" s="126">
        <f t="shared" si="35"/>
        <v>160139.69</v>
      </c>
      <c r="H211" s="127">
        <f t="shared" si="36"/>
        <v>607586.07999999996</v>
      </c>
      <c r="I211" s="128">
        <f t="shared" si="37"/>
        <v>32972.68</v>
      </c>
      <c r="J211" s="128">
        <f t="shared" si="30"/>
        <v>640558.76</v>
      </c>
      <c r="K211" s="44">
        <f t="shared" si="40"/>
        <v>4.2454498449240205E-4</v>
      </c>
      <c r="L211" s="45">
        <f t="shared" si="41"/>
        <v>48133.25037616599</v>
      </c>
      <c r="M211" s="45">
        <f t="shared" si="42"/>
        <v>57879.416800897903</v>
      </c>
      <c r="N211" s="45">
        <f t="shared" si="38"/>
        <v>266152.35717706388</v>
      </c>
      <c r="O211" s="46">
        <f t="shared" si="39"/>
        <v>1064609.4287082555</v>
      </c>
      <c r="P211" s="47">
        <f t="shared" si="34"/>
        <v>328750.49</v>
      </c>
      <c r="Q211" s="42">
        <v>1315001.96</v>
      </c>
      <c r="R211" s="152">
        <f t="shared" si="43"/>
        <v>0.80958771248390804</v>
      </c>
      <c r="S211" s="49"/>
      <c r="U211" s="112"/>
    </row>
    <row r="212" spans="1:21" outlineLevel="2" x14ac:dyDescent="0.3">
      <c r="A212" s="40" t="str">
        <f>VLOOKUP(B212,Grupos!$A$2:$B$619,2,FALSE)</f>
        <v>TABLEROS 225 AMP COBRE</v>
      </c>
      <c r="B212" s="41" t="s">
        <v>327</v>
      </c>
      <c r="C212" s="41" t="s">
        <v>328</v>
      </c>
      <c r="D212" s="42">
        <v>67</v>
      </c>
      <c r="E212" s="43">
        <f>VLOOKUP(B212,[1]Todos!$A$2:$B$3021,2,FALSE)</f>
        <v>173057.75</v>
      </c>
      <c r="F212" s="43">
        <f>VLOOKUP(B212,[1]Todos!$A$2:$C$3021,3,FALSE)</f>
        <v>4724.13</v>
      </c>
      <c r="G212" s="126">
        <f t="shared" si="35"/>
        <v>177781.88</v>
      </c>
      <c r="H212" s="127">
        <f t="shared" si="36"/>
        <v>11594869.25</v>
      </c>
      <c r="I212" s="128">
        <f t="shared" si="37"/>
        <v>316516.71000000002</v>
      </c>
      <c r="J212" s="128">
        <f t="shared" si="30"/>
        <v>11911385.960000001</v>
      </c>
      <c r="K212" s="44">
        <f t="shared" si="40"/>
        <v>7.8945437693666316E-3</v>
      </c>
      <c r="L212" s="45">
        <f t="shared" si="41"/>
        <v>53435.970447960135</v>
      </c>
      <c r="M212" s="45">
        <f t="shared" si="42"/>
        <v>33170.478018969137</v>
      </c>
      <c r="N212" s="45">
        <f t="shared" si="38"/>
        <v>264388.32846692926</v>
      </c>
      <c r="O212" s="46">
        <f t="shared" si="39"/>
        <v>17714018.007284261</v>
      </c>
      <c r="P212" s="47">
        <f t="shared" si="34"/>
        <v>449463.92492537311</v>
      </c>
      <c r="Q212" s="42">
        <v>30114082.969999999</v>
      </c>
      <c r="R212" s="152">
        <f t="shared" si="43"/>
        <v>0.58823036467459999</v>
      </c>
      <c r="S212" s="49"/>
      <c r="U212" s="112"/>
    </row>
    <row r="213" spans="1:21" outlineLevel="2" x14ac:dyDescent="0.3">
      <c r="A213" s="40" t="str">
        <f>VLOOKUP(B213,Grupos!$A$2:$B$619,2,FALSE)</f>
        <v>TABLEROS 225 AMP COBRE</v>
      </c>
      <c r="B213" s="41" t="s">
        <v>329</v>
      </c>
      <c r="C213" s="41" t="s">
        <v>330</v>
      </c>
      <c r="D213" s="42">
        <v>16</v>
      </c>
      <c r="E213" s="43">
        <f>VLOOKUP(B213,[1]Todos!$A$2:$B$3021,2,FALSE)</f>
        <v>174499.09</v>
      </c>
      <c r="F213" s="43">
        <f>VLOOKUP(B213,[1]Todos!$A$2:$C$3021,3,FALSE)</f>
        <v>9084.8799999999992</v>
      </c>
      <c r="G213" s="126">
        <f t="shared" si="35"/>
        <v>183583.97</v>
      </c>
      <c r="H213" s="127">
        <f t="shared" si="36"/>
        <v>2791985.44</v>
      </c>
      <c r="I213" s="128">
        <f t="shared" si="37"/>
        <v>145358.07999999999</v>
      </c>
      <c r="J213" s="128">
        <f t="shared" si="30"/>
        <v>2937343.52</v>
      </c>
      <c r="K213" s="44">
        <f t="shared" si="40"/>
        <v>1.9467916716137917E-3</v>
      </c>
      <c r="L213" s="45">
        <f t="shared" si="41"/>
        <v>55179.906949117649</v>
      </c>
      <c r="M213" s="45">
        <f t="shared" si="42"/>
        <v>63789.483427630541</v>
      </c>
      <c r="N213" s="45">
        <f t="shared" si="38"/>
        <v>302553.3603767482</v>
      </c>
      <c r="O213" s="46">
        <f t="shared" si="39"/>
        <v>4840853.7660279712</v>
      </c>
      <c r="P213" s="47">
        <f t="shared" si="34"/>
        <v>449371.12125000003</v>
      </c>
      <c r="Q213" s="42">
        <v>7189937.9400000004</v>
      </c>
      <c r="R213" s="152">
        <f t="shared" si="43"/>
        <v>0.67328171764831268</v>
      </c>
      <c r="S213" s="49"/>
      <c r="U213" s="112"/>
    </row>
    <row r="214" spans="1:21" s="93" customFormat="1" outlineLevel="1" x14ac:dyDescent="0.3">
      <c r="A214" s="50" t="s">
        <v>1035</v>
      </c>
      <c r="B214" s="129"/>
      <c r="C214" s="129"/>
      <c r="D214" s="51">
        <f>SUBTOTAL(9,D175:D213)</f>
        <v>2163</v>
      </c>
      <c r="E214" s="52"/>
      <c r="F214" s="52"/>
      <c r="G214" s="130"/>
      <c r="H214" s="131">
        <f>SUBTOTAL(9,H175:H213)</f>
        <v>224094761.55000004</v>
      </c>
      <c r="I214" s="146">
        <f>SUBTOTAL(9,I175:I213)</f>
        <v>12024565.52</v>
      </c>
      <c r="J214" s="146">
        <f>SUBTOTAL(9,J175:J213)</f>
        <v>236119327.06999999</v>
      </c>
      <c r="K214" s="53"/>
      <c r="L214" s="54"/>
      <c r="M214" s="54"/>
      <c r="N214" s="54"/>
      <c r="O214" s="55">
        <f>SUBTOTAL(9,O175:O213)</f>
        <v>391520292.03179479</v>
      </c>
      <c r="P214" s="56"/>
      <c r="Q214" s="51">
        <f>SUBTOTAL(9,Q175:Q213)</f>
        <v>613393312.25000012</v>
      </c>
      <c r="R214" s="198">
        <f>O214/Q214</f>
        <v>0.63828588315652068</v>
      </c>
      <c r="S214" s="58">
        <f>Q214/$Q$295</f>
        <v>0.1570085168768916</v>
      </c>
      <c r="T214" s="158"/>
      <c r="U214" s="147"/>
    </row>
    <row r="215" spans="1:21" hidden="1" outlineLevel="2" x14ac:dyDescent="0.3">
      <c r="A215" s="40" t="str">
        <f>VLOOKUP(B215,Grupos!$A$2:$B$619,2,FALSE)</f>
        <v>TABLEROS 75 AMP BIMETALICO CON PUERTA</v>
      </c>
      <c r="B215" s="41" t="s">
        <v>649</v>
      </c>
      <c r="C215" s="41" t="s">
        <v>650</v>
      </c>
      <c r="D215" s="42">
        <v>72</v>
      </c>
      <c r="E215" s="43">
        <f>VLOOKUP(B215,[1]Todos!$A$2:$B$3021,2,FALSE)</f>
        <v>17545.580000000002</v>
      </c>
      <c r="F215" s="43">
        <f>VLOOKUP(B215,[1]Todos!$A$2:$C$3021,3,FALSE)</f>
        <v>1356.88</v>
      </c>
      <c r="G215" s="126">
        <f t="shared" si="35"/>
        <v>18902.460000000003</v>
      </c>
      <c r="H215" s="127">
        <f t="shared" si="36"/>
        <v>1263281.7600000002</v>
      </c>
      <c r="I215" s="128">
        <f t="shared" si="37"/>
        <v>97695.360000000015</v>
      </c>
      <c r="J215" s="128">
        <f t="shared" si="30"/>
        <v>1360977.12</v>
      </c>
      <c r="K215" s="44">
        <f t="shared" si="40"/>
        <v>9.0201874735881219E-4</v>
      </c>
      <c r="L215" s="45">
        <f t="shared" si="41"/>
        <v>5681.5199274175102</v>
      </c>
      <c r="M215" s="45">
        <f t="shared" si="42"/>
        <v>9527.3326971058887</v>
      </c>
      <c r="N215" s="45">
        <f t="shared" si="38"/>
        <v>34111.312624523402</v>
      </c>
      <c r="O215" s="46">
        <f t="shared" si="39"/>
        <v>2456014.508965685</v>
      </c>
      <c r="P215" s="47">
        <f t="shared" si="34"/>
        <v>64221.666388888894</v>
      </c>
      <c r="Q215" s="42">
        <v>4623959.9800000004</v>
      </c>
      <c r="R215" s="152">
        <f t="shared" si="43"/>
        <v>0.53114960328131666</v>
      </c>
      <c r="S215" s="49"/>
      <c r="U215" s="112"/>
    </row>
    <row r="216" spans="1:21" hidden="1" outlineLevel="2" x14ac:dyDescent="0.3">
      <c r="A216" s="40" t="str">
        <f>VLOOKUP(B216,Grupos!$A$2:$B$619,2,FALSE)</f>
        <v>TABLEROS 75 AMP BIMETALICO CON PUERTA</v>
      </c>
      <c r="B216" s="41" t="s">
        <v>333</v>
      </c>
      <c r="C216" s="41" t="s">
        <v>334</v>
      </c>
      <c r="D216" s="42">
        <v>24</v>
      </c>
      <c r="E216" s="43">
        <f>VLOOKUP(B216,[1]Todos!$A$2:$B$3021,2,FALSE)</f>
        <v>8718.8700000000008</v>
      </c>
      <c r="F216" s="43">
        <f>VLOOKUP(B216,[1]Todos!$A$2:$C$3021,3,FALSE)</f>
        <v>986.4</v>
      </c>
      <c r="G216" s="126">
        <f t="shared" ref="G216:G287" si="44">E216+F216</f>
        <v>9705.27</v>
      </c>
      <c r="H216" s="127">
        <f t="shared" ref="H216:H287" si="45">E216*D216</f>
        <v>209252.88</v>
      </c>
      <c r="I216" s="128">
        <f t="shared" ref="I216:I287" si="46">F216*D216</f>
        <v>23673.599999999999</v>
      </c>
      <c r="J216" s="128">
        <f t="shared" ref="J216:J292" si="47">G216*D216</f>
        <v>232926.48</v>
      </c>
      <c r="K216" s="44">
        <f>J216/$J$295</f>
        <v>1.5437735772978858E-4</v>
      </c>
      <c r="L216" s="45">
        <f>$K$367*K216/D216</f>
        <v>2917.1168676440707</v>
      </c>
      <c r="M216" s="45">
        <f>F216*$M$366</f>
        <v>6926.007437964483</v>
      </c>
      <c r="N216" s="45">
        <f t="shared" ref="N216:N287" si="48">G216+L216+M216</f>
        <v>19548.394305608555</v>
      </c>
      <c r="O216" s="46">
        <f t="shared" ref="O216:O287" si="49">N216*D216</f>
        <v>469161.46333460533</v>
      </c>
      <c r="P216" s="47">
        <f t="shared" ref="P216:P287" si="50">Q216/D216</f>
        <v>29991.502083333336</v>
      </c>
      <c r="Q216" s="42">
        <v>719796.05</v>
      </c>
      <c r="R216" s="152">
        <f t="shared" si="43"/>
        <v>0.65179777429260033</v>
      </c>
      <c r="S216" s="49"/>
      <c r="U216" s="112"/>
    </row>
    <row r="217" spans="1:21" hidden="1" outlineLevel="2" x14ac:dyDescent="0.3">
      <c r="A217" s="40" t="str">
        <f>VLOOKUP(B217,Grupos!$A$2:$B$619,2,FALSE)</f>
        <v>TABLEROS 75 AMP BIMETALICO CON PUERTA</v>
      </c>
      <c r="B217" s="41" t="s">
        <v>337</v>
      </c>
      <c r="C217" s="41" t="s">
        <v>338</v>
      </c>
      <c r="D217" s="42">
        <v>13</v>
      </c>
      <c r="E217" s="43">
        <f>VLOOKUP(B217,[1]Todos!$A$2:$B$3021,2,FALSE)</f>
        <v>10543.15</v>
      </c>
      <c r="F217" s="43">
        <f>VLOOKUP(B217,[1]Todos!$A$2:$C$3021,3,FALSE)</f>
        <v>1154.1300000000001</v>
      </c>
      <c r="G217" s="126">
        <f t="shared" si="44"/>
        <v>11697.279999999999</v>
      </c>
      <c r="H217" s="127">
        <f t="shared" si="45"/>
        <v>137060.94999999998</v>
      </c>
      <c r="I217" s="128">
        <f t="shared" si="46"/>
        <v>15003.690000000002</v>
      </c>
      <c r="J217" s="128">
        <f t="shared" si="47"/>
        <v>152064.63999999998</v>
      </c>
      <c r="K217" s="44">
        <f>J217/$J$295</f>
        <v>1.0078432184838546E-4</v>
      </c>
      <c r="L217" s="45">
        <f>$K$367*K217/D217</f>
        <v>3515.8561063788679</v>
      </c>
      <c r="M217" s="45">
        <f>F217*$M$366</f>
        <v>8103.7236054115465</v>
      </c>
      <c r="N217" s="45">
        <f t="shared" si="48"/>
        <v>23316.859711790414</v>
      </c>
      <c r="O217" s="46">
        <f t="shared" si="49"/>
        <v>303119.17625327536</v>
      </c>
      <c r="P217" s="47">
        <f t="shared" si="50"/>
        <v>36264.50230769231</v>
      </c>
      <c r="Q217" s="42">
        <v>471438.53</v>
      </c>
      <c r="R217" s="152">
        <f t="shared" si="43"/>
        <v>0.64296648866030393</v>
      </c>
      <c r="S217" s="49"/>
      <c r="U217" s="112"/>
    </row>
    <row r="218" spans="1:21" hidden="1" outlineLevel="2" x14ac:dyDescent="0.3">
      <c r="A218" s="40" t="str">
        <f>VLOOKUP(B218,Grupos!$A$2:$B$619,2,FALSE)</f>
        <v>TABLEROS 75 AMP BIMETALICO CON PUERTA</v>
      </c>
      <c r="B218" s="41" t="s">
        <v>339</v>
      </c>
      <c r="C218" s="41" t="s">
        <v>340</v>
      </c>
      <c r="D218" s="42">
        <v>204</v>
      </c>
      <c r="E218" s="43">
        <f>VLOOKUP(B218,[1]Todos!$A$2:$B$3021,2,FALSE)</f>
        <v>12844.46</v>
      </c>
      <c r="F218" s="43">
        <f>VLOOKUP(B218,[1]Todos!$A$2:$C$3021,3,FALSE)</f>
        <v>1557.61</v>
      </c>
      <c r="G218" s="126">
        <f t="shared" si="44"/>
        <v>14402.07</v>
      </c>
      <c r="H218" s="127">
        <f t="shared" si="45"/>
        <v>2620269.84</v>
      </c>
      <c r="I218" s="128">
        <f t="shared" si="46"/>
        <v>317752.44</v>
      </c>
      <c r="J218" s="128">
        <f t="shared" si="47"/>
        <v>2938022.28</v>
      </c>
      <c r="K218" s="44">
        <f>J218/$J$295</f>
        <v>1.9472415353447537E-3</v>
      </c>
      <c r="L218" s="45">
        <f>$K$367*K218/D218</f>
        <v>4328.8359134769707</v>
      </c>
      <c r="M218" s="45">
        <f>F218*$M$366</f>
        <v>10936.758359132054</v>
      </c>
      <c r="N218" s="45">
        <f t="shared" si="48"/>
        <v>29667.664272609025</v>
      </c>
      <c r="O218" s="46">
        <f t="shared" si="49"/>
        <v>6052203.5116122412</v>
      </c>
      <c r="P218" s="47">
        <f t="shared" si="50"/>
        <v>57478.23465686274</v>
      </c>
      <c r="Q218" s="42">
        <v>11725559.869999999</v>
      </c>
      <c r="R218" s="152">
        <f t="shared" si="43"/>
        <v>0.51615475753075846</v>
      </c>
      <c r="S218" s="49"/>
      <c r="U218" s="112"/>
    </row>
    <row r="219" spans="1:21" s="93" customFormat="1" outlineLevel="1" collapsed="1" x14ac:dyDescent="0.3">
      <c r="A219" s="50" t="s">
        <v>1036</v>
      </c>
      <c r="B219" s="129"/>
      <c r="C219" s="129"/>
      <c r="D219" s="51">
        <f>SUBTOTAL(9,D215:D218)</f>
        <v>313</v>
      </c>
      <c r="E219" s="52"/>
      <c r="F219" s="52"/>
      <c r="G219" s="130"/>
      <c r="H219" s="131">
        <f>SUBTOTAL(9,H215:H218)</f>
        <v>4229865.43</v>
      </c>
      <c r="I219" s="146">
        <f>SUBTOTAL(9,I215:I218)</f>
        <v>454125.09</v>
      </c>
      <c r="J219" s="146">
        <f>SUBTOTAL(9,J215:J218)</f>
        <v>4683990.5199999996</v>
      </c>
      <c r="K219" s="53"/>
      <c r="L219" s="54"/>
      <c r="M219" s="54"/>
      <c r="N219" s="54"/>
      <c r="O219" s="55">
        <f>SUBTOTAL(9,O215:O218)</f>
        <v>9280498.6601658072</v>
      </c>
      <c r="P219" s="56"/>
      <c r="Q219" s="51">
        <f>SUBTOTAL(9,Q215:Q218)</f>
        <v>17540754.43</v>
      </c>
      <c r="R219" s="198">
        <f>O219/Q219</f>
        <v>0.52908206982781458</v>
      </c>
      <c r="S219" s="58">
        <f>Q219/$Q$295</f>
        <v>4.489856317236144E-3</v>
      </c>
      <c r="T219" s="158"/>
      <c r="U219" s="147"/>
    </row>
    <row r="220" spans="1:21" hidden="1" outlineLevel="2" x14ac:dyDescent="0.3">
      <c r="A220" s="40" t="str">
        <f>VLOOKUP(B220,Grupos!$A$2:$B$619,2,FALSE)</f>
        <v>TABLEROS 75 AMP BIMETALICO TAPA LISA</v>
      </c>
      <c r="B220" s="41" t="s">
        <v>343</v>
      </c>
      <c r="C220" s="41" t="s">
        <v>1086</v>
      </c>
      <c r="D220" s="42">
        <v>615</v>
      </c>
      <c r="E220" s="43">
        <f>VLOOKUP(B220,[1]Todos!$A$2:$B$3021,2,FALSE)</f>
        <v>6098.85</v>
      </c>
      <c r="F220" s="43">
        <f>VLOOKUP(B220,[1]Todos!$A$2:$C$3021,3,FALSE)</f>
        <v>461.27</v>
      </c>
      <c r="G220" s="126">
        <f t="shared" si="44"/>
        <v>6560.1200000000008</v>
      </c>
      <c r="H220" s="127">
        <f t="shared" si="45"/>
        <v>3750792.75</v>
      </c>
      <c r="I220" s="128">
        <f t="shared" si="46"/>
        <v>283681.05</v>
      </c>
      <c r="J220" s="128">
        <f t="shared" si="47"/>
        <v>4034473.8000000003</v>
      </c>
      <c r="K220" s="44">
        <f t="shared" ref="K220:K233" si="51">J220/$J$295</f>
        <v>2.6739398846969205E-3</v>
      </c>
      <c r="L220" s="45">
        <f t="shared" ref="L220:L233" si="52">$K$367*K220/D220</f>
        <v>1971.7778800351996</v>
      </c>
      <c r="M220" s="45">
        <f t="shared" ref="M220:M233" si="53">F220*$M$366</f>
        <v>3238.8072292273691</v>
      </c>
      <c r="N220" s="45">
        <f t="shared" si="48"/>
        <v>11770.70510926257</v>
      </c>
      <c r="O220" s="46">
        <f t="shared" si="49"/>
        <v>7238983.6421964802</v>
      </c>
      <c r="P220" s="47">
        <f t="shared" si="50"/>
        <v>16217.319934959349</v>
      </c>
      <c r="Q220" s="42">
        <v>9973651.7599999998</v>
      </c>
      <c r="R220" s="152">
        <f t="shared" si="43"/>
        <v>0.72581074779740262</v>
      </c>
      <c r="S220" s="49"/>
      <c r="U220" s="112"/>
    </row>
    <row r="221" spans="1:21" hidden="1" outlineLevel="2" x14ac:dyDescent="0.3">
      <c r="A221" s="40" t="str">
        <f>VLOOKUP(B221,Grupos!$A$2:$B$619,2,FALSE)</f>
        <v>TABLEROS 75 AMP BIMETALICO TAPA LISA</v>
      </c>
      <c r="B221" s="41" t="s">
        <v>344</v>
      </c>
      <c r="C221" s="41" t="s">
        <v>345</v>
      </c>
      <c r="D221" s="42">
        <v>72</v>
      </c>
      <c r="E221" s="43">
        <f>VLOOKUP(B221,[1]Todos!$A$2:$B$3021,2,FALSE)</f>
        <v>5756.34</v>
      </c>
      <c r="F221" s="43">
        <f>VLOOKUP(B221,[1]Todos!$A$2:$C$3021,3,FALSE)</f>
        <v>449.37</v>
      </c>
      <c r="G221" s="126">
        <f t="shared" si="44"/>
        <v>6205.71</v>
      </c>
      <c r="H221" s="127">
        <f t="shared" si="45"/>
        <v>414456.48</v>
      </c>
      <c r="I221" s="128">
        <f t="shared" si="46"/>
        <v>32354.639999999999</v>
      </c>
      <c r="J221" s="128">
        <f t="shared" si="47"/>
        <v>446811.12</v>
      </c>
      <c r="K221" s="44">
        <f t="shared" si="51"/>
        <v>2.9613430001555638E-4</v>
      </c>
      <c r="L221" s="45">
        <f t="shared" si="52"/>
        <v>1865.2527252417999</v>
      </c>
      <c r="M221" s="45">
        <f t="shared" si="53"/>
        <v>3155.2513811821773</v>
      </c>
      <c r="N221" s="45">
        <f t="shared" si="48"/>
        <v>11226.214106423977</v>
      </c>
      <c r="O221" s="46">
        <f t="shared" si="49"/>
        <v>808287.41566252639</v>
      </c>
      <c r="P221" s="47">
        <f t="shared" si="50"/>
        <v>16737.167222222222</v>
      </c>
      <c r="Q221" s="42">
        <v>1205076.04</v>
      </c>
      <c r="R221" s="152">
        <f t="shared" si="43"/>
        <v>0.67073561238718704</v>
      </c>
      <c r="S221" s="49"/>
      <c r="U221" s="112"/>
    </row>
    <row r="222" spans="1:21" hidden="1" outlineLevel="2" x14ac:dyDescent="0.3">
      <c r="A222" s="40" t="str">
        <f>VLOOKUP(B222,Grupos!$A$2:$B$619,2,FALSE)</f>
        <v>TABLEROS 75 AMP BIMETALICO TAPA LISA</v>
      </c>
      <c r="B222" s="41" t="s">
        <v>346</v>
      </c>
      <c r="C222" s="41" t="s">
        <v>347</v>
      </c>
      <c r="D222" s="42">
        <v>408</v>
      </c>
      <c r="E222" s="43">
        <f>VLOOKUP(B222,[1]Todos!$A$2:$B$3021,2,FALSE)</f>
        <v>5399.91</v>
      </c>
      <c r="F222" s="43">
        <f>VLOOKUP(B222,[1]Todos!$A$2:$C$3021,3,FALSE)</f>
        <v>428.72</v>
      </c>
      <c r="G222" s="126">
        <f t="shared" si="44"/>
        <v>5828.63</v>
      </c>
      <c r="H222" s="127">
        <f t="shared" si="45"/>
        <v>2203163.2799999998</v>
      </c>
      <c r="I222" s="128">
        <f t="shared" si="46"/>
        <v>174917.76000000001</v>
      </c>
      <c r="J222" s="128">
        <f t="shared" si="47"/>
        <v>2378081.04</v>
      </c>
      <c r="K222" s="44">
        <f t="shared" si="51"/>
        <v>1.576127658059778E-3</v>
      </c>
      <c r="L222" s="45">
        <f t="shared" si="52"/>
        <v>1751.9136395232961</v>
      </c>
      <c r="M222" s="45">
        <f t="shared" si="53"/>
        <v>3010.2574095743444</v>
      </c>
      <c r="N222" s="45">
        <f t="shared" si="48"/>
        <v>10590.801049097641</v>
      </c>
      <c r="O222" s="46">
        <f t="shared" si="49"/>
        <v>4321046.8280318379</v>
      </c>
      <c r="P222" s="47">
        <f t="shared" si="50"/>
        <v>16656.08838235294</v>
      </c>
      <c r="Q222" s="42">
        <v>6795684.0599999996</v>
      </c>
      <c r="R222" s="152">
        <f t="shared" si="43"/>
        <v>0.63585163610914519</v>
      </c>
      <c r="S222" s="49"/>
      <c r="U222" s="112"/>
    </row>
    <row r="223" spans="1:21" hidden="1" outlineLevel="2" x14ac:dyDescent="0.3">
      <c r="A223" s="40" t="str">
        <f>VLOOKUP(B223,Grupos!$A$2:$B$619,2,FALSE)</f>
        <v>TABLEROS 75 AMP BIMETALICO TAPA LISA</v>
      </c>
      <c r="B223" s="41" t="s">
        <v>350</v>
      </c>
      <c r="C223" s="41" t="s">
        <v>351</v>
      </c>
      <c r="D223" s="42">
        <v>179</v>
      </c>
      <c r="E223" s="43">
        <f>VLOOKUP(B223,[1]Todos!$A$2:$B$3021,2,FALSE)</f>
        <v>7325.64</v>
      </c>
      <c r="F223" s="43">
        <f>VLOOKUP(B223,[1]Todos!$A$2:$C$3021,3,FALSE)</f>
        <v>724.35</v>
      </c>
      <c r="G223" s="126">
        <f t="shared" si="44"/>
        <v>8049.9900000000007</v>
      </c>
      <c r="H223" s="127">
        <f t="shared" si="45"/>
        <v>1311289.56</v>
      </c>
      <c r="I223" s="128">
        <f t="shared" si="46"/>
        <v>129658.65000000001</v>
      </c>
      <c r="J223" s="128">
        <f t="shared" si="47"/>
        <v>1440948.2100000002</v>
      </c>
      <c r="K223" s="44">
        <f t="shared" si="51"/>
        <v>9.5502141828300742E-4</v>
      </c>
      <c r="L223" s="45">
        <f t="shared" si="52"/>
        <v>2419.5886990641266</v>
      </c>
      <c r="M223" s="45">
        <f t="shared" si="53"/>
        <v>5086.023406011328</v>
      </c>
      <c r="N223" s="45">
        <f t="shared" si="48"/>
        <v>15555.602105075457</v>
      </c>
      <c r="O223" s="46">
        <f t="shared" si="49"/>
        <v>2784452.7768085068</v>
      </c>
      <c r="P223" s="47">
        <f t="shared" si="50"/>
        <v>17670.346368715083</v>
      </c>
      <c r="Q223" s="42">
        <v>3162992</v>
      </c>
      <c r="R223" s="152">
        <f t="shared" si="43"/>
        <v>0.88032242155797635</v>
      </c>
      <c r="S223" s="49"/>
      <c r="U223" s="112"/>
    </row>
    <row r="224" spans="1:21" hidden="1" outlineLevel="2" x14ac:dyDescent="0.3">
      <c r="A224" s="40" t="str">
        <f>VLOOKUP(B224,Grupos!$A$2:$B$619,2,FALSE)</f>
        <v>TABLEROS 75 AMP BIMETALICO TAPA LISA</v>
      </c>
      <c r="B224" s="41" t="s">
        <v>352</v>
      </c>
      <c r="C224" s="41" t="s">
        <v>353</v>
      </c>
      <c r="D224" s="42">
        <v>740</v>
      </c>
      <c r="E224" s="43">
        <f>VLOOKUP(B224,[1]Todos!$A$2:$B$3021,2,FALSE)</f>
        <v>7779.89</v>
      </c>
      <c r="F224" s="43">
        <f>VLOOKUP(B224,[1]Todos!$A$2:$C$3021,3,FALSE)</f>
        <v>900.79</v>
      </c>
      <c r="G224" s="126">
        <f t="shared" si="44"/>
        <v>8680.68</v>
      </c>
      <c r="H224" s="127">
        <f t="shared" si="45"/>
        <v>5757118.6000000006</v>
      </c>
      <c r="I224" s="128">
        <f t="shared" si="46"/>
        <v>666584.6</v>
      </c>
      <c r="J224" s="128">
        <f t="shared" si="47"/>
        <v>6423703.2000000002</v>
      </c>
      <c r="K224" s="44">
        <f t="shared" si="51"/>
        <v>4.2574563736007508E-3</v>
      </c>
      <c r="L224" s="45">
        <f t="shared" si="52"/>
        <v>2609.1554434467598</v>
      </c>
      <c r="M224" s="45">
        <f t="shared" si="53"/>
        <v>6324.8968370276016</v>
      </c>
      <c r="N224" s="45">
        <f t="shared" si="48"/>
        <v>17614.73228047436</v>
      </c>
      <c r="O224" s="46">
        <f t="shared" si="49"/>
        <v>13034901.887551026</v>
      </c>
      <c r="P224" s="47">
        <f t="shared" si="50"/>
        <v>22803.391675675677</v>
      </c>
      <c r="Q224" s="42">
        <v>16874509.84</v>
      </c>
      <c r="R224" s="152">
        <f t="shared" si="43"/>
        <v>0.7724610676781013</v>
      </c>
      <c r="S224" s="49"/>
      <c r="U224" s="112"/>
    </row>
    <row r="225" spans="1:21" hidden="1" outlineLevel="2" x14ac:dyDescent="0.3">
      <c r="A225" s="40" t="str">
        <f>VLOOKUP(B225,Grupos!$A$2:$B$619,2,FALSE)</f>
        <v>TABLEROS 75 AMP BIMETALICO TAPA LISA</v>
      </c>
      <c r="B225" s="41" t="s">
        <v>354</v>
      </c>
      <c r="C225" s="41" t="s">
        <v>355</v>
      </c>
      <c r="D225" s="42">
        <v>280</v>
      </c>
      <c r="E225" s="43">
        <f>VLOOKUP(B225,[1]Todos!$A$2:$B$3021,2,FALSE)</f>
        <v>7768.74</v>
      </c>
      <c r="F225" s="43">
        <f>VLOOKUP(B225,[1]Todos!$A$2:$C$3021,3,FALSE)</f>
        <v>806.59</v>
      </c>
      <c r="G225" s="126">
        <f t="shared" si="44"/>
        <v>8575.33</v>
      </c>
      <c r="H225" s="127">
        <f t="shared" si="45"/>
        <v>2175247.1999999997</v>
      </c>
      <c r="I225" s="128">
        <f t="shared" si="46"/>
        <v>225845.2</v>
      </c>
      <c r="J225" s="128">
        <f t="shared" si="47"/>
        <v>2401092.4</v>
      </c>
      <c r="K225" s="44">
        <f t="shared" si="51"/>
        <v>1.5913789637703563E-3</v>
      </c>
      <c r="L225" s="45">
        <f t="shared" si="52"/>
        <v>2577.4903520060984</v>
      </c>
      <c r="M225" s="45">
        <f t="shared" si="53"/>
        <v>5663.4715525017973</v>
      </c>
      <c r="N225" s="45">
        <f t="shared" si="48"/>
        <v>16816.291904507896</v>
      </c>
      <c r="O225" s="46">
        <f t="shared" si="49"/>
        <v>4708561.7332622111</v>
      </c>
      <c r="P225" s="47">
        <f t="shared" si="50"/>
        <v>22256.964964285715</v>
      </c>
      <c r="Q225" s="42">
        <v>6231950.1900000004</v>
      </c>
      <c r="R225" s="152">
        <f t="shared" si="43"/>
        <v>0.75555188820631614</v>
      </c>
      <c r="S225" s="49"/>
      <c r="U225" s="112"/>
    </row>
    <row r="226" spans="1:21" hidden="1" outlineLevel="2" x14ac:dyDescent="0.3">
      <c r="A226" s="40" t="str">
        <f>VLOOKUP(B226,Grupos!$A$2:$B$619,2,FALSE)</f>
        <v>TABLEROS 75 AMP BIMETALICO TAPA LISA</v>
      </c>
      <c r="B226" s="41" t="s">
        <v>356</v>
      </c>
      <c r="C226" s="41" t="s">
        <v>357</v>
      </c>
      <c r="D226" s="42">
        <v>260</v>
      </c>
      <c r="E226" s="43">
        <f>VLOOKUP(B226,[1]Todos!$A$2:$B$3021,2,FALSE)</f>
        <v>7472.13</v>
      </c>
      <c r="F226" s="43">
        <f>VLOOKUP(B226,[1]Todos!$A$2:$C$3021,3,FALSE)</f>
        <v>823.37</v>
      </c>
      <c r="G226" s="126">
        <f t="shared" si="44"/>
        <v>8295.5</v>
      </c>
      <c r="H226" s="127">
        <f t="shared" si="45"/>
        <v>1942753.8</v>
      </c>
      <c r="I226" s="128">
        <f t="shared" si="46"/>
        <v>214076.2</v>
      </c>
      <c r="J226" s="128">
        <f t="shared" si="47"/>
        <v>2156830</v>
      </c>
      <c r="K226" s="44">
        <f t="shared" si="51"/>
        <v>1.4294884655121217E-3</v>
      </c>
      <c r="L226" s="45">
        <f t="shared" si="52"/>
        <v>2493.3817375035819</v>
      </c>
      <c r="M226" s="45">
        <f t="shared" si="53"/>
        <v>5781.2923197453529</v>
      </c>
      <c r="N226" s="45">
        <f t="shared" si="48"/>
        <v>16570.174057248936</v>
      </c>
      <c r="O226" s="46">
        <f t="shared" si="49"/>
        <v>4308245.2548847236</v>
      </c>
      <c r="P226" s="47">
        <f t="shared" si="50"/>
        <v>22208.153999999999</v>
      </c>
      <c r="Q226" s="42">
        <v>5774120.04</v>
      </c>
      <c r="R226" s="152">
        <f t="shared" si="43"/>
        <v>0.7461301852125547</v>
      </c>
      <c r="S226" s="49"/>
      <c r="U226" s="112"/>
    </row>
    <row r="227" spans="1:21" hidden="1" outlineLevel="2" x14ac:dyDescent="0.3">
      <c r="A227" s="40" t="str">
        <f>VLOOKUP(B227,Grupos!$A$2:$B$619,2,FALSE)</f>
        <v>TABLEROS 75 AMP BIMETALICO TAPA LISA</v>
      </c>
      <c r="B227" s="41" t="s">
        <v>358</v>
      </c>
      <c r="C227" s="41" t="s">
        <v>359</v>
      </c>
      <c r="D227" s="42">
        <v>1140</v>
      </c>
      <c r="E227" s="43">
        <f>VLOOKUP(B227,[1]Todos!$A$2:$B$3021,2,FALSE)</f>
        <v>7438.22</v>
      </c>
      <c r="F227" s="43">
        <f>VLOOKUP(B227,[1]Todos!$A$2:$C$3021,3,FALSE)</f>
        <v>779.32</v>
      </c>
      <c r="G227" s="126">
        <f t="shared" si="44"/>
        <v>8217.5400000000009</v>
      </c>
      <c r="H227" s="127">
        <f t="shared" si="45"/>
        <v>8479570.8000000007</v>
      </c>
      <c r="I227" s="128">
        <f t="shared" si="46"/>
        <v>888424.8</v>
      </c>
      <c r="J227" s="128">
        <f t="shared" si="47"/>
        <v>9367995.6000000015</v>
      </c>
      <c r="K227" s="44">
        <f t="shared" si="51"/>
        <v>6.2088535745368481E-3</v>
      </c>
      <c r="L227" s="45">
        <f t="shared" si="52"/>
        <v>2469.9492692670947</v>
      </c>
      <c r="M227" s="45">
        <f t="shared" si="53"/>
        <v>5471.9952519814287</v>
      </c>
      <c r="N227" s="45">
        <f t="shared" si="48"/>
        <v>16159.484521248523</v>
      </c>
      <c r="O227" s="46">
        <f t="shared" si="49"/>
        <v>18421812.354223318</v>
      </c>
      <c r="P227" s="47">
        <f t="shared" si="50"/>
        <v>21963.245789473684</v>
      </c>
      <c r="Q227" s="42">
        <v>25038100.199999999</v>
      </c>
      <c r="R227" s="152">
        <f t="shared" si="43"/>
        <v>0.73575120344886702</v>
      </c>
      <c r="S227" s="49"/>
      <c r="U227" s="112"/>
    </row>
    <row r="228" spans="1:21" hidden="1" outlineLevel="2" x14ac:dyDescent="0.3">
      <c r="A228" s="40" t="str">
        <f>VLOOKUP(B228,Grupos!$A$2:$B$619,2,FALSE)</f>
        <v>TABLEROS 75 AMP BIMETALICO TAPA LISA</v>
      </c>
      <c r="B228" s="41" t="s">
        <v>360</v>
      </c>
      <c r="C228" s="41" t="s">
        <v>361</v>
      </c>
      <c r="D228" s="42">
        <v>40</v>
      </c>
      <c r="E228" s="43">
        <f>VLOOKUP(B228,[1]Todos!$A$2:$B$3021,2,FALSE)</f>
        <v>9403.9500000000007</v>
      </c>
      <c r="F228" s="43">
        <f>VLOOKUP(B228,[1]Todos!$A$2:$C$3021,3,FALSE)</f>
        <v>1069.07</v>
      </c>
      <c r="G228" s="126">
        <f t="shared" si="44"/>
        <v>10473.02</v>
      </c>
      <c r="H228" s="127">
        <f t="shared" si="45"/>
        <v>376158</v>
      </c>
      <c r="I228" s="128">
        <f t="shared" si="46"/>
        <v>42762.799999999996</v>
      </c>
      <c r="J228" s="128">
        <f t="shared" si="47"/>
        <v>418920.80000000005</v>
      </c>
      <c r="K228" s="44">
        <f t="shared" si="51"/>
        <v>2.7764935185578397E-4</v>
      </c>
      <c r="L228" s="45">
        <f t="shared" si="52"/>
        <v>3147.8797907913649</v>
      </c>
      <c r="M228" s="45">
        <f t="shared" si="53"/>
        <v>7506.4748293843159</v>
      </c>
      <c r="N228" s="45">
        <f t="shared" si="48"/>
        <v>21127.37462017568</v>
      </c>
      <c r="O228" s="46">
        <f t="shared" si="49"/>
        <v>845094.98480702727</v>
      </c>
      <c r="P228" s="47">
        <f t="shared" si="50"/>
        <v>27921.001750000003</v>
      </c>
      <c r="Q228" s="42">
        <v>1116840.07</v>
      </c>
      <c r="R228" s="152">
        <f t="shared" si="43"/>
        <v>0.75668397607459337</v>
      </c>
      <c r="S228" s="49"/>
      <c r="U228" s="112"/>
    </row>
    <row r="229" spans="1:21" hidden="1" outlineLevel="2" x14ac:dyDescent="0.3">
      <c r="A229" s="40" t="str">
        <f>VLOOKUP(B229,Grupos!$A$2:$B$619,2,FALSE)</f>
        <v>TABLEROS 75 AMP BIMETALICO TAPA LISA</v>
      </c>
      <c r="B229" s="41" t="s">
        <v>362</v>
      </c>
      <c r="C229" s="41" t="s">
        <v>363</v>
      </c>
      <c r="D229" s="42">
        <v>140</v>
      </c>
      <c r="E229" s="43">
        <f>VLOOKUP(B229,[1]Todos!$A$2:$B$3021,2,FALSE)</f>
        <v>9403.61</v>
      </c>
      <c r="F229" s="43">
        <f>VLOOKUP(B229,[1]Todos!$A$2:$C$3021,3,FALSE)</f>
        <v>985.89</v>
      </c>
      <c r="G229" s="126">
        <f t="shared" si="44"/>
        <v>10389.5</v>
      </c>
      <c r="H229" s="127">
        <f t="shared" si="45"/>
        <v>1316505.4000000001</v>
      </c>
      <c r="I229" s="128">
        <f t="shared" si="46"/>
        <v>138024.6</v>
      </c>
      <c r="J229" s="128">
        <f t="shared" si="47"/>
        <v>1454530</v>
      </c>
      <c r="K229" s="44">
        <f t="shared" si="51"/>
        <v>9.6402306057563484E-4</v>
      </c>
      <c r="L229" s="45">
        <f t="shared" si="52"/>
        <v>3122.7761511413973</v>
      </c>
      <c r="M229" s="45">
        <f t="shared" si="53"/>
        <v>6922.426473048261</v>
      </c>
      <c r="N229" s="45">
        <f t="shared" si="48"/>
        <v>20434.70262418966</v>
      </c>
      <c r="O229" s="46">
        <f t="shared" si="49"/>
        <v>2860858.3673865525</v>
      </c>
      <c r="P229" s="47">
        <f t="shared" si="50"/>
        <v>25099.715357142857</v>
      </c>
      <c r="Q229" s="42">
        <v>3513960.15</v>
      </c>
      <c r="R229" s="152">
        <f t="shared" si="43"/>
        <v>0.81414081129706395</v>
      </c>
      <c r="S229" s="49"/>
      <c r="U229" s="112"/>
    </row>
    <row r="230" spans="1:21" hidden="1" outlineLevel="2" x14ac:dyDescent="0.3">
      <c r="A230" s="40" t="str">
        <f>VLOOKUP(B230,Grupos!$A$2:$B$619,2,FALSE)</f>
        <v>TABLEROS 75 AMP BIMETALICO TAPA LISA</v>
      </c>
      <c r="B230" s="41" t="s">
        <v>364</v>
      </c>
      <c r="C230" s="41" t="s">
        <v>1089</v>
      </c>
      <c r="D230" s="42">
        <v>260</v>
      </c>
      <c r="E230" s="43">
        <f>VLOOKUP(B230,[1]Todos!$A$2:$B$3021,2,FALSE)</f>
        <v>9084.16</v>
      </c>
      <c r="F230" s="43">
        <f>VLOOKUP(B230,[1]Todos!$A$2:$C$3021,3,FALSE)</f>
        <v>974.85</v>
      </c>
      <c r="G230" s="126">
        <f t="shared" si="44"/>
        <v>10059.01</v>
      </c>
      <c r="H230" s="127">
        <f t="shared" si="45"/>
        <v>2361881.6000000001</v>
      </c>
      <c r="I230" s="128">
        <f t="shared" si="46"/>
        <v>253461</v>
      </c>
      <c r="J230" s="128">
        <f t="shared" si="47"/>
        <v>2615342.6</v>
      </c>
      <c r="K230" s="44">
        <f t="shared" si="51"/>
        <v>1.7333781893160254E-3</v>
      </c>
      <c r="L230" s="45">
        <f t="shared" si="52"/>
        <v>3023.4406402707377</v>
      </c>
      <c r="M230" s="45">
        <f t="shared" si="53"/>
        <v>6844.9091148617972</v>
      </c>
      <c r="N230" s="45">
        <f t="shared" si="48"/>
        <v>19927.359755132537</v>
      </c>
      <c r="O230" s="46">
        <f t="shared" si="49"/>
        <v>5181113.5363344597</v>
      </c>
      <c r="P230" s="47">
        <f t="shared" si="50"/>
        <v>27343.000346153847</v>
      </c>
      <c r="Q230" s="42">
        <v>7109180.0899999999</v>
      </c>
      <c r="R230" s="152">
        <f t="shared" si="43"/>
        <v>0.72879199439923881</v>
      </c>
      <c r="S230" s="49"/>
      <c r="U230" s="112"/>
    </row>
    <row r="231" spans="1:21" hidden="1" outlineLevel="2" x14ac:dyDescent="0.3">
      <c r="A231" s="40" t="str">
        <f>VLOOKUP(B231,Grupos!$A$2:$B$619,2,FALSE)</f>
        <v>TABLEROS 75 AMP BIMETALICO TAPA LISA</v>
      </c>
      <c r="B231" s="41" t="s">
        <v>365</v>
      </c>
      <c r="C231" s="41" t="s">
        <v>366</v>
      </c>
      <c r="D231" s="42">
        <v>1180</v>
      </c>
      <c r="E231" s="43">
        <f>VLOOKUP(B231,[1]Todos!$A$2:$B$3021,2,FALSE)</f>
        <v>9083.82</v>
      </c>
      <c r="F231" s="43">
        <f>VLOOKUP(B231,[1]Todos!$A$2:$C$3021,3,FALSE)</f>
        <v>959.53</v>
      </c>
      <c r="G231" s="126">
        <f t="shared" si="44"/>
        <v>10043.35</v>
      </c>
      <c r="H231" s="127">
        <f t="shared" si="45"/>
        <v>10718907.6</v>
      </c>
      <c r="I231" s="128">
        <f t="shared" si="46"/>
        <v>1132245.3999999999</v>
      </c>
      <c r="J231" s="128">
        <f t="shared" si="47"/>
        <v>11851153</v>
      </c>
      <c r="K231" s="44">
        <f t="shared" si="51"/>
        <v>7.8546229960262878E-3</v>
      </c>
      <c r="L231" s="45">
        <f t="shared" si="52"/>
        <v>3018.7337078363689</v>
      </c>
      <c r="M231" s="45">
        <f t="shared" si="53"/>
        <v>6737.3397373784064</v>
      </c>
      <c r="N231" s="45">
        <f t="shared" si="48"/>
        <v>19799.423445214776</v>
      </c>
      <c r="O231" s="46">
        <f t="shared" si="49"/>
        <v>23363319.665353436</v>
      </c>
      <c r="P231" s="47">
        <f t="shared" si="50"/>
        <v>26374.322762711865</v>
      </c>
      <c r="Q231" s="42">
        <v>31121700.859999999</v>
      </c>
      <c r="R231" s="152">
        <f t="shared" si="43"/>
        <v>0.75070831669684768</v>
      </c>
      <c r="S231" s="49"/>
      <c r="U231" s="112"/>
    </row>
    <row r="232" spans="1:21" hidden="1" outlineLevel="2" x14ac:dyDescent="0.3">
      <c r="A232" s="40" t="str">
        <f>VLOOKUP(B232,Grupos!$A$2:$B$619,2,FALSE)</f>
        <v>TABLEROS 75 AMP BIMETALICO TAPA LISA</v>
      </c>
      <c r="B232" s="41" t="s">
        <v>651</v>
      </c>
      <c r="C232" s="41" t="s">
        <v>652</v>
      </c>
      <c r="D232" s="42">
        <v>45</v>
      </c>
      <c r="E232" s="43">
        <f>VLOOKUP(B232,[1]Todos!$A$2:$B$3021,2,FALSE)</f>
        <v>11201.28</v>
      </c>
      <c r="F232" s="43">
        <f>VLOOKUP(B232,[1]Todos!$A$2:$C$3021,3,FALSE)</f>
        <v>887.05</v>
      </c>
      <c r="G232" s="126">
        <f t="shared" si="44"/>
        <v>12088.33</v>
      </c>
      <c r="H232" s="127">
        <f t="shared" si="45"/>
        <v>504057.60000000003</v>
      </c>
      <c r="I232" s="128">
        <f t="shared" si="46"/>
        <v>39917.25</v>
      </c>
      <c r="J232" s="128">
        <f t="shared" si="47"/>
        <v>543974.85</v>
      </c>
      <c r="K232" s="44">
        <f t="shared" si="51"/>
        <v>3.6053178674428981E-4</v>
      </c>
      <c r="L232" s="45">
        <f t="shared" si="52"/>
        <v>3633.3941605589384</v>
      </c>
      <c r="M232" s="45">
        <f t="shared" si="53"/>
        <v>6228.4214292846655</v>
      </c>
      <c r="N232" s="45">
        <f t="shared" si="48"/>
        <v>21950.145589843603</v>
      </c>
      <c r="O232" s="46">
        <f t="shared" si="49"/>
        <v>987756.5515429622</v>
      </c>
      <c r="P232" s="47">
        <f t="shared" si="50"/>
        <v>31842.001333333334</v>
      </c>
      <c r="Q232" s="42">
        <v>1432890.06</v>
      </c>
      <c r="R232" s="152">
        <f t="shared" si="43"/>
        <v>0.68934566518171125</v>
      </c>
      <c r="S232" s="49"/>
      <c r="U232" s="112"/>
    </row>
    <row r="233" spans="1:21" hidden="1" outlineLevel="2" x14ac:dyDescent="0.3">
      <c r="A233" s="40" t="str">
        <f>VLOOKUP(B233,Grupos!$A$2:$B$619,2,FALSE)</f>
        <v>TABLEROS 75 AMP BIMETALICO TAPA LISA</v>
      </c>
      <c r="B233" s="41" t="s">
        <v>367</v>
      </c>
      <c r="C233" s="41" t="s">
        <v>368</v>
      </c>
      <c r="D233" s="42">
        <v>495</v>
      </c>
      <c r="E233" s="43">
        <f>VLOOKUP(B233,[1]Todos!$A$2:$B$3021,2,FALSE)</f>
        <v>10855.39</v>
      </c>
      <c r="F233" s="43">
        <f>VLOOKUP(B233,[1]Todos!$A$2:$C$3021,3,FALSE)</f>
        <v>972.71</v>
      </c>
      <c r="G233" s="126">
        <f t="shared" si="44"/>
        <v>11828.099999999999</v>
      </c>
      <c r="H233" s="127">
        <f t="shared" si="45"/>
        <v>5373418.0499999998</v>
      </c>
      <c r="I233" s="128">
        <f t="shared" si="46"/>
        <v>481491.45</v>
      </c>
      <c r="J233" s="128">
        <f t="shared" si="47"/>
        <v>5854909.4999999991</v>
      </c>
      <c r="K233" s="44">
        <f t="shared" si="51"/>
        <v>3.8804753257638954E-3</v>
      </c>
      <c r="L233" s="45">
        <f t="shared" si="52"/>
        <v>3555.1767258593345</v>
      </c>
      <c r="M233" s="45">
        <f t="shared" si="53"/>
        <v>6829.8831052133337</v>
      </c>
      <c r="N233" s="45">
        <f t="shared" si="48"/>
        <v>22213.159831072669</v>
      </c>
      <c r="O233" s="46">
        <f t="shared" si="49"/>
        <v>10995514.116380971</v>
      </c>
      <c r="P233" s="47">
        <f t="shared" si="50"/>
        <v>35660.863373737375</v>
      </c>
      <c r="Q233" s="42">
        <v>17652127.370000001</v>
      </c>
      <c r="R233" s="152">
        <f t="shared" si="43"/>
        <v>0.62290022533306533</v>
      </c>
      <c r="S233" s="49"/>
      <c r="U233" s="112"/>
    </row>
    <row r="234" spans="1:21" s="93" customFormat="1" outlineLevel="1" collapsed="1" x14ac:dyDescent="0.3">
      <c r="A234" s="50" t="s">
        <v>1037</v>
      </c>
      <c r="B234" s="129"/>
      <c r="C234" s="129"/>
      <c r="D234" s="51">
        <f>SUBTOTAL(9,D220:D233)</f>
        <v>5854</v>
      </c>
      <c r="E234" s="52"/>
      <c r="F234" s="52"/>
      <c r="G234" s="130"/>
      <c r="H234" s="131">
        <f>SUBTOTAL(9,H220:H233)</f>
        <v>46685320.719999999</v>
      </c>
      <c r="I234" s="146">
        <f>SUBTOTAL(9,I220:I233)</f>
        <v>4703445.3999999994</v>
      </c>
      <c r="J234" s="146">
        <f>SUBTOTAL(9,J220:J233)</f>
        <v>51388766.120000005</v>
      </c>
      <c r="K234" s="53"/>
      <c r="L234" s="54"/>
      <c r="M234" s="54"/>
      <c r="N234" s="54"/>
      <c r="O234" s="55">
        <f>SUBTOTAL(9,O220:O233)</f>
        <v>99859949.114426047</v>
      </c>
      <c r="P234" s="56"/>
      <c r="Q234" s="51">
        <f>SUBTOTAL(9,Q220:Q233)</f>
        <v>137002782.72999999</v>
      </c>
      <c r="R234" s="198">
        <f>O234/Q234</f>
        <v>0.72888993292367166</v>
      </c>
      <c r="S234" s="58">
        <f>Q234/$Q$295</f>
        <v>3.5068207127235941E-2</v>
      </c>
      <c r="T234" s="158"/>
      <c r="U234" s="147"/>
    </row>
    <row r="235" spans="1:21" hidden="1" outlineLevel="2" x14ac:dyDescent="0.3">
      <c r="A235" s="40" t="str">
        <f>VLOOKUP(B235,Grupos!$A$2:$B$619,2,FALSE)</f>
        <v>TABLEROS 75 AMP BIMETALICO TAPA PLASTICA</v>
      </c>
      <c r="B235" s="41" t="s">
        <v>369</v>
      </c>
      <c r="C235" s="41" t="s">
        <v>370</v>
      </c>
      <c r="D235" s="42">
        <v>150</v>
      </c>
      <c r="E235" s="43">
        <f>VLOOKUP(B235,[1]Todos!$A$2:$B$3021,2,FALSE)</f>
        <v>7871.02</v>
      </c>
      <c r="F235" s="43">
        <f>VLOOKUP(B235,[1]Todos!$A$2:$C$3021,3,FALSE)</f>
        <v>859.56</v>
      </c>
      <c r="G235" s="126">
        <f t="shared" si="44"/>
        <v>8730.58</v>
      </c>
      <c r="H235" s="127">
        <f t="shared" si="45"/>
        <v>1180653</v>
      </c>
      <c r="I235" s="128">
        <f t="shared" si="46"/>
        <v>128933.99999999999</v>
      </c>
      <c r="J235" s="128">
        <f t="shared" si="47"/>
        <v>1309587</v>
      </c>
      <c r="K235" s="44">
        <f>J235/$J$295</f>
        <v>8.6795876869508626E-4</v>
      </c>
      <c r="L235" s="45">
        <f>$K$367*K235/D235</f>
        <v>2624.1539063123405</v>
      </c>
      <c r="M235" s="45">
        <f>F235*$M$366</f>
        <v>6035.400398800437</v>
      </c>
      <c r="N235" s="45">
        <f t="shared" si="48"/>
        <v>17390.134305112777</v>
      </c>
      <c r="O235" s="46">
        <f t="shared" si="49"/>
        <v>2608520.1457669167</v>
      </c>
      <c r="P235" s="47">
        <f t="shared" si="50"/>
        <v>21563.650466666666</v>
      </c>
      <c r="Q235" s="42">
        <v>3234547.57</v>
      </c>
      <c r="R235" s="152">
        <f t="shared" si="43"/>
        <v>0.80645595382816304</v>
      </c>
      <c r="S235" s="49"/>
      <c r="U235" s="112"/>
    </row>
    <row r="236" spans="1:21" hidden="1" outlineLevel="2" x14ac:dyDescent="0.3">
      <c r="A236" s="40" t="str">
        <f>VLOOKUP(B236,Grupos!$A$2:$B$619,2,FALSE)</f>
        <v>TABLEROS 75 AMP BIMETALICO TAPA PLASTICA</v>
      </c>
      <c r="B236" s="41" t="s">
        <v>371</v>
      </c>
      <c r="C236" s="41" t="s">
        <v>372</v>
      </c>
      <c r="D236" s="42">
        <v>120</v>
      </c>
      <c r="E236" s="43">
        <f>VLOOKUP(B236,[1]Todos!$A$2:$B$3021,2,FALSE)</f>
        <v>7540.5</v>
      </c>
      <c r="F236" s="43">
        <f>VLOOKUP(B236,[1]Todos!$A$2:$C$3021,3,FALSE)</f>
        <v>749.32</v>
      </c>
      <c r="G236" s="126">
        <f t="shared" si="44"/>
        <v>8289.82</v>
      </c>
      <c r="H236" s="127">
        <f t="shared" si="45"/>
        <v>904860</v>
      </c>
      <c r="I236" s="128">
        <f t="shared" si="46"/>
        <v>89918.400000000009</v>
      </c>
      <c r="J236" s="128">
        <f t="shared" si="47"/>
        <v>994778.39999999991</v>
      </c>
      <c r="K236" s="44">
        <f>J236/$J$295</f>
        <v>6.5931216115345365E-4</v>
      </c>
      <c r="L236" s="45">
        <f>$K$367*K236/D236</f>
        <v>2491.6744976423288</v>
      </c>
      <c r="M236" s="45">
        <f>F236*$M$366</f>
        <v>5261.3502569095162</v>
      </c>
      <c r="N236" s="45">
        <f t="shared" si="48"/>
        <v>16042.844754551845</v>
      </c>
      <c r="O236" s="46">
        <f t="shared" si="49"/>
        <v>1925141.3705462213</v>
      </c>
      <c r="P236" s="47">
        <f t="shared" si="50"/>
        <v>19854.000749999999</v>
      </c>
      <c r="Q236" s="42">
        <v>2382480.09</v>
      </c>
      <c r="R236" s="152">
        <f t="shared" si="43"/>
        <v>0.80804090604015133</v>
      </c>
      <c r="S236" s="49"/>
      <c r="U236" s="112"/>
    </row>
    <row r="237" spans="1:21" hidden="1" outlineLevel="2" x14ac:dyDescent="0.3">
      <c r="A237" s="40" t="str">
        <f>VLOOKUP(B237,Grupos!$A$2:$B$619,2,FALSE)</f>
        <v>TABLEROS 75 AMP BIMETALICO TAPA PLASTICA</v>
      </c>
      <c r="B237" s="41" t="s">
        <v>373</v>
      </c>
      <c r="C237" s="41" t="s">
        <v>374</v>
      </c>
      <c r="D237" s="42">
        <v>30</v>
      </c>
      <c r="E237" s="43">
        <f>VLOOKUP(B237,[1]Todos!$A$2:$B$3021,2,FALSE)</f>
        <v>9378.31</v>
      </c>
      <c r="F237" s="43">
        <f>VLOOKUP(B237,[1]Todos!$A$2:$C$3021,3,FALSE)</f>
        <v>917.82</v>
      </c>
      <c r="G237" s="126">
        <f t="shared" si="44"/>
        <v>10296.129999999999</v>
      </c>
      <c r="H237" s="127">
        <f t="shared" si="45"/>
        <v>281349.3</v>
      </c>
      <c r="I237" s="128">
        <f t="shared" si="46"/>
        <v>27534.600000000002</v>
      </c>
      <c r="J237" s="128">
        <f t="shared" si="47"/>
        <v>308883.89999999997</v>
      </c>
      <c r="K237" s="44">
        <f>J237/$J$295</f>
        <v>2.0471987696406283E-4</v>
      </c>
      <c r="L237" s="45">
        <f>$K$367*K237/D237</f>
        <v>3094.7118930700685</v>
      </c>
      <c r="M237" s="45">
        <f>F237*$M$366</f>
        <v>6444.4729792300914</v>
      </c>
      <c r="N237" s="45">
        <f t="shared" si="48"/>
        <v>19835.314872300158</v>
      </c>
      <c r="O237" s="46">
        <f t="shared" si="49"/>
        <v>595059.44616900478</v>
      </c>
      <c r="P237" s="47">
        <f t="shared" si="50"/>
        <v>25537.5</v>
      </c>
      <c r="Q237" s="42">
        <v>766125</v>
      </c>
      <c r="R237" s="152">
        <f t="shared" si="43"/>
        <v>0.77671325980617367</v>
      </c>
      <c r="S237" s="49"/>
      <c r="U237" s="112"/>
    </row>
    <row r="238" spans="1:21" hidden="1" outlineLevel="2" x14ac:dyDescent="0.3">
      <c r="A238" s="40" t="str">
        <f>VLOOKUP(B238,Grupos!$A$2:$B$619,2,FALSE)</f>
        <v>TABLEROS 75 AMP BIMETALICO TAPA PLASTICA</v>
      </c>
      <c r="B238" s="41" t="s">
        <v>375</v>
      </c>
      <c r="C238" s="41" t="s">
        <v>376</v>
      </c>
      <c r="D238" s="42">
        <v>858</v>
      </c>
      <c r="E238" s="43">
        <f>VLOOKUP(B238,[1]Todos!$A$2:$B$3021,2,FALSE)</f>
        <v>9062.74</v>
      </c>
      <c r="F238" s="43">
        <f>VLOOKUP(B238,[1]Todos!$A$2:$C$3021,3,FALSE)</f>
        <v>875.23</v>
      </c>
      <c r="G238" s="126">
        <f t="shared" si="44"/>
        <v>9937.9699999999993</v>
      </c>
      <c r="H238" s="127">
        <f t="shared" si="45"/>
        <v>7775830.9199999999</v>
      </c>
      <c r="I238" s="128">
        <f t="shared" si="46"/>
        <v>750947.34</v>
      </c>
      <c r="J238" s="128">
        <f t="shared" si="47"/>
        <v>8526778.2599999998</v>
      </c>
      <c r="K238" s="44">
        <f>J238/$J$295</f>
        <v>5.6513175218489723E-3</v>
      </c>
      <c r="L238" s="45">
        <f>$K$367*K238/D238</f>
        <v>2987.0595992837648</v>
      </c>
      <c r="M238" s="45">
        <f>F238*$M$366</f>
        <v>6145.4273012263329</v>
      </c>
      <c r="N238" s="45">
        <f t="shared" si="48"/>
        <v>19070.456900510097</v>
      </c>
      <c r="O238" s="46">
        <f t="shared" si="49"/>
        <v>16362452.020637663</v>
      </c>
      <c r="P238" s="47">
        <f t="shared" si="50"/>
        <v>26847.115780885782</v>
      </c>
      <c r="Q238" s="42">
        <v>23034825.34</v>
      </c>
      <c r="R238" s="152">
        <f t="shared" si="43"/>
        <v>0.71033540646059279</v>
      </c>
      <c r="S238" s="49"/>
      <c r="U238" s="112"/>
    </row>
    <row r="239" spans="1:21" s="93" customFormat="1" outlineLevel="1" collapsed="1" x14ac:dyDescent="0.3">
      <c r="A239" s="50" t="s">
        <v>1038</v>
      </c>
      <c r="B239" s="129"/>
      <c r="C239" s="129"/>
      <c r="D239" s="51">
        <f>SUBTOTAL(9,D235:D238)</f>
        <v>1158</v>
      </c>
      <c r="E239" s="52"/>
      <c r="F239" s="52"/>
      <c r="G239" s="130"/>
      <c r="H239" s="131">
        <f>SUBTOTAL(9,H235:H238)</f>
        <v>10142693.219999999</v>
      </c>
      <c r="I239" s="146">
        <f>SUBTOTAL(9,I235:I238)</f>
        <v>997334.34</v>
      </c>
      <c r="J239" s="146">
        <f>SUBTOTAL(9,J235:J238)</f>
        <v>11140027.559999999</v>
      </c>
      <c r="K239" s="53"/>
      <c r="L239" s="54"/>
      <c r="M239" s="54"/>
      <c r="N239" s="54"/>
      <c r="O239" s="55">
        <f>SUBTOTAL(9,O235:O238)</f>
        <v>21491172.983119804</v>
      </c>
      <c r="P239" s="56"/>
      <c r="Q239" s="51">
        <f>SUBTOTAL(9,Q235:Q238)</f>
        <v>29417978</v>
      </c>
      <c r="R239" s="198">
        <f>O239/Q239</f>
        <v>0.7305455522170764</v>
      </c>
      <c r="S239" s="58">
        <f>Q239/$Q$295</f>
        <v>7.5300349760163603E-3</v>
      </c>
      <c r="T239" s="158"/>
      <c r="U239" s="147"/>
    </row>
    <row r="240" spans="1:21" hidden="1" outlineLevel="2" x14ac:dyDescent="0.3">
      <c r="A240" s="40" t="str">
        <f>VLOOKUP(B240,Grupos!$A$2:$B$619,2,FALSE)</f>
        <v>TABLEROS 75 AMP COBRE CON PUERTA</v>
      </c>
      <c r="B240" s="41" t="s">
        <v>378</v>
      </c>
      <c r="C240" s="41" t="s">
        <v>379</v>
      </c>
      <c r="D240" s="42">
        <v>691</v>
      </c>
      <c r="E240" s="43">
        <f>VLOOKUP(B240,[1]Todos!$A$2:$B$3021,2,FALSE)</f>
        <v>10980.11</v>
      </c>
      <c r="F240" s="43">
        <f>VLOOKUP(B240,[1]Todos!$A$2:$C$3021,3,FALSE)</f>
        <v>1067.55</v>
      </c>
      <c r="G240" s="126">
        <f t="shared" si="44"/>
        <v>12047.66</v>
      </c>
      <c r="H240" s="127">
        <f t="shared" si="45"/>
        <v>7587256.0100000007</v>
      </c>
      <c r="I240" s="128">
        <f t="shared" si="46"/>
        <v>737677.04999999993</v>
      </c>
      <c r="J240" s="128">
        <f t="shared" si="47"/>
        <v>8324933.0599999996</v>
      </c>
      <c r="K240" s="44">
        <f>J240/$J$295</f>
        <v>5.5175399940795202E-3</v>
      </c>
      <c r="L240" s="45">
        <f>$K$367*K240/D240</f>
        <v>3621.1699624678927</v>
      </c>
      <c r="M240" s="45">
        <f>F240*$M$366</f>
        <v>7495.8021496340061</v>
      </c>
      <c r="N240" s="45">
        <f t="shared" si="48"/>
        <v>23164.632112101899</v>
      </c>
      <c r="O240" s="46">
        <f t="shared" si="49"/>
        <v>16006760.789462412</v>
      </c>
      <c r="P240" s="47">
        <f t="shared" si="50"/>
        <v>33583.336903039075</v>
      </c>
      <c r="Q240" s="42">
        <v>23206085.800000001</v>
      </c>
      <c r="R240" s="152">
        <f t="shared" si="43"/>
        <v>0.68976564714168265</v>
      </c>
      <c r="S240" s="49"/>
      <c r="U240" s="112"/>
    </row>
    <row r="241" spans="1:21" hidden="1" outlineLevel="2" x14ac:dyDescent="0.3">
      <c r="A241" s="40" t="str">
        <f>VLOOKUP(B241,Grupos!$A$2:$B$619,2,FALSE)</f>
        <v>TABLEROS 75 AMP COBRE CON PUERTA</v>
      </c>
      <c r="B241" s="41" t="s">
        <v>382</v>
      </c>
      <c r="C241" s="41" t="s">
        <v>383</v>
      </c>
      <c r="D241" s="42">
        <v>32</v>
      </c>
      <c r="E241" s="43">
        <f>VLOOKUP(B241,[1]Todos!$A$2:$B$3021,2,FALSE)</f>
        <v>13616.87</v>
      </c>
      <c r="F241" s="43">
        <f>VLOOKUP(B241,[1]Todos!$A$2:$C$3021,3,FALSE)</f>
        <v>1289.9000000000001</v>
      </c>
      <c r="G241" s="126">
        <f t="shared" si="44"/>
        <v>14906.77</v>
      </c>
      <c r="H241" s="127">
        <f t="shared" si="45"/>
        <v>435739.84</v>
      </c>
      <c r="I241" s="128">
        <f t="shared" si="46"/>
        <v>41276.800000000003</v>
      </c>
      <c r="J241" s="128">
        <f t="shared" si="47"/>
        <v>477016.64</v>
      </c>
      <c r="K241" s="44">
        <f>J241/$J$295</f>
        <v>3.161536999843976E-4</v>
      </c>
      <c r="L241" s="45">
        <f>$K$367*K241/D241</f>
        <v>4480.5337934019981</v>
      </c>
      <c r="M241" s="45">
        <f>F241*$M$366</f>
        <v>9057.0326381086652</v>
      </c>
      <c r="N241" s="45">
        <f t="shared" si="48"/>
        <v>28444.336431510666</v>
      </c>
      <c r="O241" s="46">
        <f t="shared" si="49"/>
        <v>910218.76580834133</v>
      </c>
      <c r="P241" s="47">
        <f t="shared" si="50"/>
        <v>42061.498437499999</v>
      </c>
      <c r="Q241" s="42">
        <v>1345967.95</v>
      </c>
      <c r="R241" s="152">
        <f t="shared" si="43"/>
        <v>0.67625589881864667</v>
      </c>
      <c r="S241" s="49"/>
      <c r="U241" s="112"/>
    </row>
    <row r="242" spans="1:21" hidden="1" outlineLevel="2" x14ac:dyDescent="0.3">
      <c r="A242" s="40" t="str">
        <f>VLOOKUP(B242,Grupos!$A$2:$B$619,2,FALSE)</f>
        <v>TABLEROS 75 AMP COBRE CON PUERTA</v>
      </c>
      <c r="B242" s="41" t="s">
        <v>384</v>
      </c>
      <c r="C242" s="41" t="s">
        <v>385</v>
      </c>
      <c r="D242" s="42">
        <v>16</v>
      </c>
      <c r="E242" s="43">
        <f>VLOOKUP(B242,[1]Todos!$A$2:$B$3021,2,FALSE)</f>
        <v>13603.85</v>
      </c>
      <c r="F242" s="43">
        <f>VLOOKUP(B242,[1]Todos!$A$2:$C$3021,3,FALSE)</f>
        <v>1291.69</v>
      </c>
      <c r="G242" s="126">
        <f t="shared" si="44"/>
        <v>14895.54</v>
      </c>
      <c r="H242" s="127">
        <f t="shared" si="45"/>
        <v>217661.6</v>
      </c>
      <c r="I242" s="128">
        <f t="shared" si="46"/>
        <v>20667.04</v>
      </c>
      <c r="J242" s="128">
        <f t="shared" si="47"/>
        <v>238328.64</v>
      </c>
      <c r="K242" s="44">
        <f>J242/$J$295</f>
        <v>1.5795776295822616E-4</v>
      </c>
      <c r="L242" s="45">
        <f>$K$367*K242/D242</f>
        <v>4477.1583878312467</v>
      </c>
      <c r="M242" s="45">
        <f>F242*$M$366</f>
        <v>9069.6011228146217</v>
      </c>
      <c r="N242" s="45">
        <f t="shared" si="48"/>
        <v>28442.299510645869</v>
      </c>
      <c r="O242" s="46">
        <f t="shared" si="49"/>
        <v>455076.79217033391</v>
      </c>
      <c r="P242" s="47">
        <f t="shared" si="50"/>
        <v>39239.997499999998</v>
      </c>
      <c r="Q242" s="42">
        <v>627839.96</v>
      </c>
      <c r="R242" s="152">
        <f t="shared" si="43"/>
        <v>0.72482928956980364</v>
      </c>
      <c r="S242" s="49"/>
      <c r="U242" s="112"/>
    </row>
    <row r="243" spans="1:21" hidden="1" outlineLevel="2" x14ac:dyDescent="0.3">
      <c r="A243" s="40" t="str">
        <f>VLOOKUP(B243,Grupos!$A$2:$B$619,2,FALSE)</f>
        <v>TABLEROS 75 AMP COBRE CON PUERTA</v>
      </c>
      <c r="B243" s="41" t="s">
        <v>386</v>
      </c>
      <c r="C243" s="41" t="s">
        <v>387</v>
      </c>
      <c r="D243" s="42">
        <v>452</v>
      </c>
      <c r="E243" s="43">
        <f>VLOOKUP(B243,[1]Todos!$A$2:$B$3021,2,FALSE)</f>
        <v>13794.44</v>
      </c>
      <c r="F243" s="43">
        <f>VLOOKUP(B243,[1]Todos!$A$2:$C$3021,3,FALSE)</f>
        <v>1354.08</v>
      </c>
      <c r="G243" s="126">
        <f t="shared" si="44"/>
        <v>15148.52</v>
      </c>
      <c r="H243" s="127">
        <f t="shared" si="45"/>
        <v>6235086.8799999999</v>
      </c>
      <c r="I243" s="128">
        <f t="shared" si="46"/>
        <v>612044.15999999992</v>
      </c>
      <c r="J243" s="128">
        <f t="shared" si="47"/>
        <v>6847131.04</v>
      </c>
      <c r="K243" s="44">
        <f>J243/$J$295</f>
        <v>4.5380928694102075E-3</v>
      </c>
      <c r="L243" s="45">
        <f>$K$367*K243/D243</f>
        <v>4553.1966871445675</v>
      </c>
      <c r="M243" s="45">
        <f>F243*$M$366</f>
        <v>9507.6724975658417</v>
      </c>
      <c r="N243" s="45">
        <f t="shared" si="48"/>
        <v>29209.38918471041</v>
      </c>
      <c r="O243" s="46">
        <f t="shared" si="49"/>
        <v>13202643.911489105</v>
      </c>
      <c r="P243" s="47">
        <f t="shared" si="50"/>
        <v>42431.734579646021</v>
      </c>
      <c r="Q243" s="42">
        <v>19179144.030000001</v>
      </c>
      <c r="R243" s="152">
        <f t="shared" ref="R243:R360" si="54">O243/Q243</f>
        <v>0.68838546135518563</v>
      </c>
      <c r="S243" s="49"/>
      <c r="U243" s="112"/>
    </row>
    <row r="244" spans="1:21" hidden="1" outlineLevel="2" x14ac:dyDescent="0.3">
      <c r="A244" s="40" t="str">
        <f>VLOOKUP(B244,Grupos!$A$2:$B$619,2,FALSE)</f>
        <v>TABLEROS 75 AMP COBRE CON PUERTA</v>
      </c>
      <c r="B244" s="41" t="s">
        <v>388</v>
      </c>
      <c r="C244" s="41" t="s">
        <v>1090</v>
      </c>
      <c r="D244" s="42">
        <v>96</v>
      </c>
      <c r="E244" s="43">
        <f>VLOOKUP(B244,[1]Todos!$A$2:$B$3021,2,FALSE)</f>
        <v>13781.43</v>
      </c>
      <c r="F244" s="43">
        <f>VLOOKUP(B244,[1]Todos!$A$2:$C$3021,3,FALSE)</f>
        <v>1373.63</v>
      </c>
      <c r="G244" s="126">
        <f t="shared" si="44"/>
        <v>15155.060000000001</v>
      </c>
      <c r="H244" s="127">
        <f t="shared" si="45"/>
        <v>1323017.28</v>
      </c>
      <c r="I244" s="128">
        <f t="shared" si="46"/>
        <v>131868.48000000001</v>
      </c>
      <c r="J244" s="128">
        <f t="shared" si="47"/>
        <v>1454885.7600000002</v>
      </c>
      <c r="K244" s="44">
        <f>J244/$J$295</f>
        <v>9.6425884866115433E-4</v>
      </c>
      <c r="L244" s="45">
        <f>$K$367*K244/D244</f>
        <v>4555.1624175481938</v>
      </c>
      <c r="M244" s="45">
        <f>F244*$M$366</f>
        <v>9644.9428193543736</v>
      </c>
      <c r="N244" s="45">
        <f t="shared" si="48"/>
        <v>29355.165236902569</v>
      </c>
      <c r="O244" s="46">
        <f t="shared" si="49"/>
        <v>2818095.8627426466</v>
      </c>
      <c r="P244" s="47">
        <f t="shared" si="50"/>
        <v>41528.999374999999</v>
      </c>
      <c r="Q244" s="42">
        <v>3986783.94</v>
      </c>
      <c r="R244" s="152">
        <f t="shared" si="54"/>
        <v>0.70685943987790989</v>
      </c>
      <c r="S244" s="49"/>
      <c r="U244" s="112"/>
    </row>
    <row r="245" spans="1:21" s="93" customFormat="1" outlineLevel="1" collapsed="1" x14ac:dyDescent="0.3">
      <c r="A245" s="50" t="s">
        <v>1039</v>
      </c>
      <c r="B245" s="129"/>
      <c r="C245" s="129"/>
      <c r="D245" s="51">
        <f>SUBTOTAL(9,D240:D244)</f>
        <v>1287</v>
      </c>
      <c r="E245" s="52"/>
      <c r="F245" s="52"/>
      <c r="G245" s="130"/>
      <c r="H245" s="131">
        <f>SUBTOTAL(9,H240:H244)</f>
        <v>15798761.609999999</v>
      </c>
      <c r="I245" s="146">
        <f>SUBTOTAL(9,I240:I244)</f>
        <v>1543533.5299999998</v>
      </c>
      <c r="J245" s="146">
        <f>SUBTOTAL(9,J240:J244)</f>
        <v>17342295.140000001</v>
      </c>
      <c r="K245" s="53"/>
      <c r="L245" s="54"/>
      <c r="M245" s="54"/>
      <c r="N245" s="54"/>
      <c r="O245" s="55">
        <f>SUBTOTAL(9,O240:O244)</f>
        <v>33392796.121672839</v>
      </c>
      <c r="P245" s="56"/>
      <c r="Q245" s="51">
        <f>SUBTOTAL(9,Q240:Q244)</f>
        <v>48345821.68</v>
      </c>
      <c r="R245" s="198">
        <f>O245/Q245</f>
        <v>0.69070697241840406</v>
      </c>
      <c r="S245" s="58">
        <f>Q245/$Q$295</f>
        <v>1.2374940527681748E-2</v>
      </c>
      <c r="T245" s="158"/>
      <c r="U245" s="147"/>
    </row>
    <row r="246" spans="1:21" outlineLevel="2" x14ac:dyDescent="0.3">
      <c r="A246" s="40" t="str">
        <f>VLOOKUP(B246,Grupos!$A$2:$B$619,2,FALSE)</f>
        <v>TABLEROS 75 AMP COBRE TAPA LISA</v>
      </c>
      <c r="B246" s="41" t="s">
        <v>389</v>
      </c>
      <c r="C246" s="41" t="s">
        <v>390</v>
      </c>
      <c r="D246" s="42">
        <v>1440</v>
      </c>
      <c r="E246" s="43">
        <f>VLOOKUP(B246,[1]Todos!$A$2:$B$3021,2,FALSE)</f>
        <v>7156.82</v>
      </c>
      <c r="F246" s="43">
        <f>VLOOKUP(B246,[1]Todos!$A$2:$C$3021,3,FALSE)</f>
        <v>440.07</v>
      </c>
      <c r="G246" s="126">
        <f t="shared" si="44"/>
        <v>7596.8899999999994</v>
      </c>
      <c r="H246" s="127">
        <f t="shared" si="45"/>
        <v>10305820.799999999</v>
      </c>
      <c r="I246" s="128">
        <f t="shared" si="46"/>
        <v>633700.80000000005</v>
      </c>
      <c r="J246" s="128">
        <f t="shared" si="47"/>
        <v>10939521.6</v>
      </c>
      <c r="K246" s="44">
        <f t="shared" ref="K246:K262" si="55">J246/$J$295</f>
        <v>7.2504184128655063E-3</v>
      </c>
      <c r="L246" s="45">
        <f t="shared" ref="L246:L262" si="56">$K$367*K246/D246</f>
        <v>2283.4002516814639</v>
      </c>
      <c r="M246" s="45">
        <f t="shared" ref="M246:M262" si="57">F246*$M$366</f>
        <v>3089.9514327098846</v>
      </c>
      <c r="N246" s="45">
        <f t="shared" si="48"/>
        <v>12970.241684391347</v>
      </c>
      <c r="O246" s="46">
        <f t="shared" si="49"/>
        <v>18677148.02552354</v>
      </c>
      <c r="P246" s="47">
        <f t="shared" si="50"/>
        <v>18583.832965277776</v>
      </c>
      <c r="Q246" s="42">
        <v>26760719.469999999</v>
      </c>
      <c r="R246" s="152">
        <f t="shared" si="54"/>
        <v>0.69793146056710043</v>
      </c>
      <c r="S246" s="49"/>
      <c r="U246" s="112"/>
    </row>
    <row r="247" spans="1:21" outlineLevel="2" x14ac:dyDescent="0.3">
      <c r="A247" s="40" t="str">
        <f>VLOOKUP(B247,Grupos!$A$2:$B$619,2,FALSE)</f>
        <v>TABLEROS 75 AMP COBRE TAPA LISA</v>
      </c>
      <c r="B247" s="41" t="s">
        <v>391</v>
      </c>
      <c r="C247" s="41" t="s">
        <v>392</v>
      </c>
      <c r="D247" s="42">
        <v>864</v>
      </c>
      <c r="E247" s="43">
        <f>VLOOKUP(B247,[1]Todos!$A$2:$B$3021,2,FALSE)</f>
        <v>7184.37</v>
      </c>
      <c r="F247" s="43">
        <f>VLOOKUP(B247,[1]Todos!$A$2:$C$3021,3,FALSE)</f>
        <v>420.86</v>
      </c>
      <c r="G247" s="126">
        <f t="shared" si="44"/>
        <v>7605.23</v>
      </c>
      <c r="H247" s="127">
        <f t="shared" si="45"/>
        <v>6207295.6799999997</v>
      </c>
      <c r="I247" s="128">
        <f t="shared" si="46"/>
        <v>363623.04000000004</v>
      </c>
      <c r="J247" s="128">
        <f t="shared" si="47"/>
        <v>6570918.7199999997</v>
      </c>
      <c r="K247" s="44">
        <f t="shared" si="55"/>
        <v>4.3550268301431614E-3</v>
      </c>
      <c r="L247" s="45">
        <f t="shared" si="56"/>
        <v>2285.9070088016833</v>
      </c>
      <c r="M247" s="45">
        <f t="shared" si="57"/>
        <v>2955.0684208655034</v>
      </c>
      <c r="N247" s="45">
        <f t="shared" si="48"/>
        <v>12846.205429667187</v>
      </c>
      <c r="O247" s="46">
        <f t="shared" si="49"/>
        <v>11099121.491232449</v>
      </c>
      <c r="P247" s="47">
        <f t="shared" si="50"/>
        <v>18092.250543981481</v>
      </c>
      <c r="Q247" s="42">
        <v>15631704.470000001</v>
      </c>
      <c r="R247" s="152">
        <f t="shared" si="54"/>
        <v>0.71003910754157495</v>
      </c>
      <c r="S247" s="49"/>
      <c r="U247" s="112"/>
    </row>
    <row r="248" spans="1:21" outlineLevel="2" x14ac:dyDescent="0.3">
      <c r="A248" s="40" t="str">
        <f>VLOOKUP(B248,Grupos!$A$2:$B$619,2,FALSE)</f>
        <v>TABLEROS 75 AMP COBRE TAPA LISA</v>
      </c>
      <c r="B248" s="41" t="s">
        <v>393</v>
      </c>
      <c r="C248" s="41" t="s">
        <v>1087</v>
      </c>
      <c r="D248" s="42">
        <v>360</v>
      </c>
      <c r="E248" s="43">
        <f>VLOOKUP(B248,[1]Todos!$A$2:$B$3021,2,FALSE)</f>
        <v>6870.72</v>
      </c>
      <c r="F248" s="43">
        <f>VLOOKUP(B248,[1]Todos!$A$2:$C$3021,3,FALSE)</f>
        <v>537.73</v>
      </c>
      <c r="G248" s="126">
        <f t="shared" si="44"/>
        <v>7408.4500000000007</v>
      </c>
      <c r="H248" s="127">
        <f t="shared" si="45"/>
        <v>2473459.2000000002</v>
      </c>
      <c r="I248" s="128">
        <f t="shared" si="46"/>
        <v>193582.80000000002</v>
      </c>
      <c r="J248" s="128">
        <f t="shared" si="47"/>
        <v>2667042.0000000005</v>
      </c>
      <c r="K248" s="44">
        <f t="shared" si="55"/>
        <v>1.7676431503810598E-3</v>
      </c>
      <c r="L248" s="45">
        <f t="shared" si="56"/>
        <v>2226.7607658620236</v>
      </c>
      <c r="M248" s="45">
        <f t="shared" si="57"/>
        <v>3775.671106667317</v>
      </c>
      <c r="N248" s="45">
        <f t="shared" si="48"/>
        <v>13410.881872529342</v>
      </c>
      <c r="O248" s="46">
        <f t="shared" si="49"/>
        <v>4827917.4741105633</v>
      </c>
      <c r="P248" s="47">
        <f t="shared" si="50"/>
        <v>18552.598999999998</v>
      </c>
      <c r="Q248" s="42">
        <v>6678935.6399999997</v>
      </c>
      <c r="R248" s="152">
        <f t="shared" si="54"/>
        <v>0.72285731355102012</v>
      </c>
      <c r="S248" s="49"/>
      <c r="U248" s="112"/>
    </row>
    <row r="249" spans="1:21" outlineLevel="2" x14ac:dyDescent="0.3">
      <c r="A249" s="40" t="str">
        <f>VLOOKUP(B249,Grupos!$A$2:$B$619,2,FALSE)</f>
        <v>TABLEROS 75 AMP COBRE TAPA LISA</v>
      </c>
      <c r="B249" s="41" t="s">
        <v>394</v>
      </c>
      <c r="C249" s="41" t="s">
        <v>395</v>
      </c>
      <c r="D249" s="42">
        <v>240</v>
      </c>
      <c r="E249" s="43">
        <f>VLOOKUP(B249,[1]Todos!$A$2:$B$3021,2,FALSE)</f>
        <v>7209.97</v>
      </c>
      <c r="F249" s="43">
        <f>VLOOKUP(B249,[1]Todos!$A$2:$C$3021,3,FALSE)</f>
        <v>493.13</v>
      </c>
      <c r="G249" s="126">
        <f t="shared" si="44"/>
        <v>7703.1</v>
      </c>
      <c r="H249" s="127">
        <f t="shared" si="45"/>
        <v>1730392.8</v>
      </c>
      <c r="I249" s="128">
        <f t="shared" si="46"/>
        <v>118351.2</v>
      </c>
      <c r="J249" s="128">
        <f t="shared" si="47"/>
        <v>1848744</v>
      </c>
      <c r="K249" s="44">
        <f t="shared" si="55"/>
        <v>1.2252974150418633E-3</v>
      </c>
      <c r="L249" s="45">
        <f t="shared" si="56"/>
        <v>2315.3238336644981</v>
      </c>
      <c r="M249" s="45">
        <f t="shared" si="57"/>
        <v>3462.5122139937403</v>
      </c>
      <c r="N249" s="45">
        <f t="shared" si="48"/>
        <v>13480.936047658241</v>
      </c>
      <c r="O249" s="46">
        <f t="shared" si="49"/>
        <v>3235424.6514379778</v>
      </c>
      <c r="P249" s="47">
        <f t="shared" si="50"/>
        <v>17909.099083333334</v>
      </c>
      <c r="Q249" s="42">
        <v>4298183.78</v>
      </c>
      <c r="R249" s="152">
        <f t="shared" si="54"/>
        <v>0.75274227837646757</v>
      </c>
      <c r="S249" s="49"/>
      <c r="U249" s="112"/>
    </row>
    <row r="250" spans="1:21" outlineLevel="2" x14ac:dyDescent="0.3">
      <c r="A250" s="40" t="str">
        <f>VLOOKUP(B250,Grupos!$A$2:$B$619,2,FALSE)</f>
        <v>TABLEROS 75 AMP COBRE TAPA LISA</v>
      </c>
      <c r="B250" s="41" t="s">
        <v>396</v>
      </c>
      <c r="C250" s="41" t="s">
        <v>397</v>
      </c>
      <c r="D250" s="42">
        <v>40</v>
      </c>
      <c r="E250" s="43">
        <f>VLOOKUP(B250,[1]Todos!$A$2:$B$3021,2,FALSE)</f>
        <v>10195.9</v>
      </c>
      <c r="F250" s="43">
        <f>VLOOKUP(B250,[1]Todos!$A$2:$C$3021,3,FALSE)</f>
        <v>709.86</v>
      </c>
      <c r="G250" s="126">
        <f t="shared" si="44"/>
        <v>10905.76</v>
      </c>
      <c r="H250" s="127">
        <f t="shared" si="45"/>
        <v>407836</v>
      </c>
      <c r="I250" s="128">
        <f t="shared" si="46"/>
        <v>28394.400000000001</v>
      </c>
      <c r="J250" s="128">
        <f t="shared" si="47"/>
        <v>436230.40000000002</v>
      </c>
      <c r="K250" s="44">
        <f t="shared" si="55"/>
        <v>2.89121685578251E-4</v>
      </c>
      <c r="L250" s="45">
        <f t="shared" si="56"/>
        <v>3277.9486248685512</v>
      </c>
      <c r="M250" s="45">
        <f t="shared" si="57"/>
        <v>4984.2818733915938</v>
      </c>
      <c r="N250" s="45">
        <f t="shared" si="48"/>
        <v>19167.990498260144</v>
      </c>
      <c r="O250" s="46">
        <f t="shared" si="49"/>
        <v>766719.61993040575</v>
      </c>
      <c r="P250" s="47">
        <f t="shared" si="50"/>
        <v>24233.999250000001</v>
      </c>
      <c r="Q250" s="42">
        <v>969359.97</v>
      </c>
      <c r="R250" s="152">
        <f t="shared" si="54"/>
        <v>0.7909544892083854</v>
      </c>
      <c r="S250" s="49"/>
      <c r="U250" s="112"/>
    </row>
    <row r="251" spans="1:21" outlineLevel="2" x14ac:dyDescent="0.3">
      <c r="A251" s="40" t="str">
        <f>VLOOKUP(B251,Grupos!$A$2:$B$619,2,FALSE)</f>
        <v>TABLEROS 75 AMP COBRE TAPA LISA</v>
      </c>
      <c r="B251" s="41" t="s">
        <v>398</v>
      </c>
      <c r="C251" s="41" t="s">
        <v>399</v>
      </c>
      <c r="D251" s="42">
        <v>160</v>
      </c>
      <c r="E251" s="43">
        <f>VLOOKUP(B251,[1]Todos!$A$2:$B$3021,2,FALSE)</f>
        <v>9253.9599999999991</v>
      </c>
      <c r="F251" s="43">
        <f>VLOOKUP(B251,[1]Todos!$A$2:$C$3021,3,FALSE)</f>
        <v>1009.13</v>
      </c>
      <c r="G251" s="126">
        <f t="shared" si="44"/>
        <v>10263.089999999998</v>
      </c>
      <c r="H251" s="127">
        <f t="shared" si="45"/>
        <v>1480633.5999999999</v>
      </c>
      <c r="I251" s="128">
        <f t="shared" si="46"/>
        <v>161460.79999999999</v>
      </c>
      <c r="J251" s="128">
        <f t="shared" si="47"/>
        <v>1642094.3999999997</v>
      </c>
      <c r="K251" s="44">
        <f t="shared" si="55"/>
        <v>1.0883356611703508E-3</v>
      </c>
      <c r="L251" s="45">
        <f t="shared" si="56"/>
        <v>3084.7810471165849</v>
      </c>
      <c r="M251" s="45">
        <f t="shared" si="57"/>
        <v>7085.6061292306358</v>
      </c>
      <c r="N251" s="45">
        <f t="shared" si="48"/>
        <v>20433.47717634722</v>
      </c>
      <c r="O251" s="46">
        <f t="shared" si="49"/>
        <v>3269356.3482155553</v>
      </c>
      <c r="P251" s="47">
        <f t="shared" si="50"/>
        <v>22502.999124999998</v>
      </c>
      <c r="Q251" s="42">
        <v>3600479.86</v>
      </c>
      <c r="R251" s="152">
        <f t="shared" si="54"/>
        <v>0.90803350534935512</v>
      </c>
      <c r="S251" s="49"/>
      <c r="U251" s="112"/>
    </row>
    <row r="252" spans="1:21" outlineLevel="2" x14ac:dyDescent="0.3">
      <c r="A252" s="40" t="str">
        <f>VLOOKUP(B252,Grupos!$A$2:$B$619,2,FALSE)</f>
        <v>TABLEROS 75 AMP COBRE TAPA LISA</v>
      </c>
      <c r="B252" s="41" t="s">
        <v>400</v>
      </c>
      <c r="C252" s="41" t="s">
        <v>401</v>
      </c>
      <c r="D252" s="42">
        <v>260</v>
      </c>
      <c r="E252" s="43">
        <f>VLOOKUP(B252,[1]Todos!$A$2:$B$3021,2,FALSE)</f>
        <v>9151.7999999999993</v>
      </c>
      <c r="F252" s="43">
        <f>VLOOKUP(B252,[1]Todos!$A$2:$C$3021,3,FALSE)</f>
        <v>808.54</v>
      </c>
      <c r="G252" s="126">
        <f t="shared" si="44"/>
        <v>9960.34</v>
      </c>
      <c r="H252" s="127">
        <f t="shared" si="45"/>
        <v>2379468</v>
      </c>
      <c r="I252" s="128">
        <f t="shared" si="46"/>
        <v>210220.4</v>
      </c>
      <c r="J252" s="128">
        <f t="shared" si="47"/>
        <v>2589688.4</v>
      </c>
      <c r="K252" s="44">
        <f t="shared" si="55"/>
        <v>1.7163752808846972E-3</v>
      </c>
      <c r="L252" s="45">
        <f t="shared" si="56"/>
        <v>2993.783359089437</v>
      </c>
      <c r="M252" s="45">
        <f t="shared" si="57"/>
        <v>5677.1634771814706</v>
      </c>
      <c r="N252" s="45">
        <f t="shared" si="48"/>
        <v>18631.286836270909</v>
      </c>
      <c r="O252" s="46">
        <f t="shared" si="49"/>
        <v>4844134.5774304364</v>
      </c>
      <c r="P252" s="47">
        <f t="shared" si="50"/>
        <v>20778.922769230769</v>
      </c>
      <c r="Q252" s="42">
        <v>5402519.9199999999</v>
      </c>
      <c r="R252" s="152">
        <f t="shared" si="54"/>
        <v>0.8966435384157615</v>
      </c>
      <c r="S252" s="49"/>
      <c r="U252" s="112"/>
    </row>
    <row r="253" spans="1:21" outlineLevel="2" x14ac:dyDescent="0.3">
      <c r="A253" s="40" t="str">
        <f>VLOOKUP(B253,Grupos!$A$2:$B$619,2,FALSE)</f>
        <v>TABLEROS 75 AMP COBRE TAPA LISA</v>
      </c>
      <c r="B253" s="41" t="s">
        <v>404</v>
      </c>
      <c r="C253" s="41" t="s">
        <v>405</v>
      </c>
      <c r="D253" s="42">
        <v>460</v>
      </c>
      <c r="E253" s="43">
        <f>VLOOKUP(B253,[1]Todos!$A$2:$B$3021,2,FALSE)</f>
        <v>10081.67</v>
      </c>
      <c r="F253" s="43">
        <f>VLOOKUP(B253,[1]Todos!$A$2:$C$3021,3,FALSE)</f>
        <v>944.2</v>
      </c>
      <c r="G253" s="126">
        <f t="shared" si="44"/>
        <v>11025.87</v>
      </c>
      <c r="H253" s="127">
        <f t="shared" si="45"/>
        <v>4637568.2</v>
      </c>
      <c r="I253" s="128">
        <f t="shared" si="46"/>
        <v>434332</v>
      </c>
      <c r="J253" s="128">
        <f t="shared" si="47"/>
        <v>5071900.2</v>
      </c>
      <c r="K253" s="44">
        <f t="shared" si="55"/>
        <v>3.3615179843235784E-3</v>
      </c>
      <c r="L253" s="45">
        <f t="shared" si="56"/>
        <v>3314.0501353852837</v>
      </c>
      <c r="M253" s="45">
        <f t="shared" si="57"/>
        <v>6629.7001448966603</v>
      </c>
      <c r="N253" s="45">
        <f t="shared" si="48"/>
        <v>20969.620280281946</v>
      </c>
      <c r="O253" s="46">
        <f t="shared" si="49"/>
        <v>9646025.3289296944</v>
      </c>
      <c r="P253" s="47">
        <f t="shared" si="50"/>
        <v>24121.694913043477</v>
      </c>
      <c r="Q253" s="42">
        <v>11095979.66</v>
      </c>
      <c r="R253" s="152">
        <f t="shared" si="54"/>
        <v>0.86932615456233575</v>
      </c>
      <c r="S253" s="49"/>
      <c r="U253" s="112"/>
    </row>
    <row r="254" spans="1:21" outlineLevel="2" x14ac:dyDescent="0.3">
      <c r="A254" s="40" t="str">
        <f>VLOOKUP(B254,Grupos!$A$2:$B$619,2,FALSE)</f>
        <v>TABLEROS 75 AMP COBRE TAPA LISA</v>
      </c>
      <c r="B254" s="41" t="s">
        <v>406</v>
      </c>
      <c r="C254" s="41" t="s">
        <v>407</v>
      </c>
      <c r="D254" s="42">
        <v>80</v>
      </c>
      <c r="E254" s="43">
        <f>VLOOKUP(B254,[1]Todos!$A$2:$B$3021,2,FALSE)</f>
        <v>9810.1</v>
      </c>
      <c r="F254" s="43">
        <f>VLOOKUP(B254,[1]Todos!$A$2:$C$3021,3,FALSE)</f>
        <v>1027.1600000000001</v>
      </c>
      <c r="G254" s="126">
        <f t="shared" si="44"/>
        <v>10837.26</v>
      </c>
      <c r="H254" s="127">
        <f t="shared" si="45"/>
        <v>784808</v>
      </c>
      <c r="I254" s="128">
        <f t="shared" si="46"/>
        <v>82172.800000000003</v>
      </c>
      <c r="J254" s="128">
        <f t="shared" si="47"/>
        <v>866980.8</v>
      </c>
      <c r="K254" s="44">
        <f t="shared" si="55"/>
        <v>5.7461137568583145E-4</v>
      </c>
      <c r="L254" s="45">
        <f t="shared" si="56"/>
        <v>3257.3595525981641</v>
      </c>
      <c r="M254" s="45">
        <f t="shared" si="57"/>
        <v>7212.2037712688552</v>
      </c>
      <c r="N254" s="45">
        <f t="shared" si="48"/>
        <v>21306.823323867018</v>
      </c>
      <c r="O254" s="46">
        <f t="shared" si="49"/>
        <v>1704545.8659093615</v>
      </c>
      <c r="P254" s="47">
        <f t="shared" si="50"/>
        <v>27445.125874999998</v>
      </c>
      <c r="Q254" s="42">
        <v>2195610.0699999998</v>
      </c>
      <c r="R254" s="152">
        <f t="shared" si="54"/>
        <v>0.77634270729563637</v>
      </c>
      <c r="S254" s="49"/>
      <c r="U254" s="112"/>
    </row>
    <row r="255" spans="1:21" outlineLevel="2" x14ac:dyDescent="0.3">
      <c r="A255" s="40" t="str">
        <f>VLOOKUP(B255,Grupos!$A$2:$B$619,2,FALSE)</f>
        <v>TABLEROS 75 AMP COBRE TAPA LISA</v>
      </c>
      <c r="B255" s="41" t="s">
        <v>408</v>
      </c>
      <c r="C255" s="41" t="s">
        <v>409</v>
      </c>
      <c r="D255" s="42">
        <v>560</v>
      </c>
      <c r="E255" s="43">
        <f>VLOOKUP(B255,[1]Todos!$A$2:$B$3021,2,FALSE)</f>
        <v>9776.19</v>
      </c>
      <c r="F255" s="43">
        <f>VLOOKUP(B255,[1]Todos!$A$2:$C$3021,3,FALSE)</f>
        <v>906.96</v>
      </c>
      <c r="G255" s="126">
        <f t="shared" si="44"/>
        <v>10683.150000000001</v>
      </c>
      <c r="H255" s="127">
        <f t="shared" si="45"/>
        <v>5474666.4000000004</v>
      </c>
      <c r="I255" s="128">
        <f t="shared" si="46"/>
        <v>507897.60000000003</v>
      </c>
      <c r="J255" s="128">
        <f t="shared" si="47"/>
        <v>5982564.0000000009</v>
      </c>
      <c r="K255" s="44">
        <f t="shared" si="55"/>
        <v>3.965081268430086E-3</v>
      </c>
      <c r="L255" s="45">
        <f t="shared" si="56"/>
        <v>3211.0386485457648</v>
      </c>
      <c r="M255" s="45">
        <f t="shared" si="57"/>
        <v>6368.2194910140588</v>
      </c>
      <c r="N255" s="45">
        <f t="shared" si="48"/>
        <v>20262.408139559826</v>
      </c>
      <c r="O255" s="46">
        <f t="shared" si="49"/>
        <v>11346948.558153503</v>
      </c>
      <c r="P255" s="47">
        <f t="shared" si="50"/>
        <v>24033.749749999999</v>
      </c>
      <c r="Q255" s="42">
        <v>13458899.859999999</v>
      </c>
      <c r="R255" s="152">
        <f t="shared" si="54"/>
        <v>0.84308143133427726</v>
      </c>
      <c r="S255" s="49"/>
      <c r="U255" s="112"/>
    </row>
    <row r="256" spans="1:21" outlineLevel="2" x14ac:dyDescent="0.3">
      <c r="A256" s="40" t="str">
        <f>VLOOKUP(B256,Grupos!$A$2:$B$619,2,FALSE)</f>
        <v>TABLEROS 75 AMP COBRE TAPA LISA</v>
      </c>
      <c r="B256" s="41" t="s">
        <v>410</v>
      </c>
      <c r="C256" s="41" t="s">
        <v>411</v>
      </c>
      <c r="D256" s="42">
        <v>300</v>
      </c>
      <c r="E256" s="43">
        <f>VLOOKUP(B256,[1]Todos!$A$2:$B$3021,2,FALSE)</f>
        <v>12642.23</v>
      </c>
      <c r="F256" s="43">
        <f>VLOOKUP(B256,[1]Todos!$A$2:$C$3021,3,FALSE)</f>
        <v>1259.55</v>
      </c>
      <c r="G256" s="126">
        <f t="shared" si="44"/>
        <v>13901.779999999999</v>
      </c>
      <c r="H256" s="127">
        <f t="shared" si="45"/>
        <v>3792669</v>
      </c>
      <c r="I256" s="128">
        <f t="shared" si="46"/>
        <v>377865</v>
      </c>
      <c r="J256" s="128">
        <f t="shared" si="47"/>
        <v>4170533.9999999995</v>
      </c>
      <c r="K256" s="44">
        <f t="shared" si="55"/>
        <v>2.7641168974959227E-3</v>
      </c>
      <c r="L256" s="45">
        <f t="shared" si="56"/>
        <v>4178.4635490075998</v>
      </c>
      <c r="M256" s="45">
        <f t="shared" si="57"/>
        <v>8843.9301180942457</v>
      </c>
      <c r="N256" s="45">
        <f t="shared" si="48"/>
        <v>26924.173667101844</v>
      </c>
      <c r="O256" s="46">
        <f t="shared" si="49"/>
        <v>8077252.1001305534</v>
      </c>
      <c r="P256" s="47">
        <f t="shared" si="50"/>
        <v>32828.398966666668</v>
      </c>
      <c r="Q256" s="42">
        <v>9848519.6899999995</v>
      </c>
      <c r="R256" s="152">
        <f t="shared" si="54"/>
        <v>0.82014885022081463</v>
      </c>
      <c r="S256" s="49"/>
      <c r="U256" s="112"/>
    </row>
    <row r="257" spans="1:21" outlineLevel="2" x14ac:dyDescent="0.3">
      <c r="A257" s="40" t="str">
        <f>VLOOKUP(B257,Grupos!$A$2:$B$619,2,FALSE)</f>
        <v>TABLEROS 75 AMP COBRE TAPA LISA</v>
      </c>
      <c r="B257" s="41" t="s">
        <v>412</v>
      </c>
      <c r="C257" s="41" t="s">
        <v>413</v>
      </c>
      <c r="D257" s="42">
        <v>180</v>
      </c>
      <c r="E257" s="43">
        <f>VLOOKUP(B257,[1]Todos!$A$2:$B$3021,2,FALSE)</f>
        <v>12641.9</v>
      </c>
      <c r="F257" s="43">
        <f>VLOOKUP(B257,[1]Todos!$A$2:$C$3021,3,FALSE)</f>
        <v>1201.76</v>
      </c>
      <c r="G257" s="126">
        <f t="shared" si="44"/>
        <v>13843.66</v>
      </c>
      <c r="H257" s="127">
        <f t="shared" si="45"/>
        <v>2275542</v>
      </c>
      <c r="I257" s="128">
        <f t="shared" si="46"/>
        <v>216316.79999999999</v>
      </c>
      <c r="J257" s="128">
        <f t="shared" si="47"/>
        <v>2491858.7999999998</v>
      </c>
      <c r="K257" s="44">
        <f t="shared" si="55"/>
        <v>1.6515364735676325E-3</v>
      </c>
      <c r="L257" s="45">
        <f t="shared" si="56"/>
        <v>4160.9943974695716</v>
      </c>
      <c r="M257" s="45">
        <f t="shared" si="57"/>
        <v>8438.1576425873864</v>
      </c>
      <c r="N257" s="45">
        <f t="shared" si="48"/>
        <v>26442.812040056957</v>
      </c>
      <c r="O257" s="46">
        <f t="shared" si="49"/>
        <v>4759706.167210252</v>
      </c>
      <c r="P257" s="47">
        <f t="shared" si="50"/>
        <v>31227.778055555555</v>
      </c>
      <c r="Q257" s="42">
        <v>5621000.0499999998</v>
      </c>
      <c r="R257" s="152">
        <f t="shared" si="54"/>
        <v>0.84677212682292224</v>
      </c>
      <c r="S257" s="49"/>
      <c r="U257" s="112"/>
    </row>
    <row r="258" spans="1:21" outlineLevel="2" x14ac:dyDescent="0.3">
      <c r="A258" s="40" t="str">
        <f>VLOOKUP(B258,Grupos!$A$2:$B$619,2,FALSE)</f>
        <v>TABLEROS 75 AMP COBRE TAPA LISA</v>
      </c>
      <c r="B258" s="41" t="s">
        <v>414</v>
      </c>
      <c r="C258" s="41" t="s">
        <v>415</v>
      </c>
      <c r="D258" s="42">
        <v>600</v>
      </c>
      <c r="E258" s="43">
        <f>VLOOKUP(B258,[1]Todos!$A$2:$B$3021,2,FALSE)</f>
        <v>12464.65</v>
      </c>
      <c r="F258" s="43">
        <f>VLOOKUP(B258,[1]Todos!$A$2:$C$3021,3,FALSE)</f>
        <v>1199.3900000000001</v>
      </c>
      <c r="G258" s="126">
        <f t="shared" si="44"/>
        <v>13664.039999999999</v>
      </c>
      <c r="H258" s="127">
        <f t="shared" si="45"/>
        <v>7478790</v>
      </c>
      <c r="I258" s="128">
        <f t="shared" si="46"/>
        <v>719634.00000000012</v>
      </c>
      <c r="J258" s="128">
        <f t="shared" si="47"/>
        <v>8198423.9999999991</v>
      </c>
      <c r="K258" s="44">
        <f t="shared" si="55"/>
        <v>5.4336932179994482E-3</v>
      </c>
      <c r="L258" s="45">
        <f t="shared" si="56"/>
        <v>4107.0059425614418</v>
      </c>
      <c r="M258" s="45">
        <f t="shared" si="57"/>
        <v>8421.5166879767057</v>
      </c>
      <c r="N258" s="45">
        <f t="shared" si="48"/>
        <v>26192.562630538145</v>
      </c>
      <c r="O258" s="46">
        <f t="shared" si="49"/>
        <v>15715537.578322887</v>
      </c>
      <c r="P258" s="47">
        <f t="shared" si="50"/>
        <v>32413.898716666667</v>
      </c>
      <c r="Q258" s="42">
        <v>19448339.23</v>
      </c>
      <c r="R258" s="152">
        <f t="shared" si="54"/>
        <v>0.80806578867571954</v>
      </c>
      <c r="S258" s="49"/>
      <c r="U258" s="112"/>
    </row>
    <row r="259" spans="1:21" outlineLevel="2" x14ac:dyDescent="0.3">
      <c r="A259" s="40" t="str">
        <f>VLOOKUP(B259,Grupos!$A$2:$B$619,2,FALSE)</f>
        <v>TABLEROS 75 AMP COBRE TAPA LISA</v>
      </c>
      <c r="B259" s="41" t="s">
        <v>416</v>
      </c>
      <c r="C259" s="41" t="s">
        <v>417</v>
      </c>
      <c r="D259" s="42">
        <v>480</v>
      </c>
      <c r="E259" s="43">
        <f>VLOOKUP(B259,[1]Todos!$A$2:$B$3021,2,FALSE)</f>
        <v>12464.32</v>
      </c>
      <c r="F259" s="43">
        <f>VLOOKUP(B259,[1]Todos!$A$2:$C$3021,3,FALSE)</f>
        <v>1121.73</v>
      </c>
      <c r="G259" s="126">
        <f t="shared" si="44"/>
        <v>13586.05</v>
      </c>
      <c r="H259" s="127">
        <f t="shared" si="45"/>
        <v>5982873.5999999996</v>
      </c>
      <c r="I259" s="128">
        <f t="shared" si="46"/>
        <v>538430.4</v>
      </c>
      <c r="J259" s="128">
        <f t="shared" si="47"/>
        <v>6521304</v>
      </c>
      <c r="K259" s="44">
        <f t="shared" si="55"/>
        <v>4.3221435384791854E-3</v>
      </c>
      <c r="L259" s="45">
        <f t="shared" si="56"/>
        <v>4083.5644572130118</v>
      </c>
      <c r="M259" s="45">
        <f t="shared" si="57"/>
        <v>7876.2270107338809</v>
      </c>
      <c r="N259" s="45">
        <f t="shared" si="48"/>
        <v>25545.841467946891</v>
      </c>
      <c r="O259" s="46">
        <f t="shared" si="49"/>
        <v>12262003.904614508</v>
      </c>
      <c r="P259" s="47">
        <f t="shared" si="50"/>
        <v>30639.582020833332</v>
      </c>
      <c r="Q259" s="42">
        <v>14706999.369999999</v>
      </c>
      <c r="R259" s="152">
        <f t="shared" si="54"/>
        <v>0.83375293600862577</v>
      </c>
      <c r="S259" s="49"/>
      <c r="U259" s="112"/>
    </row>
    <row r="260" spans="1:21" outlineLevel="2" x14ac:dyDescent="0.3">
      <c r="A260" s="40" t="str">
        <f>VLOOKUP(B260,Grupos!$A$2:$B$619,2,FALSE)</f>
        <v>TABLEROS 75 AMP COBRE TAPA LISA</v>
      </c>
      <c r="B260" s="41" t="s">
        <v>418</v>
      </c>
      <c r="C260" s="41" t="s">
        <v>1091</v>
      </c>
      <c r="D260" s="42">
        <v>30</v>
      </c>
      <c r="E260" s="43">
        <f>VLOOKUP(B260,[1]Todos!$A$2:$B$3021,2,FALSE)</f>
        <v>15672.92</v>
      </c>
      <c r="F260" s="43">
        <f>VLOOKUP(B260,[1]Todos!$A$2:$C$3021,3,FALSE)</f>
        <v>1183.22</v>
      </c>
      <c r="G260" s="126">
        <f t="shared" si="44"/>
        <v>16856.14</v>
      </c>
      <c r="H260" s="127">
        <f t="shared" si="45"/>
        <v>470187.6</v>
      </c>
      <c r="I260" s="128">
        <f t="shared" si="46"/>
        <v>35496.6</v>
      </c>
      <c r="J260" s="128">
        <f t="shared" si="47"/>
        <v>505684.19999999995</v>
      </c>
      <c r="K260" s="44">
        <f t="shared" si="55"/>
        <v>3.351537817499408E-4</v>
      </c>
      <c r="L260" s="45">
        <f t="shared" si="56"/>
        <v>5066.4567103614763</v>
      </c>
      <c r="M260" s="45">
        <f t="shared" si="57"/>
        <v>8307.9790356329431</v>
      </c>
      <c r="N260" s="45">
        <f t="shared" si="48"/>
        <v>30230.575745994418</v>
      </c>
      <c r="O260" s="46">
        <f t="shared" si="49"/>
        <v>906917.27237983258</v>
      </c>
      <c r="P260" s="47">
        <f t="shared" si="50"/>
        <v>41455.248</v>
      </c>
      <c r="Q260" s="42">
        <v>1243657.44</v>
      </c>
      <c r="R260" s="152">
        <f t="shared" si="54"/>
        <v>0.72923398615283697</v>
      </c>
      <c r="S260" s="49"/>
      <c r="U260" s="112"/>
    </row>
    <row r="261" spans="1:21" outlineLevel="2" x14ac:dyDescent="0.3">
      <c r="A261" s="40" t="str">
        <f>VLOOKUP(B261,Grupos!$A$2:$B$619,2,FALSE)</f>
        <v>TABLEROS 75 AMP COBRE TAPA LISA</v>
      </c>
      <c r="B261" s="41" t="s">
        <v>419</v>
      </c>
      <c r="C261" s="41" t="s">
        <v>1092</v>
      </c>
      <c r="D261" s="42">
        <v>330</v>
      </c>
      <c r="E261" s="43">
        <f>VLOOKUP(B261,[1]Todos!$A$2:$B$3021,2,FALSE)</f>
        <v>15656.21</v>
      </c>
      <c r="F261" s="43">
        <f>VLOOKUP(B261,[1]Todos!$A$2:$C$3021,3,FALSE)</f>
        <v>1193.02</v>
      </c>
      <c r="G261" s="126">
        <f t="shared" si="44"/>
        <v>16849.23</v>
      </c>
      <c r="H261" s="127">
        <f t="shared" si="45"/>
        <v>5166549.3</v>
      </c>
      <c r="I261" s="128">
        <f t="shared" si="46"/>
        <v>393696.6</v>
      </c>
      <c r="J261" s="128">
        <f t="shared" si="47"/>
        <v>5560245.8999999994</v>
      </c>
      <c r="K261" s="44">
        <f t="shared" si="55"/>
        <v>3.6851802782143545E-3</v>
      </c>
      <c r="L261" s="45">
        <f t="shared" si="56"/>
        <v>5064.3797689105513</v>
      </c>
      <c r="M261" s="45">
        <f t="shared" si="57"/>
        <v>8376.7897340231011</v>
      </c>
      <c r="N261" s="45">
        <f t="shared" si="48"/>
        <v>30290.399502933651</v>
      </c>
      <c r="O261" s="46">
        <f t="shared" si="49"/>
        <v>9995831.8359681051</v>
      </c>
      <c r="P261" s="47">
        <f t="shared" si="50"/>
        <v>37453.499848484847</v>
      </c>
      <c r="Q261" s="42">
        <v>12359654.949999999</v>
      </c>
      <c r="R261" s="152">
        <f t="shared" si="54"/>
        <v>0.80874683608931219</v>
      </c>
      <c r="S261" s="49"/>
      <c r="U261" s="112"/>
    </row>
    <row r="262" spans="1:21" outlineLevel="2" x14ac:dyDescent="0.3">
      <c r="A262" s="40" t="str">
        <f>VLOOKUP(B262,Grupos!$A$2:$B$619,2,FALSE)</f>
        <v>TABLEROS 75 AMP COBRE TAPA LISA</v>
      </c>
      <c r="B262" s="41" t="s">
        <v>421</v>
      </c>
      <c r="C262" s="41" t="s">
        <v>1094</v>
      </c>
      <c r="D262" s="42">
        <v>195</v>
      </c>
      <c r="E262" s="43">
        <f>VLOOKUP(B262,[1]Todos!$A$2:$B$3021,2,FALSE)</f>
        <v>15439.85</v>
      </c>
      <c r="F262" s="43">
        <f>VLOOKUP(B262,[1]Todos!$A$2:$C$3021,3,FALSE)</f>
        <v>1034.33</v>
      </c>
      <c r="G262" s="126">
        <f t="shared" si="44"/>
        <v>16474.18</v>
      </c>
      <c r="H262" s="127">
        <f t="shared" si="45"/>
        <v>3010770.75</v>
      </c>
      <c r="I262" s="128">
        <f t="shared" si="46"/>
        <v>201694.34999999998</v>
      </c>
      <c r="J262" s="128">
        <f t="shared" si="47"/>
        <v>3212465.1</v>
      </c>
      <c r="K262" s="44">
        <f t="shared" si="55"/>
        <v>2.1291347979721371E-3</v>
      </c>
      <c r="L262" s="45">
        <f t="shared" si="56"/>
        <v>4951.650841100206</v>
      </c>
      <c r="M262" s="45">
        <f t="shared" si="57"/>
        <v>7262.5479250910412</v>
      </c>
      <c r="N262" s="45">
        <f t="shared" si="48"/>
        <v>28688.37876619125</v>
      </c>
      <c r="O262" s="46">
        <f t="shared" si="49"/>
        <v>5594233.8594072936</v>
      </c>
      <c r="P262" s="47">
        <f t="shared" si="50"/>
        <v>37617.461282051285</v>
      </c>
      <c r="Q262" s="42">
        <v>7335404.9500000002</v>
      </c>
      <c r="R262" s="152">
        <f t="shared" si="54"/>
        <v>0.76263463265341525</v>
      </c>
      <c r="S262" s="49"/>
      <c r="U262" s="112"/>
    </row>
    <row r="263" spans="1:21" s="93" customFormat="1" outlineLevel="1" x14ac:dyDescent="0.3">
      <c r="A263" s="50" t="s">
        <v>1040</v>
      </c>
      <c r="B263" s="129"/>
      <c r="C263" s="129"/>
      <c r="D263" s="51">
        <f>SUBTOTAL(9,D246:D262)</f>
        <v>6579</v>
      </c>
      <c r="E263" s="52"/>
      <c r="F263" s="52"/>
      <c r="G263" s="130"/>
      <c r="H263" s="131">
        <f>SUBTOTAL(9,H246:H262)</f>
        <v>64059330.93</v>
      </c>
      <c r="I263" s="146">
        <f>SUBTOTAL(9,I246:I262)</f>
        <v>5216869.5899999989</v>
      </c>
      <c r="J263" s="146">
        <f>SUBTOTAL(9,J246:J262)</f>
        <v>69276200.519999996</v>
      </c>
      <c r="K263" s="53"/>
      <c r="L263" s="54"/>
      <c r="M263" s="54"/>
      <c r="N263" s="54"/>
      <c r="O263" s="55">
        <f>SUBTOTAL(9,O246:O262)</f>
        <v>126728824.65890692</v>
      </c>
      <c r="P263" s="56"/>
      <c r="Q263" s="51">
        <f>SUBTOTAL(9,Q246:Q262)</f>
        <v>160655968.37999997</v>
      </c>
      <c r="R263" s="198">
        <f>O263/Q263</f>
        <v>0.78882114332132947</v>
      </c>
      <c r="S263" s="58">
        <f>Q263/$Q$295</f>
        <v>4.1122644833277738E-2</v>
      </c>
      <c r="T263" s="158"/>
      <c r="U263" s="147"/>
    </row>
    <row r="264" spans="1:21" hidden="1" outlineLevel="2" x14ac:dyDescent="0.3">
      <c r="A264" s="40" t="str">
        <f>VLOOKUP(B264,Grupos!$A$2:$B$619,2,FALSE)</f>
        <v>TABLEROS 75 AMP COBRE TAPA PLASTICA</v>
      </c>
      <c r="B264" s="41" t="s">
        <v>422</v>
      </c>
      <c r="C264" s="41" t="s">
        <v>423</v>
      </c>
      <c r="D264" s="42">
        <v>304</v>
      </c>
      <c r="E264" s="43">
        <f>VLOOKUP(B264,[1]Todos!$A$2:$B$3021,2,FALSE)</f>
        <v>9419.26</v>
      </c>
      <c r="F264" s="43">
        <f>VLOOKUP(B264,[1]Todos!$A$2:$C$3021,3,FALSE)</f>
        <v>1028.3900000000001</v>
      </c>
      <c r="G264" s="126">
        <f t="shared" si="44"/>
        <v>10447.65</v>
      </c>
      <c r="H264" s="127">
        <f t="shared" si="45"/>
        <v>2863455.04</v>
      </c>
      <c r="I264" s="128">
        <f t="shared" si="46"/>
        <v>312630.56000000006</v>
      </c>
      <c r="J264" s="128">
        <f t="shared" si="47"/>
        <v>3176085.6</v>
      </c>
      <c r="K264" s="44">
        <f>J264/$J$295</f>
        <v>2.1050234513981846E-3</v>
      </c>
      <c r="L264" s="45">
        <f>$K$367*K264/D264</f>
        <v>3140.2543197913683</v>
      </c>
      <c r="M264" s="45">
        <f>F264*$M$366</f>
        <v>7220.8402160668038</v>
      </c>
      <c r="N264" s="45">
        <f t="shared" si="48"/>
        <v>20808.744535858172</v>
      </c>
      <c r="O264" s="46">
        <f t="shared" si="49"/>
        <v>6325858.3389008846</v>
      </c>
      <c r="P264" s="47">
        <f t="shared" si="50"/>
        <v>27343.157006578949</v>
      </c>
      <c r="Q264" s="42">
        <v>8312319.7300000004</v>
      </c>
      <c r="R264" s="152">
        <f t="shared" si="54"/>
        <v>0.76102201844693529</v>
      </c>
      <c r="S264" s="49"/>
      <c r="U264" s="112"/>
    </row>
    <row r="265" spans="1:21" hidden="1" outlineLevel="2" x14ac:dyDescent="0.3">
      <c r="A265" s="40" t="str">
        <f>VLOOKUP(B265,Grupos!$A$2:$B$619,2,FALSE)</f>
        <v>TABLEROS 75 AMP COBRE TAPA PLASTICA</v>
      </c>
      <c r="B265" s="41" t="s">
        <v>424</v>
      </c>
      <c r="C265" s="41" t="s">
        <v>425</v>
      </c>
      <c r="D265" s="42">
        <v>731</v>
      </c>
      <c r="E265" s="43">
        <f>VLOOKUP(B265,[1]Todos!$A$2:$B$3021,2,FALSE)</f>
        <v>10136.17</v>
      </c>
      <c r="F265" s="43">
        <f>VLOOKUP(B265,[1]Todos!$A$2:$C$3021,3,FALSE)</f>
        <v>933.55</v>
      </c>
      <c r="G265" s="126">
        <f t="shared" si="44"/>
        <v>11069.72</v>
      </c>
      <c r="H265" s="127">
        <f t="shared" si="45"/>
        <v>7409540.2700000005</v>
      </c>
      <c r="I265" s="128">
        <f t="shared" si="46"/>
        <v>682425.04999999993</v>
      </c>
      <c r="J265" s="128">
        <f t="shared" si="47"/>
        <v>8091965.3199999994</v>
      </c>
      <c r="K265" s="44">
        <f>J265/$J$295</f>
        <v>5.3631352903400382E-3</v>
      </c>
      <c r="L265" s="45">
        <f>$K$367*K265/D265</f>
        <v>3327.2301473423122</v>
      </c>
      <c r="M265" s="45">
        <f>F265*$M$366</f>
        <v>6554.9211716461305</v>
      </c>
      <c r="N265" s="45">
        <f t="shared" si="48"/>
        <v>20951.871318988444</v>
      </c>
      <c r="O265" s="46">
        <f t="shared" si="49"/>
        <v>15315817.934180552</v>
      </c>
      <c r="P265" s="47">
        <f t="shared" si="50"/>
        <v>24544.115978112175</v>
      </c>
      <c r="Q265" s="42">
        <v>17941748.780000001</v>
      </c>
      <c r="R265" s="152">
        <f t="shared" si="54"/>
        <v>0.85364131010759536</v>
      </c>
      <c r="S265" s="49"/>
      <c r="U265" s="112"/>
    </row>
    <row r="266" spans="1:21" hidden="1" outlineLevel="2" x14ac:dyDescent="0.3">
      <c r="A266" s="40" t="str">
        <f>VLOOKUP(B266,Grupos!$A$2:$B$619,2,FALSE)</f>
        <v>TABLEROS 75 AMP COBRE TAPA PLASTICA</v>
      </c>
      <c r="B266" s="41" t="s">
        <v>426</v>
      </c>
      <c r="C266" s="41" t="s">
        <v>427</v>
      </c>
      <c r="D266" s="42">
        <v>315</v>
      </c>
      <c r="E266" s="43">
        <f>VLOOKUP(B266,[1]Todos!$A$2:$B$3021,2,FALSE)</f>
        <v>9878.4599999999991</v>
      </c>
      <c r="F266" s="43">
        <f>VLOOKUP(B266,[1]Todos!$A$2:$C$3021,3,FALSE)</f>
        <v>893.04</v>
      </c>
      <c r="G266" s="126">
        <f t="shared" si="44"/>
        <v>10771.5</v>
      </c>
      <c r="H266" s="127">
        <f t="shared" si="45"/>
        <v>3111714.9</v>
      </c>
      <c r="I266" s="128">
        <f t="shared" si="46"/>
        <v>281307.59999999998</v>
      </c>
      <c r="J266" s="128">
        <f t="shared" si="47"/>
        <v>3393022.5</v>
      </c>
      <c r="K266" s="44">
        <f>J266/$J$295</f>
        <v>2.2488033488838265E-3</v>
      </c>
      <c r="L266" s="45">
        <f>$K$367*K266/D266</f>
        <v>3237.5940432185926</v>
      </c>
      <c r="M266" s="45">
        <f>F266*$M$366</f>
        <v>6270.4802133006915</v>
      </c>
      <c r="N266" s="45">
        <f t="shared" si="48"/>
        <v>20279.574256519285</v>
      </c>
      <c r="O266" s="46">
        <f t="shared" si="49"/>
        <v>6388065.8908035746</v>
      </c>
      <c r="P266" s="47">
        <f t="shared" si="50"/>
        <v>24417.999841269841</v>
      </c>
      <c r="Q266" s="42">
        <v>7691669.9500000002</v>
      </c>
      <c r="R266" s="152">
        <f t="shared" si="54"/>
        <v>0.83051742109703686</v>
      </c>
      <c r="S266" s="49"/>
      <c r="U266" s="112"/>
    </row>
    <row r="267" spans="1:21" hidden="1" outlineLevel="2" x14ac:dyDescent="0.3">
      <c r="A267" s="40" t="str">
        <f>VLOOKUP(B267,Grupos!$A$2:$B$619,2,FALSE)</f>
        <v>TABLEROS 75 AMP COBRE TAPA PLASTICA</v>
      </c>
      <c r="B267" s="41" t="s">
        <v>428</v>
      </c>
      <c r="C267" s="41" t="s">
        <v>429</v>
      </c>
      <c r="D267" s="42">
        <v>511</v>
      </c>
      <c r="E267" s="43">
        <f>VLOOKUP(B267,[1]Todos!$A$2:$B$3021,2,FALSE)</f>
        <v>12642.23</v>
      </c>
      <c r="F267" s="43">
        <f>VLOOKUP(B267,[1]Todos!$A$2:$C$3021,3,FALSE)</f>
        <v>1210.44</v>
      </c>
      <c r="G267" s="126">
        <f t="shared" si="44"/>
        <v>13852.67</v>
      </c>
      <c r="H267" s="127">
        <f t="shared" si="45"/>
        <v>6460179.5299999993</v>
      </c>
      <c r="I267" s="128">
        <f t="shared" si="46"/>
        <v>618534.84000000008</v>
      </c>
      <c r="J267" s="128">
        <f t="shared" si="47"/>
        <v>7078714.3700000001</v>
      </c>
      <c r="K267" s="44">
        <f>J267/$J$295</f>
        <v>4.691580023724589E-3</v>
      </c>
      <c r="L267" s="45">
        <f>$K$367*K267/D267</f>
        <v>4163.7025367565238</v>
      </c>
      <c r="M267" s="45">
        <f>F267*$M$366</f>
        <v>8499.1042611615267</v>
      </c>
      <c r="N267" s="45">
        <f t="shared" si="48"/>
        <v>26515.476797918051</v>
      </c>
      <c r="O267" s="46">
        <f t="shared" si="49"/>
        <v>13549408.643736124</v>
      </c>
      <c r="P267" s="47">
        <f t="shared" si="50"/>
        <v>33137.286712328772</v>
      </c>
      <c r="Q267" s="42">
        <v>16933153.510000002</v>
      </c>
      <c r="R267" s="152">
        <f t="shared" si="54"/>
        <v>0.80017042518007164</v>
      </c>
      <c r="S267" s="49"/>
      <c r="U267" s="112"/>
    </row>
    <row r="268" spans="1:21" hidden="1" outlineLevel="2" x14ac:dyDescent="0.3">
      <c r="A268" s="40" t="str">
        <f>VLOOKUP(B268,Grupos!$A$2:$B$619,2,FALSE)</f>
        <v>TABLEROS 75 AMP COBRE TAPA PLASTICA</v>
      </c>
      <c r="B268" s="41" t="s">
        <v>430</v>
      </c>
      <c r="C268" s="41" t="s">
        <v>431</v>
      </c>
      <c r="D268" s="42">
        <v>1201</v>
      </c>
      <c r="E268" s="43">
        <f>VLOOKUP(B268,[1]Todos!$A$2:$B$3021,2,FALSE)</f>
        <v>12616.59</v>
      </c>
      <c r="F268" s="43">
        <f>VLOOKUP(B268,[1]Todos!$A$2:$C$3021,3,FALSE)</f>
        <v>1124.95</v>
      </c>
      <c r="G268" s="126">
        <f t="shared" si="44"/>
        <v>13741.54</v>
      </c>
      <c r="H268" s="127">
        <f t="shared" si="45"/>
        <v>15152524.59</v>
      </c>
      <c r="I268" s="128">
        <f t="shared" si="46"/>
        <v>1351064.95</v>
      </c>
      <c r="J268" s="128">
        <f t="shared" si="47"/>
        <v>16503589.540000001</v>
      </c>
      <c r="K268" s="44">
        <f>J268/$J$295</f>
        <v>1.0938131835599703E-2</v>
      </c>
      <c r="L268" s="45">
        <f>$K$367*K268/D268</f>
        <v>4130.3001484147999</v>
      </c>
      <c r="M268" s="45">
        <f>F268*$M$366</f>
        <v>7898.8362402049324</v>
      </c>
      <c r="N268" s="45">
        <f t="shared" si="48"/>
        <v>25770.676388619733</v>
      </c>
      <c r="O268" s="46">
        <f t="shared" si="49"/>
        <v>30950582.342732299</v>
      </c>
      <c r="P268" s="47">
        <f t="shared" si="50"/>
        <v>31089.150890924229</v>
      </c>
      <c r="Q268" s="42">
        <v>37338070.219999999</v>
      </c>
      <c r="R268" s="152">
        <f t="shared" si="54"/>
        <v>0.82892828044856304</v>
      </c>
      <c r="S268" s="49"/>
      <c r="U268" s="112"/>
    </row>
    <row r="269" spans="1:21" s="93" customFormat="1" outlineLevel="1" collapsed="1" x14ac:dyDescent="0.3">
      <c r="A269" s="50" t="s">
        <v>1041</v>
      </c>
      <c r="B269" s="129"/>
      <c r="C269" s="129"/>
      <c r="D269" s="51">
        <f>SUBTOTAL(9,D264:D268)</f>
        <v>3062</v>
      </c>
      <c r="E269" s="52"/>
      <c r="F269" s="52"/>
      <c r="G269" s="130"/>
      <c r="H269" s="131">
        <f>SUBTOTAL(9,H264:H268)</f>
        <v>34997414.329999998</v>
      </c>
      <c r="I269" s="146">
        <f>SUBTOTAL(9,I264:I268)</f>
        <v>3245963</v>
      </c>
      <c r="J269" s="146">
        <f>SUBTOTAL(9,J264:J268)</f>
        <v>38243377.329999998</v>
      </c>
      <c r="K269" s="53"/>
      <c r="L269" s="54"/>
      <c r="M269" s="54"/>
      <c r="N269" s="54"/>
      <c r="O269" s="55">
        <f>SUBTOTAL(9,O264:O268)</f>
        <v>72529733.150353432</v>
      </c>
      <c r="P269" s="56"/>
      <c r="Q269" s="51">
        <f>SUBTOTAL(9,Q264:Q268)</f>
        <v>88216962.189999998</v>
      </c>
      <c r="R269" s="198">
        <f>O269/Q269</f>
        <v>0.822174458854526</v>
      </c>
      <c r="S269" s="58">
        <f>Q269/$Q$295</f>
        <v>2.2580641360484151E-2</v>
      </c>
      <c r="T269" s="158"/>
      <c r="U269" s="147"/>
    </row>
    <row r="270" spans="1:21" hidden="1" outlineLevel="2" x14ac:dyDescent="0.3">
      <c r="A270" s="40" t="str">
        <f>VLOOKUP(B270,Grupos!$A$2:$B$619,2,FALSE)</f>
        <v>TABLEROS 85 AMP BIMETALICO</v>
      </c>
      <c r="B270" s="41" t="s">
        <v>436</v>
      </c>
      <c r="C270" s="41" t="s">
        <v>437</v>
      </c>
      <c r="D270" s="42">
        <v>222</v>
      </c>
      <c r="E270" s="43">
        <f>VLOOKUP(B270,[1]Todos!$A$2:$B$3021,2,FALSE)</f>
        <v>14942.96</v>
      </c>
      <c r="F270" s="43">
        <f>VLOOKUP(B270,[1]Todos!$A$2:$C$3021,3,FALSE)</f>
        <v>873.49</v>
      </c>
      <c r="G270" s="126">
        <f t="shared" si="44"/>
        <v>15816.449999999999</v>
      </c>
      <c r="H270" s="127">
        <f t="shared" si="45"/>
        <v>3317337.1199999996</v>
      </c>
      <c r="I270" s="128">
        <f t="shared" si="46"/>
        <v>193914.78</v>
      </c>
      <c r="J270" s="128">
        <f t="shared" si="47"/>
        <v>3511251.9</v>
      </c>
      <c r="K270" s="44">
        <f>J270/$J$295</f>
        <v>2.3271625907269103E-3</v>
      </c>
      <c r="L270" s="45">
        <f>$K$367*K270/D270</f>
        <v>4753.9566731527366</v>
      </c>
      <c r="M270" s="45">
        <f>F270*$M$366</f>
        <v>6133.2098915121614</v>
      </c>
      <c r="N270" s="45">
        <f t="shared" si="48"/>
        <v>26703.616564664895</v>
      </c>
      <c r="O270" s="46">
        <f t="shared" si="49"/>
        <v>5928202.8773556063</v>
      </c>
      <c r="P270" s="47">
        <f t="shared" si="50"/>
        <v>46966.812162162169</v>
      </c>
      <c r="Q270" s="42">
        <v>10426632.300000001</v>
      </c>
      <c r="R270" s="152">
        <f t="shared" si="54"/>
        <v>0.56856353104114032</v>
      </c>
      <c r="S270" s="49"/>
      <c r="U270" s="112"/>
    </row>
    <row r="271" spans="1:21" hidden="1" outlineLevel="2" x14ac:dyDescent="0.3">
      <c r="A271" s="40" t="str">
        <f>VLOOKUP(B271,Grupos!$A$2:$B$619,2,FALSE)</f>
        <v>TABLEROS 85 AMP BIMETALICO</v>
      </c>
      <c r="B271" s="41" t="s">
        <v>653</v>
      </c>
      <c r="C271" s="41" t="s">
        <v>654</v>
      </c>
      <c r="D271" s="42">
        <v>100</v>
      </c>
      <c r="E271" s="43">
        <f>VLOOKUP(B271,[1]Todos!$A$2:$B$3021,2,FALSE)</f>
        <v>13859.75</v>
      </c>
      <c r="F271" s="43">
        <f>VLOOKUP(B271,[1]Todos!$A$2:$C$3021,3,FALSE)</f>
        <v>834.13</v>
      </c>
      <c r="G271" s="126">
        <f t="shared" si="44"/>
        <v>14693.88</v>
      </c>
      <c r="H271" s="127">
        <f t="shared" si="45"/>
        <v>1385975</v>
      </c>
      <c r="I271" s="128">
        <f t="shared" si="46"/>
        <v>83413</v>
      </c>
      <c r="J271" s="128">
        <f t="shared" si="47"/>
        <v>1469388</v>
      </c>
      <c r="K271" s="44">
        <f>J271/$J$295</f>
        <v>9.7387054026600408E-4</v>
      </c>
      <c r="L271" s="45">
        <f>$K$367*K271/D271</f>
        <v>4416.5453613488198</v>
      </c>
      <c r="M271" s="45">
        <f>F271*$M$366</f>
        <v>5856.8436579778127</v>
      </c>
      <c r="N271" s="45">
        <f t="shared" si="48"/>
        <v>24967.269019326632</v>
      </c>
      <c r="O271" s="46">
        <f t="shared" si="49"/>
        <v>2496726.9019326633</v>
      </c>
      <c r="P271" s="47">
        <f t="shared" si="50"/>
        <v>44235.6</v>
      </c>
      <c r="Q271" s="42">
        <v>4423560</v>
      </c>
      <c r="R271" s="152">
        <f t="shared" si="54"/>
        <v>0.56441574250889859</v>
      </c>
      <c r="S271" s="49"/>
      <c r="U271" s="112"/>
    </row>
    <row r="272" spans="1:21" hidden="1" outlineLevel="2" x14ac:dyDescent="0.3">
      <c r="A272" s="40" t="str">
        <f>VLOOKUP(B272,Grupos!$A$2:$B$619,2,FALSE)</f>
        <v>TABLEROS 85 AMP BIMETALICO</v>
      </c>
      <c r="B272" s="41" t="s">
        <v>438</v>
      </c>
      <c r="C272" s="41" t="s">
        <v>439</v>
      </c>
      <c r="D272" s="42">
        <v>1192</v>
      </c>
      <c r="E272" s="43">
        <f>VLOOKUP(B272,[1]Todos!$A$2:$B$3021,2,FALSE)</f>
        <v>11715.37</v>
      </c>
      <c r="F272" s="43">
        <f>VLOOKUP(B272,[1]Todos!$A$2:$C$3021,3,FALSE)</f>
        <v>823.91</v>
      </c>
      <c r="G272" s="126">
        <f t="shared" si="44"/>
        <v>12539.28</v>
      </c>
      <c r="H272" s="127">
        <f t="shared" si="45"/>
        <v>13964721.040000001</v>
      </c>
      <c r="I272" s="128">
        <f t="shared" si="46"/>
        <v>982100.72</v>
      </c>
      <c r="J272" s="128">
        <f t="shared" si="47"/>
        <v>14946821.760000002</v>
      </c>
      <c r="K272" s="44">
        <f>J272/$J$295</f>
        <v>9.9063483454818382E-3</v>
      </c>
      <c r="L272" s="45">
        <f>$K$367*K272/D272</f>
        <v>3768.9363815856686</v>
      </c>
      <c r="M272" s="45">
        <f>F272*$M$366</f>
        <v>5785.0839296566473</v>
      </c>
      <c r="N272" s="45">
        <f t="shared" si="48"/>
        <v>22093.300311242318</v>
      </c>
      <c r="O272" s="46">
        <f t="shared" si="49"/>
        <v>26335213.971000843</v>
      </c>
      <c r="P272" s="47">
        <f t="shared" si="50"/>
        <v>37946.60092281879</v>
      </c>
      <c r="Q272" s="42">
        <v>45232348.299999997</v>
      </c>
      <c r="R272" s="152">
        <f t="shared" si="54"/>
        <v>0.58222079906916624</v>
      </c>
      <c r="S272" s="49"/>
      <c r="U272" s="112"/>
    </row>
    <row r="273" spans="1:21" hidden="1" outlineLevel="2" x14ac:dyDescent="0.3">
      <c r="A273" s="40" t="str">
        <f>VLOOKUP(B273,Grupos!$A$2:$B$619,2,FALSE)</f>
        <v>TABLEROS 85 AMP BIMETALICO</v>
      </c>
      <c r="B273" s="41" t="s">
        <v>440</v>
      </c>
      <c r="C273" s="41" t="s">
        <v>441</v>
      </c>
      <c r="D273" s="42">
        <v>24</v>
      </c>
      <c r="E273" s="43">
        <f>VLOOKUP(B273,[1]Todos!$A$2:$B$3021,2,FALSE)</f>
        <v>10652.97</v>
      </c>
      <c r="F273" s="43">
        <f>VLOOKUP(B273,[1]Todos!$A$2:$C$3021,3,FALSE)</f>
        <v>698.92</v>
      </c>
      <c r="G273" s="126">
        <f t="shared" si="44"/>
        <v>11351.89</v>
      </c>
      <c r="H273" s="127">
        <f t="shared" si="45"/>
        <v>255671.27999999997</v>
      </c>
      <c r="I273" s="128">
        <f t="shared" si="46"/>
        <v>16774.079999999998</v>
      </c>
      <c r="J273" s="128">
        <f t="shared" si="47"/>
        <v>272445.36</v>
      </c>
      <c r="K273" s="44">
        <f>J273/$J$295</f>
        <v>1.8056940027832402E-4</v>
      </c>
      <c r="L273" s="45">
        <f>$K$367*K273/D273</f>
        <v>3412.042096576401</v>
      </c>
      <c r="M273" s="45">
        <f>F273*$M$366</f>
        <v>4907.4666651887028</v>
      </c>
      <c r="N273" s="45">
        <f t="shared" si="48"/>
        <v>19671.398761765104</v>
      </c>
      <c r="O273" s="46">
        <f t="shared" si="49"/>
        <v>472113.57028236252</v>
      </c>
      <c r="P273" s="47">
        <f t="shared" si="50"/>
        <v>36517.999583333331</v>
      </c>
      <c r="Q273" s="42">
        <v>876431.99</v>
      </c>
      <c r="R273" s="152">
        <f t="shared" si="54"/>
        <v>0.53867678915093287</v>
      </c>
      <c r="S273" s="49"/>
      <c r="U273" s="112"/>
    </row>
    <row r="274" spans="1:21" s="93" customFormat="1" outlineLevel="1" collapsed="1" x14ac:dyDescent="0.3">
      <c r="A274" s="50" t="s">
        <v>1042</v>
      </c>
      <c r="B274" s="129"/>
      <c r="C274" s="129"/>
      <c r="D274" s="51">
        <f>SUBTOTAL(9,D270:D273)</f>
        <v>1538</v>
      </c>
      <c r="E274" s="52"/>
      <c r="F274" s="52"/>
      <c r="G274" s="130"/>
      <c r="H274" s="131">
        <f>SUBTOTAL(9,H270:H273)</f>
        <v>18923704.440000001</v>
      </c>
      <c r="I274" s="146">
        <f>SUBTOTAL(9,I270:I273)</f>
        <v>1276202.58</v>
      </c>
      <c r="J274" s="146">
        <f>SUBTOTAL(9,J270:J273)</f>
        <v>20199907.020000003</v>
      </c>
      <c r="K274" s="53"/>
      <c r="L274" s="54"/>
      <c r="M274" s="54"/>
      <c r="N274" s="54"/>
      <c r="O274" s="55">
        <f>SUBTOTAL(9,O270:O273)</f>
        <v>35232257.320571475</v>
      </c>
      <c r="P274" s="56"/>
      <c r="Q274" s="51">
        <f>SUBTOTAL(9,Q270:Q273)</f>
        <v>60958972.589999996</v>
      </c>
      <c r="R274" s="198">
        <f>O274/Q274</f>
        <v>0.57796671800126675</v>
      </c>
      <c r="S274" s="58">
        <f>Q274/$Q$295</f>
        <v>1.5603492384987256E-2</v>
      </c>
      <c r="T274" s="158"/>
      <c r="U274" s="147"/>
    </row>
    <row r="275" spans="1:21" hidden="1" outlineLevel="2" x14ac:dyDescent="0.3">
      <c r="A275" s="40" t="str">
        <f>VLOOKUP(B275,Grupos!$A$2:$B$619,2,FALSE)</f>
        <v>TABLEROS 95 AMP COBRE</v>
      </c>
      <c r="B275" s="41" t="s">
        <v>442</v>
      </c>
      <c r="C275" s="41" t="s">
        <v>443</v>
      </c>
      <c r="D275" s="42">
        <v>494</v>
      </c>
      <c r="E275" s="43">
        <f>VLOOKUP(B275,[1]Todos!$A$2:$B$3021,2,FALSE)</f>
        <v>23092.76</v>
      </c>
      <c r="F275" s="43">
        <f>VLOOKUP(B275,[1]Todos!$A$2:$C$3021,3,FALSE)</f>
        <v>885.23</v>
      </c>
      <c r="G275" s="126">
        <f t="shared" si="44"/>
        <v>23977.989999999998</v>
      </c>
      <c r="H275" s="127">
        <f t="shared" si="45"/>
        <v>11407823.439999999</v>
      </c>
      <c r="I275" s="128">
        <f t="shared" si="46"/>
        <v>437303.62</v>
      </c>
      <c r="J275" s="128">
        <f t="shared" si="47"/>
        <v>11845127.059999999</v>
      </c>
      <c r="K275" s="44">
        <f t="shared" ref="K275:K280" si="58">J275/$J$295</f>
        <v>7.8506291663207155E-3</v>
      </c>
      <c r="L275" s="45">
        <f t="shared" ref="L275:L280" si="59">$K$367*K275/D275</f>
        <v>7207.0740001257918</v>
      </c>
      <c r="M275" s="45">
        <f t="shared" ref="M275:M280" si="60">F275*$M$366</f>
        <v>6215.6422995836374</v>
      </c>
      <c r="N275" s="45">
        <f t="shared" si="48"/>
        <v>37400.706299709425</v>
      </c>
      <c r="O275" s="46">
        <f t="shared" si="49"/>
        <v>18475948.912056457</v>
      </c>
      <c r="P275" s="47">
        <f t="shared" si="50"/>
        <v>59647.023360323881</v>
      </c>
      <c r="Q275" s="42">
        <v>29465629.539999999</v>
      </c>
      <c r="R275" s="152">
        <f t="shared" si="54"/>
        <v>0.62703391037259537</v>
      </c>
      <c r="S275" s="49"/>
      <c r="U275" s="112"/>
    </row>
    <row r="276" spans="1:21" hidden="1" outlineLevel="2" x14ac:dyDescent="0.3">
      <c r="A276" s="40" t="str">
        <f>VLOOKUP(B276,Grupos!$A$2:$B$619,2,FALSE)</f>
        <v>TABLEROS 95 AMP COBRE</v>
      </c>
      <c r="B276" s="41" t="s">
        <v>444</v>
      </c>
      <c r="C276" s="41" t="s">
        <v>445</v>
      </c>
      <c r="D276" s="42">
        <v>150</v>
      </c>
      <c r="E276" s="43">
        <f>VLOOKUP(B276,[1]Todos!$A$2:$B$3021,2,FALSE)</f>
        <v>23071.759999999998</v>
      </c>
      <c r="F276" s="43">
        <f>VLOOKUP(B276,[1]Todos!$A$2:$C$3021,3,FALSE)</f>
        <v>765.65</v>
      </c>
      <c r="G276" s="126">
        <f t="shared" si="44"/>
        <v>23837.41</v>
      </c>
      <c r="H276" s="127">
        <f t="shared" si="45"/>
        <v>3460763.9999999995</v>
      </c>
      <c r="I276" s="128">
        <f t="shared" si="46"/>
        <v>114847.5</v>
      </c>
      <c r="J276" s="128">
        <f t="shared" si="47"/>
        <v>3575611.5</v>
      </c>
      <c r="K276" s="44">
        <f t="shared" si="58"/>
        <v>2.369818389211248E-3</v>
      </c>
      <c r="L276" s="45">
        <f t="shared" si="59"/>
        <v>7164.8198135597922</v>
      </c>
      <c r="M276" s="45">
        <f t="shared" si="60"/>
        <v>5376.0113492269938</v>
      </c>
      <c r="N276" s="45">
        <f t="shared" si="48"/>
        <v>36378.241162786784</v>
      </c>
      <c r="O276" s="46">
        <f t="shared" si="49"/>
        <v>5456736.1744180173</v>
      </c>
      <c r="P276" s="47">
        <f t="shared" si="50"/>
        <v>48396.600133333333</v>
      </c>
      <c r="Q276" s="42">
        <v>7259490.0199999996</v>
      </c>
      <c r="R276" s="152">
        <f t="shared" si="54"/>
        <v>0.75166935409851521</v>
      </c>
      <c r="S276" s="49"/>
      <c r="U276" s="112"/>
    </row>
    <row r="277" spans="1:21" hidden="1" outlineLevel="2" x14ac:dyDescent="0.3">
      <c r="A277" s="40" t="str">
        <f>VLOOKUP(B277,Grupos!$A$2:$B$619,2,FALSE)</f>
        <v>TABLEROS 95 AMP COBRE</v>
      </c>
      <c r="B277" s="41" t="s">
        <v>446</v>
      </c>
      <c r="C277" s="41" t="s">
        <v>447</v>
      </c>
      <c r="D277" s="42">
        <v>50</v>
      </c>
      <c r="E277" s="43">
        <f>VLOOKUP(B277,[1]Todos!$A$2:$B$3021,2,FALSE)</f>
        <v>18875.86</v>
      </c>
      <c r="F277" s="43">
        <f>VLOOKUP(B277,[1]Todos!$A$2:$C$3021,3,FALSE)</f>
        <v>789.51</v>
      </c>
      <c r="G277" s="126">
        <f t="shared" si="44"/>
        <v>19665.37</v>
      </c>
      <c r="H277" s="127">
        <f t="shared" si="45"/>
        <v>943793</v>
      </c>
      <c r="I277" s="128">
        <f t="shared" si="46"/>
        <v>39475.5</v>
      </c>
      <c r="J277" s="128">
        <f t="shared" si="47"/>
        <v>983268.5</v>
      </c>
      <c r="K277" s="44">
        <f t="shared" si="58"/>
        <v>6.5168371139654293E-4</v>
      </c>
      <c r="L277" s="45">
        <f t="shared" si="59"/>
        <v>5910.8280898379617</v>
      </c>
      <c r="M277" s="45">
        <f t="shared" si="60"/>
        <v>5543.5443353075216</v>
      </c>
      <c r="N277" s="45">
        <f t="shared" si="48"/>
        <v>31119.742425145483</v>
      </c>
      <c r="O277" s="46">
        <f t="shared" si="49"/>
        <v>1555987.1212572742</v>
      </c>
      <c r="P277" s="47">
        <f t="shared" si="50"/>
        <v>49584.897599999997</v>
      </c>
      <c r="Q277" s="42">
        <v>2479244.88</v>
      </c>
      <c r="R277" s="152">
        <f t="shared" si="54"/>
        <v>0.62760525747552387</v>
      </c>
      <c r="S277" s="49"/>
      <c r="U277" s="112"/>
    </row>
    <row r="278" spans="1:21" hidden="1" outlineLevel="2" x14ac:dyDescent="0.3">
      <c r="A278" s="40" t="str">
        <f>VLOOKUP(B278,Grupos!$A$2:$B$619,2,FALSE)</f>
        <v>TABLEROS 95 AMP COBRE</v>
      </c>
      <c r="B278" s="41" t="s">
        <v>448</v>
      </c>
      <c r="C278" s="41" t="s">
        <v>449</v>
      </c>
      <c r="D278" s="42">
        <v>132</v>
      </c>
      <c r="E278" s="43">
        <f>VLOOKUP(B278,[1]Todos!$A$2:$B$3021,2,FALSE)</f>
        <v>17391</v>
      </c>
      <c r="F278" s="43">
        <f>VLOOKUP(B278,[1]Todos!$A$2:$C$3021,3,FALSE)</f>
        <v>842.36</v>
      </c>
      <c r="G278" s="126">
        <f t="shared" si="44"/>
        <v>18233.36</v>
      </c>
      <c r="H278" s="127">
        <f t="shared" si="45"/>
        <v>2295612</v>
      </c>
      <c r="I278" s="128">
        <f t="shared" si="46"/>
        <v>111191.52</v>
      </c>
      <c r="J278" s="128">
        <f t="shared" si="47"/>
        <v>2406803.52</v>
      </c>
      <c r="K278" s="44">
        <f t="shared" si="58"/>
        <v>1.5951641393127753E-3</v>
      </c>
      <c r="L278" s="45">
        <f t="shared" si="59"/>
        <v>5480.4082740435551</v>
      </c>
      <c r="M278" s="45">
        <f t="shared" si="60"/>
        <v>5914.6306016258741</v>
      </c>
      <c r="N278" s="45">
        <f t="shared" si="48"/>
        <v>29628.398875669431</v>
      </c>
      <c r="O278" s="46">
        <f t="shared" si="49"/>
        <v>3910948.651588365</v>
      </c>
      <c r="P278" s="47">
        <f t="shared" si="50"/>
        <v>43424.816439393937</v>
      </c>
      <c r="Q278" s="42">
        <v>5732075.7699999996</v>
      </c>
      <c r="R278" s="152">
        <f t="shared" si="54"/>
        <v>0.68229186223551352</v>
      </c>
      <c r="S278" s="49"/>
      <c r="U278" s="112"/>
    </row>
    <row r="279" spans="1:21" hidden="1" outlineLevel="2" x14ac:dyDescent="0.3">
      <c r="A279" s="40" t="str">
        <f>VLOOKUP(B279,Grupos!$A$2:$B$619,2,FALSE)</f>
        <v>TABLEROS 95 AMP COBRE</v>
      </c>
      <c r="B279" s="41" t="s">
        <v>450</v>
      </c>
      <c r="C279" s="41" t="s">
        <v>451</v>
      </c>
      <c r="D279" s="42">
        <v>1560</v>
      </c>
      <c r="E279" s="43">
        <f>VLOOKUP(B279,[1]Todos!$A$2:$B$3021,2,FALSE)</f>
        <v>17287.38</v>
      </c>
      <c r="F279" s="43">
        <f>VLOOKUP(B279,[1]Todos!$A$2:$C$3021,3,FALSE)</f>
        <v>789.26</v>
      </c>
      <c r="G279" s="126">
        <f t="shared" si="44"/>
        <v>18076.64</v>
      </c>
      <c r="H279" s="127">
        <f t="shared" si="45"/>
        <v>26968312.800000001</v>
      </c>
      <c r="I279" s="128">
        <f t="shared" si="46"/>
        <v>1231245.6000000001</v>
      </c>
      <c r="J279" s="128">
        <f t="shared" si="47"/>
        <v>28199558.399999999</v>
      </c>
      <c r="K279" s="44">
        <f t="shared" si="58"/>
        <v>1.8689902989728193E-2</v>
      </c>
      <c r="L279" s="45">
        <f t="shared" si="59"/>
        <v>5433.3028812520934</v>
      </c>
      <c r="M279" s="45">
        <f t="shared" si="60"/>
        <v>5541.7889603485883</v>
      </c>
      <c r="N279" s="45">
        <f t="shared" si="48"/>
        <v>29051.731841600682</v>
      </c>
      <c r="O279" s="46">
        <f t="shared" si="49"/>
        <v>45320701.672897063</v>
      </c>
      <c r="P279" s="47">
        <f t="shared" si="50"/>
        <v>43814.554461538457</v>
      </c>
      <c r="Q279" s="42">
        <v>68350704.959999993</v>
      </c>
      <c r="R279" s="152">
        <f t="shared" si="54"/>
        <v>0.66306121786775307</v>
      </c>
      <c r="S279" s="49"/>
      <c r="U279" s="112"/>
    </row>
    <row r="280" spans="1:21" hidden="1" outlineLevel="2" x14ac:dyDescent="0.3">
      <c r="A280" s="40" t="str">
        <f>VLOOKUP(B280,Grupos!$A$2:$B$619,2,FALSE)</f>
        <v>TABLEROS 95 AMP COBRE</v>
      </c>
      <c r="B280" s="41" t="s">
        <v>452</v>
      </c>
      <c r="C280" s="41" t="s">
        <v>453</v>
      </c>
      <c r="D280" s="42">
        <v>120</v>
      </c>
      <c r="E280" s="43">
        <f>VLOOKUP(B280,[1]Todos!$A$2:$B$3021,2,FALSE)</f>
        <v>14552.77</v>
      </c>
      <c r="F280" s="43">
        <f>VLOOKUP(B280,[1]Todos!$A$2:$C$3021,3,FALSE)</f>
        <v>748.48</v>
      </c>
      <c r="G280" s="126">
        <f t="shared" si="44"/>
        <v>15301.25</v>
      </c>
      <c r="H280" s="127">
        <f t="shared" si="45"/>
        <v>1746332.4000000001</v>
      </c>
      <c r="I280" s="128">
        <f t="shared" si="46"/>
        <v>89817.600000000006</v>
      </c>
      <c r="J280" s="128">
        <f t="shared" si="47"/>
        <v>1836150</v>
      </c>
      <c r="K280" s="44">
        <f t="shared" si="58"/>
        <v>1.2169504531882821E-3</v>
      </c>
      <c r="L280" s="45">
        <f t="shared" si="59"/>
        <v>4599.1028040475785</v>
      </c>
      <c r="M280" s="45">
        <f t="shared" si="60"/>
        <v>5255.4521970475025</v>
      </c>
      <c r="N280" s="45">
        <f t="shared" si="48"/>
        <v>25155.805001095083</v>
      </c>
      <c r="O280" s="46">
        <f t="shared" si="49"/>
        <v>3018696.6001314102</v>
      </c>
      <c r="P280" s="47">
        <f t="shared" si="50"/>
        <v>38986.298749999994</v>
      </c>
      <c r="Q280" s="42">
        <v>4678355.8499999996</v>
      </c>
      <c r="R280" s="152">
        <f t="shared" si="54"/>
        <v>0.64524732553882369</v>
      </c>
      <c r="S280" s="49"/>
      <c r="U280" s="112"/>
    </row>
    <row r="281" spans="1:21" s="93" customFormat="1" outlineLevel="1" collapsed="1" x14ac:dyDescent="0.3">
      <c r="A281" s="50" t="s">
        <v>1043</v>
      </c>
      <c r="B281" s="129"/>
      <c r="C281" s="129"/>
      <c r="D281" s="51">
        <f>SUBTOTAL(9,D275:D280)</f>
        <v>2506</v>
      </c>
      <c r="E281" s="52"/>
      <c r="F281" s="52"/>
      <c r="G281" s="130"/>
      <c r="H281" s="131">
        <f>SUBTOTAL(9,H275:H280)</f>
        <v>46822637.639999993</v>
      </c>
      <c r="I281" s="146">
        <f>SUBTOTAL(9,I275:I280)</f>
        <v>2023881.3400000003</v>
      </c>
      <c r="J281" s="146">
        <f>SUBTOTAL(9,J275:J280)</f>
        <v>48846518.979999997</v>
      </c>
      <c r="K281" s="53"/>
      <c r="L281" s="54"/>
      <c r="M281" s="54"/>
      <c r="N281" s="54"/>
      <c r="O281" s="55">
        <f>SUBTOTAL(9,O275:O280)</f>
        <v>77739019.132348582</v>
      </c>
      <c r="P281" s="56"/>
      <c r="Q281" s="51">
        <f>SUBTOTAL(9,Q275:Q280)</f>
        <v>117965501.02</v>
      </c>
      <c r="R281" s="198">
        <f>O281/Q281</f>
        <v>0.6589979143069008</v>
      </c>
      <c r="S281" s="58">
        <f>Q281/$Q$295</f>
        <v>3.0195289038692383E-2</v>
      </c>
      <c r="T281" s="158"/>
      <c r="U281" s="147"/>
    </row>
    <row r="282" spans="1:21" hidden="1" outlineLevel="2" x14ac:dyDescent="0.3">
      <c r="A282" s="40" t="str">
        <f>VLOOKUP(B282,Grupos!$A$2:$B$619,2,FALSE)</f>
        <v>TAPAS PLASTICAS</v>
      </c>
      <c r="B282" s="41" t="s">
        <v>454</v>
      </c>
      <c r="C282" s="41" t="s">
        <v>455</v>
      </c>
      <c r="D282" s="42">
        <v>25</v>
      </c>
      <c r="E282" s="43">
        <f>VLOOKUP(B282,[1]Todos!$A$2:$B$3021,2,FALSE)</f>
        <v>1629.99</v>
      </c>
      <c r="F282" s="43">
        <f>VLOOKUP(B282,[1]Todos!$A$2:$C$3021,3,FALSE)</f>
        <v>66.239999999999995</v>
      </c>
      <c r="G282" s="126">
        <f t="shared" si="44"/>
        <v>1696.23</v>
      </c>
      <c r="H282" s="127">
        <f t="shared" si="45"/>
        <v>40749.75</v>
      </c>
      <c r="I282" s="128">
        <f t="shared" si="46"/>
        <v>1655.9999999999998</v>
      </c>
      <c r="J282" s="128">
        <f t="shared" si="47"/>
        <v>42405.75</v>
      </c>
      <c r="K282" s="44">
        <f t="shared" ref="K282:K292" si="61">J282/$J$295</f>
        <v>2.8105381739122073E-5</v>
      </c>
      <c r="L282" s="45">
        <f t="shared" ref="L282:L292" si="62">$K$367*K282/D282</f>
        <v>509.83652638246053</v>
      </c>
      <c r="M282" s="45">
        <f t="shared" ref="M282:M292" si="63">F282*$M$366</f>
        <v>465.1041491187828</v>
      </c>
      <c r="N282" s="45">
        <f t="shared" si="48"/>
        <v>2671.1706755012433</v>
      </c>
      <c r="O282" s="46">
        <f t="shared" si="49"/>
        <v>66779.266887531077</v>
      </c>
      <c r="P282" s="47">
        <f t="shared" si="50"/>
        <v>10982</v>
      </c>
      <c r="Q282" s="42">
        <v>274550</v>
      </c>
      <c r="R282" s="152">
        <f t="shared" si="54"/>
        <v>0.24323171330370089</v>
      </c>
      <c r="S282" s="49"/>
      <c r="U282" s="112"/>
    </row>
    <row r="283" spans="1:21" hidden="1" outlineLevel="2" x14ac:dyDescent="0.3">
      <c r="A283" s="40" t="str">
        <f>VLOOKUP(B283,Grupos!$A$2:$B$619,2,FALSE)</f>
        <v>TAPAS PLASTICAS</v>
      </c>
      <c r="B283" s="41" t="s">
        <v>456</v>
      </c>
      <c r="C283" s="41" t="s">
        <v>457</v>
      </c>
      <c r="D283" s="42">
        <v>31</v>
      </c>
      <c r="E283" s="43">
        <v>1065.73</v>
      </c>
      <c r="F283" s="43">
        <v>57.03</v>
      </c>
      <c r="G283" s="126">
        <f t="shared" si="44"/>
        <v>1122.76</v>
      </c>
      <c r="H283" s="127">
        <f t="shared" si="45"/>
        <v>33037.629999999997</v>
      </c>
      <c r="I283" s="128">
        <f t="shared" si="46"/>
        <v>1767.93</v>
      </c>
      <c r="J283" s="128">
        <f t="shared" si="47"/>
        <v>34805.56</v>
      </c>
      <c r="K283" s="44">
        <f t="shared" si="61"/>
        <v>2.3068181801852757E-5</v>
      </c>
      <c r="L283" s="45">
        <f t="shared" si="62"/>
        <v>337.46842017955777</v>
      </c>
      <c r="M283" s="45">
        <f t="shared" si="63"/>
        <v>400.43613563170567</v>
      </c>
      <c r="N283" s="45">
        <f t="shared" si="48"/>
        <v>1860.6645558112634</v>
      </c>
      <c r="O283" s="46">
        <f t="shared" si="49"/>
        <v>57680.601230149165</v>
      </c>
      <c r="P283" s="47">
        <f t="shared" si="50"/>
        <v>4999.7580645161288</v>
      </c>
      <c r="Q283" s="42">
        <v>154992.5</v>
      </c>
      <c r="R283" s="152">
        <f t="shared" si="54"/>
        <v>0.37215091846475906</v>
      </c>
      <c r="S283" s="49"/>
      <c r="U283" s="112"/>
    </row>
    <row r="284" spans="1:21" hidden="1" outlineLevel="2" x14ac:dyDescent="0.3">
      <c r="A284" s="40" t="str">
        <f>VLOOKUP(B284,Grupos!$A$2:$B$619,2,FALSE)</f>
        <v>TAPAS PLASTICAS</v>
      </c>
      <c r="B284" s="41" t="s">
        <v>459</v>
      </c>
      <c r="C284" s="41" t="s">
        <v>460</v>
      </c>
      <c r="D284" s="42">
        <v>28</v>
      </c>
      <c r="E284" s="43">
        <v>1181.74</v>
      </c>
      <c r="F284" s="43">
        <v>60.81</v>
      </c>
      <c r="G284" s="126">
        <f t="shared" si="44"/>
        <v>1242.55</v>
      </c>
      <c r="H284" s="127">
        <f t="shared" si="45"/>
        <v>33088.720000000001</v>
      </c>
      <c r="I284" s="128">
        <f t="shared" si="46"/>
        <v>1702.68</v>
      </c>
      <c r="J284" s="128">
        <f t="shared" si="47"/>
        <v>34791.4</v>
      </c>
      <c r="K284" s="44">
        <f t="shared" si="61"/>
        <v>2.3058796937643873E-5</v>
      </c>
      <c r="L284" s="45">
        <f t="shared" si="62"/>
        <v>373.47374816889584</v>
      </c>
      <c r="M284" s="45">
        <f t="shared" si="63"/>
        <v>426.97740501076669</v>
      </c>
      <c r="N284" s="45">
        <f t="shared" si="48"/>
        <v>2043.0011531796624</v>
      </c>
      <c r="O284" s="46">
        <f t="shared" si="49"/>
        <v>57204.032289030547</v>
      </c>
      <c r="P284" s="47">
        <f t="shared" si="50"/>
        <v>5966.25</v>
      </c>
      <c r="Q284" s="42">
        <v>167055</v>
      </c>
      <c r="R284" s="152">
        <f t="shared" si="54"/>
        <v>0.34242634036114183</v>
      </c>
      <c r="S284" s="49"/>
      <c r="U284" s="112"/>
    </row>
    <row r="285" spans="1:21" hidden="1" outlineLevel="2" x14ac:dyDescent="0.3">
      <c r="A285" s="40" t="str">
        <f>VLOOKUP(B285,Grupos!$A$2:$B$619,2,FALSE)</f>
        <v>TAPAS PLASTICAS</v>
      </c>
      <c r="B285" s="41" t="s">
        <v>461</v>
      </c>
      <c r="C285" s="41" t="s">
        <v>462</v>
      </c>
      <c r="D285" s="42">
        <v>5</v>
      </c>
      <c r="E285" s="43">
        <f>VLOOKUP(B285,[1]Todos!$A$2:$B$3021,2,FALSE)</f>
        <v>1496.86</v>
      </c>
      <c r="F285" s="43">
        <f>VLOOKUP(B285,[1]Todos!$A$2:$C$3021,3,FALSE)</f>
        <v>56.49</v>
      </c>
      <c r="G285" s="126">
        <f t="shared" si="44"/>
        <v>1553.35</v>
      </c>
      <c r="H285" s="127">
        <f t="shared" si="45"/>
        <v>7484.2999999999993</v>
      </c>
      <c r="I285" s="128">
        <f t="shared" si="46"/>
        <v>282.45</v>
      </c>
      <c r="J285" s="128">
        <f t="shared" si="47"/>
        <v>7766.75</v>
      </c>
      <c r="K285" s="44">
        <f t="shared" si="61"/>
        <v>5.1475913908450237E-6</v>
      </c>
      <c r="L285" s="45">
        <f t="shared" si="62"/>
        <v>466.89102790081245</v>
      </c>
      <c r="M285" s="45">
        <f t="shared" si="63"/>
        <v>396.64452572041125</v>
      </c>
      <c r="N285" s="45">
        <f t="shared" si="48"/>
        <v>2416.8855536212236</v>
      </c>
      <c r="O285" s="46">
        <f t="shared" si="49"/>
        <v>12084.427768106118</v>
      </c>
      <c r="P285" s="47">
        <f t="shared" si="50"/>
        <v>8284</v>
      </c>
      <c r="Q285" s="42">
        <v>41420</v>
      </c>
      <c r="R285" s="152">
        <f t="shared" si="54"/>
        <v>0.29175344683983867</v>
      </c>
      <c r="S285" s="49"/>
      <c r="U285" s="112"/>
    </row>
    <row r="286" spans="1:21" hidden="1" outlineLevel="2" x14ac:dyDescent="0.3">
      <c r="A286" s="40" t="str">
        <f>VLOOKUP(B286,Grupos!$A$2:$B$619,2,FALSE)</f>
        <v>TAPAS PLASTICAS</v>
      </c>
      <c r="B286" s="41" t="s">
        <v>463</v>
      </c>
      <c r="C286" s="41" t="s">
        <v>464</v>
      </c>
      <c r="D286" s="42">
        <v>5800</v>
      </c>
      <c r="E286" s="43">
        <f>VLOOKUP(B286,[1]Todos!$A$2:$B$3021,2,FALSE)</f>
        <v>21.3</v>
      </c>
      <c r="F286" s="43">
        <f>VLOOKUP(B286,[1]Todos!$A$2:$C$3021,3,FALSE)</f>
        <v>9.2200000000000006</v>
      </c>
      <c r="G286" s="126">
        <f t="shared" si="44"/>
        <v>30.520000000000003</v>
      </c>
      <c r="H286" s="127">
        <f t="shared" si="45"/>
        <v>123540</v>
      </c>
      <c r="I286" s="128">
        <f t="shared" si="46"/>
        <v>53476.000000000007</v>
      </c>
      <c r="J286" s="128">
        <f t="shared" si="47"/>
        <v>177016.00000000003</v>
      </c>
      <c r="K286" s="44">
        <f t="shared" si="61"/>
        <v>1.1732140697741306E-4</v>
      </c>
      <c r="L286" s="45">
        <f t="shared" si="62"/>
        <v>9.1734085502512599</v>
      </c>
      <c r="M286" s="45">
        <f t="shared" si="63"/>
        <v>64.738228485434448</v>
      </c>
      <c r="N286" s="45">
        <f t="shared" si="48"/>
        <v>104.43163703568571</v>
      </c>
      <c r="O286" s="46">
        <f t="shared" si="49"/>
        <v>605703.49480697711</v>
      </c>
      <c r="P286" s="47">
        <f t="shared" si="50"/>
        <v>404.25000862068964</v>
      </c>
      <c r="Q286" s="42">
        <v>2344650.0499999998</v>
      </c>
      <c r="R286" s="152">
        <f t="shared" si="54"/>
        <v>0.25833428524097962</v>
      </c>
      <c r="S286" s="49"/>
      <c r="U286" s="112"/>
    </row>
    <row r="287" spans="1:21" hidden="1" outlineLevel="2" x14ac:dyDescent="0.3">
      <c r="A287" s="40" t="str">
        <f>VLOOKUP(B287,Grupos!$A$2:$B$619,2,FALSE)</f>
        <v>TAPAS PLASTICAS</v>
      </c>
      <c r="B287" s="41" t="s">
        <v>465</v>
      </c>
      <c r="C287" s="41" t="s">
        <v>466</v>
      </c>
      <c r="D287" s="42">
        <v>172800</v>
      </c>
      <c r="E287" s="43">
        <f>VLOOKUP(B287,[1]Todos!$A$2:$B$3021,2,FALSE)</f>
        <v>74.7</v>
      </c>
      <c r="F287" s="43">
        <f>VLOOKUP(B287,[1]Todos!$A$2:$C$3021,3,FALSE)</f>
        <v>7.69</v>
      </c>
      <c r="G287" s="126">
        <f t="shared" si="44"/>
        <v>82.39</v>
      </c>
      <c r="H287" s="127">
        <f t="shared" si="45"/>
        <v>12908160</v>
      </c>
      <c r="I287" s="128">
        <f t="shared" si="46"/>
        <v>1328832</v>
      </c>
      <c r="J287" s="128">
        <f t="shared" si="47"/>
        <v>14236992</v>
      </c>
      <c r="K287" s="44">
        <f t="shared" si="61"/>
        <v>9.4358924197031537E-3</v>
      </c>
      <c r="L287" s="45">
        <f t="shared" si="62"/>
        <v>24.763995100104889</v>
      </c>
      <c r="M287" s="45">
        <f t="shared" si="63"/>
        <v>53.995333736766909</v>
      </c>
      <c r="N287" s="45">
        <f t="shared" si="48"/>
        <v>161.1493288368718</v>
      </c>
      <c r="O287" s="46">
        <f t="shared" si="49"/>
        <v>27846604.023011446</v>
      </c>
      <c r="P287" s="47">
        <f t="shared" si="50"/>
        <v>229.07083923611114</v>
      </c>
      <c r="Q287" s="42">
        <v>39583441.020000003</v>
      </c>
      <c r="R287" s="152">
        <f t="shared" si="54"/>
        <v>0.70349124041393019</v>
      </c>
      <c r="S287" s="49"/>
      <c r="U287" s="112"/>
    </row>
    <row r="288" spans="1:21" hidden="1" outlineLevel="2" x14ac:dyDescent="0.3">
      <c r="A288" s="40" t="str">
        <f>VLOOKUP(B288,Grupos!$A$2:$B$619,2,FALSE)</f>
        <v>TAPAS PLASTICAS</v>
      </c>
      <c r="B288" s="41" t="s">
        <v>467</v>
      </c>
      <c r="C288" s="41" t="s">
        <v>468</v>
      </c>
      <c r="D288" s="42">
        <v>18000</v>
      </c>
      <c r="E288" s="43">
        <f>VLOOKUP(B288,[1]Todos!$A$2:$B$3021,2,FALSE)</f>
        <v>77.11</v>
      </c>
      <c r="F288" s="43">
        <f>VLOOKUP(B288,[1]Todos!$A$2:$C$3021,3,FALSE)</f>
        <v>9.11</v>
      </c>
      <c r="G288" s="126">
        <f t="shared" ref="G288:G353" si="64">E288+F288</f>
        <v>86.22</v>
      </c>
      <c r="H288" s="127">
        <f t="shared" ref="H288:H292" si="65">E288*D288</f>
        <v>1387980</v>
      </c>
      <c r="I288" s="128">
        <f t="shared" ref="I288:I292" si="66">F288*D288</f>
        <v>163980</v>
      </c>
      <c r="J288" s="128">
        <f t="shared" si="47"/>
        <v>1551960</v>
      </c>
      <c r="K288" s="44">
        <f t="shared" si="61"/>
        <v>1.0285970238434149E-3</v>
      </c>
      <c r="L288" s="45">
        <f t="shared" si="62"/>
        <v>25.915179724857914</v>
      </c>
      <c r="M288" s="45">
        <f t="shared" si="63"/>
        <v>63.965863503504096</v>
      </c>
      <c r="N288" s="45">
        <f t="shared" ref="N288:N291" si="67">G288+L288+M288</f>
        <v>176.10104322836202</v>
      </c>
      <c r="O288" s="46">
        <f t="shared" ref="O288:O292" si="68">N288*D288</f>
        <v>3169818.7781105163</v>
      </c>
      <c r="P288" s="47">
        <f t="shared" ref="P288:P292" si="69">Q288/D288</f>
        <v>231.66001222222224</v>
      </c>
      <c r="Q288" s="42">
        <v>4169880.22</v>
      </c>
      <c r="R288" s="152">
        <f t="shared" si="54"/>
        <v>0.76017022333330142</v>
      </c>
      <c r="S288" s="49"/>
      <c r="U288" s="112"/>
    </row>
    <row r="289" spans="1:21" hidden="1" outlineLevel="2" x14ac:dyDescent="0.3">
      <c r="A289" s="40" t="str">
        <f>VLOOKUP(B289,Grupos!$A$2:$B$619,2,FALSE)</f>
        <v>TAPAS PLASTICAS</v>
      </c>
      <c r="B289" s="41" t="s">
        <v>469</v>
      </c>
      <c r="C289" s="41" t="s">
        <v>470</v>
      </c>
      <c r="D289" s="42">
        <v>16000</v>
      </c>
      <c r="E289" s="43">
        <f>VLOOKUP(B289,[1]Todos!$A$2:$B$3021,2,FALSE)</f>
        <v>65.040000000000006</v>
      </c>
      <c r="F289" s="43">
        <f>VLOOKUP(B289,[1]Todos!$A$2:$C$3021,3,FALSE)</f>
        <v>19.579999999999998</v>
      </c>
      <c r="G289" s="126">
        <f t="shared" si="64"/>
        <v>84.62</v>
      </c>
      <c r="H289" s="127">
        <f t="shared" si="65"/>
        <v>1040640.0000000001</v>
      </c>
      <c r="I289" s="128">
        <f t="shared" si="66"/>
        <v>313280</v>
      </c>
      <c r="J289" s="128">
        <f t="shared" si="47"/>
        <v>1353920</v>
      </c>
      <c r="K289" s="44">
        <f t="shared" si="61"/>
        <v>8.9734147949823209E-4</v>
      </c>
      <c r="L289" s="45">
        <f t="shared" si="62"/>
        <v>25.43426708788537</v>
      </c>
      <c r="M289" s="45">
        <f t="shared" si="63"/>
        <v>137.48096678360156</v>
      </c>
      <c r="N289" s="45">
        <f t="shared" si="67"/>
        <v>247.53523387148692</v>
      </c>
      <c r="O289" s="46">
        <f t="shared" si="68"/>
        <v>3960563.7419437906</v>
      </c>
      <c r="P289" s="47">
        <f t="shared" si="69"/>
        <v>235.01562874999999</v>
      </c>
      <c r="Q289" s="42">
        <v>3760250.06</v>
      </c>
      <c r="R289" s="162">
        <f t="shared" si="54"/>
        <v>1.0532713725809475</v>
      </c>
      <c r="S289" s="49"/>
      <c r="U289" s="112"/>
    </row>
    <row r="290" spans="1:21" hidden="1" outlineLevel="2" x14ac:dyDescent="0.3">
      <c r="A290" s="40" t="str">
        <f>VLOOKUP(B290,Grupos!$A$2:$B$619,2,FALSE)</f>
        <v>TAPAS PLASTICAS</v>
      </c>
      <c r="B290" s="41" t="s">
        <v>471</v>
      </c>
      <c r="C290" s="41" t="s">
        <v>472</v>
      </c>
      <c r="D290" s="42">
        <v>2000</v>
      </c>
      <c r="E290" s="43">
        <f>VLOOKUP(B290,[1]Todos!$A$2:$B$3021,2,FALSE)</f>
        <v>62.15</v>
      </c>
      <c r="F290" s="43">
        <f>VLOOKUP(B290,[1]Todos!$A$2:$C$3021,3,FALSE)</f>
        <v>19.79</v>
      </c>
      <c r="G290" s="126">
        <f t="shared" si="64"/>
        <v>81.94</v>
      </c>
      <c r="H290" s="127">
        <f t="shared" si="65"/>
        <v>124300</v>
      </c>
      <c r="I290" s="128">
        <f t="shared" si="66"/>
        <v>39580</v>
      </c>
      <c r="J290" s="128">
        <f t="shared" si="47"/>
        <v>163880</v>
      </c>
      <c r="K290" s="44">
        <f t="shared" si="61"/>
        <v>1.0861522221414136E-4</v>
      </c>
      <c r="L290" s="45">
        <f t="shared" si="62"/>
        <v>24.62873842095636</v>
      </c>
      <c r="M290" s="45">
        <f t="shared" si="63"/>
        <v>138.95548174910493</v>
      </c>
      <c r="N290" s="45">
        <f t="shared" si="67"/>
        <v>245.52422017006128</v>
      </c>
      <c r="O290" s="46">
        <f t="shared" si="68"/>
        <v>491048.44034012256</v>
      </c>
      <c r="P290" s="47">
        <f t="shared" si="69"/>
        <v>234.00001500000002</v>
      </c>
      <c r="Q290" s="42">
        <v>468000.03</v>
      </c>
      <c r="R290" s="162">
        <f t="shared" si="54"/>
        <v>1.0492487368860266</v>
      </c>
      <c r="S290" s="49"/>
      <c r="U290" s="112"/>
    </row>
    <row r="291" spans="1:21" hidden="1" outlineLevel="2" x14ac:dyDescent="0.3">
      <c r="A291" s="40" t="str">
        <f>VLOOKUP(B291,Grupos!$A$2:$B$619,2,FALSE)</f>
        <v>TAPAS PLASTICAS</v>
      </c>
      <c r="B291" s="41" t="s">
        <v>473</v>
      </c>
      <c r="C291" s="41" t="s">
        <v>474</v>
      </c>
      <c r="D291" s="42">
        <v>9690</v>
      </c>
      <c r="E291" s="43">
        <f>VLOOKUP(B291,[1]Todos!$A$2:$B$3021,2,FALSE)</f>
        <v>91.58</v>
      </c>
      <c r="F291" s="43">
        <f>VLOOKUP(B291,[1]Todos!$A$2:$C$3021,3,FALSE)</f>
        <v>20.57</v>
      </c>
      <c r="G291" s="126">
        <f t="shared" si="64"/>
        <v>112.15</v>
      </c>
      <c r="H291" s="127">
        <f t="shared" si="65"/>
        <v>887410.2</v>
      </c>
      <c r="I291" s="128">
        <f t="shared" si="66"/>
        <v>199323.3</v>
      </c>
      <c r="J291" s="128">
        <f t="shared" si="47"/>
        <v>1086733.5</v>
      </c>
      <c r="K291" s="44">
        <f t="shared" si="61"/>
        <v>7.2025750909233337E-4</v>
      </c>
      <c r="L291" s="45">
        <f t="shared" si="62"/>
        <v>33.70897014779419</v>
      </c>
      <c r="M291" s="45">
        <f t="shared" si="63"/>
        <v>144.43225162097468</v>
      </c>
      <c r="N291" s="45">
        <f t="shared" si="67"/>
        <v>290.29122176876888</v>
      </c>
      <c r="O291" s="46">
        <f t="shared" si="68"/>
        <v>2812921.9389393702</v>
      </c>
      <c r="P291" s="47">
        <f t="shared" si="69"/>
        <v>273.52940454076366</v>
      </c>
      <c r="Q291" s="42">
        <v>2650499.9300000002</v>
      </c>
      <c r="R291" s="162">
        <f t="shared" si="54"/>
        <v>1.0612797635272415</v>
      </c>
      <c r="S291" s="49"/>
      <c r="U291" s="112"/>
    </row>
    <row r="292" spans="1:21" hidden="1" outlineLevel="2" x14ac:dyDescent="0.3">
      <c r="A292" s="40" t="str">
        <f>VLOOKUP(B292,Grupos!$A$2:$B$619,2,FALSE)</f>
        <v>TAPAS PLASTICAS</v>
      </c>
      <c r="B292" s="41" t="s">
        <v>475</v>
      </c>
      <c r="C292" s="41" t="s">
        <v>476</v>
      </c>
      <c r="D292" s="42">
        <v>15390</v>
      </c>
      <c r="E292" s="43">
        <f>VLOOKUP(B292,[1]Todos!$A$2:$B$3021,2,FALSE)</f>
        <v>96.41</v>
      </c>
      <c r="F292" s="43">
        <f>VLOOKUP(B292,[1]Todos!$A$2:$C$3021,3,FALSE)</f>
        <v>21.71</v>
      </c>
      <c r="G292" s="126">
        <f t="shared" si="64"/>
        <v>118.12</v>
      </c>
      <c r="H292" s="127">
        <f t="shared" si="65"/>
        <v>1483749.9</v>
      </c>
      <c r="I292" s="128">
        <f t="shared" si="66"/>
        <v>334116.90000000002</v>
      </c>
      <c r="J292" s="128">
        <f t="shared" si="47"/>
        <v>1817866.8</v>
      </c>
      <c r="K292" s="44">
        <f t="shared" si="61"/>
        <v>1.2048328437741646E-3</v>
      </c>
      <c r="L292" s="45">
        <f t="shared" si="62"/>
        <v>35.503375424497996</v>
      </c>
      <c r="M292" s="45">
        <f t="shared" si="63"/>
        <v>152.43676143370735</v>
      </c>
      <c r="N292" s="45">
        <f>G292+L292+M292</f>
        <v>306.06013685820534</v>
      </c>
      <c r="O292" s="46">
        <f t="shared" si="68"/>
        <v>4710265.5062477803</v>
      </c>
      <c r="P292" s="47">
        <f t="shared" si="69"/>
        <v>282.37037426900582</v>
      </c>
      <c r="Q292" s="42">
        <v>4345680.0599999996</v>
      </c>
      <c r="R292" s="162">
        <f t="shared" si="54"/>
        <v>1.0838960625757112</v>
      </c>
      <c r="S292" s="49"/>
      <c r="U292" s="112"/>
    </row>
    <row r="293" spans="1:21" s="93" customFormat="1" outlineLevel="1" collapsed="1" x14ac:dyDescent="0.3">
      <c r="A293" s="50" t="s">
        <v>1044</v>
      </c>
      <c r="B293" s="129"/>
      <c r="C293" s="129"/>
      <c r="D293" s="51">
        <f>SUBTOTAL(9,D282:D292)</f>
        <v>239769</v>
      </c>
      <c r="E293" s="52"/>
      <c r="F293" s="52"/>
      <c r="G293" s="130"/>
      <c r="H293" s="131">
        <f>SUBTOTAL(9,H282:H292)</f>
        <v>18070140.5</v>
      </c>
      <c r="I293" s="146">
        <f>SUBTOTAL(9,I282:I292)</f>
        <v>2437997.2599999998</v>
      </c>
      <c r="J293" s="146">
        <f>SUBTOTAL(9,J282:J292)</f>
        <v>20508137.760000002</v>
      </c>
      <c r="K293" s="53"/>
      <c r="L293" s="54"/>
      <c r="M293" s="54"/>
      <c r="N293" s="54"/>
      <c r="O293" s="55">
        <f>SUBTOTAL(9,O282:O292)</f>
        <v>43790674.251574822</v>
      </c>
      <c r="P293" s="56"/>
      <c r="Q293" s="51">
        <f>SUBTOTAL(9,Q282:Q292)</f>
        <v>57960418.870000005</v>
      </c>
      <c r="R293" s="198">
        <f>O293/Q293</f>
        <v>0.75552722194422639</v>
      </c>
      <c r="S293" s="58">
        <f>Q293/$Q$295</f>
        <v>1.4835961238248893E-2</v>
      </c>
      <c r="T293" s="158"/>
      <c r="U293" s="147"/>
    </row>
    <row r="294" spans="1:21" hidden="1" x14ac:dyDescent="0.3">
      <c r="A294" s="50" t="s">
        <v>477</v>
      </c>
      <c r="B294" s="41"/>
      <c r="C294" s="41"/>
      <c r="D294" s="42">
        <f>SUBTOTAL(9,D5:D292)</f>
        <v>2522488.35</v>
      </c>
      <c r="E294" s="43"/>
      <c r="F294" s="43"/>
      <c r="G294" s="126"/>
      <c r="H294" s="127">
        <f>SUBTOTAL(9,H5:H292)</f>
        <v>1406986153.1999991</v>
      </c>
      <c r="I294" s="128">
        <f>SUBTOTAL(9,I5:I292)</f>
        <v>101826301.07000001</v>
      </c>
      <c r="J294" s="128">
        <f>SUBTOTAL(9,J5:J292)</f>
        <v>1508812454.2699995</v>
      </c>
      <c r="K294" s="44"/>
      <c r="L294" s="45"/>
      <c r="M294" s="45"/>
      <c r="N294" s="45"/>
      <c r="O294" s="46">
        <f>SUBTOTAL(9,O5:O292)</f>
        <v>2677290170.5560403</v>
      </c>
      <c r="P294" s="47"/>
      <c r="Q294" s="42">
        <f>SUBTOTAL(9,Q5:Q292)</f>
        <v>3906751840.2900023</v>
      </c>
      <c r="R294" s="198"/>
      <c r="S294" s="58"/>
      <c r="U294" s="112"/>
    </row>
    <row r="295" spans="1:21" s="93" customFormat="1" hidden="1" x14ac:dyDescent="0.3">
      <c r="A295" s="50" t="s">
        <v>1011</v>
      </c>
      <c r="B295" s="129"/>
      <c r="C295" s="129"/>
      <c r="D295" s="51">
        <f>D294</f>
        <v>2522488.35</v>
      </c>
      <c r="E295" s="52"/>
      <c r="F295" s="52"/>
      <c r="G295" s="130"/>
      <c r="H295" s="51">
        <f>H294</f>
        <v>1406986153.1999991</v>
      </c>
      <c r="I295" s="51">
        <f>I294</f>
        <v>101826301.07000001</v>
      </c>
      <c r="J295" s="51">
        <f>J294</f>
        <v>1508812454.2699995</v>
      </c>
      <c r="K295" s="53">
        <f>J295/$J$295</f>
        <v>1</v>
      </c>
      <c r="L295" s="54"/>
      <c r="M295" s="54"/>
      <c r="N295" s="54"/>
      <c r="O295" s="131">
        <f>O294</f>
        <v>2677290170.5560403</v>
      </c>
      <c r="P295" s="56"/>
      <c r="Q295" s="51">
        <f>Q294</f>
        <v>3906751840.2900023</v>
      </c>
      <c r="R295" s="164">
        <f t="shared" si="54"/>
        <v>0.68529824263352801</v>
      </c>
      <c r="S295" s="58">
        <f>Q295/Q361</f>
        <v>0.76357283148957189</v>
      </c>
      <c r="T295" s="158"/>
      <c r="U295" s="147"/>
    </row>
    <row r="296" spans="1:21" hidden="1" x14ac:dyDescent="0.3">
      <c r="A296" s="40" t="str">
        <f>VLOOKUP(B296,Grupos!$A$2:$B$619,2,FALSE)</f>
        <v>BREAKERS</v>
      </c>
      <c r="B296" s="41" t="s">
        <v>481</v>
      </c>
      <c r="C296" s="41" t="s">
        <v>482</v>
      </c>
      <c r="D296" s="42">
        <v>3948</v>
      </c>
      <c r="E296" s="194">
        <v>5808.8315907531278</v>
      </c>
      <c r="F296" s="194"/>
      <c r="G296" s="126">
        <f t="shared" si="64"/>
        <v>5808.8315907531278</v>
      </c>
      <c r="H296" s="127">
        <f>E296*D296</f>
        <v>22933267.120293349</v>
      </c>
      <c r="I296" s="128">
        <f t="shared" ref="I296:I327" si="70">F296*D296</f>
        <v>0</v>
      </c>
      <c r="J296" s="128">
        <f t="shared" ref="J296:J327" si="71">G296*D296</f>
        <v>22933267.120293349</v>
      </c>
      <c r="K296" s="44">
        <f>J296/$J$347</f>
        <v>6.605043106912846E-2</v>
      </c>
      <c r="L296" s="45"/>
      <c r="M296" s="45">
        <f t="shared" ref="M296:M327" si="72">F296*$M$366</f>
        <v>0</v>
      </c>
      <c r="N296" s="45">
        <f>G296+L296+M296</f>
        <v>5808.8315907531278</v>
      </c>
      <c r="O296" s="46">
        <f t="shared" ref="O296:O327" si="73">N296*D296</f>
        <v>22933267.120293349</v>
      </c>
      <c r="P296" s="47">
        <f t="shared" ref="P296:P327" si="74">Q296/D296</f>
        <v>6902.8875379939209</v>
      </c>
      <c r="Q296" s="42">
        <v>27252600</v>
      </c>
      <c r="R296" s="152">
        <f t="shared" ref="R296:R327" si="75">O296/Q296</f>
        <v>0.84150749360770527</v>
      </c>
      <c r="S296" s="49"/>
      <c r="U296" s="112"/>
    </row>
    <row r="297" spans="1:21" hidden="1" x14ac:dyDescent="0.3">
      <c r="A297" s="40" t="str">
        <f>VLOOKUP(B297,Grupos!$A$2:$B$619,2,FALSE)</f>
        <v>BREAKERS</v>
      </c>
      <c r="B297" s="41" t="s">
        <v>483</v>
      </c>
      <c r="C297" s="41" t="s">
        <v>484</v>
      </c>
      <c r="D297" s="42">
        <v>684</v>
      </c>
      <c r="E297" s="194">
        <v>5815.0243200861933</v>
      </c>
      <c r="F297" s="194"/>
      <c r="G297" s="126">
        <f t="shared" si="64"/>
        <v>5815.0243200861933</v>
      </c>
      <c r="H297" s="127">
        <f t="shared" ref="H297:H346" si="76">E297*D297</f>
        <v>3977476.6349389562</v>
      </c>
      <c r="I297" s="128">
        <f t="shared" si="70"/>
        <v>0</v>
      </c>
      <c r="J297" s="128">
        <f t="shared" si="71"/>
        <v>3977476.6349389562</v>
      </c>
      <c r="K297" s="44">
        <f t="shared" ref="K297:K347" si="77">J297/$J$347</f>
        <v>1.1455587419231354E-2</v>
      </c>
      <c r="L297" s="45"/>
      <c r="M297" s="45">
        <f t="shared" si="72"/>
        <v>0</v>
      </c>
      <c r="N297" s="45">
        <f t="shared" ref="N297:N359" si="78">G297+L297+M297</f>
        <v>5815.0243200861933</v>
      </c>
      <c r="O297" s="46">
        <f t="shared" si="73"/>
        <v>3977476.6349389562</v>
      </c>
      <c r="P297" s="47">
        <f t="shared" si="74"/>
        <v>6950</v>
      </c>
      <c r="Q297" s="42">
        <v>4753800</v>
      </c>
      <c r="R297" s="152">
        <f t="shared" si="75"/>
        <v>0.83669414677499188</v>
      </c>
      <c r="S297" s="49"/>
      <c r="U297" s="112"/>
    </row>
    <row r="298" spans="1:21" hidden="1" x14ac:dyDescent="0.3">
      <c r="A298" s="40" t="str">
        <f>VLOOKUP(B298,Grupos!$A$2:$B$619,2,FALSE)</f>
        <v>BREAKERS</v>
      </c>
      <c r="B298" s="41" t="s">
        <v>485</v>
      </c>
      <c r="C298" s="41" t="s">
        <v>486</v>
      </c>
      <c r="D298" s="42">
        <v>22248</v>
      </c>
      <c r="E298" s="194">
        <f>VLOOKUP(B298,'[2]PROMEDIO AMAR'!$A$2:$F$42,6,FALSE)</f>
        <v>5006.9822721338787</v>
      </c>
      <c r="F298" s="194"/>
      <c r="G298" s="126">
        <f t="shared" si="64"/>
        <v>5006.9822721338787</v>
      </c>
      <c r="H298" s="127">
        <f t="shared" si="76"/>
        <v>111395341.59043454</v>
      </c>
      <c r="I298" s="128">
        <f t="shared" si="70"/>
        <v>0</v>
      </c>
      <c r="J298" s="128">
        <f t="shared" si="71"/>
        <v>111395341.59043454</v>
      </c>
      <c r="K298" s="44">
        <f t="shared" si="77"/>
        <v>0.32083131864932896</v>
      </c>
      <c r="L298" s="45"/>
      <c r="M298" s="45">
        <f t="shared" si="72"/>
        <v>0</v>
      </c>
      <c r="N298" s="45">
        <f t="shared" si="78"/>
        <v>5006.9822721338787</v>
      </c>
      <c r="O298" s="46">
        <f t="shared" si="73"/>
        <v>111395341.59043454</v>
      </c>
      <c r="P298" s="47">
        <f t="shared" si="74"/>
        <v>6922.9638542790372</v>
      </c>
      <c r="Q298" s="42">
        <v>154022099.83000001</v>
      </c>
      <c r="R298" s="152">
        <f t="shared" si="75"/>
        <v>0.72324258475495251</v>
      </c>
      <c r="S298" s="49"/>
      <c r="U298" s="112"/>
    </row>
    <row r="299" spans="1:21" hidden="1" x14ac:dyDescent="0.3">
      <c r="A299" s="40" t="str">
        <f>VLOOKUP(B299,Grupos!$A$2:$B$619,2,FALSE)</f>
        <v>BREAKERS</v>
      </c>
      <c r="B299" s="41" t="s">
        <v>487</v>
      </c>
      <c r="C299" s="41" t="s">
        <v>488</v>
      </c>
      <c r="D299" s="42">
        <v>13548</v>
      </c>
      <c r="E299" s="194">
        <f>VLOOKUP(B299,'[2]PROMEDIO AMAR'!$A$2:$F$42,6,FALSE)</f>
        <v>5006.9822721338787</v>
      </c>
      <c r="F299" s="194"/>
      <c r="G299" s="126">
        <f t="shared" si="64"/>
        <v>5006.9822721338787</v>
      </c>
      <c r="H299" s="127">
        <f t="shared" si="76"/>
        <v>67834595.822869793</v>
      </c>
      <c r="I299" s="128">
        <f t="shared" si="70"/>
        <v>0</v>
      </c>
      <c r="J299" s="128">
        <f t="shared" si="71"/>
        <v>67834595.822869793</v>
      </c>
      <c r="K299" s="44">
        <f t="shared" si="77"/>
        <v>0.19537139091428934</v>
      </c>
      <c r="L299" s="45"/>
      <c r="M299" s="45">
        <f t="shared" si="72"/>
        <v>0</v>
      </c>
      <c r="N299" s="45">
        <f t="shared" si="78"/>
        <v>5006.9822721338787</v>
      </c>
      <c r="O299" s="46">
        <f t="shared" si="73"/>
        <v>67834595.822869793</v>
      </c>
      <c r="P299" s="47">
        <f t="shared" si="74"/>
        <v>6945.3941541186887</v>
      </c>
      <c r="Q299" s="42">
        <v>94096200</v>
      </c>
      <c r="R299" s="152">
        <f t="shared" si="75"/>
        <v>0.72090685726809156</v>
      </c>
      <c r="S299" s="49"/>
      <c r="U299" s="112"/>
    </row>
    <row r="300" spans="1:21" hidden="1" x14ac:dyDescent="0.3">
      <c r="A300" s="40" t="str">
        <f>VLOOKUP(B300,Grupos!$A$2:$B$619,2,FALSE)</f>
        <v>BREAKERS</v>
      </c>
      <c r="B300" s="41" t="s">
        <v>489</v>
      </c>
      <c r="C300" s="41" t="s">
        <v>490</v>
      </c>
      <c r="D300" s="42">
        <v>1836</v>
      </c>
      <c r="E300" s="194">
        <f>VLOOKUP(B300,'[2]PROMEDIO AMAR'!$A$2:$F$42,6,FALSE)</f>
        <v>5006.9822721338787</v>
      </c>
      <c r="F300" s="194"/>
      <c r="G300" s="126">
        <f t="shared" si="64"/>
        <v>5006.9822721338787</v>
      </c>
      <c r="H300" s="127">
        <f t="shared" si="76"/>
        <v>9192819.4516378008</v>
      </c>
      <c r="I300" s="128">
        <f t="shared" si="70"/>
        <v>0</v>
      </c>
      <c r="J300" s="128">
        <f t="shared" si="71"/>
        <v>9192819.4516378008</v>
      </c>
      <c r="K300" s="44">
        <f t="shared" si="77"/>
        <v>2.6476370956498022E-2</v>
      </c>
      <c r="L300" s="45"/>
      <c r="M300" s="45">
        <f t="shared" si="72"/>
        <v>0</v>
      </c>
      <c r="N300" s="45">
        <f t="shared" si="78"/>
        <v>5006.9822721338787</v>
      </c>
      <c r="O300" s="46">
        <f t="shared" si="73"/>
        <v>9192819.4516378008</v>
      </c>
      <c r="P300" s="47">
        <f t="shared" si="74"/>
        <v>6916.1764542483661</v>
      </c>
      <c r="Q300" s="42">
        <v>12698099.970000001</v>
      </c>
      <c r="R300" s="152">
        <f t="shared" si="75"/>
        <v>0.72395236085370029</v>
      </c>
      <c r="S300" s="49"/>
      <c r="U300" s="112"/>
    </row>
    <row r="301" spans="1:21" hidden="1" x14ac:dyDescent="0.3">
      <c r="A301" s="40" t="str">
        <f>VLOOKUP(B301,Grupos!$A$2:$B$619,2,FALSE)</f>
        <v>BREAKERS</v>
      </c>
      <c r="B301" s="41" t="s">
        <v>491</v>
      </c>
      <c r="C301" s="41" t="s">
        <v>492</v>
      </c>
      <c r="D301" s="42">
        <v>2040</v>
      </c>
      <c r="E301" s="194">
        <f>VLOOKUP(B301,'[2]PROMEDIO AMAR'!$A$2:$F$42,6,FALSE)</f>
        <v>4937.5</v>
      </c>
      <c r="F301" s="194"/>
      <c r="G301" s="126">
        <f t="shared" si="64"/>
        <v>4937.5</v>
      </c>
      <c r="H301" s="127">
        <f t="shared" si="76"/>
        <v>10072500</v>
      </c>
      <c r="I301" s="128">
        <f t="shared" si="70"/>
        <v>0</v>
      </c>
      <c r="J301" s="128">
        <f t="shared" si="71"/>
        <v>10072500</v>
      </c>
      <c r="K301" s="44">
        <f t="shared" si="77"/>
        <v>2.9009951502073042E-2</v>
      </c>
      <c r="L301" s="45"/>
      <c r="M301" s="45">
        <f t="shared" si="72"/>
        <v>0</v>
      </c>
      <c r="N301" s="45">
        <f t="shared" si="78"/>
        <v>4937.5</v>
      </c>
      <c r="O301" s="46">
        <f t="shared" si="73"/>
        <v>10072500</v>
      </c>
      <c r="P301" s="47">
        <f t="shared" si="74"/>
        <v>6917.0588235294117</v>
      </c>
      <c r="Q301" s="42">
        <v>14110800</v>
      </c>
      <c r="R301" s="152">
        <f t="shared" si="75"/>
        <v>0.71381495025087172</v>
      </c>
      <c r="S301" s="49"/>
      <c r="U301" s="112"/>
    </row>
    <row r="302" spans="1:21" hidden="1" x14ac:dyDescent="0.3">
      <c r="A302" s="40" t="str">
        <f>VLOOKUP(B302,Grupos!$A$2:$B$619,2,FALSE)</f>
        <v>BREAKERS</v>
      </c>
      <c r="B302" s="41" t="s">
        <v>493</v>
      </c>
      <c r="C302" s="41" t="s">
        <v>494</v>
      </c>
      <c r="D302" s="42">
        <v>1416</v>
      </c>
      <c r="E302" s="194">
        <f>VLOOKUP(B302,'[2]PROMEDIO AMAR'!$A$2:$F$42,6,FALSE)</f>
        <v>5322.0336488562234</v>
      </c>
      <c r="F302" s="194"/>
      <c r="G302" s="126">
        <f t="shared" si="64"/>
        <v>5322.0336488562234</v>
      </c>
      <c r="H302" s="127">
        <f t="shared" si="76"/>
        <v>7535999.6467804126</v>
      </c>
      <c r="I302" s="128">
        <f t="shared" si="70"/>
        <v>0</v>
      </c>
      <c r="J302" s="128">
        <f t="shared" si="71"/>
        <v>7535999.6467804126</v>
      </c>
      <c r="K302" s="44">
        <f t="shared" si="77"/>
        <v>2.1704540508586681E-2</v>
      </c>
      <c r="L302" s="45"/>
      <c r="M302" s="45">
        <f t="shared" si="72"/>
        <v>0</v>
      </c>
      <c r="N302" s="45">
        <f t="shared" si="78"/>
        <v>5322.0336488562234</v>
      </c>
      <c r="O302" s="46">
        <f t="shared" si="73"/>
        <v>7535999.6467804126</v>
      </c>
      <c r="P302" s="47">
        <f t="shared" si="74"/>
        <v>6970.55084039548</v>
      </c>
      <c r="Q302" s="42">
        <v>9870299.9900000002</v>
      </c>
      <c r="R302" s="152">
        <f t="shared" si="75"/>
        <v>0.76350259408685028</v>
      </c>
      <c r="S302" s="49"/>
      <c r="U302" s="112"/>
    </row>
    <row r="303" spans="1:21" hidden="1" x14ac:dyDescent="0.3">
      <c r="A303" s="40" t="str">
        <f>VLOOKUP(B303,Grupos!$A$2:$B$619,2,FALSE)</f>
        <v>BREAKERS</v>
      </c>
      <c r="B303" s="41" t="s">
        <v>495</v>
      </c>
      <c r="C303" s="41" t="s">
        <v>496</v>
      </c>
      <c r="D303" s="42">
        <v>1104</v>
      </c>
      <c r="E303" s="194">
        <f>VLOOKUP(B303,'[2]PROMEDIO AMAR'!$A$2:$F$42,6,FALSE)</f>
        <v>5255</v>
      </c>
      <c r="F303" s="194"/>
      <c r="G303" s="126">
        <f t="shared" si="64"/>
        <v>5255</v>
      </c>
      <c r="H303" s="127">
        <f t="shared" si="76"/>
        <v>5801520</v>
      </c>
      <c r="I303" s="128">
        <f t="shared" si="70"/>
        <v>0</v>
      </c>
      <c r="J303" s="128">
        <f t="shared" si="71"/>
        <v>5801520</v>
      </c>
      <c r="K303" s="44">
        <f t="shared" si="77"/>
        <v>1.6709040837756942E-2</v>
      </c>
      <c r="L303" s="45"/>
      <c r="M303" s="45">
        <f t="shared" si="72"/>
        <v>0</v>
      </c>
      <c r="N303" s="45">
        <f t="shared" si="78"/>
        <v>5255</v>
      </c>
      <c r="O303" s="46">
        <f t="shared" si="73"/>
        <v>5801520</v>
      </c>
      <c r="P303" s="47">
        <f t="shared" si="74"/>
        <v>6947.826086956522</v>
      </c>
      <c r="Q303" s="42">
        <v>7670400</v>
      </c>
      <c r="R303" s="152">
        <f t="shared" si="75"/>
        <v>0.75635168961201504</v>
      </c>
      <c r="S303" s="49"/>
      <c r="U303" s="112"/>
    </row>
    <row r="304" spans="1:21" hidden="1" x14ac:dyDescent="0.3">
      <c r="A304" s="40" t="str">
        <f>VLOOKUP(B304,Grupos!$A$2:$B$619,2,FALSE)</f>
        <v>BREAKERS</v>
      </c>
      <c r="B304" s="41" t="s">
        <v>497</v>
      </c>
      <c r="C304" s="41" t="s">
        <v>498</v>
      </c>
      <c r="D304" s="42">
        <v>72</v>
      </c>
      <c r="E304" s="194">
        <v>6052.9657142857141</v>
      </c>
      <c r="F304" s="194"/>
      <c r="G304" s="126">
        <f t="shared" si="64"/>
        <v>6052.9657142857141</v>
      </c>
      <c r="H304" s="127">
        <f t="shared" si="76"/>
        <v>435813.53142857144</v>
      </c>
      <c r="I304" s="128">
        <f t="shared" si="70"/>
        <v>0</v>
      </c>
      <c r="J304" s="128">
        <f t="shared" si="71"/>
        <v>435813.53142857144</v>
      </c>
      <c r="K304" s="44">
        <f t="shared" si="77"/>
        <v>1.2551927933174528E-3</v>
      </c>
      <c r="L304" s="45"/>
      <c r="M304" s="45">
        <f t="shared" si="72"/>
        <v>0</v>
      </c>
      <c r="N304" s="45">
        <f t="shared" si="78"/>
        <v>6052.9657142857141</v>
      </c>
      <c r="O304" s="46">
        <f t="shared" si="73"/>
        <v>435813.53142857144</v>
      </c>
      <c r="P304" s="47">
        <f t="shared" si="74"/>
        <v>6991.666666666667</v>
      </c>
      <c r="Q304" s="42">
        <v>503400</v>
      </c>
      <c r="R304" s="152">
        <f t="shared" si="75"/>
        <v>0.86574003064873151</v>
      </c>
      <c r="S304" s="49"/>
      <c r="U304" s="112"/>
    </row>
    <row r="305" spans="1:21" hidden="1" x14ac:dyDescent="0.3">
      <c r="A305" s="40" t="str">
        <f>VLOOKUP(B305,Grupos!$A$2:$B$619,2,FALSE)</f>
        <v>BREAKERS</v>
      </c>
      <c r="B305" s="41" t="s">
        <v>499</v>
      </c>
      <c r="C305" s="41" t="s">
        <v>500</v>
      </c>
      <c r="D305" s="42">
        <v>252</v>
      </c>
      <c r="E305" s="194">
        <f>VLOOKUP(B305,'[2]PROMEDIO AMAR'!$A$2:$F$42,6,FALSE)</f>
        <v>5255</v>
      </c>
      <c r="F305" s="194"/>
      <c r="G305" s="126">
        <f t="shared" si="64"/>
        <v>5255</v>
      </c>
      <c r="H305" s="127">
        <f t="shared" si="76"/>
        <v>1324260</v>
      </c>
      <c r="I305" s="128">
        <f t="shared" si="70"/>
        <v>0</v>
      </c>
      <c r="J305" s="128">
        <f t="shared" si="71"/>
        <v>1324260</v>
      </c>
      <c r="K305" s="44">
        <f t="shared" si="77"/>
        <v>3.8140201912271283E-3</v>
      </c>
      <c r="L305" s="45"/>
      <c r="M305" s="45">
        <f t="shared" si="72"/>
        <v>0</v>
      </c>
      <c r="N305" s="45">
        <f t="shared" si="78"/>
        <v>5255</v>
      </c>
      <c r="O305" s="46">
        <f t="shared" si="73"/>
        <v>1324260</v>
      </c>
      <c r="P305" s="47">
        <f t="shared" si="74"/>
        <v>6928.5714285714284</v>
      </c>
      <c r="Q305" s="42">
        <v>1746000</v>
      </c>
      <c r="R305" s="152">
        <f t="shared" si="75"/>
        <v>0.75845360824742269</v>
      </c>
      <c r="S305" s="49"/>
      <c r="U305" s="112"/>
    </row>
    <row r="306" spans="1:21" hidden="1" x14ac:dyDescent="0.3">
      <c r="A306" s="40" t="str">
        <f>VLOOKUP(B306,Grupos!$A$2:$B$619,2,FALSE)</f>
        <v>BREAKERS</v>
      </c>
      <c r="B306" s="41" t="s">
        <v>501</v>
      </c>
      <c r="C306" s="41" t="s">
        <v>502</v>
      </c>
      <c r="D306" s="42">
        <v>132</v>
      </c>
      <c r="E306" s="194">
        <v>6066.47</v>
      </c>
      <c r="F306" s="194"/>
      <c r="G306" s="126">
        <f t="shared" si="64"/>
        <v>6066.47</v>
      </c>
      <c r="H306" s="127">
        <f t="shared" si="76"/>
        <v>800774.04</v>
      </c>
      <c r="I306" s="128">
        <f t="shared" si="70"/>
        <v>0</v>
      </c>
      <c r="J306" s="128">
        <f t="shared" si="71"/>
        <v>800774.04</v>
      </c>
      <c r="K306" s="44">
        <f t="shared" si="77"/>
        <v>2.3063207807911741E-3</v>
      </c>
      <c r="L306" s="45"/>
      <c r="M306" s="45">
        <f t="shared" si="72"/>
        <v>0</v>
      </c>
      <c r="N306" s="45">
        <f t="shared" si="78"/>
        <v>6066.47</v>
      </c>
      <c r="O306" s="46">
        <f t="shared" si="73"/>
        <v>800774.04</v>
      </c>
      <c r="P306" s="47">
        <f t="shared" si="74"/>
        <v>6904.545454545455</v>
      </c>
      <c r="Q306" s="42">
        <v>911400</v>
      </c>
      <c r="R306" s="152">
        <f t="shared" si="75"/>
        <v>0.87861974983541813</v>
      </c>
      <c r="S306" s="49"/>
      <c r="U306" s="112"/>
    </row>
    <row r="307" spans="1:21" hidden="1" x14ac:dyDescent="0.3">
      <c r="A307" s="40" t="str">
        <f>VLOOKUP(B307,Grupos!$A$2:$B$619,2,FALSE)</f>
        <v>BREAKERS</v>
      </c>
      <c r="B307" s="41" t="s">
        <v>503</v>
      </c>
      <c r="C307" s="41" t="s">
        <v>504</v>
      </c>
      <c r="D307" s="42">
        <v>48</v>
      </c>
      <c r="E307" s="194">
        <v>6093.0433333333331</v>
      </c>
      <c r="F307" s="194"/>
      <c r="G307" s="126">
        <f t="shared" si="64"/>
        <v>6093.0433333333331</v>
      </c>
      <c r="H307" s="127">
        <f t="shared" si="76"/>
        <v>292466.07999999996</v>
      </c>
      <c r="I307" s="128">
        <f t="shared" si="70"/>
        <v>0</v>
      </c>
      <c r="J307" s="128">
        <f t="shared" si="71"/>
        <v>292466.07999999996</v>
      </c>
      <c r="K307" s="44">
        <f t="shared" si="77"/>
        <v>8.4233574552508453E-4</v>
      </c>
      <c r="L307" s="45"/>
      <c r="M307" s="45">
        <f t="shared" si="72"/>
        <v>0</v>
      </c>
      <c r="N307" s="45">
        <f t="shared" si="78"/>
        <v>6093.0433333333331</v>
      </c>
      <c r="O307" s="46">
        <f t="shared" si="73"/>
        <v>292466.07999999996</v>
      </c>
      <c r="P307" s="47">
        <f t="shared" si="74"/>
        <v>7000</v>
      </c>
      <c r="Q307" s="42">
        <v>336000</v>
      </c>
      <c r="R307" s="152">
        <f t="shared" si="75"/>
        <v>0.87043476190476177</v>
      </c>
      <c r="S307" s="49"/>
      <c r="U307" s="112"/>
    </row>
    <row r="308" spans="1:21" hidden="1" x14ac:dyDescent="0.3">
      <c r="A308" s="40" t="str">
        <f>VLOOKUP(B308,Grupos!$A$2:$B$619,2,FALSE)</f>
        <v>BREAKERS</v>
      </c>
      <c r="B308" s="41" t="s">
        <v>505</v>
      </c>
      <c r="C308" s="41" t="s">
        <v>506</v>
      </c>
      <c r="D308" s="42">
        <v>204</v>
      </c>
      <c r="E308" s="194">
        <v>11626.752</v>
      </c>
      <c r="F308" s="194"/>
      <c r="G308" s="126">
        <f t="shared" si="64"/>
        <v>11626.752</v>
      </c>
      <c r="H308" s="127">
        <f t="shared" si="76"/>
        <v>2371857.4080000003</v>
      </c>
      <c r="I308" s="128">
        <f t="shared" si="70"/>
        <v>0</v>
      </c>
      <c r="J308" s="128">
        <f t="shared" si="71"/>
        <v>2371857.4080000003</v>
      </c>
      <c r="K308" s="44">
        <f t="shared" si="77"/>
        <v>6.8312204890456875E-3</v>
      </c>
      <c r="L308" s="45"/>
      <c r="M308" s="45">
        <f t="shared" si="72"/>
        <v>0</v>
      </c>
      <c r="N308" s="45">
        <f t="shared" si="78"/>
        <v>11626.752</v>
      </c>
      <c r="O308" s="46">
        <f t="shared" si="73"/>
        <v>2371857.4080000003</v>
      </c>
      <c r="P308" s="47">
        <f t="shared" si="74"/>
        <v>14285.294117647059</v>
      </c>
      <c r="Q308" s="42">
        <v>2914200</v>
      </c>
      <c r="R308" s="152">
        <f t="shared" si="75"/>
        <v>0.81389657813465111</v>
      </c>
      <c r="S308" s="49"/>
      <c r="U308" s="112"/>
    </row>
    <row r="309" spans="1:21" hidden="1" x14ac:dyDescent="0.3">
      <c r="A309" s="40" t="str">
        <f>VLOOKUP(B309,Grupos!$A$2:$B$619,2,FALSE)</f>
        <v>BREAKERS</v>
      </c>
      <c r="B309" s="41" t="s">
        <v>507</v>
      </c>
      <c r="C309" s="41" t="s">
        <v>1071</v>
      </c>
      <c r="D309" s="42">
        <v>6</v>
      </c>
      <c r="E309" s="194">
        <v>11648.010689655173</v>
      </c>
      <c r="F309" s="194"/>
      <c r="G309" s="126">
        <f t="shared" si="64"/>
        <v>11648.010689655173</v>
      </c>
      <c r="H309" s="127">
        <f t="shared" si="76"/>
        <v>69888.06413793104</v>
      </c>
      <c r="I309" s="128">
        <f t="shared" si="70"/>
        <v>0</v>
      </c>
      <c r="J309" s="128">
        <f t="shared" si="71"/>
        <v>69888.06413793104</v>
      </c>
      <c r="K309" s="44">
        <f t="shared" si="77"/>
        <v>2.0128561441699178E-4</v>
      </c>
      <c r="L309" s="45"/>
      <c r="M309" s="45">
        <f t="shared" si="72"/>
        <v>0</v>
      </c>
      <c r="N309" s="45">
        <f t="shared" si="78"/>
        <v>11648.010689655173</v>
      </c>
      <c r="O309" s="46">
        <f t="shared" si="73"/>
        <v>69888.06413793104</v>
      </c>
      <c r="P309" s="47">
        <f t="shared" si="74"/>
        <v>14100</v>
      </c>
      <c r="Q309" s="42">
        <v>84600</v>
      </c>
      <c r="R309" s="152">
        <f t="shared" si="75"/>
        <v>0.8261000489117144</v>
      </c>
      <c r="S309" s="49"/>
      <c r="U309" s="112"/>
    </row>
    <row r="310" spans="1:21" hidden="1" x14ac:dyDescent="0.3">
      <c r="A310" s="40" t="str">
        <f>VLOOKUP(B310,Grupos!$A$2:$B$619,2,FALSE)</f>
        <v>BREAKERS</v>
      </c>
      <c r="B310" s="41" t="s">
        <v>508</v>
      </c>
      <c r="C310" s="41" t="s">
        <v>509</v>
      </c>
      <c r="D310" s="42">
        <v>1656</v>
      </c>
      <c r="E310" s="194">
        <f>VLOOKUP(B310,'[2]PROMEDIO AMAR'!$A$2:$F$42,6,FALSE)</f>
        <v>10013.631210934424</v>
      </c>
      <c r="F310" s="194"/>
      <c r="G310" s="126">
        <f t="shared" si="64"/>
        <v>10013.631210934424</v>
      </c>
      <c r="H310" s="127">
        <f t="shared" si="76"/>
        <v>16582573.285307406</v>
      </c>
      <c r="I310" s="128">
        <f t="shared" si="70"/>
        <v>0</v>
      </c>
      <c r="J310" s="128">
        <f t="shared" si="71"/>
        <v>16582573.285307406</v>
      </c>
      <c r="K310" s="44">
        <f t="shared" si="77"/>
        <v>4.7759706804302797E-2</v>
      </c>
      <c r="L310" s="45"/>
      <c r="M310" s="45">
        <f t="shared" si="72"/>
        <v>0</v>
      </c>
      <c r="N310" s="45">
        <f t="shared" si="78"/>
        <v>10013.631210934424</v>
      </c>
      <c r="O310" s="46">
        <f t="shared" si="73"/>
        <v>16582573.285307406</v>
      </c>
      <c r="P310" s="47">
        <f t="shared" si="74"/>
        <v>14728.007234299517</v>
      </c>
      <c r="Q310" s="42">
        <v>24389579.98</v>
      </c>
      <c r="R310" s="152">
        <f t="shared" si="75"/>
        <v>0.6799040122423381</v>
      </c>
      <c r="S310" s="49"/>
      <c r="U310" s="112"/>
    </row>
    <row r="311" spans="1:21" hidden="1" x14ac:dyDescent="0.3">
      <c r="A311" s="40" t="str">
        <f>VLOOKUP(B311,Grupos!$A$2:$B$619,2,FALSE)</f>
        <v>BREAKERS</v>
      </c>
      <c r="B311" s="41" t="s">
        <v>510</v>
      </c>
      <c r="C311" s="41" t="s">
        <v>511</v>
      </c>
      <c r="D311" s="42">
        <v>1122</v>
      </c>
      <c r="E311" s="194">
        <f>VLOOKUP(B311,'[2]PROMEDIO AMAR'!$A$2:$F$42,6,FALSE)</f>
        <v>9887</v>
      </c>
      <c r="F311" s="194"/>
      <c r="G311" s="126">
        <f t="shared" si="64"/>
        <v>9887</v>
      </c>
      <c r="H311" s="127">
        <f t="shared" si="76"/>
        <v>11093214</v>
      </c>
      <c r="I311" s="128">
        <f t="shared" si="70"/>
        <v>0</v>
      </c>
      <c r="J311" s="128">
        <f t="shared" si="71"/>
        <v>11093214</v>
      </c>
      <c r="K311" s="44">
        <f t="shared" si="77"/>
        <v>3.1949724511503373E-2</v>
      </c>
      <c r="L311" s="45"/>
      <c r="M311" s="45">
        <f t="shared" si="72"/>
        <v>0</v>
      </c>
      <c r="N311" s="45">
        <f t="shared" si="78"/>
        <v>9887</v>
      </c>
      <c r="O311" s="46">
        <f t="shared" si="73"/>
        <v>11093214</v>
      </c>
      <c r="P311" s="47">
        <f t="shared" si="74"/>
        <v>14734.224598930481</v>
      </c>
      <c r="Q311" s="42">
        <v>16531800</v>
      </c>
      <c r="R311" s="152">
        <f t="shared" si="75"/>
        <v>0.67102275614270679</v>
      </c>
      <c r="S311" s="49"/>
      <c r="U311" s="112"/>
    </row>
    <row r="312" spans="1:21" hidden="1" x14ac:dyDescent="0.3">
      <c r="A312" s="40" t="str">
        <f>VLOOKUP(B312,Grupos!$A$2:$B$619,2,FALSE)</f>
        <v>BREAKERS</v>
      </c>
      <c r="B312" s="41" t="s">
        <v>512</v>
      </c>
      <c r="C312" s="41" t="s">
        <v>513</v>
      </c>
      <c r="D312" s="42">
        <v>1104</v>
      </c>
      <c r="E312" s="194">
        <f>VLOOKUP(B312,'[2]PROMEDIO AMAR'!$A$2:$F$42,6,FALSE)</f>
        <v>10013.631210934424</v>
      </c>
      <c r="F312" s="194"/>
      <c r="G312" s="126">
        <f t="shared" si="64"/>
        <v>10013.631210934424</v>
      </c>
      <c r="H312" s="127">
        <f t="shared" si="76"/>
        <v>11055048.856871603</v>
      </c>
      <c r="I312" s="128">
        <f t="shared" si="70"/>
        <v>0</v>
      </c>
      <c r="J312" s="128">
        <f t="shared" si="71"/>
        <v>11055048.856871603</v>
      </c>
      <c r="K312" s="44">
        <f t="shared" si="77"/>
        <v>3.183980453620186E-2</v>
      </c>
      <c r="L312" s="45"/>
      <c r="M312" s="45">
        <f t="shared" si="72"/>
        <v>0</v>
      </c>
      <c r="N312" s="45">
        <f t="shared" si="78"/>
        <v>10013.631210934424</v>
      </c>
      <c r="O312" s="46">
        <f t="shared" si="73"/>
        <v>11055048.856871603</v>
      </c>
      <c r="P312" s="47">
        <f t="shared" si="74"/>
        <v>14701.413007246378</v>
      </c>
      <c r="Q312" s="42">
        <v>16230359.960000001</v>
      </c>
      <c r="R312" s="152">
        <f t="shared" si="75"/>
        <v>0.68113392950722962</v>
      </c>
      <c r="S312" s="49"/>
      <c r="U312" s="112"/>
    </row>
    <row r="313" spans="1:21" hidden="1" x14ac:dyDescent="0.3">
      <c r="A313" s="40" t="str">
        <f>VLOOKUP(B313,Grupos!$A$2:$B$619,2,FALSE)</f>
        <v>BREAKERS</v>
      </c>
      <c r="B313" s="41" t="s">
        <v>514</v>
      </c>
      <c r="C313" s="41" t="s">
        <v>515</v>
      </c>
      <c r="D313" s="42">
        <v>786</v>
      </c>
      <c r="E313" s="194">
        <f>VLOOKUP(B313,'[2]PROMEDIO AMAR'!$A$2:$F$42,6,FALSE)</f>
        <v>9874.5</v>
      </c>
      <c r="F313" s="194"/>
      <c r="G313" s="126">
        <f t="shared" si="64"/>
        <v>9874.5</v>
      </c>
      <c r="H313" s="127">
        <f t="shared" si="76"/>
        <v>7761357</v>
      </c>
      <c r="I313" s="128">
        <f t="shared" si="70"/>
        <v>0</v>
      </c>
      <c r="J313" s="128">
        <f t="shared" si="71"/>
        <v>7761357</v>
      </c>
      <c r="K313" s="44">
        <f t="shared" si="77"/>
        <v>2.2353595449022105E-2</v>
      </c>
      <c r="L313" s="45"/>
      <c r="M313" s="45">
        <f t="shared" si="72"/>
        <v>0</v>
      </c>
      <c r="N313" s="45">
        <f t="shared" si="78"/>
        <v>9874.5</v>
      </c>
      <c r="O313" s="46">
        <f t="shared" si="73"/>
        <v>7761357</v>
      </c>
      <c r="P313" s="47">
        <f t="shared" si="74"/>
        <v>14528.24427480916</v>
      </c>
      <c r="Q313" s="42">
        <v>11419200</v>
      </c>
      <c r="R313" s="152">
        <f t="shared" si="75"/>
        <v>0.67967607187894075</v>
      </c>
      <c r="S313" s="49"/>
      <c r="U313" s="112"/>
    </row>
    <row r="314" spans="1:21" hidden="1" x14ac:dyDescent="0.3">
      <c r="A314" s="40" t="str">
        <f>VLOOKUP(B314,Grupos!$A$2:$B$619,2,FALSE)</f>
        <v>BREAKERS</v>
      </c>
      <c r="B314" s="41" t="s">
        <v>516</v>
      </c>
      <c r="C314" s="41" t="s">
        <v>517</v>
      </c>
      <c r="D314" s="42">
        <v>294</v>
      </c>
      <c r="E314" s="194">
        <f>VLOOKUP(B314,'[2]PROMEDIO AMAR'!$A$2:$F$42,6,FALSE)</f>
        <v>10644.400631045779</v>
      </c>
      <c r="F314" s="194"/>
      <c r="G314" s="126">
        <f t="shared" si="64"/>
        <v>10644.400631045779</v>
      </c>
      <c r="H314" s="127">
        <f t="shared" si="76"/>
        <v>3129453.7855274589</v>
      </c>
      <c r="I314" s="128">
        <f t="shared" si="70"/>
        <v>0</v>
      </c>
      <c r="J314" s="128">
        <f t="shared" si="71"/>
        <v>3129453.7855274589</v>
      </c>
      <c r="K314" s="44">
        <f t="shared" si="77"/>
        <v>9.0131846657860986E-3</v>
      </c>
      <c r="L314" s="45"/>
      <c r="M314" s="45">
        <f t="shared" si="72"/>
        <v>0</v>
      </c>
      <c r="N314" s="45">
        <f t="shared" si="78"/>
        <v>10644.400631045779</v>
      </c>
      <c r="O314" s="46">
        <f t="shared" si="73"/>
        <v>3129453.7855274589</v>
      </c>
      <c r="P314" s="47">
        <f t="shared" si="74"/>
        <v>14658.163265306122</v>
      </c>
      <c r="Q314" s="42">
        <v>4309500</v>
      </c>
      <c r="R314" s="152">
        <f t="shared" si="75"/>
        <v>0.72617560866166819</v>
      </c>
      <c r="S314" s="49"/>
      <c r="U314" s="112"/>
    </row>
    <row r="315" spans="1:21" hidden="1" x14ac:dyDescent="0.3">
      <c r="A315" s="40" t="str">
        <f>VLOOKUP(B315,Grupos!$A$2:$B$619,2,FALSE)</f>
        <v>BREAKERS</v>
      </c>
      <c r="B315" s="41" t="s">
        <v>518</v>
      </c>
      <c r="C315" s="41" t="s">
        <v>519</v>
      </c>
      <c r="D315" s="42">
        <v>1854</v>
      </c>
      <c r="E315" s="194">
        <f>VLOOKUP(B315,Mar!$B$303:$E$351,4,FALSE)</f>
        <v>12071.710467310158</v>
      </c>
      <c r="F315" s="194"/>
      <c r="G315" s="126">
        <f t="shared" si="64"/>
        <v>12071.710467310158</v>
      </c>
      <c r="H315" s="127">
        <f t="shared" si="76"/>
        <v>22380951.206393033</v>
      </c>
      <c r="I315" s="128">
        <f t="shared" si="70"/>
        <v>0</v>
      </c>
      <c r="J315" s="128">
        <f t="shared" si="71"/>
        <v>22380951.206393033</v>
      </c>
      <c r="K315" s="44">
        <f t="shared" si="77"/>
        <v>6.4459698095579554E-2</v>
      </c>
      <c r="L315" s="45"/>
      <c r="M315" s="45">
        <f t="shared" si="72"/>
        <v>0</v>
      </c>
      <c r="N315" s="45">
        <f t="shared" si="78"/>
        <v>12071.710467310158</v>
      </c>
      <c r="O315" s="46">
        <f t="shared" si="73"/>
        <v>22380951.206393033</v>
      </c>
      <c r="P315" s="47">
        <f t="shared" si="74"/>
        <v>14607.119741100323</v>
      </c>
      <c r="Q315" s="42">
        <v>27081600</v>
      </c>
      <c r="R315" s="152">
        <f t="shared" si="75"/>
        <v>0.82642647429963645</v>
      </c>
      <c r="S315" s="49"/>
      <c r="U315" s="112"/>
    </row>
    <row r="316" spans="1:21" hidden="1" x14ac:dyDescent="0.3">
      <c r="A316" s="40" t="str">
        <f>VLOOKUP(B316,Grupos!$A$2:$B$619,2,FALSE)</f>
        <v>BREAKERS</v>
      </c>
      <c r="B316" s="41" t="s">
        <v>520</v>
      </c>
      <c r="C316" s="41" t="s">
        <v>521</v>
      </c>
      <c r="D316" s="42">
        <v>66</v>
      </c>
      <c r="E316" s="194">
        <f>VLOOKUP(B316,Mar!$B$303:$E$351,4,FALSE)</f>
        <v>11981.988311688312</v>
      </c>
      <c r="F316" s="194"/>
      <c r="G316" s="126">
        <f t="shared" si="64"/>
        <v>11981.988311688312</v>
      </c>
      <c r="H316" s="127">
        <f t="shared" si="76"/>
        <v>790811.22857142857</v>
      </c>
      <c r="I316" s="128">
        <f t="shared" si="70"/>
        <v>0</v>
      </c>
      <c r="J316" s="128">
        <f t="shared" si="71"/>
        <v>790811.22857142857</v>
      </c>
      <c r="K316" s="44">
        <f t="shared" si="77"/>
        <v>2.2776267449145637E-3</v>
      </c>
      <c r="L316" s="45"/>
      <c r="M316" s="45">
        <f t="shared" si="72"/>
        <v>0</v>
      </c>
      <c r="N316" s="45">
        <f t="shared" si="78"/>
        <v>11981.988311688312</v>
      </c>
      <c r="O316" s="46">
        <f t="shared" si="73"/>
        <v>790811.22857142857</v>
      </c>
      <c r="P316" s="47">
        <f t="shared" si="74"/>
        <v>14763.636363636364</v>
      </c>
      <c r="Q316" s="42">
        <v>974400</v>
      </c>
      <c r="R316" s="152">
        <f t="shared" si="75"/>
        <v>0.81158787825475021</v>
      </c>
      <c r="S316" s="49"/>
      <c r="U316" s="112"/>
    </row>
    <row r="317" spans="1:21" hidden="1" x14ac:dyDescent="0.3">
      <c r="A317" s="40" t="str">
        <f>VLOOKUP(B317,Grupos!$A$2:$B$619,2,FALSE)</f>
        <v>BREAKERS</v>
      </c>
      <c r="B317" s="41" t="s">
        <v>522</v>
      </c>
      <c r="C317" s="41" t="s">
        <v>523</v>
      </c>
      <c r="D317" s="42">
        <v>456</v>
      </c>
      <c r="E317" s="194">
        <f>VLOOKUP(B317,'[2]PROMEDIO AMAR'!$A$2:$F$42,6,FALSE)</f>
        <v>10940.201893137339</v>
      </c>
      <c r="F317" s="194"/>
      <c r="G317" s="126">
        <f t="shared" si="64"/>
        <v>10940.201893137339</v>
      </c>
      <c r="H317" s="127">
        <f t="shared" si="76"/>
        <v>4988732.0632706266</v>
      </c>
      <c r="I317" s="128">
        <f t="shared" si="70"/>
        <v>0</v>
      </c>
      <c r="J317" s="128">
        <f t="shared" si="71"/>
        <v>4988732.0632706266</v>
      </c>
      <c r="K317" s="44">
        <f t="shared" si="77"/>
        <v>1.4368118660939953E-2</v>
      </c>
      <c r="L317" s="45"/>
      <c r="M317" s="45">
        <f t="shared" si="72"/>
        <v>0</v>
      </c>
      <c r="N317" s="45">
        <f t="shared" si="78"/>
        <v>10940.201893137339</v>
      </c>
      <c r="O317" s="46">
        <f t="shared" si="73"/>
        <v>4988732.0632706266</v>
      </c>
      <c r="P317" s="47">
        <f t="shared" si="74"/>
        <v>14585.526315789473</v>
      </c>
      <c r="Q317" s="42">
        <v>6651000</v>
      </c>
      <c r="R317" s="152">
        <f t="shared" si="75"/>
        <v>0.75007247981816672</v>
      </c>
      <c r="S317" s="49"/>
      <c r="U317" s="112"/>
    </row>
    <row r="318" spans="1:21" hidden="1" x14ac:dyDescent="0.3">
      <c r="A318" s="40" t="str">
        <f>VLOOKUP(B318,Grupos!$A$2:$B$619,2,FALSE)</f>
        <v>BREAKERS</v>
      </c>
      <c r="B318" s="41" t="s">
        <v>524</v>
      </c>
      <c r="C318" s="41" t="s">
        <v>525</v>
      </c>
      <c r="D318" s="42">
        <v>66</v>
      </c>
      <c r="E318" s="194">
        <f>VLOOKUP(B318,Mar!$B$303:$E$351,4,FALSE)</f>
        <v>12107.165217391304</v>
      </c>
      <c r="F318" s="194"/>
      <c r="G318" s="126">
        <f t="shared" si="64"/>
        <v>12107.165217391304</v>
      </c>
      <c r="H318" s="127">
        <f t="shared" si="76"/>
        <v>799072.90434782614</v>
      </c>
      <c r="I318" s="128">
        <f t="shared" si="70"/>
        <v>0</v>
      </c>
      <c r="J318" s="128">
        <f t="shared" si="71"/>
        <v>799072.90434782614</v>
      </c>
      <c r="K318" s="44">
        <f t="shared" si="77"/>
        <v>2.3014213156367425E-3</v>
      </c>
      <c r="L318" s="45"/>
      <c r="M318" s="45">
        <f t="shared" si="72"/>
        <v>0</v>
      </c>
      <c r="N318" s="45">
        <f t="shared" si="78"/>
        <v>12107.165217391304</v>
      </c>
      <c r="O318" s="46">
        <f t="shared" si="73"/>
        <v>799072.90434782614</v>
      </c>
      <c r="P318" s="47">
        <f t="shared" si="74"/>
        <v>14145.454545454546</v>
      </c>
      <c r="Q318" s="42">
        <v>933600</v>
      </c>
      <c r="R318" s="152">
        <f t="shared" si="75"/>
        <v>0.85590499608807424</v>
      </c>
      <c r="S318" s="49"/>
      <c r="U318" s="112"/>
    </row>
    <row r="319" spans="1:21" hidden="1" x14ac:dyDescent="0.3">
      <c r="A319" s="40" t="str">
        <f>VLOOKUP(B319,Grupos!$A$2:$B$619,2,FALSE)</f>
        <v>BREAKERS</v>
      </c>
      <c r="B319" s="41" t="s">
        <v>526</v>
      </c>
      <c r="C319" s="41" t="s">
        <v>527</v>
      </c>
      <c r="D319" s="42">
        <v>120</v>
      </c>
      <c r="E319" s="194">
        <f>VLOOKUP(B319,'[2]PROMEDIO AMAR'!$A$2:$F$42,6,FALSE)</f>
        <v>10644.400631045779</v>
      </c>
      <c r="F319" s="194"/>
      <c r="G319" s="126">
        <f t="shared" si="64"/>
        <v>10644.400631045779</v>
      </c>
      <c r="H319" s="127">
        <f t="shared" si="76"/>
        <v>1277328.0757254935</v>
      </c>
      <c r="I319" s="128">
        <f t="shared" si="70"/>
        <v>0</v>
      </c>
      <c r="J319" s="128">
        <f t="shared" si="71"/>
        <v>1277328.0757254935</v>
      </c>
      <c r="K319" s="44">
        <f t="shared" si="77"/>
        <v>3.6788508839943261E-3</v>
      </c>
      <c r="L319" s="45"/>
      <c r="M319" s="45">
        <f t="shared" si="72"/>
        <v>0</v>
      </c>
      <c r="N319" s="45">
        <f t="shared" si="78"/>
        <v>10644.400631045779</v>
      </c>
      <c r="O319" s="46">
        <f t="shared" si="73"/>
        <v>1277328.0757254935</v>
      </c>
      <c r="P319" s="47">
        <f t="shared" si="74"/>
        <v>14555</v>
      </c>
      <c r="Q319" s="42">
        <v>1746600</v>
      </c>
      <c r="R319" s="152">
        <f t="shared" si="75"/>
        <v>0.73132261291966882</v>
      </c>
      <c r="S319" s="49"/>
      <c r="U319" s="112"/>
    </row>
    <row r="320" spans="1:21" hidden="1" x14ac:dyDescent="0.3">
      <c r="A320" s="40" t="str">
        <f>VLOOKUP(B320,Grupos!$A$2:$B$619,2,FALSE)</f>
        <v>BREAKERS</v>
      </c>
      <c r="B320" s="41" t="s">
        <v>528</v>
      </c>
      <c r="C320" s="41" t="s">
        <v>529</v>
      </c>
      <c r="D320" s="42">
        <v>20</v>
      </c>
      <c r="E320" s="194">
        <f>VLOOKUP(B320,Mar!$B$303:$E$351,4,FALSE)</f>
        <v>17348.938399999999</v>
      </c>
      <c r="F320" s="194"/>
      <c r="G320" s="126">
        <f t="shared" si="64"/>
        <v>17348.938399999999</v>
      </c>
      <c r="H320" s="127">
        <f t="shared" si="76"/>
        <v>346978.76799999998</v>
      </c>
      <c r="I320" s="128">
        <f t="shared" si="70"/>
        <v>0</v>
      </c>
      <c r="J320" s="128">
        <f t="shared" si="71"/>
        <v>346978.76799999998</v>
      </c>
      <c r="K320" s="44">
        <f t="shared" si="77"/>
        <v>9.99338518930658E-4</v>
      </c>
      <c r="L320" s="45"/>
      <c r="M320" s="45">
        <f t="shared" si="72"/>
        <v>0</v>
      </c>
      <c r="N320" s="45">
        <f t="shared" si="78"/>
        <v>17348.938399999999</v>
      </c>
      <c r="O320" s="46">
        <f t="shared" si="73"/>
        <v>346978.76799999998</v>
      </c>
      <c r="P320" s="47">
        <f t="shared" si="74"/>
        <v>23500</v>
      </c>
      <c r="Q320" s="42">
        <v>470000</v>
      </c>
      <c r="R320" s="152">
        <f t="shared" si="75"/>
        <v>0.73825269787234038</v>
      </c>
      <c r="S320" s="49"/>
      <c r="U320" s="112"/>
    </row>
    <row r="321" spans="1:21" hidden="1" x14ac:dyDescent="0.3">
      <c r="A321" s="40" t="str">
        <f>VLOOKUP(B321,Grupos!$A$2:$B$619,2,FALSE)</f>
        <v>BREAKERS</v>
      </c>
      <c r="B321" s="41" t="s">
        <v>698</v>
      </c>
      <c r="C321" s="41" t="s">
        <v>1151</v>
      </c>
      <c r="D321" s="42">
        <v>4</v>
      </c>
      <c r="E321" s="194">
        <v>17226.392817765674</v>
      </c>
      <c r="F321" s="194"/>
      <c r="G321" s="126">
        <f t="shared" si="64"/>
        <v>17226.392817765674</v>
      </c>
      <c r="H321" s="127">
        <f t="shared" si="76"/>
        <v>68905.571271062698</v>
      </c>
      <c r="I321" s="128">
        <f t="shared" si="70"/>
        <v>0</v>
      </c>
      <c r="J321" s="128">
        <f t="shared" si="71"/>
        <v>68905.571271062698</v>
      </c>
      <c r="K321" s="44">
        <f t="shared" si="77"/>
        <v>1.9845592264047321E-4</v>
      </c>
      <c r="L321" s="45"/>
      <c r="M321" s="45">
        <f t="shared" si="72"/>
        <v>0</v>
      </c>
      <c r="N321" s="45">
        <f t="shared" si="78"/>
        <v>17226.392817765674</v>
      </c>
      <c r="O321" s="46">
        <f t="shared" si="73"/>
        <v>68905.571271062698</v>
      </c>
      <c r="P321" s="47">
        <f t="shared" si="74"/>
        <v>23900</v>
      </c>
      <c r="Q321" s="42">
        <v>95600</v>
      </c>
      <c r="R321" s="152">
        <f t="shared" si="75"/>
        <v>0.720769573965091</v>
      </c>
      <c r="S321" s="49"/>
      <c r="U321" s="112"/>
    </row>
    <row r="322" spans="1:21" hidden="1" x14ac:dyDescent="0.3">
      <c r="A322" s="40" t="str">
        <f>VLOOKUP(B322,Grupos!$A$2:$B$619,2,FALSE)</f>
        <v>BREAKERS</v>
      </c>
      <c r="B322" s="41" t="s">
        <v>532</v>
      </c>
      <c r="C322" s="41" t="s">
        <v>533</v>
      </c>
      <c r="D322" s="42">
        <v>32</v>
      </c>
      <c r="E322" s="194">
        <f>VLOOKUP(B322,'[2]PROMEDIO AMAR'!$A$2:$F$42,6,FALSE)</f>
        <v>14792</v>
      </c>
      <c r="F322" s="194"/>
      <c r="G322" s="126">
        <f t="shared" si="64"/>
        <v>14792</v>
      </c>
      <c r="H322" s="127">
        <f t="shared" si="76"/>
        <v>473344</v>
      </c>
      <c r="I322" s="128">
        <f t="shared" si="70"/>
        <v>0</v>
      </c>
      <c r="J322" s="128">
        <f t="shared" si="71"/>
        <v>473344</v>
      </c>
      <c r="K322" s="44">
        <f t="shared" si="77"/>
        <v>1.3632848333380255E-3</v>
      </c>
      <c r="L322" s="45"/>
      <c r="M322" s="45">
        <f t="shared" si="72"/>
        <v>0</v>
      </c>
      <c r="N322" s="45">
        <f t="shared" si="78"/>
        <v>14792</v>
      </c>
      <c r="O322" s="46">
        <f t="shared" si="73"/>
        <v>473344</v>
      </c>
      <c r="P322" s="47">
        <f t="shared" si="74"/>
        <v>23637.5</v>
      </c>
      <c r="Q322" s="42">
        <v>756400</v>
      </c>
      <c r="R322" s="152">
        <f t="shared" si="75"/>
        <v>0.62578529878371236</v>
      </c>
      <c r="S322" s="49"/>
      <c r="U322" s="112"/>
    </row>
    <row r="323" spans="1:21" hidden="1" x14ac:dyDescent="0.3">
      <c r="A323" s="40" t="str">
        <f>VLOOKUP(B323,Grupos!$A$2:$B$619,2,FALSE)</f>
        <v>BREAKERS</v>
      </c>
      <c r="B323" s="41" t="s">
        <v>534</v>
      </c>
      <c r="C323" s="41" t="s">
        <v>535</v>
      </c>
      <c r="D323" s="42">
        <v>160</v>
      </c>
      <c r="E323" s="194">
        <f>VLOOKUP(B323,Mar!$B$303:$E$351,4,FALSE)</f>
        <v>17526.31986951</v>
      </c>
      <c r="F323" s="194"/>
      <c r="G323" s="126">
        <f t="shared" si="64"/>
        <v>17526.31986951</v>
      </c>
      <c r="H323" s="127">
        <f t="shared" si="76"/>
        <v>2804211.1791216</v>
      </c>
      <c r="I323" s="128">
        <f t="shared" si="70"/>
        <v>0</v>
      </c>
      <c r="J323" s="128">
        <f t="shared" si="71"/>
        <v>2804211.1791216</v>
      </c>
      <c r="K323" s="44">
        <f t="shared" si="77"/>
        <v>8.0764487771544987E-3</v>
      </c>
      <c r="L323" s="45"/>
      <c r="M323" s="45">
        <f t="shared" si="72"/>
        <v>0</v>
      </c>
      <c r="N323" s="45">
        <f t="shared" si="78"/>
        <v>17526.31986951</v>
      </c>
      <c r="O323" s="46">
        <f t="shared" si="73"/>
        <v>2804211.1791216</v>
      </c>
      <c r="P323" s="47">
        <f t="shared" si="74"/>
        <v>23792.5</v>
      </c>
      <c r="Q323" s="42">
        <v>3806800</v>
      </c>
      <c r="R323" s="152">
        <f t="shared" si="75"/>
        <v>0.73663212648986021</v>
      </c>
      <c r="S323" s="49"/>
      <c r="U323" s="112"/>
    </row>
    <row r="324" spans="1:21" hidden="1" x14ac:dyDescent="0.3">
      <c r="A324" s="40" t="str">
        <f>VLOOKUP(B324,Grupos!$A$2:$B$619,2,FALSE)</f>
        <v>BREAKERS</v>
      </c>
      <c r="B324" s="41" t="s">
        <v>536</v>
      </c>
      <c r="C324" s="41" t="s">
        <v>537</v>
      </c>
      <c r="D324" s="42">
        <v>104</v>
      </c>
      <c r="E324" s="194">
        <f>VLOOKUP(B324,'[2]PROMEDIO AMAR'!$A$2:$F$42,6,FALSE)</f>
        <v>14831</v>
      </c>
      <c r="F324" s="194"/>
      <c r="G324" s="126">
        <f t="shared" si="64"/>
        <v>14831</v>
      </c>
      <c r="H324" s="127">
        <f t="shared" si="76"/>
        <v>1542424</v>
      </c>
      <c r="I324" s="128">
        <f t="shared" si="70"/>
        <v>0</v>
      </c>
      <c r="J324" s="128">
        <f t="shared" si="71"/>
        <v>1542424</v>
      </c>
      <c r="K324" s="44">
        <f t="shared" si="77"/>
        <v>4.4423574520360892E-3</v>
      </c>
      <c r="L324" s="45"/>
      <c r="M324" s="45">
        <f t="shared" si="72"/>
        <v>0</v>
      </c>
      <c r="N324" s="45">
        <f t="shared" si="78"/>
        <v>14831</v>
      </c>
      <c r="O324" s="46">
        <f t="shared" si="73"/>
        <v>1542424</v>
      </c>
      <c r="P324" s="47">
        <f t="shared" si="74"/>
        <v>24615.384615384617</v>
      </c>
      <c r="Q324" s="42">
        <v>2560000</v>
      </c>
      <c r="R324" s="152">
        <f t="shared" si="75"/>
        <v>0.60250937500000001</v>
      </c>
      <c r="S324" s="49"/>
      <c r="U324" s="112"/>
    </row>
    <row r="325" spans="1:21" hidden="1" x14ac:dyDescent="0.3">
      <c r="A325" s="40" t="str">
        <f>VLOOKUP(B325,Grupos!$A$2:$B$619,2,FALSE)</f>
        <v>BREAKERS</v>
      </c>
      <c r="B325" s="41" t="s">
        <v>538</v>
      </c>
      <c r="C325" s="41" t="s">
        <v>539</v>
      </c>
      <c r="D325" s="42">
        <v>72</v>
      </c>
      <c r="E325" s="194">
        <f>VLOOKUP(B325,'[2]PROMEDIO AMAR'!$A$2:$F$42,6,FALSE)</f>
        <v>15765</v>
      </c>
      <c r="F325" s="194"/>
      <c r="G325" s="126">
        <f t="shared" si="64"/>
        <v>15765</v>
      </c>
      <c r="H325" s="127">
        <f t="shared" si="76"/>
        <v>1135080</v>
      </c>
      <c r="I325" s="128">
        <f t="shared" si="70"/>
        <v>0</v>
      </c>
      <c r="J325" s="128">
        <f t="shared" si="71"/>
        <v>1135080</v>
      </c>
      <c r="K325" s="44">
        <f t="shared" si="77"/>
        <v>3.2691601639089668E-3</v>
      </c>
      <c r="L325" s="45"/>
      <c r="M325" s="45">
        <f t="shared" si="72"/>
        <v>0</v>
      </c>
      <c r="N325" s="45">
        <f t="shared" si="78"/>
        <v>15765</v>
      </c>
      <c r="O325" s="46">
        <f t="shared" si="73"/>
        <v>1135080</v>
      </c>
      <c r="P325" s="47">
        <f t="shared" si="74"/>
        <v>24233.333333333332</v>
      </c>
      <c r="Q325" s="42">
        <v>1744800</v>
      </c>
      <c r="R325" s="152">
        <f t="shared" si="75"/>
        <v>0.65055020632737282</v>
      </c>
      <c r="S325" s="49"/>
      <c r="U325" s="112"/>
    </row>
    <row r="326" spans="1:21" hidden="1" x14ac:dyDescent="0.3">
      <c r="A326" s="40" t="str">
        <f>VLOOKUP(B326,Grupos!$A$2:$B$619,2,FALSE)</f>
        <v>BREAKERS</v>
      </c>
      <c r="B326" s="41" t="s">
        <v>540</v>
      </c>
      <c r="C326" s="41" t="s">
        <v>541</v>
      </c>
      <c r="D326" s="42">
        <v>96</v>
      </c>
      <c r="E326" s="194">
        <f>VLOOKUP(B326,'[2]PROMEDIO AMAR'!$A$2:$F$42,6,FALSE)</f>
        <v>15765</v>
      </c>
      <c r="F326" s="194"/>
      <c r="G326" s="126">
        <f t="shared" si="64"/>
        <v>15765</v>
      </c>
      <c r="H326" s="127">
        <f t="shared" si="76"/>
        <v>1513440</v>
      </c>
      <c r="I326" s="128">
        <f t="shared" si="70"/>
        <v>0</v>
      </c>
      <c r="J326" s="128">
        <f t="shared" si="71"/>
        <v>1513440</v>
      </c>
      <c r="K326" s="44">
        <f t="shared" si="77"/>
        <v>4.3588802185452894E-3</v>
      </c>
      <c r="L326" s="45"/>
      <c r="M326" s="45">
        <f t="shared" si="72"/>
        <v>0</v>
      </c>
      <c r="N326" s="45">
        <f t="shared" si="78"/>
        <v>15765</v>
      </c>
      <c r="O326" s="46">
        <f t="shared" si="73"/>
        <v>1513440</v>
      </c>
      <c r="P326" s="47">
        <f t="shared" si="74"/>
        <v>23904.166666666668</v>
      </c>
      <c r="Q326" s="42">
        <v>2294800</v>
      </c>
      <c r="R326" s="152">
        <f t="shared" si="75"/>
        <v>0.65950845389576429</v>
      </c>
      <c r="S326" s="49"/>
      <c r="U326" s="112"/>
    </row>
    <row r="327" spans="1:21" hidden="1" x14ac:dyDescent="0.3">
      <c r="A327" s="40" t="str">
        <f>VLOOKUP(B327,Grupos!$A$2:$B$619,2,FALSE)</f>
        <v>BREAKERS</v>
      </c>
      <c r="B327" s="41" t="s">
        <v>542</v>
      </c>
      <c r="C327" s="41" t="s">
        <v>543</v>
      </c>
      <c r="D327" s="42">
        <v>132</v>
      </c>
      <c r="E327" s="194">
        <f>VLOOKUP(B327,'[2]PROMEDIO AMAR'!$A$2:$F$42,6,FALSE)</f>
        <v>15966.434279902003</v>
      </c>
      <c r="F327" s="194"/>
      <c r="G327" s="126">
        <f t="shared" si="64"/>
        <v>15966.434279902003</v>
      </c>
      <c r="H327" s="127">
        <f t="shared" si="76"/>
        <v>2107569.3249470643</v>
      </c>
      <c r="I327" s="128">
        <f t="shared" si="70"/>
        <v>0</v>
      </c>
      <c r="J327" s="128">
        <f t="shared" si="71"/>
        <v>2107569.3249470643</v>
      </c>
      <c r="K327" s="44">
        <f t="shared" si="77"/>
        <v>6.0700405960755679E-3</v>
      </c>
      <c r="L327" s="45"/>
      <c r="M327" s="45">
        <f t="shared" si="72"/>
        <v>0</v>
      </c>
      <c r="N327" s="45">
        <f t="shared" si="78"/>
        <v>15966.434279902003</v>
      </c>
      <c r="O327" s="46">
        <f t="shared" si="73"/>
        <v>2107569.3249470643</v>
      </c>
      <c r="P327" s="47">
        <f t="shared" si="74"/>
        <v>23651.515151515152</v>
      </c>
      <c r="Q327" s="42">
        <v>3122000</v>
      </c>
      <c r="R327" s="152">
        <f t="shared" si="75"/>
        <v>0.675070251424428</v>
      </c>
      <c r="S327" s="49"/>
      <c r="U327" s="112"/>
    </row>
    <row r="328" spans="1:21" hidden="1" x14ac:dyDescent="0.3">
      <c r="A328" s="40" t="str">
        <f>VLOOKUP(B328,Grupos!$A$2:$B$619,2,FALSE)</f>
        <v>BREAKERS</v>
      </c>
      <c r="B328" s="41" t="s">
        <v>544</v>
      </c>
      <c r="C328" s="41" t="s">
        <v>545</v>
      </c>
      <c r="D328" s="42">
        <v>16</v>
      </c>
      <c r="E328" s="194">
        <f>VLOOKUP(B328,Mar!$B$303:$E$351,4,FALSE)</f>
        <v>17765.919433427869</v>
      </c>
      <c r="F328" s="194"/>
      <c r="G328" s="126">
        <f t="shared" si="64"/>
        <v>17765.919433427869</v>
      </c>
      <c r="H328" s="127">
        <f t="shared" si="76"/>
        <v>284254.71093484591</v>
      </c>
      <c r="I328" s="128">
        <f t="shared" ref="I328:I346" si="79">F328*D328</f>
        <v>0</v>
      </c>
      <c r="J328" s="128">
        <f t="shared" ref="J328:J346" si="80">G328*D328</f>
        <v>284254.71093484591</v>
      </c>
      <c r="K328" s="44">
        <f t="shared" si="77"/>
        <v>8.1868606388241965E-4</v>
      </c>
      <c r="L328" s="45"/>
      <c r="M328" s="45">
        <f t="shared" ref="M328:M346" si="81">F328*$M$366</f>
        <v>0</v>
      </c>
      <c r="N328" s="45">
        <f t="shared" si="78"/>
        <v>17765.919433427869</v>
      </c>
      <c r="O328" s="46">
        <f t="shared" ref="O328:O346" si="82">N328*D328</f>
        <v>284254.71093484591</v>
      </c>
      <c r="P328" s="47">
        <f t="shared" ref="P328:P346" si="83">Q328/D328</f>
        <v>23225</v>
      </c>
      <c r="Q328" s="42">
        <v>371600</v>
      </c>
      <c r="R328" s="152">
        <f t="shared" ref="R328:R347" si="84">O328/Q328</f>
        <v>0.76494809185911172</v>
      </c>
      <c r="S328" s="49"/>
      <c r="U328" s="112"/>
    </row>
    <row r="329" spans="1:21" hidden="1" x14ac:dyDescent="0.3">
      <c r="A329" s="40" t="str">
        <f>VLOOKUP(B329,Grupos!$A$2:$B$619,2,FALSE)</f>
        <v>BREAKERS</v>
      </c>
      <c r="B329" s="41" t="s">
        <v>546</v>
      </c>
      <c r="C329" s="41" t="s">
        <v>1072</v>
      </c>
      <c r="D329" s="42">
        <v>24</v>
      </c>
      <c r="E329" s="194">
        <f>VLOOKUP(B329,Mar!$B$303:$E$351,4,FALSE)</f>
        <v>18204.602468305799</v>
      </c>
      <c r="F329" s="194"/>
      <c r="G329" s="126">
        <f t="shared" si="64"/>
        <v>18204.602468305799</v>
      </c>
      <c r="H329" s="127">
        <f t="shared" si="76"/>
        <v>436910.45923933916</v>
      </c>
      <c r="I329" s="128">
        <f t="shared" si="79"/>
        <v>0</v>
      </c>
      <c r="J329" s="128">
        <f t="shared" si="80"/>
        <v>436910.45923933916</v>
      </c>
      <c r="K329" s="44">
        <f t="shared" si="77"/>
        <v>1.2583520708147619E-3</v>
      </c>
      <c r="L329" s="45"/>
      <c r="M329" s="45">
        <f t="shared" si="81"/>
        <v>0</v>
      </c>
      <c r="N329" s="45">
        <f t="shared" si="78"/>
        <v>18204.602468305799</v>
      </c>
      <c r="O329" s="46">
        <f t="shared" si="82"/>
        <v>436910.45923933916</v>
      </c>
      <c r="P329" s="47">
        <f t="shared" si="83"/>
        <v>24783.333333333332</v>
      </c>
      <c r="Q329" s="42">
        <v>594800</v>
      </c>
      <c r="R329" s="152">
        <f t="shared" si="84"/>
        <v>0.73455020046963548</v>
      </c>
      <c r="S329" s="49"/>
      <c r="U329" s="112"/>
    </row>
    <row r="330" spans="1:21" hidden="1" x14ac:dyDescent="0.3">
      <c r="A330" s="40" t="str">
        <f>VLOOKUP(B330,Grupos!$A$2:$B$619,2,FALSE)</f>
        <v>BREAKERS</v>
      </c>
      <c r="B330" s="41" t="s">
        <v>547</v>
      </c>
      <c r="C330" s="41" t="s">
        <v>548</v>
      </c>
      <c r="D330" s="42">
        <v>24</v>
      </c>
      <c r="E330" s="194">
        <f>VLOOKUP(B330,'[2]PROMEDIO AMAR'!$A$2:$F$42,6,FALSE)</f>
        <v>15765</v>
      </c>
      <c r="F330" s="194"/>
      <c r="G330" s="126">
        <f t="shared" si="64"/>
        <v>15765</v>
      </c>
      <c r="H330" s="127">
        <f t="shared" si="76"/>
        <v>378360</v>
      </c>
      <c r="I330" s="128">
        <f t="shared" si="79"/>
        <v>0</v>
      </c>
      <c r="J330" s="128">
        <f t="shared" si="80"/>
        <v>378360</v>
      </c>
      <c r="K330" s="44">
        <f t="shared" si="77"/>
        <v>1.0897200546363223E-3</v>
      </c>
      <c r="L330" s="45"/>
      <c r="M330" s="45">
        <f t="shared" si="81"/>
        <v>0</v>
      </c>
      <c r="N330" s="45">
        <f t="shared" si="78"/>
        <v>15765</v>
      </c>
      <c r="O330" s="46">
        <f t="shared" si="82"/>
        <v>378360</v>
      </c>
      <c r="P330" s="47">
        <f t="shared" si="83"/>
        <v>24516.666666666668</v>
      </c>
      <c r="Q330" s="42">
        <v>588400</v>
      </c>
      <c r="R330" s="152">
        <f t="shared" si="84"/>
        <v>0.64303195105370492</v>
      </c>
      <c r="S330" s="49"/>
      <c r="U330" s="112"/>
    </row>
    <row r="331" spans="1:21" hidden="1" x14ac:dyDescent="0.3">
      <c r="A331" s="40" t="str">
        <f>VLOOKUP(B331,Grupos!$A$2:$B$619,2,FALSE)</f>
        <v>BREAKERS</v>
      </c>
      <c r="B331" s="41" t="s">
        <v>779</v>
      </c>
      <c r="C331" s="41" t="s">
        <v>780</v>
      </c>
      <c r="D331" s="42">
        <v>48</v>
      </c>
      <c r="E331" s="194">
        <f>VLOOKUP(B331,'[2]PROMEDIO AMAR'!$A$2:$F$42,6,FALSE)</f>
        <v>4866</v>
      </c>
      <c r="F331" s="194"/>
      <c r="G331" s="126">
        <f t="shared" si="64"/>
        <v>4866</v>
      </c>
      <c r="H331" s="127">
        <f t="shared" si="76"/>
        <v>233568</v>
      </c>
      <c r="I331" s="128">
        <f t="shared" si="79"/>
        <v>0</v>
      </c>
      <c r="J331" s="128">
        <f t="shared" si="80"/>
        <v>233568</v>
      </c>
      <c r="K331" s="44">
        <f t="shared" si="77"/>
        <v>6.7270254181545758E-4</v>
      </c>
      <c r="L331" s="45"/>
      <c r="M331" s="45">
        <f t="shared" si="81"/>
        <v>0</v>
      </c>
      <c r="N331" s="45">
        <f t="shared" si="78"/>
        <v>4866</v>
      </c>
      <c r="O331" s="46">
        <f t="shared" si="82"/>
        <v>233568</v>
      </c>
      <c r="P331" s="47">
        <f t="shared" si="83"/>
        <v>6950</v>
      </c>
      <c r="Q331" s="42">
        <v>333600</v>
      </c>
      <c r="R331" s="152">
        <f t="shared" si="84"/>
        <v>0.70014388489208634</v>
      </c>
      <c r="S331" s="49"/>
      <c r="U331" s="112"/>
    </row>
    <row r="332" spans="1:21" hidden="1" x14ac:dyDescent="0.3">
      <c r="A332" s="40" t="str">
        <f>VLOOKUP(B332,Grupos!$A$2:$B$619,2,FALSE)</f>
        <v>BREAKERS</v>
      </c>
      <c r="B332" s="41" t="s">
        <v>781</v>
      </c>
      <c r="C332" s="41" t="s">
        <v>782</v>
      </c>
      <c r="D332" s="42">
        <v>276</v>
      </c>
      <c r="E332" s="194">
        <f>VLOOKUP(B332,'[2]PROMEDIO AMAR'!$A$2:$F$42,6,FALSE)</f>
        <v>4866</v>
      </c>
      <c r="F332" s="194"/>
      <c r="G332" s="126">
        <f t="shared" si="64"/>
        <v>4866</v>
      </c>
      <c r="H332" s="127">
        <f t="shared" si="76"/>
        <v>1343016</v>
      </c>
      <c r="I332" s="128">
        <f t="shared" si="79"/>
        <v>0</v>
      </c>
      <c r="J332" s="128">
        <f t="shared" si="80"/>
        <v>1343016</v>
      </c>
      <c r="K332" s="44">
        <f t="shared" si="77"/>
        <v>3.868039615438881E-3</v>
      </c>
      <c r="L332" s="45"/>
      <c r="M332" s="45">
        <f t="shared" si="81"/>
        <v>0</v>
      </c>
      <c r="N332" s="45">
        <f t="shared" si="78"/>
        <v>4866</v>
      </c>
      <c r="O332" s="46">
        <f t="shared" si="82"/>
        <v>1343016</v>
      </c>
      <c r="P332" s="47">
        <f t="shared" si="83"/>
        <v>6771.739130434783</v>
      </c>
      <c r="Q332" s="42">
        <v>1869000</v>
      </c>
      <c r="R332" s="152">
        <f t="shared" si="84"/>
        <v>0.71857463884430173</v>
      </c>
      <c r="S332" s="49"/>
      <c r="U332" s="112"/>
    </row>
    <row r="333" spans="1:21" hidden="1" x14ac:dyDescent="0.3">
      <c r="A333" s="40" t="str">
        <f>VLOOKUP(B333,Grupos!$A$2:$B$619,2,FALSE)</f>
        <v>BREAKERS</v>
      </c>
      <c r="B333" s="41" t="s">
        <v>783</v>
      </c>
      <c r="C333" s="41" t="s">
        <v>784</v>
      </c>
      <c r="D333" s="42">
        <v>168</v>
      </c>
      <c r="E333" s="194">
        <f>VLOOKUP(B333,'[2]PROMEDIO AMAR'!$A$2:$F$42,6,FALSE)</f>
        <v>4866</v>
      </c>
      <c r="F333" s="194"/>
      <c r="G333" s="126">
        <f t="shared" si="64"/>
        <v>4866</v>
      </c>
      <c r="H333" s="127">
        <f t="shared" si="76"/>
        <v>817488</v>
      </c>
      <c r="I333" s="128">
        <f t="shared" si="79"/>
        <v>0</v>
      </c>
      <c r="J333" s="128">
        <f t="shared" si="80"/>
        <v>817488</v>
      </c>
      <c r="K333" s="44">
        <f t="shared" si="77"/>
        <v>2.3544588963541014E-3</v>
      </c>
      <c r="L333" s="45"/>
      <c r="M333" s="45">
        <f t="shared" si="81"/>
        <v>0</v>
      </c>
      <c r="N333" s="45">
        <f t="shared" si="78"/>
        <v>4866</v>
      </c>
      <c r="O333" s="46">
        <f t="shared" si="82"/>
        <v>817488</v>
      </c>
      <c r="P333" s="47">
        <f t="shared" si="83"/>
        <v>6800</v>
      </c>
      <c r="Q333" s="42">
        <v>1142400</v>
      </c>
      <c r="R333" s="152">
        <f t="shared" si="84"/>
        <v>0.71558823529411764</v>
      </c>
      <c r="S333" s="49"/>
      <c r="U333" s="112"/>
    </row>
    <row r="334" spans="1:21" hidden="1" x14ac:dyDescent="0.3">
      <c r="A334" s="40" t="str">
        <f>VLOOKUP(B334,Grupos!$A$2:$B$619,2,FALSE)</f>
        <v>BREAKERS</v>
      </c>
      <c r="B334" s="41" t="s">
        <v>785</v>
      </c>
      <c r="C334" s="41" t="s">
        <v>786</v>
      </c>
      <c r="D334" s="42">
        <v>276</v>
      </c>
      <c r="E334" s="194">
        <f>VLOOKUP(B334,'[2]PROMEDIO AMAR'!$A$2:$F$42,6,FALSE)</f>
        <v>5255</v>
      </c>
      <c r="F334" s="194"/>
      <c r="G334" s="126">
        <f t="shared" si="64"/>
        <v>5255</v>
      </c>
      <c r="H334" s="127">
        <f t="shared" si="76"/>
        <v>1450380</v>
      </c>
      <c r="I334" s="128">
        <f t="shared" si="79"/>
        <v>0</v>
      </c>
      <c r="J334" s="128">
        <f t="shared" si="80"/>
        <v>1450380</v>
      </c>
      <c r="K334" s="44">
        <f t="shared" si="77"/>
        <v>4.1772602094392354E-3</v>
      </c>
      <c r="L334" s="45"/>
      <c r="M334" s="45">
        <f t="shared" si="81"/>
        <v>0</v>
      </c>
      <c r="N334" s="45">
        <f t="shared" si="78"/>
        <v>5255</v>
      </c>
      <c r="O334" s="46">
        <f t="shared" si="82"/>
        <v>1450380</v>
      </c>
      <c r="P334" s="47">
        <f t="shared" si="83"/>
        <v>6826.086956521739</v>
      </c>
      <c r="Q334" s="42">
        <v>1884000</v>
      </c>
      <c r="R334" s="152">
        <f t="shared" si="84"/>
        <v>0.76984076433121018</v>
      </c>
      <c r="S334" s="49"/>
      <c r="U334" s="112"/>
    </row>
    <row r="335" spans="1:21" hidden="1" x14ac:dyDescent="0.3">
      <c r="A335" s="40" t="str">
        <f>VLOOKUP(B335,Grupos!$A$2:$B$619,2,FALSE)</f>
        <v>BREAKERS</v>
      </c>
      <c r="B335" s="41" t="s">
        <v>998</v>
      </c>
      <c r="C335" s="41" t="s">
        <v>999</v>
      </c>
      <c r="D335" s="42">
        <v>96</v>
      </c>
      <c r="E335" s="194">
        <f>VLOOKUP(B335,'[2]PROMEDIO AMAR'!$A$2:$F$42,6,FALSE)</f>
        <v>5255</v>
      </c>
      <c r="F335" s="194"/>
      <c r="G335" s="126">
        <f t="shared" si="64"/>
        <v>5255</v>
      </c>
      <c r="H335" s="127">
        <f t="shared" si="76"/>
        <v>504480</v>
      </c>
      <c r="I335" s="128">
        <f t="shared" si="79"/>
        <v>0</v>
      </c>
      <c r="J335" s="128">
        <f t="shared" si="80"/>
        <v>504480</v>
      </c>
      <c r="K335" s="44">
        <f t="shared" si="77"/>
        <v>1.4529600728484299E-3</v>
      </c>
      <c r="L335" s="45"/>
      <c r="M335" s="45">
        <f t="shared" si="81"/>
        <v>0</v>
      </c>
      <c r="N335" s="45">
        <f t="shared" si="78"/>
        <v>5255</v>
      </c>
      <c r="O335" s="46">
        <f t="shared" si="82"/>
        <v>504480</v>
      </c>
      <c r="P335" s="47">
        <f t="shared" si="83"/>
        <v>6875</v>
      </c>
      <c r="Q335" s="42">
        <v>660000</v>
      </c>
      <c r="R335" s="152">
        <f t="shared" si="84"/>
        <v>0.76436363636363636</v>
      </c>
      <c r="S335" s="49"/>
      <c r="U335" s="112"/>
    </row>
    <row r="336" spans="1:21" hidden="1" x14ac:dyDescent="0.3">
      <c r="A336" s="40" t="str">
        <f>VLOOKUP(B336,Grupos!$A$2:$B$619,2,FALSE)</f>
        <v>BREAKERS</v>
      </c>
      <c r="B336" s="41" t="s">
        <v>790</v>
      </c>
      <c r="C336" s="41" t="s">
        <v>791</v>
      </c>
      <c r="D336" s="42">
        <v>6</v>
      </c>
      <c r="E336" s="194">
        <f>VLOOKUP(B336,'[2]PROMEDIO AMAR'!$A$2:$F$42,6,FALSE)</f>
        <v>9732</v>
      </c>
      <c r="F336" s="194"/>
      <c r="G336" s="126">
        <f t="shared" si="64"/>
        <v>9732</v>
      </c>
      <c r="H336" s="127">
        <f t="shared" si="76"/>
        <v>58392</v>
      </c>
      <c r="I336" s="128">
        <f t="shared" si="79"/>
        <v>0</v>
      </c>
      <c r="J336" s="128">
        <f t="shared" si="80"/>
        <v>58392</v>
      </c>
      <c r="K336" s="44">
        <f t="shared" si="77"/>
        <v>1.681756354538644E-4</v>
      </c>
      <c r="L336" s="45"/>
      <c r="M336" s="45">
        <f t="shared" si="81"/>
        <v>0</v>
      </c>
      <c r="N336" s="45">
        <f t="shared" si="78"/>
        <v>9732</v>
      </c>
      <c r="O336" s="46">
        <f t="shared" si="82"/>
        <v>58392</v>
      </c>
      <c r="P336" s="47">
        <f t="shared" si="83"/>
        <v>13600</v>
      </c>
      <c r="Q336" s="42">
        <v>81600</v>
      </c>
      <c r="R336" s="152">
        <f t="shared" si="84"/>
        <v>0.71558823529411764</v>
      </c>
      <c r="S336" s="49"/>
      <c r="U336" s="112"/>
    </row>
    <row r="337" spans="1:21" hidden="1" x14ac:dyDescent="0.3">
      <c r="A337" s="40" t="str">
        <f>VLOOKUP(B337,Grupos!$A$2:$B$619,2,FALSE)</f>
        <v>BREAKERS</v>
      </c>
      <c r="B337" s="41" t="s">
        <v>792</v>
      </c>
      <c r="C337" s="41" t="s">
        <v>793</v>
      </c>
      <c r="D337" s="42">
        <v>90</v>
      </c>
      <c r="E337" s="194">
        <f>VLOOKUP(B337,'[2]PROMEDIO AMAR'!$A$2:$F$42,6,FALSE)</f>
        <v>9732</v>
      </c>
      <c r="F337" s="194"/>
      <c r="G337" s="126">
        <f t="shared" si="64"/>
        <v>9732</v>
      </c>
      <c r="H337" s="127">
        <f t="shared" si="76"/>
        <v>875880</v>
      </c>
      <c r="I337" s="128">
        <f t="shared" si="79"/>
        <v>0</v>
      </c>
      <c r="J337" s="128">
        <f t="shared" si="80"/>
        <v>875880</v>
      </c>
      <c r="K337" s="44">
        <f t="shared" si="77"/>
        <v>2.5226345318079659E-3</v>
      </c>
      <c r="L337" s="45"/>
      <c r="M337" s="45">
        <f t="shared" si="81"/>
        <v>0</v>
      </c>
      <c r="N337" s="45">
        <f t="shared" si="78"/>
        <v>9732</v>
      </c>
      <c r="O337" s="46">
        <f t="shared" si="82"/>
        <v>875880</v>
      </c>
      <c r="P337" s="47">
        <f t="shared" si="83"/>
        <v>13886.666666666666</v>
      </c>
      <c r="Q337" s="42">
        <v>1249800</v>
      </c>
      <c r="R337" s="152">
        <f t="shared" si="84"/>
        <v>0.70081613058089298</v>
      </c>
      <c r="S337" s="49"/>
      <c r="U337" s="112"/>
    </row>
    <row r="338" spans="1:21" hidden="1" x14ac:dyDescent="0.3">
      <c r="A338" s="40" t="str">
        <f>VLOOKUP(B338,Grupos!$A$2:$B$619,2,FALSE)</f>
        <v>BREAKERS</v>
      </c>
      <c r="B338" s="41" t="s">
        <v>794</v>
      </c>
      <c r="C338" s="41" t="s">
        <v>795</v>
      </c>
      <c r="D338" s="42">
        <v>90</v>
      </c>
      <c r="E338" s="194">
        <f>VLOOKUP(B338,'[2]PROMEDIO AMAR'!$A$2:$F$42,6,FALSE)</f>
        <v>9732</v>
      </c>
      <c r="F338" s="194"/>
      <c r="G338" s="126">
        <f t="shared" si="64"/>
        <v>9732</v>
      </c>
      <c r="H338" s="127">
        <f t="shared" si="76"/>
        <v>875880</v>
      </c>
      <c r="I338" s="128">
        <f t="shared" si="79"/>
        <v>0</v>
      </c>
      <c r="J338" s="128">
        <f t="shared" si="80"/>
        <v>875880</v>
      </c>
      <c r="K338" s="44">
        <f t="shared" si="77"/>
        <v>2.5226345318079659E-3</v>
      </c>
      <c r="L338" s="45"/>
      <c r="M338" s="45">
        <f t="shared" si="81"/>
        <v>0</v>
      </c>
      <c r="N338" s="45">
        <f t="shared" si="78"/>
        <v>9732</v>
      </c>
      <c r="O338" s="46">
        <f t="shared" si="82"/>
        <v>875880</v>
      </c>
      <c r="P338" s="47">
        <f t="shared" si="83"/>
        <v>13588.666666666666</v>
      </c>
      <c r="Q338" s="42">
        <v>1222980</v>
      </c>
      <c r="R338" s="152">
        <f t="shared" si="84"/>
        <v>0.71618505617426287</v>
      </c>
      <c r="S338" s="49"/>
      <c r="U338" s="112"/>
    </row>
    <row r="339" spans="1:21" hidden="1" x14ac:dyDescent="0.3">
      <c r="A339" s="40" t="str">
        <f>VLOOKUP(B339,Grupos!$A$2:$B$619,2,FALSE)</f>
        <v>BREAKERS</v>
      </c>
      <c r="B339" s="41" t="s">
        <v>796</v>
      </c>
      <c r="C339" s="41" t="s">
        <v>797</v>
      </c>
      <c r="D339" s="42">
        <v>138</v>
      </c>
      <c r="E339" s="194">
        <f>VLOOKUP(B339,'[2]PROMEDIO AMAR'!$A$2:$F$42,6,FALSE)</f>
        <v>10510</v>
      </c>
      <c r="F339" s="194"/>
      <c r="G339" s="126">
        <f t="shared" si="64"/>
        <v>10510</v>
      </c>
      <c r="H339" s="127">
        <f t="shared" si="76"/>
        <v>1450380</v>
      </c>
      <c r="I339" s="128">
        <f t="shared" si="79"/>
        <v>0</v>
      </c>
      <c r="J339" s="128">
        <f t="shared" si="80"/>
        <v>1450380</v>
      </c>
      <c r="K339" s="44">
        <f t="shared" si="77"/>
        <v>4.1772602094392354E-3</v>
      </c>
      <c r="L339" s="45"/>
      <c r="M339" s="45">
        <f t="shared" si="81"/>
        <v>0</v>
      </c>
      <c r="N339" s="45">
        <f t="shared" si="78"/>
        <v>10510</v>
      </c>
      <c r="O339" s="46">
        <f t="shared" si="82"/>
        <v>1450380</v>
      </c>
      <c r="P339" s="47">
        <f t="shared" si="83"/>
        <v>14686.95652173913</v>
      </c>
      <c r="Q339" s="42">
        <v>2026800</v>
      </c>
      <c r="R339" s="152">
        <f t="shared" si="84"/>
        <v>0.71560094730609825</v>
      </c>
      <c r="S339" s="49"/>
      <c r="U339" s="112"/>
    </row>
    <row r="340" spans="1:21" hidden="1" x14ac:dyDescent="0.3">
      <c r="A340" s="40" t="str">
        <f>VLOOKUP(B340,Grupos!$A$2:$B$619,2,FALSE)</f>
        <v>BREAKERS</v>
      </c>
      <c r="B340" s="41" t="s">
        <v>798</v>
      </c>
      <c r="C340" s="41" t="s">
        <v>799</v>
      </c>
      <c r="D340" s="42">
        <v>66</v>
      </c>
      <c r="E340" s="194">
        <f>VLOOKUP(B340,'[2]PROMEDIO AMAR'!$A$2:$F$42,6,FALSE)</f>
        <v>10510</v>
      </c>
      <c r="F340" s="194"/>
      <c r="G340" s="126">
        <f t="shared" si="64"/>
        <v>10510</v>
      </c>
      <c r="H340" s="127">
        <f t="shared" si="76"/>
        <v>693660</v>
      </c>
      <c r="I340" s="128">
        <f t="shared" si="79"/>
        <v>0</v>
      </c>
      <c r="J340" s="128">
        <f t="shared" si="80"/>
        <v>693660</v>
      </c>
      <c r="K340" s="44">
        <f t="shared" si="77"/>
        <v>1.9978201001665911E-3</v>
      </c>
      <c r="L340" s="45"/>
      <c r="M340" s="45">
        <f t="shared" si="81"/>
        <v>0</v>
      </c>
      <c r="N340" s="45">
        <f t="shared" si="78"/>
        <v>10510</v>
      </c>
      <c r="O340" s="46">
        <f t="shared" si="82"/>
        <v>693660</v>
      </c>
      <c r="P340" s="47">
        <f t="shared" si="83"/>
        <v>13790.90909090909</v>
      </c>
      <c r="Q340" s="42">
        <v>910200</v>
      </c>
      <c r="R340" s="152">
        <f t="shared" si="84"/>
        <v>0.76209624258404751</v>
      </c>
      <c r="S340" s="49"/>
      <c r="U340" s="112"/>
    </row>
    <row r="341" spans="1:21" hidden="1" x14ac:dyDescent="0.3">
      <c r="A341" s="40" t="str">
        <f>VLOOKUP(B341,Grupos!$A$2:$B$619,2,FALSE)</f>
        <v>BREAKERS</v>
      </c>
      <c r="B341" s="41" t="s">
        <v>800</v>
      </c>
      <c r="C341" s="41" t="s">
        <v>801</v>
      </c>
      <c r="D341" s="42">
        <v>78</v>
      </c>
      <c r="E341" s="194">
        <f>VLOOKUP(B341,'[2]PROMEDIO AMAR'!$A$2:$F$42,6,FALSE)</f>
        <v>10510</v>
      </c>
      <c r="F341" s="194"/>
      <c r="G341" s="126">
        <f t="shared" si="64"/>
        <v>10510</v>
      </c>
      <c r="H341" s="127">
        <f t="shared" si="76"/>
        <v>819780</v>
      </c>
      <c r="I341" s="128">
        <f t="shared" si="79"/>
        <v>0</v>
      </c>
      <c r="J341" s="128">
        <f t="shared" si="80"/>
        <v>819780</v>
      </c>
      <c r="K341" s="44">
        <f t="shared" si="77"/>
        <v>2.3610601183786982E-3</v>
      </c>
      <c r="L341" s="45"/>
      <c r="M341" s="45">
        <f t="shared" si="81"/>
        <v>0</v>
      </c>
      <c r="N341" s="45">
        <f t="shared" si="78"/>
        <v>10510</v>
      </c>
      <c r="O341" s="46">
        <f t="shared" si="82"/>
        <v>819780</v>
      </c>
      <c r="P341" s="47">
        <f t="shared" si="83"/>
        <v>13756.923076923076</v>
      </c>
      <c r="Q341" s="42">
        <v>1073040</v>
      </c>
      <c r="R341" s="152">
        <f t="shared" si="84"/>
        <v>0.76397897562066652</v>
      </c>
      <c r="S341" s="49"/>
      <c r="U341" s="112"/>
    </row>
    <row r="342" spans="1:21" hidden="1" x14ac:dyDescent="0.3">
      <c r="A342" s="40" t="str">
        <f>VLOOKUP(B342,Grupos!$A$2:$B$619,2,FALSE)</f>
        <v>BREAKERS</v>
      </c>
      <c r="B342" s="41" t="s">
        <v>804</v>
      </c>
      <c r="C342" s="41" t="s">
        <v>805</v>
      </c>
      <c r="D342" s="42">
        <v>24</v>
      </c>
      <c r="E342" s="194">
        <f>VLOOKUP(B342,'[2]PROMEDIO AMAR'!$A$2:$F$42,6,FALSE)</f>
        <v>14597</v>
      </c>
      <c r="F342" s="194"/>
      <c r="G342" s="126">
        <f t="shared" si="64"/>
        <v>14597</v>
      </c>
      <c r="H342" s="127">
        <f t="shared" si="76"/>
        <v>350328</v>
      </c>
      <c r="I342" s="128">
        <f t="shared" si="79"/>
        <v>0</v>
      </c>
      <c r="J342" s="128">
        <f t="shared" si="80"/>
        <v>350328</v>
      </c>
      <c r="K342" s="44">
        <f t="shared" si="77"/>
        <v>1.0089846899794734E-3</v>
      </c>
      <c r="L342" s="45"/>
      <c r="M342" s="45">
        <f t="shared" si="81"/>
        <v>0</v>
      </c>
      <c r="N342" s="45">
        <f t="shared" si="78"/>
        <v>14597</v>
      </c>
      <c r="O342" s="46">
        <f t="shared" si="82"/>
        <v>350328</v>
      </c>
      <c r="P342" s="47">
        <f t="shared" si="83"/>
        <v>20100</v>
      </c>
      <c r="Q342" s="42">
        <v>482400</v>
      </c>
      <c r="R342" s="152">
        <f t="shared" si="84"/>
        <v>0.72621890547263679</v>
      </c>
      <c r="S342" s="49"/>
      <c r="U342" s="112"/>
    </row>
    <row r="343" spans="1:21" hidden="1" x14ac:dyDescent="0.3">
      <c r="A343" s="40" t="str">
        <f>VLOOKUP(B343,Grupos!$A$2:$B$619,2,FALSE)</f>
        <v>BREAKERS</v>
      </c>
      <c r="B343" s="41" t="s">
        <v>806</v>
      </c>
      <c r="C343" s="41" t="s">
        <v>807</v>
      </c>
      <c r="D343" s="42">
        <v>24</v>
      </c>
      <c r="E343" s="194">
        <f>VLOOKUP(B343,'[2]PROMEDIO AMAR'!$A$2:$F$42,6,FALSE)</f>
        <v>14597</v>
      </c>
      <c r="F343" s="194"/>
      <c r="G343" s="126">
        <f t="shared" si="64"/>
        <v>14597</v>
      </c>
      <c r="H343" s="127">
        <f t="shared" si="76"/>
        <v>350328</v>
      </c>
      <c r="I343" s="128">
        <f t="shared" si="79"/>
        <v>0</v>
      </c>
      <c r="J343" s="128">
        <f t="shared" si="80"/>
        <v>350328</v>
      </c>
      <c r="K343" s="44">
        <f t="shared" si="77"/>
        <v>1.0089846899794734E-3</v>
      </c>
      <c r="L343" s="45"/>
      <c r="M343" s="45">
        <f t="shared" si="81"/>
        <v>0</v>
      </c>
      <c r="N343" s="45">
        <f t="shared" si="78"/>
        <v>14597</v>
      </c>
      <c r="O343" s="46">
        <f t="shared" si="82"/>
        <v>350328</v>
      </c>
      <c r="P343" s="47">
        <f t="shared" si="83"/>
        <v>20100</v>
      </c>
      <c r="Q343" s="42">
        <v>482400</v>
      </c>
      <c r="R343" s="152">
        <f t="shared" si="84"/>
        <v>0.72621890547263679</v>
      </c>
      <c r="S343" s="49"/>
      <c r="U343" s="112"/>
    </row>
    <row r="344" spans="1:21" hidden="1" x14ac:dyDescent="0.3">
      <c r="A344" s="40" t="str">
        <f>VLOOKUP(B344,Grupos!$A$2:$B$619,2,FALSE)</f>
        <v>BREAKERS</v>
      </c>
      <c r="B344" s="41" t="s">
        <v>808</v>
      </c>
      <c r="C344" s="41" t="s">
        <v>809</v>
      </c>
      <c r="D344" s="42">
        <v>12</v>
      </c>
      <c r="E344" s="194">
        <f>VLOOKUP(B344,'[2]PROMEDIO AMAR'!$A$2:$F$42,6,FALSE)</f>
        <v>15765</v>
      </c>
      <c r="F344" s="194"/>
      <c r="G344" s="126">
        <f t="shared" si="64"/>
        <v>15765</v>
      </c>
      <c r="H344" s="127">
        <f t="shared" si="76"/>
        <v>189180</v>
      </c>
      <c r="I344" s="128">
        <f t="shared" si="79"/>
        <v>0</v>
      </c>
      <c r="J344" s="128">
        <f t="shared" si="80"/>
        <v>189180</v>
      </c>
      <c r="K344" s="44">
        <f t="shared" si="77"/>
        <v>5.4486002731816117E-4</v>
      </c>
      <c r="L344" s="45"/>
      <c r="M344" s="45">
        <f t="shared" si="81"/>
        <v>0</v>
      </c>
      <c r="N344" s="45">
        <f t="shared" si="78"/>
        <v>15765</v>
      </c>
      <c r="O344" s="46">
        <f t="shared" si="82"/>
        <v>189180</v>
      </c>
      <c r="P344" s="47">
        <f t="shared" si="83"/>
        <v>19500</v>
      </c>
      <c r="Q344" s="42">
        <v>234000</v>
      </c>
      <c r="R344" s="152">
        <f t="shared" si="84"/>
        <v>0.80846153846153845</v>
      </c>
      <c r="S344" s="49"/>
      <c r="U344" s="112"/>
    </row>
    <row r="345" spans="1:21" hidden="1" x14ac:dyDescent="0.3">
      <c r="A345" s="40" t="str">
        <f>VLOOKUP(B345,Grupos!$A$2:$B$619,2,FALSE)</f>
        <v>BREAKERS</v>
      </c>
      <c r="B345" s="41" t="s">
        <v>810</v>
      </c>
      <c r="C345" s="41" t="s">
        <v>811</v>
      </c>
      <c r="D345" s="42">
        <v>60</v>
      </c>
      <c r="E345" s="194">
        <f>VLOOKUP(B345,'[2]PROMEDIO AMAR'!$A$2:$F$42,6,FALSE)</f>
        <v>15765</v>
      </c>
      <c r="F345" s="194"/>
      <c r="G345" s="126">
        <f t="shared" si="64"/>
        <v>15765</v>
      </c>
      <c r="H345" s="127">
        <f t="shared" si="76"/>
        <v>945900</v>
      </c>
      <c r="I345" s="128">
        <f t="shared" si="79"/>
        <v>0</v>
      </c>
      <c r="J345" s="128">
        <f t="shared" si="80"/>
        <v>945900</v>
      </c>
      <c r="K345" s="44">
        <f t="shared" si="77"/>
        <v>2.7243001365908058E-3</v>
      </c>
      <c r="L345" s="45"/>
      <c r="M345" s="45">
        <f t="shared" si="81"/>
        <v>0</v>
      </c>
      <c r="N345" s="45">
        <f t="shared" si="78"/>
        <v>15765</v>
      </c>
      <c r="O345" s="46">
        <f t="shared" si="82"/>
        <v>945900</v>
      </c>
      <c r="P345" s="47">
        <f t="shared" si="83"/>
        <v>20100</v>
      </c>
      <c r="Q345" s="42">
        <v>1206000</v>
      </c>
      <c r="R345" s="152">
        <f t="shared" si="84"/>
        <v>0.78432835820895519</v>
      </c>
      <c r="S345" s="49"/>
      <c r="U345" s="112"/>
    </row>
    <row r="346" spans="1:21" hidden="1" x14ac:dyDescent="0.3">
      <c r="A346" s="40" t="str">
        <f>VLOOKUP(B346,Grupos!$A$2:$B$619,2,FALSE)</f>
        <v>BREAKERS</v>
      </c>
      <c r="B346" s="41" t="s">
        <v>812</v>
      </c>
      <c r="C346" s="41" t="s">
        <v>813</v>
      </c>
      <c r="D346" s="42">
        <v>80</v>
      </c>
      <c r="E346" s="194">
        <f>VLOOKUP(B346,'[2]PROMEDIO AMAR'!$A$2:$F$42,6,FALSE)</f>
        <v>15765</v>
      </c>
      <c r="F346" s="194"/>
      <c r="G346" s="126">
        <f t="shared" si="64"/>
        <v>15765</v>
      </c>
      <c r="H346" s="127">
        <f t="shared" si="76"/>
        <v>1261200</v>
      </c>
      <c r="I346" s="128">
        <f t="shared" si="79"/>
        <v>0</v>
      </c>
      <c r="J346" s="128">
        <f t="shared" si="80"/>
        <v>1261200</v>
      </c>
      <c r="K346" s="44">
        <f t="shared" si="77"/>
        <v>3.6324001821210743E-3</v>
      </c>
      <c r="L346" s="45"/>
      <c r="M346" s="45">
        <f t="shared" si="81"/>
        <v>0</v>
      </c>
      <c r="N346" s="45">
        <f t="shared" si="78"/>
        <v>15765</v>
      </c>
      <c r="O346" s="46">
        <f t="shared" si="82"/>
        <v>1261200</v>
      </c>
      <c r="P346" s="47">
        <f t="shared" si="83"/>
        <v>19900</v>
      </c>
      <c r="Q346" s="42">
        <v>1592000</v>
      </c>
      <c r="R346" s="152">
        <f t="shared" si="84"/>
        <v>0.79221105527638191</v>
      </c>
      <c r="S346" s="49"/>
      <c r="U346" s="112"/>
    </row>
    <row r="347" spans="1:21" ht="16.8" customHeight="1" x14ac:dyDescent="0.3">
      <c r="A347" s="50" t="s">
        <v>1012</v>
      </c>
      <c r="B347" s="41"/>
      <c r="C347" s="41"/>
      <c r="D347" s="51">
        <f>SUM(D296:D346)</f>
        <v>57278</v>
      </c>
      <c r="E347" s="43"/>
      <c r="F347" s="43"/>
      <c r="G347" s="126"/>
      <c r="H347" s="131">
        <f>SUM(H296:H346)</f>
        <v>347208439.81005007</v>
      </c>
      <c r="I347" s="131">
        <f t="shared" ref="I347" si="85">SUM(I296:I346)</f>
        <v>0</v>
      </c>
      <c r="J347" s="131">
        <f>SUM(J296:J346)</f>
        <v>347208439.81005007</v>
      </c>
      <c r="K347" s="53">
        <f t="shared" si="77"/>
        <v>1</v>
      </c>
      <c r="L347" s="45"/>
      <c r="M347" s="45"/>
      <c r="N347" s="45"/>
      <c r="O347" s="131">
        <f>SUM(O296:O346)</f>
        <v>347208439.81005007</v>
      </c>
      <c r="P347" s="47"/>
      <c r="Q347" s="51">
        <f>SUM(Q296:Q346)</f>
        <v>474092959.73000008</v>
      </c>
      <c r="R347" s="164">
        <f t="shared" si="84"/>
        <v>0.73236362760541351</v>
      </c>
      <c r="S347" s="58">
        <f>Q347/Q361</f>
        <v>9.266124864061899E-2</v>
      </c>
      <c r="U347" s="112"/>
    </row>
    <row r="348" spans="1:21" x14ac:dyDescent="0.3">
      <c r="A348" s="40" t="str">
        <f>VLOOKUP(B348,Grupos!$A$2:$B$619,2,FALSE)</f>
        <v>VARILLAS</v>
      </c>
      <c r="B348" s="41" t="s">
        <v>549</v>
      </c>
      <c r="C348" s="41" t="s">
        <v>550</v>
      </c>
      <c r="D348" s="42">
        <v>214</v>
      </c>
      <c r="E348" s="43">
        <f>VLOOKUP(B348,'[3]A FEB 2026'!$A$2:$G$14,7,FALSE)</f>
        <v>94000</v>
      </c>
      <c r="F348" s="43">
        <f>VLOOKUP(B348,[1]Todos!$A$2:$C$3021,3,FALSE)</f>
        <v>73.47</v>
      </c>
      <c r="G348" s="126">
        <f t="shared" si="64"/>
        <v>94073.47</v>
      </c>
      <c r="H348" s="127">
        <f>E348*D348</f>
        <v>20116000</v>
      </c>
      <c r="I348" s="128">
        <f t="shared" ref="I348:I359" si="86">F348*D348</f>
        <v>15722.58</v>
      </c>
      <c r="J348" s="128">
        <f t="shared" ref="J348:J359" si="87">G348*D348</f>
        <v>20131722.580000002</v>
      </c>
      <c r="K348" s="44">
        <f>J348/$J$360</f>
        <v>3.0943434311322016E-2</v>
      </c>
      <c r="L348" s="45"/>
      <c r="M348" s="45">
        <f t="shared" ref="M348:M359" si="88">F348*$M$366</f>
        <v>515.86959293111374</v>
      </c>
      <c r="N348" s="45">
        <f t="shared" si="78"/>
        <v>94589.339592931108</v>
      </c>
      <c r="O348" s="46">
        <f t="shared" ref="O348:O359" si="89">N348*D348</f>
        <v>20242118.672887258</v>
      </c>
      <c r="P348" s="47">
        <f t="shared" ref="P348:P359" si="90">Q348/D348</f>
        <v>107869.6168224299</v>
      </c>
      <c r="Q348" s="42">
        <v>23084098</v>
      </c>
      <c r="R348" s="152">
        <f t="shared" si="54"/>
        <v>0.87688584032554606</v>
      </c>
      <c r="S348" s="49"/>
      <c r="U348" s="112"/>
    </row>
    <row r="349" spans="1:21" x14ac:dyDescent="0.3">
      <c r="A349" s="40" t="str">
        <f>VLOOKUP(B349,Grupos!$A$2:$B$619,2,FALSE)</f>
        <v>VARILLAS</v>
      </c>
      <c r="B349" s="41" t="s">
        <v>551</v>
      </c>
      <c r="C349" s="41" t="s">
        <v>552</v>
      </c>
      <c r="D349" s="42">
        <v>548</v>
      </c>
      <c r="E349" s="43">
        <f>VLOOKUP(B349,'[3]A FEB 2026'!$A$2:$G$14,7,FALSE)</f>
        <v>117300</v>
      </c>
      <c r="F349" s="43">
        <f>VLOOKUP(B349,[1]Todos!$A$2:$C$3021,3,FALSE)</f>
        <v>91.91</v>
      </c>
      <c r="G349" s="126">
        <f t="shared" si="64"/>
        <v>117391.91</v>
      </c>
      <c r="H349" s="127">
        <f t="shared" ref="H349:H359" si="91">E349*D349</f>
        <v>64280400</v>
      </c>
      <c r="I349" s="128">
        <f t="shared" si="86"/>
        <v>50366.68</v>
      </c>
      <c r="J349" s="128">
        <f t="shared" si="87"/>
        <v>64330766.68</v>
      </c>
      <c r="K349" s="44">
        <f t="shared" ref="K349:K359" si="92">J349/$J$360</f>
        <v>9.8879509443327671E-2</v>
      </c>
      <c r="L349" s="45"/>
      <c r="M349" s="45">
        <f t="shared" si="88"/>
        <v>645.34604990198261</v>
      </c>
      <c r="N349" s="45">
        <f t="shared" si="78"/>
        <v>118037.25604990199</v>
      </c>
      <c r="O349" s="46">
        <f t="shared" si="89"/>
        <v>64684416.315346293</v>
      </c>
      <c r="P349" s="47">
        <f t="shared" si="90"/>
        <v>133382.39416058394</v>
      </c>
      <c r="Q349" s="42">
        <v>73093552</v>
      </c>
      <c r="R349" s="152">
        <f t="shared" si="54"/>
        <v>0.88495379613438807</v>
      </c>
      <c r="S349" s="49"/>
      <c r="U349" s="112"/>
    </row>
    <row r="350" spans="1:21" x14ac:dyDescent="0.3">
      <c r="A350" s="40" t="str">
        <f>VLOOKUP(B350,Grupos!$A$2:$B$619,2,FALSE)</f>
        <v>VARILLAS</v>
      </c>
      <c r="B350" s="41" t="s">
        <v>553</v>
      </c>
      <c r="C350" s="41" t="s">
        <v>554</v>
      </c>
      <c r="D350" s="42">
        <v>326</v>
      </c>
      <c r="E350" s="43">
        <f>VLOOKUP(B350,'[3]A FEB 2026'!$A$2:$G$14,7,FALSE)</f>
        <v>140600</v>
      </c>
      <c r="F350" s="43">
        <f>VLOOKUP(B350,[1]Todos!$A$2:$C$3021,3,FALSE)</f>
        <v>109.91</v>
      </c>
      <c r="G350" s="126">
        <f t="shared" si="64"/>
        <v>140709.91</v>
      </c>
      <c r="H350" s="127">
        <f t="shared" si="91"/>
        <v>45835600</v>
      </c>
      <c r="I350" s="128">
        <f t="shared" si="86"/>
        <v>35830.659999999996</v>
      </c>
      <c r="J350" s="128">
        <f t="shared" si="87"/>
        <v>45871430.660000004</v>
      </c>
      <c r="K350" s="44">
        <f t="shared" si="92"/>
        <v>7.0506614411834034E-2</v>
      </c>
      <c r="L350" s="45"/>
      <c r="M350" s="45">
        <f t="shared" si="88"/>
        <v>771.73304694513013</v>
      </c>
      <c r="N350" s="45">
        <f t="shared" si="78"/>
        <v>141481.64304694513</v>
      </c>
      <c r="O350" s="46">
        <f t="shared" si="89"/>
        <v>46123015.633304112</v>
      </c>
      <c r="P350" s="47">
        <f t="shared" si="90"/>
        <v>158558.6809815951</v>
      </c>
      <c r="Q350" s="42">
        <v>51690130</v>
      </c>
      <c r="R350" s="152">
        <f t="shared" si="54"/>
        <v>0.8922983098186078</v>
      </c>
      <c r="S350" s="49"/>
      <c r="U350" s="112"/>
    </row>
    <row r="351" spans="1:21" x14ac:dyDescent="0.3">
      <c r="A351" s="40" t="str">
        <f>VLOOKUP(B351,Grupos!$A$2:$B$619,2,FALSE)</f>
        <v>VARILLAS</v>
      </c>
      <c r="B351" s="41" t="s">
        <v>555</v>
      </c>
      <c r="C351" s="41" t="s">
        <v>556</v>
      </c>
      <c r="D351" s="42">
        <v>1625</v>
      </c>
      <c r="E351" s="43">
        <f>VLOOKUP(B351,'[3]A FEB 2026'!$A$2:$G$14,7,FALSE)</f>
        <v>187000</v>
      </c>
      <c r="F351" s="43">
        <f>VLOOKUP(B351,[1]Todos!$A$2:$C$3021,3,FALSE)</f>
        <v>83</v>
      </c>
      <c r="G351" s="126">
        <f t="shared" si="64"/>
        <v>187083</v>
      </c>
      <c r="H351" s="127">
        <f t="shared" si="91"/>
        <v>303875000</v>
      </c>
      <c r="I351" s="128">
        <f t="shared" si="86"/>
        <v>134875</v>
      </c>
      <c r="J351" s="128">
        <f t="shared" si="87"/>
        <v>304009875</v>
      </c>
      <c r="K351" s="44">
        <f t="shared" si="92"/>
        <v>0.46727792714575128</v>
      </c>
      <c r="L351" s="45"/>
      <c r="M351" s="45">
        <f t="shared" si="88"/>
        <v>582.78448636562462</v>
      </c>
      <c r="N351" s="45">
        <f t="shared" si="78"/>
        <v>187665.78448636562</v>
      </c>
      <c r="O351" s="46">
        <f t="shared" si="89"/>
        <v>304956899.79034412</v>
      </c>
      <c r="P351" s="47">
        <f t="shared" si="90"/>
        <v>211162.02461538461</v>
      </c>
      <c r="Q351" s="42">
        <v>343138290</v>
      </c>
      <c r="R351" s="152">
        <f t="shared" si="54"/>
        <v>0.88872885561778636</v>
      </c>
      <c r="S351" s="49"/>
      <c r="U351" s="112"/>
    </row>
    <row r="352" spans="1:21" x14ac:dyDescent="0.3">
      <c r="A352" s="40" t="str">
        <f>VLOOKUP(B352,Grupos!$A$2:$B$619,2,FALSE)</f>
        <v>VARILLAS</v>
      </c>
      <c r="B352" s="41" t="s">
        <v>557</v>
      </c>
      <c r="C352" s="41" t="s">
        <v>558</v>
      </c>
      <c r="D352" s="42">
        <v>600</v>
      </c>
      <c r="E352" s="43">
        <f>VLOOKUP(B352,'[3]A FEB 2026'!$A$2:$G$14,7,FALSE)</f>
        <v>77200</v>
      </c>
      <c r="F352" s="43">
        <v>0</v>
      </c>
      <c r="G352" s="126">
        <f t="shared" si="64"/>
        <v>77200</v>
      </c>
      <c r="H352" s="127">
        <f t="shared" si="91"/>
        <v>46320000</v>
      </c>
      <c r="I352" s="128">
        <f t="shared" si="86"/>
        <v>0</v>
      </c>
      <c r="J352" s="128">
        <f t="shared" si="87"/>
        <v>46320000</v>
      </c>
      <c r="K352" s="44">
        <f t="shared" si="92"/>
        <v>7.1196087250097378E-2</v>
      </c>
      <c r="L352" s="45"/>
      <c r="M352" s="45">
        <f t="shared" si="88"/>
        <v>0</v>
      </c>
      <c r="N352" s="45">
        <f t="shared" si="78"/>
        <v>77200</v>
      </c>
      <c r="O352" s="46">
        <f t="shared" si="89"/>
        <v>46320000</v>
      </c>
      <c r="P352" s="47">
        <f t="shared" si="90"/>
        <v>86434.6</v>
      </c>
      <c r="Q352" s="42">
        <v>51860760</v>
      </c>
      <c r="R352" s="152">
        <f t="shared" si="54"/>
        <v>0.89316084068185653</v>
      </c>
      <c r="S352" s="49"/>
      <c r="U352" s="112"/>
    </row>
    <row r="353" spans="1:21" x14ac:dyDescent="0.3">
      <c r="A353" s="40" t="str">
        <f>VLOOKUP(B353,Grupos!$A$2:$B$619,2,FALSE)</f>
        <v>VARILLAS</v>
      </c>
      <c r="B353" s="41" t="s">
        <v>559</v>
      </c>
      <c r="C353" s="41" t="s">
        <v>560</v>
      </c>
      <c r="D353" s="42">
        <v>476</v>
      </c>
      <c r="E353" s="43">
        <f>VLOOKUP(B353,'[3]A FEB 2026'!$A$2:$G$14,7,FALSE)</f>
        <v>96800</v>
      </c>
      <c r="F353" s="43">
        <v>0</v>
      </c>
      <c r="G353" s="126">
        <f t="shared" si="64"/>
        <v>96800</v>
      </c>
      <c r="H353" s="127">
        <f t="shared" si="91"/>
        <v>46076800</v>
      </c>
      <c r="I353" s="128">
        <f t="shared" si="86"/>
        <v>0</v>
      </c>
      <c r="J353" s="128">
        <f t="shared" si="87"/>
        <v>46076800</v>
      </c>
      <c r="K353" s="44">
        <f t="shared" si="92"/>
        <v>7.0822277051064059E-2</v>
      </c>
      <c r="L353" s="45"/>
      <c r="M353" s="45">
        <f t="shared" si="88"/>
        <v>0</v>
      </c>
      <c r="N353" s="45">
        <f t="shared" si="78"/>
        <v>96800</v>
      </c>
      <c r="O353" s="46">
        <f t="shared" si="89"/>
        <v>46076800</v>
      </c>
      <c r="P353" s="47">
        <f t="shared" si="90"/>
        <v>109926.88445378152</v>
      </c>
      <c r="Q353" s="42">
        <v>52325197</v>
      </c>
      <c r="R353" s="152">
        <f t="shared" si="54"/>
        <v>0.88058531341984247</v>
      </c>
      <c r="S353" s="49"/>
      <c r="U353" s="112"/>
    </row>
    <row r="354" spans="1:21" x14ac:dyDescent="0.3">
      <c r="A354" s="40" t="str">
        <f>VLOOKUP(B354,Grupos!$A$2:$B$619,2,FALSE)</f>
        <v>VARILLAS</v>
      </c>
      <c r="B354" s="41" t="s">
        <v>657</v>
      </c>
      <c r="C354" s="41" t="s">
        <v>658</v>
      </c>
      <c r="D354" s="42">
        <v>380</v>
      </c>
      <c r="E354" s="43">
        <f>VLOOKUP(B354,'[3]A FEB 2026'!$A$2:$G$14,7,FALSE)</f>
        <v>115600</v>
      </c>
      <c r="F354" s="43">
        <v>0</v>
      </c>
      <c r="G354" s="126">
        <f t="shared" ref="G354:G359" si="93">E354+F354</f>
        <v>115600</v>
      </c>
      <c r="H354" s="127">
        <f t="shared" si="91"/>
        <v>43928000</v>
      </c>
      <c r="I354" s="128">
        <f t="shared" si="86"/>
        <v>0</v>
      </c>
      <c r="J354" s="128">
        <f t="shared" si="87"/>
        <v>43928000</v>
      </c>
      <c r="K354" s="44">
        <f t="shared" si="92"/>
        <v>6.7519467200394603E-2</v>
      </c>
      <c r="L354" s="45"/>
      <c r="M354" s="45">
        <f t="shared" si="88"/>
        <v>0</v>
      </c>
      <c r="N354" s="45">
        <f t="shared" si="78"/>
        <v>115600</v>
      </c>
      <c r="O354" s="46">
        <f t="shared" si="89"/>
        <v>43928000</v>
      </c>
      <c r="P354" s="47">
        <f t="shared" si="90"/>
        <v>131303.11842105264</v>
      </c>
      <c r="Q354" s="42">
        <v>49895185</v>
      </c>
      <c r="R354" s="152">
        <f t="shared" si="54"/>
        <v>0.88040559424722042</v>
      </c>
      <c r="S354" s="49"/>
      <c r="U354" s="112"/>
    </row>
    <row r="355" spans="1:21" x14ac:dyDescent="0.3">
      <c r="A355" s="40" t="str">
        <f>VLOOKUP(B355,Grupos!$A$2:$B$619,2,FALSE)</f>
        <v>VARILLAS</v>
      </c>
      <c r="B355" s="41" t="s">
        <v>561</v>
      </c>
      <c r="C355" s="41" t="s">
        <v>562</v>
      </c>
      <c r="D355" s="42">
        <v>320</v>
      </c>
      <c r="E355" s="43">
        <f>VLOOKUP(B355,'[3]A FEB 2026'!$A$2:$G$14,7,FALSE)</f>
        <v>154300</v>
      </c>
      <c r="F355" s="43">
        <v>0</v>
      </c>
      <c r="G355" s="126">
        <f t="shared" si="93"/>
        <v>154300</v>
      </c>
      <c r="H355" s="127">
        <f t="shared" si="91"/>
        <v>49376000</v>
      </c>
      <c r="I355" s="128">
        <f t="shared" si="86"/>
        <v>0</v>
      </c>
      <c r="J355" s="128">
        <f t="shared" si="87"/>
        <v>49376000</v>
      </c>
      <c r="K355" s="44">
        <f t="shared" si="92"/>
        <v>7.5893307514266151E-2</v>
      </c>
      <c r="L355" s="45"/>
      <c r="M355" s="45">
        <f t="shared" si="88"/>
        <v>0</v>
      </c>
      <c r="N355" s="45">
        <f t="shared" si="78"/>
        <v>154300</v>
      </c>
      <c r="O355" s="46">
        <f t="shared" si="89"/>
        <v>49376000</v>
      </c>
      <c r="P355" s="47">
        <f t="shared" si="90"/>
        <v>172640.34375</v>
      </c>
      <c r="Q355" s="42">
        <v>55244910</v>
      </c>
      <c r="R355" s="152">
        <f t="shared" si="54"/>
        <v>0.89376559759080065</v>
      </c>
      <c r="S355" s="49"/>
      <c r="U355" s="112"/>
    </row>
    <row r="356" spans="1:21" x14ac:dyDescent="0.3">
      <c r="A356" s="40" t="str">
        <f>VLOOKUP(B356,Grupos!$A$2:$B$619,2,FALSE)</f>
        <v>VARILLAS</v>
      </c>
      <c r="B356" s="41" t="s">
        <v>1004</v>
      </c>
      <c r="C356" s="41" t="s">
        <v>1005</v>
      </c>
      <c r="D356" s="42">
        <v>565</v>
      </c>
      <c r="E356" s="43">
        <f>VLOOKUP(B356,'[3]A FEB 2026'!$A$2:$G$14,7,FALSE)</f>
        <v>9215</v>
      </c>
      <c r="F356" s="43">
        <f>VLOOKUP(B356,[1]Todos!$A$2:$C$3021,3,FALSE)</f>
        <v>79.239999999999995</v>
      </c>
      <c r="G356" s="126">
        <f t="shared" si="93"/>
        <v>9294.24</v>
      </c>
      <c r="H356" s="127">
        <f t="shared" si="91"/>
        <v>5206475</v>
      </c>
      <c r="I356" s="128">
        <f t="shared" si="86"/>
        <v>44770.6</v>
      </c>
      <c r="J356" s="128">
        <f t="shared" si="87"/>
        <v>5251245.5999999996</v>
      </c>
      <c r="K356" s="44">
        <f t="shared" si="92"/>
        <v>8.0714192553819081E-3</v>
      </c>
      <c r="L356" s="45"/>
      <c r="M356" s="45">
        <f t="shared" si="88"/>
        <v>556.38364698327814</v>
      </c>
      <c r="N356" s="45">
        <f t="shared" si="78"/>
        <v>9850.6236469832784</v>
      </c>
      <c r="O356" s="46">
        <f t="shared" si="89"/>
        <v>5565602.3605455523</v>
      </c>
      <c r="P356" s="47">
        <f t="shared" si="90"/>
        <v>10940.088495575221</v>
      </c>
      <c r="Q356" s="42">
        <v>6181150</v>
      </c>
      <c r="R356" s="152">
        <f t="shared" si="54"/>
        <v>0.90041535321834165</v>
      </c>
      <c r="S356" s="49"/>
      <c r="U356" s="112"/>
    </row>
    <row r="357" spans="1:21" x14ac:dyDescent="0.3">
      <c r="A357" s="40" t="str">
        <f>VLOOKUP(B357,Grupos!$A$2:$B$619,2,FALSE)</f>
        <v>VARILLAS</v>
      </c>
      <c r="B357" s="41" t="s">
        <v>1006</v>
      </c>
      <c r="C357" s="41" t="s">
        <v>1007</v>
      </c>
      <c r="D357" s="42">
        <v>1225</v>
      </c>
      <c r="E357" s="43">
        <f>VLOOKUP(B357,'[3]A FEB 2026'!$A$2:$G$14,7,FALSE)</f>
        <v>10379</v>
      </c>
      <c r="F357" s="43">
        <f>VLOOKUP(B357,[1]Todos!$A$2:$C$3021,3,FALSE)</f>
        <v>51.83</v>
      </c>
      <c r="G357" s="126">
        <f t="shared" si="93"/>
        <v>10430.83</v>
      </c>
      <c r="H357" s="127">
        <f t="shared" si="91"/>
        <v>12714275</v>
      </c>
      <c r="I357" s="128">
        <f t="shared" si="86"/>
        <v>63491.75</v>
      </c>
      <c r="J357" s="128">
        <f t="shared" si="87"/>
        <v>12777766.75</v>
      </c>
      <c r="K357" s="44">
        <f t="shared" si="92"/>
        <v>1.9640047417840961E-2</v>
      </c>
      <c r="L357" s="45"/>
      <c r="M357" s="45">
        <f t="shared" si="88"/>
        <v>363.92433648590747</v>
      </c>
      <c r="N357" s="45">
        <f t="shared" si="78"/>
        <v>10794.754336485907</v>
      </c>
      <c r="O357" s="46">
        <f t="shared" si="89"/>
        <v>13223574.062195236</v>
      </c>
      <c r="P357" s="47">
        <f t="shared" si="90"/>
        <v>11992.816326530612</v>
      </c>
      <c r="Q357" s="42">
        <v>14691200</v>
      </c>
      <c r="R357" s="152">
        <f t="shared" si="54"/>
        <v>0.90010169776432392</v>
      </c>
      <c r="S357" s="49"/>
      <c r="U357" s="112"/>
    </row>
    <row r="358" spans="1:21" x14ac:dyDescent="0.3">
      <c r="A358" s="40" t="str">
        <f>VLOOKUP(B358,Grupos!$A$2:$B$619,2,FALSE)</f>
        <v>VARILLAS</v>
      </c>
      <c r="B358" s="41" t="s">
        <v>1008</v>
      </c>
      <c r="C358" s="41" t="s">
        <v>1009</v>
      </c>
      <c r="D358" s="42">
        <v>50</v>
      </c>
      <c r="E358" s="43">
        <f>VLOOKUP(B358,'[3]A FEB 2026'!$A$2:$G$14,7,FALSE)</f>
        <v>12125</v>
      </c>
      <c r="F358" s="43">
        <f>VLOOKUP(B358,[1]Todos!$A$2:$C$3021,3,FALSE)</f>
        <v>64.17</v>
      </c>
      <c r="G358" s="126">
        <f t="shared" si="93"/>
        <v>12189.17</v>
      </c>
      <c r="H358" s="127">
        <f t="shared" si="91"/>
        <v>606250</v>
      </c>
      <c r="I358" s="128">
        <f t="shared" si="86"/>
        <v>3208.5</v>
      </c>
      <c r="J358" s="128">
        <f t="shared" si="87"/>
        <v>609458.5</v>
      </c>
      <c r="K358" s="44">
        <f t="shared" si="92"/>
        <v>9.3676728284355513E-4</v>
      </c>
      <c r="L358" s="45"/>
      <c r="M358" s="45">
        <f t="shared" si="88"/>
        <v>450.56964445882085</v>
      </c>
      <c r="N358" s="45">
        <f t="shared" si="78"/>
        <v>12639.739644458821</v>
      </c>
      <c r="O358" s="46">
        <f t="shared" si="89"/>
        <v>631986.98222294101</v>
      </c>
      <c r="P358" s="47">
        <f t="shared" si="90"/>
        <v>14300</v>
      </c>
      <c r="Q358" s="42">
        <v>715000</v>
      </c>
      <c r="R358" s="152">
        <f t="shared" si="54"/>
        <v>0.88389787723488256</v>
      </c>
      <c r="S358" s="49"/>
      <c r="U358" s="112"/>
    </row>
    <row r="359" spans="1:21" x14ac:dyDescent="0.3">
      <c r="A359" s="40" t="str">
        <f>VLOOKUP(B359,Grupos!$A$2:$B$619,2,FALSE)</f>
        <v>VARILLAS</v>
      </c>
      <c r="B359" s="41" t="s">
        <v>1102</v>
      </c>
      <c r="C359" s="41" t="s">
        <v>1103</v>
      </c>
      <c r="D359" s="42">
        <v>355</v>
      </c>
      <c r="E359" s="43">
        <f>VLOOKUP(B359,'[3]A FEB 2026'!$A$2:$G$14,7,FALSE)</f>
        <v>33500</v>
      </c>
      <c r="F359" s="43">
        <f>VLOOKUP(B359,[1]Todos!$A$2:$C$3021,3,FALSE)</f>
        <v>61.93</v>
      </c>
      <c r="G359" s="126">
        <f t="shared" si="93"/>
        <v>33561.93</v>
      </c>
      <c r="H359" s="127">
        <f t="shared" si="91"/>
        <v>11892500</v>
      </c>
      <c r="I359" s="128">
        <f t="shared" si="86"/>
        <v>21985.15</v>
      </c>
      <c r="J359" s="128">
        <f t="shared" si="87"/>
        <v>11914485.15</v>
      </c>
      <c r="K359" s="44">
        <f t="shared" si="92"/>
        <v>1.8313141715876287E-2</v>
      </c>
      <c r="L359" s="45"/>
      <c r="M359" s="45">
        <f t="shared" si="88"/>
        <v>434.84148482678472</v>
      </c>
      <c r="N359" s="45">
        <f t="shared" si="78"/>
        <v>33996.771484826786</v>
      </c>
      <c r="O359" s="46">
        <f t="shared" si="89"/>
        <v>12068853.87711351</v>
      </c>
      <c r="P359" s="47">
        <f t="shared" si="90"/>
        <v>38439.295774647886</v>
      </c>
      <c r="Q359" s="42">
        <v>13645950</v>
      </c>
      <c r="R359" s="152">
        <f t="shared" si="54"/>
        <v>0.88442753176682531</v>
      </c>
      <c r="S359" s="49"/>
      <c r="U359" s="112"/>
    </row>
    <row r="360" spans="1:21" x14ac:dyDescent="0.3">
      <c r="A360" s="132" t="s">
        <v>1013</v>
      </c>
      <c r="B360" s="41"/>
      <c r="C360" s="41"/>
      <c r="D360" s="51">
        <f>SUM(D348:D359)</f>
        <v>6684</v>
      </c>
      <c r="E360" s="43"/>
      <c r="F360" s="43"/>
      <c r="G360" s="126"/>
      <c r="H360" s="131">
        <f>SUM(H348:H359)</f>
        <v>650227300</v>
      </c>
      <c r="I360" s="131">
        <f t="shared" ref="I360:J360" si="94">SUM(I348:I359)</f>
        <v>370250.92</v>
      </c>
      <c r="J360" s="131">
        <f t="shared" si="94"/>
        <v>650597550.92000008</v>
      </c>
      <c r="K360" s="53">
        <f>J360/$J$360</f>
        <v>1</v>
      </c>
      <c r="L360" s="45"/>
      <c r="M360" s="45"/>
      <c r="N360" s="45"/>
      <c r="O360" s="55">
        <f>SUM(O348:O359)</f>
        <v>653197267.69395888</v>
      </c>
      <c r="P360" s="47"/>
      <c r="Q360" s="51">
        <f>SUM(Q348:Q359)</f>
        <v>735565422</v>
      </c>
      <c r="R360" s="164">
        <f t="shared" si="54"/>
        <v>0.88802062761177325</v>
      </c>
      <c r="S360" s="58">
        <f>Q360/Q361</f>
        <v>0.14376591986980913</v>
      </c>
      <c r="U360" s="112"/>
    </row>
    <row r="361" spans="1:21" x14ac:dyDescent="0.3">
      <c r="A361" s="132" t="s">
        <v>1131</v>
      </c>
      <c r="B361" s="41"/>
      <c r="C361" s="41"/>
      <c r="D361" s="51">
        <f>SUM(D360,D347,D295)</f>
        <v>2586450.35</v>
      </c>
      <c r="E361" s="43"/>
      <c r="F361" s="43"/>
      <c r="G361" s="126"/>
      <c r="H361" s="131">
        <f>SUM(H360,H347,H295)</f>
        <v>2404421893.0100489</v>
      </c>
      <c r="I361" s="131">
        <f t="shared" ref="I361:J361" si="95">SUM(I360,I347,I295)</f>
        <v>102196551.99000001</v>
      </c>
      <c r="J361" s="131">
        <f t="shared" si="95"/>
        <v>2506618445.0000496</v>
      </c>
      <c r="K361" s="44"/>
      <c r="L361" s="45"/>
      <c r="M361" s="45"/>
      <c r="N361" s="45"/>
      <c r="O361" s="131">
        <f t="shared" ref="O361" si="96">SUM(O360,O347,O295)</f>
        <v>3677695878.0600491</v>
      </c>
      <c r="P361" s="47"/>
      <c r="Q361" s="131">
        <f>SUM(Q360,Q347,Q295)</f>
        <v>5116410222.0200024</v>
      </c>
      <c r="R361" s="65">
        <f t="shared" ref="R361" si="97">O361/Q361</f>
        <v>0.71880395012737341</v>
      </c>
      <c r="S361" s="148"/>
      <c r="U361" s="112"/>
    </row>
    <row r="362" spans="1:21" x14ac:dyDescent="0.3">
      <c r="A362" s="132" t="s">
        <v>1015</v>
      </c>
      <c r="B362" s="41"/>
      <c r="C362" s="41"/>
      <c r="D362" s="51"/>
      <c r="E362" s="43"/>
      <c r="F362" s="43"/>
      <c r="G362" s="126"/>
      <c r="H362" s="131"/>
      <c r="I362" s="131"/>
      <c r="J362" s="131"/>
      <c r="K362" s="44"/>
      <c r="L362" s="45"/>
      <c r="M362" s="45"/>
      <c r="N362" s="45"/>
      <c r="O362" s="131">
        <v>-36515326</v>
      </c>
      <c r="P362" s="47"/>
      <c r="Q362" s="131">
        <v>-133839903.63</v>
      </c>
      <c r="R362" s="65"/>
      <c r="S362" s="144"/>
      <c r="U362" s="112"/>
    </row>
    <row r="363" spans="1:21" x14ac:dyDescent="0.3">
      <c r="A363" s="133" t="s">
        <v>1016</v>
      </c>
      <c r="B363" s="134"/>
      <c r="C363" s="134"/>
      <c r="D363" s="135">
        <f>D361+D362</f>
        <v>2586450.35</v>
      </c>
      <c r="E363" s="136"/>
      <c r="F363" s="136"/>
      <c r="G363" s="137"/>
      <c r="H363" s="138">
        <f>H361+H362</f>
        <v>2404421893.0100489</v>
      </c>
      <c r="I363" s="138">
        <f>I361+I362</f>
        <v>102196551.99000001</v>
      </c>
      <c r="J363" s="138">
        <f>J361+J362</f>
        <v>2506618445.0000496</v>
      </c>
      <c r="K363" s="139"/>
      <c r="L363" s="140"/>
      <c r="M363" s="140"/>
      <c r="N363" s="140"/>
      <c r="O363" s="138">
        <f>O361+O362</f>
        <v>3641180552.0600491</v>
      </c>
      <c r="P363" s="141"/>
      <c r="Q363" s="138">
        <f>Q361+Q362</f>
        <v>4982570318.3900023</v>
      </c>
      <c r="R363" s="142">
        <f>O363/Q363</f>
        <v>0.73078357542109085</v>
      </c>
      <c r="S363" s="145"/>
      <c r="U363" s="112"/>
    </row>
    <row r="364" spans="1:21" x14ac:dyDescent="0.3">
      <c r="A364" s="59"/>
      <c r="B364" s="59"/>
      <c r="C364" s="59"/>
      <c r="D364" s="60"/>
      <c r="E364" s="60"/>
      <c r="F364" s="60"/>
      <c r="G364" s="63"/>
      <c r="H364" s="63"/>
      <c r="I364" s="63"/>
      <c r="J364" s="63"/>
      <c r="K364" s="64"/>
      <c r="L364" s="59"/>
      <c r="M364" s="59"/>
      <c r="N364" s="59"/>
      <c r="O364" s="60"/>
      <c r="P364" s="59"/>
      <c r="Q364" s="124"/>
      <c r="R364" s="65"/>
      <c r="S364" s="66"/>
      <c r="U364" s="112"/>
    </row>
    <row r="365" spans="1:21" x14ac:dyDescent="0.3">
      <c r="A365" s="67"/>
      <c r="B365" s="62"/>
      <c r="C365" s="62"/>
      <c r="D365" s="68"/>
      <c r="E365" s="68"/>
      <c r="F365" s="68"/>
      <c r="G365" s="69"/>
      <c r="H365" s="69" t="s">
        <v>563</v>
      </c>
      <c r="I365" s="70"/>
      <c r="J365" s="70"/>
      <c r="K365" s="71">
        <f>H363</f>
        <v>2404421893.0100489</v>
      </c>
      <c r="L365" s="44">
        <f>K365/Q361</f>
        <v>0.46994314151392702</v>
      </c>
      <c r="M365" s="45"/>
      <c r="N365" s="62"/>
      <c r="O365" s="61"/>
      <c r="P365" s="72"/>
      <c r="Q365" s="73"/>
      <c r="R365" s="74"/>
      <c r="S365" s="75"/>
      <c r="U365" s="112"/>
    </row>
    <row r="366" spans="1:21" x14ac:dyDescent="0.3">
      <c r="A366" s="67"/>
      <c r="B366" s="62"/>
      <c r="C366" s="62"/>
      <c r="D366" s="68"/>
      <c r="E366" s="68"/>
      <c r="F366" s="68"/>
      <c r="G366" s="76"/>
      <c r="H366" s="76" t="s">
        <v>564</v>
      </c>
      <c r="I366" s="77"/>
      <c r="J366" s="77"/>
      <c r="K366" s="78">
        <v>819769625</v>
      </c>
      <c r="L366" s="44">
        <f>K366/Q361</f>
        <v>0.16022359221156196</v>
      </c>
      <c r="M366" s="125">
        <f>K366/I361-1</f>
        <v>7.0214998357304168</v>
      </c>
      <c r="N366" s="62"/>
      <c r="O366" s="62"/>
      <c r="P366" s="72"/>
      <c r="Q366" s="73"/>
      <c r="R366" s="74"/>
      <c r="S366" s="75"/>
      <c r="U366" s="112"/>
    </row>
    <row r="367" spans="1:21" x14ac:dyDescent="0.3">
      <c r="A367" s="67"/>
      <c r="B367" s="62"/>
      <c r="C367" s="62"/>
      <c r="D367" s="68"/>
      <c r="E367" s="68"/>
      <c r="F367" s="68"/>
      <c r="G367" s="76"/>
      <c r="H367" s="76" t="s">
        <v>565</v>
      </c>
      <c r="I367" s="77"/>
      <c r="J367" s="77"/>
      <c r="K367" s="78">
        <f>401781716+P367</f>
        <v>453504360.05000001</v>
      </c>
      <c r="L367" s="44">
        <f>K367/Q361</f>
        <v>8.8637216401884336E-2</v>
      </c>
      <c r="M367" s="79"/>
      <c r="N367" s="80" t="s">
        <v>566</v>
      </c>
      <c r="O367" s="68"/>
      <c r="P367" s="81">
        <v>51722644.049999997</v>
      </c>
      <c r="Q367" s="151"/>
      <c r="R367" s="74"/>
      <c r="S367" s="75"/>
      <c r="U367" s="112"/>
    </row>
    <row r="368" spans="1:21" x14ac:dyDescent="0.3">
      <c r="A368" s="67"/>
      <c r="B368" s="62"/>
      <c r="C368" s="62"/>
      <c r="D368" s="68"/>
      <c r="E368" s="68"/>
      <c r="F368" s="68"/>
      <c r="G368" s="82"/>
      <c r="H368" s="82" t="s">
        <v>567</v>
      </c>
      <c r="I368" s="83"/>
      <c r="J368" s="83"/>
      <c r="K368" s="84">
        <f>SUM(K365:K367)</f>
        <v>3677695878.0600491</v>
      </c>
      <c r="L368" s="53"/>
      <c r="M368" s="85"/>
      <c r="N368" s="62"/>
      <c r="O368" s="62"/>
      <c r="P368" s="72"/>
      <c r="Q368" s="73"/>
      <c r="R368" s="74"/>
      <c r="S368" s="75"/>
    </row>
    <row r="369" spans="1:21" s="157" customFormat="1" x14ac:dyDescent="0.3">
      <c r="A369" s="62"/>
      <c r="B369" s="62"/>
      <c r="C369" s="62"/>
      <c r="D369" s="68"/>
      <c r="E369" s="194"/>
      <c r="F369" s="68"/>
      <c r="G369" s="68"/>
      <c r="H369" s="68"/>
      <c r="I369" s="61"/>
      <c r="J369" s="61"/>
      <c r="K369" s="149"/>
      <c r="L369" s="62"/>
      <c r="M369" s="62"/>
      <c r="N369" s="62"/>
      <c r="O369" s="61"/>
      <c r="P369" s="62"/>
      <c r="Q369" s="68"/>
      <c r="R369" s="62"/>
      <c r="S369" s="75"/>
      <c r="U369"/>
    </row>
    <row r="370" spans="1:21" s="157" customFormat="1" x14ac:dyDescent="0.3">
      <c r="A370" s="62"/>
      <c r="B370" s="62"/>
      <c r="C370" s="62"/>
      <c r="D370" s="68"/>
      <c r="E370" s="68"/>
      <c r="F370" s="68"/>
      <c r="G370" s="68"/>
      <c r="H370" s="68"/>
      <c r="I370" s="61"/>
      <c r="J370" s="61"/>
      <c r="K370" s="86"/>
      <c r="L370" s="62"/>
      <c r="M370" s="62"/>
      <c r="N370" s="62"/>
      <c r="O370" s="159"/>
      <c r="P370" s="62"/>
      <c r="Q370" s="68"/>
      <c r="R370" s="62"/>
      <c r="S370" s="75"/>
      <c r="U370"/>
    </row>
    <row r="371" spans="1:21" s="157" customFormat="1" x14ac:dyDescent="0.3">
      <c r="A371" s="62"/>
      <c r="B371" s="62"/>
      <c r="C371" s="62"/>
      <c r="D371" s="68"/>
      <c r="E371" s="68"/>
      <c r="F371" s="68"/>
      <c r="G371" s="68"/>
      <c r="H371" s="68"/>
      <c r="I371" s="61"/>
      <c r="J371" s="95" t="s">
        <v>568</v>
      </c>
      <c r="K371" s="96">
        <f>K366+K367-P367</f>
        <v>1221551341</v>
      </c>
      <c r="L371" s="62"/>
      <c r="M371" s="62"/>
      <c r="N371" s="62"/>
      <c r="O371" s="159"/>
      <c r="P371" s="62"/>
      <c r="Q371" s="68"/>
      <c r="R371" s="62"/>
      <c r="S371" s="75"/>
      <c r="U371"/>
    </row>
    <row r="372" spans="1:21" s="157" customFormat="1" x14ac:dyDescent="0.3">
      <c r="A372" s="87"/>
      <c r="B372" s="87"/>
      <c r="C372" s="87"/>
      <c r="D372" s="88"/>
      <c r="E372" s="88"/>
      <c r="F372" s="88"/>
      <c r="G372" s="88"/>
      <c r="H372" s="88"/>
      <c r="I372" s="89"/>
      <c r="J372" s="89"/>
      <c r="K372" s="87" t="s">
        <v>569</v>
      </c>
      <c r="L372" s="87"/>
      <c r="M372" s="87"/>
      <c r="N372" s="87"/>
      <c r="O372" s="160"/>
      <c r="P372" s="87"/>
      <c r="Q372" s="88"/>
      <c r="R372" s="87"/>
      <c r="S372" s="90"/>
      <c r="U372"/>
    </row>
    <row r="373" spans="1:21" s="157" customFormat="1" x14ac:dyDescent="0.3">
      <c r="A373"/>
      <c r="B373"/>
      <c r="C373"/>
      <c r="D373"/>
      <c r="E373"/>
      <c r="F373"/>
      <c r="G373"/>
      <c r="H373"/>
      <c r="I373"/>
      <c r="J373"/>
      <c r="K373" s="153">
        <f>K366-Mar!K372</f>
        <v>10117083</v>
      </c>
      <c r="L373"/>
      <c r="M373"/>
      <c r="N373"/>
      <c r="O373"/>
      <c r="P373"/>
      <c r="Q373"/>
      <c r="R373"/>
      <c r="S373"/>
      <c r="U373"/>
    </row>
    <row r="374" spans="1:21" s="157" customFormat="1" x14ac:dyDescent="0.3">
      <c r="A374"/>
      <c r="B374"/>
      <c r="C374"/>
      <c r="D374"/>
      <c r="E374"/>
      <c r="F374"/>
      <c r="G374"/>
      <c r="H374"/>
      <c r="I374"/>
      <c r="J374"/>
      <c r="K374" s="153">
        <f>K367-Mar!K373</f>
        <v>6190357.7100000381</v>
      </c>
      <c r="L374"/>
      <c r="M374"/>
      <c r="N374"/>
      <c r="O374"/>
      <c r="P374"/>
      <c r="Q374"/>
      <c r="R374"/>
      <c r="S374"/>
      <c r="U374"/>
    </row>
  </sheetData>
  <autoFilter ref="A4:S368" xr:uid="{B7459B2F-3037-4CB2-A5A4-89B2C340197F}">
    <sortState xmlns:xlrd2="http://schemas.microsoft.com/office/spreadsheetml/2017/richdata2" ref="A4:S368">
      <sortCondition ref="A4:A368"/>
    </sortState>
  </autoFilter>
  <sortState xmlns:xlrd2="http://schemas.microsoft.com/office/spreadsheetml/2017/richdata2" ref="A5:Q359">
    <sortCondition ref="A5:A359"/>
  </sortState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94F9-FDFA-40EA-B80D-95A8F32743EB}">
  <sheetPr codeName="Hoja9"/>
  <dimension ref="C1:K33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21" sqref="I21"/>
    </sheetView>
  </sheetViews>
  <sheetFormatPr baseColWidth="10" defaultColWidth="11.44140625" defaultRowHeight="14.4" x14ac:dyDescent="0.3"/>
  <cols>
    <col min="1" max="2" width="14.33203125" customWidth="1"/>
    <col min="3" max="3" width="27.33203125" bestFit="1" customWidth="1"/>
    <col min="4" max="4" width="9.109375" bestFit="1" customWidth="1"/>
    <col min="5" max="5" width="12.6640625" bestFit="1" customWidth="1"/>
    <col min="6" max="6" width="13.109375" bestFit="1" customWidth="1"/>
    <col min="7" max="7" width="14" bestFit="1" customWidth="1"/>
    <col min="8" max="8" width="9.77734375" style="94" bestFit="1" customWidth="1"/>
    <col min="9" max="9" width="10.5546875" style="94" bestFit="1" customWidth="1"/>
    <col min="10" max="10" width="12.21875" bestFit="1" customWidth="1"/>
    <col min="11" max="11" width="13" bestFit="1" customWidth="1"/>
  </cols>
  <sheetData>
    <row r="1" spans="3:11" x14ac:dyDescent="0.3">
      <c r="C1" s="93" t="s">
        <v>1045</v>
      </c>
    </row>
    <row r="3" spans="3:11" x14ac:dyDescent="0.3">
      <c r="C3" s="118" t="s">
        <v>814</v>
      </c>
      <c r="D3" s="119" t="s">
        <v>815</v>
      </c>
      <c r="E3" s="119" t="s">
        <v>816</v>
      </c>
      <c r="F3" s="119" t="s">
        <v>817</v>
      </c>
      <c r="G3" s="119" t="s">
        <v>818</v>
      </c>
      <c r="H3" s="120" t="s">
        <v>819</v>
      </c>
      <c r="I3" s="120" t="s">
        <v>820</v>
      </c>
      <c r="J3" s="119" t="s">
        <v>821</v>
      </c>
      <c r="K3" s="119" t="s">
        <v>822</v>
      </c>
    </row>
    <row r="4" spans="3:11" x14ac:dyDescent="0.3">
      <c r="C4" s="91" t="s">
        <v>590</v>
      </c>
      <c r="D4" s="92">
        <v>6684</v>
      </c>
      <c r="E4" s="92">
        <v>653197267.69395888</v>
      </c>
      <c r="F4" s="92">
        <v>735565422</v>
      </c>
      <c r="G4" s="112">
        <v>82368154.306041121</v>
      </c>
      <c r="H4" s="199">
        <v>0.88802062761177325</v>
      </c>
      <c r="I4" s="199">
        <v>0.11197937238822671</v>
      </c>
      <c r="J4" s="94">
        <v>0.14376591986980919</v>
      </c>
      <c r="K4" s="94">
        <v>5.7251222003757291E-2</v>
      </c>
    </row>
    <row r="5" spans="3:11" x14ac:dyDescent="0.3">
      <c r="C5" s="91" t="s">
        <v>1172</v>
      </c>
      <c r="D5" s="92">
        <v>6916</v>
      </c>
      <c r="E5" s="92">
        <v>388694745.33495623</v>
      </c>
      <c r="F5" s="92">
        <v>623543942.49000001</v>
      </c>
      <c r="G5" s="112">
        <v>234849197.15504378</v>
      </c>
      <c r="H5" s="94">
        <v>0.62336383829306441</v>
      </c>
      <c r="I5" s="94">
        <v>0.37663616170693559</v>
      </c>
      <c r="J5" s="94">
        <v>0.12187137376248533</v>
      </c>
      <c r="K5" s="94">
        <v>0.16323545959001112</v>
      </c>
    </row>
    <row r="6" spans="3:11" x14ac:dyDescent="0.3">
      <c r="C6" s="91" t="s">
        <v>583</v>
      </c>
      <c r="D6" s="92">
        <v>2163</v>
      </c>
      <c r="E6" s="92">
        <v>391520292.03179479</v>
      </c>
      <c r="F6" s="92">
        <v>613393312.25000012</v>
      </c>
      <c r="G6" s="112">
        <v>221873020.21820533</v>
      </c>
      <c r="H6" s="94">
        <v>0.63828588315652068</v>
      </c>
      <c r="I6" s="94">
        <v>0.36171411684347932</v>
      </c>
      <c r="J6" s="94">
        <v>0.11988743779966639</v>
      </c>
      <c r="K6" s="94">
        <v>0.15421617303648827</v>
      </c>
    </row>
    <row r="7" spans="3:11" x14ac:dyDescent="0.3">
      <c r="C7" s="91" t="s">
        <v>572</v>
      </c>
      <c r="D7" s="92">
        <v>57278</v>
      </c>
      <c r="E7" s="92">
        <v>347208439.81005007</v>
      </c>
      <c r="F7" s="92">
        <v>474092959.73000008</v>
      </c>
      <c r="G7" s="112">
        <v>126884519.91995001</v>
      </c>
      <c r="H7" s="94">
        <v>0.73236362760541351</v>
      </c>
      <c r="I7" s="94">
        <v>0.26763637239458649</v>
      </c>
      <c r="J7" s="94">
        <v>9.2661248640619032E-2</v>
      </c>
      <c r="K7" s="94">
        <v>8.8192990118323406E-2</v>
      </c>
    </row>
    <row r="8" spans="3:11" x14ac:dyDescent="0.3">
      <c r="C8" s="91" t="s">
        <v>824</v>
      </c>
      <c r="D8" s="92">
        <v>1045656</v>
      </c>
      <c r="E8" s="92">
        <v>353395030.75164831</v>
      </c>
      <c r="F8" s="92">
        <v>413265469.19</v>
      </c>
      <c r="G8" s="112">
        <v>59870438.438351691</v>
      </c>
      <c r="H8" s="94">
        <v>0.8551283789674039</v>
      </c>
      <c r="I8" s="94">
        <v>0.14487162103259607</v>
      </c>
      <c r="J8" s="94">
        <v>8.077254388465345E-2</v>
      </c>
      <c r="K8" s="94">
        <v>4.161384689719777E-2</v>
      </c>
    </row>
    <row r="9" spans="3:11" x14ac:dyDescent="0.3">
      <c r="C9" s="91" t="s">
        <v>826</v>
      </c>
      <c r="D9" s="92">
        <v>4550</v>
      </c>
      <c r="E9" s="92">
        <v>207320108.91044831</v>
      </c>
      <c r="F9" s="92">
        <v>376661996.62</v>
      </c>
      <c r="G9" s="112">
        <v>169341887.70955169</v>
      </c>
      <c r="H9" s="94">
        <v>0.55041419301880279</v>
      </c>
      <c r="I9" s="94">
        <v>0.44958580698119727</v>
      </c>
      <c r="J9" s="94">
        <v>7.3618412182612433E-2</v>
      </c>
      <c r="K9" s="94">
        <v>0.11770362088936379</v>
      </c>
    </row>
    <row r="10" spans="3:11" x14ac:dyDescent="0.3">
      <c r="C10" s="91" t="s">
        <v>570</v>
      </c>
      <c r="D10" s="92">
        <v>5272</v>
      </c>
      <c r="E10" s="92">
        <v>177471042.6977368</v>
      </c>
      <c r="F10" s="92">
        <v>333150804.01999998</v>
      </c>
      <c r="G10" s="112">
        <v>155679761.32226318</v>
      </c>
      <c r="H10" s="94">
        <v>0.53270483083415499</v>
      </c>
      <c r="I10" s="94">
        <v>0.46729516916584507</v>
      </c>
      <c r="J10" s="94">
        <v>6.511416981112772E-2</v>
      </c>
      <c r="K10" s="94">
        <v>0.10820755487414317</v>
      </c>
    </row>
    <row r="11" spans="3:11" x14ac:dyDescent="0.3">
      <c r="C11" s="91" t="s">
        <v>577</v>
      </c>
      <c r="D11" s="92">
        <v>10779</v>
      </c>
      <c r="E11" s="92">
        <v>181509424.14011195</v>
      </c>
      <c r="F11" s="92">
        <v>312923567.37999994</v>
      </c>
      <c r="G11" s="112">
        <v>131414143.23988798</v>
      </c>
      <c r="H11" s="94">
        <v>0.58004395661160058</v>
      </c>
      <c r="I11" s="94">
        <v>0.41995604338839942</v>
      </c>
      <c r="J11" s="94">
        <v>6.1160765810614609E-2</v>
      </c>
      <c r="K11" s="94">
        <v>9.1341372796896372E-2</v>
      </c>
    </row>
    <row r="12" spans="3:11" x14ac:dyDescent="0.3">
      <c r="C12" s="91" t="s">
        <v>1168</v>
      </c>
      <c r="D12" s="92">
        <v>10928</v>
      </c>
      <c r="E12" s="92">
        <v>232651353.93093318</v>
      </c>
      <c r="F12" s="92">
        <v>297218752.25</v>
      </c>
      <c r="G12" s="112">
        <v>64567398.319066823</v>
      </c>
      <c r="H12" s="94">
        <v>0.78276135731584939</v>
      </c>
      <c r="I12" s="94">
        <v>0.21723864268415058</v>
      </c>
      <c r="J12" s="94">
        <v>5.8091266992398354E-2</v>
      </c>
      <c r="K12" s="94">
        <v>4.4878539364075605E-2</v>
      </c>
    </row>
    <row r="13" spans="3:11" x14ac:dyDescent="0.3">
      <c r="C13" s="91" t="s">
        <v>579</v>
      </c>
      <c r="D13" s="92">
        <v>40080</v>
      </c>
      <c r="E13" s="92">
        <v>212831816.07306823</v>
      </c>
      <c r="F13" s="92">
        <v>196471918.97</v>
      </c>
      <c r="G13" s="112">
        <v>-16359897.103068233</v>
      </c>
      <c r="H13" s="199">
        <v>1.0832683733575499</v>
      </c>
      <c r="I13" s="199">
        <v>-8.3268373357549802E-2</v>
      </c>
      <c r="J13" s="94">
        <v>3.8400345250743262E-2</v>
      </c>
      <c r="K13" s="94">
        <v>-1.1371192045002402E-2</v>
      </c>
    </row>
    <row r="14" spans="3:11" x14ac:dyDescent="0.3">
      <c r="C14" s="91" t="s">
        <v>1167</v>
      </c>
      <c r="D14" s="92">
        <v>7325</v>
      </c>
      <c r="E14" s="92">
        <v>130631620.75771165</v>
      </c>
      <c r="F14" s="92">
        <v>183961515.16</v>
      </c>
      <c r="G14" s="112">
        <v>53329894.402288347</v>
      </c>
      <c r="H14" s="94">
        <v>0.71010298346420542</v>
      </c>
      <c r="I14" s="94">
        <v>0.28989701653579458</v>
      </c>
      <c r="J14" s="94">
        <v>3.5955192640392014E-2</v>
      </c>
      <c r="K14" s="94">
        <v>3.7067743590782541E-2</v>
      </c>
    </row>
    <row r="15" spans="3:11" x14ac:dyDescent="0.3">
      <c r="C15" s="91" t="s">
        <v>574</v>
      </c>
      <c r="D15" s="92">
        <v>1098800</v>
      </c>
      <c r="E15" s="92">
        <v>133598795.98239079</v>
      </c>
      <c r="F15" s="92">
        <v>127566164.34999999</v>
      </c>
      <c r="G15" s="112">
        <v>-6032631.6323907971</v>
      </c>
      <c r="H15" s="199">
        <v>1.0472902173011898</v>
      </c>
      <c r="I15" s="199">
        <v>-4.7290217301189846E-2</v>
      </c>
      <c r="J15" s="94">
        <v>2.4932747534781492E-2</v>
      </c>
      <c r="K15" s="94">
        <v>-4.1930711664321394E-3</v>
      </c>
    </row>
    <row r="16" spans="3:11" x14ac:dyDescent="0.3">
      <c r="C16" s="91" t="s">
        <v>575</v>
      </c>
      <c r="D16" s="92">
        <v>2506</v>
      </c>
      <c r="E16" s="92">
        <v>77739019.132348582</v>
      </c>
      <c r="F16" s="92">
        <v>117965501.02</v>
      </c>
      <c r="G16" s="112">
        <v>40226481.887651414</v>
      </c>
      <c r="H16" s="94">
        <v>0.6589979143069008</v>
      </c>
      <c r="I16" s="94">
        <v>0.34100208569309914</v>
      </c>
      <c r="J16" s="94">
        <v>2.3056302348920383E-2</v>
      </c>
      <c r="K16" s="94">
        <v>2.7960020039093467E-2</v>
      </c>
    </row>
    <row r="17" spans="3:11" x14ac:dyDescent="0.3">
      <c r="C17" s="91" t="s">
        <v>587</v>
      </c>
      <c r="D17" s="92">
        <v>366</v>
      </c>
      <c r="E17" s="92">
        <v>57694600.935096808</v>
      </c>
      <c r="F17" s="92">
        <v>103639966.71000001</v>
      </c>
      <c r="G17" s="112">
        <v>45945365.774903201</v>
      </c>
      <c r="H17" s="94">
        <v>0.55668293580733053</v>
      </c>
      <c r="I17" s="94">
        <v>0.44331706419266947</v>
      </c>
      <c r="J17" s="94">
        <v>2.0256383325940996E-2</v>
      </c>
      <c r="K17" s="94">
        <v>3.1935016125885098E-2</v>
      </c>
    </row>
    <row r="18" spans="3:11" x14ac:dyDescent="0.3">
      <c r="C18" s="91" t="s">
        <v>586</v>
      </c>
      <c r="D18" s="92">
        <v>1538</v>
      </c>
      <c r="E18" s="92">
        <v>35232257.320571475</v>
      </c>
      <c r="F18" s="92">
        <v>60958972.589999996</v>
      </c>
      <c r="G18" s="112">
        <v>25726715.269428521</v>
      </c>
      <c r="H18" s="94">
        <v>0.57796671800126675</v>
      </c>
      <c r="I18" s="94">
        <v>0.4220332819987333</v>
      </c>
      <c r="J18" s="94">
        <v>1.1914402861530695E-2</v>
      </c>
      <c r="K18" s="94">
        <v>1.7881739608307322E-2</v>
      </c>
    </row>
    <row r="19" spans="3:11" x14ac:dyDescent="0.3">
      <c r="C19" s="91" t="s">
        <v>578</v>
      </c>
      <c r="D19" s="92">
        <v>239769</v>
      </c>
      <c r="E19" s="92">
        <v>43790674.251574822</v>
      </c>
      <c r="F19" s="92">
        <v>57960418.870000005</v>
      </c>
      <c r="G19" s="112">
        <v>14169744.618425183</v>
      </c>
      <c r="H19" s="94">
        <v>0.75552722194422639</v>
      </c>
      <c r="I19" s="94">
        <v>0.24447277805577358</v>
      </c>
      <c r="J19" s="94">
        <v>1.1328336930559247E-2</v>
      </c>
      <c r="K19" s="94">
        <v>9.8488936861670928E-3</v>
      </c>
    </row>
    <row r="20" spans="3:11" x14ac:dyDescent="0.3">
      <c r="C20" s="91" t="s">
        <v>595</v>
      </c>
      <c r="D20" s="92">
        <v>202</v>
      </c>
      <c r="E20" s="92">
        <v>21951409.412382256</v>
      </c>
      <c r="F20" s="92">
        <v>38989420.100000001</v>
      </c>
      <c r="G20" s="112">
        <v>17038010.687617745</v>
      </c>
      <c r="H20" s="94">
        <v>0.5630093844966485</v>
      </c>
      <c r="I20" s="94">
        <v>0.4369906155033515</v>
      </c>
      <c r="J20" s="94">
        <v>7.6204640378907422E-3</v>
      </c>
      <c r="K20" s="94">
        <v>1.1842525070488932E-2</v>
      </c>
    </row>
    <row r="21" spans="3:11" x14ac:dyDescent="0.3">
      <c r="C21" s="91" t="s">
        <v>594</v>
      </c>
      <c r="D21" s="92">
        <v>629</v>
      </c>
      <c r="E21" s="92">
        <v>12282459.293605259</v>
      </c>
      <c r="F21" s="92">
        <v>29975310.530000001</v>
      </c>
      <c r="G21" s="112">
        <v>17692851.236394741</v>
      </c>
      <c r="H21" s="94">
        <v>0.40975252887914815</v>
      </c>
      <c r="I21" s="94">
        <v>0.59024747112085185</v>
      </c>
      <c r="J21" s="94">
        <v>5.8586605118159394E-3</v>
      </c>
      <c r="K21" s="94">
        <v>1.2297681823131432E-2</v>
      </c>
    </row>
    <row r="22" spans="3:11" x14ac:dyDescent="0.3">
      <c r="C22" s="91" t="s">
        <v>599</v>
      </c>
      <c r="D22" s="92">
        <v>4460.3500000000004</v>
      </c>
      <c r="E22" s="92">
        <v>0</v>
      </c>
      <c r="F22" s="92">
        <v>10945785</v>
      </c>
      <c r="G22" s="112">
        <v>10945785</v>
      </c>
      <c r="H22" s="94">
        <v>0</v>
      </c>
      <c r="I22" s="94">
        <v>1</v>
      </c>
      <c r="J22" s="94">
        <v>2.1393485911062296E-3</v>
      </c>
      <c r="K22" s="94">
        <v>7.6080321614592191E-3</v>
      </c>
    </row>
    <row r="23" spans="3:11" x14ac:dyDescent="0.3">
      <c r="C23" s="91" t="s">
        <v>598</v>
      </c>
      <c r="D23" s="92">
        <v>180</v>
      </c>
      <c r="E23" s="92">
        <v>3589301.8969736709</v>
      </c>
      <c r="F23" s="92">
        <v>5635980.2199999997</v>
      </c>
      <c r="G23" s="112">
        <v>2046678.3230263288</v>
      </c>
      <c r="H23" s="94">
        <v>0.63685494924850372</v>
      </c>
      <c r="I23" s="94">
        <v>0.36314505075149622</v>
      </c>
      <c r="J23" s="94">
        <v>1.1015497146307531E-3</v>
      </c>
      <c r="K23" s="94">
        <v>1.422574489243643E-3</v>
      </c>
    </row>
    <row r="24" spans="3:11" x14ac:dyDescent="0.3">
      <c r="C24" s="91" t="s">
        <v>597</v>
      </c>
      <c r="D24" s="92">
        <v>22</v>
      </c>
      <c r="E24" s="92">
        <v>1206768.7177928223</v>
      </c>
      <c r="F24" s="92">
        <v>2318435.9799999995</v>
      </c>
      <c r="G24" s="112">
        <v>1111667.2622071772</v>
      </c>
      <c r="H24" s="94">
        <v>0.52050982999013951</v>
      </c>
      <c r="I24" s="94">
        <v>0.47949017000986049</v>
      </c>
      <c r="J24" s="94">
        <v>4.5313723477877465E-4</v>
      </c>
      <c r="K24" s="94">
        <v>7.7268101682186551E-4</v>
      </c>
    </row>
    <row r="25" spans="3:11" x14ac:dyDescent="0.3">
      <c r="C25" s="91" t="s">
        <v>600</v>
      </c>
      <c r="D25" s="92">
        <v>30</v>
      </c>
      <c r="E25" s="92">
        <v>217233.22776998259</v>
      </c>
      <c r="F25" s="92">
        <v>576340</v>
      </c>
      <c r="G25" s="112">
        <v>359106.77223001741</v>
      </c>
      <c r="H25" s="94">
        <v>0.37691853379946316</v>
      </c>
      <c r="I25" s="94">
        <v>0.62308146620053684</v>
      </c>
      <c r="J25" s="94">
        <v>1.1264538514123605E-4</v>
      </c>
      <c r="K25" s="94">
        <v>2.4960255226315727E-4</v>
      </c>
    </row>
    <row r="26" spans="3:11" x14ac:dyDescent="0.3">
      <c r="C26" s="91" t="s">
        <v>596</v>
      </c>
      <c r="D26" s="92">
        <v>40317</v>
      </c>
      <c r="E26" s="92">
        <v>13962215.757125268</v>
      </c>
      <c r="F26" s="92">
        <v>-371733.40999999992</v>
      </c>
      <c r="G26" s="112">
        <v>-14333949.167125268</v>
      </c>
      <c r="H26" s="94">
        <v>-37.559754871442067</v>
      </c>
      <c r="I26" s="94">
        <v>38.559754871442067</v>
      </c>
      <c r="J26" s="94">
        <v>-7.2655122218334657E-5</v>
      </c>
      <c r="K26" s="94">
        <v>-9.9630265224660113E-3</v>
      </c>
    </row>
    <row r="27" spans="3:11" x14ac:dyDescent="0.3">
      <c r="C27" s="91" t="s">
        <v>477</v>
      </c>
      <c r="D27" s="92">
        <v>2586450.35</v>
      </c>
      <c r="E27" s="92">
        <v>3677695878.0600491</v>
      </c>
      <c r="F27" s="92">
        <v>5116410222.0200005</v>
      </c>
      <c r="G27" s="112">
        <v>1438714343.95995</v>
      </c>
      <c r="H27" s="94">
        <v>0.71880395012737364</v>
      </c>
      <c r="I27" s="94">
        <v>0.28119604987262609</v>
      </c>
      <c r="J27" s="94">
        <v>1</v>
      </c>
      <c r="K27" s="94">
        <v>1</v>
      </c>
    </row>
    <row r="28" spans="3:11" x14ac:dyDescent="0.3">
      <c r="H28"/>
      <c r="I28"/>
    </row>
    <row r="29" spans="3:11" x14ac:dyDescent="0.3">
      <c r="H29"/>
      <c r="I29"/>
    </row>
    <row r="30" spans="3:11" x14ac:dyDescent="0.3">
      <c r="H30"/>
      <c r="I30"/>
    </row>
    <row r="31" spans="3:11" x14ac:dyDescent="0.3">
      <c r="H31"/>
      <c r="I31"/>
    </row>
    <row r="32" spans="3:11" x14ac:dyDescent="0.3">
      <c r="H32"/>
      <c r="I32"/>
    </row>
    <row r="33" spans="8:9" x14ac:dyDescent="0.3">
      <c r="H33"/>
      <c r="I33"/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B10E-3A6C-4201-940A-CBBD120FA601}">
  <sheetPr codeName="Hoja7"/>
  <dimension ref="C1:K41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18" sqref="K18"/>
    </sheetView>
  </sheetViews>
  <sheetFormatPr baseColWidth="10" defaultColWidth="11.44140625" defaultRowHeight="14.4" x14ac:dyDescent="0.3"/>
  <cols>
    <col min="1" max="1" width="21.88671875" customWidth="1"/>
    <col min="2" max="2" width="10.109375" customWidth="1"/>
    <col min="3" max="3" width="39.21875" bestFit="1" customWidth="1"/>
    <col min="4" max="4" width="9.109375" bestFit="1" customWidth="1"/>
    <col min="5" max="5" width="12.6640625" bestFit="1" customWidth="1"/>
    <col min="6" max="6" width="13.109375" bestFit="1" customWidth="1"/>
    <col min="7" max="7" width="14" bestFit="1" customWidth="1"/>
    <col min="8" max="8" width="9.77734375" bestFit="1" customWidth="1"/>
    <col min="9" max="9" width="10.5546875" style="114" bestFit="1" customWidth="1"/>
    <col min="10" max="10" width="12.21875" style="114" bestFit="1" customWidth="1"/>
    <col min="11" max="11" width="13" style="113" bestFit="1" customWidth="1"/>
    <col min="12" max="12" width="3" bestFit="1" customWidth="1"/>
    <col min="13" max="32" width="4" bestFit="1" customWidth="1"/>
    <col min="33" max="87" width="5.5546875" bestFit="1" customWidth="1"/>
    <col min="88" max="108" width="6.5546875" bestFit="1" customWidth="1"/>
    <col min="109" max="117" width="7.5546875" bestFit="1" customWidth="1"/>
    <col min="118" max="120" width="9.109375" bestFit="1" customWidth="1"/>
    <col min="121" max="121" width="12.5546875" bestFit="1" customWidth="1"/>
  </cols>
  <sheetData>
    <row r="1" spans="3:11" x14ac:dyDescent="0.3">
      <c r="C1" s="93" t="s">
        <v>1046</v>
      </c>
    </row>
    <row r="3" spans="3:11" s="116" customFormat="1" x14ac:dyDescent="0.3">
      <c r="C3" s="115" t="s">
        <v>814</v>
      </c>
      <c r="D3" s="116" t="s">
        <v>815</v>
      </c>
      <c r="E3" s="116" t="s">
        <v>816</v>
      </c>
      <c r="F3" s="116" t="s">
        <v>817</v>
      </c>
      <c r="G3" s="116" t="s">
        <v>818</v>
      </c>
      <c r="H3" s="117" t="s">
        <v>819</v>
      </c>
      <c r="I3" s="116" t="s">
        <v>820</v>
      </c>
      <c r="J3" s="116" t="s">
        <v>821</v>
      </c>
      <c r="K3" s="116" t="s">
        <v>822</v>
      </c>
    </row>
    <row r="4" spans="3:11" x14ac:dyDescent="0.3">
      <c r="C4" s="91" t="s">
        <v>590</v>
      </c>
      <c r="D4" s="92">
        <v>6684</v>
      </c>
      <c r="E4" s="92">
        <v>653197267.69395888</v>
      </c>
      <c r="F4" s="92">
        <v>735565422</v>
      </c>
      <c r="G4" s="112">
        <v>82368154.306041121</v>
      </c>
      <c r="H4" s="199">
        <v>0.88802062761177325</v>
      </c>
      <c r="I4" s="199">
        <v>0.11197937238822671</v>
      </c>
      <c r="J4" s="94">
        <v>0.14376591986980922</v>
      </c>
      <c r="K4" s="94">
        <v>5.7251222003757291E-2</v>
      </c>
    </row>
    <row r="5" spans="3:11" x14ac:dyDescent="0.3">
      <c r="C5" s="91" t="s">
        <v>583</v>
      </c>
      <c r="D5" s="92">
        <v>2163</v>
      </c>
      <c r="E5" s="92">
        <v>391520292.03179479</v>
      </c>
      <c r="F5" s="92">
        <v>613393312.25000012</v>
      </c>
      <c r="G5" s="112">
        <v>221873020.21820533</v>
      </c>
      <c r="H5" s="94">
        <v>0.63828588315652068</v>
      </c>
      <c r="I5" s="94">
        <v>0.36171411684347932</v>
      </c>
      <c r="J5" s="94">
        <v>0.11988743779966642</v>
      </c>
      <c r="K5" s="94">
        <v>0.15421617303648827</v>
      </c>
    </row>
    <row r="6" spans="3:11" x14ac:dyDescent="0.3">
      <c r="C6" s="91" t="s">
        <v>573</v>
      </c>
      <c r="D6" s="92">
        <v>6346</v>
      </c>
      <c r="E6" s="92">
        <v>349477533.64949709</v>
      </c>
      <c r="F6" s="92">
        <v>560663067.76999998</v>
      </c>
      <c r="G6" s="112">
        <v>211185534.12050289</v>
      </c>
      <c r="H6" s="94">
        <v>0.62332897196086179</v>
      </c>
      <c r="I6" s="94">
        <v>0.37667102803913816</v>
      </c>
      <c r="J6" s="94">
        <v>0.109581336022866</v>
      </c>
      <c r="K6" s="94">
        <v>0.14678767540416052</v>
      </c>
    </row>
    <row r="7" spans="3:11" x14ac:dyDescent="0.3">
      <c r="C7" s="91" t="s">
        <v>572</v>
      </c>
      <c r="D7" s="92">
        <v>57278</v>
      </c>
      <c r="E7" s="92">
        <v>347208439.81005007</v>
      </c>
      <c r="F7" s="92">
        <v>474092959.73000008</v>
      </c>
      <c r="G7" s="112">
        <v>126884519.91995001</v>
      </c>
      <c r="H7" s="94">
        <v>0.73236362760541351</v>
      </c>
      <c r="I7" s="94">
        <v>0.26763637239458649</v>
      </c>
      <c r="J7" s="94">
        <v>9.2661248640619046E-2</v>
      </c>
      <c r="K7" s="94">
        <v>8.8192990118323406E-2</v>
      </c>
    </row>
    <row r="8" spans="3:11" x14ac:dyDescent="0.3">
      <c r="C8" s="91" t="s">
        <v>571</v>
      </c>
      <c r="D8" s="92">
        <v>932472</v>
      </c>
      <c r="E8" s="92">
        <v>305840948.27819264</v>
      </c>
      <c r="F8" s="92">
        <v>361578395.45999998</v>
      </c>
      <c r="G8" s="112">
        <v>55737447.181807339</v>
      </c>
      <c r="H8" s="94">
        <v>0.845849619662983</v>
      </c>
      <c r="I8" s="94">
        <v>0.154150380337017</v>
      </c>
      <c r="J8" s="94">
        <v>7.0670329346118374E-2</v>
      </c>
      <c r="K8" s="94">
        <v>3.8741149287769193E-2</v>
      </c>
    </row>
    <row r="9" spans="3:11" x14ac:dyDescent="0.3">
      <c r="C9" s="91" t="s">
        <v>570</v>
      </c>
      <c r="D9" s="92">
        <v>5272</v>
      </c>
      <c r="E9" s="92">
        <v>177471042.6977368</v>
      </c>
      <c r="F9" s="92">
        <v>333150804.01999998</v>
      </c>
      <c r="G9" s="112">
        <v>155679761.32226318</v>
      </c>
      <c r="H9" s="94">
        <v>0.53270483083415499</v>
      </c>
      <c r="I9" s="94">
        <v>0.46729516916584507</v>
      </c>
      <c r="J9" s="94">
        <v>6.5114169811127734E-2</v>
      </c>
      <c r="K9" s="94">
        <v>0.10820755487414317</v>
      </c>
    </row>
    <row r="10" spans="3:11" x14ac:dyDescent="0.3">
      <c r="C10" s="91" t="s">
        <v>577</v>
      </c>
      <c r="D10" s="92">
        <v>10779</v>
      </c>
      <c r="E10" s="92">
        <v>181509424.14011195</v>
      </c>
      <c r="F10" s="92">
        <v>312923567.37999994</v>
      </c>
      <c r="G10" s="112">
        <v>131414143.23988798</v>
      </c>
      <c r="H10" s="94">
        <v>0.58004395661160058</v>
      </c>
      <c r="I10" s="94">
        <v>0.41995604338839942</v>
      </c>
      <c r="J10" s="94">
        <v>6.1160765810614616E-2</v>
      </c>
      <c r="K10" s="94">
        <v>9.1341372796896372E-2</v>
      </c>
    </row>
    <row r="11" spans="3:11" x14ac:dyDescent="0.3">
      <c r="C11" s="91" t="s">
        <v>580</v>
      </c>
      <c r="D11" s="92">
        <v>2848</v>
      </c>
      <c r="E11" s="92">
        <v>120590817.71677342</v>
      </c>
      <c r="F11" s="92">
        <v>207720985.98000002</v>
      </c>
      <c r="G11" s="112">
        <v>87130168.263226599</v>
      </c>
      <c r="H11" s="94">
        <v>0.58054229401926805</v>
      </c>
      <c r="I11" s="94">
        <v>0.41945770598073201</v>
      </c>
      <c r="J11" s="94">
        <v>4.059897016975119E-2</v>
      </c>
      <c r="K11" s="94">
        <v>6.0561131282953325E-2</v>
      </c>
    </row>
    <row r="12" spans="3:11" x14ac:dyDescent="0.3">
      <c r="C12" s="91" t="s">
        <v>579</v>
      </c>
      <c r="D12" s="92">
        <v>40080</v>
      </c>
      <c r="E12" s="92">
        <v>212831816.07306823</v>
      </c>
      <c r="F12" s="92">
        <v>196471918.97</v>
      </c>
      <c r="G12" s="112">
        <v>-16359897.103068233</v>
      </c>
      <c r="H12" s="199">
        <v>1.0832683733575499</v>
      </c>
      <c r="I12" s="199">
        <v>-8.3268373357549802E-2</v>
      </c>
      <c r="J12" s="94">
        <v>3.8400345250743269E-2</v>
      </c>
      <c r="K12" s="94">
        <v>-1.1371192045002402E-2</v>
      </c>
    </row>
    <row r="13" spans="3:11" x14ac:dyDescent="0.3">
      <c r="C13" s="91" t="s">
        <v>585</v>
      </c>
      <c r="D13" s="92">
        <v>1702</v>
      </c>
      <c r="E13" s="92">
        <v>86729291.193674892</v>
      </c>
      <c r="F13" s="92">
        <v>168941010.64000002</v>
      </c>
      <c r="G13" s="112">
        <v>82211719.446325123</v>
      </c>
      <c r="H13" s="94">
        <v>0.51337026376909856</v>
      </c>
      <c r="I13" s="94">
        <v>0.48662973623090144</v>
      </c>
      <c r="J13" s="94">
        <v>3.3019442012861271E-2</v>
      </c>
      <c r="K13" s="94">
        <v>5.7142489606410489E-2</v>
      </c>
    </row>
    <row r="14" spans="3:11" x14ac:dyDescent="0.3">
      <c r="C14" s="91" t="s">
        <v>581</v>
      </c>
      <c r="D14" s="92">
        <v>6579</v>
      </c>
      <c r="E14" s="92">
        <v>126728824.65890692</v>
      </c>
      <c r="F14" s="92">
        <v>160655968.37999997</v>
      </c>
      <c r="G14" s="112">
        <v>33927143.721093044</v>
      </c>
      <c r="H14" s="94">
        <v>0.78882114332132947</v>
      </c>
      <c r="I14" s="94">
        <v>0.21117885667867056</v>
      </c>
      <c r="J14" s="94">
        <v>3.1400134353685917E-2</v>
      </c>
      <c r="K14" s="94">
        <v>2.3581570492799291E-2</v>
      </c>
    </row>
    <row r="15" spans="3:11" x14ac:dyDescent="0.3">
      <c r="C15" s="91" t="s">
        <v>582</v>
      </c>
      <c r="D15" s="92">
        <v>5854</v>
      </c>
      <c r="E15" s="92">
        <v>99859949.114426047</v>
      </c>
      <c r="F15" s="92">
        <v>137002782.72999999</v>
      </c>
      <c r="G15" s="112">
        <v>37142833.615573943</v>
      </c>
      <c r="H15" s="94">
        <v>0.72888993292367166</v>
      </c>
      <c r="I15" s="94">
        <v>0.2711100670763284</v>
      </c>
      <c r="J15" s="94">
        <v>2.6777130211406347E-2</v>
      </c>
      <c r="K15" s="94">
        <v>2.5816684021750396E-2</v>
      </c>
    </row>
    <row r="16" spans="3:11" x14ac:dyDescent="0.3">
      <c r="C16" s="91" t="s">
        <v>574</v>
      </c>
      <c r="D16" s="92">
        <v>1098800</v>
      </c>
      <c r="E16" s="92">
        <v>133598795.98239079</v>
      </c>
      <c r="F16" s="92">
        <v>127566164.34999999</v>
      </c>
      <c r="G16" s="112">
        <v>-6032631.6323907971</v>
      </c>
      <c r="H16" s="199">
        <v>1.0472902173011898</v>
      </c>
      <c r="I16" s="199">
        <v>-4.7290217301189846E-2</v>
      </c>
      <c r="J16" s="94">
        <v>2.4932747534781498E-2</v>
      </c>
      <c r="K16" s="94">
        <v>-4.1930711664321394E-3</v>
      </c>
    </row>
    <row r="17" spans="3:11" x14ac:dyDescent="0.3">
      <c r="C17" s="91" t="s">
        <v>575</v>
      </c>
      <c r="D17" s="92">
        <v>2506</v>
      </c>
      <c r="E17" s="92">
        <v>77739019.132348582</v>
      </c>
      <c r="F17" s="92">
        <v>117965501.02</v>
      </c>
      <c r="G17" s="112">
        <v>40226481.887651414</v>
      </c>
      <c r="H17" s="94">
        <v>0.6589979143069008</v>
      </c>
      <c r="I17" s="94">
        <v>0.34100208569309914</v>
      </c>
      <c r="J17" s="94">
        <v>2.3056302348920386E-2</v>
      </c>
      <c r="K17" s="94">
        <v>2.7960020039093467E-2</v>
      </c>
    </row>
    <row r="18" spans="3:11" x14ac:dyDescent="0.3">
      <c r="C18" s="91" t="s">
        <v>587</v>
      </c>
      <c r="D18" s="92">
        <v>366</v>
      </c>
      <c r="E18" s="92">
        <v>57694600.935096808</v>
      </c>
      <c r="F18" s="92">
        <v>103639966.71000001</v>
      </c>
      <c r="G18" s="112">
        <v>45945365.774903201</v>
      </c>
      <c r="H18" s="94">
        <v>0.55668293580733053</v>
      </c>
      <c r="I18" s="94">
        <v>0.44331706419266947</v>
      </c>
      <c r="J18" s="94">
        <v>2.0256383325940999E-2</v>
      </c>
      <c r="K18" s="94">
        <v>3.1935016125885098E-2</v>
      </c>
    </row>
    <row r="19" spans="3:11" x14ac:dyDescent="0.3">
      <c r="C19" s="91" t="s">
        <v>584</v>
      </c>
      <c r="D19" s="92">
        <v>3062</v>
      </c>
      <c r="E19" s="92">
        <v>72529733.150353432</v>
      </c>
      <c r="F19" s="92">
        <v>88216962.189999998</v>
      </c>
      <c r="G19" s="112">
        <v>15687229.039646566</v>
      </c>
      <c r="H19" s="94">
        <v>0.822174458854526</v>
      </c>
      <c r="I19" s="94">
        <v>0.17782554114547397</v>
      </c>
      <c r="J19" s="94">
        <v>1.7241964260475431E-2</v>
      </c>
      <c r="K19" s="94">
        <v>1.0903644010713538E-2</v>
      </c>
    </row>
    <row r="20" spans="3:11" x14ac:dyDescent="0.3">
      <c r="C20" s="91" t="s">
        <v>592</v>
      </c>
      <c r="D20" s="92">
        <v>570</v>
      </c>
      <c r="E20" s="92">
        <v>39217211.685459152</v>
      </c>
      <c r="F20" s="92">
        <v>62880874.720000006</v>
      </c>
      <c r="G20" s="112">
        <v>23663663.034540854</v>
      </c>
      <c r="H20" s="94">
        <v>0.6236747160418501</v>
      </c>
      <c r="I20" s="94">
        <v>0.37632528395814996</v>
      </c>
      <c r="J20" s="94">
        <v>1.2290037739619349E-2</v>
      </c>
      <c r="K20" s="94">
        <v>1.6447784185850578E-2</v>
      </c>
    </row>
    <row r="21" spans="3:11" x14ac:dyDescent="0.3">
      <c r="C21" s="91" t="s">
        <v>586</v>
      </c>
      <c r="D21" s="92">
        <v>1538</v>
      </c>
      <c r="E21" s="92">
        <v>35232257.320571475</v>
      </c>
      <c r="F21" s="92">
        <v>60958972.589999996</v>
      </c>
      <c r="G21" s="112">
        <v>25726715.269428521</v>
      </c>
      <c r="H21" s="94">
        <v>0.57796671800126675</v>
      </c>
      <c r="I21" s="94">
        <v>0.4220332819987333</v>
      </c>
      <c r="J21" s="94">
        <v>1.1914402861530698E-2</v>
      </c>
      <c r="K21" s="94">
        <v>1.7881739608307322E-2</v>
      </c>
    </row>
    <row r="22" spans="3:11" x14ac:dyDescent="0.3">
      <c r="C22" s="91" t="s">
        <v>578</v>
      </c>
      <c r="D22" s="92">
        <v>239769</v>
      </c>
      <c r="E22" s="92">
        <v>43790674.251574822</v>
      </c>
      <c r="F22" s="92">
        <v>57960418.870000005</v>
      </c>
      <c r="G22" s="112">
        <v>14169744.618425183</v>
      </c>
      <c r="H22" s="94">
        <v>0.75552722194422639</v>
      </c>
      <c r="I22" s="94">
        <v>0.24447277805577358</v>
      </c>
      <c r="J22" s="94">
        <v>1.1328336930559249E-2</v>
      </c>
      <c r="K22" s="94">
        <v>9.8488936861670928E-3</v>
      </c>
    </row>
    <row r="23" spans="3:11" x14ac:dyDescent="0.3">
      <c r="C23" s="91" t="s">
        <v>591</v>
      </c>
      <c r="D23" s="92">
        <v>113184</v>
      </c>
      <c r="E23" s="92">
        <v>47554082.473455667</v>
      </c>
      <c r="F23" s="92">
        <v>51687073.729999997</v>
      </c>
      <c r="G23" s="112">
        <v>4132991.2565443292</v>
      </c>
      <c r="H23" s="94">
        <v>0.92003820378506984</v>
      </c>
      <c r="I23" s="94">
        <v>7.9961796214930145E-2</v>
      </c>
      <c r="J23" s="94">
        <v>1.0102214538535092E-2</v>
      </c>
      <c r="K23" s="94">
        <v>2.8726976094285614E-3</v>
      </c>
    </row>
    <row r="24" spans="3:11" x14ac:dyDescent="0.3">
      <c r="C24" s="91" t="s">
        <v>576</v>
      </c>
      <c r="D24" s="92">
        <v>1287</v>
      </c>
      <c r="E24" s="92">
        <v>33392796.121672839</v>
      </c>
      <c r="F24" s="92">
        <v>48345821.68</v>
      </c>
      <c r="G24" s="112">
        <v>14953025.558327161</v>
      </c>
      <c r="H24" s="94">
        <v>0.69070697241840406</v>
      </c>
      <c r="I24" s="94">
        <v>0.30929302758159599</v>
      </c>
      <c r="J24" s="94">
        <v>9.4491683782370137E-3</v>
      </c>
      <c r="K24" s="94">
        <v>1.039332486056274E-2</v>
      </c>
    </row>
    <row r="25" spans="3:11" x14ac:dyDescent="0.3">
      <c r="C25" s="91" t="s">
        <v>595</v>
      </c>
      <c r="D25" s="92">
        <v>202</v>
      </c>
      <c r="E25" s="92">
        <v>21951409.412382256</v>
      </c>
      <c r="F25" s="92">
        <v>38989420.100000001</v>
      </c>
      <c r="G25" s="112">
        <v>17038010.687617745</v>
      </c>
      <c r="H25" s="94">
        <v>0.5630093844966485</v>
      </c>
      <c r="I25" s="94">
        <v>0.4369906155033515</v>
      </c>
      <c r="J25" s="94">
        <v>7.6204640378907439E-3</v>
      </c>
      <c r="K25" s="94">
        <v>1.1842525070488932E-2</v>
      </c>
    </row>
    <row r="26" spans="3:11" x14ac:dyDescent="0.3">
      <c r="C26" s="91" t="s">
        <v>594</v>
      </c>
      <c r="D26" s="92">
        <v>629</v>
      </c>
      <c r="E26" s="92">
        <v>12282459.293605259</v>
      </c>
      <c r="F26" s="92">
        <v>29975310.530000001</v>
      </c>
      <c r="G26" s="112">
        <v>17692851.236394741</v>
      </c>
      <c r="H26" s="94">
        <v>0.40975252887914815</v>
      </c>
      <c r="I26" s="94">
        <v>0.59024747112085185</v>
      </c>
      <c r="J26" s="94">
        <v>5.8586605118159411E-3</v>
      </c>
      <c r="K26" s="94">
        <v>1.2297681823131432E-2</v>
      </c>
    </row>
    <row r="27" spans="3:11" x14ac:dyDescent="0.3">
      <c r="C27" s="91" t="s">
        <v>593</v>
      </c>
      <c r="D27" s="92">
        <v>1158</v>
      </c>
      <c r="E27" s="92">
        <v>21491172.983119804</v>
      </c>
      <c r="F27" s="92">
        <v>29417978</v>
      </c>
      <c r="G27" s="112">
        <v>7926805.0168801956</v>
      </c>
      <c r="H27" s="94">
        <v>0.7305455522170764</v>
      </c>
      <c r="I27" s="94">
        <v>0.2694544477829236</v>
      </c>
      <c r="J27" s="94">
        <v>5.7497301278523257E-3</v>
      </c>
      <c r="K27" s="94">
        <v>5.509644809032958E-3</v>
      </c>
    </row>
    <row r="28" spans="3:11" x14ac:dyDescent="0.3">
      <c r="C28" s="91" t="s">
        <v>589</v>
      </c>
      <c r="D28" s="92">
        <v>313</v>
      </c>
      <c r="E28" s="92">
        <v>9280498.6601658072</v>
      </c>
      <c r="F28" s="92">
        <v>17540754.43</v>
      </c>
      <c r="G28" s="112">
        <v>8260255.7698341925</v>
      </c>
      <c r="H28" s="94">
        <v>0.52908206982781458</v>
      </c>
      <c r="I28" s="94">
        <v>0.47091793017218547</v>
      </c>
      <c r="J28" s="94">
        <v>3.4283323011333462E-3</v>
      </c>
      <c r="K28" s="94">
        <v>5.7414147599991793E-3</v>
      </c>
    </row>
    <row r="29" spans="3:11" x14ac:dyDescent="0.3">
      <c r="C29" s="91" t="s">
        <v>599</v>
      </c>
      <c r="D29" s="92">
        <v>4460.3500000000004</v>
      </c>
      <c r="E29" s="92">
        <v>0</v>
      </c>
      <c r="F29" s="92">
        <v>10945785</v>
      </c>
      <c r="G29" s="112">
        <v>10945785</v>
      </c>
      <c r="H29" s="94">
        <v>0</v>
      </c>
      <c r="I29" s="94">
        <v>1</v>
      </c>
      <c r="J29" s="94">
        <v>2.1393485911062301E-3</v>
      </c>
      <c r="K29" s="94">
        <v>7.6080321614592191E-3</v>
      </c>
    </row>
    <row r="30" spans="3:11" x14ac:dyDescent="0.3">
      <c r="C30" s="91" t="s">
        <v>598</v>
      </c>
      <c r="D30" s="92">
        <v>180</v>
      </c>
      <c r="E30" s="92">
        <v>3589301.8969736709</v>
      </c>
      <c r="F30" s="92">
        <v>5635980.2199999997</v>
      </c>
      <c r="G30" s="112">
        <v>2046678.3230263288</v>
      </c>
      <c r="H30" s="94">
        <v>0.63685494924850372</v>
      </c>
      <c r="I30" s="94">
        <v>0.36314505075149622</v>
      </c>
      <c r="J30" s="94">
        <v>1.1015497146307533E-3</v>
      </c>
      <c r="K30" s="94">
        <v>1.422574489243643E-3</v>
      </c>
    </row>
    <row r="31" spans="3:11" x14ac:dyDescent="0.3">
      <c r="C31" s="91" t="s">
        <v>597</v>
      </c>
      <c r="D31" s="92">
        <v>22</v>
      </c>
      <c r="E31" s="92">
        <v>1206768.7177928223</v>
      </c>
      <c r="F31" s="92">
        <v>2318435.9799999995</v>
      </c>
      <c r="G31" s="112">
        <v>1111667.2622071772</v>
      </c>
      <c r="H31" s="94">
        <v>0.52050982999013951</v>
      </c>
      <c r="I31" s="94">
        <v>0.47949017000986049</v>
      </c>
      <c r="J31" s="94">
        <v>4.5313723477877476E-4</v>
      </c>
      <c r="K31" s="94">
        <v>7.7268101682186551E-4</v>
      </c>
    </row>
    <row r="32" spans="3:11" x14ac:dyDescent="0.3">
      <c r="C32" s="91" t="s">
        <v>600</v>
      </c>
      <c r="D32" s="92">
        <v>30</v>
      </c>
      <c r="E32" s="92">
        <v>217233.22776998259</v>
      </c>
      <c r="F32" s="92">
        <v>576340</v>
      </c>
      <c r="G32" s="112">
        <v>359106.77223001741</v>
      </c>
      <c r="H32" s="94">
        <v>0.37691853379946316</v>
      </c>
      <c r="I32" s="94">
        <v>0.62308146620053684</v>
      </c>
      <c r="J32" s="94">
        <v>1.1264538514123607E-4</v>
      </c>
      <c r="K32" s="94">
        <v>2.4960255226315727E-4</v>
      </c>
    </row>
    <row r="33" spans="3:11" x14ac:dyDescent="0.3">
      <c r="C33" s="91" t="s">
        <v>596</v>
      </c>
      <c r="D33" s="92">
        <v>40317</v>
      </c>
      <c r="E33" s="92">
        <v>13962215.757125268</v>
      </c>
      <c r="F33" s="92">
        <v>-371733.40999999992</v>
      </c>
      <c r="G33" s="112">
        <v>-14333949.167125268</v>
      </c>
      <c r="H33" s="94">
        <v>-37.559754871442067</v>
      </c>
      <c r="I33" s="94">
        <v>38.559754871442067</v>
      </c>
      <c r="J33" s="94">
        <v>-7.265512221833467E-5</v>
      </c>
      <c r="K33" s="94">
        <v>-9.9630265224660113E-3</v>
      </c>
    </row>
    <row r="34" spans="3:11" x14ac:dyDescent="0.3">
      <c r="C34" s="91" t="s">
        <v>477</v>
      </c>
      <c r="D34" s="92">
        <v>2586450.35</v>
      </c>
      <c r="E34" s="92">
        <v>3677695878.0600495</v>
      </c>
      <c r="F34" s="92">
        <v>5116410222.0199995</v>
      </c>
      <c r="G34" s="112">
        <v>1438714343.95995</v>
      </c>
      <c r="H34" s="94">
        <v>0.71880395012737386</v>
      </c>
      <c r="I34" s="94">
        <v>0.28119604987262614</v>
      </c>
      <c r="J34" s="94">
        <v>1</v>
      </c>
      <c r="K34" s="94">
        <v>1</v>
      </c>
    </row>
    <row r="35" spans="3:11" x14ac:dyDescent="0.3">
      <c r="I35"/>
      <c r="J35"/>
      <c r="K35"/>
    </row>
    <row r="36" spans="3:11" x14ac:dyDescent="0.3">
      <c r="I36"/>
      <c r="J36"/>
      <c r="K36"/>
    </row>
    <row r="37" spans="3:11" x14ac:dyDescent="0.3">
      <c r="I37"/>
      <c r="J37"/>
      <c r="K37"/>
    </row>
    <row r="38" spans="3:11" x14ac:dyDescent="0.3">
      <c r="F38" s="156"/>
      <c r="I38"/>
      <c r="J38"/>
      <c r="K38"/>
    </row>
    <row r="39" spans="3:11" x14ac:dyDescent="0.3">
      <c r="I39"/>
      <c r="J39"/>
      <c r="K39"/>
    </row>
    <row r="40" spans="3:11" x14ac:dyDescent="0.3">
      <c r="I40"/>
      <c r="J40"/>
      <c r="K40"/>
    </row>
    <row r="41" spans="3:11" x14ac:dyDescent="0.3">
      <c r="I41"/>
      <c r="J41"/>
      <c r="K4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DFF5-4B71-4C15-9E3A-4E7A918102C6}">
  <dimension ref="A1:Q34"/>
  <sheetViews>
    <sheetView showGridLines="0" zoomScale="120" zoomScaleNormal="12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17" sqref="J17"/>
    </sheetView>
  </sheetViews>
  <sheetFormatPr baseColWidth="10" defaultRowHeight="14.4" x14ac:dyDescent="0.3"/>
  <cols>
    <col min="1" max="1" width="27.77734375" bestFit="1" customWidth="1"/>
    <col min="2" max="2" width="20.44140625" bestFit="1" customWidth="1"/>
    <col min="3" max="3" width="10.109375" bestFit="1" customWidth="1"/>
    <col min="4" max="4" width="16.21875" hidden="1" customWidth="1"/>
    <col min="5" max="5" width="13.77734375" hidden="1" customWidth="1"/>
    <col min="6" max="7" width="9.109375" bestFit="1" customWidth="1"/>
    <col min="8" max="8" width="12.6640625" hidden="1" customWidth="1"/>
    <col min="9" max="9" width="13.77734375" hidden="1" customWidth="1"/>
    <col min="10" max="11" width="9.109375" bestFit="1" customWidth="1"/>
    <col min="12" max="13" width="14" bestFit="1" customWidth="1"/>
    <col min="14" max="14" width="9.21875" bestFit="1" customWidth="1"/>
    <col min="15" max="15" width="7.109375" bestFit="1" customWidth="1"/>
    <col min="16" max="16" width="10.5546875" bestFit="1" customWidth="1"/>
    <col min="17" max="17" width="7.109375" bestFit="1" customWidth="1"/>
    <col min="18" max="18" width="13.109375" bestFit="1" customWidth="1"/>
    <col min="19" max="19" width="12.6640625" bestFit="1" customWidth="1"/>
    <col min="20" max="20" width="18.44140625" bestFit="1" customWidth="1"/>
    <col min="21" max="21" width="15.88671875" bestFit="1" customWidth="1"/>
    <col min="22" max="22" width="13.109375" bestFit="1" customWidth="1"/>
    <col min="23" max="23" width="12.6640625" bestFit="1" customWidth="1"/>
    <col min="24" max="24" width="18.44140625" bestFit="1" customWidth="1"/>
    <col min="25" max="25" width="15.88671875" bestFit="1" customWidth="1"/>
    <col min="26" max="26" width="13.109375" bestFit="1" customWidth="1"/>
    <col min="27" max="27" width="12.6640625" bestFit="1" customWidth="1"/>
    <col min="28" max="28" width="18.44140625" bestFit="1" customWidth="1"/>
    <col min="29" max="29" width="15.88671875" bestFit="1" customWidth="1"/>
    <col min="30" max="30" width="17.5546875" bestFit="1" customWidth="1"/>
    <col min="31" max="31" width="15" bestFit="1" customWidth="1"/>
    <col min="32" max="32" width="22.88671875" bestFit="1" customWidth="1"/>
    <col min="33" max="33" width="20.33203125" bestFit="1" customWidth="1"/>
    <col min="34" max="34" width="17.6640625" bestFit="1" customWidth="1"/>
    <col min="35" max="35" width="15.109375" bestFit="1" customWidth="1"/>
    <col min="36" max="36" width="23" bestFit="1" customWidth="1"/>
    <col min="37" max="37" width="20.44140625" bestFit="1" customWidth="1"/>
    <col min="38" max="39" width="5.5546875" bestFit="1" customWidth="1"/>
    <col min="40" max="45" width="6.5546875" bestFit="1" customWidth="1"/>
    <col min="46" max="47" width="7.5546875" bestFit="1" customWidth="1"/>
    <col min="48" max="48" width="9.109375" bestFit="1" customWidth="1"/>
    <col min="49" max="49" width="13.109375" bestFit="1" customWidth="1"/>
    <col min="50" max="50" width="8.6640625" bestFit="1" customWidth="1"/>
    <col min="51" max="52" width="3" bestFit="1" customWidth="1"/>
    <col min="53" max="56" width="4" bestFit="1" customWidth="1"/>
    <col min="57" max="63" width="5.5546875" bestFit="1" customWidth="1"/>
    <col min="64" max="69" width="6.5546875" bestFit="1" customWidth="1"/>
    <col min="70" max="71" width="7.5546875" bestFit="1" customWidth="1"/>
    <col min="72" max="72" width="9.109375" bestFit="1" customWidth="1"/>
    <col min="73" max="73" width="11.44140625" bestFit="1" customWidth="1"/>
    <col min="74" max="74" width="9.44140625" bestFit="1" customWidth="1"/>
    <col min="75" max="75" width="8.44140625" bestFit="1" customWidth="1"/>
    <col min="76" max="78" width="3" bestFit="1" customWidth="1"/>
    <col min="79" max="80" width="4" bestFit="1" customWidth="1"/>
    <col min="81" max="90" width="5.5546875" bestFit="1" customWidth="1"/>
    <col min="91" max="94" width="6.5546875" bestFit="1" customWidth="1"/>
    <col min="95" max="97" width="7.5546875" bestFit="1" customWidth="1"/>
    <col min="98" max="98" width="11.21875" bestFit="1" customWidth="1"/>
    <col min="99" max="99" width="10.33203125" bestFit="1" customWidth="1"/>
    <col min="100" max="100" width="3" bestFit="1" customWidth="1"/>
    <col min="101" max="105" width="4" bestFit="1" customWidth="1"/>
    <col min="106" max="114" width="5.5546875" bestFit="1" customWidth="1"/>
    <col min="115" max="119" width="6.5546875" bestFit="1" customWidth="1"/>
    <col min="120" max="120" width="7.5546875" bestFit="1" customWidth="1"/>
    <col min="121" max="122" width="9.109375" bestFit="1" customWidth="1"/>
    <col min="123" max="123" width="13.109375" bestFit="1" customWidth="1"/>
    <col min="124" max="124" width="8.6640625" bestFit="1" customWidth="1"/>
    <col min="125" max="127" width="3" bestFit="1" customWidth="1"/>
    <col min="128" max="129" width="4" bestFit="1" customWidth="1"/>
    <col min="130" max="137" width="5.5546875" bestFit="1" customWidth="1"/>
    <col min="138" max="143" width="6.5546875" bestFit="1" customWidth="1"/>
    <col min="144" max="145" width="7.5546875" bestFit="1" customWidth="1"/>
    <col min="146" max="146" width="9.109375" bestFit="1" customWidth="1"/>
    <col min="147" max="147" width="11.44140625" bestFit="1" customWidth="1"/>
    <col min="148" max="148" width="9.44140625" bestFit="1" customWidth="1"/>
  </cols>
  <sheetData>
    <row r="1" spans="1:17" x14ac:dyDescent="0.3">
      <c r="A1" s="165" t="s">
        <v>828</v>
      </c>
      <c r="B1" t="s">
        <v>1140</v>
      </c>
    </row>
    <row r="3" spans="1:17" hidden="1" x14ac:dyDescent="0.3">
      <c r="B3" s="165" t="s">
        <v>1132</v>
      </c>
    </row>
    <row r="4" spans="1:17" s="93" customFormat="1" x14ac:dyDescent="0.3">
      <c r="A4" s="174"/>
      <c r="B4" s="174" t="s">
        <v>815</v>
      </c>
      <c r="C4" s="102"/>
      <c r="D4" s="177" t="s">
        <v>1134</v>
      </c>
      <c r="E4" s="102"/>
      <c r="F4" s="177" t="s">
        <v>1136</v>
      </c>
      <c r="G4" s="102"/>
      <c r="H4" s="177" t="s">
        <v>1133</v>
      </c>
      <c r="I4" s="102"/>
      <c r="J4" s="177" t="s">
        <v>1137</v>
      </c>
      <c r="K4" s="102"/>
      <c r="L4" t="s">
        <v>818</v>
      </c>
      <c r="M4"/>
      <c r="N4" s="177" t="s">
        <v>1135</v>
      </c>
      <c r="O4" s="102"/>
      <c r="P4" s="177" t="s">
        <v>820</v>
      </c>
      <c r="Q4" s="102"/>
    </row>
    <row r="5" spans="1:17" s="93" customFormat="1" x14ac:dyDescent="0.3">
      <c r="A5" s="185" t="s">
        <v>814</v>
      </c>
      <c r="B5" s="174">
        <v>2025</v>
      </c>
      <c r="C5" s="102">
        <v>2026</v>
      </c>
      <c r="D5" s="177">
        <v>2025</v>
      </c>
      <c r="E5" s="102">
        <v>2026</v>
      </c>
      <c r="F5" s="177">
        <v>2025</v>
      </c>
      <c r="G5" s="102">
        <v>2026</v>
      </c>
      <c r="H5" s="177">
        <v>2025</v>
      </c>
      <c r="I5" s="102">
        <v>2026</v>
      </c>
      <c r="J5" s="177">
        <v>2025</v>
      </c>
      <c r="K5" s="102">
        <v>2026</v>
      </c>
      <c r="L5">
        <v>2025</v>
      </c>
      <c r="M5">
        <v>2026</v>
      </c>
      <c r="N5" s="177">
        <v>2025</v>
      </c>
      <c r="O5" s="102">
        <v>2026</v>
      </c>
      <c r="P5" s="177">
        <v>2025</v>
      </c>
      <c r="Q5" s="102">
        <v>2026</v>
      </c>
    </row>
    <row r="6" spans="1:17" x14ac:dyDescent="0.3">
      <c r="A6" s="186" t="s">
        <v>583</v>
      </c>
      <c r="B6" s="172">
        <v>9183</v>
      </c>
      <c r="C6" s="173">
        <v>10003</v>
      </c>
      <c r="D6" s="175">
        <v>2306996754.9299998</v>
      </c>
      <c r="E6" s="173">
        <v>2590768380.1400003</v>
      </c>
      <c r="F6" s="175">
        <v>251224.73646194051</v>
      </c>
      <c r="G6" s="173">
        <v>258999.13827251829</v>
      </c>
      <c r="H6" s="175">
        <v>1325281553.2062256</v>
      </c>
      <c r="I6" s="173">
        <v>1631629315.0208023</v>
      </c>
      <c r="J6" s="175">
        <v>144319.01918830725</v>
      </c>
      <c r="K6" s="173">
        <v>163113.99730288936</v>
      </c>
      <c r="L6" s="112">
        <v>981715201.72377443</v>
      </c>
      <c r="M6" s="112">
        <v>959139065.1191982</v>
      </c>
      <c r="N6" s="182">
        <v>0.57446181940834073</v>
      </c>
      <c r="O6" s="183">
        <v>0.62978586875166043</v>
      </c>
      <c r="P6" s="182">
        <v>0.42553818059165938</v>
      </c>
      <c r="Q6" s="183">
        <v>0.37021413124833957</v>
      </c>
    </row>
    <row r="7" spans="1:17" x14ac:dyDescent="0.3">
      <c r="A7" s="187" t="s">
        <v>570</v>
      </c>
      <c r="B7" s="168">
        <v>24544</v>
      </c>
      <c r="C7" s="169">
        <v>23942</v>
      </c>
      <c r="D7" s="92">
        <v>1624812990.3499999</v>
      </c>
      <c r="E7" s="169">
        <v>1487528044.02</v>
      </c>
      <c r="F7" s="92">
        <v>66200.007755459577</v>
      </c>
      <c r="G7" s="169">
        <v>62130.483836772197</v>
      </c>
      <c r="H7" s="92">
        <v>684635873.2221396</v>
      </c>
      <c r="I7" s="169">
        <v>775208233.98402929</v>
      </c>
      <c r="J7" s="92">
        <v>27894.225603900733</v>
      </c>
      <c r="K7" s="169">
        <v>32378.591345085177</v>
      </c>
      <c r="L7" s="112">
        <v>940177117.12786055</v>
      </c>
      <c r="M7" s="112">
        <v>712319810.03597069</v>
      </c>
      <c r="N7" s="197">
        <v>0.42136287516673698</v>
      </c>
      <c r="O7" s="179">
        <v>0.52113856750495424</v>
      </c>
      <c r="P7" s="197">
        <v>0.57863712483326324</v>
      </c>
      <c r="Q7" s="179">
        <v>0.47886143249504576</v>
      </c>
    </row>
    <row r="8" spans="1:17" x14ac:dyDescent="0.3">
      <c r="A8" s="187" t="s">
        <v>577</v>
      </c>
      <c r="B8" s="168">
        <v>51685</v>
      </c>
      <c r="C8" s="169">
        <v>44455</v>
      </c>
      <c r="D8" s="92">
        <v>1455563530.6800001</v>
      </c>
      <c r="E8" s="169">
        <v>1305680583.1999998</v>
      </c>
      <c r="F8" s="92">
        <v>28162.204327754669</v>
      </c>
      <c r="G8" s="169">
        <v>29370.837548082327</v>
      </c>
      <c r="H8" s="92">
        <v>732758163.6082294</v>
      </c>
      <c r="I8" s="169">
        <v>733816771.23958099</v>
      </c>
      <c r="J8" s="92">
        <v>14177.385384700192</v>
      </c>
      <c r="K8" s="169">
        <v>16506.9569506148</v>
      </c>
      <c r="L8" s="112">
        <v>722805367.07177067</v>
      </c>
      <c r="M8" s="112">
        <v>571863811.96041882</v>
      </c>
      <c r="N8" s="197">
        <v>0.50341888084122621</v>
      </c>
      <c r="O8" s="179">
        <v>0.56201859833215995</v>
      </c>
      <c r="P8" s="197">
        <v>0.49658111915877384</v>
      </c>
      <c r="Q8" s="179">
        <v>0.43798140166784011</v>
      </c>
    </row>
    <row r="9" spans="1:17" x14ac:dyDescent="0.3">
      <c r="A9" s="187" t="s">
        <v>826</v>
      </c>
      <c r="B9" s="168">
        <v>13597</v>
      </c>
      <c r="C9" s="169">
        <v>14785</v>
      </c>
      <c r="D9" s="92">
        <v>1078882918.3200002</v>
      </c>
      <c r="E9" s="169">
        <v>1233737542.8200002</v>
      </c>
      <c r="F9" s="92">
        <v>79347.129390306698</v>
      </c>
      <c r="G9" s="169">
        <v>83445.217640852221</v>
      </c>
      <c r="H9" s="92">
        <v>540804282.68324852</v>
      </c>
      <c r="I9" s="169">
        <v>662092255.09680057</v>
      </c>
      <c r="J9" s="92">
        <v>39773.794416654302</v>
      </c>
      <c r="K9" s="169">
        <v>44781.349685275658</v>
      </c>
      <c r="L9" s="112">
        <v>538078635.63675153</v>
      </c>
      <c r="M9" s="112">
        <v>571645287.72319937</v>
      </c>
      <c r="N9" s="197">
        <v>0.50126318018397265</v>
      </c>
      <c r="O9" s="179">
        <v>0.5366556760390313</v>
      </c>
      <c r="P9" s="197">
        <v>0.49873681981602719</v>
      </c>
      <c r="Q9" s="179">
        <v>0.46334432396096847</v>
      </c>
    </row>
    <row r="10" spans="1:17" x14ac:dyDescent="0.3">
      <c r="A10" s="187" t="s">
        <v>572</v>
      </c>
      <c r="B10" s="168">
        <v>153860</v>
      </c>
      <c r="C10" s="169">
        <v>202337</v>
      </c>
      <c r="D10" s="92">
        <v>1324929515.3099999</v>
      </c>
      <c r="E10" s="169">
        <v>1713367839.3099999</v>
      </c>
      <c r="F10" s="92">
        <v>8611.2668354998041</v>
      </c>
      <c r="G10" s="169">
        <v>8467.8918799329822</v>
      </c>
      <c r="H10" s="92">
        <v>1055518158.528669</v>
      </c>
      <c r="I10" s="169">
        <v>1265674327.6607552</v>
      </c>
      <c r="J10" s="92">
        <v>6860.2506078816396</v>
      </c>
      <c r="K10" s="169">
        <v>6255.2787066169567</v>
      </c>
      <c r="L10" s="112">
        <v>269411356.78133106</v>
      </c>
      <c r="M10" s="112">
        <v>447693511.6492449</v>
      </c>
      <c r="N10" s="197">
        <v>0.79665985724659816</v>
      </c>
      <c r="O10" s="179">
        <v>0.73870554741500349</v>
      </c>
      <c r="P10" s="197">
        <v>0.20334014275340195</v>
      </c>
      <c r="Q10" s="179">
        <v>0.26129445258499662</v>
      </c>
    </row>
    <row r="11" spans="1:17" x14ac:dyDescent="0.3">
      <c r="A11" s="187" t="s">
        <v>1172</v>
      </c>
      <c r="B11" s="168">
        <v>4263</v>
      </c>
      <c r="C11" s="169">
        <v>11718</v>
      </c>
      <c r="D11" s="92">
        <v>407527486.13</v>
      </c>
      <c r="E11" s="169">
        <v>1078812171.7</v>
      </c>
      <c r="F11" s="92">
        <v>95596.407724607081</v>
      </c>
      <c r="G11" s="169">
        <v>92064.530781703361</v>
      </c>
      <c r="H11" s="92">
        <v>257119650.51711172</v>
      </c>
      <c r="I11" s="169">
        <v>667098356.40108907</v>
      </c>
      <c r="J11" s="92">
        <v>60314.250649099631</v>
      </c>
      <c r="K11" s="169">
        <v>56929.369892566057</v>
      </c>
      <c r="L11" s="112">
        <v>150407835.61288828</v>
      </c>
      <c r="M11" s="112">
        <v>411713815.29891098</v>
      </c>
      <c r="N11" s="197">
        <v>0.63092591117913299</v>
      </c>
      <c r="O11" s="179">
        <v>0.61836376516763858</v>
      </c>
      <c r="P11" s="197">
        <v>0.36907408882086701</v>
      </c>
      <c r="Q11" s="179">
        <v>0.38163623483236137</v>
      </c>
    </row>
    <row r="12" spans="1:17" x14ac:dyDescent="0.3">
      <c r="A12" s="187" t="s">
        <v>823</v>
      </c>
      <c r="B12" s="168">
        <v>14170</v>
      </c>
      <c r="C12" s="169">
        <v>9820</v>
      </c>
      <c r="D12" s="92">
        <v>1311053348.8199999</v>
      </c>
      <c r="E12" s="169">
        <v>951915378.21000004</v>
      </c>
      <c r="F12" s="92">
        <v>92523.172111503169</v>
      </c>
      <c r="G12" s="169">
        <v>96936.392893075361</v>
      </c>
      <c r="H12" s="92">
        <v>802246130.97389686</v>
      </c>
      <c r="I12" s="169">
        <v>559109563.97497106</v>
      </c>
      <c r="J12" s="92">
        <v>56615.817288207261</v>
      </c>
      <c r="K12" s="169">
        <v>56935.80081211518</v>
      </c>
      <c r="L12" s="112">
        <v>508807217.84610301</v>
      </c>
      <c r="M12" s="112">
        <v>392805814.23502886</v>
      </c>
      <c r="N12" s="197">
        <v>0.61190960054825394</v>
      </c>
      <c r="O12" s="179">
        <v>0.58735217097378067</v>
      </c>
      <c r="P12" s="197">
        <v>0.38809039945174595</v>
      </c>
      <c r="Q12" s="179">
        <v>0.41264782902621916</v>
      </c>
    </row>
    <row r="13" spans="1:17" x14ac:dyDescent="0.3">
      <c r="A13" s="187" t="s">
        <v>1168</v>
      </c>
      <c r="B13" s="168"/>
      <c r="C13" s="169">
        <v>38706</v>
      </c>
      <c r="D13" s="92"/>
      <c r="E13" s="169">
        <v>1090841253.3400002</v>
      </c>
      <c r="F13" s="92" t="e">
        <v>#DIV/0!</v>
      </c>
      <c r="G13" s="169">
        <v>28182.743071875164</v>
      </c>
      <c r="H13" s="92"/>
      <c r="I13" s="169">
        <v>814044396.22636247</v>
      </c>
      <c r="J13" s="92" t="e">
        <v>#DIV/0!</v>
      </c>
      <c r="K13" s="169">
        <v>21031.478226279192</v>
      </c>
      <c r="L13" s="112"/>
      <c r="M13" s="112">
        <v>276796857.11363751</v>
      </c>
      <c r="N13" s="197" t="e">
        <v>#DIV/0!</v>
      </c>
      <c r="O13" s="179">
        <v>0.74625376857895209</v>
      </c>
      <c r="P13" s="197" t="e">
        <v>#DIV/0!</v>
      </c>
      <c r="Q13" s="179">
        <v>0.2537462314210478</v>
      </c>
    </row>
    <row r="14" spans="1:17" x14ac:dyDescent="0.3">
      <c r="A14" s="187" t="s">
        <v>587</v>
      </c>
      <c r="B14" s="168">
        <v>2671</v>
      </c>
      <c r="C14" s="169">
        <v>2619</v>
      </c>
      <c r="D14" s="92">
        <v>559781719.59000003</v>
      </c>
      <c r="E14" s="169">
        <v>600369576.44000006</v>
      </c>
      <c r="F14" s="92">
        <v>209577.58127667542</v>
      </c>
      <c r="G14" s="169">
        <v>229236.18802596413</v>
      </c>
      <c r="H14" s="92">
        <v>247426053.9832969</v>
      </c>
      <c r="I14" s="169">
        <v>364761120.17648596</v>
      </c>
      <c r="J14" s="92">
        <v>92634.239604379225</v>
      </c>
      <c r="K14" s="169">
        <v>139274.95997574873</v>
      </c>
      <c r="L14" s="112">
        <v>312355665.60670316</v>
      </c>
      <c r="M14" s="112">
        <v>235608456.26351404</v>
      </c>
      <c r="N14" s="197">
        <v>0.44200452662962758</v>
      </c>
      <c r="O14" s="179">
        <v>0.6075609665956142</v>
      </c>
      <c r="P14" s="197">
        <v>0.55799547337037247</v>
      </c>
      <c r="Q14" s="179">
        <v>0.39243903340438563</v>
      </c>
    </row>
    <row r="15" spans="1:17" x14ac:dyDescent="0.3">
      <c r="A15" s="187" t="s">
        <v>590</v>
      </c>
      <c r="B15" s="168">
        <v>1888</v>
      </c>
      <c r="C15" s="169">
        <v>19800</v>
      </c>
      <c r="D15" s="92">
        <v>270681310</v>
      </c>
      <c r="E15" s="169">
        <v>2251287480</v>
      </c>
      <c r="F15" s="92">
        <v>143369.3379237288</v>
      </c>
      <c r="G15" s="169">
        <v>113701.38787878788</v>
      </c>
      <c r="H15" s="92">
        <v>238889339.42124963</v>
      </c>
      <c r="I15" s="169">
        <v>2047259695.1051588</v>
      </c>
      <c r="J15" s="92">
        <v>126530.37045617035</v>
      </c>
      <c r="K15" s="169">
        <v>103396.95429824035</v>
      </c>
      <c r="L15" s="112">
        <v>31791970.578750394</v>
      </c>
      <c r="M15" s="112">
        <v>204027784.89484093</v>
      </c>
      <c r="N15" s="197">
        <v>0.88254833487117978</v>
      </c>
      <c r="O15" s="179">
        <v>0.9093728425590315</v>
      </c>
      <c r="P15" s="197">
        <v>0.11745166512882028</v>
      </c>
      <c r="Q15" s="179">
        <v>9.0627157440968373E-2</v>
      </c>
    </row>
    <row r="16" spans="1:17" x14ac:dyDescent="0.3">
      <c r="A16" s="187" t="s">
        <v>827</v>
      </c>
      <c r="B16" s="168">
        <v>53061</v>
      </c>
      <c r="C16" s="169">
        <v>32071</v>
      </c>
      <c r="D16" s="92">
        <v>1281205503.3700001</v>
      </c>
      <c r="E16" s="169">
        <v>762363559.92000008</v>
      </c>
      <c r="F16" s="92">
        <v>24145.898180773074</v>
      </c>
      <c r="G16" s="169">
        <v>23771.119077047802</v>
      </c>
      <c r="H16" s="92">
        <v>799934908.85546052</v>
      </c>
      <c r="I16" s="169">
        <v>559486441.41712368</v>
      </c>
      <c r="J16" s="92">
        <v>15075.7601412612</v>
      </c>
      <c r="K16" s="169">
        <v>17445.244657700841</v>
      </c>
      <c r="L16" s="112">
        <v>481270594.51453936</v>
      </c>
      <c r="M16" s="112">
        <v>202877118.50287628</v>
      </c>
      <c r="N16" s="197">
        <v>0.62436112454353609</v>
      </c>
      <c r="O16" s="179">
        <v>0.73388402965618449</v>
      </c>
      <c r="P16" s="197">
        <v>0.37563887545646368</v>
      </c>
      <c r="Q16" s="179">
        <v>0.2661159703438154</v>
      </c>
    </row>
    <row r="17" spans="1:17" x14ac:dyDescent="0.3">
      <c r="A17" s="187" t="s">
        <v>824</v>
      </c>
      <c r="B17" s="168">
        <v>3479420</v>
      </c>
      <c r="C17" s="169">
        <v>2715660</v>
      </c>
      <c r="D17" s="92">
        <v>1364841941.0400002</v>
      </c>
      <c r="E17" s="169">
        <v>1081753680.23</v>
      </c>
      <c r="F17" s="92">
        <v>392.26133695845863</v>
      </c>
      <c r="G17" s="169">
        <v>398.33914416016734</v>
      </c>
      <c r="H17" s="92">
        <v>939053275.23097503</v>
      </c>
      <c r="I17" s="169">
        <v>891194211.17865467</v>
      </c>
      <c r="J17" s="92">
        <v>269.88787649406368</v>
      </c>
      <c r="K17" s="169">
        <v>328.16855246188942</v>
      </c>
      <c r="L17" s="112">
        <v>425788665.80902499</v>
      </c>
      <c r="M17" s="112">
        <v>190559469.05134535</v>
      </c>
      <c r="N17" s="197">
        <v>0.68803078729792178</v>
      </c>
      <c r="O17" s="179">
        <v>0.82384208851424567</v>
      </c>
      <c r="P17" s="197">
        <v>0.31196921270207811</v>
      </c>
      <c r="Q17" s="179">
        <v>0.17615791148575435</v>
      </c>
    </row>
    <row r="18" spans="1:17" x14ac:dyDescent="0.3">
      <c r="A18" s="187" t="s">
        <v>575</v>
      </c>
      <c r="B18" s="168">
        <v>10951</v>
      </c>
      <c r="C18" s="169">
        <v>9616</v>
      </c>
      <c r="D18" s="92">
        <v>510291077.58000004</v>
      </c>
      <c r="E18" s="169">
        <v>467446909.72999996</v>
      </c>
      <c r="F18" s="92">
        <v>46597.669398228478</v>
      </c>
      <c r="G18" s="169">
        <v>48611.367484400995</v>
      </c>
      <c r="H18" s="92">
        <v>347613367.12551093</v>
      </c>
      <c r="I18" s="169">
        <v>293692532.46605754</v>
      </c>
      <c r="J18" s="92">
        <v>31742.614110630166</v>
      </c>
      <c r="K18" s="169">
        <v>30542.068684074202</v>
      </c>
      <c r="L18" s="112">
        <v>162677710.45448911</v>
      </c>
      <c r="M18" s="112">
        <v>173754377.26394242</v>
      </c>
      <c r="N18" s="197">
        <v>0.68120604572204069</v>
      </c>
      <c r="O18" s="179">
        <v>0.62829067077520317</v>
      </c>
      <c r="P18" s="197">
        <v>0.31879395427795931</v>
      </c>
      <c r="Q18" s="179">
        <v>0.37170932922479677</v>
      </c>
    </row>
    <row r="19" spans="1:17" x14ac:dyDescent="0.3">
      <c r="A19" s="187" t="s">
        <v>586</v>
      </c>
      <c r="B19" s="168">
        <v>8503</v>
      </c>
      <c r="C19" s="169">
        <v>6666</v>
      </c>
      <c r="D19" s="92">
        <v>336283453.85000002</v>
      </c>
      <c r="E19" s="169">
        <v>269095102.75999999</v>
      </c>
      <c r="F19" s="92">
        <v>39548.80087616136</v>
      </c>
      <c r="G19" s="169">
        <v>40368.302244224418</v>
      </c>
      <c r="H19" s="92">
        <v>170724416.55342746</v>
      </c>
      <c r="I19" s="169">
        <v>148834959.27439597</v>
      </c>
      <c r="J19" s="92">
        <v>20078.1390748474</v>
      </c>
      <c r="K19" s="169">
        <v>22327.476638823278</v>
      </c>
      <c r="L19" s="112">
        <v>165559037.29657254</v>
      </c>
      <c r="M19" s="112">
        <v>120260143.48560402</v>
      </c>
      <c r="N19" s="197">
        <v>0.50768009724789931</v>
      </c>
      <c r="O19" s="179">
        <v>0.55309426945290274</v>
      </c>
      <c r="P19" s="197">
        <v>0.49231990275210064</v>
      </c>
      <c r="Q19" s="179">
        <v>0.44690573054709731</v>
      </c>
    </row>
    <row r="20" spans="1:17" x14ac:dyDescent="0.3">
      <c r="A20" s="187" t="s">
        <v>1171</v>
      </c>
      <c r="B20" s="168"/>
      <c r="C20" s="169">
        <v>1165860</v>
      </c>
      <c r="D20" s="92"/>
      <c r="E20" s="169">
        <v>466633698.53999996</v>
      </c>
      <c r="F20" s="92" t="e">
        <v>#DIV/0!</v>
      </c>
      <c r="G20" s="169">
        <v>400.24848484380624</v>
      </c>
      <c r="H20" s="92"/>
      <c r="I20" s="169">
        <v>389062851.08521837</v>
      </c>
      <c r="J20" s="92" t="e">
        <v>#DIV/0!</v>
      </c>
      <c r="K20" s="169">
        <v>333.71318261645342</v>
      </c>
      <c r="L20" s="112"/>
      <c r="M20" s="112">
        <v>77570847.454781592</v>
      </c>
      <c r="N20" s="197" t="e">
        <v>#DIV/0!</v>
      </c>
      <c r="O20" s="179">
        <v>0.83376501161942507</v>
      </c>
      <c r="P20" s="197" t="e">
        <v>#DIV/0!</v>
      </c>
      <c r="Q20" s="179">
        <v>0.16623498838057491</v>
      </c>
    </row>
    <row r="21" spans="1:17" x14ac:dyDescent="0.3">
      <c r="A21" s="187" t="s">
        <v>578</v>
      </c>
      <c r="B21" s="168">
        <v>1097482</v>
      </c>
      <c r="C21" s="169">
        <v>1078509</v>
      </c>
      <c r="D21" s="92">
        <v>267706524.52000001</v>
      </c>
      <c r="E21" s="169">
        <v>268005675.01000002</v>
      </c>
      <c r="F21" s="92">
        <v>243.9279409776197</v>
      </c>
      <c r="G21" s="169">
        <v>248.49646596365912</v>
      </c>
      <c r="H21" s="92">
        <v>133099769.53169373</v>
      </c>
      <c r="I21" s="169">
        <v>192011284.02892497</v>
      </c>
      <c r="J21" s="92">
        <v>121.27740548974263</v>
      </c>
      <c r="K21" s="169">
        <v>178.03401179677218</v>
      </c>
      <c r="L21" s="112">
        <v>134606754.98830628</v>
      </c>
      <c r="M21" s="112">
        <v>75994390.981075019</v>
      </c>
      <c r="N21" s="197">
        <v>0.49718537779511612</v>
      </c>
      <c r="O21" s="179">
        <v>0.71644484401966679</v>
      </c>
      <c r="P21" s="197">
        <v>0.50281462220488382</v>
      </c>
      <c r="Q21" s="179">
        <v>0.2835551559803331</v>
      </c>
    </row>
    <row r="22" spans="1:17" x14ac:dyDescent="0.3">
      <c r="A22" s="187" t="s">
        <v>594</v>
      </c>
      <c r="B22" s="168">
        <v>2974</v>
      </c>
      <c r="C22" s="169">
        <v>2622</v>
      </c>
      <c r="D22" s="92">
        <v>141665439.63999999</v>
      </c>
      <c r="E22" s="169">
        <v>116387977.37</v>
      </c>
      <c r="F22" s="92">
        <v>47634.646819098853</v>
      </c>
      <c r="G22" s="169">
        <v>44389.00738749047</v>
      </c>
      <c r="H22" s="92">
        <v>57791904.540517166</v>
      </c>
      <c r="I22" s="169">
        <v>45476963.550047249</v>
      </c>
      <c r="J22" s="92">
        <v>19432.382158882705</v>
      </c>
      <c r="K22" s="169">
        <v>17344.379691093534</v>
      </c>
      <c r="L22" s="112">
        <v>83873535.099482834</v>
      </c>
      <c r="M22" s="112">
        <v>70911013.819952756</v>
      </c>
      <c r="N22" s="197">
        <v>0.4079463889525764</v>
      </c>
      <c r="O22" s="179">
        <v>0.39073592116370365</v>
      </c>
      <c r="P22" s="197">
        <v>0.59205361104742371</v>
      </c>
      <c r="Q22" s="179">
        <v>0.6092640788362963</v>
      </c>
    </row>
    <row r="23" spans="1:17" x14ac:dyDescent="0.3">
      <c r="A23" s="187" t="s">
        <v>1167</v>
      </c>
      <c r="B23" s="168"/>
      <c r="C23" s="169">
        <v>7325</v>
      </c>
      <c r="D23" s="92"/>
      <c r="E23" s="169">
        <v>183961515.16</v>
      </c>
      <c r="F23" s="92" t="e">
        <v>#DIV/0!</v>
      </c>
      <c r="G23" s="169">
        <v>25114.200021843004</v>
      </c>
      <c r="H23" s="92"/>
      <c r="I23" s="169">
        <v>130631620.75771165</v>
      </c>
      <c r="J23" s="92" t="e">
        <v>#DIV/0!</v>
      </c>
      <c r="K23" s="169">
        <v>17833.668362827528</v>
      </c>
      <c r="L23" s="112"/>
      <c r="M23" s="112">
        <v>53329894.402288347</v>
      </c>
      <c r="N23" s="197" t="e">
        <v>#DIV/0!</v>
      </c>
      <c r="O23" s="179">
        <v>0.71010298346420542</v>
      </c>
      <c r="P23" s="197" t="e">
        <v>#DIV/0!</v>
      </c>
      <c r="Q23" s="179">
        <v>0.28989701653579458</v>
      </c>
    </row>
    <row r="24" spans="1:17" x14ac:dyDescent="0.3">
      <c r="A24" s="187" t="s">
        <v>595</v>
      </c>
      <c r="B24" s="168">
        <v>731</v>
      </c>
      <c r="C24" s="169">
        <v>602</v>
      </c>
      <c r="D24" s="92">
        <v>127989930.66000001</v>
      </c>
      <c r="E24" s="169">
        <v>106868870.21000001</v>
      </c>
      <c r="F24" s="92">
        <v>175088.82443228457</v>
      </c>
      <c r="G24" s="169">
        <v>177523.04021594685</v>
      </c>
      <c r="H24" s="92">
        <v>64454894.090847462</v>
      </c>
      <c r="I24" s="169">
        <v>59720080.928428143</v>
      </c>
      <c r="J24" s="92">
        <v>88173.589727561513</v>
      </c>
      <c r="K24" s="169">
        <v>99202.792239913862</v>
      </c>
      <c r="L24" s="112">
        <v>63535036.569152534</v>
      </c>
      <c r="M24" s="112">
        <v>47148789.28157185</v>
      </c>
      <c r="N24" s="197">
        <v>0.50359347613109684</v>
      </c>
      <c r="O24" s="179">
        <v>0.55881643373862466</v>
      </c>
      <c r="P24" s="197">
        <v>0.49640652386890299</v>
      </c>
      <c r="Q24" s="179">
        <v>0.44118356626137523</v>
      </c>
    </row>
    <row r="25" spans="1:17" x14ac:dyDescent="0.3">
      <c r="A25" s="187" t="s">
        <v>599</v>
      </c>
      <c r="B25" s="168">
        <v>5234.8999999999996</v>
      </c>
      <c r="C25" s="169">
        <v>13664</v>
      </c>
      <c r="D25" s="92">
        <v>78143100</v>
      </c>
      <c r="E25" s="169">
        <v>38113845</v>
      </c>
      <c r="F25" s="92">
        <v>14927.33385547002</v>
      </c>
      <c r="G25" s="169">
        <v>2789.3621926229507</v>
      </c>
      <c r="H25" s="92">
        <v>0</v>
      </c>
      <c r="I25" s="169">
        <v>0</v>
      </c>
      <c r="J25" s="92">
        <v>0</v>
      </c>
      <c r="K25" s="169">
        <v>0</v>
      </c>
      <c r="L25" s="112">
        <v>78143100</v>
      </c>
      <c r="M25" s="112">
        <v>38113845</v>
      </c>
      <c r="N25" s="197">
        <v>0</v>
      </c>
      <c r="O25" s="179">
        <v>0</v>
      </c>
      <c r="P25" s="197">
        <v>1</v>
      </c>
      <c r="Q25" s="179">
        <v>1</v>
      </c>
    </row>
    <row r="26" spans="1:17" x14ac:dyDescent="0.3">
      <c r="A26" s="187" t="s">
        <v>574</v>
      </c>
      <c r="B26" s="168">
        <v>4081600</v>
      </c>
      <c r="C26" s="169">
        <v>4346394</v>
      </c>
      <c r="D26" s="92">
        <v>463016606.80000001</v>
      </c>
      <c r="E26" s="169">
        <v>498690170.60000002</v>
      </c>
      <c r="F26" s="92">
        <v>113.43997618580948</v>
      </c>
      <c r="G26" s="169">
        <v>114.73653115663238</v>
      </c>
      <c r="H26" s="92">
        <v>289236729.03978676</v>
      </c>
      <c r="I26" s="169">
        <v>464611049.68839633</v>
      </c>
      <c r="J26" s="92">
        <v>70.863565523271944</v>
      </c>
      <c r="K26" s="169">
        <v>106.89575075071343</v>
      </c>
      <c r="L26" s="112">
        <v>173779877.7602132</v>
      </c>
      <c r="M26" s="112">
        <v>34079120.911603749</v>
      </c>
      <c r="N26" s="197">
        <v>0.62467895274590557</v>
      </c>
      <c r="O26" s="179">
        <v>0.93166273786667719</v>
      </c>
      <c r="P26" s="197">
        <v>0.37532104725409426</v>
      </c>
      <c r="Q26" s="179">
        <v>6.833726213332296E-2</v>
      </c>
    </row>
    <row r="27" spans="1:17" x14ac:dyDescent="0.3">
      <c r="A27" s="187" t="s">
        <v>825</v>
      </c>
      <c r="B27" s="168">
        <v>66988</v>
      </c>
      <c r="C27" s="169">
        <v>7378</v>
      </c>
      <c r="D27" s="92">
        <v>1820130879.0899999</v>
      </c>
      <c r="E27" s="169">
        <v>202612824.45000002</v>
      </c>
      <c r="F27" s="92">
        <v>27170.998971308294</v>
      </c>
      <c r="G27" s="169">
        <v>27461.754465979942</v>
      </c>
      <c r="H27" s="92">
        <v>1441537942.2186744</v>
      </c>
      <c r="I27" s="169">
        <v>168961643.38211563</v>
      </c>
      <c r="J27" s="92">
        <v>21519.345886109069</v>
      </c>
      <c r="K27" s="169">
        <v>22900.737785594421</v>
      </c>
      <c r="L27" s="112">
        <v>378592936.87132543</v>
      </c>
      <c r="M27" s="112">
        <v>33651181.067884386</v>
      </c>
      <c r="N27" s="197">
        <v>0.79199686065399411</v>
      </c>
      <c r="O27" s="179">
        <v>0.83391386424214875</v>
      </c>
      <c r="P27" s="197">
        <v>0.20800313934600589</v>
      </c>
      <c r="Q27" s="179">
        <v>0.16608613575785125</v>
      </c>
    </row>
    <row r="28" spans="1:17" x14ac:dyDescent="0.3">
      <c r="A28" s="187" t="s">
        <v>597</v>
      </c>
      <c r="B28" s="168">
        <v>257</v>
      </c>
      <c r="C28" s="169">
        <v>220</v>
      </c>
      <c r="D28" s="92">
        <v>28536719.379999999</v>
      </c>
      <c r="E28" s="169">
        <v>22348180.800000001</v>
      </c>
      <c r="F28" s="92">
        <v>111037.81859922179</v>
      </c>
      <c r="G28" s="169">
        <v>101582.64</v>
      </c>
      <c r="H28" s="92">
        <v>13052242.484757632</v>
      </c>
      <c r="I28" s="169">
        <v>10832780.611720128</v>
      </c>
      <c r="J28" s="92">
        <v>50786.935738356544</v>
      </c>
      <c r="K28" s="169">
        <v>49239.91187145513</v>
      </c>
      <c r="L28" s="112">
        <v>15484476.895242367</v>
      </c>
      <c r="M28" s="112">
        <v>11515400.188279871</v>
      </c>
      <c r="N28" s="197">
        <v>0.45738412712938947</v>
      </c>
      <c r="O28" s="179">
        <v>0.48472762542354803</v>
      </c>
      <c r="P28" s="197">
        <v>0.54261587287061053</v>
      </c>
      <c r="Q28" s="179">
        <v>0.51527237457645192</v>
      </c>
    </row>
    <row r="29" spans="1:17" x14ac:dyDescent="0.3">
      <c r="A29" s="187" t="s">
        <v>598</v>
      </c>
      <c r="B29" s="168">
        <v>208</v>
      </c>
      <c r="C29" s="169">
        <v>559</v>
      </c>
      <c r="D29" s="92">
        <v>6749298.25</v>
      </c>
      <c r="E29" s="169">
        <v>19127152.41</v>
      </c>
      <c r="F29" s="92">
        <v>32448.549278846152</v>
      </c>
      <c r="G29" s="169">
        <v>34216.73060822898</v>
      </c>
      <c r="H29" s="92">
        <v>5020129.2377636665</v>
      </c>
      <c r="I29" s="169">
        <v>13683833.344385881</v>
      </c>
      <c r="J29" s="92">
        <v>24135.236720017627</v>
      </c>
      <c r="K29" s="169">
        <v>24479.129417506047</v>
      </c>
      <c r="L29" s="112">
        <v>1729169.0122363339</v>
      </c>
      <c r="M29" s="112">
        <v>5443319.0656141192</v>
      </c>
      <c r="N29" s="197">
        <v>0.74380017770938878</v>
      </c>
      <c r="O29" s="179">
        <v>0.71541403817286153</v>
      </c>
      <c r="P29" s="197">
        <v>0.25619982229061133</v>
      </c>
      <c r="Q29" s="179">
        <v>0.28458596182713847</v>
      </c>
    </row>
    <row r="30" spans="1:17" x14ac:dyDescent="0.3">
      <c r="A30" s="187" t="s">
        <v>588</v>
      </c>
      <c r="B30" s="168">
        <v>53</v>
      </c>
      <c r="C30" s="169">
        <v>3</v>
      </c>
      <c r="D30" s="92">
        <v>171720000</v>
      </c>
      <c r="E30" s="169">
        <v>11170000</v>
      </c>
      <c r="F30" s="92">
        <v>3240000</v>
      </c>
      <c r="G30" s="169">
        <v>3723333.3333333335</v>
      </c>
      <c r="H30" s="92">
        <v>134275000</v>
      </c>
      <c r="I30" s="169">
        <v>7520000</v>
      </c>
      <c r="J30" s="92">
        <v>2533490.5660377359</v>
      </c>
      <c r="K30" s="169">
        <v>2506666.6666666665</v>
      </c>
      <c r="L30" s="112">
        <v>37445000</v>
      </c>
      <c r="M30" s="112">
        <v>3650000</v>
      </c>
      <c r="N30" s="197">
        <v>0.78194153272769629</v>
      </c>
      <c r="O30" s="179">
        <v>0.67323187108325877</v>
      </c>
      <c r="P30" s="197">
        <v>0.21805846727230374</v>
      </c>
      <c r="Q30" s="179">
        <v>0.32676812891674129</v>
      </c>
    </row>
    <row r="31" spans="1:17" x14ac:dyDescent="0.3">
      <c r="A31" s="187" t="s">
        <v>600</v>
      </c>
      <c r="B31" s="168">
        <v>168</v>
      </c>
      <c r="C31" s="169">
        <v>223</v>
      </c>
      <c r="D31" s="92">
        <v>2842239.5</v>
      </c>
      <c r="E31" s="169">
        <v>4899927.9400000004</v>
      </c>
      <c r="F31" s="92">
        <v>16918.092261904763</v>
      </c>
      <c r="G31" s="169">
        <v>21972.771031390137</v>
      </c>
      <c r="H31" s="92">
        <v>1721414.6186660719</v>
      </c>
      <c r="I31" s="169">
        <v>2636263.6795470482</v>
      </c>
      <c r="J31" s="92">
        <v>10246.515587298047</v>
      </c>
      <c r="K31" s="169">
        <v>11821.810222184073</v>
      </c>
      <c r="L31" s="112">
        <v>1120824.8813339283</v>
      </c>
      <c r="M31" s="112">
        <v>2263664.2604529518</v>
      </c>
      <c r="N31" s="197">
        <v>0.60565431543192327</v>
      </c>
      <c r="O31" s="179">
        <v>0.53802090802728175</v>
      </c>
      <c r="P31" s="197">
        <v>0.39434568456807678</v>
      </c>
      <c r="Q31" s="179">
        <v>0.46197909197271819</v>
      </c>
    </row>
    <row r="32" spans="1:17" x14ac:dyDescent="0.3">
      <c r="A32" s="187" t="s">
        <v>596</v>
      </c>
      <c r="B32" s="168">
        <v>160089</v>
      </c>
      <c r="C32" s="169">
        <v>114905</v>
      </c>
      <c r="D32" s="92">
        <v>42205969.969999999</v>
      </c>
      <c r="E32" s="169">
        <v>27790752.970000003</v>
      </c>
      <c r="F32" s="92">
        <v>263.64066219415452</v>
      </c>
      <c r="G32" s="169">
        <v>241.85851764501112</v>
      </c>
      <c r="H32" s="92">
        <v>17716595.041550472</v>
      </c>
      <c r="I32" s="169">
        <v>43173929.971613586</v>
      </c>
      <c r="J32" s="92">
        <v>110.667160401717</v>
      </c>
      <c r="K32" s="169">
        <v>375.73586851410806</v>
      </c>
      <c r="L32" s="112">
        <v>24489374.92844953</v>
      </c>
      <c r="M32" s="112">
        <v>-15383177.001613589</v>
      </c>
      <c r="N32" s="197">
        <v>0.41976514351271699</v>
      </c>
      <c r="O32" s="179">
        <v>1.5535358116499993</v>
      </c>
      <c r="P32" s="197">
        <v>0.58023485648728312</v>
      </c>
      <c r="Q32" s="179">
        <v>-0.55353581164999965</v>
      </c>
    </row>
    <row r="33" spans="1:17" x14ac:dyDescent="0.3">
      <c r="A33" s="188" t="s">
        <v>579</v>
      </c>
      <c r="B33" s="168">
        <v>98670</v>
      </c>
      <c r="C33" s="169">
        <v>131650</v>
      </c>
      <c r="D33" s="92">
        <v>501126814.96999997</v>
      </c>
      <c r="E33" s="169">
        <v>646707658.16999996</v>
      </c>
      <c r="F33" s="92">
        <v>5078.8164079254075</v>
      </c>
      <c r="G33" s="169">
        <v>4912.3255462969992</v>
      </c>
      <c r="H33" s="92">
        <v>466156202.83282518</v>
      </c>
      <c r="I33" s="169">
        <v>678565898.71248579</v>
      </c>
      <c r="J33" s="92">
        <v>4724.3965018022218</v>
      </c>
      <c r="K33" s="169">
        <v>5154.3174987655584</v>
      </c>
      <c r="L33" s="112">
        <v>34970612.137174785</v>
      </c>
      <c r="M33" s="112">
        <v>-31858240.542485803</v>
      </c>
      <c r="N33" s="197">
        <v>0.93021604294061111</v>
      </c>
      <c r="O33" s="179">
        <v>1.0492621977488803</v>
      </c>
      <c r="P33" s="197">
        <v>6.9783957059388863E-2</v>
      </c>
      <c r="Q33" s="179">
        <v>-4.9262197748880271E-2</v>
      </c>
    </row>
    <row r="34" spans="1:17" x14ac:dyDescent="0.3">
      <c r="A34" s="189" t="s">
        <v>477</v>
      </c>
      <c r="B34" s="170">
        <v>9342250.9000000004</v>
      </c>
      <c r="C34" s="171">
        <v>10012112</v>
      </c>
      <c r="D34" s="176">
        <v>17484685072.75</v>
      </c>
      <c r="E34" s="171">
        <v>19498285750.450001</v>
      </c>
      <c r="F34" s="181">
        <v>1871.5709158217969</v>
      </c>
      <c r="G34" s="178">
        <v>1947.469799623696</v>
      </c>
      <c r="H34" s="176">
        <v>10766067997.546524</v>
      </c>
      <c r="I34" s="171">
        <v>13620790378.962864</v>
      </c>
      <c r="J34" s="181">
        <v>1152.4062148177291</v>
      </c>
      <c r="K34" s="178">
        <v>1360.4312835256801</v>
      </c>
      <c r="L34" s="112">
        <v>6718617075.203476</v>
      </c>
      <c r="M34" s="112">
        <v>5877495371.4871387</v>
      </c>
      <c r="N34" s="184">
        <v>0.6157427458802508</v>
      </c>
      <c r="O34" s="180">
        <v>0.69856348159470938</v>
      </c>
      <c r="P34" s="184">
        <v>0.38425725411974876</v>
      </c>
      <c r="Q34" s="180">
        <v>0.30143651840529057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D302-BF92-461E-86C6-37B4347BE0BC}">
  <sheetPr codeName="Hoja8"/>
  <dimension ref="A1:G243"/>
  <sheetViews>
    <sheetView workbookViewId="0">
      <pane ySplit="1" topLeftCell="A222" activePane="bottomLeft" state="frozen"/>
      <selection activeCell="C480" sqref="C480"/>
      <selection pane="bottomLeft" activeCell="C232" sqref="C232"/>
    </sheetView>
  </sheetViews>
  <sheetFormatPr baseColWidth="10" defaultColWidth="11.33203125" defaultRowHeight="14.4" x14ac:dyDescent="0.3"/>
  <cols>
    <col min="1" max="2" width="10.6640625" bestFit="1" customWidth="1"/>
    <col min="3" max="3" width="45.44140625" bestFit="1" customWidth="1"/>
    <col min="4" max="4" width="10.5546875" bestFit="1" customWidth="1"/>
    <col min="5" max="5" width="11.109375" bestFit="1" customWidth="1"/>
    <col min="6" max="6" width="18" bestFit="1" customWidth="1"/>
    <col min="7" max="7" width="12.5546875" bestFit="1" customWidth="1"/>
  </cols>
  <sheetData>
    <row r="1" spans="1:7" x14ac:dyDescent="0.3">
      <c r="A1" s="97" t="s">
        <v>828</v>
      </c>
      <c r="B1" s="98" t="s">
        <v>829</v>
      </c>
      <c r="C1" s="99" t="s">
        <v>2</v>
      </c>
      <c r="D1" s="100" t="s">
        <v>5</v>
      </c>
      <c r="E1" s="100" t="s">
        <v>15</v>
      </c>
      <c r="F1" s="98" t="s">
        <v>830</v>
      </c>
      <c r="G1" s="101" t="s">
        <v>831</v>
      </c>
    </row>
    <row r="2" spans="1:7" x14ac:dyDescent="0.3">
      <c r="A2" s="102" t="s">
        <v>832</v>
      </c>
      <c r="B2" s="103">
        <v>2025</v>
      </c>
      <c r="C2" s="104" t="s">
        <v>596</v>
      </c>
      <c r="D2" s="105">
        <v>39980</v>
      </c>
      <c r="E2" s="106">
        <v>3582694.6335674142</v>
      </c>
      <c r="F2" s="105">
        <v>9347898.5699999984</v>
      </c>
      <c r="G2" s="107">
        <f>Tabla2[[#This Row],[PRECIO TOT]]-Tabla2[[#This Row],[CT]]</f>
        <v>5765203.9364325842</v>
      </c>
    </row>
    <row r="3" spans="1:7" x14ac:dyDescent="0.3">
      <c r="A3" s="102" t="s">
        <v>832</v>
      </c>
      <c r="B3" s="103">
        <v>2025</v>
      </c>
      <c r="C3" s="104" t="s">
        <v>574</v>
      </c>
      <c r="D3" s="105">
        <v>967000</v>
      </c>
      <c r="E3" s="106">
        <v>65875862.345875449</v>
      </c>
      <c r="F3" s="105">
        <v>109611973.89</v>
      </c>
      <c r="G3" s="107">
        <f>Tabla2[[#This Row],[PRECIO TOT]]-Tabla2[[#This Row],[CT]]</f>
        <v>43736111.544124551</v>
      </c>
    </row>
    <row r="4" spans="1:7" x14ac:dyDescent="0.3">
      <c r="A4" s="102" t="s">
        <v>832</v>
      </c>
      <c r="B4" s="103">
        <v>2025</v>
      </c>
      <c r="C4" s="104" t="s">
        <v>595</v>
      </c>
      <c r="D4" s="105">
        <v>108</v>
      </c>
      <c r="E4" s="106">
        <v>7610173.8775294218</v>
      </c>
      <c r="F4" s="105">
        <v>14554425.430000002</v>
      </c>
      <c r="G4" s="107">
        <f>Tabla2[[#This Row],[PRECIO TOT]]-Tabla2[[#This Row],[CT]]</f>
        <v>6944251.5524705797</v>
      </c>
    </row>
    <row r="5" spans="1:7" x14ac:dyDescent="0.3">
      <c r="A5" s="102" t="s">
        <v>832</v>
      </c>
      <c r="B5" s="103">
        <v>2025</v>
      </c>
      <c r="C5" s="104" t="s">
        <v>577</v>
      </c>
      <c r="D5" s="105">
        <v>13580</v>
      </c>
      <c r="E5" s="106">
        <v>184797331.76977587</v>
      </c>
      <c r="F5" s="105">
        <v>383138350.85999995</v>
      </c>
      <c r="G5" s="107">
        <f>Tabla2[[#This Row],[PRECIO TOT]]-Tabla2[[#This Row],[CT]]</f>
        <v>198341019.09022409</v>
      </c>
    </row>
    <row r="6" spans="1:7" x14ac:dyDescent="0.3">
      <c r="A6" s="102" t="s">
        <v>832</v>
      </c>
      <c r="B6" s="103">
        <v>2025</v>
      </c>
      <c r="C6" s="104" t="s">
        <v>571</v>
      </c>
      <c r="D6" s="105">
        <v>899670</v>
      </c>
      <c r="E6" s="106">
        <v>232412730.04459599</v>
      </c>
      <c r="F6" s="105">
        <v>351093727.28000003</v>
      </c>
      <c r="G6" s="107">
        <f>Tabla2[[#This Row],[PRECIO TOT]]-Tabla2[[#This Row],[CT]]</f>
        <v>118680997.23540404</v>
      </c>
    </row>
    <row r="7" spans="1:7" x14ac:dyDescent="0.3">
      <c r="A7" s="102" t="s">
        <v>832</v>
      </c>
      <c r="B7" s="103">
        <v>2025</v>
      </c>
      <c r="C7" s="104" t="s">
        <v>591</v>
      </c>
      <c r="D7" s="105">
        <v>95130</v>
      </c>
      <c r="E7" s="106">
        <v>26269523.336472094</v>
      </c>
      <c r="F7" s="105">
        <v>41840551.07</v>
      </c>
      <c r="G7" s="107">
        <f>Tabla2[[#This Row],[PRECIO TOT]]-Tabla2[[#This Row],[CT]]</f>
        <v>15571027.733527906</v>
      </c>
    </row>
    <row r="8" spans="1:7" x14ac:dyDescent="0.3">
      <c r="A8" s="102" t="s">
        <v>832</v>
      </c>
      <c r="B8" s="103">
        <v>2025</v>
      </c>
      <c r="C8" s="104" t="s">
        <v>594</v>
      </c>
      <c r="D8" s="105">
        <v>1098</v>
      </c>
      <c r="E8" s="106">
        <v>21098462.561557997</v>
      </c>
      <c r="F8" s="105">
        <v>52720977.259999998</v>
      </c>
      <c r="G8" s="107">
        <f>Tabla2[[#This Row],[PRECIO TOT]]-Tabla2[[#This Row],[CT]]</f>
        <v>31622514.698442001</v>
      </c>
    </row>
    <row r="9" spans="1:7" x14ac:dyDescent="0.3">
      <c r="A9" s="102" t="s">
        <v>832</v>
      </c>
      <c r="B9" s="103">
        <v>2025</v>
      </c>
      <c r="C9" s="104" t="s">
        <v>579</v>
      </c>
      <c r="D9" s="105">
        <v>25344</v>
      </c>
      <c r="E9" s="106">
        <v>115985610.96308841</v>
      </c>
      <c r="F9" s="105">
        <v>128702660.54000001</v>
      </c>
      <c r="G9" s="107">
        <f>Tabla2[[#This Row],[PRECIO TOT]]-Tabla2[[#This Row],[CT]]</f>
        <v>12717049.576911598</v>
      </c>
    </row>
    <row r="10" spans="1:7" x14ac:dyDescent="0.3">
      <c r="A10" s="102" t="s">
        <v>832</v>
      </c>
      <c r="B10" s="103">
        <v>2025</v>
      </c>
      <c r="C10" s="104" t="s">
        <v>597</v>
      </c>
      <c r="D10" s="105">
        <v>30</v>
      </c>
      <c r="E10" s="106">
        <v>2303610.8078762721</v>
      </c>
      <c r="F10" s="105">
        <v>4586978.66</v>
      </c>
      <c r="G10" s="107">
        <f>Tabla2[[#This Row],[PRECIO TOT]]-Tabla2[[#This Row],[CT]]</f>
        <v>2283367.852123728</v>
      </c>
    </row>
    <row r="11" spans="1:7" x14ac:dyDescent="0.3">
      <c r="A11" s="102" t="s">
        <v>832</v>
      </c>
      <c r="B11" s="103">
        <v>2025</v>
      </c>
      <c r="C11" s="104" t="s">
        <v>600</v>
      </c>
      <c r="D11" s="105">
        <v>7</v>
      </c>
      <c r="E11" s="106">
        <v>51562.599194635339</v>
      </c>
      <c r="F11" s="105">
        <v>121345.2</v>
      </c>
      <c r="G11" s="107">
        <f>Tabla2[[#This Row],[PRECIO TOT]]-Tabla2[[#This Row],[CT]]</f>
        <v>69782.600805364666</v>
      </c>
    </row>
    <row r="12" spans="1:7" x14ac:dyDescent="0.3">
      <c r="A12" s="102" t="s">
        <v>832</v>
      </c>
      <c r="B12" s="103">
        <v>2025</v>
      </c>
      <c r="C12" s="104" t="s">
        <v>570</v>
      </c>
      <c r="D12" s="105">
        <v>7447</v>
      </c>
      <c r="E12" s="106">
        <v>198917473.74059215</v>
      </c>
      <c r="F12" s="105">
        <v>482818736.01999998</v>
      </c>
      <c r="G12" s="107">
        <f>Tabla2[[#This Row],[PRECIO TOT]]-Tabla2[[#This Row],[CT]]</f>
        <v>283901262.27940786</v>
      </c>
    </row>
    <row r="13" spans="1:7" x14ac:dyDescent="0.3">
      <c r="A13" s="102" t="s">
        <v>832</v>
      </c>
      <c r="B13" s="103">
        <v>2025</v>
      </c>
      <c r="C13" s="104" t="s">
        <v>598</v>
      </c>
      <c r="D13" s="105">
        <v>15</v>
      </c>
      <c r="E13" s="106">
        <v>472153.68627524067</v>
      </c>
      <c r="F13" s="105">
        <v>706275.01</v>
      </c>
      <c r="G13" s="107">
        <f>Tabla2[[#This Row],[PRECIO TOT]]-Tabla2[[#This Row],[CT]]</f>
        <v>234121.32372475934</v>
      </c>
    </row>
    <row r="14" spans="1:7" x14ac:dyDescent="0.3">
      <c r="A14" s="102" t="s">
        <v>832</v>
      </c>
      <c r="B14" s="103">
        <v>2025</v>
      </c>
      <c r="C14" s="104" t="s">
        <v>580</v>
      </c>
      <c r="D14" s="105">
        <v>1667</v>
      </c>
      <c r="E14" s="106">
        <v>62287696.761666417</v>
      </c>
      <c r="F14" s="105">
        <v>127891482.73</v>
      </c>
      <c r="G14" s="107">
        <f>Tabla2[[#This Row],[PRECIO TOT]]-Tabla2[[#This Row],[CT]]</f>
        <v>65603785.968333587</v>
      </c>
    </row>
    <row r="15" spans="1:7" x14ac:dyDescent="0.3">
      <c r="A15" s="102" t="s">
        <v>832</v>
      </c>
      <c r="B15" s="103">
        <v>2025</v>
      </c>
      <c r="C15" s="104" t="s">
        <v>585</v>
      </c>
      <c r="D15" s="105">
        <v>980</v>
      </c>
      <c r="E15" s="106">
        <v>39557245.095712386</v>
      </c>
      <c r="F15" s="105">
        <v>80940569.539999992</v>
      </c>
      <c r="G15" s="107">
        <f>Tabla2[[#This Row],[PRECIO TOT]]-Tabla2[[#This Row],[CT]]</f>
        <v>41383324.444287606</v>
      </c>
    </row>
    <row r="16" spans="1:7" x14ac:dyDescent="0.3">
      <c r="A16" s="102" t="s">
        <v>832</v>
      </c>
      <c r="B16" s="103">
        <v>2025</v>
      </c>
      <c r="C16" s="104" t="s">
        <v>573</v>
      </c>
      <c r="D16" s="105">
        <v>4191</v>
      </c>
      <c r="E16" s="106">
        <v>227117318.22244623</v>
      </c>
      <c r="F16" s="105">
        <v>377862580.54999995</v>
      </c>
      <c r="G16" s="107">
        <f>Tabla2[[#This Row],[PRECIO TOT]]-Tabla2[[#This Row],[CT]]</f>
        <v>150745262.32755372</v>
      </c>
    </row>
    <row r="17" spans="1:7" x14ac:dyDescent="0.3">
      <c r="A17" s="102" t="s">
        <v>832</v>
      </c>
      <c r="B17" s="103">
        <v>2025</v>
      </c>
      <c r="C17" s="104" t="s">
        <v>592</v>
      </c>
      <c r="D17" s="105">
        <v>393</v>
      </c>
      <c r="E17" s="106">
        <v>26876145.420068644</v>
      </c>
      <c r="F17" s="105">
        <v>45854778.640000001</v>
      </c>
      <c r="G17" s="107">
        <f>Tabla2[[#This Row],[PRECIO TOT]]-Tabla2[[#This Row],[CT]]</f>
        <v>18978633.219931357</v>
      </c>
    </row>
    <row r="18" spans="1:7" x14ac:dyDescent="0.3">
      <c r="A18" s="102" t="s">
        <v>832</v>
      </c>
      <c r="B18" s="103">
        <v>2025</v>
      </c>
      <c r="C18" s="104" t="s">
        <v>587</v>
      </c>
      <c r="D18" s="105">
        <v>605</v>
      </c>
      <c r="E18" s="106">
        <v>54637714.266098812</v>
      </c>
      <c r="F18" s="105">
        <v>125697720.33999999</v>
      </c>
      <c r="G18" s="107">
        <f>Tabla2[[#This Row],[PRECIO TOT]]-Tabla2[[#This Row],[CT]]</f>
        <v>71060006.073901176</v>
      </c>
    </row>
    <row r="19" spans="1:7" x14ac:dyDescent="0.3">
      <c r="A19" s="102" t="s">
        <v>832</v>
      </c>
      <c r="B19" s="103">
        <v>2025</v>
      </c>
      <c r="C19" s="104" t="s">
        <v>583</v>
      </c>
      <c r="D19" s="105">
        <v>2412</v>
      </c>
      <c r="E19" s="106">
        <v>345756752.03727704</v>
      </c>
      <c r="F19" s="105">
        <v>613026214.70999992</v>
      </c>
      <c r="G19" s="107">
        <f>Tabla2[[#This Row],[PRECIO TOT]]-Tabla2[[#This Row],[CT]]</f>
        <v>267269462.67272288</v>
      </c>
    </row>
    <row r="20" spans="1:7" x14ac:dyDescent="0.3">
      <c r="A20" s="102" t="s">
        <v>832</v>
      </c>
      <c r="B20" s="103">
        <v>2025</v>
      </c>
      <c r="C20" s="104" t="s">
        <v>589</v>
      </c>
      <c r="D20" s="105">
        <v>2338</v>
      </c>
      <c r="E20" s="106">
        <v>45689923.318831384</v>
      </c>
      <c r="F20" s="105">
        <v>78734155.829999983</v>
      </c>
      <c r="G20" s="107">
        <f>Tabla2[[#This Row],[PRECIO TOT]]-Tabla2[[#This Row],[CT]]</f>
        <v>33044232.511168599</v>
      </c>
    </row>
    <row r="21" spans="1:7" x14ac:dyDescent="0.3">
      <c r="A21" s="102" t="s">
        <v>832</v>
      </c>
      <c r="B21" s="103">
        <v>2025</v>
      </c>
      <c r="C21" s="104" t="s">
        <v>582</v>
      </c>
      <c r="D21" s="105">
        <v>8410</v>
      </c>
      <c r="E21" s="106">
        <v>110231913.5753089</v>
      </c>
      <c r="F21" s="105">
        <v>187440514.53</v>
      </c>
      <c r="G21" s="107">
        <f>Tabla2[[#This Row],[PRECIO TOT]]-Tabla2[[#This Row],[CT]]</f>
        <v>77208600.954691097</v>
      </c>
    </row>
    <row r="22" spans="1:7" x14ac:dyDescent="0.3">
      <c r="A22" s="102" t="s">
        <v>832</v>
      </c>
      <c r="B22" s="103">
        <v>2025</v>
      </c>
      <c r="C22" s="104" t="s">
        <v>593</v>
      </c>
      <c r="D22" s="105">
        <v>1657</v>
      </c>
      <c r="E22" s="106">
        <v>24066114.220019586</v>
      </c>
      <c r="F22" s="105">
        <v>40226795.480000004</v>
      </c>
      <c r="G22" s="107">
        <f>Tabla2[[#This Row],[PRECIO TOT]]-Tabla2[[#This Row],[CT]]</f>
        <v>16160681.259980418</v>
      </c>
    </row>
    <row r="23" spans="1:7" x14ac:dyDescent="0.3">
      <c r="A23" s="102" t="s">
        <v>832</v>
      </c>
      <c r="B23" s="103">
        <v>2025</v>
      </c>
      <c r="C23" s="104" t="s">
        <v>576</v>
      </c>
      <c r="D23" s="105">
        <v>5426</v>
      </c>
      <c r="E23" s="106">
        <v>145525216.75759652</v>
      </c>
      <c r="F23" s="105">
        <v>192952513.61000001</v>
      </c>
      <c r="G23" s="107">
        <f>Tabla2[[#This Row],[PRECIO TOT]]-Tabla2[[#This Row],[CT]]</f>
        <v>47427296.852403492</v>
      </c>
    </row>
    <row r="24" spans="1:7" x14ac:dyDescent="0.3">
      <c r="A24" s="102" t="s">
        <v>832</v>
      </c>
      <c r="B24" s="103">
        <v>2025</v>
      </c>
      <c r="C24" s="104" t="s">
        <v>581</v>
      </c>
      <c r="D24" s="105">
        <v>11330</v>
      </c>
      <c r="E24" s="106">
        <v>197112200.53595632</v>
      </c>
      <c r="F24" s="105">
        <v>258520859.63</v>
      </c>
      <c r="G24" s="107">
        <f>Tabla2[[#This Row],[PRECIO TOT]]-Tabla2[[#This Row],[CT]]</f>
        <v>61408659.094043672</v>
      </c>
    </row>
    <row r="25" spans="1:7" x14ac:dyDescent="0.3">
      <c r="A25" s="102" t="s">
        <v>832</v>
      </c>
      <c r="B25" s="103">
        <v>2025</v>
      </c>
      <c r="C25" s="104" t="s">
        <v>584</v>
      </c>
      <c r="D25" s="105">
        <v>3146</v>
      </c>
      <c r="E25" s="106">
        <v>66167395.178204961</v>
      </c>
      <c r="F25" s="105">
        <v>84527345.469999984</v>
      </c>
      <c r="G25" s="107">
        <f>Tabla2[[#This Row],[PRECIO TOT]]-Tabla2[[#This Row],[CT]]</f>
        <v>18359950.291795023</v>
      </c>
    </row>
    <row r="26" spans="1:7" x14ac:dyDescent="0.3">
      <c r="A26" s="102" t="s">
        <v>832</v>
      </c>
      <c r="B26" s="103">
        <v>2025</v>
      </c>
      <c r="C26" s="104" t="s">
        <v>586</v>
      </c>
      <c r="D26" s="105">
        <v>1434</v>
      </c>
      <c r="E26" s="106">
        <v>27935612.763050392</v>
      </c>
      <c r="F26" s="105">
        <v>57842900.739999995</v>
      </c>
      <c r="G26" s="107">
        <f>Tabla2[[#This Row],[PRECIO TOT]]-Tabla2[[#This Row],[CT]]</f>
        <v>29907287.976949602</v>
      </c>
    </row>
    <row r="27" spans="1:7" x14ac:dyDescent="0.3">
      <c r="A27" s="102" t="s">
        <v>832</v>
      </c>
      <c r="B27" s="103">
        <v>2025</v>
      </c>
      <c r="C27" s="104" t="s">
        <v>575</v>
      </c>
      <c r="D27" s="105">
        <v>3190</v>
      </c>
      <c r="E27" s="106">
        <v>97525304.470523119</v>
      </c>
      <c r="F27" s="105">
        <v>146997241.19000003</v>
      </c>
      <c r="G27" s="107">
        <f>Tabla2[[#This Row],[PRECIO TOT]]-Tabla2[[#This Row],[CT]]</f>
        <v>49471936.719476908</v>
      </c>
    </row>
    <row r="28" spans="1:7" x14ac:dyDescent="0.3">
      <c r="A28" s="102" t="s">
        <v>832</v>
      </c>
      <c r="B28" s="103">
        <v>2025</v>
      </c>
      <c r="C28" s="104" t="s">
        <v>578</v>
      </c>
      <c r="D28" s="105">
        <v>310378</v>
      </c>
      <c r="E28" s="106">
        <v>35754567.112487748</v>
      </c>
      <c r="F28" s="105">
        <v>75256586.349999994</v>
      </c>
      <c r="G28" s="107">
        <f>Tabla2[[#This Row],[PRECIO TOT]]-Tabla2[[#This Row],[CT]]</f>
        <v>39502019.237512246</v>
      </c>
    </row>
    <row r="29" spans="1:7" x14ac:dyDescent="0.3">
      <c r="A29" s="102" t="s">
        <v>832</v>
      </c>
      <c r="B29" s="103">
        <v>2025</v>
      </c>
      <c r="C29" s="104" t="s">
        <v>599</v>
      </c>
      <c r="D29" s="105">
        <v>1500</v>
      </c>
      <c r="E29" s="106">
        <v>0</v>
      </c>
      <c r="F29" s="105">
        <v>525000</v>
      </c>
      <c r="G29" s="107">
        <f>Tabla2[[#This Row],[PRECIO TOT]]-Tabla2[[#This Row],[CT]]</f>
        <v>525000</v>
      </c>
    </row>
    <row r="30" spans="1:7" x14ac:dyDescent="0.3">
      <c r="A30" s="102" t="s">
        <v>832</v>
      </c>
      <c r="B30" s="103">
        <v>2025</v>
      </c>
      <c r="C30" s="104" t="s">
        <v>588</v>
      </c>
      <c r="D30" s="105">
        <v>9</v>
      </c>
      <c r="E30" s="106">
        <v>21825000</v>
      </c>
      <c r="F30" s="105">
        <v>29160000</v>
      </c>
      <c r="G30" s="107">
        <f>Tabla2[[#This Row],[PRECIO TOT]]-Tabla2[[#This Row],[CT]]</f>
        <v>7335000</v>
      </c>
    </row>
    <row r="31" spans="1:7" x14ac:dyDescent="0.3">
      <c r="A31" s="102" t="s">
        <v>832</v>
      </c>
      <c r="B31" s="103">
        <v>2025</v>
      </c>
      <c r="C31" s="104" t="s">
        <v>572</v>
      </c>
      <c r="D31" s="105">
        <v>42937</v>
      </c>
      <c r="E31" s="106">
        <v>275024738.8488853</v>
      </c>
      <c r="F31" s="105">
        <v>350318589.98000002</v>
      </c>
      <c r="G31" s="107">
        <f>Tabla2[[#This Row],[PRECIO TOT]]-Tabla2[[#This Row],[CT]]</f>
        <v>75293851.131114721</v>
      </c>
    </row>
    <row r="32" spans="1:7" x14ac:dyDescent="0.3">
      <c r="A32" s="102" t="s">
        <v>832</v>
      </c>
      <c r="B32" s="103">
        <v>2025</v>
      </c>
      <c r="C32" s="108" t="s">
        <v>590</v>
      </c>
      <c r="D32" s="109">
        <v>431</v>
      </c>
      <c r="E32" s="110">
        <v>46953030.143557362</v>
      </c>
      <c r="F32" s="109">
        <v>54150960</v>
      </c>
      <c r="G32" s="111">
        <f>Tabla2[[#This Row],[PRECIO TOT]]-Tabla2[[#This Row],[CT]]</f>
        <v>7197929.8564426377</v>
      </c>
    </row>
    <row r="33" spans="1:7" x14ac:dyDescent="0.3">
      <c r="A33" s="102" t="s">
        <v>832</v>
      </c>
      <c r="B33" s="103">
        <v>2026</v>
      </c>
      <c r="C33" s="104" t="s">
        <v>596</v>
      </c>
      <c r="D33" s="105">
        <v>43103</v>
      </c>
      <c r="E33" s="106">
        <v>13692455.695450317</v>
      </c>
      <c r="F33" s="105">
        <v>10984624.32</v>
      </c>
      <c r="G33" s="107">
        <f>Tabla2[[#This Row],[PRECIO TOT]]-Tabla2[[#This Row],[CT]]</f>
        <v>-2707831.3754503168</v>
      </c>
    </row>
    <row r="34" spans="1:7" x14ac:dyDescent="0.3">
      <c r="A34" s="102" t="s">
        <v>832</v>
      </c>
      <c r="B34" s="103">
        <v>2026</v>
      </c>
      <c r="C34" s="104" t="s">
        <v>574</v>
      </c>
      <c r="D34" s="105">
        <v>759000</v>
      </c>
      <c r="E34" s="106">
        <v>81144250.449661165</v>
      </c>
      <c r="F34" s="105">
        <v>87558403.300000012</v>
      </c>
      <c r="G34" s="107">
        <f>Tabla2[[#This Row],[PRECIO TOT]]-Tabla2[[#This Row],[CT]]</f>
        <v>6414152.8503388464</v>
      </c>
    </row>
    <row r="35" spans="1:7" x14ac:dyDescent="0.3">
      <c r="A35" s="102" t="s">
        <v>832</v>
      </c>
      <c r="B35" s="103">
        <v>2026</v>
      </c>
      <c r="C35" s="104" t="s">
        <v>595</v>
      </c>
      <c r="D35" s="105">
        <v>17</v>
      </c>
      <c r="E35" s="106">
        <v>2454655.3123360309</v>
      </c>
      <c r="F35" s="105">
        <v>4914345.6100000003</v>
      </c>
      <c r="G35" s="107">
        <f>Tabla2[[#This Row],[PRECIO TOT]]-Tabla2[[#This Row],[CT]]</f>
        <v>2459690.2976639695</v>
      </c>
    </row>
    <row r="36" spans="1:7" x14ac:dyDescent="0.3">
      <c r="A36" s="102" t="s">
        <v>832</v>
      </c>
      <c r="B36" s="103">
        <v>2026</v>
      </c>
      <c r="C36" s="104" t="s">
        <v>577</v>
      </c>
      <c r="D36" s="105">
        <v>10268</v>
      </c>
      <c r="E36" s="106">
        <v>187888037.39188853</v>
      </c>
      <c r="F36" s="105">
        <v>336676128.90999997</v>
      </c>
      <c r="G36" s="107">
        <f>Tabla2[[#This Row],[PRECIO TOT]]-Tabla2[[#This Row],[CT]]</f>
        <v>148788091.51811144</v>
      </c>
    </row>
    <row r="37" spans="1:7" x14ac:dyDescent="0.3">
      <c r="A37" s="102" t="s">
        <v>832</v>
      </c>
      <c r="B37" s="103">
        <v>2026</v>
      </c>
      <c r="C37" s="104" t="s">
        <v>571</v>
      </c>
      <c r="D37" s="105">
        <v>648270</v>
      </c>
      <c r="E37" s="106">
        <v>201541887.38489199</v>
      </c>
      <c r="F37" s="105">
        <v>258572773.13</v>
      </c>
      <c r="G37" s="107">
        <f>Tabla2[[#This Row],[PRECIO TOT]]-Tabla2[[#This Row],[CT]]</f>
        <v>57030885.745108008</v>
      </c>
    </row>
    <row r="38" spans="1:7" x14ac:dyDescent="0.3">
      <c r="A38" s="102" t="s">
        <v>832</v>
      </c>
      <c r="B38" s="103">
        <v>2026</v>
      </c>
      <c r="C38" s="104" t="s">
        <v>591</v>
      </c>
      <c r="D38" s="105">
        <v>73170</v>
      </c>
      <c r="E38" s="106">
        <v>24665163.492959265</v>
      </c>
      <c r="F38" s="105">
        <v>32469012.880000003</v>
      </c>
      <c r="G38" s="107">
        <f>Tabla2[[#This Row],[PRECIO TOT]]-Tabla2[[#This Row],[CT]]</f>
        <v>7803849.387040738</v>
      </c>
    </row>
    <row r="39" spans="1:7" x14ac:dyDescent="0.3">
      <c r="A39" s="102" t="s">
        <v>832</v>
      </c>
      <c r="B39" s="103">
        <v>2026</v>
      </c>
      <c r="C39" s="104" t="s">
        <v>594</v>
      </c>
      <c r="D39" s="105">
        <v>266</v>
      </c>
      <c r="E39" s="106">
        <v>6228852.7511992184</v>
      </c>
      <c r="F39" s="105">
        <v>15426605.41</v>
      </c>
      <c r="G39" s="107">
        <f>Tabla2[[#This Row],[PRECIO TOT]]-Tabla2[[#This Row],[CT]]</f>
        <v>9197752.6588007808</v>
      </c>
    </row>
    <row r="40" spans="1:7" x14ac:dyDescent="0.3">
      <c r="A40" s="102" t="s">
        <v>832</v>
      </c>
      <c r="B40" s="103">
        <v>2026</v>
      </c>
      <c r="C40" s="104" t="s">
        <v>579</v>
      </c>
      <c r="D40" s="105">
        <v>31740</v>
      </c>
      <c r="E40" s="106">
        <v>167132563.53837895</v>
      </c>
      <c r="F40" s="105">
        <v>155730959.72</v>
      </c>
      <c r="G40" s="107">
        <f>Tabla2[[#This Row],[PRECIO TOT]]-Tabla2[[#This Row],[CT]]</f>
        <v>-11401603.818378955</v>
      </c>
    </row>
    <row r="41" spans="1:7" x14ac:dyDescent="0.3">
      <c r="A41" s="102" t="s">
        <v>832</v>
      </c>
      <c r="B41" s="103">
        <v>2026</v>
      </c>
      <c r="C41" s="104" t="s">
        <v>599</v>
      </c>
      <c r="D41" s="105">
        <v>3305.6499999999996</v>
      </c>
      <c r="E41" s="106">
        <v>0</v>
      </c>
      <c r="F41" s="105">
        <v>1143080</v>
      </c>
      <c r="G41" s="107">
        <f>Tabla2[[#This Row],[PRECIO TOT]]-Tabla2[[#This Row],[CT]]</f>
        <v>1143080</v>
      </c>
    </row>
    <row r="42" spans="1:7" x14ac:dyDescent="0.3">
      <c r="A42" s="102" t="s">
        <v>832</v>
      </c>
      <c r="B42" s="103">
        <v>2026</v>
      </c>
      <c r="C42" s="104" t="s">
        <v>597</v>
      </c>
      <c r="D42" s="105">
        <v>83</v>
      </c>
      <c r="E42" s="106">
        <v>4144887.6247799238</v>
      </c>
      <c r="F42" s="105">
        <v>9551188.5099999998</v>
      </c>
      <c r="G42" s="107">
        <f>Tabla2[[#This Row],[PRECIO TOT]]-Tabla2[[#This Row],[CT]]</f>
        <v>5406300.885220076</v>
      </c>
    </row>
    <row r="43" spans="1:7" x14ac:dyDescent="0.3">
      <c r="A43" s="102" t="s">
        <v>832</v>
      </c>
      <c r="B43" s="103">
        <v>2026</v>
      </c>
      <c r="C43" s="104" t="s">
        <v>600</v>
      </c>
      <c r="D43" s="105">
        <v>27</v>
      </c>
      <c r="E43" s="106">
        <v>199230.51578090101</v>
      </c>
      <c r="F43" s="105">
        <v>869949</v>
      </c>
      <c r="G43" s="107">
        <f>Tabla2[[#This Row],[PRECIO TOT]]-Tabla2[[#This Row],[CT]]</f>
        <v>670718.48421909893</v>
      </c>
    </row>
    <row r="44" spans="1:7" x14ac:dyDescent="0.3">
      <c r="A44" s="102" t="s">
        <v>832</v>
      </c>
      <c r="B44" s="103">
        <v>2026</v>
      </c>
      <c r="C44" s="104" t="s">
        <v>570</v>
      </c>
      <c r="D44" s="105">
        <v>5344</v>
      </c>
      <c r="E44" s="106">
        <v>168705528.51343897</v>
      </c>
      <c r="F44" s="105">
        <v>322401740</v>
      </c>
      <c r="G44" s="107">
        <f>Tabla2[[#This Row],[PRECIO TOT]]-Tabla2[[#This Row],[CT]]</f>
        <v>153696211.48656103</v>
      </c>
    </row>
    <row r="45" spans="1:7" x14ac:dyDescent="0.3">
      <c r="A45" s="102" t="s">
        <v>832</v>
      </c>
      <c r="B45" s="103">
        <v>2026</v>
      </c>
      <c r="C45" s="104" t="s">
        <v>598</v>
      </c>
      <c r="D45" s="105">
        <v>40</v>
      </c>
      <c r="E45" s="106">
        <v>545441.32022705092</v>
      </c>
      <c r="F45" s="105">
        <v>1038450.02</v>
      </c>
      <c r="G45" s="107">
        <f>Tabla2[[#This Row],[PRECIO TOT]]-Tabla2[[#This Row],[CT]]</f>
        <v>493008.6997729491</v>
      </c>
    </row>
    <row r="46" spans="1:7" x14ac:dyDescent="0.3">
      <c r="A46" s="102" t="s">
        <v>832</v>
      </c>
      <c r="B46" s="103">
        <v>2026</v>
      </c>
      <c r="C46" s="104" t="s">
        <v>580</v>
      </c>
      <c r="D46" s="105">
        <v>1688</v>
      </c>
      <c r="E46" s="106">
        <v>73137131.355202824</v>
      </c>
      <c r="F46" s="105">
        <v>135812192.41999999</v>
      </c>
      <c r="G46" s="107">
        <f>Tabla2[[#This Row],[PRECIO TOT]]-Tabla2[[#This Row],[CT]]</f>
        <v>62675061.064797163</v>
      </c>
    </row>
    <row r="47" spans="1:7" x14ac:dyDescent="0.3">
      <c r="A47" s="102" t="s">
        <v>832</v>
      </c>
      <c r="B47" s="103">
        <v>2026</v>
      </c>
      <c r="C47" s="104" t="s">
        <v>585</v>
      </c>
      <c r="D47" s="105">
        <v>935</v>
      </c>
      <c r="E47" s="106">
        <v>44349741.562123664</v>
      </c>
      <c r="F47" s="105">
        <v>81705756.340000004</v>
      </c>
      <c r="G47" s="107">
        <f>Tabla2[[#This Row],[PRECIO TOT]]-Tabla2[[#This Row],[CT]]</f>
        <v>37356014.77787634</v>
      </c>
    </row>
    <row r="48" spans="1:7" x14ac:dyDescent="0.3">
      <c r="A48" s="102" t="s">
        <v>832</v>
      </c>
      <c r="B48" s="103">
        <v>2026</v>
      </c>
      <c r="C48" s="104" t="s">
        <v>573</v>
      </c>
      <c r="D48" s="105">
        <v>3668</v>
      </c>
      <c r="E48" s="106">
        <v>204597932.17475325</v>
      </c>
      <c r="F48" s="105">
        <v>341318090.57999998</v>
      </c>
      <c r="G48" s="107">
        <f>Tabla2[[#This Row],[PRECIO TOT]]-Tabla2[[#This Row],[CT]]</f>
        <v>136720158.40524673</v>
      </c>
    </row>
    <row r="49" spans="1:7" x14ac:dyDescent="0.3">
      <c r="A49" s="102" t="s">
        <v>832</v>
      </c>
      <c r="B49" s="103">
        <v>2026</v>
      </c>
      <c r="C49" s="104" t="s">
        <v>592</v>
      </c>
      <c r="D49" s="105">
        <v>545</v>
      </c>
      <c r="E49" s="106">
        <v>37302351.416142792</v>
      </c>
      <c r="F49" s="105">
        <v>64078437.760000005</v>
      </c>
      <c r="G49" s="107">
        <f>Tabla2[[#This Row],[PRECIO TOT]]-Tabla2[[#This Row],[CT]]</f>
        <v>26776086.343857214</v>
      </c>
    </row>
    <row r="50" spans="1:7" x14ac:dyDescent="0.3">
      <c r="A50" s="102" t="s">
        <v>832</v>
      </c>
      <c r="B50" s="103">
        <v>2026</v>
      </c>
      <c r="C50" s="104" t="s">
        <v>587</v>
      </c>
      <c r="D50" s="105">
        <v>742</v>
      </c>
      <c r="E50" s="106">
        <v>111770894.71008655</v>
      </c>
      <c r="F50" s="105">
        <v>175968365.86000001</v>
      </c>
      <c r="G50" s="107">
        <f>Tabla2[[#This Row],[PRECIO TOT]]-Tabla2[[#This Row],[CT]]</f>
        <v>64197471.14991346</v>
      </c>
    </row>
    <row r="51" spans="1:7" x14ac:dyDescent="0.3">
      <c r="A51" s="102" t="s">
        <v>832</v>
      </c>
      <c r="B51" s="103">
        <v>2026</v>
      </c>
      <c r="C51" s="104" t="s">
        <v>583</v>
      </c>
      <c r="D51" s="105">
        <v>2473</v>
      </c>
      <c r="E51" s="106">
        <v>385410066.60627818</v>
      </c>
      <c r="F51" s="105">
        <v>636433283.55000007</v>
      </c>
      <c r="G51" s="107">
        <f>Tabla2[[#This Row],[PRECIO TOT]]-Tabla2[[#This Row],[CT]]</f>
        <v>251023216.94372189</v>
      </c>
    </row>
    <row r="52" spans="1:7" x14ac:dyDescent="0.3">
      <c r="A52" s="102" t="s">
        <v>832</v>
      </c>
      <c r="B52" s="103">
        <v>2026</v>
      </c>
      <c r="C52" s="104" t="s">
        <v>589</v>
      </c>
      <c r="D52" s="105">
        <v>738</v>
      </c>
      <c r="E52" s="106">
        <v>16349190.110958295</v>
      </c>
      <c r="F52" s="105">
        <v>27521668.829999998</v>
      </c>
      <c r="G52" s="107">
        <f>Tabla2[[#This Row],[PRECIO TOT]]-Tabla2[[#This Row],[CT]]</f>
        <v>11172478.719041703</v>
      </c>
    </row>
    <row r="53" spans="1:7" x14ac:dyDescent="0.3">
      <c r="A53" s="102" t="s">
        <v>832</v>
      </c>
      <c r="B53" s="103">
        <v>2026</v>
      </c>
      <c r="C53" s="104" t="s">
        <v>582</v>
      </c>
      <c r="D53" s="105">
        <v>4955</v>
      </c>
      <c r="E53" s="106">
        <v>84635057.763023227</v>
      </c>
      <c r="F53" s="105">
        <v>114796795.78</v>
      </c>
      <c r="G53" s="107">
        <f>Tabla2[[#This Row],[PRECIO TOT]]-Tabla2[[#This Row],[CT]]</f>
        <v>30161738.016976774</v>
      </c>
    </row>
    <row r="54" spans="1:7" x14ac:dyDescent="0.3">
      <c r="A54" s="102" t="s">
        <v>832</v>
      </c>
      <c r="B54" s="103">
        <v>2026</v>
      </c>
      <c r="C54" s="104" t="s">
        <v>593</v>
      </c>
      <c r="D54" s="105">
        <v>1404</v>
      </c>
      <c r="E54" s="106">
        <v>24143007.402133543</v>
      </c>
      <c r="F54" s="105">
        <v>34939256.020000003</v>
      </c>
      <c r="G54" s="107">
        <f>Tabla2[[#This Row],[PRECIO TOT]]-Tabla2[[#This Row],[CT]]</f>
        <v>10796248.61786646</v>
      </c>
    </row>
    <row r="55" spans="1:7" x14ac:dyDescent="0.3">
      <c r="A55" s="102" t="s">
        <v>832</v>
      </c>
      <c r="B55" s="103">
        <v>2026</v>
      </c>
      <c r="C55" s="104" t="s">
        <v>576</v>
      </c>
      <c r="D55" s="105">
        <v>490</v>
      </c>
      <c r="E55" s="106">
        <v>13068963.895412657</v>
      </c>
      <c r="F55" s="105">
        <v>18532817.700000003</v>
      </c>
      <c r="G55" s="107">
        <f>Tabla2[[#This Row],[PRECIO TOT]]-Tabla2[[#This Row],[CT]]</f>
        <v>5463853.8045873456</v>
      </c>
    </row>
    <row r="56" spans="1:7" x14ac:dyDescent="0.3">
      <c r="A56" s="102" t="s">
        <v>832</v>
      </c>
      <c r="B56" s="103">
        <v>2026</v>
      </c>
      <c r="C56" s="104" t="s">
        <v>581</v>
      </c>
      <c r="D56" s="105">
        <v>4616</v>
      </c>
      <c r="E56" s="106">
        <v>101518717.98515826</v>
      </c>
      <c r="F56" s="105">
        <v>119617602.34</v>
      </c>
      <c r="G56" s="107">
        <f>Tabla2[[#This Row],[PRECIO TOT]]-Tabla2[[#This Row],[CT]]</f>
        <v>18098884.354841739</v>
      </c>
    </row>
    <row r="57" spans="1:7" x14ac:dyDescent="0.3">
      <c r="A57" s="102" t="s">
        <v>832</v>
      </c>
      <c r="B57" s="103">
        <v>2026</v>
      </c>
      <c r="C57" s="104" t="s">
        <v>584</v>
      </c>
      <c r="D57" s="105">
        <v>2272</v>
      </c>
      <c r="E57" s="106">
        <v>54373961.501544707</v>
      </c>
      <c r="F57" s="105">
        <v>64462404.410000004</v>
      </c>
      <c r="G57" s="107">
        <f>Tabla2[[#This Row],[PRECIO TOT]]-Tabla2[[#This Row],[CT]]</f>
        <v>10088442.908455297</v>
      </c>
    </row>
    <row r="58" spans="1:7" x14ac:dyDescent="0.3">
      <c r="A58" s="102" t="s">
        <v>832</v>
      </c>
      <c r="B58" s="103">
        <v>2026</v>
      </c>
      <c r="C58" s="104" t="s">
        <v>586</v>
      </c>
      <c r="D58" s="105">
        <v>1792</v>
      </c>
      <c r="E58" s="106">
        <v>40026573.151916504</v>
      </c>
      <c r="F58" s="105">
        <v>74354862.739999995</v>
      </c>
      <c r="G58" s="107">
        <f>Tabla2[[#This Row],[PRECIO TOT]]-Tabla2[[#This Row],[CT]]</f>
        <v>34328289.588083491</v>
      </c>
    </row>
    <row r="59" spans="1:7" x14ac:dyDescent="0.3">
      <c r="A59" s="102" t="s">
        <v>832</v>
      </c>
      <c r="B59" s="103">
        <v>2026</v>
      </c>
      <c r="C59" s="104" t="s">
        <v>575</v>
      </c>
      <c r="D59" s="105">
        <v>2038</v>
      </c>
      <c r="E59" s="106">
        <v>61072543.19369968</v>
      </c>
      <c r="F59" s="105">
        <v>100108407.89</v>
      </c>
      <c r="G59" s="107">
        <f>Tabla2[[#This Row],[PRECIO TOT]]-Tabla2[[#This Row],[CT]]</f>
        <v>39035864.69630032</v>
      </c>
    </row>
    <row r="60" spans="1:7" x14ac:dyDescent="0.3">
      <c r="A60" s="102" t="s">
        <v>832</v>
      </c>
      <c r="B60" s="103">
        <v>2026</v>
      </c>
      <c r="C60" s="104" t="s">
        <v>578</v>
      </c>
      <c r="D60" s="105">
        <v>233144</v>
      </c>
      <c r="E60" s="106">
        <v>39241382.033677243</v>
      </c>
      <c r="F60" s="105">
        <v>55628925.220000006</v>
      </c>
      <c r="G60" s="107">
        <f>Tabla2[[#This Row],[PRECIO TOT]]-Tabla2[[#This Row],[CT]]</f>
        <v>16387543.186322764</v>
      </c>
    </row>
    <row r="61" spans="1:7" x14ac:dyDescent="0.3">
      <c r="A61" s="102" t="s">
        <v>832</v>
      </c>
      <c r="B61" s="103">
        <v>2026</v>
      </c>
      <c r="C61" s="104" t="s">
        <v>572</v>
      </c>
      <c r="D61" s="105">
        <v>36909</v>
      </c>
      <c r="E61" s="106">
        <v>246908146.19288734</v>
      </c>
      <c r="F61" s="105">
        <v>326174919.75999999</v>
      </c>
      <c r="G61" s="107">
        <f>Tabla2[[#This Row],[PRECIO TOT]]-Tabla2[[#This Row],[CT]]</f>
        <v>79266773.567112654</v>
      </c>
    </row>
    <row r="62" spans="1:7" x14ac:dyDescent="0.3">
      <c r="A62" s="102" t="s">
        <v>832</v>
      </c>
      <c r="B62" s="103">
        <v>2026</v>
      </c>
      <c r="C62" s="108" t="s">
        <v>590</v>
      </c>
      <c r="D62" s="109">
        <v>1491</v>
      </c>
      <c r="E62" s="110">
        <v>149274760.11101389</v>
      </c>
      <c r="F62" s="109">
        <v>167971066.03999999</v>
      </c>
      <c r="G62" s="111">
        <f>Tabla2[[#This Row],[PRECIO TOT]]-Tabla2[[#This Row],[CT]]</f>
        <v>18696305.928986102</v>
      </c>
    </row>
    <row r="63" spans="1:7" x14ac:dyDescent="0.3">
      <c r="A63" s="102" t="s">
        <v>1105</v>
      </c>
      <c r="B63" s="103">
        <v>2025</v>
      </c>
      <c r="C63" s="104" t="s">
        <v>596</v>
      </c>
      <c r="D63" s="105">
        <v>36116</v>
      </c>
      <c r="E63" s="106">
        <v>3721508.7023675209</v>
      </c>
      <c r="F63" s="105">
        <v>10096580.470000001</v>
      </c>
      <c r="G63" s="107">
        <v>6375071.7676324798</v>
      </c>
    </row>
    <row r="64" spans="1:7" x14ac:dyDescent="0.3">
      <c r="A64" s="102" t="s">
        <v>1105</v>
      </c>
      <c r="B64" s="103">
        <v>2025</v>
      </c>
      <c r="C64" s="104" t="s">
        <v>574</v>
      </c>
      <c r="D64" s="105">
        <v>1230400</v>
      </c>
      <c r="E64" s="106">
        <v>82581988.643879563</v>
      </c>
      <c r="F64" s="105">
        <v>138478545.32999998</v>
      </c>
      <c r="G64" s="107">
        <v>55896556.686120421</v>
      </c>
    </row>
    <row r="65" spans="1:7" x14ac:dyDescent="0.3">
      <c r="A65" s="102" t="s">
        <v>1105</v>
      </c>
      <c r="B65" s="103">
        <v>2025</v>
      </c>
      <c r="C65" s="104" t="s">
        <v>595</v>
      </c>
      <c r="D65" s="105">
        <v>371</v>
      </c>
      <c r="E65" s="106">
        <v>32208722.262654323</v>
      </c>
      <c r="F65" s="105">
        <v>66007069.460000001</v>
      </c>
      <c r="G65" s="107">
        <v>33798347.197345674</v>
      </c>
    </row>
    <row r="66" spans="1:7" x14ac:dyDescent="0.3">
      <c r="A66" s="102" t="s">
        <v>1105</v>
      </c>
      <c r="B66" s="103">
        <v>2025</v>
      </c>
      <c r="C66" s="104" t="s">
        <v>577</v>
      </c>
      <c r="D66" s="105">
        <v>13582</v>
      </c>
      <c r="E66" s="106">
        <v>184052686.2819933</v>
      </c>
      <c r="F66" s="105">
        <v>371605229.91000015</v>
      </c>
      <c r="G66" s="107">
        <v>187552543.62800685</v>
      </c>
    </row>
    <row r="67" spans="1:7" x14ac:dyDescent="0.3">
      <c r="A67" s="102" t="s">
        <v>1105</v>
      </c>
      <c r="B67" s="103">
        <v>2025</v>
      </c>
      <c r="C67" s="104" t="s">
        <v>571</v>
      </c>
      <c r="D67" s="105">
        <v>914180</v>
      </c>
      <c r="E67" s="106">
        <v>240385046.90544137</v>
      </c>
      <c r="F67" s="105">
        <v>347694846.98000002</v>
      </c>
      <c r="G67" s="107">
        <v>107309800.07455865</v>
      </c>
    </row>
    <row r="68" spans="1:7" x14ac:dyDescent="0.3">
      <c r="A68" s="102" t="s">
        <v>1105</v>
      </c>
      <c r="B68" s="103">
        <v>2025</v>
      </c>
      <c r="C68" s="104" t="s">
        <v>591</v>
      </c>
      <c r="D68" s="105">
        <v>57150</v>
      </c>
      <c r="E68" s="106">
        <v>15327233.048995091</v>
      </c>
      <c r="F68" s="105">
        <v>24267870.640000001</v>
      </c>
      <c r="G68" s="107">
        <v>8940637.5910049099</v>
      </c>
    </row>
    <row r="69" spans="1:7" x14ac:dyDescent="0.3">
      <c r="A69" s="102" t="s">
        <v>1105</v>
      </c>
      <c r="B69" s="103">
        <v>2025</v>
      </c>
      <c r="C69" s="104" t="s">
        <v>594</v>
      </c>
      <c r="D69" s="105">
        <v>846</v>
      </c>
      <c r="E69" s="106">
        <v>14896653.539254108</v>
      </c>
      <c r="F69" s="105">
        <v>37654274.43</v>
      </c>
      <c r="G69" s="107">
        <v>22757620.890745893</v>
      </c>
    </row>
    <row r="70" spans="1:7" x14ac:dyDescent="0.3">
      <c r="A70" s="102" t="s">
        <v>1105</v>
      </c>
      <c r="B70" s="103">
        <v>2025</v>
      </c>
      <c r="C70" s="104" t="s">
        <v>579</v>
      </c>
      <c r="D70" s="105">
        <v>21777</v>
      </c>
      <c r="E70" s="106">
        <v>98362230.716354251</v>
      </c>
      <c r="F70" s="105">
        <v>109664455.86999999</v>
      </c>
      <c r="G70" s="107">
        <v>11302225.153645739</v>
      </c>
    </row>
    <row r="71" spans="1:7" x14ac:dyDescent="0.3">
      <c r="A71" s="102" t="s">
        <v>1105</v>
      </c>
      <c r="B71" s="103">
        <v>2025</v>
      </c>
      <c r="C71" s="104" t="s">
        <v>597</v>
      </c>
      <c r="D71" s="105">
        <v>22</v>
      </c>
      <c r="E71" s="106">
        <v>1399968.3615519232</v>
      </c>
      <c r="F71" s="105">
        <v>2998134.39</v>
      </c>
      <c r="G71" s="107">
        <v>1598166.0284480769</v>
      </c>
    </row>
    <row r="72" spans="1:7" x14ac:dyDescent="0.3">
      <c r="A72" s="102" t="s">
        <v>1105</v>
      </c>
      <c r="B72" s="103">
        <v>2025</v>
      </c>
      <c r="C72" s="104" t="s">
        <v>600</v>
      </c>
      <c r="D72" s="105">
        <v>109</v>
      </c>
      <c r="E72" s="106">
        <v>1123172.3684673016</v>
      </c>
      <c r="F72" s="105">
        <v>1806098.98</v>
      </c>
      <c r="G72" s="107">
        <v>682926.61153269839</v>
      </c>
    </row>
    <row r="73" spans="1:7" x14ac:dyDescent="0.3">
      <c r="A73" s="102" t="s">
        <v>1105</v>
      </c>
      <c r="B73" s="103">
        <v>2025</v>
      </c>
      <c r="C73" s="104" t="s">
        <v>570</v>
      </c>
      <c r="D73" s="105">
        <v>7869</v>
      </c>
      <c r="E73" s="106">
        <v>213593876.18251291</v>
      </c>
      <c r="F73" s="105">
        <v>513952472</v>
      </c>
      <c r="G73" s="107">
        <v>300358595.81748712</v>
      </c>
    </row>
    <row r="74" spans="1:7" x14ac:dyDescent="0.3">
      <c r="A74" s="102" t="s">
        <v>1105</v>
      </c>
      <c r="B74" s="103">
        <v>2025</v>
      </c>
      <c r="C74" s="104" t="s">
        <v>580</v>
      </c>
      <c r="D74" s="105">
        <v>2580</v>
      </c>
      <c r="E74" s="106">
        <v>96092820.297972351</v>
      </c>
      <c r="F74" s="105">
        <v>195190713.46000004</v>
      </c>
      <c r="G74" s="107">
        <v>99097893.162027687</v>
      </c>
    </row>
    <row r="75" spans="1:7" x14ac:dyDescent="0.3">
      <c r="A75" s="102" t="s">
        <v>1105</v>
      </c>
      <c r="B75" s="103">
        <v>2025</v>
      </c>
      <c r="C75" s="104" t="s">
        <v>585</v>
      </c>
      <c r="D75" s="105">
        <v>1348</v>
      </c>
      <c r="E75" s="106">
        <v>53137940.896118514</v>
      </c>
      <c r="F75" s="105">
        <v>106518654.56</v>
      </c>
      <c r="G75" s="107">
        <v>53380713.663881488</v>
      </c>
    </row>
    <row r="76" spans="1:7" x14ac:dyDescent="0.3">
      <c r="A76" s="102" t="s">
        <v>1105</v>
      </c>
      <c r="B76" s="103">
        <v>2025</v>
      </c>
      <c r="C76" s="104" t="s">
        <v>573</v>
      </c>
      <c r="D76" s="105">
        <v>3951</v>
      </c>
      <c r="E76" s="106">
        <v>218364975.81995183</v>
      </c>
      <c r="F76" s="105">
        <v>363160800.55999994</v>
      </c>
      <c r="G76" s="107">
        <v>144795824.74004811</v>
      </c>
    </row>
    <row r="77" spans="1:7" x14ac:dyDescent="0.3">
      <c r="A77" s="102" t="s">
        <v>1105</v>
      </c>
      <c r="B77" s="103">
        <v>2025</v>
      </c>
      <c r="C77" s="104" t="s">
        <v>592</v>
      </c>
      <c r="D77" s="105">
        <v>633</v>
      </c>
      <c r="E77" s="106">
        <v>40804244.559907138</v>
      </c>
      <c r="F77" s="105">
        <v>67511766.479999989</v>
      </c>
      <c r="G77" s="107">
        <v>26707521.920092851</v>
      </c>
    </row>
    <row r="78" spans="1:7" x14ac:dyDescent="0.3">
      <c r="A78" s="102" t="s">
        <v>1105</v>
      </c>
      <c r="B78" s="103">
        <v>2025</v>
      </c>
      <c r="C78" s="104" t="s">
        <v>587</v>
      </c>
      <c r="D78" s="105">
        <v>665</v>
      </c>
      <c r="E78" s="106">
        <v>60649117.182832882</v>
      </c>
      <c r="F78" s="105">
        <v>141884234.01000002</v>
      </c>
      <c r="G78" s="107">
        <v>81235116.827167138</v>
      </c>
    </row>
    <row r="79" spans="1:7" x14ac:dyDescent="0.3">
      <c r="A79" s="102" t="s">
        <v>1105</v>
      </c>
      <c r="B79" s="103">
        <v>2025</v>
      </c>
      <c r="C79" s="104" t="s">
        <v>583</v>
      </c>
      <c r="D79" s="105">
        <v>2396</v>
      </c>
      <c r="E79" s="106">
        <v>344548058.42878336</v>
      </c>
      <c r="F79" s="105">
        <v>598573133.25999999</v>
      </c>
      <c r="G79" s="107">
        <v>254025074.83121663</v>
      </c>
    </row>
    <row r="80" spans="1:7" x14ac:dyDescent="0.3">
      <c r="A80" s="102" t="s">
        <v>1105</v>
      </c>
      <c r="B80" s="103">
        <v>2025</v>
      </c>
      <c r="C80" s="104" t="s">
        <v>589</v>
      </c>
      <c r="D80" s="105">
        <v>1462</v>
      </c>
      <c r="E80" s="106">
        <v>28972602.047799829</v>
      </c>
      <c r="F80" s="105">
        <v>50858602.079999998</v>
      </c>
      <c r="G80" s="107">
        <v>21886000.032200169</v>
      </c>
    </row>
    <row r="81" spans="1:7" x14ac:dyDescent="0.3">
      <c r="A81" s="102" t="s">
        <v>1105</v>
      </c>
      <c r="B81" s="103">
        <v>2025</v>
      </c>
      <c r="C81" s="104" t="s">
        <v>582</v>
      </c>
      <c r="D81" s="105">
        <v>11980</v>
      </c>
      <c r="E81" s="106">
        <v>159397416.41766015</v>
      </c>
      <c r="F81" s="105">
        <v>240364293.85000002</v>
      </c>
      <c r="G81" s="107">
        <v>80966877.432339877</v>
      </c>
    </row>
    <row r="82" spans="1:7" x14ac:dyDescent="0.3">
      <c r="A82" s="102" t="s">
        <v>1105</v>
      </c>
      <c r="B82" s="103">
        <v>2025</v>
      </c>
      <c r="C82" s="104" t="s">
        <v>593</v>
      </c>
      <c r="D82" s="105">
        <v>1513</v>
      </c>
      <c r="E82" s="106">
        <v>21683055.479127914</v>
      </c>
      <c r="F82" s="105">
        <v>37042645.93</v>
      </c>
      <c r="G82" s="107">
        <v>15359590.450872086</v>
      </c>
    </row>
    <row r="83" spans="1:7" x14ac:dyDescent="0.3">
      <c r="A83" s="102" t="s">
        <v>1105</v>
      </c>
      <c r="B83" s="103">
        <v>2025</v>
      </c>
      <c r="C83" s="104" t="s">
        <v>576</v>
      </c>
      <c r="D83" s="105">
        <v>4659</v>
      </c>
      <c r="E83" s="106">
        <v>122814307.93294922</v>
      </c>
      <c r="F83" s="105">
        <v>161010508.95999998</v>
      </c>
      <c r="G83" s="107">
        <v>38196201.027050763</v>
      </c>
    </row>
    <row r="84" spans="1:7" x14ac:dyDescent="0.3">
      <c r="A84" s="102" t="s">
        <v>1105</v>
      </c>
      <c r="B84" s="103">
        <v>2025</v>
      </c>
      <c r="C84" s="104" t="s">
        <v>581</v>
      </c>
      <c r="D84" s="105">
        <v>8907</v>
      </c>
      <c r="E84" s="106">
        <v>158216496.95670727</v>
      </c>
      <c r="F84" s="105">
        <v>205570679.55999997</v>
      </c>
      <c r="G84" s="107">
        <v>47354182.603292704</v>
      </c>
    </row>
    <row r="85" spans="1:7" x14ac:dyDescent="0.3">
      <c r="A85" s="102" t="s">
        <v>1105</v>
      </c>
      <c r="B85" s="103">
        <v>2025</v>
      </c>
      <c r="C85" s="104" t="s">
        <v>584</v>
      </c>
      <c r="D85" s="105">
        <v>3337</v>
      </c>
      <c r="E85" s="106">
        <v>69859616.523094043</v>
      </c>
      <c r="F85" s="105">
        <v>88931640.519999996</v>
      </c>
      <c r="G85" s="107">
        <v>19072023.996905953</v>
      </c>
    </row>
    <row r="86" spans="1:7" x14ac:dyDescent="0.3">
      <c r="A86" s="102" t="s">
        <v>1105</v>
      </c>
      <c r="B86" s="103">
        <v>2025</v>
      </c>
      <c r="C86" s="104" t="s">
        <v>586</v>
      </c>
      <c r="D86" s="105">
        <v>1902</v>
      </c>
      <c r="E86" s="106">
        <v>37092669.406881392</v>
      </c>
      <c r="F86" s="105">
        <v>76627801.25</v>
      </c>
      <c r="G86" s="107">
        <v>39535131.843118608</v>
      </c>
    </row>
    <row r="87" spans="1:7" x14ac:dyDescent="0.3">
      <c r="A87" s="102" t="s">
        <v>1105</v>
      </c>
      <c r="B87" s="103">
        <v>2025</v>
      </c>
      <c r="C87" s="104" t="s">
        <v>575</v>
      </c>
      <c r="D87" s="105">
        <v>3131</v>
      </c>
      <c r="E87" s="106">
        <v>97202440.112323135</v>
      </c>
      <c r="F87" s="105">
        <v>144462260.40000001</v>
      </c>
      <c r="G87" s="107">
        <v>47259820.287676871</v>
      </c>
    </row>
    <row r="88" spans="1:7" x14ac:dyDescent="0.3">
      <c r="A88" s="102" t="s">
        <v>1105</v>
      </c>
      <c r="B88" s="103">
        <v>2025</v>
      </c>
      <c r="C88" s="104" t="s">
        <v>578</v>
      </c>
      <c r="D88" s="105">
        <v>309281</v>
      </c>
      <c r="E88" s="106">
        <v>35450344.982784435</v>
      </c>
      <c r="F88" s="105">
        <v>73909003.62000002</v>
      </c>
      <c r="G88" s="107">
        <v>38458658.637215585</v>
      </c>
    </row>
    <row r="89" spans="1:7" x14ac:dyDescent="0.3">
      <c r="A89" s="102" t="s">
        <v>1105</v>
      </c>
      <c r="B89" s="103">
        <v>2025</v>
      </c>
      <c r="C89" s="104" t="s">
        <v>588</v>
      </c>
      <c r="D89" s="105">
        <v>10</v>
      </c>
      <c r="E89" s="106">
        <v>30000000</v>
      </c>
      <c r="F89" s="105">
        <v>32400000</v>
      </c>
      <c r="G89" s="107">
        <v>2400000</v>
      </c>
    </row>
    <row r="90" spans="1:7" x14ac:dyDescent="0.3">
      <c r="A90" s="102" t="s">
        <v>1105</v>
      </c>
      <c r="B90" s="103">
        <v>2025</v>
      </c>
      <c r="C90" s="104" t="s">
        <v>572</v>
      </c>
      <c r="D90" s="105">
        <v>36619</v>
      </c>
      <c r="E90" s="106">
        <v>269854967.86504239</v>
      </c>
      <c r="F90" s="105">
        <v>342552650.00999999</v>
      </c>
      <c r="G90" s="107">
        <v>72697682.144957602</v>
      </c>
    </row>
    <row r="91" spans="1:7" x14ac:dyDescent="0.3">
      <c r="A91" s="154" t="s">
        <v>1105</v>
      </c>
      <c r="B91" s="155">
        <v>2025</v>
      </c>
      <c r="C91" s="108" t="s">
        <v>590</v>
      </c>
      <c r="D91" s="109">
        <v>295</v>
      </c>
      <c r="E91" s="110">
        <v>34433525.176546723</v>
      </c>
      <c r="F91" s="109">
        <v>39498600</v>
      </c>
      <c r="G91" s="111">
        <v>5065074.8234532773</v>
      </c>
    </row>
    <row r="92" spans="1:7" x14ac:dyDescent="0.3">
      <c r="A92" s="154" t="s">
        <v>1105</v>
      </c>
      <c r="B92" s="103">
        <v>2026</v>
      </c>
      <c r="C92" s="104" t="s">
        <v>596</v>
      </c>
      <c r="D92" s="105">
        <v>13349</v>
      </c>
      <c r="E92" s="106">
        <v>5663945.8485291936</v>
      </c>
      <c r="F92" s="105">
        <v>8687211.5899999999</v>
      </c>
      <c r="G92" s="107">
        <f>Tabla2[[#This Row],[PRECIO TOT]]-Tabla2[[#This Row],[CT]]</f>
        <v>3023265.7414708063</v>
      </c>
    </row>
    <row r="93" spans="1:7" x14ac:dyDescent="0.3">
      <c r="A93" s="154" t="s">
        <v>1105</v>
      </c>
      <c r="B93" s="103">
        <v>2026</v>
      </c>
      <c r="C93" s="104" t="s">
        <v>574</v>
      </c>
      <c r="D93" s="105">
        <v>1373894</v>
      </c>
      <c r="E93" s="106">
        <v>145743819.06770176</v>
      </c>
      <c r="F93" s="105">
        <v>158055980.29000002</v>
      </c>
      <c r="G93" s="107">
        <f>Tabla2[[#This Row],[PRECIO TOT]]-Tabla2[[#This Row],[CT]]</f>
        <v>12312161.222298265</v>
      </c>
    </row>
    <row r="94" spans="1:7" x14ac:dyDescent="0.3">
      <c r="A94" s="154" t="s">
        <v>1105</v>
      </c>
      <c r="B94" s="103">
        <v>2026</v>
      </c>
      <c r="C94" s="104" t="s">
        <v>595</v>
      </c>
      <c r="D94" s="105">
        <v>338</v>
      </c>
      <c r="E94" s="106">
        <v>30467384.452867527</v>
      </c>
      <c r="F94" s="105">
        <v>53844460.039999999</v>
      </c>
      <c r="G94" s="107">
        <f>Tabla2[[#This Row],[PRECIO TOT]]-Tabla2[[#This Row],[CT]]</f>
        <v>23377075.587132473</v>
      </c>
    </row>
    <row r="95" spans="1:7" x14ac:dyDescent="0.3">
      <c r="A95" s="154" t="s">
        <v>1105</v>
      </c>
      <c r="B95" s="103">
        <v>2026</v>
      </c>
      <c r="C95" s="104" t="s">
        <v>577</v>
      </c>
      <c r="D95" s="105">
        <v>11564</v>
      </c>
      <c r="E95" s="106">
        <v>178005327.25228763</v>
      </c>
      <c r="F95" s="105">
        <v>336495015.67999995</v>
      </c>
      <c r="G95" s="107">
        <f>Tabla2[[#This Row],[PRECIO TOT]]-Tabla2[[#This Row],[CT]]</f>
        <v>158489688.42771232</v>
      </c>
    </row>
    <row r="96" spans="1:7" x14ac:dyDescent="0.3">
      <c r="A96" s="154" t="s">
        <v>1105</v>
      </c>
      <c r="B96" s="103">
        <v>2026</v>
      </c>
      <c r="C96" s="104" t="s">
        <v>571</v>
      </c>
      <c r="D96" s="105">
        <v>1055160</v>
      </c>
      <c r="E96" s="106">
        <v>349401691.80857939</v>
      </c>
      <c r="F96" s="105">
        <v>416377408.72999996</v>
      </c>
      <c r="G96" s="107">
        <f>Tabla2[[#This Row],[PRECIO TOT]]-Tabla2[[#This Row],[CT]]</f>
        <v>66975716.921420574</v>
      </c>
    </row>
    <row r="97" spans="1:7" x14ac:dyDescent="0.3">
      <c r="A97" s="154" t="s">
        <v>1105</v>
      </c>
      <c r="B97" s="103">
        <v>2026</v>
      </c>
      <c r="C97" s="104" t="s">
        <v>591</v>
      </c>
      <c r="D97" s="105">
        <v>110700</v>
      </c>
      <c r="E97" s="106">
        <v>39661159.27663897</v>
      </c>
      <c r="F97" s="105">
        <v>50256289.809999995</v>
      </c>
      <c r="G97" s="107">
        <f>Tabla2[[#This Row],[PRECIO TOT]]-Tabla2[[#This Row],[CT]]</f>
        <v>10595130.533361025</v>
      </c>
    </row>
    <row r="98" spans="1:7" x14ac:dyDescent="0.3">
      <c r="A98" s="154" t="s">
        <v>1105</v>
      </c>
      <c r="B98" s="103">
        <v>2026</v>
      </c>
      <c r="C98" s="104" t="s">
        <v>594</v>
      </c>
      <c r="D98" s="105">
        <v>1206</v>
      </c>
      <c r="E98" s="106">
        <v>19625770.933307782</v>
      </c>
      <c r="F98" s="105">
        <v>51419334.270000011</v>
      </c>
      <c r="G98" s="107">
        <f>Tabla2[[#This Row],[PRECIO TOT]]-Tabla2[[#This Row],[CT]]</f>
        <v>31793563.336692229</v>
      </c>
    </row>
    <row r="99" spans="1:7" x14ac:dyDescent="0.3">
      <c r="A99" s="154" t="s">
        <v>1105</v>
      </c>
      <c r="B99" s="103">
        <v>2026</v>
      </c>
      <c r="C99" s="104" t="s">
        <v>579</v>
      </c>
      <c r="D99" s="105">
        <v>24660</v>
      </c>
      <c r="E99" s="106">
        <v>118821230.37348884</v>
      </c>
      <c r="F99" s="105">
        <v>122807639.84</v>
      </c>
      <c r="G99" s="107">
        <f>Tabla2[[#This Row],[PRECIO TOT]]-Tabla2[[#This Row],[CT]]</f>
        <v>3986409.4665111601</v>
      </c>
    </row>
    <row r="100" spans="1:7" x14ac:dyDescent="0.3">
      <c r="A100" s="154" t="s">
        <v>1105</v>
      </c>
      <c r="B100" s="103">
        <v>2026</v>
      </c>
      <c r="C100" s="104" t="s">
        <v>599</v>
      </c>
      <c r="D100" s="105">
        <v>777.3</v>
      </c>
      <c r="E100" s="106">
        <v>0</v>
      </c>
      <c r="F100" s="105">
        <v>13480770</v>
      </c>
      <c r="G100" s="107">
        <f>Tabla2[[#This Row],[PRECIO TOT]]-Tabla2[[#This Row],[CT]]</f>
        <v>13480770</v>
      </c>
    </row>
    <row r="101" spans="1:7" x14ac:dyDescent="0.3">
      <c r="A101" s="154" t="s">
        <v>1105</v>
      </c>
      <c r="B101" s="103">
        <v>2026</v>
      </c>
      <c r="C101" s="104" t="s">
        <v>597</v>
      </c>
      <c r="D101" s="105">
        <v>66</v>
      </c>
      <c r="E101" s="106">
        <v>2423772.7071527615</v>
      </c>
      <c r="F101" s="105">
        <v>4432290.83</v>
      </c>
      <c r="G101" s="107">
        <f>Tabla2[[#This Row],[PRECIO TOT]]-Tabla2[[#This Row],[CT]]</f>
        <v>2008518.1228472386</v>
      </c>
    </row>
    <row r="102" spans="1:7" x14ac:dyDescent="0.3">
      <c r="A102" s="154" t="s">
        <v>1105</v>
      </c>
      <c r="B102" s="103">
        <v>2026</v>
      </c>
      <c r="C102" s="104" t="s">
        <v>600</v>
      </c>
      <c r="D102" s="105">
        <v>128</v>
      </c>
      <c r="E102" s="106">
        <v>1799024.0120178675</v>
      </c>
      <c r="F102" s="105">
        <v>2767579.91</v>
      </c>
      <c r="G102" s="107">
        <f>Tabla2[[#This Row],[PRECIO TOT]]-Tabla2[[#This Row],[CT]]</f>
        <v>968555.89798213262</v>
      </c>
    </row>
    <row r="103" spans="1:7" x14ac:dyDescent="0.3">
      <c r="A103" s="154" t="s">
        <v>1105</v>
      </c>
      <c r="B103" s="103">
        <v>2026</v>
      </c>
      <c r="C103" s="104" t="s">
        <v>570</v>
      </c>
      <c r="D103" s="105">
        <v>5402</v>
      </c>
      <c r="E103" s="106">
        <v>190672762.16844845</v>
      </c>
      <c r="F103" s="105">
        <v>383422800</v>
      </c>
      <c r="G103" s="107">
        <f>Tabla2[[#This Row],[PRECIO TOT]]-Tabla2[[#This Row],[CT]]</f>
        <v>192750037.83155155</v>
      </c>
    </row>
    <row r="104" spans="1:7" x14ac:dyDescent="0.3">
      <c r="A104" s="154" t="s">
        <v>1105</v>
      </c>
      <c r="B104" s="103">
        <v>2026</v>
      </c>
      <c r="C104" s="104" t="s">
        <v>598</v>
      </c>
      <c r="D104" s="105">
        <v>259</v>
      </c>
      <c r="E104" s="106">
        <v>8114502.0227617566</v>
      </c>
      <c r="F104" s="105">
        <v>9595042.0600000005</v>
      </c>
      <c r="G104" s="107">
        <f>Tabla2[[#This Row],[PRECIO TOT]]-Tabla2[[#This Row],[CT]]</f>
        <v>1480540.037238244</v>
      </c>
    </row>
    <row r="105" spans="1:7" x14ac:dyDescent="0.3">
      <c r="A105" s="154" t="s">
        <v>1105</v>
      </c>
      <c r="B105" s="103">
        <v>2026</v>
      </c>
      <c r="C105" s="104" t="s">
        <v>580</v>
      </c>
      <c r="D105" s="105">
        <v>3375</v>
      </c>
      <c r="E105" s="106">
        <v>145657110.85967672</v>
      </c>
      <c r="F105" s="105">
        <v>280440857.15000004</v>
      </c>
      <c r="G105" s="107">
        <f>Tabla2[[#This Row],[PRECIO TOT]]-Tabla2[[#This Row],[CT]]</f>
        <v>134783746.29032332</v>
      </c>
    </row>
    <row r="106" spans="1:7" x14ac:dyDescent="0.3">
      <c r="A106" s="154" t="s">
        <v>1105</v>
      </c>
      <c r="B106" s="103">
        <v>2026</v>
      </c>
      <c r="C106" s="104" t="s">
        <v>585</v>
      </c>
      <c r="D106" s="105">
        <v>1184</v>
      </c>
      <c r="E106" s="106">
        <v>54980147.867203571</v>
      </c>
      <c r="F106" s="105">
        <v>110396803.59</v>
      </c>
      <c r="G106" s="107">
        <f>Tabla2[[#This Row],[PRECIO TOT]]-Tabla2[[#This Row],[CT]]</f>
        <v>55416655.722796433</v>
      </c>
    </row>
    <row r="107" spans="1:7" x14ac:dyDescent="0.3">
      <c r="A107" s="154" t="s">
        <v>1105</v>
      </c>
      <c r="B107" s="103">
        <v>2026</v>
      </c>
      <c r="C107" s="104" t="s">
        <v>573</v>
      </c>
      <c r="D107" s="105">
        <v>4861</v>
      </c>
      <c r="E107" s="106">
        <v>268495124.94350421</v>
      </c>
      <c r="F107" s="105">
        <v>463491521.47999996</v>
      </c>
      <c r="G107" s="107">
        <f>Tabla2[[#This Row],[PRECIO TOT]]-Tabla2[[#This Row],[CT]]</f>
        <v>194996396.53649575</v>
      </c>
    </row>
    <row r="108" spans="1:7" x14ac:dyDescent="0.3">
      <c r="A108" s="154" t="s">
        <v>1105</v>
      </c>
      <c r="B108" s="103">
        <v>2026</v>
      </c>
      <c r="C108" s="104" t="s">
        <v>592</v>
      </c>
      <c r="D108" s="105">
        <v>746</v>
      </c>
      <c r="E108" s="106">
        <v>48714155.440570861</v>
      </c>
      <c r="F108" s="105">
        <v>83027328.390000001</v>
      </c>
      <c r="G108" s="107">
        <f>Tabla2[[#This Row],[PRECIO TOT]]-Tabla2[[#This Row],[CT]]</f>
        <v>34313172.949429139</v>
      </c>
    </row>
    <row r="109" spans="1:7" x14ac:dyDescent="0.3">
      <c r="A109" s="154" t="s">
        <v>1105</v>
      </c>
      <c r="B109" s="103">
        <v>2026</v>
      </c>
      <c r="C109" s="104" t="s">
        <v>587</v>
      </c>
      <c r="D109" s="105">
        <v>899</v>
      </c>
      <c r="E109" s="106">
        <v>112844233.16903055</v>
      </c>
      <c r="F109" s="105">
        <v>188864440.35999998</v>
      </c>
      <c r="G109" s="107">
        <f>Tabla2[[#This Row],[PRECIO TOT]]-Tabla2[[#This Row],[CT]]</f>
        <v>76020207.190969437</v>
      </c>
    </row>
    <row r="110" spans="1:7" x14ac:dyDescent="0.3">
      <c r="A110" s="154" t="s">
        <v>1105</v>
      </c>
      <c r="B110" s="103">
        <v>2026</v>
      </c>
      <c r="C110" s="104" t="s">
        <v>583</v>
      </c>
      <c r="D110" s="105">
        <v>2809</v>
      </c>
      <c r="E110" s="106">
        <v>439318687.48813313</v>
      </c>
      <c r="F110" s="105">
        <v>712638505.77000022</v>
      </c>
      <c r="G110" s="107">
        <f>Tabla2[[#This Row],[PRECIO TOT]]-Tabla2[[#This Row],[CT]]</f>
        <v>273319818.28186709</v>
      </c>
    </row>
    <row r="111" spans="1:7" x14ac:dyDescent="0.3">
      <c r="A111" s="154" t="s">
        <v>1105</v>
      </c>
      <c r="B111" s="103">
        <v>2026</v>
      </c>
      <c r="C111" s="104" t="s">
        <v>589</v>
      </c>
      <c r="D111" s="105">
        <v>769</v>
      </c>
      <c r="E111" s="106">
        <v>17262008.936039403</v>
      </c>
      <c r="F111" s="105">
        <v>30091481.299999997</v>
      </c>
      <c r="G111" s="107">
        <f>Tabla2[[#This Row],[PRECIO TOT]]-Tabla2[[#This Row],[CT]]</f>
        <v>12829472.363960594</v>
      </c>
    </row>
    <row r="112" spans="1:7" x14ac:dyDescent="0.3">
      <c r="A112" s="154" t="s">
        <v>1105</v>
      </c>
      <c r="B112" s="103">
        <v>2026</v>
      </c>
      <c r="C112" s="104" t="s">
        <v>582</v>
      </c>
      <c r="D112" s="105">
        <v>5713</v>
      </c>
      <c r="E112" s="106">
        <v>92476085.670610428</v>
      </c>
      <c r="F112" s="105">
        <v>132933229.22999999</v>
      </c>
      <c r="G112" s="107">
        <f>Tabla2[[#This Row],[PRECIO TOT]]-Tabla2[[#This Row],[CT]]</f>
        <v>40457143.559389561</v>
      </c>
    </row>
    <row r="113" spans="1:7" x14ac:dyDescent="0.3">
      <c r="A113" s="154" t="s">
        <v>1105</v>
      </c>
      <c r="B113" s="103">
        <v>2026</v>
      </c>
      <c r="C113" s="104" t="s">
        <v>593</v>
      </c>
      <c r="D113" s="105">
        <v>1374</v>
      </c>
      <c r="E113" s="106">
        <v>23947166.934696138</v>
      </c>
      <c r="F113" s="105">
        <v>33153085.82</v>
      </c>
      <c r="G113" s="107">
        <f>Tabla2[[#This Row],[PRECIO TOT]]-Tabla2[[#This Row],[CT]]</f>
        <v>9205918.8853038624</v>
      </c>
    </row>
    <row r="114" spans="1:7" x14ac:dyDescent="0.3">
      <c r="A114" s="154" t="s">
        <v>1105</v>
      </c>
      <c r="B114" s="103">
        <v>2026</v>
      </c>
      <c r="C114" s="104" t="s">
        <v>576</v>
      </c>
      <c r="D114" s="105">
        <v>4256</v>
      </c>
      <c r="E114" s="106">
        <v>102768571.32595272</v>
      </c>
      <c r="F114" s="105">
        <v>155854772.87</v>
      </c>
      <c r="G114" s="107">
        <f>Tabla2[[#This Row],[PRECIO TOT]]-Tabla2[[#This Row],[CT]]</f>
        <v>53086201.544047281</v>
      </c>
    </row>
    <row r="115" spans="1:7" x14ac:dyDescent="0.3">
      <c r="A115" s="154" t="s">
        <v>1105</v>
      </c>
      <c r="B115" s="103">
        <v>2026</v>
      </c>
      <c r="C115" s="104" t="s">
        <v>581</v>
      </c>
      <c r="D115" s="105">
        <v>8001</v>
      </c>
      <c r="E115" s="106">
        <v>141074948.78075966</v>
      </c>
      <c r="F115" s="105">
        <v>191768145.47</v>
      </c>
      <c r="G115" s="107">
        <f>Tabla2[[#This Row],[PRECIO TOT]]-Tabla2[[#This Row],[CT]]</f>
        <v>50693196.689240336</v>
      </c>
    </row>
    <row r="116" spans="1:7" x14ac:dyDescent="0.3">
      <c r="A116" s="154" t="s">
        <v>1105</v>
      </c>
      <c r="B116" s="103">
        <v>2026</v>
      </c>
      <c r="C116" s="104" t="s">
        <v>584</v>
      </c>
      <c r="D116" s="105">
        <v>2801</v>
      </c>
      <c r="E116" s="106">
        <v>59211685.13215255</v>
      </c>
      <c r="F116" s="105">
        <v>77312430.350000024</v>
      </c>
      <c r="G116" s="107">
        <f>Tabla2[[#This Row],[PRECIO TOT]]-Tabla2[[#This Row],[CT]]</f>
        <v>18100745.217847474</v>
      </c>
    </row>
    <row r="117" spans="1:7" x14ac:dyDescent="0.3">
      <c r="A117" s="154" t="s">
        <v>1105</v>
      </c>
      <c r="B117" s="103">
        <v>2026</v>
      </c>
      <c r="C117" s="104" t="s">
        <v>586</v>
      </c>
      <c r="D117" s="105">
        <v>1438</v>
      </c>
      <c r="E117" s="106">
        <v>31291379.195868809</v>
      </c>
      <c r="F117" s="105">
        <v>57244392.389999993</v>
      </c>
      <c r="G117" s="107">
        <f>Tabla2[[#This Row],[PRECIO TOT]]-Tabla2[[#This Row],[CT]]</f>
        <v>25953013.194131184</v>
      </c>
    </row>
    <row r="118" spans="1:7" x14ac:dyDescent="0.3">
      <c r="A118" s="154" t="s">
        <v>1105</v>
      </c>
      <c r="B118" s="103">
        <v>2026</v>
      </c>
      <c r="C118" s="104" t="s">
        <v>575</v>
      </c>
      <c r="D118" s="105">
        <v>2365</v>
      </c>
      <c r="E118" s="106">
        <v>71058573.209392652</v>
      </c>
      <c r="F118" s="105">
        <v>117087758.01000001</v>
      </c>
      <c r="G118" s="107">
        <f>Tabla2[[#This Row],[PRECIO TOT]]-Tabla2[[#This Row],[CT]]</f>
        <v>46029184.800607353</v>
      </c>
    </row>
    <row r="119" spans="1:7" x14ac:dyDescent="0.3">
      <c r="A119" s="154" t="s">
        <v>1105</v>
      </c>
      <c r="B119" s="103">
        <v>2026</v>
      </c>
      <c r="C119" s="104" t="s">
        <v>578</v>
      </c>
      <c r="D119" s="105">
        <v>346514</v>
      </c>
      <c r="E119" s="106">
        <v>58851511.867365554</v>
      </c>
      <c r="F119" s="105">
        <v>84156289.829999998</v>
      </c>
      <c r="G119" s="107">
        <f>Tabla2[[#This Row],[PRECIO TOT]]-Tabla2[[#This Row],[CT]]</f>
        <v>25304777.962634444</v>
      </c>
    </row>
    <row r="120" spans="1:7" x14ac:dyDescent="0.3">
      <c r="A120" s="154" t="s">
        <v>1105</v>
      </c>
      <c r="B120" s="103">
        <v>2026</v>
      </c>
      <c r="C120" s="104" t="s">
        <v>588</v>
      </c>
      <c r="D120" s="105">
        <v>3</v>
      </c>
      <c r="E120" s="106">
        <v>7520000</v>
      </c>
      <c r="F120" s="105">
        <v>11170000</v>
      </c>
      <c r="G120" s="107">
        <f>Tabla2[[#This Row],[PRECIO TOT]]-Tabla2[[#This Row],[CT]]</f>
        <v>3650000</v>
      </c>
    </row>
    <row r="121" spans="1:7" x14ac:dyDescent="0.3">
      <c r="A121" s="154" t="s">
        <v>1105</v>
      </c>
      <c r="B121" s="103">
        <v>2026</v>
      </c>
      <c r="C121" s="104" t="s">
        <v>572</v>
      </c>
      <c r="D121" s="105">
        <v>47066</v>
      </c>
      <c r="E121" s="106">
        <v>303816449.41315734</v>
      </c>
      <c r="F121" s="105">
        <v>408090759.99000001</v>
      </c>
      <c r="G121" s="107">
        <f>Tabla2[[#This Row],[PRECIO TOT]]-Tabla2[[#This Row],[CT]]</f>
        <v>104274310.57684267</v>
      </c>
    </row>
    <row r="122" spans="1:7" x14ac:dyDescent="0.3">
      <c r="A122" s="154" t="s">
        <v>1105</v>
      </c>
      <c r="B122" s="103">
        <v>2026</v>
      </c>
      <c r="C122" s="108" t="s">
        <v>590</v>
      </c>
      <c r="D122" s="109">
        <v>3627</v>
      </c>
      <c r="E122" s="110">
        <v>403594443.6956073</v>
      </c>
      <c r="F122" s="109">
        <v>436541651.95999998</v>
      </c>
      <c r="G122" s="111">
        <f>Tabla2[[#This Row],[PRECIO TOT]]-Tabla2[[#This Row],[CT]]</f>
        <v>32947208.264392674</v>
      </c>
    </row>
    <row r="123" spans="1:7" x14ac:dyDescent="0.3">
      <c r="A123" s="102" t="s">
        <v>1130</v>
      </c>
      <c r="B123" s="103">
        <v>2025</v>
      </c>
      <c r="C123" s="104" t="s">
        <v>596</v>
      </c>
      <c r="D123" s="105">
        <v>45450</v>
      </c>
      <c r="E123" s="106">
        <v>5282808.4288434032</v>
      </c>
      <c r="F123" s="105">
        <v>10537397.580000002</v>
      </c>
      <c r="G123" s="107">
        <v>5254589.1511565987</v>
      </c>
    </row>
    <row r="124" spans="1:7" x14ac:dyDescent="0.3">
      <c r="A124" s="102" t="s">
        <v>1130</v>
      </c>
      <c r="B124" s="103">
        <v>2025</v>
      </c>
      <c r="C124" s="104" t="s">
        <v>574</v>
      </c>
      <c r="D124" s="105">
        <v>1109000</v>
      </c>
      <c r="E124" s="106">
        <v>79622553.337666303</v>
      </c>
      <c r="F124" s="105">
        <v>123801634.53</v>
      </c>
      <c r="G124" s="107">
        <v>44179081.192333698</v>
      </c>
    </row>
    <row r="125" spans="1:7" x14ac:dyDescent="0.3">
      <c r="A125" s="102" t="s">
        <v>1130</v>
      </c>
      <c r="B125" s="103">
        <v>2025</v>
      </c>
      <c r="C125" s="104" t="s">
        <v>595</v>
      </c>
      <c r="D125" s="105">
        <v>200</v>
      </c>
      <c r="E125" s="106">
        <v>18972847.889265634</v>
      </c>
      <c r="F125" s="105">
        <v>36515971.039999999</v>
      </c>
      <c r="G125" s="107">
        <v>17543123.150734365</v>
      </c>
    </row>
    <row r="126" spans="1:7" x14ac:dyDescent="0.3">
      <c r="A126" s="102" t="s">
        <v>1130</v>
      </c>
      <c r="B126" s="103">
        <v>2025</v>
      </c>
      <c r="C126" s="104" t="s">
        <v>577</v>
      </c>
      <c r="D126" s="105">
        <v>12561</v>
      </c>
      <c r="E126" s="106">
        <v>185332739.39051485</v>
      </c>
      <c r="F126" s="105">
        <v>361003547.88000005</v>
      </c>
      <c r="G126" s="107">
        <v>175670808.4894852</v>
      </c>
    </row>
    <row r="127" spans="1:7" x14ac:dyDescent="0.3">
      <c r="A127" s="102" t="s">
        <v>1130</v>
      </c>
      <c r="B127" s="103">
        <v>2025</v>
      </c>
      <c r="C127" s="104" t="s">
        <v>571</v>
      </c>
      <c r="D127" s="105">
        <v>837160</v>
      </c>
      <c r="E127" s="106">
        <v>230896663.5956693</v>
      </c>
      <c r="F127" s="105">
        <v>323550346.83999997</v>
      </c>
      <c r="G127" s="107">
        <v>92653683.244330674</v>
      </c>
    </row>
    <row r="128" spans="1:7" x14ac:dyDescent="0.3">
      <c r="A128" s="102" t="s">
        <v>1130</v>
      </c>
      <c r="B128" s="103">
        <v>2025</v>
      </c>
      <c r="C128" s="104" t="s">
        <v>591</v>
      </c>
      <c r="D128" s="105">
        <v>97120</v>
      </c>
      <c r="E128" s="106">
        <v>30713275.479111619</v>
      </c>
      <c r="F128" s="105">
        <v>43772017.030000001</v>
      </c>
      <c r="G128" s="107">
        <v>13058741.550888382</v>
      </c>
    </row>
    <row r="129" spans="1:7" x14ac:dyDescent="0.3">
      <c r="A129" s="102" t="s">
        <v>1130</v>
      </c>
      <c r="B129" s="103">
        <v>2025</v>
      </c>
      <c r="C129" s="104" t="s">
        <v>594</v>
      </c>
      <c r="D129" s="105">
        <v>410</v>
      </c>
      <c r="E129" s="106">
        <v>8254871.9269525046</v>
      </c>
      <c r="F129" s="105">
        <v>19058079.140000001</v>
      </c>
      <c r="G129" s="107">
        <v>10803207.213047497</v>
      </c>
    </row>
    <row r="130" spans="1:7" x14ac:dyDescent="0.3">
      <c r="A130" s="102" t="s">
        <v>1130</v>
      </c>
      <c r="B130" s="103">
        <v>2025</v>
      </c>
      <c r="C130" s="104" t="s">
        <v>579</v>
      </c>
      <c r="D130" s="105">
        <v>37911</v>
      </c>
      <c r="E130" s="106">
        <v>180955178.86145931</v>
      </c>
      <c r="F130" s="105">
        <v>193313159.13</v>
      </c>
      <c r="G130" s="107">
        <v>12357980.26854068</v>
      </c>
    </row>
    <row r="131" spans="1:7" x14ac:dyDescent="0.3">
      <c r="A131" s="102" t="s">
        <v>1130</v>
      </c>
      <c r="B131" s="103">
        <v>2025</v>
      </c>
      <c r="C131" s="104" t="s">
        <v>599</v>
      </c>
      <c r="D131" s="105">
        <v>1169.5999999999999</v>
      </c>
      <c r="E131" s="106">
        <v>0</v>
      </c>
      <c r="F131" s="105">
        <v>28861520</v>
      </c>
      <c r="G131" s="107">
        <v>28861520</v>
      </c>
    </row>
    <row r="132" spans="1:7" x14ac:dyDescent="0.3">
      <c r="A132" s="102" t="s">
        <v>1130</v>
      </c>
      <c r="B132" s="103">
        <v>2025</v>
      </c>
      <c r="C132" s="104" t="s">
        <v>597</v>
      </c>
      <c r="D132" s="105">
        <v>71</v>
      </c>
      <c r="E132" s="106">
        <v>3907171.2214040421</v>
      </c>
      <c r="F132" s="105">
        <v>8388827.5199999996</v>
      </c>
      <c r="G132" s="107">
        <v>4481656.2985959575</v>
      </c>
    </row>
    <row r="133" spans="1:7" x14ac:dyDescent="0.3">
      <c r="A133" s="102" t="s">
        <v>1130</v>
      </c>
      <c r="B133" s="103">
        <v>2025</v>
      </c>
      <c r="C133" s="104" t="s">
        <v>600</v>
      </c>
      <c r="D133" s="105">
        <v>36</v>
      </c>
      <c r="E133" s="106">
        <v>411542.4736020097</v>
      </c>
      <c r="F133" s="105">
        <v>655376.15</v>
      </c>
      <c r="G133" s="107">
        <v>243833.67639799032</v>
      </c>
    </row>
    <row r="134" spans="1:7" x14ac:dyDescent="0.3">
      <c r="A134" s="102" t="s">
        <v>1130</v>
      </c>
      <c r="B134" s="103">
        <v>2025</v>
      </c>
      <c r="C134" s="104" t="s">
        <v>570</v>
      </c>
      <c r="D134" s="105">
        <v>4845</v>
      </c>
      <c r="E134" s="106">
        <v>138593087.15636408</v>
      </c>
      <c r="F134" s="105">
        <v>331523338.32999998</v>
      </c>
      <c r="G134" s="107">
        <v>192930251.1736359</v>
      </c>
    </row>
    <row r="135" spans="1:7" x14ac:dyDescent="0.3">
      <c r="A135" s="102" t="s">
        <v>1130</v>
      </c>
      <c r="B135" s="103">
        <v>2025</v>
      </c>
      <c r="C135" s="104" t="s">
        <v>580</v>
      </c>
      <c r="D135" s="105">
        <v>2607</v>
      </c>
      <c r="E135" s="106">
        <v>102902590.99736851</v>
      </c>
      <c r="F135" s="105">
        <v>198065370.85999998</v>
      </c>
      <c r="G135" s="107">
        <v>95162779.86263147</v>
      </c>
    </row>
    <row r="136" spans="1:7" x14ac:dyDescent="0.3">
      <c r="A136" s="102" t="s">
        <v>1130</v>
      </c>
      <c r="B136" s="103">
        <v>2025</v>
      </c>
      <c r="C136" s="104" t="s">
        <v>585</v>
      </c>
      <c r="D136" s="105">
        <v>1335</v>
      </c>
      <c r="E136" s="106">
        <v>56549406.720209032</v>
      </c>
      <c r="F136" s="105">
        <v>110352924.00000001</v>
      </c>
      <c r="G136" s="107">
        <v>53803517.279790983</v>
      </c>
    </row>
    <row r="137" spans="1:7" x14ac:dyDescent="0.3">
      <c r="A137" s="102" t="s">
        <v>1130</v>
      </c>
      <c r="B137" s="103">
        <v>2025</v>
      </c>
      <c r="C137" s="104" t="s">
        <v>573</v>
      </c>
      <c r="D137" s="105">
        <v>4546</v>
      </c>
      <c r="E137" s="106">
        <v>259028788.71690455</v>
      </c>
      <c r="F137" s="105">
        <v>409104823.01999998</v>
      </c>
      <c r="G137" s="107">
        <v>150076034.30309543</v>
      </c>
    </row>
    <row r="138" spans="1:7" x14ac:dyDescent="0.3">
      <c r="A138" s="102" t="s">
        <v>1130</v>
      </c>
      <c r="B138" s="103">
        <v>2025</v>
      </c>
      <c r="C138" s="104" t="s">
        <v>592</v>
      </c>
      <c r="D138" s="105">
        <v>456</v>
      </c>
      <c r="E138" s="106">
        <v>30054658.23461847</v>
      </c>
      <c r="F138" s="105">
        <v>47558599.569999993</v>
      </c>
      <c r="G138" s="107">
        <v>17503941.335381523</v>
      </c>
    </row>
    <row r="139" spans="1:7" x14ac:dyDescent="0.3">
      <c r="A139" s="102" t="s">
        <v>1130</v>
      </c>
      <c r="B139" s="103">
        <v>2025</v>
      </c>
      <c r="C139" s="104" t="s">
        <v>587</v>
      </c>
      <c r="D139" s="105">
        <v>899</v>
      </c>
      <c r="E139" s="106">
        <v>84621788.905463353</v>
      </c>
      <c r="F139" s="105">
        <v>185795294.54000002</v>
      </c>
      <c r="G139" s="107">
        <v>101173505.63453667</v>
      </c>
    </row>
    <row r="140" spans="1:7" x14ac:dyDescent="0.3">
      <c r="A140" s="102" t="s">
        <v>1130</v>
      </c>
      <c r="B140" s="103">
        <v>2025</v>
      </c>
      <c r="C140" s="104" t="s">
        <v>583</v>
      </c>
      <c r="D140" s="105">
        <v>2306</v>
      </c>
      <c r="E140" s="106">
        <v>336226614.85875666</v>
      </c>
      <c r="F140" s="105">
        <v>563448139.88000011</v>
      </c>
      <c r="G140" s="107">
        <v>227221525.02124345</v>
      </c>
    </row>
    <row r="141" spans="1:7" x14ac:dyDescent="0.3">
      <c r="A141" s="102" t="s">
        <v>1130</v>
      </c>
      <c r="B141" s="103">
        <v>2025</v>
      </c>
      <c r="C141" s="104" t="s">
        <v>589</v>
      </c>
      <c r="D141" s="105">
        <v>1602</v>
      </c>
      <c r="E141" s="106">
        <v>34332605.332352884</v>
      </c>
      <c r="F141" s="105">
        <v>52279746.440000005</v>
      </c>
      <c r="G141" s="107">
        <v>17947141.107647121</v>
      </c>
    </row>
    <row r="142" spans="1:7" x14ac:dyDescent="0.3">
      <c r="A142" s="102" t="s">
        <v>1130</v>
      </c>
      <c r="B142" s="103">
        <v>2025</v>
      </c>
      <c r="C142" s="104" t="s">
        <v>582</v>
      </c>
      <c r="D142" s="105">
        <v>7788</v>
      </c>
      <c r="E142" s="106">
        <v>110614469.54093097</v>
      </c>
      <c r="F142" s="105">
        <v>178842759.73000002</v>
      </c>
      <c r="G142" s="107">
        <v>68228290.189069048</v>
      </c>
    </row>
    <row r="143" spans="1:7" x14ac:dyDescent="0.3">
      <c r="A143" s="102" t="s">
        <v>1130</v>
      </c>
      <c r="B143" s="103">
        <v>2025</v>
      </c>
      <c r="C143" s="104" t="s">
        <v>593</v>
      </c>
      <c r="D143" s="105">
        <v>3995</v>
      </c>
      <c r="E143" s="106">
        <v>60427516.622520953</v>
      </c>
      <c r="F143" s="105">
        <v>97509540.710000008</v>
      </c>
      <c r="G143" s="107">
        <v>37082024.087479055</v>
      </c>
    </row>
    <row r="144" spans="1:7" x14ac:dyDescent="0.3">
      <c r="A144" s="102" t="s">
        <v>1130</v>
      </c>
      <c r="B144" s="103">
        <v>2025</v>
      </c>
      <c r="C144" s="104" t="s">
        <v>576</v>
      </c>
      <c r="D144" s="105">
        <v>4530</v>
      </c>
      <c r="E144" s="106">
        <v>126472935.32395847</v>
      </c>
      <c r="F144" s="105">
        <v>156840672.95999998</v>
      </c>
      <c r="G144" s="107">
        <v>30367737.636041507</v>
      </c>
    </row>
    <row r="145" spans="1:7" x14ac:dyDescent="0.3">
      <c r="A145" s="102" t="s">
        <v>1130</v>
      </c>
      <c r="B145" s="103">
        <v>2025</v>
      </c>
      <c r="C145" s="104" t="s">
        <v>581</v>
      </c>
      <c r="D145" s="105">
        <v>7525</v>
      </c>
      <c r="E145" s="106">
        <v>145675001.00978014</v>
      </c>
      <c r="F145" s="105">
        <v>175236755.94</v>
      </c>
      <c r="G145" s="107">
        <v>29561754.930219859</v>
      </c>
    </row>
    <row r="146" spans="1:7" x14ac:dyDescent="0.3">
      <c r="A146" s="102" t="s">
        <v>1130</v>
      </c>
      <c r="B146" s="103">
        <v>2025</v>
      </c>
      <c r="C146" s="104" t="s">
        <v>584</v>
      </c>
      <c r="D146" s="105">
        <v>3659</v>
      </c>
      <c r="E146" s="106">
        <v>77641385.627475411</v>
      </c>
      <c r="F146" s="105">
        <v>93437085.280000001</v>
      </c>
      <c r="G146" s="107">
        <v>15795699.65252459</v>
      </c>
    </row>
    <row r="147" spans="1:7" x14ac:dyDescent="0.3">
      <c r="A147" s="102" t="s">
        <v>1130</v>
      </c>
      <c r="B147" s="103">
        <v>2025</v>
      </c>
      <c r="C147" s="104" t="s">
        <v>586</v>
      </c>
      <c r="D147" s="105">
        <v>3009</v>
      </c>
      <c r="E147" s="106">
        <v>60444525.996625766</v>
      </c>
      <c r="F147" s="105">
        <v>117311555.92</v>
      </c>
      <c r="G147" s="107">
        <v>56867029.923374236</v>
      </c>
    </row>
    <row r="148" spans="1:7" x14ac:dyDescent="0.3">
      <c r="A148" s="102" t="s">
        <v>1130</v>
      </c>
      <c r="B148" s="103">
        <v>2025</v>
      </c>
      <c r="C148" s="104" t="s">
        <v>575</v>
      </c>
      <c r="D148" s="105">
        <v>2695</v>
      </c>
      <c r="E148" s="106">
        <v>87352154.371281996</v>
      </c>
      <c r="F148" s="105">
        <v>124678683.06</v>
      </c>
      <c r="G148" s="107">
        <v>37326528.688718006</v>
      </c>
    </row>
    <row r="149" spans="1:7" x14ac:dyDescent="0.3">
      <c r="A149" s="102" t="s">
        <v>1130</v>
      </c>
      <c r="B149" s="103">
        <v>2025</v>
      </c>
      <c r="C149" s="104" t="s">
        <v>578</v>
      </c>
      <c r="D149" s="105">
        <v>311743</v>
      </c>
      <c r="E149" s="106">
        <v>40292691.353384636</v>
      </c>
      <c r="F149" s="105">
        <v>75456356.099999994</v>
      </c>
      <c r="G149" s="107">
        <v>35163664.746615358</v>
      </c>
    </row>
    <row r="150" spans="1:7" x14ac:dyDescent="0.3">
      <c r="A150" s="102" t="s">
        <v>1130</v>
      </c>
      <c r="B150" s="103">
        <v>2025</v>
      </c>
      <c r="C150" s="104" t="s">
        <v>588</v>
      </c>
      <c r="D150" s="105">
        <v>29</v>
      </c>
      <c r="E150" s="106">
        <v>70325000</v>
      </c>
      <c r="F150" s="105">
        <v>93960000</v>
      </c>
      <c r="G150" s="107">
        <v>23635000</v>
      </c>
    </row>
    <row r="151" spans="1:7" x14ac:dyDescent="0.3">
      <c r="A151" s="102" t="s">
        <v>1130</v>
      </c>
      <c r="B151" s="103">
        <v>2025</v>
      </c>
      <c r="C151" s="104" t="s">
        <v>572</v>
      </c>
      <c r="D151" s="105">
        <v>34788</v>
      </c>
      <c r="E151" s="106">
        <v>235270759.07728395</v>
      </c>
      <c r="F151" s="105">
        <v>289596855.19999999</v>
      </c>
      <c r="G151" s="107">
        <v>54326096.122716039</v>
      </c>
    </row>
    <row r="152" spans="1:7" x14ac:dyDescent="0.3">
      <c r="A152" s="154" t="s">
        <v>1130</v>
      </c>
      <c r="B152" s="155">
        <v>2025</v>
      </c>
      <c r="C152" s="108" t="s">
        <v>590</v>
      </c>
      <c r="D152" s="109">
        <v>590</v>
      </c>
      <c r="E152" s="110">
        <v>86712910.719275355</v>
      </c>
      <c r="F152" s="109">
        <v>97980900</v>
      </c>
      <c r="G152" s="111">
        <v>11267989.280724645</v>
      </c>
    </row>
    <row r="153" spans="1:7" x14ac:dyDescent="0.3">
      <c r="A153" s="154" t="s">
        <v>1130</v>
      </c>
      <c r="B153" s="155">
        <v>2026</v>
      </c>
      <c r="C153" s="108" t="s">
        <v>596</v>
      </c>
      <c r="D153" s="109">
        <v>18136</v>
      </c>
      <c r="E153" s="110">
        <v>9855312.6705088113</v>
      </c>
      <c r="F153" s="109">
        <v>8490650.4700000007</v>
      </c>
      <c r="G153" s="111">
        <f>Tabla2[[#This Row],[PRECIO TOT]]-Tabla2[[#This Row],[CT]]</f>
        <v>-1364662.2005088106</v>
      </c>
    </row>
    <row r="154" spans="1:7" x14ac:dyDescent="0.3">
      <c r="A154" s="154" t="s">
        <v>1130</v>
      </c>
      <c r="B154" s="155">
        <v>2026</v>
      </c>
      <c r="C154" s="104" t="s">
        <v>574</v>
      </c>
      <c r="D154" s="105">
        <v>1114700</v>
      </c>
      <c r="E154" s="106">
        <v>104124184.18864258</v>
      </c>
      <c r="F154" s="105">
        <v>125509622.66000001</v>
      </c>
      <c r="G154" s="107">
        <f>Tabla2[[#This Row],[PRECIO TOT]]-Tabla2[[#This Row],[CT]]</f>
        <v>21385438.471357435</v>
      </c>
    </row>
    <row r="155" spans="1:7" x14ac:dyDescent="0.3">
      <c r="A155" s="154" t="s">
        <v>1130</v>
      </c>
      <c r="B155" s="155">
        <v>2026</v>
      </c>
      <c r="C155" s="104" t="s">
        <v>595</v>
      </c>
      <c r="D155" s="105">
        <v>45</v>
      </c>
      <c r="E155" s="106">
        <v>4846631.7508423347</v>
      </c>
      <c r="F155" s="105">
        <v>9120644.459999999</v>
      </c>
      <c r="G155" s="107">
        <f>Tabla2[[#This Row],[PRECIO TOT]]-Tabla2[[#This Row],[CT]]</f>
        <v>4274012.7091576643</v>
      </c>
    </row>
    <row r="156" spans="1:7" x14ac:dyDescent="0.3">
      <c r="A156" s="154" t="s">
        <v>1130</v>
      </c>
      <c r="B156" s="155">
        <v>2026</v>
      </c>
      <c r="C156" s="104" t="s">
        <v>577</v>
      </c>
      <c r="D156" s="105">
        <v>11844</v>
      </c>
      <c r="E156" s="106">
        <v>186413982.45529297</v>
      </c>
      <c r="F156" s="105">
        <v>319585871.23000008</v>
      </c>
      <c r="G156" s="107">
        <f>Tabla2[[#This Row],[PRECIO TOT]]-Tabla2[[#This Row],[CT]]</f>
        <v>133171888.77470711</v>
      </c>
    </row>
    <row r="157" spans="1:7" x14ac:dyDescent="0.3">
      <c r="A157" s="154" t="s">
        <v>1130</v>
      </c>
      <c r="B157" s="155">
        <v>2026</v>
      </c>
      <c r="C157" s="104" t="s">
        <v>571</v>
      </c>
      <c r="D157" s="105">
        <v>880794</v>
      </c>
      <c r="E157" s="106">
        <v>286095224.00831521</v>
      </c>
      <c r="F157" s="105">
        <v>346869302.46000004</v>
      </c>
      <c r="G157" s="107">
        <f>Tabla2[[#This Row],[PRECIO TOT]]-Tabla2[[#This Row],[CT]]</f>
        <v>60774078.451684833</v>
      </c>
    </row>
    <row r="158" spans="1:7" x14ac:dyDescent="0.3">
      <c r="A158" s="154" t="s">
        <v>1130</v>
      </c>
      <c r="B158" s="155">
        <v>2026</v>
      </c>
      <c r="C158" s="104" t="s">
        <v>591</v>
      </c>
      <c r="D158" s="105">
        <v>67770</v>
      </c>
      <c r="E158" s="106">
        <v>25496905.540839896</v>
      </c>
      <c r="F158" s="105">
        <v>30577122.57</v>
      </c>
      <c r="G158" s="107">
        <f>Tabla2[[#This Row],[PRECIO TOT]]-Tabla2[[#This Row],[CT]]</f>
        <v>5080217.0291601047</v>
      </c>
    </row>
    <row r="159" spans="1:7" x14ac:dyDescent="0.3">
      <c r="A159" s="154" t="s">
        <v>1130</v>
      </c>
      <c r="B159" s="155">
        <v>2026</v>
      </c>
      <c r="C159" s="104" t="s">
        <v>594</v>
      </c>
      <c r="D159" s="105">
        <v>521</v>
      </c>
      <c r="E159" s="106">
        <v>7339880.5719349869</v>
      </c>
      <c r="F159" s="105">
        <v>19566727.16</v>
      </c>
      <c r="G159" s="107">
        <f>Tabla2[[#This Row],[PRECIO TOT]]-Tabla2[[#This Row],[CT]]</f>
        <v>12226846.588065013</v>
      </c>
    </row>
    <row r="160" spans="1:7" x14ac:dyDescent="0.3">
      <c r="A160" s="154" t="s">
        <v>1130</v>
      </c>
      <c r="B160" s="155">
        <v>2026</v>
      </c>
      <c r="C160" s="104" t="s">
        <v>579</v>
      </c>
      <c r="D160" s="105">
        <v>35170</v>
      </c>
      <c r="E160" s="106">
        <v>179780288.72754976</v>
      </c>
      <c r="F160" s="105">
        <v>171697139.63999999</v>
      </c>
      <c r="G160" s="107">
        <f>Tabla2[[#This Row],[PRECIO TOT]]-Tabla2[[#This Row],[CT]]</f>
        <v>-8083149.0875497758</v>
      </c>
    </row>
    <row r="161" spans="1:7" x14ac:dyDescent="0.3">
      <c r="A161" s="154" t="s">
        <v>1130</v>
      </c>
      <c r="B161" s="155">
        <v>2026</v>
      </c>
      <c r="C161" s="104" t="s">
        <v>599</v>
      </c>
      <c r="D161" s="105">
        <v>5120.7</v>
      </c>
      <c r="E161" s="106">
        <v>0</v>
      </c>
      <c r="F161" s="105">
        <v>12544210</v>
      </c>
      <c r="G161" s="107">
        <f>Tabla2[[#This Row],[PRECIO TOT]]-Tabla2[[#This Row],[CT]]</f>
        <v>12544210</v>
      </c>
    </row>
    <row r="162" spans="1:7" x14ac:dyDescent="0.3">
      <c r="A162" s="154" t="s">
        <v>1130</v>
      </c>
      <c r="B162" s="155">
        <v>2026</v>
      </c>
      <c r="C162" s="104" t="s">
        <v>597</v>
      </c>
      <c r="D162" s="105">
        <v>49</v>
      </c>
      <c r="E162" s="106">
        <v>3057351.5619946201</v>
      </c>
      <c r="F162" s="105">
        <v>6046265.4800000004</v>
      </c>
      <c r="G162" s="107">
        <f>Tabla2[[#This Row],[PRECIO TOT]]-Tabla2[[#This Row],[CT]]</f>
        <v>2988913.9180053803</v>
      </c>
    </row>
    <row r="163" spans="1:7" x14ac:dyDescent="0.3">
      <c r="A163" s="154" t="s">
        <v>1130</v>
      </c>
      <c r="B163" s="155">
        <v>2026</v>
      </c>
      <c r="C163" s="104" t="s">
        <v>600</v>
      </c>
      <c r="D163" s="105">
        <v>38</v>
      </c>
      <c r="E163" s="106">
        <v>420775.92397829716</v>
      </c>
      <c r="F163" s="105">
        <v>686059.03</v>
      </c>
      <c r="G163" s="107">
        <f>Tabla2[[#This Row],[PRECIO TOT]]-Tabla2[[#This Row],[CT]]</f>
        <v>265283.10602170287</v>
      </c>
    </row>
    <row r="164" spans="1:7" x14ac:dyDescent="0.3">
      <c r="A164" s="154" t="s">
        <v>1130</v>
      </c>
      <c r="B164" s="155">
        <v>2026</v>
      </c>
      <c r="C164" s="104" t="s">
        <v>570</v>
      </c>
      <c r="D164" s="105">
        <v>7924</v>
      </c>
      <c r="E164" s="106">
        <v>238358900.60440522</v>
      </c>
      <c r="F164" s="105">
        <v>448552700</v>
      </c>
      <c r="G164" s="107">
        <f>Tabla2[[#This Row],[PRECIO TOT]]-Tabla2[[#This Row],[CT]]</f>
        <v>210193799.39559478</v>
      </c>
    </row>
    <row r="165" spans="1:7" x14ac:dyDescent="0.3">
      <c r="A165" s="154" t="s">
        <v>1130</v>
      </c>
      <c r="B165" s="155">
        <v>2026</v>
      </c>
      <c r="C165" s="104" t="s">
        <v>598</v>
      </c>
      <c r="D165" s="105">
        <v>80</v>
      </c>
      <c r="E165" s="106">
        <v>1434588.1044234019</v>
      </c>
      <c r="F165" s="105">
        <v>2857680.11</v>
      </c>
      <c r="G165" s="107">
        <f>Tabla2[[#This Row],[PRECIO TOT]]-Tabla2[[#This Row],[CT]]</f>
        <v>1423092.005576598</v>
      </c>
    </row>
    <row r="166" spans="1:7" x14ac:dyDescent="0.3">
      <c r="A166" s="154" t="s">
        <v>1130</v>
      </c>
      <c r="B166" s="155">
        <v>2026</v>
      </c>
      <c r="C166" s="104" t="s">
        <v>580</v>
      </c>
      <c r="D166" s="105">
        <v>2277</v>
      </c>
      <c r="E166" s="106">
        <v>98165256.681873471</v>
      </c>
      <c r="F166" s="105">
        <v>176560213.47</v>
      </c>
      <c r="G166" s="107">
        <f>Tabla2[[#This Row],[PRECIO TOT]]-Tabla2[[#This Row],[CT]]</f>
        <v>78394956.788126528</v>
      </c>
    </row>
    <row r="167" spans="1:7" x14ac:dyDescent="0.3">
      <c r="A167" s="154" t="s">
        <v>1130</v>
      </c>
      <c r="B167" s="155">
        <v>2026</v>
      </c>
      <c r="C167" s="104" t="s">
        <v>585</v>
      </c>
      <c r="D167" s="105">
        <v>776</v>
      </c>
      <c r="E167" s="106">
        <v>38482757.86027205</v>
      </c>
      <c r="F167" s="105">
        <v>72159723.230000004</v>
      </c>
      <c r="G167" s="107">
        <f>Tabla2[[#This Row],[PRECIO TOT]]-Tabla2[[#This Row],[CT]]</f>
        <v>33676965.369727954</v>
      </c>
    </row>
    <row r="168" spans="1:7" x14ac:dyDescent="0.3">
      <c r="A168" s="154" t="s">
        <v>1130</v>
      </c>
      <c r="B168" s="155">
        <v>2026</v>
      </c>
      <c r="C168" s="104" t="s">
        <v>573</v>
      </c>
      <c r="D168" s="105">
        <v>4262</v>
      </c>
      <c r="E168" s="106">
        <v>242490895.53042942</v>
      </c>
      <c r="F168" s="105">
        <v>396663245.60000002</v>
      </c>
      <c r="G168" s="107">
        <f>Tabla2[[#This Row],[PRECIO TOT]]-Tabla2[[#This Row],[CT]]</f>
        <v>154172350.0695706</v>
      </c>
    </row>
    <row r="169" spans="1:7" x14ac:dyDescent="0.3">
      <c r="A169" s="154" t="s">
        <v>1130</v>
      </c>
      <c r="B169" s="155">
        <v>2026</v>
      </c>
      <c r="C169" s="104" t="s">
        <v>592</v>
      </c>
      <c r="D169" s="105">
        <v>540</v>
      </c>
      <c r="E169" s="106">
        <v>35912715.535703436</v>
      </c>
      <c r="F169" s="105">
        <v>58604983.609999999</v>
      </c>
      <c r="G169" s="107">
        <f>Tabla2[[#This Row],[PRECIO TOT]]-Tabla2[[#This Row],[CT]]</f>
        <v>22692268.074296564</v>
      </c>
    </row>
    <row r="170" spans="1:7" x14ac:dyDescent="0.3">
      <c r="A170" s="154" t="s">
        <v>1130</v>
      </c>
      <c r="B170" s="155">
        <v>2026</v>
      </c>
      <c r="C170" s="104" t="s">
        <v>587</v>
      </c>
      <c r="D170" s="105">
        <v>612</v>
      </c>
      <c r="E170" s="106">
        <v>82451391.362272069</v>
      </c>
      <c r="F170" s="105">
        <v>131896803.51000001</v>
      </c>
      <c r="G170" s="107">
        <f>Tabla2[[#This Row],[PRECIO TOT]]-Tabla2[[#This Row],[CT]]</f>
        <v>49445412.147727937</v>
      </c>
    </row>
    <row r="171" spans="1:7" x14ac:dyDescent="0.3">
      <c r="A171" s="154" t="s">
        <v>1130</v>
      </c>
      <c r="B171" s="155">
        <v>2026</v>
      </c>
      <c r="C171" s="104" t="s">
        <v>583</v>
      </c>
      <c r="D171" s="105">
        <v>2558</v>
      </c>
      <c r="E171" s="106">
        <v>415380268.89459604</v>
      </c>
      <c r="F171" s="105">
        <v>628303278.56999993</v>
      </c>
      <c r="G171" s="107">
        <f>Tabla2[[#This Row],[PRECIO TOT]]-Tabla2[[#This Row],[CT]]</f>
        <v>212923009.67540389</v>
      </c>
    </row>
    <row r="172" spans="1:7" x14ac:dyDescent="0.3">
      <c r="A172" s="154" t="s">
        <v>1130</v>
      </c>
      <c r="B172" s="155">
        <v>2026</v>
      </c>
      <c r="C172" s="104" t="s">
        <v>589</v>
      </c>
      <c r="D172" s="105">
        <v>1175</v>
      </c>
      <c r="E172" s="106">
        <v>25500470.804217473</v>
      </c>
      <c r="F172" s="105">
        <v>42756740.609999999</v>
      </c>
      <c r="G172" s="107">
        <f>Tabla2[[#This Row],[PRECIO TOT]]-Tabla2[[#This Row],[CT]]</f>
        <v>17256269.805782527</v>
      </c>
    </row>
    <row r="173" spans="1:7" x14ac:dyDescent="0.3">
      <c r="A173" s="154" t="s">
        <v>1130</v>
      </c>
      <c r="B173" s="155">
        <v>2026</v>
      </c>
      <c r="C173" s="104" t="s">
        <v>582</v>
      </c>
      <c r="D173" s="105">
        <v>14000</v>
      </c>
      <c r="E173" s="106">
        <v>240593236.45158282</v>
      </c>
      <c r="F173" s="105">
        <v>298923954.38</v>
      </c>
      <c r="G173" s="107">
        <f>Tabla2[[#This Row],[PRECIO TOT]]-Tabla2[[#This Row],[CT]]</f>
        <v>58330717.928417176</v>
      </c>
    </row>
    <row r="174" spans="1:7" x14ac:dyDescent="0.3">
      <c r="A174" s="154" t="s">
        <v>1130</v>
      </c>
      <c r="B174" s="155">
        <v>2026</v>
      </c>
      <c r="C174" s="104" t="s">
        <v>593</v>
      </c>
      <c r="D174" s="105">
        <v>1943</v>
      </c>
      <c r="E174" s="106">
        <v>34580217.343862355</v>
      </c>
      <c r="F174" s="105">
        <v>47247347.950000003</v>
      </c>
      <c r="G174" s="107">
        <f>Tabla2[[#This Row],[PRECIO TOT]]-Tabla2[[#This Row],[CT]]</f>
        <v>12667130.606137648</v>
      </c>
    </row>
    <row r="175" spans="1:7" x14ac:dyDescent="0.3">
      <c r="A175" s="154" t="s">
        <v>1130</v>
      </c>
      <c r="B175" s="155">
        <v>2026</v>
      </c>
      <c r="C175" s="104" t="s">
        <v>576</v>
      </c>
      <c r="D175" s="105">
        <v>4403</v>
      </c>
      <c r="E175" s="106">
        <v>112316972.70457175</v>
      </c>
      <c r="F175" s="105">
        <v>161447480.47999999</v>
      </c>
      <c r="G175" s="107">
        <f>Tabla2[[#This Row],[PRECIO TOT]]-Tabla2[[#This Row],[CT]]</f>
        <v>49130507.775428236</v>
      </c>
    </row>
    <row r="176" spans="1:7" x14ac:dyDescent="0.3">
      <c r="A176" s="154" t="s">
        <v>1130</v>
      </c>
      <c r="B176" s="155">
        <v>2026</v>
      </c>
      <c r="C176" s="104" t="s">
        <v>581</v>
      </c>
      <c r="D176" s="105">
        <v>6012</v>
      </c>
      <c r="E176" s="106">
        <v>113647380.47753762</v>
      </c>
      <c r="F176" s="105">
        <v>143123798.91999999</v>
      </c>
      <c r="G176" s="107">
        <f>Tabla2[[#This Row],[PRECIO TOT]]-Tabla2[[#This Row],[CT]]</f>
        <v>29476418.44246237</v>
      </c>
    </row>
    <row r="177" spans="1:7" x14ac:dyDescent="0.3">
      <c r="A177" s="154" t="s">
        <v>1130</v>
      </c>
      <c r="B177" s="155">
        <v>2026</v>
      </c>
      <c r="C177" s="104" t="s">
        <v>584</v>
      </c>
      <c r="D177" s="105">
        <v>2305</v>
      </c>
      <c r="E177" s="106">
        <v>52373483.874455057</v>
      </c>
      <c r="F177" s="105">
        <v>64115873</v>
      </c>
      <c r="G177" s="107">
        <f>Tabla2[[#This Row],[PRECIO TOT]]-Tabla2[[#This Row],[CT]]</f>
        <v>11742389.125544943</v>
      </c>
    </row>
    <row r="178" spans="1:7" x14ac:dyDescent="0.3">
      <c r="A178" s="154" t="s">
        <v>1130</v>
      </c>
      <c r="B178" s="155">
        <v>2026</v>
      </c>
      <c r="C178" s="104" t="s">
        <v>586</v>
      </c>
      <c r="D178" s="105">
        <v>1898</v>
      </c>
      <c r="E178" s="106">
        <v>42284749.606039174</v>
      </c>
      <c r="F178" s="105">
        <v>76536875.039999992</v>
      </c>
      <c r="G178" s="107">
        <f>Tabla2[[#This Row],[PRECIO TOT]]-Tabla2[[#This Row],[CT]]</f>
        <v>34252125.433960818</v>
      </c>
    </row>
    <row r="179" spans="1:7" x14ac:dyDescent="0.3">
      <c r="A179" s="154" t="s">
        <v>1130</v>
      </c>
      <c r="B179" s="155">
        <v>2026</v>
      </c>
      <c r="C179" s="104" t="s">
        <v>575</v>
      </c>
      <c r="D179" s="105">
        <v>2707</v>
      </c>
      <c r="E179" s="106">
        <v>83822396.930616647</v>
      </c>
      <c r="F179" s="105">
        <v>132285242.80999999</v>
      </c>
      <c r="G179" s="107">
        <f>Tabla2[[#This Row],[PRECIO TOT]]-Tabla2[[#This Row],[CT]]</f>
        <v>48462845.87938334</v>
      </c>
    </row>
    <row r="180" spans="1:7" x14ac:dyDescent="0.3">
      <c r="A180" s="154" t="s">
        <v>1130</v>
      </c>
      <c r="B180" s="155">
        <v>2026</v>
      </c>
      <c r="C180" s="104" t="s">
        <v>578</v>
      </c>
      <c r="D180" s="105">
        <v>259082</v>
      </c>
      <c r="E180" s="106">
        <v>50127715.876307376</v>
      </c>
      <c r="F180" s="105">
        <v>70260041.090000004</v>
      </c>
      <c r="G180" s="107">
        <f>Tabla2[[#This Row],[PRECIO TOT]]-Tabla2[[#This Row],[CT]]</f>
        <v>20132325.213692628</v>
      </c>
    </row>
    <row r="181" spans="1:7" x14ac:dyDescent="0.3">
      <c r="A181" s="154" t="s">
        <v>1130</v>
      </c>
      <c r="B181" s="155">
        <v>2026</v>
      </c>
      <c r="C181" s="104" t="s">
        <v>572</v>
      </c>
      <c r="D181" s="105">
        <v>61084</v>
      </c>
      <c r="E181" s="106">
        <v>367741292.24466044</v>
      </c>
      <c r="F181" s="105">
        <v>505009199.82999998</v>
      </c>
      <c r="G181" s="107">
        <f>Tabla2[[#This Row],[PRECIO TOT]]-Tabla2[[#This Row],[CT]]</f>
        <v>137267907.58533955</v>
      </c>
    </row>
    <row r="182" spans="1:7" x14ac:dyDescent="0.3">
      <c r="A182" s="154" t="s">
        <v>1130</v>
      </c>
      <c r="B182" s="155">
        <v>2026</v>
      </c>
      <c r="C182" s="108" t="s">
        <v>590</v>
      </c>
      <c r="D182" s="109">
        <v>7998</v>
      </c>
      <c r="E182" s="110">
        <v>841193223.60457897</v>
      </c>
      <c r="F182" s="109">
        <v>911209340</v>
      </c>
      <c r="G182" s="111">
        <f>Tabla2[[#This Row],[PRECIO TOT]]-Tabla2[[#This Row],[CT]]</f>
        <v>70016116.395421028</v>
      </c>
    </row>
    <row r="183" spans="1:7" x14ac:dyDescent="0.3">
      <c r="A183" s="102" t="s">
        <v>1170</v>
      </c>
      <c r="B183" s="103">
        <v>2025</v>
      </c>
      <c r="C183" s="104" t="s">
        <v>596</v>
      </c>
      <c r="D183" s="105">
        <v>38543</v>
      </c>
      <c r="E183" s="106">
        <v>5129583.2767721331</v>
      </c>
      <c r="F183" s="105">
        <v>12224093.35</v>
      </c>
      <c r="G183" s="107">
        <v>7094510.0732278666</v>
      </c>
    </row>
    <row r="184" spans="1:7" x14ac:dyDescent="0.3">
      <c r="A184" s="102" t="s">
        <v>1170</v>
      </c>
      <c r="B184" s="103">
        <v>2025</v>
      </c>
      <c r="C184" s="104" t="s">
        <v>574</v>
      </c>
      <c r="D184" s="105">
        <v>775200</v>
      </c>
      <c r="E184" s="106">
        <v>61156324.712365463</v>
      </c>
      <c r="F184" s="105">
        <v>91124453.050000012</v>
      </c>
      <c r="G184" s="107">
        <v>29968128.337634549</v>
      </c>
    </row>
    <row r="185" spans="1:7" x14ac:dyDescent="0.3">
      <c r="A185" s="102" t="s">
        <v>1170</v>
      </c>
      <c r="B185" s="103">
        <v>2025</v>
      </c>
      <c r="C185" s="104" t="s">
        <v>595</v>
      </c>
      <c r="D185" s="105">
        <v>52</v>
      </c>
      <c r="E185" s="106">
        <v>5663150.0613980833</v>
      </c>
      <c r="F185" s="105">
        <v>10912464.729999999</v>
      </c>
      <c r="G185" s="107">
        <v>5249314.6686019152</v>
      </c>
    </row>
    <row r="186" spans="1:7" x14ac:dyDescent="0.3">
      <c r="A186" s="102" t="s">
        <v>1170</v>
      </c>
      <c r="B186" s="103">
        <v>2025</v>
      </c>
      <c r="C186" s="104" t="s">
        <v>577</v>
      </c>
      <c r="D186" s="105">
        <v>11962</v>
      </c>
      <c r="E186" s="106">
        <v>178575406.16594547</v>
      </c>
      <c r="F186" s="105">
        <v>339816402.02999997</v>
      </c>
      <c r="G186" s="107">
        <v>161240995.8640545</v>
      </c>
    </row>
    <row r="187" spans="1:7" x14ac:dyDescent="0.3">
      <c r="A187" s="102" t="s">
        <v>1170</v>
      </c>
      <c r="B187" s="103">
        <v>2025</v>
      </c>
      <c r="C187" s="104" t="s">
        <v>571</v>
      </c>
      <c r="D187" s="105">
        <v>506360</v>
      </c>
      <c r="E187" s="106">
        <v>140615739.70234886</v>
      </c>
      <c r="F187" s="105">
        <v>198633700.06</v>
      </c>
      <c r="G187" s="107">
        <v>58017960.357651144</v>
      </c>
    </row>
    <row r="188" spans="1:7" x14ac:dyDescent="0.3">
      <c r="A188" s="102" t="s">
        <v>1170</v>
      </c>
      <c r="B188" s="103">
        <v>2025</v>
      </c>
      <c r="C188" s="104" t="s">
        <v>591</v>
      </c>
      <c r="D188" s="105">
        <v>72650</v>
      </c>
      <c r="E188" s="106">
        <v>22433063.118340701</v>
      </c>
      <c r="F188" s="105">
        <v>33988881.140000001</v>
      </c>
      <c r="G188" s="107">
        <v>11555818.0216593</v>
      </c>
    </row>
    <row r="189" spans="1:7" x14ac:dyDescent="0.3">
      <c r="A189" s="102" t="s">
        <v>1170</v>
      </c>
      <c r="B189" s="103">
        <v>2025</v>
      </c>
      <c r="C189" s="104" t="s">
        <v>594</v>
      </c>
      <c r="D189" s="105">
        <v>620</v>
      </c>
      <c r="E189" s="106">
        <v>13541916.512752553</v>
      </c>
      <c r="F189" s="105">
        <v>32232108.810000002</v>
      </c>
      <c r="G189" s="107">
        <v>18690192.297247447</v>
      </c>
    </row>
    <row r="190" spans="1:7" x14ac:dyDescent="0.3">
      <c r="A190" s="102" t="s">
        <v>1170</v>
      </c>
      <c r="B190" s="103">
        <v>2025</v>
      </c>
      <c r="C190" s="104" t="s">
        <v>579</v>
      </c>
      <c r="D190" s="105">
        <v>13638</v>
      </c>
      <c r="E190" s="106">
        <v>70853182.291923225</v>
      </c>
      <c r="F190" s="105">
        <v>69446539.429999992</v>
      </c>
      <c r="G190" s="107">
        <v>-1406642.8619232327</v>
      </c>
    </row>
    <row r="191" spans="1:7" x14ac:dyDescent="0.3">
      <c r="A191" s="102" t="s">
        <v>1170</v>
      </c>
      <c r="B191" s="103">
        <v>2025</v>
      </c>
      <c r="C191" s="104" t="s">
        <v>599</v>
      </c>
      <c r="D191" s="105">
        <v>2565.3000000000002</v>
      </c>
      <c r="E191" s="106">
        <v>0</v>
      </c>
      <c r="F191" s="105">
        <v>48756580</v>
      </c>
      <c r="G191" s="107">
        <v>48756580</v>
      </c>
    </row>
    <row r="192" spans="1:7" x14ac:dyDescent="0.3">
      <c r="A192" s="102" t="s">
        <v>1170</v>
      </c>
      <c r="B192" s="103">
        <v>2025</v>
      </c>
      <c r="C192" s="104" t="s">
        <v>597</v>
      </c>
      <c r="D192" s="105">
        <v>134</v>
      </c>
      <c r="E192" s="106">
        <v>5441492.0939253932</v>
      </c>
      <c r="F192" s="105">
        <v>12562778.809999999</v>
      </c>
      <c r="G192" s="107">
        <v>7121286.7160746055</v>
      </c>
    </row>
    <row r="193" spans="1:7" x14ac:dyDescent="0.3">
      <c r="A193" s="102" t="s">
        <v>1170</v>
      </c>
      <c r="B193" s="103">
        <v>2025</v>
      </c>
      <c r="C193" s="104" t="s">
        <v>600</v>
      </c>
      <c r="D193" s="105">
        <v>16</v>
      </c>
      <c r="E193" s="106">
        <v>135137.17740212515</v>
      </c>
      <c r="F193" s="105">
        <v>259419.17</v>
      </c>
      <c r="G193" s="107">
        <v>124281.99259787487</v>
      </c>
    </row>
    <row r="194" spans="1:7" x14ac:dyDescent="0.3">
      <c r="A194" s="102" t="s">
        <v>1170</v>
      </c>
      <c r="B194" s="103">
        <v>2025</v>
      </c>
      <c r="C194" s="104" t="s">
        <v>570</v>
      </c>
      <c r="D194" s="105">
        <v>4383</v>
      </c>
      <c r="E194" s="106">
        <v>133531436.14267035</v>
      </c>
      <c r="F194" s="105">
        <v>296518444</v>
      </c>
      <c r="G194" s="107">
        <v>162987007.85732967</v>
      </c>
    </row>
    <row r="195" spans="1:7" x14ac:dyDescent="0.3">
      <c r="A195" s="102" t="s">
        <v>1170</v>
      </c>
      <c r="B195" s="103">
        <v>2025</v>
      </c>
      <c r="C195" s="104" t="s">
        <v>598</v>
      </c>
      <c r="D195" s="105">
        <v>193</v>
      </c>
      <c r="E195" s="106">
        <v>4547975.5514884256</v>
      </c>
      <c r="F195" s="105">
        <v>6043023.2400000002</v>
      </c>
      <c r="G195" s="107">
        <v>1495047.6885115746</v>
      </c>
    </row>
    <row r="196" spans="1:7" x14ac:dyDescent="0.3">
      <c r="A196" s="102" t="s">
        <v>1170</v>
      </c>
      <c r="B196" s="103">
        <v>2025</v>
      </c>
      <c r="C196" s="104" t="s">
        <v>580</v>
      </c>
      <c r="D196" s="105">
        <v>2391</v>
      </c>
      <c r="E196" s="106">
        <v>97794073.418375969</v>
      </c>
      <c r="F196" s="105">
        <v>191566393.63</v>
      </c>
      <c r="G196" s="107">
        <v>93772320.211624026</v>
      </c>
    </row>
    <row r="197" spans="1:7" x14ac:dyDescent="0.3">
      <c r="A197" s="102" t="s">
        <v>1170</v>
      </c>
      <c r="B197" s="103">
        <v>2025</v>
      </c>
      <c r="C197" s="104" t="s">
        <v>585</v>
      </c>
      <c r="D197" s="105">
        <v>689</v>
      </c>
      <c r="E197" s="106">
        <v>32482508.495825313</v>
      </c>
      <c r="F197" s="105">
        <v>68356809.539999992</v>
      </c>
      <c r="G197" s="107">
        <v>35874301.044174679</v>
      </c>
    </row>
    <row r="198" spans="1:7" x14ac:dyDescent="0.3">
      <c r="A198" s="102" t="s">
        <v>1170</v>
      </c>
      <c r="B198" s="103">
        <v>2025</v>
      </c>
      <c r="C198" s="104" t="s">
        <v>573</v>
      </c>
      <c r="D198" s="105">
        <v>3761</v>
      </c>
      <c r="E198" s="106">
        <v>223023759.49118531</v>
      </c>
      <c r="F198" s="105">
        <v>353150783.15999997</v>
      </c>
      <c r="G198" s="107">
        <v>130127023.66881466</v>
      </c>
    </row>
    <row r="199" spans="1:7" x14ac:dyDescent="0.3">
      <c r="A199" s="102" t="s">
        <v>1170</v>
      </c>
      <c r="B199" s="103">
        <v>2025</v>
      </c>
      <c r="C199" s="104" t="s">
        <v>592</v>
      </c>
      <c r="D199" s="105">
        <v>502</v>
      </c>
      <c r="E199" s="106">
        <v>34095891.025926419</v>
      </c>
      <c r="F199" s="105">
        <v>54376702.969999999</v>
      </c>
      <c r="G199" s="107">
        <v>20280811.94407358</v>
      </c>
    </row>
    <row r="200" spans="1:7" x14ac:dyDescent="0.3">
      <c r="A200" s="102" t="s">
        <v>1170</v>
      </c>
      <c r="B200" s="103">
        <v>2025</v>
      </c>
      <c r="C200" s="104" t="s">
        <v>587</v>
      </c>
      <c r="D200" s="105">
        <v>502</v>
      </c>
      <c r="E200" s="106">
        <v>47517433.628901877</v>
      </c>
      <c r="F200" s="105">
        <v>106404470.7</v>
      </c>
      <c r="G200" s="107">
        <v>58887037.071098126</v>
      </c>
    </row>
    <row r="201" spans="1:7" x14ac:dyDescent="0.3">
      <c r="A201" s="102" t="s">
        <v>1170</v>
      </c>
      <c r="B201" s="103">
        <v>2025</v>
      </c>
      <c r="C201" s="104" t="s">
        <v>583</v>
      </c>
      <c r="D201" s="105">
        <v>2069</v>
      </c>
      <c r="E201" s="106">
        <v>298750127.88140857</v>
      </c>
      <c r="F201" s="105">
        <v>531949267.08000004</v>
      </c>
      <c r="G201" s="107">
        <v>233199139.19859147</v>
      </c>
    </row>
    <row r="202" spans="1:7" x14ac:dyDescent="0.3">
      <c r="A202" s="102" t="s">
        <v>1170</v>
      </c>
      <c r="B202" s="103">
        <v>2025</v>
      </c>
      <c r="C202" s="104" t="s">
        <v>589</v>
      </c>
      <c r="D202" s="105">
        <v>1715</v>
      </c>
      <c r="E202" s="106">
        <v>39338655.519371212</v>
      </c>
      <c r="F202" s="105">
        <v>68445550.039999992</v>
      </c>
      <c r="G202" s="107">
        <v>29106894.52062878</v>
      </c>
    </row>
    <row r="203" spans="1:7" x14ac:dyDescent="0.3">
      <c r="A203" s="102" t="s">
        <v>1170</v>
      </c>
      <c r="B203" s="103">
        <v>2025</v>
      </c>
      <c r="C203" s="104" t="s">
        <v>582</v>
      </c>
      <c r="D203" s="105">
        <v>8999</v>
      </c>
      <c r="E203" s="106">
        <v>139627128.62759855</v>
      </c>
      <c r="F203" s="105">
        <v>208781004.26000002</v>
      </c>
      <c r="G203" s="107">
        <v>69153875.632401466</v>
      </c>
    </row>
    <row r="204" spans="1:7" x14ac:dyDescent="0.3">
      <c r="A204" s="102" t="s">
        <v>1170</v>
      </c>
      <c r="B204" s="103">
        <v>2025</v>
      </c>
      <c r="C204" s="104" t="s">
        <v>593</v>
      </c>
      <c r="D204" s="105">
        <v>1602</v>
      </c>
      <c r="E204" s="106">
        <v>25553508.15393823</v>
      </c>
      <c r="F204" s="105">
        <v>40679894.490000002</v>
      </c>
      <c r="G204" s="107">
        <v>15126386.336061772</v>
      </c>
    </row>
    <row r="205" spans="1:7" x14ac:dyDescent="0.3">
      <c r="A205" s="102" t="s">
        <v>1170</v>
      </c>
      <c r="B205" s="103">
        <v>2025</v>
      </c>
      <c r="C205" s="104" t="s">
        <v>576</v>
      </c>
      <c r="D205" s="105">
        <v>3600</v>
      </c>
      <c r="E205" s="106">
        <v>108117555.00922893</v>
      </c>
      <c r="F205" s="105">
        <v>131636893.08</v>
      </c>
      <c r="G205" s="107">
        <v>23519338.070771068</v>
      </c>
    </row>
    <row r="206" spans="1:7" x14ac:dyDescent="0.3">
      <c r="A206" s="102" t="s">
        <v>1170</v>
      </c>
      <c r="B206" s="103">
        <v>2025</v>
      </c>
      <c r="C206" s="104" t="s">
        <v>581</v>
      </c>
      <c r="D206" s="105">
        <v>8667</v>
      </c>
      <c r="E206" s="106">
        <v>172900406.74676254</v>
      </c>
      <c r="F206" s="105">
        <v>208302291.68000004</v>
      </c>
      <c r="G206" s="107">
        <v>35401884.933237493</v>
      </c>
    </row>
    <row r="207" spans="1:7" x14ac:dyDescent="0.3">
      <c r="A207" s="102" t="s">
        <v>1170</v>
      </c>
      <c r="B207" s="103">
        <v>2025</v>
      </c>
      <c r="C207" s="104" t="s">
        <v>584</v>
      </c>
      <c r="D207" s="105">
        <v>2202</v>
      </c>
      <c r="E207" s="106">
        <v>51035424.616960593</v>
      </c>
      <c r="F207" s="105">
        <v>63163632.399999999</v>
      </c>
      <c r="G207" s="107">
        <v>12128207.783039406</v>
      </c>
    </row>
    <row r="208" spans="1:7" x14ac:dyDescent="0.3">
      <c r="A208" s="102" t="s">
        <v>1170</v>
      </c>
      <c r="B208" s="103">
        <v>2025</v>
      </c>
      <c r="C208" s="104" t="s">
        <v>586</v>
      </c>
      <c r="D208" s="105">
        <v>2158</v>
      </c>
      <c r="E208" s="106">
        <v>45251608.3868699</v>
      </c>
      <c r="F208" s="105">
        <v>84501195.939999998</v>
      </c>
      <c r="G208" s="107">
        <v>39249587.553130098</v>
      </c>
    </row>
    <row r="209" spans="1:7" x14ac:dyDescent="0.3">
      <c r="A209" s="102" t="s">
        <v>1170</v>
      </c>
      <c r="B209" s="103">
        <v>2025</v>
      </c>
      <c r="C209" s="104" t="s">
        <v>575</v>
      </c>
      <c r="D209" s="105">
        <v>1935</v>
      </c>
      <c r="E209" s="106">
        <v>65533468.171382651</v>
      </c>
      <c r="F209" s="105">
        <v>94152892.929999992</v>
      </c>
      <c r="G209" s="107">
        <v>28619424.758617342</v>
      </c>
    </row>
    <row r="210" spans="1:7" x14ac:dyDescent="0.3">
      <c r="A210" s="102" t="s">
        <v>1170</v>
      </c>
      <c r="B210" s="103">
        <v>2025</v>
      </c>
      <c r="C210" s="104" t="s">
        <v>578</v>
      </c>
      <c r="D210" s="105">
        <v>166080</v>
      </c>
      <c r="E210" s="106">
        <v>21602166.083036896</v>
      </c>
      <c r="F210" s="105">
        <v>43084578.449999996</v>
      </c>
      <c r="G210" s="107">
        <v>21482412.3669631</v>
      </c>
    </row>
    <row r="211" spans="1:7" x14ac:dyDescent="0.3">
      <c r="A211" s="102" t="s">
        <v>1170</v>
      </c>
      <c r="B211" s="103">
        <v>2025</v>
      </c>
      <c r="C211" s="104" t="s">
        <v>588</v>
      </c>
      <c r="D211" s="105">
        <v>5</v>
      </c>
      <c r="E211" s="106">
        <v>12125000</v>
      </c>
      <c r="F211" s="105">
        <v>16200000</v>
      </c>
      <c r="G211" s="107">
        <v>4075000</v>
      </c>
    </row>
    <row r="212" spans="1:7" x14ac:dyDescent="0.3">
      <c r="A212" s="102" t="s">
        <v>1170</v>
      </c>
      <c r="B212" s="103">
        <v>2025</v>
      </c>
      <c r="C212" s="104" t="s">
        <v>572</v>
      </c>
      <c r="D212" s="105">
        <v>39516</v>
      </c>
      <c r="E212" s="106">
        <v>275367692.73745728</v>
      </c>
      <c r="F212" s="105">
        <v>342461420.12</v>
      </c>
      <c r="G212" s="107">
        <v>67093727.382542729</v>
      </c>
    </row>
    <row r="213" spans="1:7" x14ac:dyDescent="0.3">
      <c r="A213" s="154" t="s">
        <v>1170</v>
      </c>
      <c r="B213" s="155">
        <v>2025</v>
      </c>
      <c r="C213" s="108" t="s">
        <v>590</v>
      </c>
      <c r="D213" s="109">
        <v>572</v>
      </c>
      <c r="E213" s="110">
        <v>70789873.381870165</v>
      </c>
      <c r="F213" s="109">
        <v>79050850</v>
      </c>
      <c r="G213" s="111">
        <v>8260976.6181298345</v>
      </c>
    </row>
    <row r="214" spans="1:7" x14ac:dyDescent="0.3">
      <c r="A214" s="154" t="s">
        <v>1170</v>
      </c>
      <c r="B214" s="103">
        <v>2026</v>
      </c>
      <c r="C214" s="104" t="s">
        <v>596</v>
      </c>
      <c r="D214" s="105">
        <v>40317</v>
      </c>
      <c r="E214" s="106">
        <v>13962215.757125268</v>
      </c>
      <c r="F214" s="105">
        <v>-371733.40999999992</v>
      </c>
      <c r="G214" s="107">
        <f>Tabla2[[#This Row],[PRECIO TOT]]-Tabla2[[#This Row],[CT]]</f>
        <v>-14333949.167125268</v>
      </c>
    </row>
    <row r="215" spans="1:7" x14ac:dyDescent="0.3">
      <c r="A215" s="154" t="s">
        <v>1170</v>
      </c>
      <c r="B215" s="103">
        <v>2026</v>
      </c>
      <c r="C215" s="104" t="s">
        <v>574</v>
      </c>
      <c r="D215" s="105">
        <v>1098800</v>
      </c>
      <c r="E215" s="106">
        <v>133598795.98239079</v>
      </c>
      <c r="F215" s="105">
        <v>127566164.34999999</v>
      </c>
      <c r="G215" s="107">
        <f>Tabla2[[#This Row],[PRECIO TOT]]-Tabla2[[#This Row],[CT]]</f>
        <v>-6032631.6323907971</v>
      </c>
    </row>
    <row r="216" spans="1:7" x14ac:dyDescent="0.3">
      <c r="A216" s="154" t="s">
        <v>1170</v>
      </c>
      <c r="B216" s="103">
        <v>2026</v>
      </c>
      <c r="C216" s="104" t="s">
        <v>595</v>
      </c>
      <c r="D216" s="105">
        <v>202</v>
      </c>
      <c r="E216" s="106">
        <v>21951409.412382256</v>
      </c>
      <c r="F216" s="105">
        <v>38989420.100000001</v>
      </c>
      <c r="G216" s="107">
        <f>Tabla2[[#This Row],[PRECIO TOT]]-Tabla2[[#This Row],[CT]]</f>
        <v>17038010.687617745</v>
      </c>
    </row>
    <row r="217" spans="1:7" x14ac:dyDescent="0.3">
      <c r="A217" s="154" t="s">
        <v>1170</v>
      </c>
      <c r="B217" s="103">
        <v>2026</v>
      </c>
      <c r="C217" s="104" t="s">
        <v>577</v>
      </c>
      <c r="D217" s="105">
        <v>10779</v>
      </c>
      <c r="E217" s="106">
        <v>181509424.14011195</v>
      </c>
      <c r="F217" s="105">
        <v>312923567.37999994</v>
      </c>
      <c r="G217" s="107">
        <f>Tabla2[[#This Row],[PRECIO TOT]]-Tabla2[[#This Row],[CT]]</f>
        <v>131414143.23988798</v>
      </c>
    </row>
    <row r="218" spans="1:7" x14ac:dyDescent="0.3">
      <c r="A218" s="154" t="s">
        <v>1170</v>
      </c>
      <c r="B218" s="103">
        <v>2026</v>
      </c>
      <c r="C218" s="104" t="s">
        <v>571</v>
      </c>
      <c r="D218" s="105">
        <v>932472</v>
      </c>
      <c r="E218" s="106">
        <v>305840948.27819264</v>
      </c>
      <c r="F218" s="105">
        <v>361578395.45999998</v>
      </c>
      <c r="G218" s="107">
        <f>Tabla2[[#This Row],[PRECIO TOT]]-Tabla2[[#This Row],[CT]]</f>
        <v>55737447.181807339</v>
      </c>
    </row>
    <row r="219" spans="1:7" x14ac:dyDescent="0.3">
      <c r="A219" s="154" t="s">
        <v>1170</v>
      </c>
      <c r="B219" s="103">
        <v>2026</v>
      </c>
      <c r="C219" s="104" t="s">
        <v>591</v>
      </c>
      <c r="D219" s="105">
        <v>113184</v>
      </c>
      <c r="E219" s="106">
        <v>47554082.473455667</v>
      </c>
      <c r="F219" s="105">
        <v>51687073.729999997</v>
      </c>
      <c r="G219" s="107">
        <f>Tabla2[[#This Row],[PRECIO TOT]]-Tabla2[[#This Row],[CT]]</f>
        <v>4132991.2565443292</v>
      </c>
    </row>
    <row r="220" spans="1:7" x14ac:dyDescent="0.3">
      <c r="A220" s="154" t="s">
        <v>1170</v>
      </c>
      <c r="B220" s="103">
        <v>2026</v>
      </c>
      <c r="C220" s="104" t="s">
        <v>594</v>
      </c>
      <c r="D220" s="105">
        <v>629</v>
      </c>
      <c r="E220" s="106">
        <v>12282459.293605259</v>
      </c>
      <c r="F220" s="105">
        <v>29975310.530000001</v>
      </c>
      <c r="G220" s="107">
        <f>Tabla2[[#This Row],[PRECIO TOT]]-Tabla2[[#This Row],[CT]]</f>
        <v>17692851.236394741</v>
      </c>
    </row>
    <row r="221" spans="1:7" x14ac:dyDescent="0.3">
      <c r="A221" s="154" t="s">
        <v>1170</v>
      </c>
      <c r="B221" s="103">
        <v>2026</v>
      </c>
      <c r="C221" s="104" t="s">
        <v>579</v>
      </c>
      <c r="D221" s="105">
        <v>40080</v>
      </c>
      <c r="E221" s="106">
        <v>212831816.07306823</v>
      </c>
      <c r="F221" s="105">
        <v>196471918.97</v>
      </c>
      <c r="G221" s="107">
        <f>Tabla2[[#This Row],[PRECIO TOT]]-Tabla2[[#This Row],[CT]]</f>
        <v>-16359897.103068233</v>
      </c>
    </row>
    <row r="222" spans="1:7" x14ac:dyDescent="0.3">
      <c r="A222" s="154" t="s">
        <v>1170</v>
      </c>
      <c r="B222" s="103">
        <v>2026</v>
      </c>
      <c r="C222" s="104" t="s">
        <v>599</v>
      </c>
      <c r="D222" s="105">
        <v>4460.3500000000004</v>
      </c>
      <c r="E222" s="106">
        <v>0</v>
      </c>
      <c r="F222" s="105">
        <v>10945785</v>
      </c>
      <c r="G222" s="107">
        <f>Tabla2[[#This Row],[PRECIO TOT]]-Tabla2[[#This Row],[CT]]</f>
        <v>10945785</v>
      </c>
    </row>
    <row r="223" spans="1:7" x14ac:dyDescent="0.3">
      <c r="A223" s="154" t="s">
        <v>1170</v>
      </c>
      <c r="B223" s="103">
        <v>2026</v>
      </c>
      <c r="C223" s="104" t="s">
        <v>597</v>
      </c>
      <c r="D223" s="105">
        <v>22</v>
      </c>
      <c r="E223" s="106">
        <v>1206768.7177928223</v>
      </c>
      <c r="F223" s="105">
        <v>2318435.9799999995</v>
      </c>
      <c r="G223" s="107">
        <f>Tabla2[[#This Row],[PRECIO TOT]]-Tabla2[[#This Row],[CT]]</f>
        <v>1111667.2622071772</v>
      </c>
    </row>
    <row r="224" spans="1:7" x14ac:dyDescent="0.3">
      <c r="A224" s="154" t="s">
        <v>1170</v>
      </c>
      <c r="B224" s="103">
        <v>2026</v>
      </c>
      <c r="C224" s="104" t="s">
        <v>600</v>
      </c>
      <c r="D224" s="105">
        <v>30</v>
      </c>
      <c r="E224" s="106">
        <v>217233.22776998259</v>
      </c>
      <c r="F224" s="105">
        <v>576340</v>
      </c>
      <c r="G224" s="107">
        <f>Tabla2[[#This Row],[PRECIO TOT]]-Tabla2[[#This Row],[CT]]</f>
        <v>359106.77223001741</v>
      </c>
    </row>
    <row r="225" spans="1:7" x14ac:dyDescent="0.3">
      <c r="A225" s="154" t="s">
        <v>1170</v>
      </c>
      <c r="B225" s="103">
        <v>2026</v>
      </c>
      <c r="C225" s="104" t="s">
        <v>570</v>
      </c>
      <c r="D225" s="105">
        <v>5272</v>
      </c>
      <c r="E225" s="106">
        <v>177471042.6977368</v>
      </c>
      <c r="F225" s="105">
        <v>333150804.01999998</v>
      </c>
      <c r="G225" s="107">
        <f>Tabla2[[#This Row],[PRECIO TOT]]-Tabla2[[#This Row],[CT]]</f>
        <v>155679761.32226318</v>
      </c>
    </row>
    <row r="226" spans="1:7" x14ac:dyDescent="0.3">
      <c r="A226" s="154" t="s">
        <v>1170</v>
      </c>
      <c r="B226" s="103">
        <v>2026</v>
      </c>
      <c r="C226" s="104" t="s">
        <v>598</v>
      </c>
      <c r="D226" s="105">
        <v>180</v>
      </c>
      <c r="E226" s="106">
        <v>3589301.8969736709</v>
      </c>
      <c r="F226" s="105">
        <v>5635980.2199999997</v>
      </c>
      <c r="G226" s="107">
        <f>Tabla2[[#This Row],[PRECIO TOT]]-Tabla2[[#This Row],[CT]]</f>
        <v>2046678.3230263288</v>
      </c>
    </row>
    <row r="227" spans="1:7" x14ac:dyDescent="0.3">
      <c r="A227" s="154" t="s">
        <v>1170</v>
      </c>
      <c r="B227" s="103">
        <v>2026</v>
      </c>
      <c r="C227" s="104" t="s">
        <v>580</v>
      </c>
      <c r="D227" s="105">
        <v>2848</v>
      </c>
      <c r="E227" s="106">
        <v>120590817.71677342</v>
      </c>
      <c r="F227" s="105">
        <v>207720985.98000002</v>
      </c>
      <c r="G227" s="107">
        <f>Tabla2[[#This Row],[PRECIO TOT]]-Tabla2[[#This Row],[CT]]</f>
        <v>87130168.263226599</v>
      </c>
    </row>
    <row r="228" spans="1:7" x14ac:dyDescent="0.3">
      <c r="A228" s="154" t="s">
        <v>1170</v>
      </c>
      <c r="B228" s="103">
        <v>2026</v>
      </c>
      <c r="C228" s="104" t="s">
        <v>585</v>
      </c>
      <c r="D228" s="105">
        <v>1702</v>
      </c>
      <c r="E228" s="106">
        <v>86729291.193674892</v>
      </c>
      <c r="F228" s="105">
        <v>168941010.64000002</v>
      </c>
      <c r="G228" s="107">
        <f>Tabla2[[#This Row],[PRECIO TOT]]-Tabla2[[#This Row],[CT]]</f>
        <v>82211719.446325123</v>
      </c>
    </row>
    <row r="229" spans="1:7" x14ac:dyDescent="0.3">
      <c r="A229" s="154" t="s">
        <v>1170</v>
      </c>
      <c r="B229" s="103">
        <v>2026</v>
      </c>
      <c r="C229" s="104" t="s">
        <v>573</v>
      </c>
      <c r="D229" s="105">
        <v>6346</v>
      </c>
      <c r="E229" s="106">
        <v>349477533.64949709</v>
      </c>
      <c r="F229" s="105">
        <v>560663067.76999998</v>
      </c>
      <c r="G229" s="107">
        <f>Tabla2[[#This Row],[PRECIO TOT]]-Tabla2[[#This Row],[CT]]</f>
        <v>211185534.12050289</v>
      </c>
    </row>
    <row r="230" spans="1:7" x14ac:dyDescent="0.3">
      <c r="A230" s="154" t="s">
        <v>1170</v>
      </c>
      <c r="B230" s="103">
        <v>2026</v>
      </c>
      <c r="C230" s="104" t="s">
        <v>592</v>
      </c>
      <c r="D230" s="105">
        <v>570</v>
      </c>
      <c r="E230" s="106">
        <v>39217211.685459152</v>
      </c>
      <c r="F230" s="105">
        <v>62880874.720000006</v>
      </c>
      <c r="G230" s="107">
        <f>Tabla2[[#This Row],[PRECIO TOT]]-Tabla2[[#This Row],[CT]]</f>
        <v>23663663.034540854</v>
      </c>
    </row>
    <row r="231" spans="1:7" x14ac:dyDescent="0.3">
      <c r="A231" s="154" t="s">
        <v>1170</v>
      </c>
      <c r="B231" s="103">
        <v>2026</v>
      </c>
      <c r="C231" s="104" t="s">
        <v>587</v>
      </c>
      <c r="D231" s="105">
        <v>366</v>
      </c>
      <c r="E231" s="106">
        <v>57694600.935096808</v>
      </c>
      <c r="F231" s="105">
        <v>103639966.71000001</v>
      </c>
      <c r="G231" s="107">
        <f>Tabla2[[#This Row],[PRECIO TOT]]-Tabla2[[#This Row],[CT]]</f>
        <v>45945365.774903201</v>
      </c>
    </row>
    <row r="232" spans="1:7" x14ac:dyDescent="0.3">
      <c r="A232" s="154" t="s">
        <v>1170</v>
      </c>
      <c r="B232" s="103">
        <v>2026</v>
      </c>
      <c r="C232" s="104" t="s">
        <v>583</v>
      </c>
      <c r="D232" s="105">
        <v>2163</v>
      </c>
      <c r="E232" s="106">
        <v>391520292.03179479</v>
      </c>
      <c r="F232" s="105">
        <v>613393312.25000012</v>
      </c>
      <c r="G232" s="107">
        <f>Tabla2[[#This Row],[PRECIO TOT]]-Tabla2[[#This Row],[CT]]</f>
        <v>221873020.21820533</v>
      </c>
    </row>
    <row r="233" spans="1:7" x14ac:dyDescent="0.3">
      <c r="A233" s="154" t="s">
        <v>1170</v>
      </c>
      <c r="B233" s="103">
        <v>2026</v>
      </c>
      <c r="C233" s="104" t="s">
        <v>589</v>
      </c>
      <c r="D233" s="105">
        <v>313</v>
      </c>
      <c r="E233" s="106">
        <v>9280498.6601658072</v>
      </c>
      <c r="F233" s="105">
        <v>17540754.43</v>
      </c>
      <c r="G233" s="107">
        <f>Tabla2[[#This Row],[PRECIO TOT]]-Tabla2[[#This Row],[CT]]</f>
        <v>8260255.7698341925</v>
      </c>
    </row>
    <row r="234" spans="1:7" x14ac:dyDescent="0.3">
      <c r="A234" s="154" t="s">
        <v>1170</v>
      </c>
      <c r="B234" s="103">
        <v>2026</v>
      </c>
      <c r="C234" s="104" t="s">
        <v>582</v>
      </c>
      <c r="D234" s="105">
        <v>5854</v>
      </c>
      <c r="E234" s="106">
        <v>99859949.114426047</v>
      </c>
      <c r="F234" s="105">
        <v>137002782.72999999</v>
      </c>
      <c r="G234" s="107">
        <f>Tabla2[[#This Row],[PRECIO TOT]]-Tabla2[[#This Row],[CT]]</f>
        <v>37142833.615573943</v>
      </c>
    </row>
    <row r="235" spans="1:7" x14ac:dyDescent="0.3">
      <c r="A235" s="154" t="s">
        <v>1170</v>
      </c>
      <c r="B235" s="103">
        <v>2026</v>
      </c>
      <c r="C235" s="104" t="s">
        <v>593</v>
      </c>
      <c r="D235" s="105">
        <v>1158</v>
      </c>
      <c r="E235" s="106">
        <v>21491172.983119804</v>
      </c>
      <c r="F235" s="105">
        <v>29417978</v>
      </c>
      <c r="G235" s="107">
        <f>Tabla2[[#This Row],[PRECIO TOT]]-Tabla2[[#This Row],[CT]]</f>
        <v>7926805.0168801956</v>
      </c>
    </row>
    <row r="236" spans="1:7" x14ac:dyDescent="0.3">
      <c r="A236" s="154" t="s">
        <v>1170</v>
      </c>
      <c r="B236" s="103">
        <v>2026</v>
      </c>
      <c r="C236" s="104" t="s">
        <v>576</v>
      </c>
      <c r="D236" s="105">
        <v>1287</v>
      </c>
      <c r="E236" s="106">
        <v>33392796.121672839</v>
      </c>
      <c r="F236" s="105">
        <v>48345821.68</v>
      </c>
      <c r="G236" s="107">
        <f>Tabla2[[#This Row],[PRECIO TOT]]-Tabla2[[#This Row],[CT]]</f>
        <v>14953025.558327161</v>
      </c>
    </row>
    <row r="237" spans="1:7" x14ac:dyDescent="0.3">
      <c r="A237" s="154" t="s">
        <v>1170</v>
      </c>
      <c r="B237" s="103">
        <v>2026</v>
      </c>
      <c r="C237" s="104" t="s">
        <v>581</v>
      </c>
      <c r="D237" s="105">
        <v>6579</v>
      </c>
      <c r="E237" s="106">
        <v>126728824.65890692</v>
      </c>
      <c r="F237" s="105">
        <v>160655968.37999997</v>
      </c>
      <c r="G237" s="107">
        <f>Tabla2[[#This Row],[PRECIO TOT]]-Tabla2[[#This Row],[CT]]</f>
        <v>33927143.721093044</v>
      </c>
    </row>
    <row r="238" spans="1:7" x14ac:dyDescent="0.3">
      <c r="A238" s="154" t="s">
        <v>1170</v>
      </c>
      <c r="B238" s="103">
        <v>2026</v>
      </c>
      <c r="C238" s="104" t="s">
        <v>584</v>
      </c>
      <c r="D238" s="105">
        <v>3062</v>
      </c>
      <c r="E238" s="106">
        <v>72529733.150353432</v>
      </c>
      <c r="F238" s="105">
        <v>88216962.189999998</v>
      </c>
      <c r="G238" s="107">
        <f>Tabla2[[#This Row],[PRECIO TOT]]-Tabla2[[#This Row],[CT]]</f>
        <v>15687229.039646566</v>
      </c>
    </row>
    <row r="239" spans="1:7" x14ac:dyDescent="0.3">
      <c r="A239" s="154" t="s">
        <v>1170</v>
      </c>
      <c r="B239" s="103">
        <v>2026</v>
      </c>
      <c r="C239" s="104" t="s">
        <v>586</v>
      </c>
      <c r="D239" s="105">
        <v>1538</v>
      </c>
      <c r="E239" s="106">
        <v>35232257.320571475</v>
      </c>
      <c r="F239" s="105">
        <v>60958972.589999996</v>
      </c>
      <c r="G239" s="107">
        <f>Tabla2[[#This Row],[PRECIO TOT]]-Tabla2[[#This Row],[CT]]</f>
        <v>25726715.269428521</v>
      </c>
    </row>
    <row r="240" spans="1:7" x14ac:dyDescent="0.3">
      <c r="A240" s="154" t="s">
        <v>1170</v>
      </c>
      <c r="B240" s="103">
        <v>2026</v>
      </c>
      <c r="C240" s="104" t="s">
        <v>575</v>
      </c>
      <c r="D240" s="105">
        <v>2506</v>
      </c>
      <c r="E240" s="106">
        <v>77739019.132348582</v>
      </c>
      <c r="F240" s="105">
        <v>117965501.02</v>
      </c>
      <c r="G240" s="107">
        <f>Tabla2[[#This Row],[PRECIO TOT]]-Tabla2[[#This Row],[CT]]</f>
        <v>40226481.887651414</v>
      </c>
    </row>
    <row r="241" spans="1:7" x14ac:dyDescent="0.3">
      <c r="A241" s="154" t="s">
        <v>1170</v>
      </c>
      <c r="B241" s="103">
        <v>2026</v>
      </c>
      <c r="C241" s="104" t="s">
        <v>578</v>
      </c>
      <c r="D241" s="105">
        <v>239769</v>
      </c>
      <c r="E241" s="106">
        <v>43790674.251574822</v>
      </c>
      <c r="F241" s="105">
        <v>57960418.870000005</v>
      </c>
      <c r="G241" s="107">
        <f>Tabla2[[#This Row],[PRECIO TOT]]-Tabla2[[#This Row],[CT]]</f>
        <v>14169744.618425183</v>
      </c>
    </row>
    <row r="242" spans="1:7" x14ac:dyDescent="0.3">
      <c r="A242" s="154" t="s">
        <v>1170</v>
      </c>
      <c r="B242" s="103">
        <v>2026</v>
      </c>
      <c r="C242" s="104" t="s">
        <v>572</v>
      </c>
      <c r="D242" s="105">
        <v>57278</v>
      </c>
      <c r="E242" s="106">
        <v>347208439.81005007</v>
      </c>
      <c r="F242" s="105">
        <v>474092959.73000008</v>
      </c>
      <c r="G242" s="107">
        <f>Tabla2[[#This Row],[PRECIO TOT]]-Tabla2[[#This Row],[CT]]</f>
        <v>126884519.91995001</v>
      </c>
    </row>
    <row r="243" spans="1:7" x14ac:dyDescent="0.3">
      <c r="A243" s="154" t="s">
        <v>1170</v>
      </c>
      <c r="B243" s="103">
        <v>2026</v>
      </c>
      <c r="C243" s="108" t="s">
        <v>590</v>
      </c>
      <c r="D243" s="109">
        <v>6684</v>
      </c>
      <c r="E243" s="110">
        <v>653197267.69395888</v>
      </c>
      <c r="F243" s="109">
        <v>735565422</v>
      </c>
      <c r="G243" s="111">
        <f>Tabla2[[#This Row],[PRECIO TOT]]-Tabla2[[#This Row],[CT]]</f>
        <v>82368154.306041121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DF42-7980-4CA9-918E-2D6CF8F89B1E}">
  <sheetPr codeName="Hoja10"/>
  <dimension ref="A1:G187"/>
  <sheetViews>
    <sheetView workbookViewId="0">
      <pane ySplit="1" topLeftCell="A160" activePane="bottomLeft" state="frozen"/>
      <selection activeCell="C480" sqref="C480"/>
      <selection pane="bottomLeft" activeCell="C173" sqref="C173"/>
    </sheetView>
  </sheetViews>
  <sheetFormatPr baseColWidth="10" defaultColWidth="11.33203125" defaultRowHeight="14.4" x14ac:dyDescent="0.3"/>
  <cols>
    <col min="1" max="2" width="10.6640625" bestFit="1" customWidth="1"/>
    <col min="3" max="3" width="31.88671875" bestFit="1" customWidth="1"/>
    <col min="4" max="4" width="10.5546875" bestFit="1" customWidth="1"/>
    <col min="5" max="5" width="11.109375" bestFit="1" customWidth="1"/>
    <col min="6" max="6" width="18" bestFit="1" customWidth="1"/>
    <col min="7" max="7" width="12.5546875" bestFit="1" customWidth="1"/>
  </cols>
  <sheetData>
    <row r="1" spans="1:7" x14ac:dyDescent="0.3">
      <c r="A1" s="97" t="s">
        <v>828</v>
      </c>
      <c r="B1" s="98" t="s">
        <v>829</v>
      </c>
      <c r="C1" s="99" t="s">
        <v>2</v>
      </c>
      <c r="D1" s="100" t="s">
        <v>5</v>
      </c>
      <c r="E1" s="100" t="s">
        <v>15</v>
      </c>
      <c r="F1" s="98" t="s">
        <v>830</v>
      </c>
      <c r="G1" s="101" t="s">
        <v>831</v>
      </c>
    </row>
    <row r="2" spans="1:7" x14ac:dyDescent="0.3">
      <c r="A2" s="102" t="s">
        <v>832</v>
      </c>
      <c r="B2" s="103">
        <v>2025</v>
      </c>
      <c r="C2" s="104" t="s">
        <v>596</v>
      </c>
      <c r="D2" s="104">
        <v>39980</v>
      </c>
      <c r="E2" s="104">
        <v>3582694.6335674142</v>
      </c>
      <c r="F2" s="104">
        <v>9347898.5699999984</v>
      </c>
      <c r="G2" s="107">
        <f>Tabla22[[#This Row],[PRECIO TOT]]-Tabla22[[#This Row],[CT]]</f>
        <v>5765203.9364325842</v>
      </c>
    </row>
    <row r="3" spans="1:7" x14ac:dyDescent="0.3">
      <c r="A3" s="102" t="s">
        <v>832</v>
      </c>
      <c r="B3" s="103">
        <v>2025</v>
      </c>
      <c r="C3" s="104" t="s">
        <v>574</v>
      </c>
      <c r="D3" s="104">
        <v>967000</v>
      </c>
      <c r="E3" s="104">
        <v>65875862.345875449</v>
      </c>
      <c r="F3" s="104">
        <v>109611973.89</v>
      </c>
      <c r="G3" s="107">
        <f>Tabla22[[#This Row],[PRECIO TOT]]-Tabla22[[#This Row],[CT]]</f>
        <v>43736111.544124551</v>
      </c>
    </row>
    <row r="4" spans="1:7" x14ac:dyDescent="0.3">
      <c r="A4" s="102" t="s">
        <v>832</v>
      </c>
      <c r="B4" s="103">
        <v>2025</v>
      </c>
      <c r="C4" s="104" t="s">
        <v>595</v>
      </c>
      <c r="D4" s="104">
        <v>108</v>
      </c>
      <c r="E4" s="104">
        <v>7610173.8775294218</v>
      </c>
      <c r="F4" s="104">
        <v>14554425.430000002</v>
      </c>
      <c r="G4" s="107">
        <f>Tabla22[[#This Row],[PRECIO TOT]]-Tabla22[[#This Row],[CT]]</f>
        <v>6944251.5524705797</v>
      </c>
    </row>
    <row r="5" spans="1:7" x14ac:dyDescent="0.3">
      <c r="A5" s="102" t="s">
        <v>832</v>
      </c>
      <c r="B5" s="103">
        <v>2025</v>
      </c>
      <c r="C5" s="104" t="s">
        <v>577</v>
      </c>
      <c r="D5" s="104">
        <v>13580</v>
      </c>
      <c r="E5" s="104">
        <v>184797331.76977587</v>
      </c>
      <c r="F5" s="104">
        <v>383138350.85999995</v>
      </c>
      <c r="G5" s="107">
        <f>Tabla22[[#This Row],[PRECIO TOT]]-Tabla22[[#This Row],[CT]]</f>
        <v>198341019.09022409</v>
      </c>
    </row>
    <row r="6" spans="1:7" x14ac:dyDescent="0.3">
      <c r="A6" s="102" t="s">
        <v>832</v>
      </c>
      <c r="B6" s="103">
        <v>2025</v>
      </c>
      <c r="C6" s="104" t="s">
        <v>824</v>
      </c>
      <c r="D6" s="104">
        <v>994800</v>
      </c>
      <c r="E6" s="104">
        <v>258682253.38106808</v>
      </c>
      <c r="F6" s="104">
        <v>392934278.35000002</v>
      </c>
      <c r="G6" s="107">
        <f>Tabla22[[#This Row],[PRECIO TOT]]-Tabla22[[#This Row],[CT]]</f>
        <v>134252024.96893194</v>
      </c>
    </row>
    <row r="7" spans="1:7" x14ac:dyDescent="0.3">
      <c r="A7" s="102" t="s">
        <v>832</v>
      </c>
      <c r="B7" s="103">
        <v>2025</v>
      </c>
      <c r="C7" s="104" t="s">
        <v>594</v>
      </c>
      <c r="D7" s="104">
        <v>1098</v>
      </c>
      <c r="E7" s="104">
        <v>21098462.561557997</v>
      </c>
      <c r="F7" s="104">
        <v>52720977.259999998</v>
      </c>
      <c r="G7" s="107">
        <f>Tabla22[[#This Row],[PRECIO TOT]]-Tabla22[[#This Row],[CT]]</f>
        <v>31622514.698442001</v>
      </c>
    </row>
    <row r="8" spans="1:7" x14ac:dyDescent="0.3">
      <c r="A8" s="102" t="s">
        <v>832</v>
      </c>
      <c r="B8" s="103">
        <v>2025</v>
      </c>
      <c r="C8" s="104" t="s">
        <v>579</v>
      </c>
      <c r="D8" s="104">
        <v>25344</v>
      </c>
      <c r="E8" s="104">
        <v>115985610.96308841</v>
      </c>
      <c r="F8" s="104">
        <v>128702660.54000001</v>
      </c>
      <c r="G8" s="107">
        <f>Tabla22[[#This Row],[PRECIO TOT]]-Tabla22[[#This Row],[CT]]</f>
        <v>12717049.576911598</v>
      </c>
    </row>
    <row r="9" spans="1:7" x14ac:dyDescent="0.3">
      <c r="A9" s="102" t="s">
        <v>832</v>
      </c>
      <c r="B9" s="103">
        <v>2025</v>
      </c>
      <c r="C9" s="104" t="s">
        <v>597</v>
      </c>
      <c r="D9" s="104">
        <v>30</v>
      </c>
      <c r="E9" s="104">
        <v>2303610.8078762721</v>
      </c>
      <c r="F9" s="104">
        <v>4586978.66</v>
      </c>
      <c r="G9" s="107">
        <f>Tabla22[[#This Row],[PRECIO TOT]]-Tabla22[[#This Row],[CT]]</f>
        <v>2283367.852123728</v>
      </c>
    </row>
    <row r="10" spans="1:7" x14ac:dyDescent="0.3">
      <c r="A10" s="102" t="s">
        <v>832</v>
      </c>
      <c r="B10" s="103">
        <v>2025</v>
      </c>
      <c r="C10" s="104" t="s">
        <v>600</v>
      </c>
      <c r="D10" s="104">
        <v>7</v>
      </c>
      <c r="E10" s="104">
        <v>51562.599194635339</v>
      </c>
      <c r="F10" s="104">
        <v>121345.2</v>
      </c>
      <c r="G10" s="107">
        <f>Tabla22[[#This Row],[PRECIO TOT]]-Tabla22[[#This Row],[CT]]</f>
        <v>69782.600805364666</v>
      </c>
    </row>
    <row r="11" spans="1:7" x14ac:dyDescent="0.3">
      <c r="A11" s="102" t="s">
        <v>832</v>
      </c>
      <c r="B11" s="103">
        <v>2025</v>
      </c>
      <c r="C11" s="104" t="s">
        <v>570</v>
      </c>
      <c r="D11" s="104">
        <v>7447</v>
      </c>
      <c r="E11" s="104">
        <v>198917473.74059215</v>
      </c>
      <c r="F11" s="104">
        <v>482818736.01999998</v>
      </c>
      <c r="G11" s="107">
        <f>Tabla22[[#This Row],[PRECIO TOT]]-Tabla22[[#This Row],[CT]]</f>
        <v>283901262.27940786</v>
      </c>
    </row>
    <row r="12" spans="1:7" x14ac:dyDescent="0.3">
      <c r="A12" s="102" t="s">
        <v>832</v>
      </c>
      <c r="B12" s="103">
        <v>2025</v>
      </c>
      <c r="C12" s="104" t="s">
        <v>598</v>
      </c>
      <c r="D12" s="104">
        <v>15</v>
      </c>
      <c r="E12" s="104">
        <v>472153.68627524067</v>
      </c>
      <c r="F12" s="104">
        <v>706275.01</v>
      </c>
      <c r="G12" s="107">
        <f>Tabla22[[#This Row],[PRECIO TOT]]-Tabla22[[#This Row],[CT]]</f>
        <v>234121.32372475934</v>
      </c>
    </row>
    <row r="13" spans="1:7" x14ac:dyDescent="0.3">
      <c r="A13" s="102" t="s">
        <v>832</v>
      </c>
      <c r="B13" s="103">
        <v>2025</v>
      </c>
      <c r="C13" s="104" t="s">
        <v>826</v>
      </c>
      <c r="D13" s="104">
        <v>2647</v>
      </c>
      <c r="E13" s="104">
        <v>101844941.85737881</v>
      </c>
      <c r="F13" s="104">
        <v>208832052.26999998</v>
      </c>
      <c r="G13" s="107">
        <f>Tabla22[[#This Row],[PRECIO TOT]]-Tabla22[[#This Row],[CT]]</f>
        <v>106987110.41262117</v>
      </c>
    </row>
    <row r="14" spans="1:7" x14ac:dyDescent="0.3">
      <c r="A14" s="102" t="s">
        <v>832</v>
      </c>
      <c r="B14" s="103">
        <v>2025</v>
      </c>
      <c r="C14" s="104" t="s">
        <v>823</v>
      </c>
      <c r="D14" s="104">
        <v>4584</v>
      </c>
      <c r="E14" s="104">
        <v>253993463.64251488</v>
      </c>
      <c r="F14" s="104">
        <v>423717359.18999994</v>
      </c>
      <c r="G14" s="107">
        <f>Tabla22[[#This Row],[PRECIO TOT]]-Tabla22[[#This Row],[CT]]</f>
        <v>169723895.54748505</v>
      </c>
    </row>
    <row r="15" spans="1:7" x14ac:dyDescent="0.3">
      <c r="A15" s="102" t="s">
        <v>832</v>
      </c>
      <c r="B15" s="103">
        <v>2025</v>
      </c>
      <c r="C15" s="104" t="s">
        <v>587</v>
      </c>
      <c r="D15" s="104">
        <v>605</v>
      </c>
      <c r="E15" s="104">
        <v>54637714.266098812</v>
      </c>
      <c r="F15" s="104">
        <v>125697720.33999999</v>
      </c>
      <c r="G15" s="107">
        <f>Tabla22[[#This Row],[PRECIO TOT]]-Tabla22[[#This Row],[CT]]</f>
        <v>71060006.073901176</v>
      </c>
    </row>
    <row r="16" spans="1:7" x14ac:dyDescent="0.3">
      <c r="A16" s="102" t="s">
        <v>832</v>
      </c>
      <c r="B16" s="103">
        <v>2025</v>
      </c>
      <c r="C16" s="104" t="s">
        <v>583</v>
      </c>
      <c r="D16" s="104">
        <v>2412</v>
      </c>
      <c r="E16" s="104">
        <v>345756752.03727704</v>
      </c>
      <c r="F16" s="104">
        <v>613026214.70999992</v>
      </c>
      <c r="G16" s="107">
        <f>Tabla22[[#This Row],[PRECIO TOT]]-Tabla22[[#This Row],[CT]]</f>
        <v>267269462.67272288</v>
      </c>
    </row>
    <row r="17" spans="1:7" x14ac:dyDescent="0.3">
      <c r="A17" s="102" t="s">
        <v>832</v>
      </c>
      <c r="B17" s="103">
        <v>2025</v>
      </c>
      <c r="C17" s="104" t="s">
        <v>827</v>
      </c>
      <c r="D17" s="104">
        <v>12405</v>
      </c>
      <c r="E17" s="104">
        <v>179987951.11415988</v>
      </c>
      <c r="F17" s="104">
        <v>306401465.83999997</v>
      </c>
      <c r="G17" s="107">
        <f>Tabla22[[#This Row],[PRECIO TOT]]-Tabla22[[#This Row],[CT]]</f>
        <v>126413514.72584009</v>
      </c>
    </row>
    <row r="18" spans="1:7" x14ac:dyDescent="0.3">
      <c r="A18" s="102" t="s">
        <v>832</v>
      </c>
      <c r="B18" s="103">
        <v>2025</v>
      </c>
      <c r="C18" s="104" t="s">
        <v>825</v>
      </c>
      <c r="D18" s="104">
        <v>19902</v>
      </c>
      <c r="E18" s="104">
        <v>408804812.47175783</v>
      </c>
      <c r="F18" s="104">
        <v>536000718.70999998</v>
      </c>
      <c r="G18" s="107">
        <f>Tabla22[[#This Row],[PRECIO TOT]]-Tabla22[[#This Row],[CT]]</f>
        <v>127195906.23824215</v>
      </c>
    </row>
    <row r="19" spans="1:7" x14ac:dyDescent="0.3">
      <c r="A19" s="102" t="s">
        <v>832</v>
      </c>
      <c r="B19" s="103">
        <v>2025</v>
      </c>
      <c r="C19" s="104" t="s">
        <v>586</v>
      </c>
      <c r="D19" s="104">
        <v>1434</v>
      </c>
      <c r="E19" s="104">
        <v>27935612.763050392</v>
      </c>
      <c r="F19" s="104">
        <v>57842900.739999995</v>
      </c>
      <c r="G19" s="107">
        <f>Tabla22[[#This Row],[PRECIO TOT]]-Tabla22[[#This Row],[CT]]</f>
        <v>29907287.976949602</v>
      </c>
    </row>
    <row r="20" spans="1:7" x14ac:dyDescent="0.3">
      <c r="A20" s="102" t="s">
        <v>832</v>
      </c>
      <c r="B20" s="103">
        <v>2025</v>
      </c>
      <c r="C20" s="104" t="s">
        <v>575</v>
      </c>
      <c r="D20" s="104">
        <v>3190</v>
      </c>
      <c r="E20" s="104">
        <v>97525304.470523119</v>
      </c>
      <c r="F20" s="104">
        <v>146997241.19000003</v>
      </c>
      <c r="G20" s="107">
        <f>Tabla22[[#This Row],[PRECIO TOT]]-Tabla22[[#This Row],[CT]]</f>
        <v>49471936.719476908</v>
      </c>
    </row>
    <row r="21" spans="1:7" x14ac:dyDescent="0.3">
      <c r="A21" s="102" t="s">
        <v>832</v>
      </c>
      <c r="B21" s="103">
        <v>2025</v>
      </c>
      <c r="C21" s="104" t="s">
        <v>578</v>
      </c>
      <c r="D21" s="104">
        <v>310378</v>
      </c>
      <c r="E21" s="104">
        <v>35754567.112487748</v>
      </c>
      <c r="F21" s="104">
        <v>75256586.349999994</v>
      </c>
      <c r="G21" s="107">
        <f>Tabla22[[#This Row],[PRECIO TOT]]-Tabla22[[#This Row],[CT]]</f>
        <v>39502019.237512246</v>
      </c>
    </row>
    <row r="22" spans="1:7" x14ac:dyDescent="0.3">
      <c r="A22" s="102" t="s">
        <v>832</v>
      </c>
      <c r="B22" s="103">
        <v>2025</v>
      </c>
      <c r="C22" s="104" t="s">
        <v>599</v>
      </c>
      <c r="D22" s="104">
        <v>1500</v>
      </c>
      <c r="E22" s="104">
        <v>0</v>
      </c>
      <c r="F22" s="104">
        <v>525000</v>
      </c>
      <c r="G22" s="107">
        <f>Tabla22[[#This Row],[PRECIO TOT]]-Tabla22[[#This Row],[CT]]</f>
        <v>525000</v>
      </c>
    </row>
    <row r="23" spans="1:7" x14ac:dyDescent="0.3">
      <c r="A23" s="102" t="s">
        <v>832</v>
      </c>
      <c r="B23" s="103">
        <v>2025</v>
      </c>
      <c r="C23" s="104" t="s">
        <v>588</v>
      </c>
      <c r="D23" s="104">
        <v>9</v>
      </c>
      <c r="E23" s="104">
        <v>21825000</v>
      </c>
      <c r="F23" s="104">
        <v>29160000</v>
      </c>
      <c r="G23" s="107">
        <f>Tabla22[[#This Row],[PRECIO TOT]]-Tabla22[[#This Row],[CT]]</f>
        <v>7335000</v>
      </c>
    </row>
    <row r="24" spans="1:7" x14ac:dyDescent="0.3">
      <c r="A24" s="102" t="s">
        <v>832</v>
      </c>
      <c r="B24" s="103">
        <v>2025</v>
      </c>
      <c r="C24" s="104" t="s">
        <v>572</v>
      </c>
      <c r="D24" s="104">
        <v>42937</v>
      </c>
      <c r="E24" s="104">
        <v>275024738.8488853</v>
      </c>
      <c r="F24" s="104">
        <v>350318589.98000002</v>
      </c>
      <c r="G24" s="107">
        <f>Tabla22[[#This Row],[PRECIO TOT]]-Tabla22[[#This Row],[CT]]</f>
        <v>75293851.131114721</v>
      </c>
    </row>
    <row r="25" spans="1:7" x14ac:dyDescent="0.3">
      <c r="A25" s="102" t="s">
        <v>832</v>
      </c>
      <c r="B25" s="103">
        <v>2025</v>
      </c>
      <c r="C25" s="104" t="s">
        <v>590</v>
      </c>
      <c r="D25" s="104">
        <v>431</v>
      </c>
      <c r="E25" s="104">
        <v>46953030.143557362</v>
      </c>
      <c r="F25" s="104">
        <v>54150960</v>
      </c>
      <c r="G25" s="107">
        <f>Tabla22[[#This Row],[PRECIO TOT]]-Tabla22[[#This Row],[CT]]</f>
        <v>7197929.8564426377</v>
      </c>
    </row>
    <row r="26" spans="1:7" x14ac:dyDescent="0.3">
      <c r="A26" s="102" t="s">
        <v>832</v>
      </c>
      <c r="B26" s="103">
        <v>2026</v>
      </c>
      <c r="C26" s="104" t="s">
        <v>596</v>
      </c>
      <c r="D26" s="105">
        <v>43103</v>
      </c>
      <c r="E26" s="106">
        <v>13692455.695450317</v>
      </c>
      <c r="F26" s="105">
        <v>10984624.32</v>
      </c>
      <c r="G26" s="107">
        <f>Tabla22[[#This Row],[PRECIO TOT]]-Tabla22[[#This Row],[CT]]</f>
        <v>-2707831.3754503168</v>
      </c>
    </row>
    <row r="27" spans="1:7" x14ac:dyDescent="0.3">
      <c r="A27" s="102" t="s">
        <v>832</v>
      </c>
      <c r="B27" s="103">
        <v>2026</v>
      </c>
      <c r="C27" s="104" t="s">
        <v>574</v>
      </c>
      <c r="D27" s="105">
        <v>759000</v>
      </c>
      <c r="E27" s="106">
        <v>81144250.449661165</v>
      </c>
      <c r="F27" s="105">
        <v>87558403.300000012</v>
      </c>
      <c r="G27" s="107">
        <f>Tabla22[[#This Row],[PRECIO TOT]]-Tabla22[[#This Row],[CT]]</f>
        <v>6414152.8503388464</v>
      </c>
    </row>
    <row r="28" spans="1:7" x14ac:dyDescent="0.3">
      <c r="A28" s="102" t="s">
        <v>832</v>
      </c>
      <c r="B28" s="103">
        <v>2026</v>
      </c>
      <c r="C28" s="104" t="s">
        <v>595</v>
      </c>
      <c r="D28" s="105">
        <v>17</v>
      </c>
      <c r="E28" s="106">
        <v>2454655.3123360309</v>
      </c>
      <c r="F28" s="105">
        <v>4914345.6100000003</v>
      </c>
      <c r="G28" s="107">
        <f>Tabla22[[#This Row],[PRECIO TOT]]-Tabla22[[#This Row],[CT]]</f>
        <v>2459690.2976639695</v>
      </c>
    </row>
    <row r="29" spans="1:7" x14ac:dyDescent="0.3">
      <c r="A29" s="102" t="s">
        <v>832</v>
      </c>
      <c r="B29" s="103">
        <v>2026</v>
      </c>
      <c r="C29" s="104" t="s">
        <v>577</v>
      </c>
      <c r="D29" s="105">
        <v>10268</v>
      </c>
      <c r="E29" s="106">
        <v>187888037.39188853</v>
      </c>
      <c r="F29" s="105">
        <v>336676128.90999997</v>
      </c>
      <c r="G29" s="107">
        <f>Tabla22[[#This Row],[PRECIO TOT]]-Tabla22[[#This Row],[CT]]</f>
        <v>148788091.51811144</v>
      </c>
    </row>
    <row r="30" spans="1:7" x14ac:dyDescent="0.3">
      <c r="A30" s="102" t="s">
        <v>832</v>
      </c>
      <c r="B30" s="103">
        <v>2026</v>
      </c>
      <c r="C30" s="104" t="s">
        <v>824</v>
      </c>
      <c r="D30" s="105">
        <v>721440</v>
      </c>
      <c r="E30" s="106">
        <v>226207050.87785125</v>
      </c>
      <c r="F30" s="105">
        <v>291041786.00999999</v>
      </c>
      <c r="G30" s="107">
        <f>Tabla22[[#This Row],[PRECIO TOT]]-Tabla22[[#This Row],[CT]]</f>
        <v>64834735.132148743</v>
      </c>
    </row>
    <row r="31" spans="1:7" x14ac:dyDescent="0.3">
      <c r="A31" s="102" t="s">
        <v>832</v>
      </c>
      <c r="B31" s="103">
        <v>2026</v>
      </c>
      <c r="C31" s="104" t="s">
        <v>594</v>
      </c>
      <c r="D31" s="105">
        <v>266</v>
      </c>
      <c r="E31" s="106">
        <v>6228852.7511992184</v>
      </c>
      <c r="F31" s="105">
        <v>15426605.41</v>
      </c>
      <c r="G31" s="107">
        <f>Tabla22[[#This Row],[PRECIO TOT]]-Tabla22[[#This Row],[CT]]</f>
        <v>9197752.6588007808</v>
      </c>
    </row>
    <row r="32" spans="1:7" x14ac:dyDescent="0.3">
      <c r="A32" s="102" t="s">
        <v>832</v>
      </c>
      <c r="B32" s="103">
        <v>2026</v>
      </c>
      <c r="C32" s="104" t="s">
        <v>579</v>
      </c>
      <c r="D32" s="105">
        <v>31740</v>
      </c>
      <c r="E32" s="106">
        <v>167132563.53837895</v>
      </c>
      <c r="F32" s="105">
        <v>155730959.72</v>
      </c>
      <c r="G32" s="107">
        <f>Tabla22[[#This Row],[PRECIO TOT]]-Tabla22[[#This Row],[CT]]</f>
        <v>-11401603.818378955</v>
      </c>
    </row>
    <row r="33" spans="1:7" x14ac:dyDescent="0.3">
      <c r="A33" s="102" t="s">
        <v>832</v>
      </c>
      <c r="B33" s="103">
        <v>2026</v>
      </c>
      <c r="C33" s="104" t="s">
        <v>599</v>
      </c>
      <c r="D33" s="105">
        <v>3305.6499999999996</v>
      </c>
      <c r="E33" s="106">
        <v>0</v>
      </c>
      <c r="F33" s="105">
        <v>1143080</v>
      </c>
      <c r="G33" s="107">
        <f>Tabla22[[#This Row],[PRECIO TOT]]-Tabla22[[#This Row],[CT]]</f>
        <v>1143080</v>
      </c>
    </row>
    <row r="34" spans="1:7" x14ac:dyDescent="0.3">
      <c r="A34" s="102" t="s">
        <v>832</v>
      </c>
      <c r="B34" s="103">
        <v>2026</v>
      </c>
      <c r="C34" s="104" t="s">
        <v>597</v>
      </c>
      <c r="D34" s="105">
        <v>83</v>
      </c>
      <c r="E34" s="106">
        <v>4144887.6247799238</v>
      </c>
      <c r="F34" s="105">
        <v>9551188.5099999998</v>
      </c>
      <c r="G34" s="107">
        <f>Tabla22[[#This Row],[PRECIO TOT]]-Tabla22[[#This Row],[CT]]</f>
        <v>5406300.885220076</v>
      </c>
    </row>
    <row r="35" spans="1:7" x14ac:dyDescent="0.3">
      <c r="A35" s="102" t="s">
        <v>832</v>
      </c>
      <c r="B35" s="103">
        <v>2026</v>
      </c>
      <c r="C35" s="104" t="s">
        <v>600</v>
      </c>
      <c r="D35" s="105">
        <v>27</v>
      </c>
      <c r="E35" s="106">
        <v>199230.51578090101</v>
      </c>
      <c r="F35" s="105">
        <v>869949</v>
      </c>
      <c r="G35" s="107">
        <f>Tabla22[[#This Row],[PRECIO TOT]]-Tabla22[[#This Row],[CT]]</f>
        <v>670718.48421909893</v>
      </c>
    </row>
    <row r="36" spans="1:7" x14ac:dyDescent="0.3">
      <c r="A36" s="102" t="s">
        <v>832</v>
      </c>
      <c r="B36" s="103">
        <v>2026</v>
      </c>
      <c r="C36" s="104" t="s">
        <v>570</v>
      </c>
      <c r="D36" s="105">
        <v>5344</v>
      </c>
      <c r="E36" s="106">
        <v>168705528.51343897</v>
      </c>
      <c r="F36" s="105">
        <v>322401740</v>
      </c>
      <c r="G36" s="107">
        <f>Tabla22[[#This Row],[PRECIO TOT]]-Tabla22[[#This Row],[CT]]</f>
        <v>153696211.48656103</v>
      </c>
    </row>
    <row r="37" spans="1:7" x14ac:dyDescent="0.3">
      <c r="A37" s="102" t="s">
        <v>832</v>
      </c>
      <c r="B37" s="103">
        <v>2026</v>
      </c>
      <c r="C37" s="104" t="s">
        <v>598</v>
      </c>
      <c r="D37" s="105">
        <v>40</v>
      </c>
      <c r="E37" s="106">
        <v>545441.32022705092</v>
      </c>
      <c r="F37" s="105">
        <v>1038450.02</v>
      </c>
      <c r="G37" s="107">
        <f>Tabla22[[#This Row],[PRECIO TOT]]-Tabla22[[#This Row],[CT]]</f>
        <v>493008.6997729491</v>
      </c>
    </row>
    <row r="38" spans="1:7" x14ac:dyDescent="0.3">
      <c r="A38" s="102" t="s">
        <v>832</v>
      </c>
      <c r="B38" s="103">
        <v>2026</v>
      </c>
      <c r="C38" s="104" t="s">
        <v>826</v>
      </c>
      <c r="D38" s="105">
        <v>2623</v>
      </c>
      <c r="E38" s="106">
        <v>117486872.91732648</v>
      </c>
      <c r="F38" s="105">
        <v>217517948.75999999</v>
      </c>
      <c r="G38" s="107">
        <f>Tabla22[[#This Row],[PRECIO TOT]]-Tabla22[[#This Row],[CT]]</f>
        <v>100031075.84267351</v>
      </c>
    </row>
    <row r="39" spans="1:7" x14ac:dyDescent="0.3">
      <c r="A39" s="102" t="s">
        <v>832</v>
      </c>
      <c r="B39" s="103">
        <v>2026</v>
      </c>
      <c r="C39" s="104" t="s">
        <v>823</v>
      </c>
      <c r="D39" s="105">
        <v>4213</v>
      </c>
      <c r="E39" s="106">
        <v>241900283.59089604</v>
      </c>
      <c r="F39" s="105">
        <v>405396528.33999997</v>
      </c>
      <c r="G39" s="107">
        <f>Tabla22[[#This Row],[PRECIO TOT]]-Tabla22[[#This Row],[CT]]</f>
        <v>163496244.74910393</v>
      </c>
    </row>
    <row r="40" spans="1:7" x14ac:dyDescent="0.3">
      <c r="A40" s="102" t="s">
        <v>832</v>
      </c>
      <c r="B40" s="103">
        <v>2026</v>
      </c>
      <c r="C40" s="104" t="s">
        <v>587</v>
      </c>
      <c r="D40" s="105">
        <v>742</v>
      </c>
      <c r="E40" s="106">
        <v>111770894.71008655</v>
      </c>
      <c r="F40" s="105">
        <v>175968365.86000001</v>
      </c>
      <c r="G40" s="107">
        <f>Tabla22[[#This Row],[PRECIO TOT]]-Tabla22[[#This Row],[CT]]</f>
        <v>64197471.14991346</v>
      </c>
    </row>
    <row r="41" spans="1:7" x14ac:dyDescent="0.3">
      <c r="A41" s="102" t="s">
        <v>832</v>
      </c>
      <c r="B41" s="103">
        <v>2026</v>
      </c>
      <c r="C41" s="104" t="s">
        <v>583</v>
      </c>
      <c r="D41" s="105">
        <v>2473</v>
      </c>
      <c r="E41" s="106">
        <v>385410066.60627818</v>
      </c>
      <c r="F41" s="105">
        <v>636433283.55000007</v>
      </c>
      <c r="G41" s="107">
        <f>Tabla22[[#This Row],[PRECIO TOT]]-Tabla22[[#This Row],[CT]]</f>
        <v>251023216.94372189</v>
      </c>
    </row>
    <row r="42" spans="1:7" x14ac:dyDescent="0.3">
      <c r="A42" s="102" t="s">
        <v>832</v>
      </c>
      <c r="B42" s="103">
        <v>2026</v>
      </c>
      <c r="C42" s="104" t="s">
        <v>827</v>
      </c>
      <c r="D42" s="105">
        <v>7097</v>
      </c>
      <c r="E42" s="106">
        <v>125127255.27611506</v>
      </c>
      <c r="F42" s="105">
        <v>177257720.63000003</v>
      </c>
      <c r="G42" s="107">
        <f>Tabla22[[#This Row],[PRECIO TOT]]-Tabla22[[#This Row],[CT]]</f>
        <v>52130465.353884965</v>
      </c>
    </row>
    <row r="43" spans="1:7" x14ac:dyDescent="0.3">
      <c r="A43" s="102" t="s">
        <v>832</v>
      </c>
      <c r="B43" s="103">
        <v>2026</v>
      </c>
      <c r="C43" s="104" t="s">
        <v>825</v>
      </c>
      <c r="D43" s="105">
        <v>7378</v>
      </c>
      <c r="E43" s="106">
        <v>168961643.38211563</v>
      </c>
      <c r="F43" s="105">
        <v>202612824.45000002</v>
      </c>
      <c r="G43" s="107">
        <f>Tabla22[[#This Row],[PRECIO TOT]]-Tabla22[[#This Row],[CT]]</f>
        <v>33651181.067884386</v>
      </c>
    </row>
    <row r="44" spans="1:7" x14ac:dyDescent="0.3">
      <c r="A44" s="102" t="s">
        <v>832</v>
      </c>
      <c r="B44" s="103">
        <v>2026</v>
      </c>
      <c r="C44" s="104" t="s">
        <v>586</v>
      </c>
      <c r="D44" s="105">
        <v>1792</v>
      </c>
      <c r="E44" s="106">
        <v>40026573.151916504</v>
      </c>
      <c r="F44" s="105">
        <v>74354862.739999995</v>
      </c>
      <c r="G44" s="107">
        <f>Tabla22[[#This Row],[PRECIO TOT]]-Tabla22[[#This Row],[CT]]</f>
        <v>34328289.588083491</v>
      </c>
    </row>
    <row r="45" spans="1:7" x14ac:dyDescent="0.3">
      <c r="A45" s="102" t="s">
        <v>832</v>
      </c>
      <c r="B45" s="103">
        <v>2026</v>
      </c>
      <c r="C45" s="104" t="s">
        <v>575</v>
      </c>
      <c r="D45" s="105">
        <v>2038</v>
      </c>
      <c r="E45" s="106">
        <v>61072543.19369968</v>
      </c>
      <c r="F45" s="105">
        <v>100108407.89</v>
      </c>
      <c r="G45" s="107">
        <f>Tabla22[[#This Row],[PRECIO TOT]]-Tabla22[[#This Row],[CT]]</f>
        <v>39035864.69630032</v>
      </c>
    </row>
    <row r="46" spans="1:7" x14ac:dyDescent="0.3">
      <c r="A46" s="102" t="s">
        <v>832</v>
      </c>
      <c r="B46" s="103">
        <v>2026</v>
      </c>
      <c r="C46" s="104" t="s">
        <v>578</v>
      </c>
      <c r="D46" s="105">
        <v>233144</v>
      </c>
      <c r="E46" s="106">
        <v>39241382.033677243</v>
      </c>
      <c r="F46" s="105">
        <v>55628925.220000006</v>
      </c>
      <c r="G46" s="107">
        <f>Tabla22[[#This Row],[PRECIO TOT]]-Tabla22[[#This Row],[CT]]</f>
        <v>16387543.186322764</v>
      </c>
    </row>
    <row r="47" spans="1:7" x14ac:dyDescent="0.3">
      <c r="A47" s="102" t="s">
        <v>832</v>
      </c>
      <c r="B47" s="103">
        <v>2026</v>
      </c>
      <c r="C47" s="104" t="s">
        <v>572</v>
      </c>
      <c r="D47" s="105">
        <v>36909</v>
      </c>
      <c r="E47" s="106">
        <v>246908146.19288734</v>
      </c>
      <c r="F47" s="105">
        <v>326174919.75999999</v>
      </c>
      <c r="G47" s="107">
        <f>Tabla22[[#This Row],[PRECIO TOT]]-Tabla22[[#This Row],[CT]]</f>
        <v>79266773.567112654</v>
      </c>
    </row>
    <row r="48" spans="1:7" x14ac:dyDescent="0.3">
      <c r="A48" s="102" t="s">
        <v>832</v>
      </c>
      <c r="B48" s="103">
        <v>2026</v>
      </c>
      <c r="C48" s="108" t="s">
        <v>590</v>
      </c>
      <c r="D48" s="109">
        <v>1491</v>
      </c>
      <c r="E48" s="110">
        <v>149274760.11101389</v>
      </c>
      <c r="F48" s="109">
        <v>167971066.03999999</v>
      </c>
      <c r="G48" s="111">
        <f>Tabla22[[#This Row],[PRECIO TOT]]-Tabla22[[#This Row],[CT]]</f>
        <v>18696305.928986102</v>
      </c>
    </row>
    <row r="49" spans="1:7" x14ac:dyDescent="0.3">
      <c r="A49" s="102" t="s">
        <v>1105</v>
      </c>
      <c r="B49" s="103">
        <v>2025</v>
      </c>
      <c r="C49" s="104" t="s">
        <v>596</v>
      </c>
      <c r="D49" s="105">
        <v>36116</v>
      </c>
      <c r="E49" s="106">
        <v>3721508.7023675209</v>
      </c>
      <c r="F49" s="105">
        <v>10096580.470000001</v>
      </c>
      <c r="G49" s="107">
        <v>6375071.7676324798</v>
      </c>
    </row>
    <row r="50" spans="1:7" x14ac:dyDescent="0.3">
      <c r="A50" s="102" t="s">
        <v>1105</v>
      </c>
      <c r="B50" s="103">
        <v>2025</v>
      </c>
      <c r="C50" s="104" t="s">
        <v>574</v>
      </c>
      <c r="D50" s="105">
        <v>1230400</v>
      </c>
      <c r="E50" s="106">
        <v>82581988.643879563</v>
      </c>
      <c r="F50" s="105">
        <v>138478545.32999998</v>
      </c>
      <c r="G50" s="107">
        <v>55896556.686120421</v>
      </c>
    </row>
    <row r="51" spans="1:7" x14ac:dyDescent="0.3">
      <c r="A51" s="102" t="s">
        <v>1105</v>
      </c>
      <c r="B51" s="103">
        <v>2025</v>
      </c>
      <c r="C51" s="104" t="s">
        <v>595</v>
      </c>
      <c r="D51" s="105">
        <v>371</v>
      </c>
      <c r="E51" s="106">
        <v>32208722.262654323</v>
      </c>
      <c r="F51" s="105">
        <v>66007069.460000001</v>
      </c>
      <c r="G51" s="107">
        <v>33798347.197345674</v>
      </c>
    </row>
    <row r="52" spans="1:7" x14ac:dyDescent="0.3">
      <c r="A52" s="102" t="s">
        <v>1105</v>
      </c>
      <c r="B52" s="103">
        <v>2025</v>
      </c>
      <c r="C52" s="104" t="s">
        <v>577</v>
      </c>
      <c r="D52" s="105">
        <v>13582</v>
      </c>
      <c r="E52" s="106">
        <v>184052686.2819933</v>
      </c>
      <c r="F52" s="105">
        <v>371605229.91000015</v>
      </c>
      <c r="G52" s="107">
        <v>187552543.62800685</v>
      </c>
    </row>
    <row r="53" spans="1:7" x14ac:dyDescent="0.3">
      <c r="A53" s="102" t="s">
        <v>1105</v>
      </c>
      <c r="B53" s="103">
        <v>2025</v>
      </c>
      <c r="C53" s="104" t="s">
        <v>824</v>
      </c>
      <c r="D53" s="105">
        <v>971330</v>
      </c>
      <c r="E53" s="106">
        <v>255712279.95443645</v>
      </c>
      <c r="F53" s="105">
        <v>371962717.62</v>
      </c>
      <c r="G53" s="107">
        <v>116250437.66556355</v>
      </c>
    </row>
    <row r="54" spans="1:7" x14ac:dyDescent="0.3">
      <c r="A54" s="102" t="s">
        <v>1105</v>
      </c>
      <c r="B54" s="103">
        <v>2025</v>
      </c>
      <c r="C54" s="104" t="s">
        <v>594</v>
      </c>
      <c r="D54" s="105">
        <v>846</v>
      </c>
      <c r="E54" s="106">
        <v>14896653.539254108</v>
      </c>
      <c r="F54" s="105">
        <v>37654274.43</v>
      </c>
      <c r="G54" s="107">
        <v>22757620.890745893</v>
      </c>
    </row>
    <row r="55" spans="1:7" x14ac:dyDescent="0.3">
      <c r="A55" s="102" t="s">
        <v>1105</v>
      </c>
      <c r="B55" s="103">
        <v>2025</v>
      </c>
      <c r="C55" s="104" t="s">
        <v>579</v>
      </c>
      <c r="D55" s="105">
        <v>21777</v>
      </c>
      <c r="E55" s="106">
        <v>98362230.716354251</v>
      </c>
      <c r="F55" s="105">
        <v>109664455.86999999</v>
      </c>
      <c r="G55" s="107">
        <v>11302225.153645739</v>
      </c>
    </row>
    <row r="56" spans="1:7" x14ac:dyDescent="0.3">
      <c r="A56" s="102" t="s">
        <v>1105</v>
      </c>
      <c r="B56" s="103">
        <v>2025</v>
      </c>
      <c r="C56" s="104" t="s">
        <v>597</v>
      </c>
      <c r="D56" s="105">
        <v>22</v>
      </c>
      <c r="E56" s="106">
        <v>1399968.3615519232</v>
      </c>
      <c r="F56" s="105">
        <v>2998134.39</v>
      </c>
      <c r="G56" s="107">
        <v>1598166.0284480769</v>
      </c>
    </row>
    <row r="57" spans="1:7" x14ac:dyDescent="0.3">
      <c r="A57" s="102" t="s">
        <v>1105</v>
      </c>
      <c r="B57" s="103">
        <v>2025</v>
      </c>
      <c r="C57" s="104" t="s">
        <v>600</v>
      </c>
      <c r="D57" s="105">
        <v>109</v>
      </c>
      <c r="E57" s="106">
        <v>1123172.3684673016</v>
      </c>
      <c r="F57" s="105">
        <v>1806098.98</v>
      </c>
      <c r="G57" s="107">
        <v>682926.61153269839</v>
      </c>
    </row>
    <row r="58" spans="1:7" x14ac:dyDescent="0.3">
      <c r="A58" s="102" t="s">
        <v>1105</v>
      </c>
      <c r="B58" s="103">
        <v>2025</v>
      </c>
      <c r="C58" s="104" t="s">
        <v>570</v>
      </c>
      <c r="D58" s="105">
        <v>7869</v>
      </c>
      <c r="E58" s="106">
        <v>213593876.18251291</v>
      </c>
      <c r="F58" s="105">
        <v>513952472</v>
      </c>
      <c r="G58" s="107">
        <v>300358595.81748712</v>
      </c>
    </row>
    <row r="59" spans="1:7" x14ac:dyDescent="0.3">
      <c r="A59" s="102" t="s">
        <v>1105</v>
      </c>
      <c r="B59" s="103">
        <v>2025</v>
      </c>
      <c r="C59" s="104" t="s">
        <v>826</v>
      </c>
      <c r="D59" s="105">
        <v>3928</v>
      </c>
      <c r="E59" s="106">
        <v>149230761.19409087</v>
      </c>
      <c r="F59" s="105">
        <v>301709368.02000004</v>
      </c>
      <c r="G59" s="107">
        <v>152478606.82590917</v>
      </c>
    </row>
    <row r="60" spans="1:7" x14ac:dyDescent="0.3">
      <c r="A60" s="102" t="s">
        <v>1105</v>
      </c>
      <c r="B60" s="103">
        <v>2025</v>
      </c>
      <c r="C60" s="104" t="s">
        <v>823</v>
      </c>
      <c r="D60" s="105">
        <v>4584</v>
      </c>
      <c r="E60" s="106">
        <v>259169220.37985897</v>
      </c>
      <c r="F60" s="105">
        <v>430672567.03999996</v>
      </c>
      <c r="G60" s="107">
        <v>171503346.66014099</v>
      </c>
    </row>
    <row r="61" spans="1:7" x14ac:dyDescent="0.3">
      <c r="A61" s="102" t="s">
        <v>1105</v>
      </c>
      <c r="B61" s="103">
        <v>2025</v>
      </c>
      <c r="C61" s="104" t="s">
        <v>587</v>
      </c>
      <c r="D61" s="105">
        <v>665</v>
      </c>
      <c r="E61" s="106">
        <v>60649117.182832882</v>
      </c>
      <c r="F61" s="105">
        <v>141884234.01000002</v>
      </c>
      <c r="G61" s="107">
        <v>81235116.827167138</v>
      </c>
    </row>
    <row r="62" spans="1:7" x14ac:dyDescent="0.3">
      <c r="A62" s="102" t="s">
        <v>1105</v>
      </c>
      <c r="B62" s="103">
        <v>2025</v>
      </c>
      <c r="C62" s="104" t="s">
        <v>583</v>
      </c>
      <c r="D62" s="105">
        <v>2396</v>
      </c>
      <c r="E62" s="106">
        <v>344548058.42878336</v>
      </c>
      <c r="F62" s="105">
        <v>598573133.25999999</v>
      </c>
      <c r="G62" s="107">
        <v>254025074.83121663</v>
      </c>
    </row>
    <row r="63" spans="1:7" x14ac:dyDescent="0.3">
      <c r="A63" s="102" t="s">
        <v>1105</v>
      </c>
      <c r="B63" s="103">
        <v>2025</v>
      </c>
      <c r="C63" s="104" t="s">
        <v>827</v>
      </c>
      <c r="D63" s="105">
        <v>14955</v>
      </c>
      <c r="E63" s="106">
        <v>210053073.94458789</v>
      </c>
      <c r="F63" s="105">
        <v>328265541.86000001</v>
      </c>
      <c r="G63" s="107">
        <v>118212467.91541213</v>
      </c>
    </row>
    <row r="64" spans="1:7" x14ac:dyDescent="0.3">
      <c r="A64" s="102" t="s">
        <v>1105</v>
      </c>
      <c r="B64" s="103">
        <v>2025</v>
      </c>
      <c r="C64" s="104" t="s">
        <v>825</v>
      </c>
      <c r="D64" s="105">
        <v>16903</v>
      </c>
      <c r="E64" s="106">
        <v>350890421.41275054</v>
      </c>
      <c r="F64" s="105">
        <v>455512829.03999996</v>
      </c>
      <c r="G64" s="107">
        <v>104622407.62724942</v>
      </c>
    </row>
    <row r="65" spans="1:7" x14ac:dyDescent="0.3">
      <c r="A65" s="102" t="s">
        <v>1105</v>
      </c>
      <c r="B65" s="103">
        <v>2025</v>
      </c>
      <c r="C65" s="104" t="s">
        <v>586</v>
      </c>
      <c r="D65" s="105">
        <v>1902</v>
      </c>
      <c r="E65" s="106">
        <v>37092669.406881392</v>
      </c>
      <c r="F65" s="105">
        <v>76627801.25</v>
      </c>
      <c r="G65" s="107">
        <v>39535131.843118608</v>
      </c>
    </row>
    <row r="66" spans="1:7" x14ac:dyDescent="0.3">
      <c r="A66" s="102" t="s">
        <v>1105</v>
      </c>
      <c r="B66" s="103">
        <v>2025</v>
      </c>
      <c r="C66" s="104" t="s">
        <v>575</v>
      </c>
      <c r="D66" s="105">
        <v>3131</v>
      </c>
      <c r="E66" s="106">
        <v>97202440.112323135</v>
      </c>
      <c r="F66" s="105">
        <v>144462260.40000001</v>
      </c>
      <c r="G66" s="107">
        <v>47259820.287676871</v>
      </c>
    </row>
    <row r="67" spans="1:7" x14ac:dyDescent="0.3">
      <c r="A67" s="102" t="s">
        <v>1105</v>
      </c>
      <c r="B67" s="103">
        <v>2025</v>
      </c>
      <c r="C67" s="104" t="s">
        <v>578</v>
      </c>
      <c r="D67" s="105">
        <v>309281</v>
      </c>
      <c r="E67" s="106">
        <v>35450344.982784435</v>
      </c>
      <c r="F67" s="105">
        <v>73909003.62000002</v>
      </c>
      <c r="G67" s="107">
        <v>38458658.637215585</v>
      </c>
    </row>
    <row r="68" spans="1:7" x14ac:dyDescent="0.3">
      <c r="A68" s="102" t="s">
        <v>1105</v>
      </c>
      <c r="B68" s="103">
        <v>2025</v>
      </c>
      <c r="C68" s="104" t="s">
        <v>588</v>
      </c>
      <c r="D68" s="105">
        <v>10</v>
      </c>
      <c r="E68" s="106">
        <v>30000000</v>
      </c>
      <c r="F68" s="105">
        <v>32400000</v>
      </c>
      <c r="G68" s="107">
        <v>2400000</v>
      </c>
    </row>
    <row r="69" spans="1:7" x14ac:dyDescent="0.3">
      <c r="A69" s="102" t="s">
        <v>1105</v>
      </c>
      <c r="B69" s="103">
        <v>2025</v>
      </c>
      <c r="C69" s="104" t="s">
        <v>572</v>
      </c>
      <c r="D69" s="105">
        <v>36619</v>
      </c>
      <c r="E69" s="106">
        <v>269854967.86504239</v>
      </c>
      <c r="F69" s="105">
        <v>342552650.00999999</v>
      </c>
      <c r="G69" s="107">
        <v>72697682.144957602</v>
      </c>
    </row>
    <row r="70" spans="1:7" x14ac:dyDescent="0.3">
      <c r="A70" s="154" t="s">
        <v>1105</v>
      </c>
      <c r="B70" s="155">
        <v>2025</v>
      </c>
      <c r="C70" s="108" t="s">
        <v>590</v>
      </c>
      <c r="D70" s="109">
        <v>295</v>
      </c>
      <c r="E70" s="110">
        <v>34433525.176546723</v>
      </c>
      <c r="F70" s="109">
        <v>39498600</v>
      </c>
      <c r="G70" s="111">
        <v>5065074.8234532773</v>
      </c>
    </row>
    <row r="71" spans="1:7" x14ac:dyDescent="0.3">
      <c r="A71" s="154" t="s">
        <v>1105</v>
      </c>
      <c r="B71" s="103">
        <v>2026</v>
      </c>
      <c r="C71" s="104" t="s">
        <v>596</v>
      </c>
      <c r="D71" s="105">
        <v>13349</v>
      </c>
      <c r="E71" s="106">
        <v>5663945.8485291936</v>
      </c>
      <c r="F71" s="105">
        <v>8687211.5899999999</v>
      </c>
      <c r="G71" s="107">
        <f>Tabla22[[#This Row],[PRECIO TOT]]-Tabla22[[#This Row],[CT]]</f>
        <v>3023265.7414708063</v>
      </c>
    </row>
    <row r="72" spans="1:7" x14ac:dyDescent="0.3">
      <c r="A72" s="154" t="s">
        <v>1105</v>
      </c>
      <c r="B72" s="103">
        <v>2026</v>
      </c>
      <c r="C72" s="104" t="s">
        <v>574</v>
      </c>
      <c r="D72" s="105">
        <v>1373894</v>
      </c>
      <c r="E72" s="106">
        <v>145743819.06770176</v>
      </c>
      <c r="F72" s="105">
        <v>158055980.29000002</v>
      </c>
      <c r="G72" s="107">
        <f>Tabla22[[#This Row],[PRECIO TOT]]-Tabla22[[#This Row],[CT]]</f>
        <v>12312161.222298265</v>
      </c>
    </row>
    <row r="73" spans="1:7" x14ac:dyDescent="0.3">
      <c r="A73" s="154" t="s">
        <v>1105</v>
      </c>
      <c r="B73" s="103">
        <v>2026</v>
      </c>
      <c r="C73" s="104" t="s">
        <v>595</v>
      </c>
      <c r="D73" s="105">
        <v>338</v>
      </c>
      <c r="E73" s="106">
        <v>30467384.452867527</v>
      </c>
      <c r="F73" s="105">
        <v>53844460.039999999</v>
      </c>
      <c r="G73" s="107">
        <f>Tabla22[[#This Row],[PRECIO TOT]]-Tabla22[[#This Row],[CT]]</f>
        <v>23377075.587132473</v>
      </c>
    </row>
    <row r="74" spans="1:7" x14ac:dyDescent="0.3">
      <c r="A74" s="154" t="s">
        <v>1105</v>
      </c>
      <c r="B74" s="103">
        <v>2026</v>
      </c>
      <c r="C74" s="104" t="s">
        <v>577</v>
      </c>
      <c r="D74" s="105">
        <v>11564</v>
      </c>
      <c r="E74" s="106">
        <v>178005327.25228763</v>
      </c>
      <c r="F74" s="105">
        <v>336495015.67999995</v>
      </c>
      <c r="G74" s="107">
        <f>Tabla22[[#This Row],[PRECIO TOT]]-Tabla22[[#This Row],[CT]]</f>
        <v>158489688.42771232</v>
      </c>
    </row>
    <row r="75" spans="1:7" x14ac:dyDescent="0.3">
      <c r="A75" s="154" t="s">
        <v>1105</v>
      </c>
      <c r="B75" s="103">
        <v>2026</v>
      </c>
      <c r="C75" s="104" t="s">
        <v>1171</v>
      </c>
      <c r="D75" s="105">
        <v>1165860</v>
      </c>
      <c r="E75" s="106">
        <v>389062851.08521837</v>
      </c>
      <c r="F75" s="105">
        <v>466633698.53999996</v>
      </c>
      <c r="G75" s="107">
        <f>Tabla22[[#This Row],[PRECIO TOT]]-Tabla22[[#This Row],[CT]]</f>
        <v>77570847.454781592</v>
      </c>
    </row>
    <row r="76" spans="1:7" x14ac:dyDescent="0.3">
      <c r="A76" s="154" t="s">
        <v>1105</v>
      </c>
      <c r="B76" s="103">
        <v>2026</v>
      </c>
      <c r="C76" s="104" t="s">
        <v>594</v>
      </c>
      <c r="D76" s="105">
        <v>1206</v>
      </c>
      <c r="E76" s="106">
        <v>19625770.933307782</v>
      </c>
      <c r="F76" s="105">
        <v>51419334.270000011</v>
      </c>
      <c r="G76" s="107">
        <f>Tabla22[[#This Row],[PRECIO TOT]]-Tabla22[[#This Row],[CT]]</f>
        <v>31793563.336692229</v>
      </c>
    </row>
    <row r="77" spans="1:7" x14ac:dyDescent="0.3">
      <c r="A77" s="154" t="s">
        <v>1105</v>
      </c>
      <c r="B77" s="103">
        <v>2026</v>
      </c>
      <c r="C77" s="104" t="s">
        <v>579</v>
      </c>
      <c r="D77" s="105">
        <v>24660</v>
      </c>
      <c r="E77" s="106">
        <v>118821230.37348884</v>
      </c>
      <c r="F77" s="105">
        <v>122807639.84</v>
      </c>
      <c r="G77" s="107">
        <f>Tabla22[[#This Row],[PRECIO TOT]]-Tabla22[[#This Row],[CT]]</f>
        <v>3986409.4665111601</v>
      </c>
    </row>
    <row r="78" spans="1:7" x14ac:dyDescent="0.3">
      <c r="A78" s="154" t="s">
        <v>1105</v>
      </c>
      <c r="B78" s="103">
        <v>2026</v>
      </c>
      <c r="C78" s="104" t="s">
        <v>599</v>
      </c>
      <c r="D78" s="105">
        <v>777.3</v>
      </c>
      <c r="E78" s="106">
        <v>0</v>
      </c>
      <c r="F78" s="105">
        <v>13480770</v>
      </c>
      <c r="G78" s="107">
        <f>Tabla22[[#This Row],[PRECIO TOT]]-Tabla22[[#This Row],[CT]]</f>
        <v>13480770</v>
      </c>
    </row>
    <row r="79" spans="1:7" x14ac:dyDescent="0.3">
      <c r="A79" s="154" t="s">
        <v>1105</v>
      </c>
      <c r="B79" s="103">
        <v>2026</v>
      </c>
      <c r="C79" s="104" t="s">
        <v>597</v>
      </c>
      <c r="D79" s="105">
        <v>66</v>
      </c>
      <c r="E79" s="106">
        <v>2423772.7071527615</v>
      </c>
      <c r="F79" s="105">
        <v>4432290.83</v>
      </c>
      <c r="G79" s="107">
        <f>Tabla22[[#This Row],[PRECIO TOT]]-Tabla22[[#This Row],[CT]]</f>
        <v>2008518.1228472386</v>
      </c>
    </row>
    <row r="80" spans="1:7" x14ac:dyDescent="0.3">
      <c r="A80" s="154" t="s">
        <v>1105</v>
      </c>
      <c r="B80" s="103">
        <v>2026</v>
      </c>
      <c r="C80" s="104" t="s">
        <v>600</v>
      </c>
      <c r="D80" s="105">
        <v>128</v>
      </c>
      <c r="E80" s="106">
        <v>1799024.0120178675</v>
      </c>
      <c r="F80" s="105">
        <v>2767579.91</v>
      </c>
      <c r="G80" s="107">
        <f>Tabla22[[#This Row],[PRECIO TOT]]-Tabla22[[#This Row],[CT]]</f>
        <v>968555.89798213262</v>
      </c>
    </row>
    <row r="81" spans="1:7" x14ac:dyDescent="0.3">
      <c r="A81" s="154" t="s">
        <v>1105</v>
      </c>
      <c r="B81" s="103">
        <v>2026</v>
      </c>
      <c r="C81" s="104" t="s">
        <v>570</v>
      </c>
      <c r="D81" s="105">
        <v>5402</v>
      </c>
      <c r="E81" s="106">
        <v>190672762.16844845</v>
      </c>
      <c r="F81" s="105">
        <v>383422800</v>
      </c>
      <c r="G81" s="107">
        <f>Tabla22[[#This Row],[PRECIO TOT]]-Tabla22[[#This Row],[CT]]</f>
        <v>192750037.83155155</v>
      </c>
    </row>
    <row r="82" spans="1:7" x14ac:dyDescent="0.3">
      <c r="A82" s="154" t="s">
        <v>1105</v>
      </c>
      <c r="B82" s="103">
        <v>2026</v>
      </c>
      <c r="C82" s="104" t="s">
        <v>598</v>
      </c>
      <c r="D82" s="105">
        <v>259</v>
      </c>
      <c r="E82" s="106">
        <v>8114502.0227617566</v>
      </c>
      <c r="F82" s="105">
        <v>9595042.0600000005</v>
      </c>
      <c r="G82" s="107">
        <f>Tabla22[[#This Row],[PRECIO TOT]]-Tabla22[[#This Row],[CT]]</f>
        <v>1480540.037238244</v>
      </c>
    </row>
    <row r="83" spans="1:7" x14ac:dyDescent="0.3">
      <c r="A83" s="154" t="s">
        <v>1105</v>
      </c>
      <c r="B83" s="103">
        <v>2026</v>
      </c>
      <c r="C83" s="104" t="s">
        <v>826</v>
      </c>
      <c r="D83" s="105">
        <v>4559</v>
      </c>
      <c r="E83" s="106">
        <v>200637258.72688028</v>
      </c>
      <c r="F83" s="105">
        <v>390837660.74000001</v>
      </c>
      <c r="G83" s="107">
        <f>Tabla22[[#This Row],[PRECIO TOT]]-Tabla22[[#This Row],[CT]]</f>
        <v>190200402.01311973</v>
      </c>
    </row>
    <row r="84" spans="1:7" x14ac:dyDescent="0.3">
      <c r="A84" s="154" t="s">
        <v>1105</v>
      </c>
      <c r="B84" s="103">
        <v>2026</v>
      </c>
      <c r="C84" s="104" t="s">
        <v>823</v>
      </c>
      <c r="D84" s="105">
        <v>5607</v>
      </c>
      <c r="E84" s="106">
        <v>317209280.38407505</v>
      </c>
      <c r="F84" s="105">
        <v>546518849.87</v>
      </c>
      <c r="G84" s="107">
        <f>Tabla22[[#This Row],[PRECIO TOT]]-Tabla22[[#This Row],[CT]]</f>
        <v>229309569.48592496</v>
      </c>
    </row>
    <row r="85" spans="1:7" x14ac:dyDescent="0.3">
      <c r="A85" s="154" t="s">
        <v>1105</v>
      </c>
      <c r="B85" s="103">
        <v>2026</v>
      </c>
      <c r="C85" s="104" t="s">
        <v>587</v>
      </c>
      <c r="D85" s="105">
        <v>899</v>
      </c>
      <c r="E85" s="106">
        <v>112844233.16903055</v>
      </c>
      <c r="F85" s="105">
        <v>188864440.35999998</v>
      </c>
      <c r="G85" s="107">
        <f>Tabla22[[#This Row],[PRECIO TOT]]-Tabla22[[#This Row],[CT]]</f>
        <v>76020207.190969437</v>
      </c>
    </row>
    <row r="86" spans="1:7" x14ac:dyDescent="0.3">
      <c r="A86" s="154" t="s">
        <v>1105</v>
      </c>
      <c r="B86" s="103">
        <v>2026</v>
      </c>
      <c r="C86" s="104" t="s">
        <v>583</v>
      </c>
      <c r="D86" s="105">
        <v>2809</v>
      </c>
      <c r="E86" s="106">
        <v>439318687.48813313</v>
      </c>
      <c r="F86" s="105">
        <v>712638505.77000022</v>
      </c>
      <c r="G86" s="107">
        <f>Tabla22[[#This Row],[PRECIO TOT]]-Tabla22[[#This Row],[CT]]</f>
        <v>273319818.28186709</v>
      </c>
    </row>
    <row r="87" spans="1:7" x14ac:dyDescent="0.3">
      <c r="A87" s="154" t="s">
        <v>1105</v>
      </c>
      <c r="B87" s="103">
        <v>2026</v>
      </c>
      <c r="C87" s="104" t="s">
        <v>827</v>
      </c>
      <c r="D87" s="105">
        <v>7856</v>
      </c>
      <c r="E87" s="106">
        <v>133685261.54134597</v>
      </c>
      <c r="F87" s="105">
        <v>196177796.34999996</v>
      </c>
      <c r="G87" s="107">
        <f>Tabla22[[#This Row],[PRECIO TOT]]-Tabla22[[#This Row],[CT]]</f>
        <v>62492534.808653995</v>
      </c>
    </row>
    <row r="88" spans="1:7" x14ac:dyDescent="0.3">
      <c r="A88" s="154" t="s">
        <v>1105</v>
      </c>
      <c r="B88" s="103">
        <v>2026</v>
      </c>
      <c r="C88" s="104" t="s">
        <v>1168</v>
      </c>
      <c r="D88" s="105">
        <v>15058</v>
      </c>
      <c r="E88" s="106">
        <v>303055205.23886496</v>
      </c>
      <c r="F88" s="105">
        <v>424935348.69000006</v>
      </c>
      <c r="G88" s="107">
        <f>Tabla22[[#This Row],[PRECIO TOT]]-Tabla22[[#This Row],[CT]]</f>
        <v>121880143.4511351</v>
      </c>
    </row>
    <row r="89" spans="1:7" x14ac:dyDescent="0.3">
      <c r="A89" s="154" t="s">
        <v>1105</v>
      </c>
      <c r="B89" s="103">
        <v>2026</v>
      </c>
      <c r="C89" s="104" t="s">
        <v>586</v>
      </c>
      <c r="D89" s="105">
        <v>1438</v>
      </c>
      <c r="E89" s="106">
        <v>31291379.195868809</v>
      </c>
      <c r="F89" s="105">
        <v>57244392.389999993</v>
      </c>
      <c r="G89" s="107">
        <f>Tabla22[[#This Row],[PRECIO TOT]]-Tabla22[[#This Row],[CT]]</f>
        <v>25953013.194131184</v>
      </c>
    </row>
    <row r="90" spans="1:7" x14ac:dyDescent="0.3">
      <c r="A90" s="154" t="s">
        <v>1105</v>
      </c>
      <c r="B90" s="103">
        <v>2026</v>
      </c>
      <c r="C90" s="104" t="s">
        <v>575</v>
      </c>
      <c r="D90" s="105">
        <v>2365</v>
      </c>
      <c r="E90" s="106">
        <v>71058573.209392652</v>
      </c>
      <c r="F90" s="105">
        <v>117087758.01000001</v>
      </c>
      <c r="G90" s="107">
        <f>Tabla22[[#This Row],[PRECIO TOT]]-Tabla22[[#This Row],[CT]]</f>
        <v>46029184.800607353</v>
      </c>
    </row>
    <row r="91" spans="1:7" x14ac:dyDescent="0.3">
      <c r="A91" s="154" t="s">
        <v>1105</v>
      </c>
      <c r="B91" s="103">
        <v>2026</v>
      </c>
      <c r="C91" s="104" t="s">
        <v>578</v>
      </c>
      <c r="D91" s="105">
        <v>346514</v>
      </c>
      <c r="E91" s="106">
        <v>58851511.867365554</v>
      </c>
      <c r="F91" s="105">
        <v>84156289.829999998</v>
      </c>
      <c r="G91" s="107">
        <f>Tabla22[[#This Row],[PRECIO TOT]]-Tabla22[[#This Row],[CT]]</f>
        <v>25304777.962634444</v>
      </c>
    </row>
    <row r="92" spans="1:7" x14ac:dyDescent="0.3">
      <c r="A92" s="154" t="s">
        <v>1105</v>
      </c>
      <c r="B92" s="103">
        <v>2026</v>
      </c>
      <c r="C92" s="104" t="s">
        <v>588</v>
      </c>
      <c r="D92" s="105">
        <v>3</v>
      </c>
      <c r="E92" s="106">
        <v>7520000</v>
      </c>
      <c r="F92" s="105">
        <v>11170000</v>
      </c>
      <c r="G92" s="107">
        <f>Tabla22[[#This Row],[PRECIO TOT]]-Tabla22[[#This Row],[CT]]</f>
        <v>3650000</v>
      </c>
    </row>
    <row r="93" spans="1:7" x14ac:dyDescent="0.3">
      <c r="A93" s="154" t="s">
        <v>1105</v>
      </c>
      <c r="B93" s="103">
        <v>2026</v>
      </c>
      <c r="C93" s="104" t="s">
        <v>572</v>
      </c>
      <c r="D93" s="105">
        <v>47066</v>
      </c>
      <c r="E93" s="106">
        <v>303816449.41315734</v>
      </c>
      <c r="F93" s="105">
        <v>408090759.99000001</v>
      </c>
      <c r="G93" s="107">
        <f>Tabla22[[#This Row],[PRECIO TOT]]-Tabla22[[#This Row],[CT]]</f>
        <v>104274310.57684267</v>
      </c>
    </row>
    <row r="94" spans="1:7" x14ac:dyDescent="0.3">
      <c r="A94" s="154" t="s">
        <v>1105</v>
      </c>
      <c r="B94" s="103">
        <v>2026</v>
      </c>
      <c r="C94" s="108" t="s">
        <v>590</v>
      </c>
      <c r="D94" s="109">
        <v>3627</v>
      </c>
      <c r="E94" s="110">
        <v>403594443.6956073</v>
      </c>
      <c r="F94" s="109">
        <v>436541651.95999998</v>
      </c>
      <c r="G94" s="111">
        <f>Tabla22[[#This Row],[PRECIO TOT]]-Tabla22[[#This Row],[CT]]</f>
        <v>32947208.264392674</v>
      </c>
    </row>
    <row r="95" spans="1:7" x14ac:dyDescent="0.3">
      <c r="A95" s="102" t="s">
        <v>1130</v>
      </c>
      <c r="B95" s="103">
        <v>2025</v>
      </c>
      <c r="C95" s="104" t="s">
        <v>596</v>
      </c>
      <c r="D95" s="105">
        <v>45450</v>
      </c>
      <c r="E95" s="106">
        <v>5282808.4288434032</v>
      </c>
      <c r="F95" s="105">
        <v>10537397.580000002</v>
      </c>
      <c r="G95" s="107">
        <v>5254589.1511565987</v>
      </c>
    </row>
    <row r="96" spans="1:7" x14ac:dyDescent="0.3">
      <c r="A96" s="102" t="s">
        <v>1130</v>
      </c>
      <c r="B96" s="103">
        <v>2025</v>
      </c>
      <c r="C96" s="104" t="s">
        <v>574</v>
      </c>
      <c r="D96" s="105">
        <v>1109000</v>
      </c>
      <c r="E96" s="106">
        <v>79622553.337666303</v>
      </c>
      <c r="F96" s="105">
        <v>123801634.53</v>
      </c>
      <c r="G96" s="107">
        <v>44179081.192333698</v>
      </c>
    </row>
    <row r="97" spans="1:7" x14ac:dyDescent="0.3">
      <c r="A97" s="102" t="s">
        <v>1130</v>
      </c>
      <c r="B97" s="103">
        <v>2025</v>
      </c>
      <c r="C97" s="104" t="s">
        <v>595</v>
      </c>
      <c r="D97" s="105">
        <v>200</v>
      </c>
      <c r="E97" s="106">
        <v>18972847.889265634</v>
      </c>
      <c r="F97" s="105">
        <v>36515971.039999999</v>
      </c>
      <c r="G97" s="107">
        <v>17543123.150734365</v>
      </c>
    </row>
    <row r="98" spans="1:7" x14ac:dyDescent="0.3">
      <c r="A98" s="102" t="s">
        <v>1130</v>
      </c>
      <c r="B98" s="103">
        <v>2025</v>
      </c>
      <c r="C98" s="104" t="s">
        <v>577</v>
      </c>
      <c r="D98" s="105">
        <v>12561</v>
      </c>
      <c r="E98" s="106">
        <v>185332739.39051485</v>
      </c>
      <c r="F98" s="105">
        <v>361003547.88000005</v>
      </c>
      <c r="G98" s="107">
        <v>175670808.4894852</v>
      </c>
    </row>
    <row r="99" spans="1:7" x14ac:dyDescent="0.3">
      <c r="A99" s="102" t="s">
        <v>1130</v>
      </c>
      <c r="B99" s="103">
        <v>2025</v>
      </c>
      <c r="C99" s="104" t="s">
        <v>824</v>
      </c>
      <c r="D99" s="105">
        <v>934280</v>
      </c>
      <c r="E99" s="106">
        <v>261609939.07478091</v>
      </c>
      <c r="F99" s="105">
        <v>367322363.87</v>
      </c>
      <c r="G99" s="107">
        <v>105712424.79521909</v>
      </c>
    </row>
    <row r="100" spans="1:7" x14ac:dyDescent="0.3">
      <c r="A100" s="102" t="s">
        <v>1130</v>
      </c>
      <c r="B100" s="103">
        <v>2025</v>
      </c>
      <c r="C100" s="104" t="s">
        <v>594</v>
      </c>
      <c r="D100" s="105">
        <v>410</v>
      </c>
      <c r="E100" s="106">
        <v>8254871.9269525046</v>
      </c>
      <c r="F100" s="105">
        <v>19058079.140000001</v>
      </c>
      <c r="G100" s="107">
        <v>10803207.213047497</v>
      </c>
    </row>
    <row r="101" spans="1:7" x14ac:dyDescent="0.3">
      <c r="A101" s="102" t="s">
        <v>1130</v>
      </c>
      <c r="B101" s="103">
        <v>2025</v>
      </c>
      <c r="C101" s="104" t="s">
        <v>579</v>
      </c>
      <c r="D101" s="105">
        <v>37911</v>
      </c>
      <c r="E101" s="106">
        <v>180955178.86145931</v>
      </c>
      <c r="F101" s="105">
        <v>193313159.13</v>
      </c>
      <c r="G101" s="107">
        <v>12357980.26854068</v>
      </c>
    </row>
    <row r="102" spans="1:7" x14ac:dyDescent="0.3">
      <c r="A102" s="102" t="s">
        <v>1130</v>
      </c>
      <c r="B102" s="103">
        <v>2025</v>
      </c>
      <c r="C102" s="104" t="s">
        <v>599</v>
      </c>
      <c r="D102" s="105">
        <v>1169.5999999999999</v>
      </c>
      <c r="E102" s="106">
        <v>0</v>
      </c>
      <c r="F102" s="105">
        <v>28861520</v>
      </c>
      <c r="G102" s="107">
        <v>28861520</v>
      </c>
    </row>
    <row r="103" spans="1:7" x14ac:dyDescent="0.3">
      <c r="A103" s="102" t="s">
        <v>1130</v>
      </c>
      <c r="B103" s="103">
        <v>2025</v>
      </c>
      <c r="C103" s="104" t="s">
        <v>597</v>
      </c>
      <c r="D103" s="105">
        <v>71</v>
      </c>
      <c r="E103" s="106">
        <v>3907171.2214040421</v>
      </c>
      <c r="F103" s="105">
        <v>8388827.5199999996</v>
      </c>
      <c r="G103" s="107">
        <v>4481656.2985959575</v>
      </c>
    </row>
    <row r="104" spans="1:7" x14ac:dyDescent="0.3">
      <c r="A104" s="102" t="s">
        <v>1130</v>
      </c>
      <c r="B104" s="103">
        <v>2025</v>
      </c>
      <c r="C104" s="104" t="s">
        <v>600</v>
      </c>
      <c r="D104" s="105">
        <v>36</v>
      </c>
      <c r="E104" s="106">
        <v>411542.4736020097</v>
      </c>
      <c r="F104" s="105">
        <v>655376.15</v>
      </c>
      <c r="G104" s="107">
        <v>243833.67639799032</v>
      </c>
    </row>
    <row r="105" spans="1:7" x14ac:dyDescent="0.3">
      <c r="A105" s="102" t="s">
        <v>1130</v>
      </c>
      <c r="B105" s="103">
        <v>2025</v>
      </c>
      <c r="C105" s="104" t="s">
        <v>570</v>
      </c>
      <c r="D105" s="105">
        <v>4845</v>
      </c>
      <c r="E105" s="106">
        <v>138593087.15636408</v>
      </c>
      <c r="F105" s="105">
        <v>331523338.32999998</v>
      </c>
      <c r="G105" s="107">
        <v>192930251.1736359</v>
      </c>
    </row>
    <row r="106" spans="1:7" x14ac:dyDescent="0.3">
      <c r="A106" s="102" t="s">
        <v>1130</v>
      </c>
      <c r="B106" s="103">
        <v>2025</v>
      </c>
      <c r="C106" s="104" t="s">
        <v>826</v>
      </c>
      <c r="D106" s="105">
        <v>3942</v>
      </c>
      <c r="E106" s="106">
        <v>159451997.71757755</v>
      </c>
      <c r="F106" s="105">
        <v>308418294.86000001</v>
      </c>
      <c r="G106" s="107">
        <v>148966297.14242247</v>
      </c>
    </row>
    <row r="107" spans="1:7" x14ac:dyDescent="0.3">
      <c r="A107" s="102" t="s">
        <v>1130</v>
      </c>
      <c r="B107" s="103">
        <v>2025</v>
      </c>
      <c r="C107" s="104" t="s">
        <v>823</v>
      </c>
      <c r="D107" s="105">
        <v>5002</v>
      </c>
      <c r="E107" s="106">
        <v>289083446.95152301</v>
      </c>
      <c r="F107" s="105">
        <v>456663422.58999997</v>
      </c>
      <c r="G107" s="107">
        <v>167579975.63847697</v>
      </c>
    </row>
    <row r="108" spans="1:7" x14ac:dyDescent="0.3">
      <c r="A108" s="102" t="s">
        <v>1130</v>
      </c>
      <c r="B108" s="103">
        <v>2025</v>
      </c>
      <c r="C108" s="104" t="s">
        <v>587</v>
      </c>
      <c r="D108" s="105">
        <v>899</v>
      </c>
      <c r="E108" s="106">
        <v>84621788.905463353</v>
      </c>
      <c r="F108" s="105">
        <v>185795294.54000002</v>
      </c>
      <c r="G108" s="107">
        <v>101173505.63453667</v>
      </c>
    </row>
    <row r="109" spans="1:7" x14ac:dyDescent="0.3">
      <c r="A109" s="102" t="s">
        <v>1130</v>
      </c>
      <c r="B109" s="103">
        <v>2025</v>
      </c>
      <c r="C109" s="104" t="s">
        <v>583</v>
      </c>
      <c r="D109" s="105">
        <v>2306</v>
      </c>
      <c r="E109" s="106">
        <v>336226614.85875666</v>
      </c>
      <c r="F109" s="105">
        <v>563448139.88000011</v>
      </c>
      <c r="G109" s="107">
        <v>227221525.02124345</v>
      </c>
    </row>
    <row r="110" spans="1:7" x14ac:dyDescent="0.3">
      <c r="A110" s="102" t="s">
        <v>1130</v>
      </c>
      <c r="B110" s="103">
        <v>2025</v>
      </c>
      <c r="C110" s="104" t="s">
        <v>827</v>
      </c>
      <c r="D110" s="105">
        <v>13385</v>
      </c>
      <c r="E110" s="106">
        <v>205374591.49580482</v>
      </c>
      <c r="F110" s="105">
        <v>328632046.88</v>
      </c>
      <c r="G110" s="107">
        <v>123257455.38419518</v>
      </c>
    </row>
    <row r="111" spans="1:7" x14ac:dyDescent="0.3">
      <c r="A111" s="102" t="s">
        <v>1130</v>
      </c>
      <c r="B111" s="103">
        <v>2025</v>
      </c>
      <c r="C111" s="104" t="s">
        <v>825</v>
      </c>
      <c r="D111" s="105">
        <v>15714</v>
      </c>
      <c r="E111" s="106">
        <v>349789321.96121407</v>
      </c>
      <c r="F111" s="105">
        <v>425514514.17999995</v>
      </c>
      <c r="G111" s="107">
        <v>75725192.218785882</v>
      </c>
    </row>
    <row r="112" spans="1:7" x14ac:dyDescent="0.3">
      <c r="A112" s="102" t="s">
        <v>1130</v>
      </c>
      <c r="B112" s="103">
        <v>2025</v>
      </c>
      <c r="C112" s="104" t="s">
        <v>586</v>
      </c>
      <c r="D112" s="105">
        <v>3009</v>
      </c>
      <c r="E112" s="106">
        <v>60444525.996625766</v>
      </c>
      <c r="F112" s="105">
        <v>117311555.92</v>
      </c>
      <c r="G112" s="107">
        <v>56867029.923374236</v>
      </c>
    </row>
    <row r="113" spans="1:7" x14ac:dyDescent="0.3">
      <c r="A113" s="102" t="s">
        <v>1130</v>
      </c>
      <c r="B113" s="103">
        <v>2025</v>
      </c>
      <c r="C113" s="104" t="s">
        <v>575</v>
      </c>
      <c r="D113" s="105">
        <v>2695</v>
      </c>
      <c r="E113" s="106">
        <v>87352154.371281996</v>
      </c>
      <c r="F113" s="105">
        <v>124678683.06</v>
      </c>
      <c r="G113" s="107">
        <v>37326528.688718006</v>
      </c>
    </row>
    <row r="114" spans="1:7" x14ac:dyDescent="0.3">
      <c r="A114" s="102" t="s">
        <v>1130</v>
      </c>
      <c r="B114" s="103">
        <v>2025</v>
      </c>
      <c r="C114" s="104" t="s">
        <v>578</v>
      </c>
      <c r="D114" s="105">
        <v>311743</v>
      </c>
      <c r="E114" s="106">
        <v>40292691.353384636</v>
      </c>
      <c r="F114" s="105">
        <v>75456356.099999994</v>
      </c>
      <c r="G114" s="107">
        <v>35163664.746615358</v>
      </c>
    </row>
    <row r="115" spans="1:7" x14ac:dyDescent="0.3">
      <c r="A115" s="102" t="s">
        <v>1130</v>
      </c>
      <c r="B115" s="103">
        <v>2025</v>
      </c>
      <c r="C115" s="104" t="s">
        <v>588</v>
      </c>
      <c r="D115" s="105">
        <v>29</v>
      </c>
      <c r="E115" s="106">
        <v>70325000</v>
      </c>
      <c r="F115" s="105">
        <v>93960000</v>
      </c>
      <c r="G115" s="107">
        <v>23635000</v>
      </c>
    </row>
    <row r="116" spans="1:7" x14ac:dyDescent="0.3">
      <c r="A116" s="102" t="s">
        <v>1130</v>
      </c>
      <c r="B116" s="103">
        <v>2025</v>
      </c>
      <c r="C116" s="104" t="s">
        <v>572</v>
      </c>
      <c r="D116" s="105">
        <v>34788</v>
      </c>
      <c r="E116" s="106">
        <v>235270759.07728395</v>
      </c>
      <c r="F116" s="105">
        <v>289596855.19999999</v>
      </c>
      <c r="G116" s="107">
        <v>54326096.122716039</v>
      </c>
    </row>
    <row r="117" spans="1:7" x14ac:dyDescent="0.3">
      <c r="A117" s="154" t="s">
        <v>1130</v>
      </c>
      <c r="B117" s="155">
        <v>2025</v>
      </c>
      <c r="C117" s="108" t="s">
        <v>590</v>
      </c>
      <c r="D117" s="109">
        <v>590</v>
      </c>
      <c r="E117" s="110">
        <v>86712910.719275355</v>
      </c>
      <c r="F117" s="109">
        <v>97980900</v>
      </c>
      <c r="G117" s="111">
        <v>11267989.280724645</v>
      </c>
    </row>
    <row r="118" spans="1:7" x14ac:dyDescent="0.3">
      <c r="A118" s="154" t="s">
        <v>1130</v>
      </c>
      <c r="B118" s="103">
        <v>2026</v>
      </c>
      <c r="C118" s="104" t="s">
        <v>596</v>
      </c>
      <c r="D118" s="105">
        <v>18136</v>
      </c>
      <c r="E118" s="106">
        <v>9855312.6705088113</v>
      </c>
      <c r="F118" s="105">
        <v>8490650.4700000007</v>
      </c>
      <c r="G118" s="107">
        <f>Tabla22[[#This Row],[PRECIO TOT]]-Tabla22[[#This Row],[CT]]</f>
        <v>-1364662.2005088106</v>
      </c>
    </row>
    <row r="119" spans="1:7" x14ac:dyDescent="0.3">
      <c r="A119" s="154" t="s">
        <v>1130</v>
      </c>
      <c r="B119" s="103">
        <v>2026</v>
      </c>
      <c r="C119" s="104" t="s">
        <v>574</v>
      </c>
      <c r="D119" s="105">
        <v>1114700</v>
      </c>
      <c r="E119" s="106">
        <v>104124184.18864258</v>
      </c>
      <c r="F119" s="105">
        <v>125509622.66000001</v>
      </c>
      <c r="G119" s="107">
        <f>Tabla22[[#This Row],[PRECIO TOT]]-Tabla22[[#This Row],[CT]]</f>
        <v>21385438.471357435</v>
      </c>
    </row>
    <row r="120" spans="1:7" x14ac:dyDescent="0.3">
      <c r="A120" s="154" t="s">
        <v>1130</v>
      </c>
      <c r="B120" s="103">
        <v>2026</v>
      </c>
      <c r="C120" s="104" t="s">
        <v>595</v>
      </c>
      <c r="D120" s="105">
        <v>45</v>
      </c>
      <c r="E120" s="106">
        <v>4846631.7508423347</v>
      </c>
      <c r="F120" s="105">
        <v>9120644.459999999</v>
      </c>
      <c r="G120" s="107">
        <f>Tabla22[[#This Row],[PRECIO TOT]]-Tabla22[[#This Row],[CT]]</f>
        <v>4274012.7091576643</v>
      </c>
    </row>
    <row r="121" spans="1:7" x14ac:dyDescent="0.3">
      <c r="A121" s="154" t="s">
        <v>1130</v>
      </c>
      <c r="B121" s="103">
        <v>2026</v>
      </c>
      <c r="C121" s="104" t="s">
        <v>577</v>
      </c>
      <c r="D121" s="105">
        <v>11844</v>
      </c>
      <c r="E121" s="106">
        <v>186413982.45529297</v>
      </c>
      <c r="F121" s="105">
        <v>319585871.23000008</v>
      </c>
      <c r="G121" s="107">
        <f>Tabla22[[#This Row],[PRECIO TOT]]-Tabla22[[#This Row],[CT]]</f>
        <v>133171888.77470711</v>
      </c>
    </row>
    <row r="122" spans="1:7" x14ac:dyDescent="0.3">
      <c r="A122" s="154" t="s">
        <v>1130</v>
      </c>
      <c r="B122" s="103">
        <v>2026</v>
      </c>
      <c r="C122" s="104" t="s">
        <v>824</v>
      </c>
      <c r="D122" s="105">
        <v>948564</v>
      </c>
      <c r="E122" s="106">
        <v>311592129.54915512</v>
      </c>
      <c r="F122" s="105">
        <v>377446425.03000003</v>
      </c>
      <c r="G122" s="107">
        <f>Tabla22[[#This Row],[PRECIO TOT]]-Tabla22[[#This Row],[CT]]</f>
        <v>65854295.480844915</v>
      </c>
    </row>
    <row r="123" spans="1:7" x14ac:dyDescent="0.3">
      <c r="A123" s="154" t="s">
        <v>1130</v>
      </c>
      <c r="B123" s="103">
        <v>2026</v>
      </c>
      <c r="C123" s="104" t="s">
        <v>594</v>
      </c>
      <c r="D123" s="105">
        <v>521</v>
      </c>
      <c r="E123" s="106">
        <v>7339880.5719349869</v>
      </c>
      <c r="F123" s="105">
        <v>19566727.16</v>
      </c>
      <c r="G123" s="107">
        <f>Tabla22[[#This Row],[PRECIO TOT]]-Tabla22[[#This Row],[CT]]</f>
        <v>12226846.588065013</v>
      </c>
    </row>
    <row r="124" spans="1:7" x14ac:dyDescent="0.3">
      <c r="A124" s="154" t="s">
        <v>1130</v>
      </c>
      <c r="B124" s="103">
        <v>2026</v>
      </c>
      <c r="C124" s="104" t="s">
        <v>579</v>
      </c>
      <c r="D124" s="105">
        <v>35170</v>
      </c>
      <c r="E124" s="106">
        <v>179780288.72754976</v>
      </c>
      <c r="F124" s="105">
        <v>171697139.63999999</v>
      </c>
      <c r="G124" s="107">
        <f>Tabla22[[#This Row],[PRECIO TOT]]-Tabla22[[#This Row],[CT]]</f>
        <v>-8083149.0875497758</v>
      </c>
    </row>
    <row r="125" spans="1:7" x14ac:dyDescent="0.3">
      <c r="A125" s="154" t="s">
        <v>1130</v>
      </c>
      <c r="B125" s="103">
        <v>2026</v>
      </c>
      <c r="C125" s="104" t="s">
        <v>599</v>
      </c>
      <c r="D125" s="105">
        <v>5120.7</v>
      </c>
      <c r="E125" s="106">
        <v>0</v>
      </c>
      <c r="F125" s="105">
        <v>12544210</v>
      </c>
      <c r="G125" s="107">
        <f>Tabla22[[#This Row],[PRECIO TOT]]-Tabla22[[#This Row],[CT]]</f>
        <v>12544210</v>
      </c>
    </row>
    <row r="126" spans="1:7" x14ac:dyDescent="0.3">
      <c r="A126" s="154" t="s">
        <v>1130</v>
      </c>
      <c r="B126" s="103">
        <v>2026</v>
      </c>
      <c r="C126" s="104" t="s">
        <v>597</v>
      </c>
      <c r="D126" s="105">
        <v>49</v>
      </c>
      <c r="E126" s="106">
        <v>3057351.5619946201</v>
      </c>
      <c r="F126" s="105">
        <v>6046265.4800000004</v>
      </c>
      <c r="G126" s="107">
        <f>Tabla22[[#This Row],[PRECIO TOT]]-Tabla22[[#This Row],[CT]]</f>
        <v>2988913.9180053803</v>
      </c>
    </row>
    <row r="127" spans="1:7" x14ac:dyDescent="0.3">
      <c r="A127" s="154" t="s">
        <v>1130</v>
      </c>
      <c r="B127" s="103">
        <v>2026</v>
      </c>
      <c r="C127" s="104" t="s">
        <v>600</v>
      </c>
      <c r="D127" s="105">
        <v>38</v>
      </c>
      <c r="E127" s="106">
        <v>420775.92397829716</v>
      </c>
      <c r="F127" s="105">
        <v>686059.03</v>
      </c>
      <c r="G127" s="107">
        <f>Tabla22[[#This Row],[PRECIO TOT]]-Tabla22[[#This Row],[CT]]</f>
        <v>265283.10602170287</v>
      </c>
    </row>
    <row r="128" spans="1:7" x14ac:dyDescent="0.3">
      <c r="A128" s="154" t="s">
        <v>1130</v>
      </c>
      <c r="B128" s="103">
        <v>2026</v>
      </c>
      <c r="C128" s="104" t="s">
        <v>570</v>
      </c>
      <c r="D128" s="105">
        <v>7924</v>
      </c>
      <c r="E128" s="106">
        <v>238358900.60440522</v>
      </c>
      <c r="F128" s="105">
        <v>448552700</v>
      </c>
      <c r="G128" s="107">
        <f>Tabla22[[#This Row],[PRECIO TOT]]-Tabla22[[#This Row],[CT]]</f>
        <v>210193799.39559478</v>
      </c>
    </row>
    <row r="129" spans="1:7" x14ac:dyDescent="0.3">
      <c r="A129" s="154" t="s">
        <v>1130</v>
      </c>
      <c r="B129" s="103">
        <v>2026</v>
      </c>
      <c r="C129" s="104" t="s">
        <v>598</v>
      </c>
      <c r="D129" s="105">
        <v>80</v>
      </c>
      <c r="E129" s="106">
        <v>1434588.1044234019</v>
      </c>
      <c r="F129" s="105">
        <v>2857680.11</v>
      </c>
      <c r="G129" s="107">
        <f>Tabla22[[#This Row],[PRECIO TOT]]-Tabla22[[#This Row],[CT]]</f>
        <v>1423092.005576598</v>
      </c>
    </row>
    <row r="130" spans="1:7" x14ac:dyDescent="0.3">
      <c r="A130" s="154" t="s">
        <v>1130</v>
      </c>
      <c r="B130" s="103">
        <v>2026</v>
      </c>
      <c r="C130" s="104" t="s">
        <v>826</v>
      </c>
      <c r="D130" s="105">
        <v>3053</v>
      </c>
      <c r="E130" s="106">
        <v>136648014.54214552</v>
      </c>
      <c r="F130" s="105">
        <v>248719936.69999999</v>
      </c>
      <c r="G130" s="107">
        <f>Tabla22[[#This Row],[PRECIO TOT]]-Tabla22[[#This Row],[CT]]</f>
        <v>112071922.15785447</v>
      </c>
    </row>
    <row r="131" spans="1:7" x14ac:dyDescent="0.3">
      <c r="A131" s="154" t="s">
        <v>1130</v>
      </c>
      <c r="B131" s="103">
        <v>2026</v>
      </c>
      <c r="C131" s="104" t="s">
        <v>1172</v>
      </c>
      <c r="D131" s="105">
        <v>4802</v>
      </c>
      <c r="E131" s="106">
        <v>278403611.06613284</v>
      </c>
      <c r="F131" s="105">
        <v>455268229.21000004</v>
      </c>
      <c r="G131" s="107">
        <f>Tabla22[[#This Row],[PRECIO TOT]]-Tabla22[[#This Row],[CT]]</f>
        <v>176864618.14386719</v>
      </c>
    </row>
    <row r="132" spans="1:7" x14ac:dyDescent="0.3">
      <c r="A132" s="154" t="s">
        <v>1130</v>
      </c>
      <c r="B132" s="103">
        <v>2026</v>
      </c>
      <c r="C132" s="104" t="s">
        <v>587</v>
      </c>
      <c r="D132" s="105">
        <v>612</v>
      </c>
      <c r="E132" s="106">
        <v>82451391.362272069</v>
      </c>
      <c r="F132" s="105">
        <v>131896803.51000001</v>
      </c>
      <c r="G132" s="107">
        <f>Tabla22[[#This Row],[PRECIO TOT]]-Tabla22[[#This Row],[CT]]</f>
        <v>49445412.147727937</v>
      </c>
    </row>
    <row r="133" spans="1:7" x14ac:dyDescent="0.3">
      <c r="A133" s="154" t="s">
        <v>1130</v>
      </c>
      <c r="B133" s="103">
        <v>2026</v>
      </c>
      <c r="C133" s="104" t="s">
        <v>583</v>
      </c>
      <c r="D133" s="105">
        <v>2558</v>
      </c>
      <c r="E133" s="106">
        <v>415380268.89459604</v>
      </c>
      <c r="F133" s="105">
        <v>628303278.56999993</v>
      </c>
      <c r="G133" s="107">
        <f>Tabla22[[#This Row],[PRECIO TOT]]-Tabla22[[#This Row],[CT]]</f>
        <v>212923009.67540389</v>
      </c>
    </row>
    <row r="134" spans="1:7" x14ac:dyDescent="0.3">
      <c r="A134" s="154" t="s">
        <v>1130</v>
      </c>
      <c r="B134" s="103">
        <v>2026</v>
      </c>
      <c r="C134" s="104" t="s">
        <v>827</v>
      </c>
      <c r="D134" s="105">
        <v>17118</v>
      </c>
      <c r="E134" s="106">
        <v>300673924.59966266</v>
      </c>
      <c r="F134" s="105">
        <v>388928042.94</v>
      </c>
      <c r="G134" s="107">
        <f>Tabla22[[#This Row],[PRECIO TOT]]-Tabla22[[#This Row],[CT]]</f>
        <v>88254118.340337336</v>
      </c>
    </row>
    <row r="135" spans="1:7" x14ac:dyDescent="0.3">
      <c r="A135" s="154" t="s">
        <v>1130</v>
      </c>
      <c r="B135" s="103">
        <v>2026</v>
      </c>
      <c r="C135" s="104" t="s">
        <v>1168</v>
      </c>
      <c r="D135" s="105">
        <v>12720</v>
      </c>
      <c r="E135" s="106">
        <v>278337837.05656439</v>
      </c>
      <c r="F135" s="105">
        <v>368687152.39999998</v>
      </c>
      <c r="G135" s="107">
        <f>Tabla22[[#This Row],[PRECIO TOT]]-Tabla22[[#This Row],[CT]]</f>
        <v>90349315.343435585</v>
      </c>
    </row>
    <row r="136" spans="1:7" x14ac:dyDescent="0.3">
      <c r="A136" s="154" t="s">
        <v>1130</v>
      </c>
      <c r="B136" s="103">
        <v>2026</v>
      </c>
      <c r="C136" s="104" t="s">
        <v>586</v>
      </c>
      <c r="D136" s="105">
        <v>1898</v>
      </c>
      <c r="E136" s="106">
        <v>42284749.606039174</v>
      </c>
      <c r="F136" s="105">
        <v>76536875.039999992</v>
      </c>
      <c r="G136" s="107">
        <f>Tabla22[[#This Row],[PRECIO TOT]]-Tabla22[[#This Row],[CT]]</f>
        <v>34252125.433960818</v>
      </c>
    </row>
    <row r="137" spans="1:7" x14ac:dyDescent="0.3">
      <c r="A137" s="154" t="s">
        <v>1130</v>
      </c>
      <c r="B137" s="103">
        <v>2026</v>
      </c>
      <c r="C137" s="104" t="s">
        <v>575</v>
      </c>
      <c r="D137" s="105">
        <v>2707</v>
      </c>
      <c r="E137" s="106">
        <v>83822396.930616647</v>
      </c>
      <c r="F137" s="105">
        <v>132285242.80999999</v>
      </c>
      <c r="G137" s="107">
        <f>Tabla22[[#This Row],[PRECIO TOT]]-Tabla22[[#This Row],[CT]]</f>
        <v>48462845.87938334</v>
      </c>
    </row>
    <row r="138" spans="1:7" x14ac:dyDescent="0.3">
      <c r="A138" s="154" t="s">
        <v>1130</v>
      </c>
      <c r="B138" s="103">
        <v>2026</v>
      </c>
      <c r="C138" s="104" t="s">
        <v>578</v>
      </c>
      <c r="D138" s="105">
        <v>259082</v>
      </c>
      <c r="E138" s="106">
        <v>50127715.876307376</v>
      </c>
      <c r="F138" s="105">
        <v>70260041.090000004</v>
      </c>
      <c r="G138" s="107">
        <f>Tabla22[[#This Row],[PRECIO TOT]]-Tabla22[[#This Row],[CT]]</f>
        <v>20132325.213692628</v>
      </c>
    </row>
    <row r="139" spans="1:7" x14ac:dyDescent="0.3">
      <c r="A139" s="154" t="s">
        <v>1130</v>
      </c>
      <c r="B139" s="103">
        <v>2026</v>
      </c>
      <c r="C139" s="104" t="s">
        <v>572</v>
      </c>
      <c r="D139" s="105">
        <v>61084</v>
      </c>
      <c r="E139" s="106">
        <v>367741292.24466044</v>
      </c>
      <c r="F139" s="105">
        <v>505009199.82999998</v>
      </c>
      <c r="G139" s="107">
        <f>Tabla22[[#This Row],[PRECIO TOT]]-Tabla22[[#This Row],[CT]]</f>
        <v>137267907.58533955</v>
      </c>
    </row>
    <row r="140" spans="1:7" x14ac:dyDescent="0.3">
      <c r="A140" s="154" t="s">
        <v>1130</v>
      </c>
      <c r="B140" s="103">
        <v>2026</v>
      </c>
      <c r="C140" s="108" t="s">
        <v>590</v>
      </c>
      <c r="D140" s="109">
        <v>7998</v>
      </c>
      <c r="E140" s="110">
        <v>841193223.60457897</v>
      </c>
      <c r="F140" s="109">
        <v>911209340</v>
      </c>
      <c r="G140" s="111">
        <f>Tabla22[[#This Row],[PRECIO TOT]]-Tabla22[[#This Row],[CT]]</f>
        <v>70016116.395421028</v>
      </c>
    </row>
    <row r="141" spans="1:7" x14ac:dyDescent="0.3">
      <c r="A141" s="102" t="s">
        <v>1170</v>
      </c>
      <c r="B141" s="103">
        <v>2025</v>
      </c>
      <c r="C141" s="104" t="s">
        <v>596</v>
      </c>
      <c r="D141" s="105">
        <v>38543</v>
      </c>
      <c r="E141" s="106">
        <v>5129583.2767721331</v>
      </c>
      <c r="F141" s="105">
        <v>12224093.35</v>
      </c>
      <c r="G141" s="107">
        <v>7094510.0732278666</v>
      </c>
    </row>
    <row r="142" spans="1:7" x14ac:dyDescent="0.3">
      <c r="A142" s="102" t="s">
        <v>1170</v>
      </c>
      <c r="B142" s="103">
        <v>2025</v>
      </c>
      <c r="C142" s="104" t="s">
        <v>574</v>
      </c>
      <c r="D142" s="105">
        <v>775200</v>
      </c>
      <c r="E142" s="106">
        <v>61156324.712365463</v>
      </c>
      <c r="F142" s="105">
        <v>91124453.050000012</v>
      </c>
      <c r="G142" s="107">
        <v>29968128.337634549</v>
      </c>
    </row>
    <row r="143" spans="1:7" x14ac:dyDescent="0.3">
      <c r="A143" s="102" t="s">
        <v>1170</v>
      </c>
      <c r="B143" s="103">
        <v>2025</v>
      </c>
      <c r="C143" s="104" t="s">
        <v>595</v>
      </c>
      <c r="D143" s="105">
        <v>52</v>
      </c>
      <c r="E143" s="106">
        <v>5663150.0613980833</v>
      </c>
      <c r="F143" s="105">
        <v>10912464.729999999</v>
      </c>
      <c r="G143" s="107">
        <v>5249314.6686019152</v>
      </c>
    </row>
    <row r="144" spans="1:7" x14ac:dyDescent="0.3">
      <c r="A144" s="102" t="s">
        <v>1170</v>
      </c>
      <c r="B144" s="103">
        <v>2025</v>
      </c>
      <c r="C144" s="104" t="s">
        <v>577</v>
      </c>
      <c r="D144" s="105">
        <v>11962</v>
      </c>
      <c r="E144" s="106">
        <v>178575406.16594547</v>
      </c>
      <c r="F144" s="105">
        <v>339816402.02999997</v>
      </c>
      <c r="G144" s="107">
        <v>161240995.8640545</v>
      </c>
    </row>
    <row r="145" spans="1:7" x14ac:dyDescent="0.3">
      <c r="A145" s="102" t="s">
        <v>1170</v>
      </c>
      <c r="B145" s="103">
        <v>2025</v>
      </c>
      <c r="C145" s="104" t="s">
        <v>824</v>
      </c>
      <c r="D145" s="105">
        <v>579010</v>
      </c>
      <c r="E145" s="106">
        <v>163048802.82068956</v>
      </c>
      <c r="F145" s="105">
        <v>232622581.19999999</v>
      </c>
      <c r="G145" s="107">
        <v>69573778.379310429</v>
      </c>
    </row>
    <row r="146" spans="1:7" x14ac:dyDescent="0.3">
      <c r="A146" s="102" t="s">
        <v>1170</v>
      </c>
      <c r="B146" s="103">
        <v>2025</v>
      </c>
      <c r="C146" s="104" t="s">
        <v>594</v>
      </c>
      <c r="D146" s="105">
        <v>620</v>
      </c>
      <c r="E146" s="106">
        <v>13541916.512752553</v>
      </c>
      <c r="F146" s="105">
        <v>32232108.810000002</v>
      </c>
      <c r="G146" s="107">
        <v>18690192.297247447</v>
      </c>
    </row>
    <row r="147" spans="1:7" x14ac:dyDescent="0.3">
      <c r="A147" s="102" t="s">
        <v>1170</v>
      </c>
      <c r="B147" s="103">
        <v>2025</v>
      </c>
      <c r="C147" s="104" t="s">
        <v>579</v>
      </c>
      <c r="D147" s="105">
        <v>13638</v>
      </c>
      <c r="E147" s="106">
        <v>70853182.291923225</v>
      </c>
      <c r="F147" s="105">
        <v>69446539.429999992</v>
      </c>
      <c r="G147" s="107">
        <v>-1406642.8619232327</v>
      </c>
    </row>
    <row r="148" spans="1:7" x14ac:dyDescent="0.3">
      <c r="A148" s="102" t="s">
        <v>1170</v>
      </c>
      <c r="B148" s="103">
        <v>2025</v>
      </c>
      <c r="C148" s="104" t="s">
        <v>599</v>
      </c>
      <c r="D148" s="105">
        <v>2565.3000000000002</v>
      </c>
      <c r="E148" s="106">
        <v>0</v>
      </c>
      <c r="F148" s="105">
        <v>48756580</v>
      </c>
      <c r="G148" s="107">
        <v>48756580</v>
      </c>
    </row>
    <row r="149" spans="1:7" x14ac:dyDescent="0.3">
      <c r="A149" s="102" t="s">
        <v>1170</v>
      </c>
      <c r="B149" s="103">
        <v>2025</v>
      </c>
      <c r="C149" s="104" t="s">
        <v>597</v>
      </c>
      <c r="D149" s="105">
        <v>134</v>
      </c>
      <c r="E149" s="106">
        <v>5441492.0939253932</v>
      </c>
      <c r="F149" s="105">
        <v>12562778.809999999</v>
      </c>
      <c r="G149" s="107">
        <v>7121286.7160746055</v>
      </c>
    </row>
    <row r="150" spans="1:7" x14ac:dyDescent="0.3">
      <c r="A150" s="102" t="s">
        <v>1170</v>
      </c>
      <c r="B150" s="103">
        <v>2025</v>
      </c>
      <c r="C150" s="104" t="s">
        <v>600</v>
      </c>
      <c r="D150" s="105">
        <v>16</v>
      </c>
      <c r="E150" s="106">
        <v>135137.17740212515</v>
      </c>
      <c r="F150" s="105">
        <v>259419.17</v>
      </c>
      <c r="G150" s="107">
        <v>124281.99259787487</v>
      </c>
    </row>
    <row r="151" spans="1:7" x14ac:dyDescent="0.3">
      <c r="A151" s="102" t="s">
        <v>1170</v>
      </c>
      <c r="B151" s="103">
        <v>2025</v>
      </c>
      <c r="C151" s="104" t="s">
        <v>570</v>
      </c>
      <c r="D151" s="105">
        <v>4383</v>
      </c>
      <c r="E151" s="106">
        <v>133531436.14267035</v>
      </c>
      <c r="F151" s="105">
        <v>296518444</v>
      </c>
      <c r="G151" s="107">
        <v>162987007.85732967</v>
      </c>
    </row>
    <row r="152" spans="1:7" x14ac:dyDescent="0.3">
      <c r="A152" s="102" t="s">
        <v>1170</v>
      </c>
      <c r="B152" s="103">
        <v>2025</v>
      </c>
      <c r="C152" s="104" t="s">
        <v>598</v>
      </c>
      <c r="D152" s="105">
        <v>193</v>
      </c>
      <c r="E152" s="106">
        <v>4547975.5514884256</v>
      </c>
      <c r="F152" s="105">
        <v>6043023.2400000002</v>
      </c>
      <c r="G152" s="107">
        <v>1495047.6885115746</v>
      </c>
    </row>
    <row r="153" spans="1:7" x14ac:dyDescent="0.3">
      <c r="A153" s="102" t="s">
        <v>1170</v>
      </c>
      <c r="B153" s="103">
        <v>2025</v>
      </c>
      <c r="C153" s="104" t="s">
        <v>826</v>
      </c>
      <c r="D153" s="105">
        <v>3080</v>
      </c>
      <c r="E153" s="106">
        <v>130276581.91420129</v>
      </c>
      <c r="F153" s="105">
        <v>259923203.16999999</v>
      </c>
      <c r="G153" s="107">
        <v>129646621.2557987</v>
      </c>
    </row>
    <row r="154" spans="1:7" x14ac:dyDescent="0.3">
      <c r="A154" s="102" t="s">
        <v>1170</v>
      </c>
      <c r="B154" s="103">
        <v>2025</v>
      </c>
      <c r="C154" s="104" t="s">
        <v>1172</v>
      </c>
      <c r="D154" s="105">
        <v>4263</v>
      </c>
      <c r="E154" s="106">
        <v>257119650.51711172</v>
      </c>
      <c r="F154" s="105">
        <v>407527486.13</v>
      </c>
      <c r="G154" s="107">
        <v>150407835.61288828</v>
      </c>
    </row>
    <row r="155" spans="1:7" x14ac:dyDescent="0.3">
      <c r="A155" s="102" t="s">
        <v>1170</v>
      </c>
      <c r="B155" s="103">
        <v>2025</v>
      </c>
      <c r="C155" s="104" t="s">
        <v>587</v>
      </c>
      <c r="D155" s="105">
        <v>502</v>
      </c>
      <c r="E155" s="106">
        <v>47517433.628901877</v>
      </c>
      <c r="F155" s="105">
        <v>106404470.7</v>
      </c>
      <c r="G155" s="107">
        <v>58887037.071098126</v>
      </c>
    </row>
    <row r="156" spans="1:7" x14ac:dyDescent="0.3">
      <c r="A156" s="102" t="s">
        <v>1170</v>
      </c>
      <c r="B156" s="103">
        <v>2025</v>
      </c>
      <c r="C156" s="104" t="s">
        <v>583</v>
      </c>
      <c r="D156" s="105">
        <v>2069</v>
      </c>
      <c r="E156" s="106">
        <v>298750127.88140857</v>
      </c>
      <c r="F156" s="105">
        <v>531949267.08000004</v>
      </c>
      <c r="G156" s="107">
        <v>233199139.19859147</v>
      </c>
    </row>
    <row r="157" spans="1:7" x14ac:dyDescent="0.3">
      <c r="A157" s="102" t="s">
        <v>1170</v>
      </c>
      <c r="B157" s="103">
        <v>2025</v>
      </c>
      <c r="C157" s="104" t="s">
        <v>827</v>
      </c>
      <c r="D157" s="105">
        <v>12316</v>
      </c>
      <c r="E157" s="106">
        <v>204519292.300908</v>
      </c>
      <c r="F157" s="105">
        <v>317906448.79000002</v>
      </c>
      <c r="G157" s="107">
        <v>113387156.48909202</v>
      </c>
    </row>
    <row r="158" spans="1:7" x14ac:dyDescent="0.3">
      <c r="A158" s="102" t="s">
        <v>1170</v>
      </c>
      <c r="B158" s="103">
        <v>2025</v>
      </c>
      <c r="C158" s="104" t="s">
        <v>825</v>
      </c>
      <c r="D158" s="105">
        <v>14469</v>
      </c>
      <c r="E158" s="106">
        <v>332053386.37295204</v>
      </c>
      <c r="F158" s="105">
        <v>403102817.16000003</v>
      </c>
      <c r="G158" s="107">
        <v>71049430.787047982</v>
      </c>
    </row>
    <row r="159" spans="1:7" x14ac:dyDescent="0.3">
      <c r="A159" s="102" t="s">
        <v>1170</v>
      </c>
      <c r="B159" s="103">
        <v>2025</v>
      </c>
      <c r="C159" s="104" t="s">
        <v>586</v>
      </c>
      <c r="D159" s="105">
        <v>2158</v>
      </c>
      <c r="E159" s="106">
        <v>45251608.3868699</v>
      </c>
      <c r="F159" s="105">
        <v>84501195.939999998</v>
      </c>
      <c r="G159" s="107">
        <v>39249587.553130098</v>
      </c>
    </row>
    <row r="160" spans="1:7" x14ac:dyDescent="0.3">
      <c r="A160" s="102" t="s">
        <v>1170</v>
      </c>
      <c r="B160" s="103">
        <v>2025</v>
      </c>
      <c r="C160" s="104" t="s">
        <v>575</v>
      </c>
      <c r="D160" s="105">
        <v>1935</v>
      </c>
      <c r="E160" s="106">
        <v>65533468.171382651</v>
      </c>
      <c r="F160" s="105">
        <v>94152892.929999992</v>
      </c>
      <c r="G160" s="107">
        <v>28619424.758617342</v>
      </c>
    </row>
    <row r="161" spans="1:7" x14ac:dyDescent="0.3">
      <c r="A161" s="102" t="s">
        <v>1170</v>
      </c>
      <c r="B161" s="103">
        <v>2025</v>
      </c>
      <c r="C161" s="104" t="s">
        <v>578</v>
      </c>
      <c r="D161" s="105">
        <v>166080</v>
      </c>
      <c r="E161" s="106">
        <v>21602166.083036896</v>
      </c>
      <c r="F161" s="105">
        <v>43084578.449999996</v>
      </c>
      <c r="G161" s="107">
        <v>21482412.3669631</v>
      </c>
    </row>
    <row r="162" spans="1:7" x14ac:dyDescent="0.3">
      <c r="A162" s="102" t="s">
        <v>1170</v>
      </c>
      <c r="B162" s="103">
        <v>2025</v>
      </c>
      <c r="C162" s="104" t="s">
        <v>588</v>
      </c>
      <c r="D162" s="105">
        <v>5</v>
      </c>
      <c r="E162" s="106">
        <v>12125000</v>
      </c>
      <c r="F162" s="105">
        <v>16200000</v>
      </c>
      <c r="G162" s="107">
        <v>4075000</v>
      </c>
    </row>
    <row r="163" spans="1:7" x14ac:dyDescent="0.3">
      <c r="A163" s="102" t="s">
        <v>1170</v>
      </c>
      <c r="B163" s="103">
        <v>2025</v>
      </c>
      <c r="C163" s="104" t="s">
        <v>572</v>
      </c>
      <c r="D163" s="105">
        <v>39516</v>
      </c>
      <c r="E163" s="106">
        <v>275367692.73745728</v>
      </c>
      <c r="F163" s="105">
        <v>342461420.12</v>
      </c>
      <c r="G163" s="107">
        <v>67093727.382542729</v>
      </c>
    </row>
    <row r="164" spans="1:7" x14ac:dyDescent="0.3">
      <c r="A164" s="154" t="s">
        <v>1170</v>
      </c>
      <c r="B164" s="155">
        <v>2025</v>
      </c>
      <c r="C164" s="108" t="s">
        <v>590</v>
      </c>
      <c r="D164" s="109">
        <v>572</v>
      </c>
      <c r="E164" s="110">
        <v>70789873.381870165</v>
      </c>
      <c r="F164" s="109">
        <v>79050850</v>
      </c>
      <c r="G164" s="111">
        <v>8260976.6181298345</v>
      </c>
    </row>
    <row r="165" spans="1:7" x14ac:dyDescent="0.3">
      <c r="A165" s="154" t="s">
        <v>1170</v>
      </c>
      <c r="B165" s="103">
        <v>2026</v>
      </c>
      <c r="C165" s="104" t="s">
        <v>596</v>
      </c>
      <c r="D165" s="105">
        <v>40317</v>
      </c>
      <c r="E165" s="106">
        <v>13962215.757125268</v>
      </c>
      <c r="F165" s="105">
        <v>-371733.40999999992</v>
      </c>
      <c r="G165" s="107">
        <f>Tabla22[[#This Row],[PRECIO TOT]]-Tabla22[[#This Row],[CT]]</f>
        <v>-14333949.167125268</v>
      </c>
    </row>
    <row r="166" spans="1:7" x14ac:dyDescent="0.3">
      <c r="A166" s="154" t="s">
        <v>1170</v>
      </c>
      <c r="B166" s="103">
        <v>2026</v>
      </c>
      <c r="C166" s="104" t="s">
        <v>574</v>
      </c>
      <c r="D166" s="105">
        <v>1098800</v>
      </c>
      <c r="E166" s="106">
        <v>133598795.98239079</v>
      </c>
      <c r="F166" s="105">
        <v>127566164.34999999</v>
      </c>
      <c r="G166" s="107">
        <f>Tabla22[[#This Row],[PRECIO TOT]]-Tabla22[[#This Row],[CT]]</f>
        <v>-6032631.6323907971</v>
      </c>
    </row>
    <row r="167" spans="1:7" x14ac:dyDescent="0.3">
      <c r="A167" s="154" t="s">
        <v>1170</v>
      </c>
      <c r="B167" s="103">
        <v>2026</v>
      </c>
      <c r="C167" s="104" t="s">
        <v>595</v>
      </c>
      <c r="D167" s="105">
        <v>202</v>
      </c>
      <c r="E167" s="106">
        <v>21951409.412382256</v>
      </c>
      <c r="F167" s="105">
        <v>38989420.100000001</v>
      </c>
      <c r="G167" s="107">
        <f>Tabla22[[#This Row],[PRECIO TOT]]-Tabla22[[#This Row],[CT]]</f>
        <v>17038010.687617745</v>
      </c>
    </row>
    <row r="168" spans="1:7" x14ac:dyDescent="0.3">
      <c r="A168" s="154" t="s">
        <v>1170</v>
      </c>
      <c r="B168" s="103">
        <v>2026</v>
      </c>
      <c r="C168" s="104" t="s">
        <v>577</v>
      </c>
      <c r="D168" s="105">
        <v>10779</v>
      </c>
      <c r="E168" s="106">
        <v>181509424.14011195</v>
      </c>
      <c r="F168" s="105">
        <v>312923567.37999994</v>
      </c>
      <c r="G168" s="107">
        <f>Tabla22[[#This Row],[PRECIO TOT]]-Tabla22[[#This Row],[CT]]</f>
        <v>131414143.23988798</v>
      </c>
    </row>
    <row r="169" spans="1:7" x14ac:dyDescent="0.3">
      <c r="A169" s="154" t="s">
        <v>1170</v>
      </c>
      <c r="B169" s="103">
        <v>2026</v>
      </c>
      <c r="C169" s="104" t="s">
        <v>824</v>
      </c>
      <c r="D169" s="105">
        <v>1045656</v>
      </c>
      <c r="E169" s="106">
        <v>353395030.75164831</v>
      </c>
      <c r="F169" s="105">
        <v>413265469.19</v>
      </c>
      <c r="G169" s="107">
        <f>Tabla22[[#This Row],[PRECIO TOT]]-Tabla22[[#This Row],[CT]]</f>
        <v>59870438.438351691</v>
      </c>
    </row>
    <row r="170" spans="1:7" x14ac:dyDescent="0.3">
      <c r="A170" s="154" t="s">
        <v>1170</v>
      </c>
      <c r="B170" s="103">
        <v>2026</v>
      </c>
      <c r="C170" s="104" t="s">
        <v>594</v>
      </c>
      <c r="D170" s="105">
        <v>629</v>
      </c>
      <c r="E170" s="106">
        <v>12282459.293605259</v>
      </c>
      <c r="F170" s="105">
        <v>29975310.530000001</v>
      </c>
      <c r="G170" s="107">
        <f>Tabla22[[#This Row],[PRECIO TOT]]-Tabla22[[#This Row],[CT]]</f>
        <v>17692851.236394741</v>
      </c>
    </row>
    <row r="171" spans="1:7" x14ac:dyDescent="0.3">
      <c r="A171" s="154" t="s">
        <v>1170</v>
      </c>
      <c r="B171" s="103">
        <v>2026</v>
      </c>
      <c r="C171" s="104" t="s">
        <v>579</v>
      </c>
      <c r="D171" s="105">
        <v>40080</v>
      </c>
      <c r="E171" s="106">
        <v>212831816.07306823</v>
      </c>
      <c r="F171" s="105">
        <v>196471918.97</v>
      </c>
      <c r="G171" s="107">
        <f>Tabla22[[#This Row],[PRECIO TOT]]-Tabla22[[#This Row],[CT]]</f>
        <v>-16359897.103068233</v>
      </c>
    </row>
    <row r="172" spans="1:7" x14ac:dyDescent="0.3">
      <c r="A172" s="154" t="s">
        <v>1170</v>
      </c>
      <c r="B172" s="103">
        <v>2026</v>
      </c>
      <c r="C172" s="104" t="s">
        <v>599</v>
      </c>
      <c r="D172" s="105">
        <v>4460.3500000000004</v>
      </c>
      <c r="E172" s="106">
        <v>0</v>
      </c>
      <c r="F172" s="105">
        <v>10945785</v>
      </c>
      <c r="G172" s="107">
        <f>Tabla22[[#This Row],[PRECIO TOT]]-Tabla22[[#This Row],[CT]]</f>
        <v>10945785</v>
      </c>
    </row>
    <row r="173" spans="1:7" x14ac:dyDescent="0.3">
      <c r="A173" s="154" t="s">
        <v>1170</v>
      </c>
      <c r="B173" s="103">
        <v>2026</v>
      </c>
      <c r="C173" s="104" t="s">
        <v>597</v>
      </c>
      <c r="D173" s="105">
        <v>22</v>
      </c>
      <c r="E173" s="106">
        <v>1206768.7177928223</v>
      </c>
      <c r="F173" s="105">
        <v>2318435.9799999995</v>
      </c>
      <c r="G173" s="107">
        <f>Tabla22[[#This Row],[PRECIO TOT]]-Tabla22[[#This Row],[CT]]</f>
        <v>1111667.2622071772</v>
      </c>
    </row>
    <row r="174" spans="1:7" x14ac:dyDescent="0.3">
      <c r="A174" s="154" t="s">
        <v>1170</v>
      </c>
      <c r="B174" s="103">
        <v>2026</v>
      </c>
      <c r="C174" s="104" t="s">
        <v>600</v>
      </c>
      <c r="D174" s="105">
        <v>30</v>
      </c>
      <c r="E174" s="106">
        <v>217233.22776998259</v>
      </c>
      <c r="F174" s="105">
        <v>576340</v>
      </c>
      <c r="G174" s="107">
        <f>Tabla22[[#This Row],[PRECIO TOT]]-Tabla22[[#This Row],[CT]]</f>
        <v>359106.77223001741</v>
      </c>
    </row>
    <row r="175" spans="1:7" x14ac:dyDescent="0.3">
      <c r="A175" s="154" t="s">
        <v>1170</v>
      </c>
      <c r="B175" s="103">
        <v>2026</v>
      </c>
      <c r="C175" s="104" t="s">
        <v>570</v>
      </c>
      <c r="D175" s="105">
        <v>5272</v>
      </c>
      <c r="E175" s="106">
        <v>177471042.6977368</v>
      </c>
      <c r="F175" s="105">
        <v>333150804.01999998</v>
      </c>
      <c r="G175" s="107">
        <f>Tabla22[[#This Row],[PRECIO TOT]]-Tabla22[[#This Row],[CT]]</f>
        <v>155679761.32226318</v>
      </c>
    </row>
    <row r="176" spans="1:7" x14ac:dyDescent="0.3">
      <c r="A176" s="154" t="s">
        <v>1170</v>
      </c>
      <c r="B176" s="103">
        <v>2026</v>
      </c>
      <c r="C176" s="104" t="s">
        <v>598</v>
      </c>
      <c r="D176" s="105">
        <v>180</v>
      </c>
      <c r="E176" s="106">
        <v>3589301.8969736709</v>
      </c>
      <c r="F176" s="105">
        <v>5635980.2199999997</v>
      </c>
      <c r="G176" s="107">
        <f>Tabla22[[#This Row],[PRECIO TOT]]-Tabla22[[#This Row],[CT]]</f>
        <v>2046678.3230263288</v>
      </c>
    </row>
    <row r="177" spans="1:7" x14ac:dyDescent="0.3">
      <c r="A177" s="154" t="s">
        <v>1170</v>
      </c>
      <c r="B177" s="103">
        <v>2026</v>
      </c>
      <c r="C177" s="104" t="s">
        <v>826</v>
      </c>
      <c r="D177" s="105">
        <v>4550</v>
      </c>
      <c r="E177" s="106">
        <v>207320108.91044831</v>
      </c>
      <c r="F177" s="105">
        <v>376661996.62</v>
      </c>
      <c r="G177" s="107">
        <f>Tabla22[[#This Row],[PRECIO TOT]]-Tabla22[[#This Row],[CT]]</f>
        <v>169341887.70955169</v>
      </c>
    </row>
    <row r="178" spans="1:7" x14ac:dyDescent="0.3">
      <c r="A178" s="154" t="s">
        <v>1170</v>
      </c>
      <c r="B178" s="103">
        <v>2026</v>
      </c>
      <c r="C178" s="104" t="s">
        <v>1172</v>
      </c>
      <c r="D178" s="105">
        <v>6916</v>
      </c>
      <c r="E178" s="106">
        <v>388694745.33495623</v>
      </c>
      <c r="F178" s="105">
        <v>623543942.49000001</v>
      </c>
      <c r="G178" s="107">
        <f>Tabla22[[#This Row],[PRECIO TOT]]-Tabla22[[#This Row],[CT]]</f>
        <v>234849197.15504378</v>
      </c>
    </row>
    <row r="179" spans="1:7" x14ac:dyDescent="0.3">
      <c r="A179" s="154" t="s">
        <v>1170</v>
      </c>
      <c r="B179" s="103">
        <v>2026</v>
      </c>
      <c r="C179" s="104" t="s">
        <v>587</v>
      </c>
      <c r="D179" s="105">
        <v>366</v>
      </c>
      <c r="E179" s="106">
        <v>57694600.935096808</v>
      </c>
      <c r="F179" s="105">
        <v>103639966.71000001</v>
      </c>
      <c r="G179" s="107">
        <f>Tabla22[[#This Row],[PRECIO TOT]]-Tabla22[[#This Row],[CT]]</f>
        <v>45945365.774903201</v>
      </c>
    </row>
    <row r="180" spans="1:7" x14ac:dyDescent="0.3">
      <c r="A180" s="154" t="s">
        <v>1170</v>
      </c>
      <c r="B180" s="103">
        <v>2026</v>
      </c>
      <c r="C180" s="104" t="s">
        <v>583</v>
      </c>
      <c r="D180" s="105">
        <v>2163</v>
      </c>
      <c r="E180" s="106">
        <v>391520292.03179479</v>
      </c>
      <c r="F180" s="105">
        <v>613393312.25000012</v>
      </c>
      <c r="G180" s="107">
        <f>Tabla22[[#This Row],[PRECIO TOT]]-Tabla22[[#This Row],[CT]]</f>
        <v>221873020.21820533</v>
      </c>
    </row>
    <row r="181" spans="1:7" x14ac:dyDescent="0.3">
      <c r="A181" s="154" t="s">
        <v>1170</v>
      </c>
      <c r="B181" s="103">
        <v>2026</v>
      </c>
      <c r="C181" s="104" t="s">
        <v>1167</v>
      </c>
      <c r="D181" s="105">
        <v>7325</v>
      </c>
      <c r="E181" s="106">
        <v>130631620.75771165</v>
      </c>
      <c r="F181" s="105">
        <v>183961515.16</v>
      </c>
      <c r="G181" s="107">
        <f>Tabla22[[#This Row],[PRECIO TOT]]-Tabla22[[#This Row],[CT]]</f>
        <v>53329894.402288347</v>
      </c>
    </row>
    <row r="182" spans="1:7" x14ac:dyDescent="0.3">
      <c r="A182" s="154" t="s">
        <v>1170</v>
      </c>
      <c r="B182" s="103">
        <v>2026</v>
      </c>
      <c r="C182" s="104" t="s">
        <v>1168</v>
      </c>
      <c r="D182" s="105">
        <v>10928</v>
      </c>
      <c r="E182" s="106">
        <v>232651353.93093318</v>
      </c>
      <c r="F182" s="105">
        <v>297218752.25</v>
      </c>
      <c r="G182" s="107">
        <f>Tabla22[[#This Row],[PRECIO TOT]]-Tabla22[[#This Row],[CT]]</f>
        <v>64567398.319066823</v>
      </c>
    </row>
    <row r="183" spans="1:7" x14ac:dyDescent="0.3">
      <c r="A183" s="154" t="s">
        <v>1170</v>
      </c>
      <c r="B183" s="103">
        <v>2026</v>
      </c>
      <c r="C183" s="104" t="s">
        <v>586</v>
      </c>
      <c r="D183" s="105">
        <v>1538</v>
      </c>
      <c r="E183" s="106">
        <v>35232257.320571475</v>
      </c>
      <c r="F183" s="105">
        <v>60958972.589999996</v>
      </c>
      <c r="G183" s="107">
        <f>Tabla22[[#This Row],[PRECIO TOT]]-Tabla22[[#This Row],[CT]]</f>
        <v>25726715.269428521</v>
      </c>
    </row>
    <row r="184" spans="1:7" x14ac:dyDescent="0.3">
      <c r="A184" s="154" t="s">
        <v>1170</v>
      </c>
      <c r="B184" s="103">
        <v>2026</v>
      </c>
      <c r="C184" s="104" t="s">
        <v>575</v>
      </c>
      <c r="D184" s="105">
        <v>2506</v>
      </c>
      <c r="E184" s="106">
        <v>77739019.132348582</v>
      </c>
      <c r="F184" s="105">
        <v>117965501.02</v>
      </c>
      <c r="G184" s="107">
        <f>Tabla22[[#This Row],[PRECIO TOT]]-Tabla22[[#This Row],[CT]]</f>
        <v>40226481.887651414</v>
      </c>
    </row>
    <row r="185" spans="1:7" x14ac:dyDescent="0.3">
      <c r="A185" s="154" t="s">
        <v>1170</v>
      </c>
      <c r="B185" s="103">
        <v>2026</v>
      </c>
      <c r="C185" s="104" t="s">
        <v>578</v>
      </c>
      <c r="D185" s="105">
        <v>239769</v>
      </c>
      <c r="E185" s="106">
        <v>43790674.251574822</v>
      </c>
      <c r="F185" s="105">
        <v>57960418.870000005</v>
      </c>
      <c r="G185" s="107">
        <f>Tabla22[[#This Row],[PRECIO TOT]]-Tabla22[[#This Row],[CT]]</f>
        <v>14169744.618425183</v>
      </c>
    </row>
    <row r="186" spans="1:7" x14ac:dyDescent="0.3">
      <c r="A186" s="154" t="s">
        <v>1170</v>
      </c>
      <c r="B186" s="103">
        <v>2026</v>
      </c>
      <c r="C186" s="104" t="s">
        <v>572</v>
      </c>
      <c r="D186" s="105">
        <v>57278</v>
      </c>
      <c r="E186" s="106">
        <v>347208439.81005007</v>
      </c>
      <c r="F186" s="105">
        <v>474092959.73000008</v>
      </c>
      <c r="G186" s="107">
        <f>Tabla22[[#This Row],[PRECIO TOT]]-Tabla22[[#This Row],[CT]]</f>
        <v>126884519.91995001</v>
      </c>
    </row>
    <row r="187" spans="1:7" x14ac:dyDescent="0.3">
      <c r="A187" s="154" t="s">
        <v>1170</v>
      </c>
      <c r="B187" s="103">
        <v>2026</v>
      </c>
      <c r="C187" s="108" t="s">
        <v>590</v>
      </c>
      <c r="D187" s="109">
        <v>6684</v>
      </c>
      <c r="E187" s="110">
        <v>653197267.69395888</v>
      </c>
      <c r="F187" s="109">
        <v>735565422</v>
      </c>
      <c r="G187" s="111">
        <f>Tabla22[[#This Row],[PRECIO TOT]]-Tabla22[[#This Row],[CT]]</f>
        <v>82368154.306041121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04B7-1892-48F0-A4B9-0514E4B4B535}">
  <sheetPr codeName="Hoja11"/>
  <dimension ref="A1:B619"/>
  <sheetViews>
    <sheetView workbookViewId="0">
      <pane ySplit="1" topLeftCell="A81" activePane="bottomLeft" state="frozen"/>
      <selection pane="bottomLeft" activeCell="B93" sqref="B93"/>
    </sheetView>
  </sheetViews>
  <sheetFormatPr baseColWidth="10" defaultColWidth="11.33203125" defaultRowHeight="14.4" x14ac:dyDescent="0.3"/>
  <cols>
    <col min="1" max="1" width="23.109375" bestFit="1" customWidth="1"/>
    <col min="2" max="2" width="45.44140625" bestFit="1" customWidth="1"/>
  </cols>
  <sheetData>
    <row r="1" spans="1:2" x14ac:dyDescent="0.3">
      <c r="A1" s="121" t="s">
        <v>3</v>
      </c>
      <c r="B1" s="121" t="s">
        <v>2</v>
      </c>
    </row>
    <row r="2" spans="1:2" x14ac:dyDescent="0.3">
      <c r="A2" s="122">
        <v>997</v>
      </c>
      <c r="B2" s="123" t="s">
        <v>596</v>
      </c>
    </row>
    <row r="3" spans="1:2" x14ac:dyDescent="0.3">
      <c r="A3" s="122" t="s">
        <v>834</v>
      </c>
      <c r="B3" s="123" t="s">
        <v>596</v>
      </c>
    </row>
    <row r="4" spans="1:2" x14ac:dyDescent="0.3">
      <c r="A4" s="122" t="s">
        <v>775</v>
      </c>
      <c r="B4" s="123" t="s">
        <v>596</v>
      </c>
    </row>
    <row r="5" spans="1:2" x14ac:dyDescent="0.3">
      <c r="A5" s="122" t="s">
        <v>662</v>
      </c>
      <c r="B5" s="123" t="s">
        <v>596</v>
      </c>
    </row>
    <row r="6" spans="1:2" x14ac:dyDescent="0.3">
      <c r="A6" s="122" t="s">
        <v>608</v>
      </c>
      <c r="B6" s="123" t="s">
        <v>596</v>
      </c>
    </row>
    <row r="7" spans="1:2" x14ac:dyDescent="0.3">
      <c r="A7" s="122" t="s">
        <v>603</v>
      </c>
      <c r="B7" s="123" t="s">
        <v>596</v>
      </c>
    </row>
    <row r="8" spans="1:2" x14ac:dyDescent="0.3">
      <c r="A8" s="122" t="s">
        <v>659</v>
      </c>
      <c r="B8" s="123" t="s">
        <v>596</v>
      </c>
    </row>
    <row r="9" spans="1:2" x14ac:dyDescent="0.3">
      <c r="A9" s="122" t="s">
        <v>835</v>
      </c>
      <c r="B9" s="123" t="s">
        <v>596</v>
      </c>
    </row>
    <row r="10" spans="1:2" x14ac:dyDescent="0.3">
      <c r="A10" s="122" t="s">
        <v>755</v>
      </c>
      <c r="B10" s="123" t="s">
        <v>596</v>
      </c>
    </row>
    <row r="11" spans="1:2" x14ac:dyDescent="0.3">
      <c r="A11" s="122" t="s">
        <v>601</v>
      </c>
      <c r="B11" s="123" t="s">
        <v>596</v>
      </c>
    </row>
    <row r="12" spans="1:2" x14ac:dyDescent="0.3">
      <c r="A12" s="122" t="s">
        <v>661</v>
      </c>
      <c r="B12" s="123" t="s">
        <v>596</v>
      </c>
    </row>
    <row r="13" spans="1:2" x14ac:dyDescent="0.3">
      <c r="A13" s="122" t="s">
        <v>604</v>
      </c>
      <c r="B13" s="123" t="s">
        <v>596</v>
      </c>
    </row>
    <row r="14" spans="1:2" x14ac:dyDescent="0.3">
      <c r="A14" s="122" t="s">
        <v>699</v>
      </c>
      <c r="B14" s="123" t="s">
        <v>596</v>
      </c>
    </row>
    <row r="15" spans="1:2" x14ac:dyDescent="0.3">
      <c r="A15" s="122" t="s">
        <v>836</v>
      </c>
      <c r="B15" s="123" t="s">
        <v>596</v>
      </c>
    </row>
    <row r="16" spans="1:2" x14ac:dyDescent="0.3">
      <c r="A16" s="122" t="s">
        <v>837</v>
      </c>
      <c r="B16" s="123" t="s">
        <v>596</v>
      </c>
    </row>
    <row r="17" spans="1:2" x14ac:dyDescent="0.3">
      <c r="A17" s="122" t="s">
        <v>838</v>
      </c>
      <c r="B17" s="123" t="s">
        <v>596</v>
      </c>
    </row>
    <row r="18" spans="1:2" x14ac:dyDescent="0.3">
      <c r="A18" s="122" t="s">
        <v>839</v>
      </c>
      <c r="B18" s="123" t="s">
        <v>596</v>
      </c>
    </row>
    <row r="19" spans="1:2" x14ac:dyDescent="0.3">
      <c r="A19" s="122" t="s">
        <v>663</v>
      </c>
      <c r="B19" s="123" t="s">
        <v>596</v>
      </c>
    </row>
    <row r="20" spans="1:2" x14ac:dyDescent="0.3">
      <c r="A20" s="122" t="s">
        <v>20</v>
      </c>
      <c r="B20" s="123" t="s">
        <v>596</v>
      </c>
    </row>
    <row r="21" spans="1:2" x14ac:dyDescent="0.3">
      <c r="A21" s="122" t="s">
        <v>21</v>
      </c>
      <c r="B21" s="123" t="s">
        <v>596</v>
      </c>
    </row>
    <row r="22" spans="1:2" x14ac:dyDescent="0.3">
      <c r="A22" s="122" t="s">
        <v>605</v>
      </c>
      <c r="B22" s="123" t="s">
        <v>596</v>
      </c>
    </row>
    <row r="23" spans="1:2" x14ac:dyDescent="0.3">
      <c r="A23" s="122" t="s">
        <v>757</v>
      </c>
      <c r="B23" s="123" t="s">
        <v>596</v>
      </c>
    </row>
    <row r="24" spans="1:2" x14ac:dyDescent="0.3">
      <c r="A24" s="122" t="s">
        <v>840</v>
      </c>
      <c r="B24" s="123" t="s">
        <v>596</v>
      </c>
    </row>
    <row r="25" spans="1:2" x14ac:dyDescent="0.3">
      <c r="A25" s="122" t="s">
        <v>841</v>
      </c>
      <c r="B25" s="123" t="s">
        <v>596</v>
      </c>
    </row>
    <row r="26" spans="1:2" x14ac:dyDescent="0.3">
      <c r="A26" s="122" t="s">
        <v>22</v>
      </c>
      <c r="B26" s="123" t="s">
        <v>596</v>
      </c>
    </row>
    <row r="27" spans="1:2" x14ac:dyDescent="0.3">
      <c r="A27" s="122" t="s">
        <v>842</v>
      </c>
      <c r="B27" s="123" t="s">
        <v>596</v>
      </c>
    </row>
    <row r="28" spans="1:2" x14ac:dyDescent="0.3">
      <c r="A28" s="122" t="s">
        <v>23</v>
      </c>
      <c r="B28" s="123" t="s">
        <v>596</v>
      </c>
    </row>
    <row r="29" spans="1:2" x14ac:dyDescent="0.3">
      <c r="A29" s="122" t="s">
        <v>25</v>
      </c>
      <c r="B29" s="123" t="s">
        <v>596</v>
      </c>
    </row>
    <row r="30" spans="1:2" x14ac:dyDescent="0.3">
      <c r="A30" s="122" t="s">
        <v>843</v>
      </c>
      <c r="B30" s="123" t="s">
        <v>596</v>
      </c>
    </row>
    <row r="31" spans="1:2" x14ac:dyDescent="0.3">
      <c r="A31" s="122" t="s">
        <v>665</v>
      </c>
      <c r="B31" s="123" t="s">
        <v>596</v>
      </c>
    </row>
    <row r="32" spans="1:2" x14ac:dyDescent="0.3">
      <c r="A32" s="122" t="s">
        <v>1155</v>
      </c>
      <c r="B32" s="123" t="s">
        <v>596</v>
      </c>
    </row>
    <row r="33" spans="1:2" x14ac:dyDescent="0.3">
      <c r="A33" s="122" t="s">
        <v>1110</v>
      </c>
      <c r="B33" s="123" t="s">
        <v>596</v>
      </c>
    </row>
    <row r="34" spans="1:2" x14ac:dyDescent="0.3">
      <c r="A34" s="122" t="s">
        <v>758</v>
      </c>
      <c r="B34" s="123" t="s">
        <v>596</v>
      </c>
    </row>
    <row r="35" spans="1:2" x14ac:dyDescent="0.3">
      <c r="A35" s="122" t="s">
        <v>759</v>
      </c>
      <c r="B35" s="123" t="s">
        <v>596</v>
      </c>
    </row>
    <row r="36" spans="1:2" x14ac:dyDescent="0.3">
      <c r="A36" s="122" t="s">
        <v>609</v>
      </c>
      <c r="B36" s="123" t="s">
        <v>596</v>
      </c>
    </row>
    <row r="37" spans="1:2" x14ac:dyDescent="0.3">
      <c r="A37" s="122" t="s">
        <v>27</v>
      </c>
      <c r="B37" s="123" t="s">
        <v>596</v>
      </c>
    </row>
    <row r="38" spans="1:2" x14ac:dyDescent="0.3">
      <c r="A38" s="122" t="s">
        <v>708</v>
      </c>
      <c r="B38" s="123" t="s">
        <v>596</v>
      </c>
    </row>
    <row r="39" spans="1:2" x14ac:dyDescent="0.3">
      <c r="A39" s="122" t="s">
        <v>28</v>
      </c>
      <c r="B39" s="123" t="s">
        <v>596</v>
      </c>
    </row>
    <row r="40" spans="1:2" x14ac:dyDescent="0.3">
      <c r="A40" s="122" t="s">
        <v>700</v>
      </c>
      <c r="B40" s="123" t="s">
        <v>596</v>
      </c>
    </row>
    <row r="41" spans="1:2" x14ac:dyDescent="0.3">
      <c r="A41" s="122" t="s">
        <v>36</v>
      </c>
      <c r="B41" s="123" t="s">
        <v>596</v>
      </c>
    </row>
    <row r="42" spans="1:2" x14ac:dyDescent="0.3">
      <c r="A42" s="122" t="s">
        <v>844</v>
      </c>
      <c r="B42" s="123" t="s">
        <v>596</v>
      </c>
    </row>
    <row r="43" spans="1:2" x14ac:dyDescent="0.3">
      <c r="A43" s="122" t="s">
        <v>29</v>
      </c>
      <c r="B43" s="123" t="s">
        <v>596</v>
      </c>
    </row>
    <row r="44" spans="1:2" x14ac:dyDescent="0.3">
      <c r="A44" s="122" t="s">
        <v>845</v>
      </c>
      <c r="B44" s="123" t="s">
        <v>596</v>
      </c>
    </row>
    <row r="45" spans="1:2" x14ac:dyDescent="0.3">
      <c r="A45" s="122" t="s">
        <v>31</v>
      </c>
      <c r="B45" s="123" t="s">
        <v>596</v>
      </c>
    </row>
    <row r="46" spans="1:2" x14ac:dyDescent="0.3">
      <c r="A46" s="122" t="s">
        <v>611</v>
      </c>
      <c r="B46" s="123" t="s">
        <v>596</v>
      </c>
    </row>
    <row r="47" spans="1:2" x14ac:dyDescent="0.3">
      <c r="A47" s="122" t="s">
        <v>32</v>
      </c>
      <c r="B47" s="123" t="s">
        <v>596</v>
      </c>
    </row>
    <row r="48" spans="1:2" x14ac:dyDescent="0.3">
      <c r="A48" s="41" t="s">
        <v>731</v>
      </c>
      <c r="B48" s="123" t="s">
        <v>596</v>
      </c>
    </row>
    <row r="49" spans="1:2" x14ac:dyDescent="0.3">
      <c r="A49" s="41" t="s">
        <v>769</v>
      </c>
      <c r="B49" s="123" t="s">
        <v>596</v>
      </c>
    </row>
    <row r="50" spans="1:2" x14ac:dyDescent="0.3">
      <c r="A50" s="122" t="s">
        <v>34</v>
      </c>
      <c r="B50" s="123" t="s">
        <v>596</v>
      </c>
    </row>
    <row r="51" spans="1:2" x14ac:dyDescent="0.3">
      <c r="A51" s="122" t="s">
        <v>1074</v>
      </c>
      <c r="B51" s="123" t="s">
        <v>596</v>
      </c>
    </row>
    <row r="52" spans="1:2" x14ac:dyDescent="0.3">
      <c r="A52" s="122" t="s">
        <v>846</v>
      </c>
      <c r="B52" s="123" t="s">
        <v>596</v>
      </c>
    </row>
    <row r="53" spans="1:2" x14ac:dyDescent="0.3">
      <c r="A53" s="122" t="s">
        <v>38</v>
      </c>
      <c r="B53" s="123" t="s">
        <v>596</v>
      </c>
    </row>
    <row r="54" spans="1:2" x14ac:dyDescent="0.3">
      <c r="A54" s="122" t="s">
        <v>847</v>
      </c>
      <c r="B54" s="123" t="s">
        <v>596</v>
      </c>
    </row>
    <row r="55" spans="1:2" x14ac:dyDescent="0.3">
      <c r="A55" s="122" t="s">
        <v>848</v>
      </c>
      <c r="B55" s="123" t="s">
        <v>596</v>
      </c>
    </row>
    <row r="56" spans="1:2" x14ac:dyDescent="0.3">
      <c r="A56" s="122" t="s">
        <v>849</v>
      </c>
      <c r="B56" s="123" t="s">
        <v>596</v>
      </c>
    </row>
    <row r="57" spans="1:2" x14ac:dyDescent="0.3">
      <c r="A57" s="122" t="s">
        <v>850</v>
      </c>
      <c r="B57" s="123" t="s">
        <v>596</v>
      </c>
    </row>
    <row r="58" spans="1:2" x14ac:dyDescent="0.3">
      <c r="A58" s="122" t="s">
        <v>612</v>
      </c>
      <c r="B58" s="123" t="s">
        <v>596</v>
      </c>
    </row>
    <row r="59" spans="1:2" x14ac:dyDescent="0.3">
      <c r="A59" s="122" t="s">
        <v>39</v>
      </c>
      <c r="B59" s="123" t="s">
        <v>596</v>
      </c>
    </row>
    <row r="60" spans="1:2" x14ac:dyDescent="0.3">
      <c r="A60" s="122" t="s">
        <v>41</v>
      </c>
      <c r="B60" s="123" t="s">
        <v>596</v>
      </c>
    </row>
    <row r="61" spans="1:2" x14ac:dyDescent="0.3">
      <c r="A61" s="122" t="s">
        <v>42</v>
      </c>
      <c r="B61" s="123" t="s">
        <v>596</v>
      </c>
    </row>
    <row r="62" spans="1:2" x14ac:dyDescent="0.3">
      <c r="A62" s="122" t="s">
        <v>614</v>
      </c>
      <c r="B62" s="123" t="s">
        <v>596</v>
      </c>
    </row>
    <row r="63" spans="1:2" x14ac:dyDescent="0.3">
      <c r="A63" s="122" t="s">
        <v>851</v>
      </c>
      <c r="B63" s="123" t="s">
        <v>596</v>
      </c>
    </row>
    <row r="64" spans="1:2" x14ac:dyDescent="0.3">
      <c r="A64" s="122" t="s">
        <v>761</v>
      </c>
      <c r="B64" s="123" t="s">
        <v>596</v>
      </c>
    </row>
    <row r="65" spans="1:2" x14ac:dyDescent="0.3">
      <c r="A65" s="122" t="s">
        <v>852</v>
      </c>
      <c r="B65" s="123" t="s">
        <v>596</v>
      </c>
    </row>
    <row r="66" spans="1:2" x14ac:dyDescent="0.3">
      <c r="A66" s="122" t="s">
        <v>669</v>
      </c>
      <c r="B66" s="123" t="s">
        <v>596</v>
      </c>
    </row>
    <row r="67" spans="1:2" x14ac:dyDescent="0.3">
      <c r="A67" s="122" t="s">
        <v>853</v>
      </c>
      <c r="B67" s="123" t="s">
        <v>596</v>
      </c>
    </row>
    <row r="68" spans="1:2" x14ac:dyDescent="0.3">
      <c r="A68" s="122" t="s">
        <v>670</v>
      </c>
      <c r="B68" s="123" t="s">
        <v>596</v>
      </c>
    </row>
    <row r="69" spans="1:2" x14ac:dyDescent="0.3">
      <c r="A69" s="122" t="s">
        <v>747</v>
      </c>
      <c r="B69" s="123" t="s">
        <v>596</v>
      </c>
    </row>
    <row r="70" spans="1:2" x14ac:dyDescent="0.3">
      <c r="A70" s="122" t="s">
        <v>616</v>
      </c>
      <c r="B70" s="123" t="s">
        <v>596</v>
      </c>
    </row>
    <row r="71" spans="1:2" x14ac:dyDescent="0.3">
      <c r="A71" s="122" t="s">
        <v>854</v>
      </c>
      <c r="B71" s="123" t="s">
        <v>596</v>
      </c>
    </row>
    <row r="72" spans="1:2" x14ac:dyDescent="0.3">
      <c r="A72" s="122" t="s">
        <v>44</v>
      </c>
      <c r="B72" s="123" t="s">
        <v>596</v>
      </c>
    </row>
    <row r="73" spans="1:2" x14ac:dyDescent="0.3">
      <c r="A73" s="122" t="s">
        <v>855</v>
      </c>
      <c r="B73" s="123" t="s">
        <v>596</v>
      </c>
    </row>
    <row r="74" spans="1:2" x14ac:dyDescent="0.3">
      <c r="A74" s="122" t="s">
        <v>856</v>
      </c>
      <c r="B74" s="123" t="s">
        <v>596</v>
      </c>
    </row>
    <row r="75" spans="1:2" x14ac:dyDescent="0.3">
      <c r="A75" s="122" t="s">
        <v>1123</v>
      </c>
      <c r="B75" s="123" t="s">
        <v>596</v>
      </c>
    </row>
    <row r="76" spans="1:2" x14ac:dyDescent="0.3">
      <c r="A76" s="122" t="s">
        <v>762</v>
      </c>
      <c r="B76" s="123" t="s">
        <v>596</v>
      </c>
    </row>
    <row r="77" spans="1:2" x14ac:dyDescent="0.3">
      <c r="A77" s="122" t="s">
        <v>672</v>
      </c>
      <c r="B77" s="123" t="s">
        <v>596</v>
      </c>
    </row>
    <row r="78" spans="1:2" x14ac:dyDescent="0.3">
      <c r="A78" s="122" t="s">
        <v>857</v>
      </c>
      <c r="B78" s="123" t="s">
        <v>596</v>
      </c>
    </row>
    <row r="79" spans="1:2" x14ac:dyDescent="0.3">
      <c r="A79" s="122" t="s">
        <v>712</v>
      </c>
      <c r="B79" s="123" t="s">
        <v>596</v>
      </c>
    </row>
    <row r="80" spans="1:2" x14ac:dyDescent="0.3">
      <c r="A80" s="122" t="s">
        <v>618</v>
      </c>
      <c r="B80" s="123" t="s">
        <v>596</v>
      </c>
    </row>
    <row r="81" spans="1:2" x14ac:dyDescent="0.3">
      <c r="A81" s="122" t="s">
        <v>858</v>
      </c>
      <c r="B81" s="123" t="s">
        <v>596</v>
      </c>
    </row>
    <row r="82" spans="1:2" x14ac:dyDescent="0.3">
      <c r="A82" s="122" t="s">
        <v>673</v>
      </c>
      <c r="B82" s="123" t="s">
        <v>596</v>
      </c>
    </row>
    <row r="83" spans="1:2" x14ac:dyDescent="0.3">
      <c r="A83" s="122" t="s">
        <v>859</v>
      </c>
      <c r="B83" s="123" t="s">
        <v>596</v>
      </c>
    </row>
    <row r="84" spans="1:2" x14ac:dyDescent="0.3">
      <c r="A84" s="122" t="s">
        <v>860</v>
      </c>
      <c r="B84" s="123" t="s">
        <v>596</v>
      </c>
    </row>
    <row r="85" spans="1:2" x14ac:dyDescent="0.3">
      <c r="A85" s="122" t="s">
        <v>861</v>
      </c>
      <c r="B85" s="123" t="s">
        <v>596</v>
      </c>
    </row>
    <row r="86" spans="1:2" x14ac:dyDescent="0.3">
      <c r="A86" s="122" t="s">
        <v>47</v>
      </c>
      <c r="B86" s="123" t="s">
        <v>596</v>
      </c>
    </row>
    <row r="87" spans="1:2" x14ac:dyDescent="0.3">
      <c r="A87" s="122" t="s">
        <v>49</v>
      </c>
      <c r="B87" s="123" t="s">
        <v>596</v>
      </c>
    </row>
    <row r="88" spans="1:2" x14ac:dyDescent="0.3">
      <c r="A88" s="122" t="s">
        <v>50</v>
      </c>
      <c r="B88" s="123" t="s">
        <v>596</v>
      </c>
    </row>
    <row r="89" spans="1:2" x14ac:dyDescent="0.3">
      <c r="A89" s="122" t="s">
        <v>862</v>
      </c>
      <c r="B89" s="123" t="s">
        <v>596</v>
      </c>
    </row>
    <row r="90" spans="1:2" x14ac:dyDescent="0.3">
      <c r="A90" s="122" t="s">
        <v>863</v>
      </c>
      <c r="B90" s="123" t="s">
        <v>596</v>
      </c>
    </row>
    <row r="91" spans="1:2" x14ac:dyDescent="0.3">
      <c r="A91" s="122" t="s">
        <v>864</v>
      </c>
      <c r="B91" s="123" t="s">
        <v>596</v>
      </c>
    </row>
    <row r="92" spans="1:2" x14ac:dyDescent="0.3">
      <c r="A92" s="122" t="s">
        <v>865</v>
      </c>
      <c r="B92" s="123" t="s">
        <v>596</v>
      </c>
    </row>
    <row r="93" spans="1:2" x14ac:dyDescent="0.3">
      <c r="A93" s="122" t="s">
        <v>1165</v>
      </c>
      <c r="B93" s="123" t="s">
        <v>596</v>
      </c>
    </row>
    <row r="94" spans="1:2" x14ac:dyDescent="0.3">
      <c r="A94" s="122" t="s">
        <v>764</v>
      </c>
      <c r="B94" s="123" t="s">
        <v>596</v>
      </c>
    </row>
    <row r="95" spans="1:2" x14ac:dyDescent="0.3">
      <c r="A95" s="122" t="s">
        <v>765</v>
      </c>
      <c r="B95" s="123" t="s">
        <v>596</v>
      </c>
    </row>
    <row r="96" spans="1:2" x14ac:dyDescent="0.3">
      <c r="A96" s="122" t="s">
        <v>770</v>
      </c>
      <c r="B96" s="123" t="s">
        <v>596</v>
      </c>
    </row>
    <row r="97" spans="1:2" x14ac:dyDescent="0.3">
      <c r="A97" s="122" t="s">
        <v>620</v>
      </c>
      <c r="B97" s="123" t="s">
        <v>596</v>
      </c>
    </row>
    <row r="98" spans="1:2" x14ac:dyDescent="0.3">
      <c r="A98" s="122" t="s">
        <v>677</v>
      </c>
      <c r="B98" s="123" t="s">
        <v>596</v>
      </c>
    </row>
    <row r="99" spans="1:2" x14ac:dyDescent="0.3">
      <c r="A99" s="122" t="s">
        <v>713</v>
      </c>
      <c r="B99" s="123" t="s">
        <v>596</v>
      </c>
    </row>
    <row r="100" spans="1:2" x14ac:dyDescent="0.3">
      <c r="A100" s="122" t="s">
        <v>714</v>
      </c>
      <c r="B100" s="123" t="s">
        <v>596</v>
      </c>
    </row>
    <row r="101" spans="1:2" x14ac:dyDescent="0.3">
      <c r="A101" s="122" t="s">
        <v>674</v>
      </c>
      <c r="B101" s="123" t="s">
        <v>596</v>
      </c>
    </row>
    <row r="102" spans="1:2" x14ac:dyDescent="0.3">
      <c r="A102" s="122" t="s">
        <v>623</v>
      </c>
      <c r="B102" s="123" t="s">
        <v>596</v>
      </c>
    </row>
    <row r="103" spans="1:2" x14ac:dyDescent="0.3">
      <c r="A103" s="122" t="s">
        <v>56</v>
      </c>
      <c r="B103" s="123" t="s">
        <v>596</v>
      </c>
    </row>
    <row r="104" spans="1:2" x14ac:dyDescent="0.3">
      <c r="A104" s="122" t="s">
        <v>52</v>
      </c>
      <c r="B104" s="123" t="s">
        <v>596</v>
      </c>
    </row>
    <row r="105" spans="1:2" x14ac:dyDescent="0.3">
      <c r="A105" s="122" t="s">
        <v>53</v>
      </c>
      <c r="B105" s="123" t="s">
        <v>596</v>
      </c>
    </row>
    <row r="106" spans="1:2" x14ac:dyDescent="0.3">
      <c r="A106" s="122" t="s">
        <v>54</v>
      </c>
      <c r="B106" s="123" t="s">
        <v>596</v>
      </c>
    </row>
    <row r="107" spans="1:2" x14ac:dyDescent="0.3">
      <c r="A107" s="122" t="s">
        <v>866</v>
      </c>
      <c r="B107" s="123" t="s">
        <v>596</v>
      </c>
    </row>
    <row r="108" spans="1:2" x14ac:dyDescent="0.3">
      <c r="A108" s="122" t="s">
        <v>675</v>
      </c>
      <c r="B108" s="123" t="s">
        <v>596</v>
      </c>
    </row>
    <row r="109" spans="1:2" x14ac:dyDescent="0.3">
      <c r="A109" s="122" t="s">
        <v>622</v>
      </c>
      <c r="B109" s="123" t="s">
        <v>596</v>
      </c>
    </row>
    <row r="110" spans="1:2" x14ac:dyDescent="0.3">
      <c r="A110" s="122" t="s">
        <v>733</v>
      </c>
      <c r="B110" s="123" t="s">
        <v>596</v>
      </c>
    </row>
    <row r="111" spans="1:2" x14ac:dyDescent="0.3">
      <c r="A111" s="122" t="s">
        <v>776</v>
      </c>
      <c r="B111" s="123" t="s">
        <v>596</v>
      </c>
    </row>
    <row r="112" spans="1:2" x14ac:dyDescent="0.3">
      <c r="A112" s="122" t="s">
        <v>867</v>
      </c>
      <c r="B112" s="123" t="s">
        <v>596</v>
      </c>
    </row>
    <row r="113" spans="1:2" x14ac:dyDescent="0.3">
      <c r="A113" s="122" t="s">
        <v>868</v>
      </c>
      <c r="B113" s="123" t="s">
        <v>596</v>
      </c>
    </row>
    <row r="114" spans="1:2" x14ac:dyDescent="0.3">
      <c r="A114" s="122" t="s">
        <v>671</v>
      </c>
      <c r="B114" s="123" t="s">
        <v>596</v>
      </c>
    </row>
    <row r="115" spans="1:2" x14ac:dyDescent="0.3">
      <c r="A115" s="122" t="s">
        <v>869</v>
      </c>
      <c r="B115" s="123" t="s">
        <v>596</v>
      </c>
    </row>
    <row r="116" spans="1:2" x14ac:dyDescent="0.3">
      <c r="A116" s="122" t="s">
        <v>710</v>
      </c>
      <c r="B116" s="123" t="s">
        <v>596</v>
      </c>
    </row>
    <row r="117" spans="1:2" x14ac:dyDescent="0.3">
      <c r="A117" s="122" t="s">
        <v>666</v>
      </c>
      <c r="B117" s="123" t="s">
        <v>596</v>
      </c>
    </row>
    <row r="118" spans="1:2" x14ac:dyDescent="0.3">
      <c r="A118" s="122" t="s">
        <v>46</v>
      </c>
      <c r="B118" s="123" t="s">
        <v>596</v>
      </c>
    </row>
    <row r="119" spans="1:2" x14ac:dyDescent="0.3">
      <c r="A119" s="122" t="s">
        <v>870</v>
      </c>
      <c r="B119" s="123" t="s">
        <v>596</v>
      </c>
    </row>
    <row r="120" spans="1:2" x14ac:dyDescent="0.3">
      <c r="A120" s="122" t="s">
        <v>711</v>
      </c>
      <c r="B120" s="123" t="s">
        <v>596</v>
      </c>
    </row>
    <row r="121" spans="1:2" x14ac:dyDescent="0.3">
      <c r="A121" s="122" t="s">
        <v>667</v>
      </c>
      <c r="B121" s="123" t="s">
        <v>596</v>
      </c>
    </row>
    <row r="122" spans="1:2" x14ac:dyDescent="0.3">
      <c r="A122" s="122" t="s">
        <v>760</v>
      </c>
      <c r="B122" s="123" t="s">
        <v>596</v>
      </c>
    </row>
    <row r="123" spans="1:2" x14ac:dyDescent="0.3">
      <c r="A123" s="122" t="s">
        <v>871</v>
      </c>
      <c r="B123" s="123" t="s">
        <v>596</v>
      </c>
    </row>
    <row r="124" spans="1:2" x14ac:dyDescent="0.3">
      <c r="A124" s="122" t="s">
        <v>746</v>
      </c>
      <c r="B124" s="123" t="s">
        <v>596</v>
      </c>
    </row>
    <row r="125" spans="1:2" x14ac:dyDescent="0.3">
      <c r="A125" s="122" t="s">
        <v>872</v>
      </c>
      <c r="B125" s="123" t="s">
        <v>596</v>
      </c>
    </row>
    <row r="126" spans="1:2" x14ac:dyDescent="0.3">
      <c r="A126" s="122" t="s">
        <v>763</v>
      </c>
      <c r="B126" s="123" t="s">
        <v>596</v>
      </c>
    </row>
    <row r="127" spans="1:2" x14ac:dyDescent="0.3">
      <c r="A127" s="122" t="s">
        <v>738</v>
      </c>
      <c r="B127" s="123" t="s">
        <v>596</v>
      </c>
    </row>
    <row r="128" spans="1:2" x14ac:dyDescent="0.3">
      <c r="A128" s="122" t="s">
        <v>613</v>
      </c>
      <c r="B128" s="123" t="s">
        <v>596</v>
      </c>
    </row>
    <row r="129" spans="1:2" x14ac:dyDescent="0.3">
      <c r="A129" s="122" t="s">
        <v>873</v>
      </c>
      <c r="B129" s="123" t="s">
        <v>596</v>
      </c>
    </row>
    <row r="130" spans="1:2" x14ac:dyDescent="0.3">
      <c r="A130" s="122" t="s">
        <v>606</v>
      </c>
      <c r="B130" s="123" t="s">
        <v>596</v>
      </c>
    </row>
    <row r="131" spans="1:2" x14ac:dyDescent="0.3">
      <c r="A131" s="122" t="s">
        <v>58</v>
      </c>
      <c r="B131" s="123" t="s">
        <v>574</v>
      </c>
    </row>
    <row r="132" spans="1:2" x14ac:dyDescent="0.3">
      <c r="A132" s="122" t="s">
        <v>624</v>
      </c>
      <c r="B132" s="123" t="s">
        <v>574</v>
      </c>
    </row>
    <row r="133" spans="1:2" x14ac:dyDescent="0.3">
      <c r="A133" s="122" t="s">
        <v>60</v>
      </c>
      <c r="B133" s="123" t="s">
        <v>574</v>
      </c>
    </row>
    <row r="134" spans="1:2" x14ac:dyDescent="0.3">
      <c r="A134" s="122" t="s">
        <v>62</v>
      </c>
      <c r="B134" s="123" t="s">
        <v>574</v>
      </c>
    </row>
    <row r="135" spans="1:2" x14ac:dyDescent="0.3">
      <c r="A135" s="122" t="s">
        <v>766</v>
      </c>
      <c r="B135" s="123" t="s">
        <v>574</v>
      </c>
    </row>
    <row r="136" spans="1:2" x14ac:dyDescent="0.3">
      <c r="A136" s="122" t="s">
        <v>777</v>
      </c>
      <c r="B136" s="123" t="s">
        <v>574</v>
      </c>
    </row>
    <row r="137" spans="1:2" x14ac:dyDescent="0.3">
      <c r="A137" s="122" t="s">
        <v>1049</v>
      </c>
      <c r="B137" s="123" t="s">
        <v>574</v>
      </c>
    </row>
    <row r="138" spans="1:2" x14ac:dyDescent="0.3">
      <c r="A138" s="122" t="s">
        <v>481</v>
      </c>
      <c r="B138" s="123" t="s">
        <v>572</v>
      </c>
    </row>
    <row r="139" spans="1:2" x14ac:dyDescent="0.3">
      <c r="A139" s="122" t="s">
        <v>485</v>
      </c>
      <c r="B139" s="123" t="s">
        <v>572</v>
      </c>
    </row>
    <row r="140" spans="1:2" x14ac:dyDescent="0.3">
      <c r="A140" s="122" t="s">
        <v>489</v>
      </c>
      <c r="B140" s="123" t="s">
        <v>572</v>
      </c>
    </row>
    <row r="141" spans="1:2" x14ac:dyDescent="0.3">
      <c r="A141" s="122" t="s">
        <v>493</v>
      </c>
      <c r="B141" s="123" t="s">
        <v>572</v>
      </c>
    </row>
    <row r="142" spans="1:2" x14ac:dyDescent="0.3">
      <c r="A142" s="122" t="s">
        <v>497</v>
      </c>
      <c r="B142" s="123" t="s">
        <v>572</v>
      </c>
    </row>
    <row r="143" spans="1:2" x14ac:dyDescent="0.3">
      <c r="A143" s="122" t="s">
        <v>501</v>
      </c>
      <c r="B143" s="123" t="s">
        <v>572</v>
      </c>
    </row>
    <row r="144" spans="1:2" x14ac:dyDescent="0.3">
      <c r="A144" s="122" t="s">
        <v>505</v>
      </c>
      <c r="B144" s="123" t="s">
        <v>572</v>
      </c>
    </row>
    <row r="145" spans="1:2" x14ac:dyDescent="0.3">
      <c r="A145" s="122" t="s">
        <v>508</v>
      </c>
      <c r="B145" s="123" t="s">
        <v>572</v>
      </c>
    </row>
    <row r="146" spans="1:2" x14ac:dyDescent="0.3">
      <c r="A146" s="122" t="s">
        <v>512</v>
      </c>
      <c r="B146" s="123" t="s">
        <v>572</v>
      </c>
    </row>
    <row r="147" spans="1:2" x14ac:dyDescent="0.3">
      <c r="A147" s="122" t="s">
        <v>516</v>
      </c>
      <c r="B147" s="123" t="s">
        <v>572</v>
      </c>
    </row>
    <row r="148" spans="1:2" x14ac:dyDescent="0.3">
      <c r="A148" s="122" t="s">
        <v>520</v>
      </c>
      <c r="B148" s="123" t="s">
        <v>572</v>
      </c>
    </row>
    <row r="149" spans="1:2" x14ac:dyDescent="0.3">
      <c r="A149" s="122" t="s">
        <v>524</v>
      </c>
      <c r="B149" s="123" t="s">
        <v>572</v>
      </c>
    </row>
    <row r="150" spans="1:2" x14ac:dyDescent="0.3">
      <c r="A150" s="122" t="s">
        <v>528</v>
      </c>
      <c r="B150" s="123" t="s">
        <v>572</v>
      </c>
    </row>
    <row r="151" spans="1:2" x14ac:dyDescent="0.3">
      <c r="A151" s="122" t="s">
        <v>530</v>
      </c>
      <c r="B151" s="123" t="s">
        <v>572</v>
      </c>
    </row>
    <row r="152" spans="1:2" x14ac:dyDescent="0.3">
      <c r="A152" s="122" t="s">
        <v>534</v>
      </c>
      <c r="B152" s="123" t="s">
        <v>572</v>
      </c>
    </row>
    <row r="153" spans="1:2" x14ac:dyDescent="0.3">
      <c r="A153" s="122" t="s">
        <v>538</v>
      </c>
      <c r="B153" s="123" t="s">
        <v>572</v>
      </c>
    </row>
    <row r="154" spans="1:2" x14ac:dyDescent="0.3">
      <c r="A154" s="122" t="s">
        <v>542</v>
      </c>
      <c r="B154" s="123" t="s">
        <v>572</v>
      </c>
    </row>
    <row r="155" spans="1:2" x14ac:dyDescent="0.3">
      <c r="A155" s="122" t="s">
        <v>546</v>
      </c>
      <c r="B155" s="123" t="s">
        <v>572</v>
      </c>
    </row>
    <row r="156" spans="1:2" x14ac:dyDescent="0.3">
      <c r="A156" s="122" t="s">
        <v>483</v>
      </c>
      <c r="B156" s="123" t="s">
        <v>572</v>
      </c>
    </row>
    <row r="157" spans="1:2" x14ac:dyDescent="0.3">
      <c r="A157" s="122" t="s">
        <v>487</v>
      </c>
      <c r="B157" s="123" t="s">
        <v>572</v>
      </c>
    </row>
    <row r="158" spans="1:2" x14ac:dyDescent="0.3">
      <c r="A158" s="122" t="s">
        <v>491</v>
      </c>
      <c r="B158" s="123" t="s">
        <v>572</v>
      </c>
    </row>
    <row r="159" spans="1:2" x14ac:dyDescent="0.3">
      <c r="A159" s="122" t="s">
        <v>495</v>
      </c>
      <c r="B159" s="123" t="s">
        <v>572</v>
      </c>
    </row>
    <row r="160" spans="1:2" x14ac:dyDescent="0.3">
      <c r="A160" s="122" t="s">
        <v>499</v>
      </c>
      <c r="B160" s="123" t="s">
        <v>572</v>
      </c>
    </row>
    <row r="161" spans="1:2" x14ac:dyDescent="0.3">
      <c r="A161" s="122" t="s">
        <v>507</v>
      </c>
      <c r="B161" s="123" t="s">
        <v>572</v>
      </c>
    </row>
    <row r="162" spans="1:2" x14ac:dyDescent="0.3">
      <c r="A162" s="122" t="s">
        <v>510</v>
      </c>
      <c r="B162" s="123" t="s">
        <v>572</v>
      </c>
    </row>
    <row r="163" spans="1:2" x14ac:dyDescent="0.3">
      <c r="A163" s="122" t="s">
        <v>514</v>
      </c>
      <c r="B163" s="123" t="s">
        <v>572</v>
      </c>
    </row>
    <row r="164" spans="1:2" x14ac:dyDescent="0.3">
      <c r="A164" s="122" t="s">
        <v>518</v>
      </c>
      <c r="B164" s="123" t="s">
        <v>572</v>
      </c>
    </row>
    <row r="165" spans="1:2" x14ac:dyDescent="0.3">
      <c r="A165" s="122" t="s">
        <v>522</v>
      </c>
      <c r="B165" s="123" t="s">
        <v>572</v>
      </c>
    </row>
    <row r="166" spans="1:2" x14ac:dyDescent="0.3">
      <c r="A166" s="122" t="s">
        <v>526</v>
      </c>
      <c r="B166" s="123" t="s">
        <v>572</v>
      </c>
    </row>
    <row r="167" spans="1:2" x14ac:dyDescent="0.3">
      <c r="A167" s="122" t="s">
        <v>503</v>
      </c>
      <c r="B167" s="123" t="s">
        <v>572</v>
      </c>
    </row>
    <row r="168" spans="1:2" x14ac:dyDescent="0.3">
      <c r="A168" s="122" t="s">
        <v>698</v>
      </c>
      <c r="B168" s="123" t="s">
        <v>572</v>
      </c>
    </row>
    <row r="169" spans="1:2" x14ac:dyDescent="0.3">
      <c r="A169" s="122" t="s">
        <v>532</v>
      </c>
      <c r="B169" s="123" t="s">
        <v>572</v>
      </c>
    </row>
    <row r="170" spans="1:2" x14ac:dyDescent="0.3">
      <c r="A170" s="122" t="s">
        <v>536</v>
      </c>
      <c r="B170" s="123" t="s">
        <v>572</v>
      </c>
    </row>
    <row r="171" spans="1:2" x14ac:dyDescent="0.3">
      <c r="A171" s="122" t="s">
        <v>540</v>
      </c>
      <c r="B171" s="123" t="s">
        <v>572</v>
      </c>
    </row>
    <row r="172" spans="1:2" x14ac:dyDescent="0.3">
      <c r="A172" s="122" t="s">
        <v>544</v>
      </c>
      <c r="B172" s="123" t="s">
        <v>572</v>
      </c>
    </row>
    <row r="173" spans="1:2" x14ac:dyDescent="0.3">
      <c r="A173" s="122" t="s">
        <v>547</v>
      </c>
      <c r="B173" s="123" t="s">
        <v>572</v>
      </c>
    </row>
    <row r="174" spans="1:2" x14ac:dyDescent="0.3">
      <c r="A174" s="122" t="s">
        <v>778</v>
      </c>
      <c r="B174" s="123" t="s">
        <v>572</v>
      </c>
    </row>
    <row r="175" spans="1:2" x14ac:dyDescent="0.3">
      <c r="A175" s="122" t="s">
        <v>779</v>
      </c>
      <c r="B175" s="123" t="s">
        <v>572</v>
      </c>
    </row>
    <row r="176" spans="1:2" x14ac:dyDescent="0.3">
      <c r="A176" s="122" t="s">
        <v>998</v>
      </c>
      <c r="B176" s="123" t="s">
        <v>572</v>
      </c>
    </row>
    <row r="177" spans="1:2" x14ac:dyDescent="0.3">
      <c r="A177" s="122" t="s">
        <v>781</v>
      </c>
      <c r="B177" s="123" t="s">
        <v>572</v>
      </c>
    </row>
    <row r="178" spans="1:2" x14ac:dyDescent="0.3">
      <c r="A178" s="122" t="s">
        <v>783</v>
      </c>
      <c r="B178" s="123" t="s">
        <v>572</v>
      </c>
    </row>
    <row r="179" spans="1:2" x14ac:dyDescent="0.3">
      <c r="A179" s="122" t="s">
        <v>785</v>
      </c>
      <c r="B179" s="123" t="s">
        <v>572</v>
      </c>
    </row>
    <row r="180" spans="1:2" x14ac:dyDescent="0.3">
      <c r="A180" s="122" t="s">
        <v>787</v>
      </c>
      <c r="B180" s="123" t="s">
        <v>572</v>
      </c>
    </row>
    <row r="181" spans="1:2" x14ac:dyDescent="0.3">
      <c r="A181" s="122" t="s">
        <v>789</v>
      </c>
      <c r="B181" s="123" t="s">
        <v>572</v>
      </c>
    </row>
    <row r="182" spans="1:2" x14ac:dyDescent="0.3">
      <c r="A182" s="122" t="s">
        <v>790</v>
      </c>
      <c r="B182" s="123" t="s">
        <v>572</v>
      </c>
    </row>
    <row r="183" spans="1:2" x14ac:dyDescent="0.3">
      <c r="A183" s="122" t="s">
        <v>792</v>
      </c>
      <c r="B183" s="123" t="s">
        <v>572</v>
      </c>
    </row>
    <row r="184" spans="1:2" x14ac:dyDescent="0.3">
      <c r="A184" s="122" t="s">
        <v>794</v>
      </c>
      <c r="B184" s="123" t="s">
        <v>572</v>
      </c>
    </row>
    <row r="185" spans="1:2" x14ac:dyDescent="0.3">
      <c r="A185" s="122" t="s">
        <v>796</v>
      </c>
      <c r="B185" s="123" t="s">
        <v>572</v>
      </c>
    </row>
    <row r="186" spans="1:2" x14ac:dyDescent="0.3">
      <c r="A186" s="122" t="s">
        <v>798</v>
      </c>
      <c r="B186" s="123" t="s">
        <v>572</v>
      </c>
    </row>
    <row r="187" spans="1:2" x14ac:dyDescent="0.3">
      <c r="A187" s="122" t="s">
        <v>800</v>
      </c>
      <c r="B187" s="123" t="s">
        <v>572</v>
      </c>
    </row>
    <row r="188" spans="1:2" x14ac:dyDescent="0.3">
      <c r="A188" s="122" t="s">
        <v>802</v>
      </c>
      <c r="B188" s="123" t="s">
        <v>572</v>
      </c>
    </row>
    <row r="189" spans="1:2" x14ac:dyDescent="0.3">
      <c r="A189" s="122" t="s">
        <v>804</v>
      </c>
      <c r="B189" s="123" t="s">
        <v>572</v>
      </c>
    </row>
    <row r="190" spans="1:2" x14ac:dyDescent="0.3">
      <c r="A190" s="122" t="s">
        <v>806</v>
      </c>
      <c r="B190" s="123" t="s">
        <v>572</v>
      </c>
    </row>
    <row r="191" spans="1:2" x14ac:dyDescent="0.3">
      <c r="A191" s="122" t="s">
        <v>808</v>
      </c>
      <c r="B191" s="123" t="s">
        <v>572</v>
      </c>
    </row>
    <row r="192" spans="1:2" x14ac:dyDescent="0.3">
      <c r="A192" s="122" t="s">
        <v>810</v>
      </c>
      <c r="B192" s="123" t="s">
        <v>572</v>
      </c>
    </row>
    <row r="193" spans="1:2" x14ac:dyDescent="0.3">
      <c r="A193" s="122" t="s">
        <v>812</v>
      </c>
      <c r="B193" s="123" t="s">
        <v>572</v>
      </c>
    </row>
    <row r="194" spans="1:2" x14ac:dyDescent="0.3">
      <c r="A194" s="122" t="s">
        <v>64</v>
      </c>
      <c r="B194" s="123" t="s">
        <v>595</v>
      </c>
    </row>
    <row r="195" spans="1:2" x14ac:dyDescent="0.3">
      <c r="A195" s="122" t="s">
        <v>66</v>
      </c>
      <c r="B195" s="123" t="s">
        <v>595</v>
      </c>
    </row>
    <row r="196" spans="1:2" x14ac:dyDescent="0.3">
      <c r="A196" s="122" t="s">
        <v>67</v>
      </c>
      <c r="B196" s="123" t="s">
        <v>595</v>
      </c>
    </row>
    <row r="197" spans="1:2" x14ac:dyDescent="0.3">
      <c r="A197" s="122" t="s">
        <v>626</v>
      </c>
      <c r="B197" s="123" t="s">
        <v>595</v>
      </c>
    </row>
    <row r="198" spans="1:2" x14ac:dyDescent="0.3">
      <c r="A198" s="122" t="s">
        <v>627</v>
      </c>
      <c r="B198" s="123" t="s">
        <v>595</v>
      </c>
    </row>
    <row r="199" spans="1:2" x14ac:dyDescent="0.3">
      <c r="A199" s="122" t="s">
        <v>629</v>
      </c>
      <c r="B199" s="123" t="s">
        <v>595</v>
      </c>
    </row>
    <row r="200" spans="1:2" x14ac:dyDescent="0.3">
      <c r="A200" s="122" t="s">
        <v>68</v>
      </c>
      <c r="B200" s="123" t="s">
        <v>595</v>
      </c>
    </row>
    <row r="201" spans="1:2" x14ac:dyDescent="0.3">
      <c r="A201" s="122" t="s">
        <v>874</v>
      </c>
      <c r="B201" s="123" t="s">
        <v>595</v>
      </c>
    </row>
    <row r="202" spans="1:2" x14ac:dyDescent="0.3">
      <c r="A202" s="122" t="s">
        <v>875</v>
      </c>
      <c r="B202" s="123" t="s">
        <v>577</v>
      </c>
    </row>
    <row r="203" spans="1:2" x14ac:dyDescent="0.3">
      <c r="A203" s="122" t="s">
        <v>876</v>
      </c>
      <c r="B203" s="123" t="s">
        <v>577</v>
      </c>
    </row>
    <row r="204" spans="1:2" x14ac:dyDescent="0.3">
      <c r="A204" s="122" t="s">
        <v>631</v>
      </c>
      <c r="B204" s="123" t="s">
        <v>577</v>
      </c>
    </row>
    <row r="205" spans="1:2" x14ac:dyDescent="0.3">
      <c r="A205" s="122" t="s">
        <v>877</v>
      </c>
      <c r="B205" s="123" t="s">
        <v>577</v>
      </c>
    </row>
    <row r="206" spans="1:2" x14ac:dyDescent="0.3">
      <c r="A206" s="122" t="s">
        <v>70</v>
      </c>
      <c r="B206" s="123" t="s">
        <v>577</v>
      </c>
    </row>
    <row r="207" spans="1:2" x14ac:dyDescent="0.3">
      <c r="A207" s="122" t="s">
        <v>878</v>
      </c>
      <c r="B207" s="123" t="s">
        <v>577</v>
      </c>
    </row>
    <row r="208" spans="1:2" x14ac:dyDescent="0.3">
      <c r="A208" s="122" t="s">
        <v>72</v>
      </c>
      <c r="B208" s="123" t="s">
        <v>577</v>
      </c>
    </row>
    <row r="209" spans="1:2" x14ac:dyDescent="0.3">
      <c r="A209" s="122" t="s">
        <v>879</v>
      </c>
      <c r="B209" s="123" t="s">
        <v>577</v>
      </c>
    </row>
    <row r="210" spans="1:2" x14ac:dyDescent="0.3">
      <c r="A210" s="122" t="s">
        <v>880</v>
      </c>
      <c r="B210" s="123" t="s">
        <v>577</v>
      </c>
    </row>
    <row r="211" spans="1:2" x14ac:dyDescent="0.3">
      <c r="A211" s="122" t="s">
        <v>74</v>
      </c>
      <c r="B211" s="123" t="s">
        <v>577</v>
      </c>
    </row>
    <row r="212" spans="1:2" x14ac:dyDescent="0.3">
      <c r="A212" s="122" t="s">
        <v>881</v>
      </c>
      <c r="B212" s="123" t="s">
        <v>577</v>
      </c>
    </row>
    <row r="213" spans="1:2" x14ac:dyDescent="0.3">
      <c r="A213" s="122" t="s">
        <v>76</v>
      </c>
      <c r="B213" s="123" t="s">
        <v>577</v>
      </c>
    </row>
    <row r="214" spans="1:2" x14ac:dyDescent="0.3">
      <c r="A214" s="122" t="s">
        <v>882</v>
      </c>
      <c r="B214" s="123" t="s">
        <v>577</v>
      </c>
    </row>
    <row r="215" spans="1:2" x14ac:dyDescent="0.3">
      <c r="A215" s="122" t="s">
        <v>78</v>
      </c>
      <c r="B215" s="123" t="s">
        <v>577</v>
      </c>
    </row>
    <row r="216" spans="1:2" x14ac:dyDescent="0.3">
      <c r="A216" s="122" t="s">
        <v>80</v>
      </c>
      <c r="B216" s="123" t="s">
        <v>577</v>
      </c>
    </row>
    <row r="217" spans="1:2" x14ac:dyDescent="0.3">
      <c r="A217" s="122" t="s">
        <v>883</v>
      </c>
      <c r="B217" s="123" t="s">
        <v>577</v>
      </c>
    </row>
    <row r="218" spans="1:2" x14ac:dyDescent="0.3">
      <c r="A218" s="122" t="s">
        <v>82</v>
      </c>
      <c r="B218" s="123" t="s">
        <v>577</v>
      </c>
    </row>
    <row r="219" spans="1:2" x14ac:dyDescent="0.3">
      <c r="A219" s="122" t="s">
        <v>884</v>
      </c>
      <c r="B219" s="123" t="s">
        <v>577</v>
      </c>
    </row>
    <row r="220" spans="1:2" x14ac:dyDescent="0.3">
      <c r="A220" s="122" t="s">
        <v>84</v>
      </c>
      <c r="B220" s="123" t="s">
        <v>577</v>
      </c>
    </row>
    <row r="221" spans="1:2" x14ac:dyDescent="0.3">
      <c r="A221" s="122" t="s">
        <v>885</v>
      </c>
      <c r="B221" s="123" t="s">
        <v>577</v>
      </c>
    </row>
    <row r="222" spans="1:2" x14ac:dyDescent="0.3">
      <c r="A222" s="122" t="s">
        <v>86</v>
      </c>
      <c r="B222" s="123" t="s">
        <v>577</v>
      </c>
    </row>
    <row r="223" spans="1:2" x14ac:dyDescent="0.3">
      <c r="A223" s="122" t="s">
        <v>886</v>
      </c>
      <c r="B223" s="123" t="s">
        <v>577</v>
      </c>
    </row>
    <row r="224" spans="1:2" x14ac:dyDescent="0.3">
      <c r="A224" s="122" t="s">
        <v>88</v>
      </c>
      <c r="B224" s="123" t="s">
        <v>577</v>
      </c>
    </row>
    <row r="225" spans="1:2" x14ac:dyDescent="0.3">
      <c r="A225" s="122" t="s">
        <v>887</v>
      </c>
      <c r="B225" s="123" t="s">
        <v>577</v>
      </c>
    </row>
    <row r="226" spans="1:2" x14ac:dyDescent="0.3">
      <c r="A226" s="122" t="s">
        <v>90</v>
      </c>
      <c r="B226" s="123" t="s">
        <v>577</v>
      </c>
    </row>
    <row r="227" spans="1:2" x14ac:dyDescent="0.3">
      <c r="A227" s="122" t="s">
        <v>888</v>
      </c>
      <c r="B227" s="123" t="s">
        <v>577</v>
      </c>
    </row>
    <row r="228" spans="1:2" x14ac:dyDescent="0.3">
      <c r="A228" s="122" t="s">
        <v>92</v>
      </c>
      <c r="B228" s="123" t="s">
        <v>577</v>
      </c>
    </row>
    <row r="229" spans="1:2" x14ac:dyDescent="0.3">
      <c r="A229" s="122" t="s">
        <v>889</v>
      </c>
      <c r="B229" s="123" t="s">
        <v>577</v>
      </c>
    </row>
    <row r="230" spans="1:2" x14ac:dyDescent="0.3">
      <c r="A230" s="122" t="s">
        <v>94</v>
      </c>
      <c r="B230" s="123" t="s">
        <v>577</v>
      </c>
    </row>
    <row r="231" spans="1:2" x14ac:dyDescent="0.3">
      <c r="A231" s="122" t="s">
        <v>890</v>
      </c>
      <c r="B231" s="123" t="s">
        <v>577</v>
      </c>
    </row>
    <row r="232" spans="1:2" x14ac:dyDescent="0.3">
      <c r="A232" s="122" t="s">
        <v>96</v>
      </c>
      <c r="B232" s="123" t="s">
        <v>577</v>
      </c>
    </row>
    <row r="233" spans="1:2" x14ac:dyDescent="0.3">
      <c r="A233" s="122" t="s">
        <v>98</v>
      </c>
      <c r="B233" s="123" t="s">
        <v>577</v>
      </c>
    </row>
    <row r="234" spans="1:2" x14ac:dyDescent="0.3">
      <c r="A234" s="122" t="s">
        <v>100</v>
      </c>
      <c r="B234" s="123" t="s">
        <v>577</v>
      </c>
    </row>
    <row r="235" spans="1:2" x14ac:dyDescent="0.3">
      <c r="A235" s="122" t="s">
        <v>102</v>
      </c>
      <c r="B235" s="123" t="s">
        <v>577</v>
      </c>
    </row>
    <row r="236" spans="1:2" x14ac:dyDescent="0.3">
      <c r="A236" s="122" t="s">
        <v>104</v>
      </c>
      <c r="B236" s="123" t="s">
        <v>577</v>
      </c>
    </row>
    <row r="237" spans="1:2" x14ac:dyDescent="0.3">
      <c r="A237" s="122" t="s">
        <v>891</v>
      </c>
      <c r="B237" s="123" t="s">
        <v>824</v>
      </c>
    </row>
    <row r="238" spans="1:2" x14ac:dyDescent="0.3">
      <c r="A238" s="122" t="s">
        <v>892</v>
      </c>
      <c r="B238" s="123" t="s">
        <v>824</v>
      </c>
    </row>
    <row r="239" spans="1:2" x14ac:dyDescent="0.3">
      <c r="A239" s="122" t="s">
        <v>893</v>
      </c>
      <c r="B239" s="123" t="s">
        <v>824</v>
      </c>
    </row>
    <row r="240" spans="1:2" x14ac:dyDescent="0.3">
      <c r="A240" s="122" t="s">
        <v>106</v>
      </c>
      <c r="B240" s="123" t="s">
        <v>571</v>
      </c>
    </row>
    <row r="241" spans="1:2" x14ac:dyDescent="0.3">
      <c r="A241" s="122" t="s">
        <v>108</v>
      </c>
      <c r="B241" s="123" t="s">
        <v>571</v>
      </c>
    </row>
    <row r="242" spans="1:2" x14ac:dyDescent="0.3">
      <c r="A242" s="122" t="s">
        <v>110</v>
      </c>
      <c r="B242" s="123" t="s">
        <v>571</v>
      </c>
    </row>
    <row r="243" spans="1:2" x14ac:dyDescent="0.3">
      <c r="A243" s="122" t="s">
        <v>894</v>
      </c>
      <c r="B243" s="123" t="s">
        <v>571</v>
      </c>
    </row>
    <row r="244" spans="1:2" x14ac:dyDescent="0.3">
      <c r="A244" s="122" t="s">
        <v>112</v>
      </c>
      <c r="B244" s="123" t="s">
        <v>591</v>
      </c>
    </row>
    <row r="245" spans="1:2" x14ac:dyDescent="0.3">
      <c r="A245" s="122" t="s">
        <v>114</v>
      </c>
      <c r="B245" s="123" t="s">
        <v>591</v>
      </c>
    </row>
    <row r="246" spans="1:2" x14ac:dyDescent="0.3">
      <c r="A246" s="122" t="s">
        <v>116</v>
      </c>
      <c r="B246" s="123" t="s">
        <v>591</v>
      </c>
    </row>
    <row r="247" spans="1:2" x14ac:dyDescent="0.3">
      <c r="A247" s="122" t="s">
        <v>895</v>
      </c>
      <c r="B247" s="123" t="s">
        <v>896</v>
      </c>
    </row>
    <row r="248" spans="1:2" x14ac:dyDescent="0.3">
      <c r="A248" s="122" t="s">
        <v>897</v>
      </c>
      <c r="B248" s="123" t="s">
        <v>896</v>
      </c>
    </row>
    <row r="249" spans="1:2" x14ac:dyDescent="0.3">
      <c r="A249" s="122" t="s">
        <v>898</v>
      </c>
      <c r="B249" s="123" t="s">
        <v>896</v>
      </c>
    </row>
    <row r="250" spans="1:2" x14ac:dyDescent="0.3">
      <c r="A250" s="122" t="s">
        <v>899</v>
      </c>
      <c r="B250" s="123" t="s">
        <v>900</v>
      </c>
    </row>
    <row r="251" spans="1:2" x14ac:dyDescent="0.3">
      <c r="A251" s="122" t="s">
        <v>901</v>
      </c>
      <c r="B251" s="123" t="s">
        <v>900</v>
      </c>
    </row>
    <row r="252" spans="1:2" x14ac:dyDescent="0.3">
      <c r="A252" s="122" t="s">
        <v>902</v>
      </c>
      <c r="B252" s="123" t="s">
        <v>900</v>
      </c>
    </row>
    <row r="253" spans="1:2" x14ac:dyDescent="0.3">
      <c r="A253" s="122" t="s">
        <v>903</v>
      </c>
      <c r="B253" s="123" t="s">
        <v>594</v>
      </c>
    </row>
    <row r="254" spans="1:2" x14ac:dyDescent="0.3">
      <c r="A254" s="122" t="s">
        <v>632</v>
      </c>
      <c r="B254" s="123" t="s">
        <v>594</v>
      </c>
    </row>
    <row r="255" spans="1:2" x14ac:dyDescent="0.3">
      <c r="A255" s="122" t="s">
        <v>118</v>
      </c>
      <c r="B255" s="123" t="s">
        <v>594</v>
      </c>
    </row>
    <row r="256" spans="1:2" x14ac:dyDescent="0.3">
      <c r="A256" s="122" t="s">
        <v>120</v>
      </c>
      <c r="B256" s="123" t="s">
        <v>594</v>
      </c>
    </row>
    <row r="257" spans="1:2" x14ac:dyDescent="0.3">
      <c r="A257" s="122" t="s">
        <v>904</v>
      </c>
      <c r="B257" s="123" t="s">
        <v>594</v>
      </c>
    </row>
    <row r="258" spans="1:2" x14ac:dyDescent="0.3">
      <c r="A258" s="122" t="s">
        <v>905</v>
      </c>
      <c r="B258" s="123" t="s">
        <v>594</v>
      </c>
    </row>
    <row r="259" spans="1:2" x14ac:dyDescent="0.3">
      <c r="A259" s="122" t="s">
        <v>122</v>
      </c>
      <c r="B259" s="123" t="s">
        <v>594</v>
      </c>
    </row>
    <row r="260" spans="1:2" x14ac:dyDescent="0.3">
      <c r="A260" s="122" t="s">
        <v>906</v>
      </c>
      <c r="B260" s="123" t="s">
        <v>594</v>
      </c>
    </row>
    <row r="261" spans="1:2" x14ac:dyDescent="0.3">
      <c r="A261" s="122" t="s">
        <v>907</v>
      </c>
      <c r="B261" s="123" t="s">
        <v>594</v>
      </c>
    </row>
    <row r="262" spans="1:2" x14ac:dyDescent="0.3">
      <c r="A262" s="122" t="s">
        <v>124</v>
      </c>
      <c r="B262" s="123" t="s">
        <v>594</v>
      </c>
    </row>
    <row r="263" spans="1:2" x14ac:dyDescent="0.3">
      <c r="A263" s="122" t="s">
        <v>908</v>
      </c>
      <c r="B263" s="123" t="s">
        <v>594</v>
      </c>
    </row>
    <row r="264" spans="1:2" x14ac:dyDescent="0.3">
      <c r="A264" s="122" t="s">
        <v>125</v>
      </c>
      <c r="B264" s="123" t="s">
        <v>594</v>
      </c>
    </row>
    <row r="265" spans="1:2" x14ac:dyDescent="0.3">
      <c r="A265" s="122" t="s">
        <v>127</v>
      </c>
      <c r="B265" s="123" t="s">
        <v>594</v>
      </c>
    </row>
    <row r="266" spans="1:2" x14ac:dyDescent="0.3">
      <c r="A266" s="122" t="s">
        <v>129</v>
      </c>
      <c r="B266" s="123" t="s">
        <v>594</v>
      </c>
    </row>
    <row r="267" spans="1:2" x14ac:dyDescent="0.3">
      <c r="A267" s="122" t="s">
        <v>130</v>
      </c>
      <c r="B267" s="123" t="s">
        <v>594</v>
      </c>
    </row>
    <row r="268" spans="1:2" x14ac:dyDescent="0.3">
      <c r="A268" s="122" t="s">
        <v>131</v>
      </c>
      <c r="B268" s="123" t="s">
        <v>579</v>
      </c>
    </row>
    <row r="269" spans="1:2" x14ac:dyDescent="0.3">
      <c r="A269" s="122" t="s">
        <v>133</v>
      </c>
      <c r="B269" s="123" t="s">
        <v>579</v>
      </c>
    </row>
    <row r="270" spans="1:2" x14ac:dyDescent="0.3">
      <c r="A270" s="122" t="s">
        <v>135</v>
      </c>
      <c r="B270" s="123" t="s">
        <v>579</v>
      </c>
    </row>
    <row r="271" spans="1:2" x14ac:dyDescent="0.3">
      <c r="A271" s="122" t="s">
        <v>136</v>
      </c>
      <c r="B271" s="123" t="s">
        <v>579</v>
      </c>
    </row>
    <row r="272" spans="1:2" x14ac:dyDescent="0.3">
      <c r="A272" s="122" t="s">
        <v>138</v>
      </c>
      <c r="B272" s="123" t="s">
        <v>579</v>
      </c>
    </row>
    <row r="273" spans="1:2" x14ac:dyDescent="0.3">
      <c r="A273" s="122" t="s">
        <v>140</v>
      </c>
      <c r="B273" s="123" t="s">
        <v>579</v>
      </c>
    </row>
    <row r="274" spans="1:2" x14ac:dyDescent="0.3">
      <c r="A274" s="122" t="s">
        <v>142</v>
      </c>
      <c r="B274" s="123" t="s">
        <v>579</v>
      </c>
    </row>
    <row r="275" spans="1:2" x14ac:dyDescent="0.3">
      <c r="A275" s="122" t="s">
        <v>144</v>
      </c>
      <c r="B275" s="123" t="s">
        <v>579</v>
      </c>
    </row>
    <row r="276" spans="1:2" x14ac:dyDescent="0.3">
      <c r="A276" s="122" t="s">
        <v>909</v>
      </c>
      <c r="B276" s="123" t="s">
        <v>599</v>
      </c>
    </row>
    <row r="277" spans="1:2" x14ac:dyDescent="0.3">
      <c r="A277" s="122" t="s">
        <v>771</v>
      </c>
      <c r="B277" s="123" t="s">
        <v>599</v>
      </c>
    </row>
    <row r="278" spans="1:2" x14ac:dyDescent="0.3">
      <c r="A278" s="122" t="s">
        <v>748</v>
      </c>
      <c r="B278" s="123" t="s">
        <v>599</v>
      </c>
    </row>
    <row r="279" spans="1:2" x14ac:dyDescent="0.3">
      <c r="A279" s="122" t="s">
        <v>726</v>
      </c>
      <c r="B279" s="123" t="s">
        <v>599</v>
      </c>
    </row>
    <row r="280" spans="1:2" x14ac:dyDescent="0.3">
      <c r="A280" s="122" t="s">
        <v>739</v>
      </c>
      <c r="B280" s="123" t="s">
        <v>599</v>
      </c>
    </row>
    <row r="281" spans="1:2" x14ac:dyDescent="0.3">
      <c r="A281" s="122" t="s">
        <v>716</v>
      </c>
      <c r="B281" s="123" t="s">
        <v>599</v>
      </c>
    </row>
    <row r="282" spans="1:2" x14ac:dyDescent="0.3">
      <c r="A282" s="122" t="s">
        <v>1148</v>
      </c>
      <c r="B282" s="123" t="s">
        <v>599</v>
      </c>
    </row>
    <row r="283" spans="1:2" x14ac:dyDescent="0.3">
      <c r="A283" s="122" t="s">
        <v>720</v>
      </c>
      <c r="B283" s="123" t="s">
        <v>599</v>
      </c>
    </row>
    <row r="284" spans="1:2" x14ac:dyDescent="0.3">
      <c r="A284" s="122" t="s">
        <v>735</v>
      </c>
      <c r="B284" s="123" t="s">
        <v>599</v>
      </c>
    </row>
    <row r="285" spans="1:2" x14ac:dyDescent="0.3">
      <c r="A285" s="122" t="s">
        <v>910</v>
      </c>
      <c r="B285" s="123" t="s">
        <v>599</v>
      </c>
    </row>
    <row r="286" spans="1:2" x14ac:dyDescent="0.3">
      <c r="A286" s="122" t="s">
        <v>911</v>
      </c>
      <c r="B286" s="123" t="s">
        <v>599</v>
      </c>
    </row>
    <row r="287" spans="1:2" x14ac:dyDescent="0.3">
      <c r="A287" s="122" t="s">
        <v>912</v>
      </c>
      <c r="B287" s="123" t="s">
        <v>599</v>
      </c>
    </row>
    <row r="288" spans="1:2" x14ac:dyDescent="0.3">
      <c r="A288" s="122" t="s">
        <v>718</v>
      </c>
      <c r="B288" s="123" t="s">
        <v>599</v>
      </c>
    </row>
    <row r="289" spans="1:2" x14ac:dyDescent="0.3">
      <c r="A289" s="122" t="s">
        <v>913</v>
      </c>
      <c r="B289" s="123" t="s">
        <v>599</v>
      </c>
    </row>
    <row r="290" spans="1:2" x14ac:dyDescent="0.3">
      <c r="A290" s="122" t="s">
        <v>914</v>
      </c>
      <c r="B290" s="123" t="s">
        <v>599</v>
      </c>
    </row>
    <row r="291" spans="1:2" x14ac:dyDescent="0.3">
      <c r="A291" s="122" t="s">
        <v>915</v>
      </c>
      <c r="B291" s="123" t="s">
        <v>599</v>
      </c>
    </row>
    <row r="292" spans="1:2" x14ac:dyDescent="0.3">
      <c r="A292" s="122" t="s">
        <v>916</v>
      </c>
      <c r="B292" s="123" t="s">
        <v>599</v>
      </c>
    </row>
    <row r="293" spans="1:2" x14ac:dyDescent="0.3">
      <c r="A293" s="122" t="s">
        <v>683</v>
      </c>
      <c r="B293" s="123" t="s">
        <v>599</v>
      </c>
    </row>
    <row r="294" spans="1:2" x14ac:dyDescent="0.3">
      <c r="A294" s="122" t="s">
        <v>741</v>
      </c>
      <c r="B294" s="123" t="s">
        <v>599</v>
      </c>
    </row>
    <row r="295" spans="1:2" x14ac:dyDescent="0.3">
      <c r="A295" s="122" t="s">
        <v>917</v>
      </c>
      <c r="B295" s="123" t="s">
        <v>599</v>
      </c>
    </row>
    <row r="296" spans="1:2" x14ac:dyDescent="0.3">
      <c r="A296" s="122" t="s">
        <v>918</v>
      </c>
      <c r="B296" s="123" t="s">
        <v>599</v>
      </c>
    </row>
    <row r="297" spans="1:2" x14ac:dyDescent="0.3">
      <c r="A297" s="122" t="s">
        <v>919</v>
      </c>
      <c r="B297" s="123" t="s">
        <v>599</v>
      </c>
    </row>
    <row r="298" spans="1:2" x14ac:dyDescent="0.3">
      <c r="A298" s="122" t="s">
        <v>478</v>
      </c>
      <c r="B298" s="123" t="s">
        <v>599</v>
      </c>
    </row>
    <row r="299" spans="1:2" x14ac:dyDescent="0.3">
      <c r="A299" s="122" t="s">
        <v>920</v>
      </c>
      <c r="B299" s="123" t="s">
        <v>599</v>
      </c>
    </row>
    <row r="300" spans="1:2" x14ac:dyDescent="0.3">
      <c r="A300" s="122" t="s">
        <v>921</v>
      </c>
      <c r="B300" s="123" t="s">
        <v>599</v>
      </c>
    </row>
    <row r="301" spans="1:2" x14ac:dyDescent="0.3">
      <c r="A301" s="122" t="s">
        <v>922</v>
      </c>
      <c r="B301" s="123" t="s">
        <v>599</v>
      </c>
    </row>
    <row r="302" spans="1:2" x14ac:dyDescent="0.3">
      <c r="A302" s="122" t="s">
        <v>701</v>
      </c>
      <c r="B302" s="123" t="s">
        <v>599</v>
      </c>
    </row>
    <row r="303" spans="1:2" x14ac:dyDescent="0.3">
      <c r="A303" s="122" t="s">
        <v>721</v>
      </c>
      <c r="B303" s="123" t="s">
        <v>599</v>
      </c>
    </row>
    <row r="304" spans="1:2" x14ac:dyDescent="0.3">
      <c r="A304" s="122" t="s">
        <v>702</v>
      </c>
      <c r="B304" s="123" t="s">
        <v>599</v>
      </c>
    </row>
    <row r="305" spans="1:2" x14ac:dyDescent="0.3">
      <c r="A305" s="122" t="s">
        <v>923</v>
      </c>
      <c r="B305" s="123" t="s">
        <v>599</v>
      </c>
    </row>
    <row r="306" spans="1:2" x14ac:dyDescent="0.3">
      <c r="A306" s="122" t="s">
        <v>682</v>
      </c>
      <c r="B306" s="123" t="s">
        <v>599</v>
      </c>
    </row>
    <row r="307" spans="1:2" x14ac:dyDescent="0.3">
      <c r="A307" s="122" t="s">
        <v>924</v>
      </c>
      <c r="B307" s="123" t="s">
        <v>599</v>
      </c>
    </row>
    <row r="308" spans="1:2" x14ac:dyDescent="0.3">
      <c r="A308" s="122" t="s">
        <v>925</v>
      </c>
      <c r="B308" s="123" t="s">
        <v>599</v>
      </c>
    </row>
    <row r="309" spans="1:2" x14ac:dyDescent="0.3">
      <c r="A309" s="122" t="s">
        <v>926</v>
      </c>
      <c r="B309" s="123" t="s">
        <v>599</v>
      </c>
    </row>
    <row r="310" spans="1:2" x14ac:dyDescent="0.3">
      <c r="A310" s="122" t="s">
        <v>722</v>
      </c>
      <c r="B310" s="123" t="s">
        <v>599</v>
      </c>
    </row>
    <row r="311" spans="1:2" x14ac:dyDescent="0.3">
      <c r="A311" s="122" t="s">
        <v>703</v>
      </c>
      <c r="B311" s="123" t="s">
        <v>599</v>
      </c>
    </row>
    <row r="312" spans="1:2" x14ac:dyDescent="0.3">
      <c r="A312" s="122" t="s">
        <v>750</v>
      </c>
      <c r="B312" s="123" t="s">
        <v>599</v>
      </c>
    </row>
    <row r="313" spans="1:2" x14ac:dyDescent="0.3">
      <c r="A313" s="122" t="s">
        <v>724</v>
      </c>
      <c r="B313" s="123" t="s">
        <v>599</v>
      </c>
    </row>
    <row r="314" spans="1:2" x14ac:dyDescent="0.3">
      <c r="A314" s="122" t="s">
        <v>927</v>
      </c>
      <c r="B314" s="123" t="s">
        <v>599</v>
      </c>
    </row>
    <row r="315" spans="1:2" x14ac:dyDescent="0.3">
      <c r="A315" s="122" t="s">
        <v>928</v>
      </c>
      <c r="B315" s="123" t="s">
        <v>599</v>
      </c>
    </row>
    <row r="316" spans="1:2" x14ac:dyDescent="0.3">
      <c r="A316" s="122" t="s">
        <v>678</v>
      </c>
      <c r="B316" s="123" t="s">
        <v>599</v>
      </c>
    </row>
    <row r="317" spans="1:2" x14ac:dyDescent="0.3">
      <c r="A317" s="122" t="s">
        <v>680</v>
      </c>
      <c r="B317" s="123" t="s">
        <v>599</v>
      </c>
    </row>
    <row r="318" spans="1:2" x14ac:dyDescent="0.3">
      <c r="A318" s="122" t="s">
        <v>929</v>
      </c>
      <c r="B318" s="123" t="s">
        <v>833</v>
      </c>
    </row>
    <row r="319" spans="1:2" x14ac:dyDescent="0.3">
      <c r="A319" s="122" t="s">
        <v>930</v>
      </c>
      <c r="B319" s="123" t="s">
        <v>833</v>
      </c>
    </row>
    <row r="320" spans="1:2" x14ac:dyDescent="0.3">
      <c r="A320" s="122" t="s">
        <v>931</v>
      </c>
      <c r="B320" s="123" t="s">
        <v>833</v>
      </c>
    </row>
    <row r="321" spans="1:2" x14ac:dyDescent="0.3">
      <c r="A321" s="122" t="s">
        <v>932</v>
      </c>
      <c r="B321" s="123" t="s">
        <v>833</v>
      </c>
    </row>
    <row r="322" spans="1:2" x14ac:dyDescent="0.3">
      <c r="A322" s="122" t="s">
        <v>933</v>
      </c>
      <c r="B322" s="123" t="s">
        <v>833</v>
      </c>
    </row>
    <row r="323" spans="1:2" x14ac:dyDescent="0.3">
      <c r="A323" s="122" t="s">
        <v>934</v>
      </c>
      <c r="B323" s="123" t="s">
        <v>833</v>
      </c>
    </row>
    <row r="324" spans="1:2" x14ac:dyDescent="0.3">
      <c r="A324" s="122" t="s">
        <v>935</v>
      </c>
      <c r="B324" s="123" t="s">
        <v>833</v>
      </c>
    </row>
    <row r="325" spans="1:2" x14ac:dyDescent="0.3">
      <c r="A325" s="122" t="s">
        <v>936</v>
      </c>
      <c r="B325" s="123" t="s">
        <v>833</v>
      </c>
    </row>
    <row r="326" spans="1:2" x14ac:dyDescent="0.3">
      <c r="A326" s="122" t="s">
        <v>937</v>
      </c>
      <c r="B326" s="123" t="s">
        <v>833</v>
      </c>
    </row>
    <row r="327" spans="1:2" x14ac:dyDescent="0.3">
      <c r="A327" s="122" t="s">
        <v>938</v>
      </c>
      <c r="B327" s="123" t="s">
        <v>833</v>
      </c>
    </row>
    <row r="328" spans="1:2" x14ac:dyDescent="0.3">
      <c r="A328" s="122" t="s">
        <v>939</v>
      </c>
      <c r="B328" s="123" t="s">
        <v>833</v>
      </c>
    </row>
    <row r="329" spans="1:2" x14ac:dyDescent="0.3">
      <c r="A329" s="122" t="s">
        <v>633</v>
      </c>
      <c r="B329" s="123" t="s">
        <v>597</v>
      </c>
    </row>
    <row r="330" spans="1:2" x14ac:dyDescent="0.3">
      <c r="A330" s="122" t="s">
        <v>704</v>
      </c>
      <c r="B330" s="123" t="s">
        <v>597</v>
      </c>
    </row>
    <row r="331" spans="1:2" x14ac:dyDescent="0.3">
      <c r="A331" s="122" t="s">
        <v>684</v>
      </c>
      <c r="B331" s="123" t="s">
        <v>597</v>
      </c>
    </row>
    <row r="332" spans="1:2" x14ac:dyDescent="0.3">
      <c r="A332" s="122" t="s">
        <v>997</v>
      </c>
      <c r="B332" s="123" t="s">
        <v>597</v>
      </c>
    </row>
    <row r="333" spans="1:2" x14ac:dyDescent="0.3">
      <c r="A333" s="122" t="s">
        <v>767</v>
      </c>
      <c r="B333" s="123" t="s">
        <v>597</v>
      </c>
    </row>
    <row r="334" spans="1:2" x14ac:dyDescent="0.3">
      <c r="A334" s="122" t="s">
        <v>686</v>
      </c>
      <c r="B334" s="123" t="s">
        <v>597</v>
      </c>
    </row>
    <row r="335" spans="1:2" x14ac:dyDescent="0.3">
      <c r="A335" s="122" t="s">
        <v>635</v>
      </c>
      <c r="B335" s="123" t="s">
        <v>597</v>
      </c>
    </row>
    <row r="336" spans="1:2" x14ac:dyDescent="0.3">
      <c r="A336" s="122" t="s">
        <v>637</v>
      </c>
      <c r="B336" s="123" t="s">
        <v>597</v>
      </c>
    </row>
    <row r="337" spans="1:2" x14ac:dyDescent="0.3">
      <c r="A337" s="122" t="s">
        <v>728</v>
      </c>
      <c r="B337" s="123" t="s">
        <v>597</v>
      </c>
    </row>
    <row r="338" spans="1:2" x14ac:dyDescent="0.3">
      <c r="A338" s="122" t="s">
        <v>687</v>
      </c>
      <c r="B338" s="123" t="s">
        <v>597</v>
      </c>
    </row>
    <row r="339" spans="1:2" x14ac:dyDescent="0.3">
      <c r="A339" s="122" t="s">
        <v>940</v>
      </c>
      <c r="B339" s="123" t="s">
        <v>597</v>
      </c>
    </row>
    <row r="340" spans="1:2" x14ac:dyDescent="0.3">
      <c r="A340" s="122" t="s">
        <v>772</v>
      </c>
      <c r="B340" s="123" t="s">
        <v>597</v>
      </c>
    </row>
    <row r="341" spans="1:2" x14ac:dyDescent="0.3">
      <c r="A341" s="122" t="s">
        <v>639</v>
      </c>
      <c r="B341" s="123" t="s">
        <v>597</v>
      </c>
    </row>
    <row r="342" spans="1:2" x14ac:dyDescent="0.3">
      <c r="A342" s="122" t="s">
        <v>751</v>
      </c>
      <c r="B342" s="123" t="s">
        <v>597</v>
      </c>
    </row>
    <row r="343" spans="1:2" x14ac:dyDescent="0.3">
      <c r="A343" s="122" t="s">
        <v>1001</v>
      </c>
      <c r="B343" s="123" t="s">
        <v>597</v>
      </c>
    </row>
    <row r="344" spans="1:2" x14ac:dyDescent="0.3">
      <c r="A344" s="122" t="s">
        <v>147</v>
      </c>
      <c r="B344" s="123" t="s">
        <v>597</v>
      </c>
    </row>
    <row r="345" spans="1:2" x14ac:dyDescent="0.3">
      <c r="A345" s="122" t="s">
        <v>149</v>
      </c>
      <c r="B345" s="123" t="s">
        <v>597</v>
      </c>
    </row>
    <row r="346" spans="1:2" x14ac:dyDescent="0.3">
      <c r="A346" s="122" t="s">
        <v>941</v>
      </c>
      <c r="B346" s="123" t="s">
        <v>597</v>
      </c>
    </row>
    <row r="347" spans="1:2" x14ac:dyDescent="0.3">
      <c r="A347" s="122" t="s">
        <v>153</v>
      </c>
      <c r="B347" s="123" t="s">
        <v>597</v>
      </c>
    </row>
    <row r="348" spans="1:2" x14ac:dyDescent="0.3">
      <c r="A348" s="122" t="s">
        <v>768</v>
      </c>
      <c r="B348" s="123" t="s">
        <v>597</v>
      </c>
    </row>
    <row r="349" spans="1:2" x14ac:dyDescent="0.3">
      <c r="A349" s="122" t="s">
        <v>690</v>
      </c>
      <c r="B349" s="123" t="s">
        <v>597</v>
      </c>
    </row>
    <row r="350" spans="1:2" x14ac:dyDescent="0.3">
      <c r="A350" s="122" t="s">
        <v>146</v>
      </c>
      <c r="B350" s="123" t="s">
        <v>597</v>
      </c>
    </row>
    <row r="351" spans="1:2" x14ac:dyDescent="0.3">
      <c r="A351" s="122" t="s">
        <v>743</v>
      </c>
      <c r="B351" s="123" t="s">
        <v>597</v>
      </c>
    </row>
    <row r="352" spans="1:2" x14ac:dyDescent="0.3">
      <c r="A352" s="122" t="s">
        <v>942</v>
      </c>
      <c r="B352" s="123" t="s">
        <v>597</v>
      </c>
    </row>
    <row r="353" spans="1:2" x14ac:dyDescent="0.3">
      <c r="A353" s="122" t="s">
        <v>727</v>
      </c>
      <c r="B353" s="123" t="s">
        <v>597</v>
      </c>
    </row>
    <row r="354" spans="1:2" x14ac:dyDescent="0.3">
      <c r="A354" s="122" t="s">
        <v>943</v>
      </c>
      <c r="B354" s="123" t="s">
        <v>597</v>
      </c>
    </row>
    <row r="355" spans="1:2" x14ac:dyDescent="0.3">
      <c r="A355" s="122" t="s">
        <v>688</v>
      </c>
      <c r="B355" s="123" t="s">
        <v>597</v>
      </c>
    </row>
    <row r="356" spans="1:2" x14ac:dyDescent="0.3">
      <c r="A356" s="122" t="s">
        <v>151</v>
      </c>
      <c r="B356" s="123" t="s">
        <v>597</v>
      </c>
    </row>
    <row r="357" spans="1:2" x14ac:dyDescent="0.3">
      <c r="A357" s="122" t="s">
        <v>705</v>
      </c>
      <c r="B357" s="123" t="s">
        <v>597</v>
      </c>
    </row>
    <row r="358" spans="1:2" x14ac:dyDescent="0.3">
      <c r="A358" s="122" t="s">
        <v>736</v>
      </c>
      <c r="B358" s="123" t="s">
        <v>597</v>
      </c>
    </row>
    <row r="359" spans="1:2" x14ac:dyDescent="0.3">
      <c r="A359" s="122" t="s">
        <v>944</v>
      </c>
      <c r="B359" s="123" t="s">
        <v>597</v>
      </c>
    </row>
    <row r="360" spans="1:2" x14ac:dyDescent="0.3">
      <c r="A360" s="122" t="s">
        <v>945</v>
      </c>
      <c r="B360" s="123" t="s">
        <v>600</v>
      </c>
    </row>
    <row r="361" spans="1:2" x14ac:dyDescent="0.3">
      <c r="A361" s="122" t="s">
        <v>946</v>
      </c>
      <c r="B361" s="123" t="s">
        <v>600</v>
      </c>
    </row>
    <row r="362" spans="1:2" x14ac:dyDescent="0.3">
      <c r="A362" s="122" t="s">
        <v>947</v>
      </c>
      <c r="B362" s="123" t="s">
        <v>600</v>
      </c>
    </row>
    <row r="363" spans="1:2" x14ac:dyDescent="0.3">
      <c r="A363" s="122" t="s">
        <v>706</v>
      </c>
      <c r="B363" s="123" t="s">
        <v>600</v>
      </c>
    </row>
    <row r="364" spans="1:2" x14ac:dyDescent="0.3">
      <c r="A364" s="122" t="s">
        <v>948</v>
      </c>
      <c r="B364" s="123" t="s">
        <v>600</v>
      </c>
    </row>
    <row r="365" spans="1:2" x14ac:dyDescent="0.3">
      <c r="A365" s="122" t="s">
        <v>949</v>
      </c>
      <c r="B365" s="123" t="s">
        <v>600</v>
      </c>
    </row>
    <row r="366" spans="1:2" x14ac:dyDescent="0.3">
      <c r="A366" s="122" t="s">
        <v>950</v>
      </c>
      <c r="B366" s="123" t="s">
        <v>600</v>
      </c>
    </row>
    <row r="367" spans="1:2" x14ac:dyDescent="0.3">
      <c r="A367" s="122" t="s">
        <v>951</v>
      </c>
      <c r="B367" s="123" t="s">
        <v>600</v>
      </c>
    </row>
    <row r="368" spans="1:2" x14ac:dyDescent="0.3">
      <c r="A368" s="122" t="s">
        <v>952</v>
      </c>
      <c r="B368" s="123" t="s">
        <v>600</v>
      </c>
    </row>
    <row r="369" spans="1:2" x14ac:dyDescent="0.3">
      <c r="A369" s="122" t="s">
        <v>953</v>
      </c>
      <c r="B369" s="123" t="s">
        <v>600</v>
      </c>
    </row>
    <row r="370" spans="1:2" x14ac:dyDescent="0.3">
      <c r="A370" s="122" t="s">
        <v>954</v>
      </c>
      <c r="B370" s="123" t="s">
        <v>600</v>
      </c>
    </row>
    <row r="371" spans="1:2" x14ac:dyDescent="0.3">
      <c r="A371" s="122" t="s">
        <v>955</v>
      </c>
      <c r="B371" s="123" t="s">
        <v>600</v>
      </c>
    </row>
    <row r="372" spans="1:2" x14ac:dyDescent="0.3">
      <c r="A372" s="122" t="s">
        <v>641</v>
      </c>
      <c r="B372" s="123" t="s">
        <v>600</v>
      </c>
    </row>
    <row r="373" spans="1:2" x14ac:dyDescent="0.3">
      <c r="A373" s="122" t="s">
        <v>155</v>
      </c>
      <c r="B373" s="123" t="s">
        <v>600</v>
      </c>
    </row>
    <row r="374" spans="1:2" x14ac:dyDescent="0.3">
      <c r="A374" s="122" t="s">
        <v>956</v>
      </c>
      <c r="B374" s="123" t="s">
        <v>600</v>
      </c>
    </row>
    <row r="375" spans="1:2" x14ac:dyDescent="0.3">
      <c r="A375" s="122" t="s">
        <v>692</v>
      </c>
      <c r="B375" s="123" t="s">
        <v>600</v>
      </c>
    </row>
    <row r="376" spans="1:2" x14ac:dyDescent="0.3">
      <c r="A376" s="122" t="s">
        <v>156</v>
      </c>
      <c r="B376" s="123" t="s">
        <v>600</v>
      </c>
    </row>
    <row r="377" spans="1:2" x14ac:dyDescent="0.3">
      <c r="A377" s="122" t="s">
        <v>957</v>
      </c>
      <c r="B377" s="123" t="s">
        <v>600</v>
      </c>
    </row>
    <row r="378" spans="1:2" x14ac:dyDescent="0.3">
      <c r="A378" s="122" t="s">
        <v>958</v>
      </c>
      <c r="B378" s="123" t="s">
        <v>600</v>
      </c>
    </row>
    <row r="379" spans="1:2" x14ac:dyDescent="0.3">
      <c r="A379" s="122" t="s">
        <v>694</v>
      </c>
      <c r="B379" s="123" t="s">
        <v>600</v>
      </c>
    </row>
    <row r="380" spans="1:2" x14ac:dyDescent="0.3">
      <c r="A380" s="122" t="s">
        <v>959</v>
      </c>
      <c r="B380" s="123" t="s">
        <v>600</v>
      </c>
    </row>
    <row r="381" spans="1:2" x14ac:dyDescent="0.3">
      <c r="A381" s="122" t="s">
        <v>960</v>
      </c>
      <c r="B381" s="123" t="s">
        <v>600</v>
      </c>
    </row>
    <row r="382" spans="1:2" x14ac:dyDescent="0.3">
      <c r="A382" s="122" t="s">
        <v>695</v>
      </c>
      <c r="B382" s="123" t="s">
        <v>600</v>
      </c>
    </row>
    <row r="383" spans="1:2" x14ac:dyDescent="0.3">
      <c r="A383" s="122" t="s">
        <v>644</v>
      </c>
      <c r="B383" s="123" t="s">
        <v>600</v>
      </c>
    </row>
    <row r="384" spans="1:2" x14ac:dyDescent="0.3">
      <c r="A384" s="122" t="s">
        <v>166</v>
      </c>
      <c r="B384" s="123" t="s">
        <v>570</v>
      </c>
    </row>
    <row r="385" spans="1:2" x14ac:dyDescent="0.3">
      <c r="A385" s="122" t="s">
        <v>168</v>
      </c>
      <c r="B385" s="123" t="s">
        <v>570</v>
      </c>
    </row>
    <row r="386" spans="1:2" x14ac:dyDescent="0.3">
      <c r="A386" s="122" t="s">
        <v>170</v>
      </c>
      <c r="B386" s="123" t="s">
        <v>570</v>
      </c>
    </row>
    <row r="387" spans="1:2" x14ac:dyDescent="0.3">
      <c r="A387" s="122" t="s">
        <v>773</v>
      </c>
      <c r="B387" s="123" t="s">
        <v>570</v>
      </c>
    </row>
    <row r="388" spans="1:2" x14ac:dyDescent="0.3">
      <c r="A388" s="122" t="s">
        <v>961</v>
      </c>
      <c r="B388" s="123" t="s">
        <v>570</v>
      </c>
    </row>
    <row r="389" spans="1:2" x14ac:dyDescent="0.3">
      <c r="A389" s="122" t="s">
        <v>737</v>
      </c>
      <c r="B389" s="123" t="s">
        <v>570</v>
      </c>
    </row>
    <row r="390" spans="1:2" x14ac:dyDescent="0.3">
      <c r="A390" s="122" t="s">
        <v>696</v>
      </c>
      <c r="B390" s="123" t="s">
        <v>570</v>
      </c>
    </row>
    <row r="391" spans="1:2" x14ac:dyDescent="0.3">
      <c r="A391" s="122" t="s">
        <v>165</v>
      </c>
      <c r="B391" s="123" t="s">
        <v>570</v>
      </c>
    </row>
    <row r="392" spans="1:2" x14ac:dyDescent="0.3">
      <c r="A392" s="122" t="s">
        <v>159</v>
      </c>
      <c r="B392" s="123" t="s">
        <v>570</v>
      </c>
    </row>
    <row r="393" spans="1:2" x14ac:dyDescent="0.3">
      <c r="A393" s="122" t="s">
        <v>163</v>
      </c>
      <c r="B393" s="123" t="s">
        <v>570</v>
      </c>
    </row>
    <row r="394" spans="1:2" x14ac:dyDescent="0.3">
      <c r="A394" s="122" t="s">
        <v>157</v>
      </c>
      <c r="B394" s="123" t="s">
        <v>570</v>
      </c>
    </row>
    <row r="395" spans="1:2" x14ac:dyDescent="0.3">
      <c r="A395" s="122" t="s">
        <v>645</v>
      </c>
      <c r="B395" s="123" t="s">
        <v>570</v>
      </c>
    </row>
    <row r="396" spans="1:2" x14ac:dyDescent="0.3">
      <c r="A396" s="122" t="s">
        <v>161</v>
      </c>
      <c r="B396" s="123" t="s">
        <v>570</v>
      </c>
    </row>
    <row r="397" spans="1:2" x14ac:dyDescent="0.3">
      <c r="A397" s="122" t="s">
        <v>962</v>
      </c>
      <c r="B397" s="123" t="s">
        <v>598</v>
      </c>
    </row>
    <row r="398" spans="1:2" x14ac:dyDescent="0.3">
      <c r="A398" s="122" t="s">
        <v>963</v>
      </c>
      <c r="B398" s="123" t="s">
        <v>598</v>
      </c>
    </row>
    <row r="399" spans="1:2" x14ac:dyDescent="0.3">
      <c r="A399" s="122" t="s">
        <v>964</v>
      </c>
      <c r="B399" s="123" t="s">
        <v>598</v>
      </c>
    </row>
    <row r="400" spans="1:2" x14ac:dyDescent="0.3">
      <c r="A400" s="122" t="s">
        <v>965</v>
      </c>
      <c r="B400" s="123" t="s">
        <v>598</v>
      </c>
    </row>
    <row r="401" spans="1:2" x14ac:dyDescent="0.3">
      <c r="A401" s="122" t="s">
        <v>1097</v>
      </c>
      <c r="B401" s="123" t="s">
        <v>598</v>
      </c>
    </row>
    <row r="402" spans="1:2" x14ac:dyDescent="0.3">
      <c r="A402" s="122" t="s">
        <v>966</v>
      </c>
      <c r="B402" s="123" t="s">
        <v>598</v>
      </c>
    </row>
    <row r="403" spans="1:2" x14ac:dyDescent="0.3">
      <c r="A403" s="122" t="s">
        <v>707</v>
      </c>
      <c r="B403" s="123" t="s">
        <v>598</v>
      </c>
    </row>
    <row r="404" spans="1:2" x14ac:dyDescent="0.3">
      <c r="A404" s="122" t="s">
        <v>729</v>
      </c>
      <c r="B404" s="123" t="s">
        <v>598</v>
      </c>
    </row>
    <row r="405" spans="1:2" x14ac:dyDescent="0.3">
      <c r="A405" s="122" t="s">
        <v>752</v>
      </c>
      <c r="B405" s="123" t="s">
        <v>598</v>
      </c>
    </row>
    <row r="406" spans="1:2" x14ac:dyDescent="0.3">
      <c r="A406" s="122" t="s">
        <v>753</v>
      </c>
      <c r="B406" s="123" t="s">
        <v>598</v>
      </c>
    </row>
    <row r="407" spans="1:2" x14ac:dyDescent="0.3">
      <c r="A407" s="122" t="s">
        <v>967</v>
      </c>
      <c r="B407" s="123" t="s">
        <v>598</v>
      </c>
    </row>
    <row r="408" spans="1:2" x14ac:dyDescent="0.3">
      <c r="A408" s="122" t="s">
        <v>968</v>
      </c>
      <c r="B408" s="123" t="s">
        <v>598</v>
      </c>
    </row>
    <row r="409" spans="1:2" x14ac:dyDescent="0.3">
      <c r="A409" s="122" t="s">
        <v>969</v>
      </c>
      <c r="B409" s="123" t="s">
        <v>598</v>
      </c>
    </row>
    <row r="410" spans="1:2" x14ac:dyDescent="0.3">
      <c r="A410" s="122" t="s">
        <v>970</v>
      </c>
      <c r="B410" s="123" t="s">
        <v>598</v>
      </c>
    </row>
    <row r="411" spans="1:2" x14ac:dyDescent="0.3">
      <c r="A411" s="122" t="s">
        <v>172</v>
      </c>
      <c r="B411" s="123" t="s">
        <v>598</v>
      </c>
    </row>
    <row r="412" spans="1:2" x14ac:dyDescent="0.3">
      <c r="A412" s="122" t="s">
        <v>971</v>
      </c>
      <c r="B412" s="123" t="s">
        <v>580</v>
      </c>
    </row>
    <row r="413" spans="1:2" x14ac:dyDescent="0.3">
      <c r="A413" s="122" t="s">
        <v>174</v>
      </c>
      <c r="B413" s="123" t="s">
        <v>580</v>
      </c>
    </row>
    <row r="414" spans="1:2" x14ac:dyDescent="0.3">
      <c r="A414" s="122" t="s">
        <v>173</v>
      </c>
      <c r="B414" s="123" t="s">
        <v>580</v>
      </c>
    </row>
    <row r="415" spans="1:2" x14ac:dyDescent="0.3">
      <c r="A415" s="122" t="s">
        <v>184</v>
      </c>
      <c r="B415" s="123" t="s">
        <v>580</v>
      </c>
    </row>
    <row r="416" spans="1:2" x14ac:dyDescent="0.3">
      <c r="A416" s="122" t="s">
        <v>176</v>
      </c>
      <c r="B416" s="123" t="s">
        <v>580</v>
      </c>
    </row>
    <row r="417" spans="1:2" x14ac:dyDescent="0.3">
      <c r="A417" s="122" t="s">
        <v>178</v>
      </c>
      <c r="B417" s="123" t="s">
        <v>580</v>
      </c>
    </row>
    <row r="418" spans="1:2" x14ac:dyDescent="0.3">
      <c r="A418" s="122" t="s">
        <v>180</v>
      </c>
      <c r="B418" s="123" t="s">
        <v>580</v>
      </c>
    </row>
    <row r="419" spans="1:2" x14ac:dyDescent="0.3">
      <c r="A419" s="122" t="s">
        <v>185</v>
      </c>
      <c r="B419" s="123" t="s">
        <v>580</v>
      </c>
    </row>
    <row r="420" spans="1:2" x14ac:dyDescent="0.3">
      <c r="A420" s="122" t="s">
        <v>187</v>
      </c>
      <c r="B420" s="123" t="s">
        <v>580</v>
      </c>
    </row>
    <row r="421" spans="1:2" x14ac:dyDescent="0.3">
      <c r="A421" s="122" t="s">
        <v>189</v>
      </c>
      <c r="B421" s="123" t="s">
        <v>580</v>
      </c>
    </row>
    <row r="422" spans="1:2" x14ac:dyDescent="0.3">
      <c r="A422" s="122" t="s">
        <v>182</v>
      </c>
      <c r="B422" s="123" t="s">
        <v>580</v>
      </c>
    </row>
    <row r="423" spans="1:2" x14ac:dyDescent="0.3">
      <c r="A423" s="122" t="s">
        <v>191</v>
      </c>
      <c r="B423" s="123" t="s">
        <v>585</v>
      </c>
    </row>
    <row r="424" spans="1:2" x14ac:dyDescent="0.3">
      <c r="A424" s="122" t="s">
        <v>193</v>
      </c>
      <c r="B424" s="123" t="s">
        <v>585</v>
      </c>
    </row>
    <row r="425" spans="1:2" x14ac:dyDescent="0.3">
      <c r="A425" s="122" t="s">
        <v>195</v>
      </c>
      <c r="B425" s="123" t="s">
        <v>585</v>
      </c>
    </row>
    <row r="426" spans="1:2" x14ac:dyDescent="0.3">
      <c r="A426" s="122" t="s">
        <v>197</v>
      </c>
      <c r="B426" s="123" t="s">
        <v>585</v>
      </c>
    </row>
    <row r="427" spans="1:2" x14ac:dyDescent="0.3">
      <c r="A427" s="122" t="s">
        <v>199</v>
      </c>
      <c r="B427" s="123" t="s">
        <v>585</v>
      </c>
    </row>
    <row r="428" spans="1:2" x14ac:dyDescent="0.3">
      <c r="A428" s="122" t="s">
        <v>201</v>
      </c>
      <c r="B428" s="123" t="s">
        <v>573</v>
      </c>
    </row>
    <row r="429" spans="1:2" x14ac:dyDescent="0.3">
      <c r="A429" s="122" t="s">
        <v>203</v>
      </c>
      <c r="B429" s="123" t="s">
        <v>573</v>
      </c>
    </row>
    <row r="430" spans="1:2" x14ac:dyDescent="0.3">
      <c r="A430" s="122" t="s">
        <v>205</v>
      </c>
      <c r="B430" s="123" t="s">
        <v>573</v>
      </c>
    </row>
    <row r="431" spans="1:2" x14ac:dyDescent="0.3">
      <c r="A431" s="122" t="s">
        <v>207</v>
      </c>
      <c r="B431" s="123" t="s">
        <v>573</v>
      </c>
    </row>
    <row r="432" spans="1:2" x14ac:dyDescent="0.3">
      <c r="A432" s="122" t="s">
        <v>209</v>
      </c>
      <c r="B432" s="123" t="s">
        <v>573</v>
      </c>
    </row>
    <row r="433" spans="1:2" x14ac:dyDescent="0.3">
      <c r="A433" s="122" t="s">
        <v>211</v>
      </c>
      <c r="B433" s="123" t="s">
        <v>573</v>
      </c>
    </row>
    <row r="434" spans="1:2" x14ac:dyDescent="0.3">
      <c r="A434" s="122" t="s">
        <v>213</v>
      </c>
      <c r="B434" s="123" t="s">
        <v>573</v>
      </c>
    </row>
    <row r="435" spans="1:2" x14ac:dyDescent="0.3">
      <c r="A435" s="122" t="s">
        <v>215</v>
      </c>
      <c r="B435" s="123" t="s">
        <v>592</v>
      </c>
    </row>
    <row r="436" spans="1:2" x14ac:dyDescent="0.3">
      <c r="A436" s="122" t="s">
        <v>217</v>
      </c>
      <c r="B436" s="123" t="s">
        <v>592</v>
      </c>
    </row>
    <row r="437" spans="1:2" x14ac:dyDescent="0.3">
      <c r="A437" s="122" t="s">
        <v>219</v>
      </c>
      <c r="B437" s="123" t="s">
        <v>592</v>
      </c>
    </row>
    <row r="438" spans="1:2" x14ac:dyDescent="0.3">
      <c r="A438" s="122" t="s">
        <v>221</v>
      </c>
      <c r="B438" s="123" t="s">
        <v>592</v>
      </c>
    </row>
    <row r="439" spans="1:2" x14ac:dyDescent="0.3">
      <c r="A439" s="122" t="s">
        <v>223</v>
      </c>
      <c r="B439" s="123" t="s">
        <v>592</v>
      </c>
    </row>
    <row r="440" spans="1:2" x14ac:dyDescent="0.3">
      <c r="A440" s="122" t="s">
        <v>225</v>
      </c>
      <c r="B440" s="123" t="s">
        <v>587</v>
      </c>
    </row>
    <row r="441" spans="1:2" x14ac:dyDescent="0.3">
      <c r="A441" s="122" t="s">
        <v>227</v>
      </c>
      <c r="B441" s="123" t="s">
        <v>587</v>
      </c>
    </row>
    <row r="442" spans="1:2" x14ac:dyDescent="0.3">
      <c r="A442" s="122" t="s">
        <v>233</v>
      </c>
      <c r="B442" s="123" t="s">
        <v>587</v>
      </c>
    </row>
    <row r="443" spans="1:2" x14ac:dyDescent="0.3">
      <c r="A443" s="122" t="s">
        <v>235</v>
      </c>
      <c r="B443" s="123" t="s">
        <v>587</v>
      </c>
    </row>
    <row r="444" spans="1:2" x14ac:dyDescent="0.3">
      <c r="A444" s="122" t="s">
        <v>229</v>
      </c>
      <c r="B444" s="123" t="s">
        <v>587</v>
      </c>
    </row>
    <row r="445" spans="1:2" x14ac:dyDescent="0.3">
      <c r="A445" s="122" t="s">
        <v>231</v>
      </c>
      <c r="B445" s="123" t="s">
        <v>587</v>
      </c>
    </row>
    <row r="446" spans="1:2" x14ac:dyDescent="0.3">
      <c r="A446" s="122" t="s">
        <v>237</v>
      </c>
      <c r="B446" s="123" t="s">
        <v>587</v>
      </c>
    </row>
    <row r="447" spans="1:2" x14ac:dyDescent="0.3">
      <c r="A447" s="122" t="s">
        <v>239</v>
      </c>
      <c r="B447" s="123" t="s">
        <v>587</v>
      </c>
    </row>
    <row r="448" spans="1:2" x14ac:dyDescent="0.3">
      <c r="A448" s="122" t="s">
        <v>241</v>
      </c>
      <c r="B448" s="123" t="s">
        <v>587</v>
      </c>
    </row>
    <row r="449" spans="1:2" x14ac:dyDescent="0.3">
      <c r="A449" s="122" t="s">
        <v>243</v>
      </c>
      <c r="B449" s="123" t="s">
        <v>587</v>
      </c>
    </row>
    <row r="450" spans="1:2" x14ac:dyDescent="0.3">
      <c r="A450" s="122" t="s">
        <v>647</v>
      </c>
      <c r="B450" s="123" t="s">
        <v>587</v>
      </c>
    </row>
    <row r="451" spans="1:2" x14ac:dyDescent="0.3">
      <c r="A451" s="122" t="s">
        <v>245</v>
      </c>
      <c r="B451" s="123" t="s">
        <v>587</v>
      </c>
    </row>
    <row r="452" spans="1:2" x14ac:dyDescent="0.3">
      <c r="A452" s="122" t="s">
        <v>972</v>
      </c>
      <c r="B452" s="123" t="s">
        <v>587</v>
      </c>
    </row>
    <row r="453" spans="1:2" x14ac:dyDescent="0.3">
      <c r="A453" s="122" t="s">
        <v>973</v>
      </c>
      <c r="B453" s="123" t="s">
        <v>587</v>
      </c>
    </row>
    <row r="454" spans="1:2" x14ac:dyDescent="0.3">
      <c r="A454" s="122" t="s">
        <v>974</v>
      </c>
      <c r="B454" s="123" t="s">
        <v>587</v>
      </c>
    </row>
    <row r="455" spans="1:2" x14ac:dyDescent="0.3">
      <c r="A455" s="122" t="s">
        <v>975</v>
      </c>
      <c r="B455" s="123" t="s">
        <v>587</v>
      </c>
    </row>
    <row r="456" spans="1:2" x14ac:dyDescent="0.3">
      <c r="A456" s="122" t="s">
        <v>247</v>
      </c>
      <c r="B456" s="123" t="s">
        <v>583</v>
      </c>
    </row>
    <row r="457" spans="1:2" x14ac:dyDescent="0.3">
      <c r="A457" s="122" t="s">
        <v>249</v>
      </c>
      <c r="B457" s="123" t="s">
        <v>583</v>
      </c>
    </row>
    <row r="458" spans="1:2" x14ac:dyDescent="0.3">
      <c r="A458" s="122" t="s">
        <v>251</v>
      </c>
      <c r="B458" s="123" t="s">
        <v>583</v>
      </c>
    </row>
    <row r="459" spans="1:2" x14ac:dyDescent="0.3">
      <c r="A459" s="122" t="s">
        <v>253</v>
      </c>
      <c r="B459" s="123" t="s">
        <v>583</v>
      </c>
    </row>
    <row r="460" spans="1:2" x14ac:dyDescent="0.3">
      <c r="A460" s="122" t="s">
        <v>255</v>
      </c>
      <c r="B460" s="123" t="s">
        <v>583</v>
      </c>
    </row>
    <row r="461" spans="1:2" x14ac:dyDescent="0.3">
      <c r="A461" s="122" t="s">
        <v>257</v>
      </c>
      <c r="B461" s="123" t="s">
        <v>583</v>
      </c>
    </row>
    <row r="462" spans="1:2" x14ac:dyDescent="0.3">
      <c r="A462" s="122" t="s">
        <v>259</v>
      </c>
      <c r="B462" s="123" t="s">
        <v>583</v>
      </c>
    </row>
    <row r="463" spans="1:2" x14ac:dyDescent="0.3">
      <c r="A463" s="122" t="s">
        <v>261</v>
      </c>
      <c r="B463" s="123" t="s">
        <v>583</v>
      </c>
    </row>
    <row r="464" spans="1:2" x14ac:dyDescent="0.3">
      <c r="A464" s="122" t="s">
        <v>263</v>
      </c>
      <c r="B464" s="123" t="s">
        <v>583</v>
      </c>
    </row>
    <row r="465" spans="1:2" x14ac:dyDescent="0.3">
      <c r="A465" s="122" t="s">
        <v>265</v>
      </c>
      <c r="B465" s="123" t="s">
        <v>583</v>
      </c>
    </row>
    <row r="466" spans="1:2" x14ac:dyDescent="0.3">
      <c r="A466" s="122" t="s">
        <v>267</v>
      </c>
      <c r="B466" s="123" t="s">
        <v>583</v>
      </c>
    </row>
    <row r="467" spans="1:2" x14ac:dyDescent="0.3">
      <c r="A467" s="122" t="s">
        <v>269</v>
      </c>
      <c r="B467" s="123" t="s">
        <v>583</v>
      </c>
    </row>
    <row r="468" spans="1:2" x14ac:dyDescent="0.3">
      <c r="A468" s="122" t="s">
        <v>271</v>
      </c>
      <c r="B468" s="123" t="s">
        <v>583</v>
      </c>
    </row>
    <row r="469" spans="1:2" x14ac:dyDescent="0.3">
      <c r="A469" s="122" t="s">
        <v>273</v>
      </c>
      <c r="B469" s="123" t="s">
        <v>583</v>
      </c>
    </row>
    <row r="470" spans="1:2" x14ac:dyDescent="0.3">
      <c r="A470" s="122" t="s">
        <v>275</v>
      </c>
      <c r="B470" s="123" t="s">
        <v>583</v>
      </c>
    </row>
    <row r="471" spans="1:2" x14ac:dyDescent="0.3">
      <c r="A471" s="122" t="s">
        <v>277</v>
      </c>
      <c r="B471" s="123" t="s">
        <v>583</v>
      </c>
    </row>
    <row r="472" spans="1:2" x14ac:dyDescent="0.3">
      <c r="A472" s="122" t="s">
        <v>279</v>
      </c>
      <c r="B472" s="123" t="s">
        <v>583</v>
      </c>
    </row>
    <row r="473" spans="1:2" x14ac:dyDescent="0.3">
      <c r="A473" s="122" t="s">
        <v>281</v>
      </c>
      <c r="B473" s="123" t="s">
        <v>583</v>
      </c>
    </row>
    <row r="474" spans="1:2" x14ac:dyDescent="0.3">
      <c r="A474" s="122" t="s">
        <v>283</v>
      </c>
      <c r="B474" s="123" t="s">
        <v>583</v>
      </c>
    </row>
    <row r="475" spans="1:2" x14ac:dyDescent="0.3">
      <c r="A475" s="122" t="s">
        <v>285</v>
      </c>
      <c r="B475" s="123" t="s">
        <v>583</v>
      </c>
    </row>
    <row r="476" spans="1:2" x14ac:dyDescent="0.3">
      <c r="A476" s="122" t="s">
        <v>287</v>
      </c>
      <c r="B476" s="123" t="s">
        <v>583</v>
      </c>
    </row>
    <row r="477" spans="1:2" x14ac:dyDescent="0.3">
      <c r="A477" s="122" t="s">
        <v>289</v>
      </c>
      <c r="B477" s="123" t="s">
        <v>583</v>
      </c>
    </row>
    <row r="478" spans="1:2" x14ac:dyDescent="0.3">
      <c r="A478" s="122" t="s">
        <v>291</v>
      </c>
      <c r="B478" s="123" t="s">
        <v>583</v>
      </c>
    </row>
    <row r="479" spans="1:2" x14ac:dyDescent="0.3">
      <c r="A479" s="122" t="s">
        <v>293</v>
      </c>
      <c r="B479" s="123" t="s">
        <v>583</v>
      </c>
    </row>
    <row r="480" spans="1:2" x14ac:dyDescent="0.3">
      <c r="A480" s="122" t="s">
        <v>295</v>
      </c>
      <c r="B480" s="123" t="s">
        <v>583</v>
      </c>
    </row>
    <row r="481" spans="1:2" x14ac:dyDescent="0.3">
      <c r="A481" s="122" t="s">
        <v>297</v>
      </c>
      <c r="B481" s="123" t="s">
        <v>583</v>
      </c>
    </row>
    <row r="482" spans="1:2" x14ac:dyDescent="0.3">
      <c r="A482" s="122" t="s">
        <v>299</v>
      </c>
      <c r="B482" s="123" t="s">
        <v>583</v>
      </c>
    </row>
    <row r="483" spans="1:2" x14ac:dyDescent="0.3">
      <c r="A483" s="122" t="s">
        <v>301</v>
      </c>
      <c r="B483" s="123" t="s">
        <v>583</v>
      </c>
    </row>
    <row r="484" spans="1:2" x14ac:dyDescent="0.3">
      <c r="A484" s="122" t="s">
        <v>303</v>
      </c>
      <c r="B484" s="123" t="s">
        <v>583</v>
      </c>
    </row>
    <row r="485" spans="1:2" x14ac:dyDescent="0.3">
      <c r="A485" s="122" t="s">
        <v>305</v>
      </c>
      <c r="B485" s="123" t="s">
        <v>583</v>
      </c>
    </row>
    <row r="486" spans="1:2" x14ac:dyDescent="0.3">
      <c r="A486" s="122" t="s">
        <v>307</v>
      </c>
      <c r="B486" s="123" t="s">
        <v>583</v>
      </c>
    </row>
    <row r="487" spans="1:2" x14ac:dyDescent="0.3">
      <c r="A487" s="122" t="s">
        <v>309</v>
      </c>
      <c r="B487" s="123" t="s">
        <v>583</v>
      </c>
    </row>
    <row r="488" spans="1:2" x14ac:dyDescent="0.3">
      <c r="A488" s="122" t="s">
        <v>311</v>
      </c>
      <c r="B488" s="123" t="s">
        <v>583</v>
      </c>
    </row>
    <row r="489" spans="1:2" x14ac:dyDescent="0.3">
      <c r="A489" s="122" t="s">
        <v>313</v>
      </c>
      <c r="B489" s="123" t="s">
        <v>583</v>
      </c>
    </row>
    <row r="490" spans="1:2" x14ac:dyDescent="0.3">
      <c r="A490" s="122" t="s">
        <v>315</v>
      </c>
      <c r="B490" s="123" t="s">
        <v>583</v>
      </c>
    </row>
    <row r="491" spans="1:2" x14ac:dyDescent="0.3">
      <c r="A491" s="122" t="s">
        <v>317</v>
      </c>
      <c r="B491" s="123" t="s">
        <v>583</v>
      </c>
    </row>
    <row r="492" spans="1:2" x14ac:dyDescent="0.3">
      <c r="A492" s="122" t="s">
        <v>319</v>
      </c>
      <c r="B492" s="123" t="s">
        <v>583</v>
      </c>
    </row>
    <row r="493" spans="1:2" x14ac:dyDescent="0.3">
      <c r="A493" s="122" t="s">
        <v>321</v>
      </c>
      <c r="B493" s="123" t="s">
        <v>583</v>
      </c>
    </row>
    <row r="494" spans="1:2" x14ac:dyDescent="0.3">
      <c r="A494" s="122" t="s">
        <v>323</v>
      </c>
      <c r="B494" s="123" t="s">
        <v>583</v>
      </c>
    </row>
    <row r="495" spans="1:2" x14ac:dyDescent="0.3">
      <c r="A495" s="122" t="s">
        <v>325</v>
      </c>
      <c r="B495" s="123" t="s">
        <v>583</v>
      </c>
    </row>
    <row r="496" spans="1:2" x14ac:dyDescent="0.3">
      <c r="A496" s="122" t="s">
        <v>327</v>
      </c>
      <c r="B496" s="123" t="s">
        <v>583</v>
      </c>
    </row>
    <row r="497" spans="1:2" x14ac:dyDescent="0.3">
      <c r="A497" s="122" t="s">
        <v>329</v>
      </c>
      <c r="B497" s="123" t="s">
        <v>583</v>
      </c>
    </row>
    <row r="498" spans="1:2" x14ac:dyDescent="0.3">
      <c r="A498" s="122" t="s">
        <v>976</v>
      </c>
      <c r="B498" s="123" t="s">
        <v>589</v>
      </c>
    </row>
    <row r="499" spans="1:2" x14ac:dyDescent="0.3">
      <c r="A499" s="122" t="s">
        <v>331</v>
      </c>
      <c r="B499" s="123" t="s">
        <v>589</v>
      </c>
    </row>
    <row r="500" spans="1:2" x14ac:dyDescent="0.3">
      <c r="A500" s="122" t="s">
        <v>333</v>
      </c>
      <c r="B500" s="123" t="s">
        <v>589</v>
      </c>
    </row>
    <row r="501" spans="1:2" x14ac:dyDescent="0.3">
      <c r="A501" s="122" t="s">
        <v>977</v>
      </c>
      <c r="B501" s="123" t="s">
        <v>589</v>
      </c>
    </row>
    <row r="502" spans="1:2" x14ac:dyDescent="0.3">
      <c r="A502" s="122" t="s">
        <v>335</v>
      </c>
      <c r="B502" s="123" t="s">
        <v>589</v>
      </c>
    </row>
    <row r="503" spans="1:2" x14ac:dyDescent="0.3">
      <c r="A503" s="122" t="s">
        <v>978</v>
      </c>
      <c r="B503" s="123" t="s">
        <v>589</v>
      </c>
    </row>
    <row r="504" spans="1:2" x14ac:dyDescent="0.3">
      <c r="A504" s="122" t="s">
        <v>745</v>
      </c>
      <c r="B504" s="123" t="s">
        <v>589</v>
      </c>
    </row>
    <row r="505" spans="1:2" x14ac:dyDescent="0.3">
      <c r="A505" s="122" t="s">
        <v>337</v>
      </c>
      <c r="B505" s="123" t="s">
        <v>589</v>
      </c>
    </row>
    <row r="506" spans="1:2" x14ac:dyDescent="0.3">
      <c r="A506" s="122" t="s">
        <v>341</v>
      </c>
      <c r="B506" s="123" t="s">
        <v>589</v>
      </c>
    </row>
    <row r="507" spans="1:2" x14ac:dyDescent="0.3">
      <c r="A507" s="122" t="s">
        <v>649</v>
      </c>
      <c r="B507" s="123" t="s">
        <v>589</v>
      </c>
    </row>
    <row r="508" spans="1:2" x14ac:dyDescent="0.3">
      <c r="A508" s="122" t="s">
        <v>339</v>
      </c>
      <c r="B508" s="123" t="s">
        <v>589</v>
      </c>
    </row>
    <row r="509" spans="1:2" x14ac:dyDescent="0.3">
      <c r="A509" s="122" t="s">
        <v>344</v>
      </c>
      <c r="B509" s="123" t="s">
        <v>582</v>
      </c>
    </row>
    <row r="510" spans="1:2" x14ac:dyDescent="0.3">
      <c r="A510" s="122" t="s">
        <v>346</v>
      </c>
      <c r="B510" s="123" t="s">
        <v>582</v>
      </c>
    </row>
    <row r="511" spans="1:2" x14ac:dyDescent="0.3">
      <c r="A511" s="122" t="s">
        <v>979</v>
      </c>
      <c r="B511" s="123" t="s">
        <v>582</v>
      </c>
    </row>
    <row r="512" spans="1:2" x14ac:dyDescent="0.3">
      <c r="A512" s="122" t="s">
        <v>348</v>
      </c>
      <c r="B512" s="123" t="s">
        <v>582</v>
      </c>
    </row>
    <row r="513" spans="1:2" x14ac:dyDescent="0.3">
      <c r="A513" s="122" t="s">
        <v>350</v>
      </c>
      <c r="B513" s="123" t="s">
        <v>582</v>
      </c>
    </row>
    <row r="514" spans="1:2" x14ac:dyDescent="0.3">
      <c r="A514" s="122" t="s">
        <v>352</v>
      </c>
      <c r="B514" s="123" t="s">
        <v>582</v>
      </c>
    </row>
    <row r="515" spans="1:2" x14ac:dyDescent="0.3">
      <c r="A515" s="122" t="s">
        <v>754</v>
      </c>
      <c r="B515" s="123" t="s">
        <v>582</v>
      </c>
    </row>
    <row r="516" spans="1:2" x14ac:dyDescent="0.3">
      <c r="A516" s="122" t="s">
        <v>980</v>
      </c>
      <c r="B516" s="123" t="s">
        <v>582</v>
      </c>
    </row>
    <row r="517" spans="1:2" x14ac:dyDescent="0.3">
      <c r="A517" s="122" t="s">
        <v>354</v>
      </c>
      <c r="B517" s="123" t="s">
        <v>582</v>
      </c>
    </row>
    <row r="518" spans="1:2" x14ac:dyDescent="0.3">
      <c r="A518" s="122" t="s">
        <v>356</v>
      </c>
      <c r="B518" s="123" t="s">
        <v>582</v>
      </c>
    </row>
    <row r="519" spans="1:2" x14ac:dyDescent="0.3">
      <c r="A519" s="122" t="s">
        <v>358</v>
      </c>
      <c r="B519" s="123" t="s">
        <v>582</v>
      </c>
    </row>
    <row r="520" spans="1:2" x14ac:dyDescent="0.3">
      <c r="A520" s="122" t="s">
        <v>360</v>
      </c>
      <c r="B520" s="123" t="s">
        <v>582</v>
      </c>
    </row>
    <row r="521" spans="1:2" x14ac:dyDescent="0.3">
      <c r="A521" s="122" t="s">
        <v>362</v>
      </c>
      <c r="B521" s="123" t="s">
        <v>582</v>
      </c>
    </row>
    <row r="522" spans="1:2" x14ac:dyDescent="0.3">
      <c r="A522" s="122" t="s">
        <v>364</v>
      </c>
      <c r="B522" s="123" t="s">
        <v>582</v>
      </c>
    </row>
    <row r="523" spans="1:2" x14ac:dyDescent="0.3">
      <c r="A523" s="122" t="s">
        <v>365</v>
      </c>
      <c r="B523" s="123" t="s">
        <v>582</v>
      </c>
    </row>
    <row r="524" spans="1:2" x14ac:dyDescent="0.3">
      <c r="A524" s="122" t="s">
        <v>981</v>
      </c>
      <c r="B524" s="123" t="s">
        <v>582</v>
      </c>
    </row>
    <row r="525" spans="1:2" x14ac:dyDescent="0.3">
      <c r="A525" s="122" t="s">
        <v>367</v>
      </c>
      <c r="B525" s="123" t="s">
        <v>582</v>
      </c>
    </row>
    <row r="526" spans="1:2" x14ac:dyDescent="0.3">
      <c r="A526" s="122" t="s">
        <v>343</v>
      </c>
      <c r="B526" s="123" t="s">
        <v>582</v>
      </c>
    </row>
    <row r="527" spans="1:2" x14ac:dyDescent="0.3">
      <c r="A527" s="122" t="s">
        <v>982</v>
      </c>
      <c r="B527" s="123" t="s">
        <v>582</v>
      </c>
    </row>
    <row r="528" spans="1:2" x14ac:dyDescent="0.3">
      <c r="A528" s="122" t="s">
        <v>651</v>
      </c>
      <c r="B528" s="123" t="s">
        <v>582</v>
      </c>
    </row>
    <row r="529" spans="1:2" x14ac:dyDescent="0.3">
      <c r="A529" s="122" t="s">
        <v>983</v>
      </c>
      <c r="B529" s="123" t="s">
        <v>582</v>
      </c>
    </row>
    <row r="530" spans="1:2" x14ac:dyDescent="0.3">
      <c r="A530" s="122" t="s">
        <v>984</v>
      </c>
      <c r="B530" s="123" t="s">
        <v>593</v>
      </c>
    </row>
    <row r="531" spans="1:2" x14ac:dyDescent="0.3">
      <c r="A531" s="122" t="s">
        <v>985</v>
      </c>
      <c r="B531" s="123" t="s">
        <v>593</v>
      </c>
    </row>
    <row r="532" spans="1:2" x14ac:dyDescent="0.3">
      <c r="A532" s="122" t="s">
        <v>371</v>
      </c>
      <c r="B532" s="123" t="s">
        <v>593</v>
      </c>
    </row>
    <row r="533" spans="1:2" x14ac:dyDescent="0.3">
      <c r="A533" s="122" t="s">
        <v>369</v>
      </c>
      <c r="B533" s="123" t="s">
        <v>593</v>
      </c>
    </row>
    <row r="534" spans="1:2" x14ac:dyDescent="0.3">
      <c r="A534" s="122" t="s">
        <v>986</v>
      </c>
      <c r="B534" s="123" t="s">
        <v>593</v>
      </c>
    </row>
    <row r="535" spans="1:2" x14ac:dyDescent="0.3">
      <c r="A535" s="122" t="s">
        <v>373</v>
      </c>
      <c r="B535" s="123" t="s">
        <v>593</v>
      </c>
    </row>
    <row r="536" spans="1:2" x14ac:dyDescent="0.3">
      <c r="A536" s="122" t="s">
        <v>987</v>
      </c>
      <c r="B536" s="123" t="s">
        <v>593</v>
      </c>
    </row>
    <row r="537" spans="1:2" x14ac:dyDescent="0.3">
      <c r="A537" s="122" t="s">
        <v>375</v>
      </c>
      <c r="B537" s="123" t="s">
        <v>593</v>
      </c>
    </row>
    <row r="538" spans="1:2" x14ac:dyDescent="0.3">
      <c r="A538" s="122" t="s">
        <v>988</v>
      </c>
      <c r="B538" s="123" t="s">
        <v>576</v>
      </c>
    </row>
    <row r="539" spans="1:2" x14ac:dyDescent="0.3">
      <c r="A539" s="122" t="s">
        <v>377</v>
      </c>
      <c r="B539" s="123" t="s">
        <v>576</v>
      </c>
    </row>
    <row r="540" spans="1:2" x14ac:dyDescent="0.3">
      <c r="A540" s="122" t="s">
        <v>380</v>
      </c>
      <c r="B540" s="123" t="s">
        <v>576</v>
      </c>
    </row>
    <row r="541" spans="1:2" x14ac:dyDescent="0.3">
      <c r="A541" s="122" t="s">
        <v>382</v>
      </c>
      <c r="B541" s="123" t="s">
        <v>576</v>
      </c>
    </row>
    <row r="542" spans="1:2" x14ac:dyDescent="0.3">
      <c r="A542" s="122" t="s">
        <v>384</v>
      </c>
      <c r="B542" s="123" t="s">
        <v>576</v>
      </c>
    </row>
    <row r="543" spans="1:2" x14ac:dyDescent="0.3">
      <c r="A543" s="122" t="s">
        <v>386</v>
      </c>
      <c r="B543" s="123" t="s">
        <v>576</v>
      </c>
    </row>
    <row r="544" spans="1:2" x14ac:dyDescent="0.3">
      <c r="A544" s="122" t="s">
        <v>378</v>
      </c>
      <c r="B544" s="123" t="s">
        <v>576</v>
      </c>
    </row>
    <row r="545" spans="1:2" x14ac:dyDescent="0.3">
      <c r="A545" s="122" t="s">
        <v>388</v>
      </c>
      <c r="B545" s="123" t="s">
        <v>576</v>
      </c>
    </row>
    <row r="546" spans="1:2" x14ac:dyDescent="0.3">
      <c r="A546" s="122" t="s">
        <v>389</v>
      </c>
      <c r="B546" s="123" t="s">
        <v>581</v>
      </c>
    </row>
    <row r="547" spans="1:2" x14ac:dyDescent="0.3">
      <c r="A547" s="122" t="s">
        <v>391</v>
      </c>
      <c r="B547" s="123" t="s">
        <v>581</v>
      </c>
    </row>
    <row r="548" spans="1:2" x14ac:dyDescent="0.3">
      <c r="A548" s="122" t="s">
        <v>393</v>
      </c>
      <c r="B548" s="123" t="s">
        <v>581</v>
      </c>
    </row>
    <row r="549" spans="1:2" x14ac:dyDescent="0.3">
      <c r="A549" s="122" t="s">
        <v>394</v>
      </c>
      <c r="B549" s="123" t="s">
        <v>581</v>
      </c>
    </row>
    <row r="550" spans="1:2" x14ac:dyDescent="0.3">
      <c r="A550" s="122" t="s">
        <v>396</v>
      </c>
      <c r="B550" s="123" t="s">
        <v>581</v>
      </c>
    </row>
    <row r="551" spans="1:2" x14ac:dyDescent="0.3">
      <c r="A551" s="122" t="s">
        <v>989</v>
      </c>
      <c r="B551" s="123" t="s">
        <v>581</v>
      </c>
    </row>
    <row r="552" spans="1:2" x14ac:dyDescent="0.3">
      <c r="A552" s="122" t="s">
        <v>398</v>
      </c>
      <c r="B552" s="123" t="s">
        <v>581</v>
      </c>
    </row>
    <row r="553" spans="1:2" x14ac:dyDescent="0.3">
      <c r="A553" s="122" t="s">
        <v>400</v>
      </c>
      <c r="B553" s="123" t="s">
        <v>581</v>
      </c>
    </row>
    <row r="554" spans="1:2" x14ac:dyDescent="0.3">
      <c r="A554" s="122" t="s">
        <v>402</v>
      </c>
      <c r="B554" s="123" t="s">
        <v>581</v>
      </c>
    </row>
    <row r="555" spans="1:2" x14ac:dyDescent="0.3">
      <c r="A555" s="122" t="s">
        <v>404</v>
      </c>
      <c r="B555" s="123" t="s">
        <v>581</v>
      </c>
    </row>
    <row r="556" spans="1:2" x14ac:dyDescent="0.3">
      <c r="A556" s="122" t="s">
        <v>406</v>
      </c>
      <c r="B556" s="123" t="s">
        <v>581</v>
      </c>
    </row>
    <row r="557" spans="1:2" x14ac:dyDescent="0.3">
      <c r="A557" s="122" t="s">
        <v>408</v>
      </c>
      <c r="B557" s="123" t="s">
        <v>581</v>
      </c>
    </row>
    <row r="558" spans="1:2" x14ac:dyDescent="0.3">
      <c r="A558" s="122" t="s">
        <v>410</v>
      </c>
      <c r="B558" s="123" t="s">
        <v>581</v>
      </c>
    </row>
    <row r="559" spans="1:2" x14ac:dyDescent="0.3">
      <c r="A559" s="122" t="s">
        <v>412</v>
      </c>
      <c r="B559" s="123" t="s">
        <v>581</v>
      </c>
    </row>
    <row r="560" spans="1:2" x14ac:dyDescent="0.3">
      <c r="A560" s="122" t="s">
        <v>414</v>
      </c>
      <c r="B560" s="123" t="s">
        <v>581</v>
      </c>
    </row>
    <row r="561" spans="1:2" x14ac:dyDescent="0.3">
      <c r="A561" s="122" t="s">
        <v>416</v>
      </c>
      <c r="B561" s="123" t="s">
        <v>581</v>
      </c>
    </row>
    <row r="562" spans="1:2" x14ac:dyDescent="0.3">
      <c r="A562" s="122" t="s">
        <v>418</v>
      </c>
      <c r="B562" s="123" t="s">
        <v>581</v>
      </c>
    </row>
    <row r="563" spans="1:2" x14ac:dyDescent="0.3">
      <c r="A563" s="122" t="s">
        <v>419</v>
      </c>
      <c r="B563" s="123" t="s">
        <v>581</v>
      </c>
    </row>
    <row r="564" spans="1:2" x14ac:dyDescent="0.3">
      <c r="A564" s="122" t="s">
        <v>420</v>
      </c>
      <c r="B564" s="123" t="s">
        <v>581</v>
      </c>
    </row>
    <row r="565" spans="1:2" x14ac:dyDescent="0.3">
      <c r="A565" s="122" t="s">
        <v>421</v>
      </c>
      <c r="B565" s="123" t="s">
        <v>581</v>
      </c>
    </row>
    <row r="566" spans="1:2" x14ac:dyDescent="0.3">
      <c r="A566" s="122" t="s">
        <v>422</v>
      </c>
      <c r="B566" s="123" t="s">
        <v>584</v>
      </c>
    </row>
    <row r="567" spans="1:2" x14ac:dyDescent="0.3">
      <c r="A567" s="122" t="s">
        <v>424</v>
      </c>
      <c r="B567" s="123" t="s">
        <v>584</v>
      </c>
    </row>
    <row r="568" spans="1:2" x14ac:dyDescent="0.3">
      <c r="A568" s="122" t="s">
        <v>990</v>
      </c>
      <c r="B568" s="123" t="s">
        <v>584</v>
      </c>
    </row>
    <row r="569" spans="1:2" x14ac:dyDescent="0.3">
      <c r="A569" s="122" t="s">
        <v>426</v>
      </c>
      <c r="B569" s="123" t="s">
        <v>584</v>
      </c>
    </row>
    <row r="570" spans="1:2" x14ac:dyDescent="0.3">
      <c r="A570" s="122" t="s">
        <v>428</v>
      </c>
      <c r="B570" s="123" t="s">
        <v>584</v>
      </c>
    </row>
    <row r="571" spans="1:2" x14ac:dyDescent="0.3">
      <c r="A571" s="122" t="s">
        <v>430</v>
      </c>
      <c r="B571" s="123" t="s">
        <v>584</v>
      </c>
    </row>
    <row r="572" spans="1:2" x14ac:dyDescent="0.3">
      <c r="A572" s="122" t="s">
        <v>991</v>
      </c>
      <c r="B572" s="123" t="s">
        <v>584</v>
      </c>
    </row>
    <row r="573" spans="1:2" x14ac:dyDescent="0.3">
      <c r="A573" s="122" t="s">
        <v>432</v>
      </c>
      <c r="B573" s="123" t="s">
        <v>584</v>
      </c>
    </row>
    <row r="574" spans="1:2" x14ac:dyDescent="0.3">
      <c r="A574" s="122" t="s">
        <v>434</v>
      </c>
      <c r="B574" s="123" t="s">
        <v>586</v>
      </c>
    </row>
    <row r="575" spans="1:2" x14ac:dyDescent="0.3">
      <c r="A575" s="122" t="s">
        <v>436</v>
      </c>
      <c r="B575" s="123" t="s">
        <v>586</v>
      </c>
    </row>
    <row r="576" spans="1:2" x14ac:dyDescent="0.3">
      <c r="A576" s="122" t="s">
        <v>653</v>
      </c>
      <c r="B576" s="123" t="s">
        <v>586</v>
      </c>
    </row>
    <row r="577" spans="1:2" x14ac:dyDescent="0.3">
      <c r="A577" s="122" t="s">
        <v>992</v>
      </c>
      <c r="B577" s="123" t="s">
        <v>586</v>
      </c>
    </row>
    <row r="578" spans="1:2" x14ac:dyDescent="0.3">
      <c r="A578" s="122" t="s">
        <v>438</v>
      </c>
      <c r="B578" s="123" t="s">
        <v>586</v>
      </c>
    </row>
    <row r="579" spans="1:2" x14ac:dyDescent="0.3">
      <c r="A579" s="122" t="s">
        <v>993</v>
      </c>
      <c r="B579" s="123" t="s">
        <v>586</v>
      </c>
    </row>
    <row r="580" spans="1:2" x14ac:dyDescent="0.3">
      <c r="A580" s="122" t="s">
        <v>440</v>
      </c>
      <c r="B580" s="123" t="s">
        <v>586</v>
      </c>
    </row>
    <row r="581" spans="1:2" x14ac:dyDescent="0.3">
      <c r="A581" s="122" t="s">
        <v>442</v>
      </c>
      <c r="B581" s="123" t="s">
        <v>575</v>
      </c>
    </row>
    <row r="582" spans="1:2" x14ac:dyDescent="0.3">
      <c r="A582" s="122" t="s">
        <v>444</v>
      </c>
      <c r="B582" s="123" t="s">
        <v>575</v>
      </c>
    </row>
    <row r="583" spans="1:2" x14ac:dyDescent="0.3">
      <c r="A583" s="122" t="s">
        <v>446</v>
      </c>
      <c r="B583" s="123" t="s">
        <v>575</v>
      </c>
    </row>
    <row r="584" spans="1:2" x14ac:dyDescent="0.3">
      <c r="A584" s="122" t="s">
        <v>448</v>
      </c>
      <c r="B584" s="123" t="s">
        <v>575</v>
      </c>
    </row>
    <row r="585" spans="1:2" x14ac:dyDescent="0.3">
      <c r="A585" s="122" t="s">
        <v>994</v>
      </c>
      <c r="B585" s="123" t="s">
        <v>575</v>
      </c>
    </row>
    <row r="586" spans="1:2" x14ac:dyDescent="0.3">
      <c r="A586" s="122" t="s">
        <v>450</v>
      </c>
      <c r="B586" s="123" t="s">
        <v>575</v>
      </c>
    </row>
    <row r="587" spans="1:2" x14ac:dyDescent="0.3">
      <c r="A587" s="122" t="s">
        <v>452</v>
      </c>
      <c r="B587" s="123" t="s">
        <v>575</v>
      </c>
    </row>
    <row r="588" spans="1:2" x14ac:dyDescent="0.3">
      <c r="A588" s="122" t="s">
        <v>454</v>
      </c>
      <c r="B588" s="123" t="s">
        <v>578</v>
      </c>
    </row>
    <row r="589" spans="1:2" x14ac:dyDescent="0.3">
      <c r="A589" s="122" t="s">
        <v>697</v>
      </c>
      <c r="B589" s="123" t="s">
        <v>578</v>
      </c>
    </row>
    <row r="590" spans="1:2" x14ac:dyDescent="0.3">
      <c r="A590" s="122" t="s">
        <v>458</v>
      </c>
      <c r="B590" s="123" t="s">
        <v>578</v>
      </c>
    </row>
    <row r="591" spans="1:2" x14ac:dyDescent="0.3">
      <c r="A591" s="122" t="s">
        <v>456</v>
      </c>
      <c r="B591" s="123" t="s">
        <v>578</v>
      </c>
    </row>
    <row r="592" spans="1:2" x14ac:dyDescent="0.3">
      <c r="A592" s="122" t="s">
        <v>459</v>
      </c>
      <c r="B592" s="123" t="s">
        <v>578</v>
      </c>
    </row>
    <row r="593" spans="1:2" x14ac:dyDescent="0.3">
      <c r="A593" s="122" t="s">
        <v>461</v>
      </c>
      <c r="B593" s="123" t="s">
        <v>578</v>
      </c>
    </row>
    <row r="594" spans="1:2" x14ac:dyDescent="0.3">
      <c r="A594" s="122" t="s">
        <v>995</v>
      </c>
      <c r="B594" s="123" t="s">
        <v>578</v>
      </c>
    </row>
    <row r="595" spans="1:2" x14ac:dyDescent="0.3">
      <c r="A595" s="122" t="s">
        <v>655</v>
      </c>
      <c r="B595" s="123" t="s">
        <v>578</v>
      </c>
    </row>
    <row r="596" spans="1:2" x14ac:dyDescent="0.3">
      <c r="A596" s="122" t="s">
        <v>463</v>
      </c>
      <c r="B596" s="123" t="s">
        <v>578</v>
      </c>
    </row>
    <row r="597" spans="1:2" x14ac:dyDescent="0.3">
      <c r="A597" s="122" t="s">
        <v>465</v>
      </c>
      <c r="B597" s="123" t="s">
        <v>578</v>
      </c>
    </row>
    <row r="598" spans="1:2" x14ac:dyDescent="0.3">
      <c r="A598" s="122" t="s">
        <v>473</v>
      </c>
      <c r="B598" s="123" t="s">
        <v>578</v>
      </c>
    </row>
    <row r="599" spans="1:2" x14ac:dyDescent="0.3">
      <c r="A599" s="122" t="s">
        <v>467</v>
      </c>
      <c r="B599" s="123" t="s">
        <v>578</v>
      </c>
    </row>
    <row r="600" spans="1:2" x14ac:dyDescent="0.3">
      <c r="A600" s="122" t="s">
        <v>475</v>
      </c>
      <c r="B600" s="123" t="s">
        <v>578</v>
      </c>
    </row>
    <row r="601" spans="1:2" x14ac:dyDescent="0.3">
      <c r="A601" s="122" t="s">
        <v>471</v>
      </c>
      <c r="B601" s="123" t="s">
        <v>578</v>
      </c>
    </row>
    <row r="602" spans="1:2" x14ac:dyDescent="0.3">
      <c r="A602" s="122" t="s">
        <v>469</v>
      </c>
      <c r="B602" s="123" t="s">
        <v>578</v>
      </c>
    </row>
    <row r="603" spans="1:2" x14ac:dyDescent="0.3">
      <c r="A603" s="122" t="s">
        <v>996</v>
      </c>
      <c r="B603" s="123" t="s">
        <v>588</v>
      </c>
    </row>
    <row r="604" spans="1:2" x14ac:dyDescent="0.3">
      <c r="A604" s="122" t="s">
        <v>656</v>
      </c>
      <c r="B604" s="123" t="s">
        <v>588</v>
      </c>
    </row>
    <row r="605" spans="1:2" x14ac:dyDescent="0.3">
      <c r="A605" s="122" t="s">
        <v>480</v>
      </c>
      <c r="B605" s="123" t="s">
        <v>588</v>
      </c>
    </row>
    <row r="606" spans="1:2" x14ac:dyDescent="0.3">
      <c r="A606" s="122" t="s">
        <v>730</v>
      </c>
      <c r="B606" s="123" t="s">
        <v>588</v>
      </c>
    </row>
    <row r="607" spans="1:2" x14ac:dyDescent="0.3">
      <c r="A607" s="122" t="s">
        <v>1004</v>
      </c>
      <c r="B607" s="123" t="s">
        <v>590</v>
      </c>
    </row>
    <row r="608" spans="1:2" x14ac:dyDescent="0.3">
      <c r="A608" s="122" t="s">
        <v>1006</v>
      </c>
      <c r="B608" s="123" t="s">
        <v>590</v>
      </c>
    </row>
    <row r="609" spans="1:2" x14ac:dyDescent="0.3">
      <c r="A609" s="122" t="s">
        <v>1008</v>
      </c>
      <c r="B609" s="123" t="s">
        <v>590</v>
      </c>
    </row>
    <row r="610" spans="1:2" x14ac:dyDescent="0.3">
      <c r="A610" s="122" t="s">
        <v>1102</v>
      </c>
      <c r="B610" s="123" t="s">
        <v>590</v>
      </c>
    </row>
    <row r="611" spans="1:2" x14ac:dyDescent="0.3">
      <c r="A611" s="122" t="s">
        <v>1128</v>
      </c>
      <c r="B611" s="123" t="s">
        <v>590</v>
      </c>
    </row>
    <row r="612" spans="1:2" x14ac:dyDescent="0.3">
      <c r="A612" s="122" t="s">
        <v>549</v>
      </c>
      <c r="B612" s="123" t="s">
        <v>590</v>
      </c>
    </row>
    <row r="613" spans="1:2" x14ac:dyDescent="0.3">
      <c r="A613" s="122" t="s">
        <v>551</v>
      </c>
      <c r="B613" s="123" t="s">
        <v>590</v>
      </c>
    </row>
    <row r="614" spans="1:2" x14ac:dyDescent="0.3">
      <c r="A614" s="122" t="s">
        <v>553</v>
      </c>
      <c r="B614" s="123" t="s">
        <v>590</v>
      </c>
    </row>
    <row r="615" spans="1:2" x14ac:dyDescent="0.3">
      <c r="A615" s="122" t="s">
        <v>555</v>
      </c>
      <c r="B615" s="123" t="s">
        <v>590</v>
      </c>
    </row>
    <row r="616" spans="1:2" x14ac:dyDescent="0.3">
      <c r="A616" s="122" t="s">
        <v>557</v>
      </c>
      <c r="B616" s="123" t="s">
        <v>590</v>
      </c>
    </row>
    <row r="617" spans="1:2" x14ac:dyDescent="0.3">
      <c r="A617" s="122" t="s">
        <v>559</v>
      </c>
      <c r="B617" s="123" t="s">
        <v>590</v>
      </c>
    </row>
    <row r="618" spans="1:2" x14ac:dyDescent="0.3">
      <c r="A618" s="122" t="s">
        <v>561</v>
      </c>
      <c r="B618" s="123" t="s">
        <v>590</v>
      </c>
    </row>
    <row r="619" spans="1:2" x14ac:dyDescent="0.3">
      <c r="A619" s="122" t="s">
        <v>657</v>
      </c>
      <c r="B619" s="123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Ene</vt:lpstr>
      <vt:lpstr>Ene PUV lista</vt:lpstr>
      <vt:lpstr>Feb</vt:lpstr>
      <vt:lpstr>Feb PUV lista</vt:lpstr>
      <vt:lpstr>Mar</vt:lpstr>
      <vt:lpstr>Mar PUV Lista</vt:lpstr>
      <vt:lpstr>Abril</vt:lpstr>
      <vt:lpstr>Totales resumido</vt:lpstr>
      <vt:lpstr>Totales sin resumir</vt:lpstr>
      <vt:lpstr>Totales resumido 2026Vs2025</vt:lpstr>
      <vt:lpstr>Datos sin resumir</vt:lpstr>
      <vt:lpstr>Datos resumido</vt:lpstr>
      <vt:lpstr>Grupos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Bernal</dc:creator>
  <cp:keywords/>
  <dc:description/>
  <cp:lastModifiedBy>Cesar Cuartas</cp:lastModifiedBy>
  <cp:revision/>
  <dcterms:created xsi:type="dcterms:W3CDTF">2025-03-16T17:47:52Z</dcterms:created>
  <dcterms:modified xsi:type="dcterms:W3CDTF">2026-05-19T19:19:53Z</dcterms:modified>
  <cp:category/>
  <cp:contentStatus/>
</cp:coreProperties>
</file>