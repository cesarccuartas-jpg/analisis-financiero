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2.xml" ContentType="application/vnd.openxmlformats-officedocument.drawing+xml"/>
  <Override PartName="/xl/tables/table1.xml" ContentType="application/vnd.openxmlformats-officedocument.spreadsheetml.tab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drawings/drawing3.xml" ContentType="application/vnd.openxmlformats-officedocument.drawing+xml"/>
  <Override PartName="/xl/tables/table2.xml" ContentType="application/vnd.openxmlformats-officedocument.spreadsheetml.tab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4.xml" ContentType="application/vnd.openxmlformats-officedocument.drawing+xml"/>
  <Override PartName="/xl/drawings/drawing5.xml" ContentType="application/vnd.openxmlformats-officedocument.drawing+xml"/>
  <Override PartName="/xl/tables/table3.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hidePivotFieldList="1"/>
  <mc:AlternateContent xmlns:mc="http://schemas.openxmlformats.org/markup-compatibility/2006">
    <mc:Choice Requires="x15">
      <x15ac:absPath xmlns:x15ac="http://schemas.microsoft.com/office/spreadsheetml/2010/11/ac" url="https://tercol585-my.sharepoint.com/personal/cesar_cuartas_tercol_com_co/Documents/Escritorio/"/>
    </mc:Choice>
  </mc:AlternateContent>
  <xr:revisionPtr revIDLastSave="0" documentId="8_{312C2292-24E9-44C7-B0C8-553A909C9285}" xr6:coauthVersionLast="47" xr6:coauthVersionMax="47" xr10:uidLastSave="{00000000-0000-0000-0000-000000000000}"/>
  <bookViews>
    <workbookView xWindow="-108" yWindow="-108" windowWidth="23256" windowHeight="13896" tabRatio="930" xr2:uid="{00000000-000D-0000-FFFF-FFFF00000000}"/>
  </bookViews>
  <sheets>
    <sheet name="Costos de producción" sheetId="3" r:id="rId1"/>
    <sheet name="Con % Variación" sheetId="10" r:id="rId2"/>
    <sheet name="Hoja3" sheetId="11" state="hidden" r:id="rId3"/>
    <sheet name="Personal-MOD" sheetId="7" r:id="rId4"/>
    <sheet name="Personal-MOI" sheetId="17" r:id="rId5"/>
    <sheet name="Análisis Ene" sheetId="23" state="hidden" r:id="rId6"/>
    <sheet name="Análisis Feb" sheetId="24" state="hidden" r:id="rId7"/>
    <sheet name="Análisis Marzo" sheetId="25" state="hidden" r:id="rId8"/>
    <sheet name="Análisis Abril" sheetId="26" r:id="rId9"/>
    <sheet name="Personal MOD" sheetId="5" state="hidden" r:id="rId10"/>
    <sheet name="Personal MOI" sheetId="8" state="hidden" r:id="rId11"/>
    <sheet name="Datos" sheetId="1" state="hidden" r:id="rId12"/>
  </sheets>
  <definedNames>
    <definedName name="_xlnm._FilterDatabase" localSheetId="9" hidden="1">'Personal MOD'!$A$2:$H$6</definedName>
    <definedName name="_xlnm._FilterDatabase" localSheetId="10" hidden="1">'Personal MOI'!$A$2:$H$6</definedName>
  </definedNames>
  <calcPr calcId="191029"/>
  <pivotCaches>
    <pivotCache cacheId="0" r:id="rId13"/>
    <pivotCache cacheId="1" r:id="rId14"/>
  </pivotCaches>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54" i="26" l="1"/>
  <c r="D36" i="26"/>
  <c r="C36" i="26"/>
  <c r="D21" i="26"/>
  <c r="C21" i="26"/>
  <c r="C54" i="26" s="1"/>
  <c r="B21" i="26"/>
  <c r="B54" i="26" s="1"/>
  <c r="H13" i="17"/>
  <c r="I13" i="17" s="1"/>
  <c r="H12" i="17"/>
  <c r="I12" i="17" s="1"/>
  <c r="H11" i="17"/>
  <c r="I11" i="17" s="1"/>
  <c r="H26" i="8"/>
  <c r="H25" i="8"/>
  <c r="H24" i="8"/>
  <c r="H23" i="8"/>
  <c r="H22" i="8"/>
  <c r="H21" i="8"/>
  <c r="H13" i="7"/>
  <c r="I13" i="7" s="1"/>
  <c r="H12" i="7"/>
  <c r="I12" i="7" s="1"/>
  <c r="H11" i="7"/>
  <c r="I11" i="7" s="1"/>
  <c r="H26" i="5"/>
  <c r="H25" i="5"/>
  <c r="H24" i="5"/>
  <c r="H23" i="5"/>
  <c r="H22" i="5"/>
  <c r="H21" i="5"/>
  <c r="N4" i="10"/>
  <c r="M4" i="10"/>
  <c r="L4" i="10"/>
  <c r="N3" i="10"/>
  <c r="M3" i="10"/>
  <c r="L3" i="10"/>
  <c r="F883" i="1"/>
  <c r="F881" i="1"/>
  <c r="F879" i="1"/>
  <c r="F872" i="1"/>
  <c r="F873" i="1"/>
  <c r="D44" i="25"/>
  <c r="D23" i="25"/>
  <c r="C23" i="25"/>
  <c r="D13" i="25" l="1"/>
  <c r="C13" i="25" l="1"/>
  <c r="C44" i="25" s="1"/>
  <c r="B13" i="25"/>
  <c r="B44" i="25" s="1"/>
  <c r="H8" i="17"/>
  <c r="I8" i="17" s="1"/>
  <c r="H9" i="17"/>
  <c r="I9" i="17" s="1"/>
  <c r="H10" i="17"/>
  <c r="I10" i="17" s="1"/>
  <c r="I7" i="17"/>
  <c r="I6" i="17"/>
  <c r="I5" i="17"/>
  <c r="I4" i="17"/>
  <c r="I3" i="17"/>
  <c r="H7" i="17"/>
  <c r="H6" i="17"/>
  <c r="H5" i="17"/>
  <c r="H4" i="17"/>
  <c r="H3" i="17"/>
  <c r="H19" i="8"/>
  <c r="H20" i="8"/>
  <c r="H15" i="8"/>
  <c r="H18" i="8"/>
  <c r="H17" i="8"/>
  <c r="H16" i="8"/>
  <c r="H10" i="7"/>
  <c r="I10" i="7" s="1"/>
  <c r="H9" i="7"/>
  <c r="I9" i="7" s="1"/>
  <c r="H8" i="7"/>
  <c r="I8" i="7" s="1"/>
  <c r="H7" i="7"/>
  <c r="I7" i="7" s="1"/>
  <c r="H6" i="7"/>
  <c r="I6" i="7" s="1"/>
  <c r="H5" i="7"/>
  <c r="I5" i="7" s="1"/>
  <c r="H4" i="7"/>
  <c r="I4" i="7" s="1"/>
  <c r="H3" i="7"/>
  <c r="I3" i="7" s="1"/>
  <c r="H2" i="7"/>
  <c r="H20" i="5"/>
  <c r="H19" i="5"/>
  <c r="H18" i="5"/>
  <c r="H17" i="5"/>
  <c r="H16" i="5"/>
  <c r="H15" i="5"/>
  <c r="O2" i="10" l="1"/>
  <c r="F650" i="1"/>
  <c r="C18" i="24" l="1"/>
  <c r="C47" i="24" s="1"/>
  <c r="B18" i="24"/>
  <c r="B47" i="24" s="1"/>
  <c r="H13" i="8"/>
  <c r="H14" i="8"/>
  <c r="H14" i="5"/>
  <c r="H13" i="5"/>
  <c r="H12" i="5"/>
  <c r="H11" i="5"/>
  <c r="H10" i="5"/>
  <c r="H9" i="5"/>
  <c r="F445" i="1"/>
  <c r="F418" i="1"/>
  <c r="F416" i="1"/>
  <c r="F409" i="1"/>
  <c r="C28" i="23" l="1"/>
  <c r="B28" i="23"/>
  <c r="C14" i="23"/>
  <c r="C40" i="23" s="1"/>
  <c r="B14" i="23"/>
  <c r="B40" i="23" s="1"/>
  <c r="H8" i="8" l="1"/>
  <c r="H7" i="8"/>
  <c r="H8" i="5"/>
  <c r="H7" i="5"/>
  <c r="P4" i="10"/>
  <c r="F199" i="1"/>
  <c r="F197" i="1"/>
  <c r="F189" i="1"/>
  <c r="F57" i="1"/>
  <c r="F122" i="1"/>
  <c r="F124" i="1"/>
  <c r="F146" i="1"/>
  <c r="F148" i="1"/>
  <c r="O4" i="10" l="1"/>
  <c r="P2" i="10"/>
  <c r="P3" i="10" l="1"/>
  <c r="O3" i="10"/>
  <c r="H6" i="8" l="1"/>
  <c r="H5" i="8"/>
  <c r="H6" i="5"/>
  <c r="H5" i="5"/>
  <c r="H3" i="5"/>
  <c r="H4" i="5"/>
  <c r="H2" i="17" l="1"/>
  <c r="I2" i="17" s="1"/>
  <c r="H4" i="8" l="1"/>
  <c r="H3" i="8"/>
  <c r="I2" i="7"/>
</calcChain>
</file>

<file path=xl/sharedStrings.xml><?xml version="1.0" encoding="utf-8"?>
<sst xmlns="http://schemas.openxmlformats.org/spreadsheetml/2006/main" count="3499" uniqueCount="314">
  <si>
    <t>Cuenta</t>
  </si>
  <si>
    <t>Descripcion</t>
  </si>
  <si>
    <t>Año</t>
  </si>
  <si>
    <t>Mes</t>
  </si>
  <si>
    <t>Valor Total</t>
  </si>
  <si>
    <t>SUELDOS</t>
  </si>
  <si>
    <t>HORAS EXTRAS Y RECARGOS</t>
  </si>
  <si>
    <t>INCAPACIDADES</t>
  </si>
  <si>
    <t>AUXILIO DE TRANSPORTE</t>
  </si>
  <si>
    <t>BONIFICACIONES</t>
  </si>
  <si>
    <t>DOTACION PERSONAL-UNIFORME Y CALZADO</t>
  </si>
  <si>
    <t>DOTACION PERSONAL-ELEMENTOS EPP</t>
  </si>
  <si>
    <t>GASTOS MEDICOS Y DROGAS</t>
  </si>
  <si>
    <t>APRENDIZ</t>
  </si>
  <si>
    <t>SUBSIDIO DE TRANSPORTE</t>
  </si>
  <si>
    <t>INDEMNIZACIONES</t>
  </si>
  <si>
    <t>CAPACITACION AL PERSONAL</t>
  </si>
  <si>
    <t>PROCESO DE SELECCION</t>
  </si>
  <si>
    <t>SEGURO BODEGA Y EQUIPOS</t>
  </si>
  <si>
    <t>ASISTENCIA TECNICA</t>
  </si>
  <si>
    <t>ACUEDUCTO Y ALCANTARILLADO</t>
  </si>
  <si>
    <t>ENERGIA ELECTRICA</t>
  </si>
  <si>
    <t>TRANSPORTES, FLETES Y ACARREOS</t>
  </si>
  <si>
    <t>GAS</t>
  </si>
  <si>
    <t>SERVICIO DE FOTOCOPIAS</t>
  </si>
  <si>
    <t>SERVICIO DE POLIGRAFIA</t>
  </si>
  <si>
    <t>OTROS MANTENIMIENTOS OTROS EQUIPOS</t>
  </si>
  <si>
    <t>REPARACIONES LOCATIVAS</t>
  </si>
  <si>
    <t>ELEMENTOS DE ASEO Y CAFETERIA</t>
  </si>
  <si>
    <t>COMBUSTIBLES Y LUBRICANTES</t>
  </si>
  <si>
    <t>CASINO Y RESTAURANTE</t>
  </si>
  <si>
    <t>HERRAMIENTAS</t>
  </si>
  <si>
    <t>DOTACION PERSONAL TEMPORAL</t>
  </si>
  <si>
    <t>SERVICIOS DE PRODUCCION</t>
  </si>
  <si>
    <t>Total 2024</t>
  </si>
  <si>
    <t>Tipo</t>
  </si>
  <si>
    <t>MOD</t>
  </si>
  <si>
    <t>MOI</t>
  </si>
  <si>
    <t>CIF</t>
  </si>
  <si>
    <t>SP</t>
  </si>
  <si>
    <t>Enero</t>
  </si>
  <si>
    <t xml:space="preserve"> Valor total</t>
  </si>
  <si>
    <t>Cifras en miles de pesos</t>
  </si>
  <si>
    <t>TOTAL COSTOS DE PRODUCCIÓN</t>
  </si>
  <si>
    <t>COSTOS DE PRODUCCIÓN TERCOL</t>
  </si>
  <si>
    <t>Total</t>
  </si>
  <si>
    <t>Vinculados</t>
  </si>
  <si>
    <t>MOD-Saitemp</t>
  </si>
  <si>
    <t>MOD-Vinculamos</t>
  </si>
  <si>
    <t>Quincena</t>
  </si>
  <si>
    <t>Año fact</t>
  </si>
  <si>
    <t>Mes fact</t>
  </si>
  <si>
    <t xml:space="preserve"> 2024</t>
  </si>
  <si>
    <t>Total general</t>
  </si>
  <si>
    <t>MOI-Saitemp</t>
  </si>
  <si>
    <t>MOI-Vinculamos</t>
  </si>
  <si>
    <t>FORMULACION DE PROYECTOS</t>
  </si>
  <si>
    <t>Temporales</t>
  </si>
  <si>
    <t>AUXILIOS TEMPORALES</t>
  </si>
  <si>
    <t>AGUINALDOS TEMPORALES</t>
  </si>
  <si>
    <t>EXAMENES MEDICOS</t>
  </si>
  <si>
    <t>ALQUILER DE BODEGAS</t>
  </si>
  <si>
    <t>SERVICIO DE ASEO Y VIGILANCIA</t>
  </si>
  <si>
    <t>PERSONAL TEMPORAL</t>
  </si>
  <si>
    <t>MANTENIM.EQUIPO DE COMPUTO</t>
  </si>
  <si>
    <t>UTILES, PAPELERIA Y OTROS MATERIALES</t>
  </si>
  <si>
    <t>ELEMENTOS DE PROTOCOLO COVID</t>
  </si>
  <si>
    <t>INSUMOS MANTEMIMIENTO</t>
  </si>
  <si>
    <t>LISTA</t>
  </si>
  <si>
    <t>Total 2025</t>
  </si>
  <si>
    <t xml:space="preserve"> 2025</t>
  </si>
  <si>
    <t>Total  2025</t>
  </si>
  <si>
    <t>Total  2024</t>
  </si>
  <si>
    <t>Var% 25Vs24</t>
  </si>
  <si>
    <t>ADQUISICION DE SOFTWARE-LICENCIAS</t>
  </si>
  <si>
    <t>MANO DE OBRA DIRECTA</t>
  </si>
  <si>
    <t>Conclusión MOD</t>
  </si>
  <si>
    <t>MANO DE OBRA INDIRECTA</t>
  </si>
  <si>
    <t>Conclusión MOI</t>
  </si>
  <si>
    <t>Conclusión CIF</t>
  </si>
  <si>
    <t>Conclusión final</t>
  </si>
  <si>
    <t>720506</t>
  </si>
  <si>
    <t>720515</t>
  </si>
  <si>
    <t>720524</t>
  </si>
  <si>
    <t>720527</t>
  </si>
  <si>
    <t>720530</t>
  </si>
  <si>
    <t>720533</t>
  </si>
  <si>
    <t>720536</t>
  </si>
  <si>
    <t>720539</t>
  </si>
  <si>
    <t>720540</t>
  </si>
  <si>
    <t>720546</t>
  </si>
  <si>
    <t>720547</t>
  </si>
  <si>
    <t>720551</t>
  </si>
  <si>
    <t>720552</t>
  </si>
  <si>
    <t>720568</t>
  </si>
  <si>
    <t>720569</t>
  </si>
  <si>
    <t>720570</t>
  </si>
  <si>
    <t>720572</t>
  </si>
  <si>
    <t>730506</t>
  </si>
  <si>
    <t>730508</t>
  </si>
  <si>
    <t>730515</t>
  </si>
  <si>
    <t>730524</t>
  </si>
  <si>
    <t>730527</t>
  </si>
  <si>
    <t>730530</t>
  </si>
  <si>
    <t>730533</t>
  </si>
  <si>
    <t>730536</t>
  </si>
  <si>
    <t>730539</t>
  </si>
  <si>
    <t>730540</t>
  </si>
  <si>
    <t>730546</t>
  </si>
  <si>
    <t>730547</t>
  </si>
  <si>
    <t>730551</t>
  </si>
  <si>
    <t>730552</t>
  </si>
  <si>
    <t>730563</t>
  </si>
  <si>
    <t>730568</t>
  </si>
  <si>
    <t>730569</t>
  </si>
  <si>
    <t>730570</t>
  </si>
  <si>
    <t>730572</t>
  </si>
  <si>
    <t>73109502</t>
  </si>
  <si>
    <t>732010</t>
  </si>
  <si>
    <t>733095</t>
  </si>
  <si>
    <t>733505</t>
  </si>
  <si>
    <t>733510</t>
  </si>
  <si>
    <t>733511</t>
  </si>
  <si>
    <t>733512</t>
  </si>
  <si>
    <t>733515</t>
  </si>
  <si>
    <t>733525</t>
  </si>
  <si>
    <t>733530</t>
  </si>
  <si>
    <t>733550</t>
  </si>
  <si>
    <t>733555</t>
  </si>
  <si>
    <t>73451501</t>
  </si>
  <si>
    <t>73451502</t>
  </si>
  <si>
    <t>73451503</t>
  </si>
  <si>
    <t>73451504</t>
  </si>
  <si>
    <t>73452501</t>
  </si>
  <si>
    <t>735015</t>
  </si>
  <si>
    <t>736005</t>
  </si>
  <si>
    <t>736010</t>
  </si>
  <si>
    <t>736015</t>
  </si>
  <si>
    <t>736020</t>
  </si>
  <si>
    <t>739525</t>
  </si>
  <si>
    <t>739530</t>
  </si>
  <si>
    <t>739560</t>
  </si>
  <si>
    <t>73959501</t>
  </si>
  <si>
    <t>73959510</t>
  </si>
  <si>
    <t>740101</t>
  </si>
  <si>
    <t>Análisis (cifras en miles de pesos)</t>
  </si>
  <si>
    <t>73109508</t>
  </si>
  <si>
    <t>ASESORIA EN COMERCIO EXTERIOR</t>
  </si>
  <si>
    <t>VARIACIONES</t>
  </si>
  <si>
    <t>VS mes anterior</t>
  </si>
  <si>
    <t>Variación</t>
  </si>
  <si>
    <t>Análisis (cifras en miles de pesos)  - variaciones más importantes</t>
  </si>
  <si>
    <t>739520</t>
  </si>
  <si>
    <t>GASTOS DE REPRESENTACION</t>
  </si>
  <si>
    <t>PROVISIONES PRESTACIONES SOCIALES</t>
  </si>
  <si>
    <t>AUXILIOS VINCULADOS</t>
  </si>
  <si>
    <t>AGUINALDOS VINCULADOS</t>
  </si>
  <si>
    <t>APORTES SEGURIDAD SOCIAL</t>
  </si>
  <si>
    <t>MANTENIMIENTOS METALMECANICA</t>
  </si>
  <si>
    <t>MANTENIMIENTOS INYECCION</t>
  </si>
  <si>
    <t>DEPRECIACIONES</t>
  </si>
  <si>
    <t>ARRIENDOS</t>
  </si>
  <si>
    <t>DEMÁS CIF</t>
  </si>
  <si>
    <t>ANÁLISIS CIF</t>
  </si>
  <si>
    <t>TOTAL COSTOS SIN ARRIENDOS</t>
  </si>
  <si>
    <t>Total 2026</t>
  </si>
  <si>
    <t xml:space="preserve"> 2026</t>
  </si>
  <si>
    <t>Var % 25Vs24</t>
  </si>
  <si>
    <t>Var % 26Vs25</t>
  </si>
  <si>
    <t>GyC</t>
  </si>
  <si>
    <t>GyCompromiso</t>
  </si>
  <si>
    <t>MOI-GyC</t>
  </si>
  <si>
    <t>Var.VS Ene año anterior</t>
  </si>
  <si>
    <t>Comparado con diciembre de 2025 presenta un incremento poco significativo, puede ser por el número de personas que en diciembre fueron 106</t>
  </si>
  <si>
    <t>y en enero disminuyeron a 105</t>
  </si>
  <si>
    <t>Con respecto enero del año anterior el incremento se da por el nuevo salario mínimo de 2026</t>
  </si>
  <si>
    <t>AUXILIOS TEMPORALES Y VINCULADOS</t>
  </si>
  <si>
    <t xml:space="preserve">La disminución se presenta porque en años anteriores se ha llevado al costo medio salario que la empresa ha pagado por el cumplimiento en el </t>
  </si>
  <si>
    <t>cierre del año anterior, este año el auxilio del medio salario se ha pagado en febrero por lo tanto se cumple con lo presupuestado</t>
  </si>
  <si>
    <t>Se presenta un incremento de solo el 1.59%, la cantidad de personas disminuye de 137 a 134 (Ene 2026 Vs Dic 2025) y de 138 a 134 (Ene 2026 Vs Ene 2025) que puede ser por las vacaciones del personal temporal</t>
  </si>
  <si>
    <t>aún contando con el incremento del salario mínimo, además como no se contabiliza el medio salario por concepto de auxilio como ha ocurrido en los anteriores anteriores se presenta esta variación poco significativa</t>
  </si>
  <si>
    <t>En diciembre de 2025 fueron 19 y en enero de 2026 disminuye a 18 los empleados temporales y puede ser por vacaciones, comparado con enero</t>
  </si>
  <si>
    <t>del año anterior, el incremento se da porque el número de personas ha pasado de 14 a 18</t>
  </si>
  <si>
    <t>Se presenta un incremento de solo el 3.58% por el incremento de salarios que es a partir de febrero y el medio salario por concepto de auxilio que se ha pagado en febrero y no en enero como ha ocurrido</t>
  </si>
  <si>
    <t>Se aumenta el incremento en los arriendos por agregar las bodegas de la familia y de las señoras a partir de agosto de 2025</t>
  </si>
  <si>
    <t>Con respecto diciembre de 2025 no presenta variación significativa pero con respecto enero del año anterior si por:</t>
  </si>
  <si>
    <t xml:space="preserve"> - El valor de la montacarga que en 2025 fue de $3.454.000 mientras que este año ha sido de $4.668.000, presentando incremento del 35%</t>
  </si>
  <si>
    <t xml:space="preserve"> - Fletes por traida de herramientas y repuesto (servomotor) para las máquinas $1.842.000</t>
  </si>
  <si>
    <t xml:space="preserve"> - Flete pagado al proveedor Cartones América por mercancía que se requería urgente y no tenía transporte $1.950.000</t>
  </si>
  <si>
    <t>El valor de CIF sin tener en cuenta los arrendamientos presentan una disminución del 20.11% y teniendo en cuenta los nuevos arriendos pasa a tener un incremento del 14.86%</t>
  </si>
  <si>
    <t>Var% 26Vs25</t>
  </si>
  <si>
    <t>Se puede ver que los costos de producción (sin arriendos) disminuyen un 4.94% y teniendo en cuenta arriendos incrementan solo el 2.10% lo cual es un buen resultado para el mes</t>
  </si>
  <si>
    <t>SRVICIOS DE PRODUCCIÓN</t>
  </si>
  <si>
    <t>Se comienza a mostrar más la disminución de los servicios de producción de proveedores, en enero solo se contrató servicios con Galvaniquel</t>
  </si>
  <si>
    <t>y Arcoli, no con Proherrajes</t>
  </si>
  <si>
    <t>Febrero</t>
  </si>
  <si>
    <t>IMPUESTO PREDIAL</t>
  </si>
  <si>
    <t>PRORRATEO DE IVA</t>
  </si>
  <si>
    <t>COSTOS DE IMPORTACION</t>
  </si>
  <si>
    <t>730545</t>
  </si>
  <si>
    <t>730584</t>
  </si>
  <si>
    <t>73159504</t>
  </si>
  <si>
    <t>TASA ESPECIAL SEGURIDAD</t>
  </si>
  <si>
    <t>73159505</t>
  </si>
  <si>
    <t>IMPUESTO AL PLASTICO DE UN SOLO USO</t>
  </si>
  <si>
    <t>73359501</t>
  </si>
  <si>
    <t>73359506</t>
  </si>
  <si>
    <t>73451507</t>
  </si>
  <si>
    <t>735515</t>
  </si>
  <si>
    <t>PASAJES AEREOS</t>
  </si>
  <si>
    <t>739535</t>
  </si>
  <si>
    <t>73959504</t>
  </si>
  <si>
    <t>Var.VS Feb año anterior</t>
  </si>
  <si>
    <t>VS acum a Feb año anterior</t>
  </si>
  <si>
    <t>Se presenta un incremento del 12.44% a febrero con respecto el año anterior lo cual es positivo, se da por el incremento del salario mínimo que a la mayoría de los empleados les aplicó, este buen</t>
  </si>
  <si>
    <t xml:space="preserve">Se presenta un incremento que se considera normal con respecto el mes anterior por concepto de horas extras y a febrero del año anterior que puede estar representando en el incremento del salario mínimo que a la mayoría cobijó, en cuanto a cantidad de personas </t>
  </si>
  <si>
    <t>se presenta una disminución  con respecto el mes anterior que por esto se puede dar la disminución de febrero frente a enero</t>
  </si>
  <si>
    <t>El auxilio correspondiente a medio salario por la meta lograda en el segundo semestre de 2025, no fue pagada en enero como ha ocurrido sino en el mes de febrero y por esto se presenta el incremento con respecto el mes anterior y febrero del año anterior,</t>
  </si>
  <si>
    <t xml:space="preserve"> El valor de los auxilios pagados en febrero fue $94 millones mientras que en enero del año anterior fue $75 millones</t>
  </si>
  <si>
    <t>Corresponde a las horas extras, recargos nocturnos y por días festivos laborados por el personal vinculado que a febrero son 30 personas, el incremento en porcentaje es alto pero en valores hasta febrero presenta todavía buen comportamiento</t>
  </si>
  <si>
    <t xml:space="preserve">El incremento se da por la cantidad de personas que pasa a ser 18 cuando a febrero del año pasado fueron 14, se presenta por las vinculaciones </t>
  </si>
  <si>
    <t>realizadas y por el volumen de horas extras y recargos laborados</t>
  </si>
  <si>
    <t>Como ya se mencionó, el auxilio correspondiente a medio salario por la meta lograda en el segundo semestre de 2025, no fue pagada en enero como ha ocurrido sino en el mes de febrero y por esto se presenta el incremento con respecto el mes anterior y febrero del año anterior,</t>
  </si>
  <si>
    <t>pero a febrero 28 se puede ver como se normaliza presentando un incremento que no llega al 10% lo cual es positivo.</t>
  </si>
  <si>
    <t>pero a febrero 28 se puede ver como se normaliza presentando un incremento del 10.38% lo cual es normal.</t>
  </si>
  <si>
    <t xml:space="preserve"> El valor de los auxilios pagados en febrero fue $56 millones mientras que en enero del año anterior fue $42 millones</t>
  </si>
  <si>
    <t>Se presenta un incremento del 11.47% lo cual es positivo y está representado en el aumento de la cantidad de personas, mientras que el año pasado fueron 36 en promedio mes, este año han sido 41 personas</t>
  </si>
  <si>
    <t xml:space="preserve">Se aumenta por el cobro del arriendo de las 3 bodegas de la familia a partir de agosto de 2025, de esta manera se convierte en el costo con </t>
  </si>
  <si>
    <t>mayor incremento con respecto los años anteriores; con respecto el mes anterior la variación corresponde al aumento de los canones a partir</t>
  </si>
  <si>
    <t>de febrero</t>
  </si>
  <si>
    <t>Se contabilizó el servomotor que se compró para la punzonadora 1 por $17 millones y herramientas que fueron consumidas por $6 millones</t>
  </si>
  <si>
    <t>Se compró atornillador por $3.5 M para ensamble</t>
  </si>
  <si>
    <t>El valor de montacargas este año ha sido por $10 millones mientras que el año anterior fue $7 millones presentando incremento del 55%</t>
  </si>
  <si>
    <t>El valor de fletes por la traida de las herramientas de Amada fue de $15 millones mientras que el año pasado no se presentó este costo</t>
  </si>
  <si>
    <t>El valor de CIF sin tener en cuenta los arrendamientos presentan un incremento del 16.87% el cual se considera un aumento normal por cambio de año, lo cual significa que el comportamiento que han tenido los</t>
  </si>
  <si>
    <t>arrendamientos son la principal razón del aumento de los costos de producción</t>
  </si>
  <si>
    <t>comportamiento también se da porque se presenta una disminución en la cantidad de personas, disminuye 8 con respecto el año anterior y 2 con respecto el mes anterior y se debe tener presente que el incremento</t>
  </si>
  <si>
    <t>de salarios fue a partir de febrero como ha ocurrido pero el costo quedará en marzo con el retroactivo</t>
  </si>
  <si>
    <t>y se debe tener presente que el incremento de salarios fue a partir de febrero como ha ocurrido pero el costo quedará en marzo con el retroactivo</t>
  </si>
  <si>
    <t>La variación con respecto el mes anterior es porque en enero no se pidió servicios a terceros y se comenzó a partir de febrero</t>
  </si>
  <si>
    <t>muestra un comportamiento parecido a febrero del año anterior pero muestra importante disminución con respecto a febrero de 2025</t>
  </si>
  <si>
    <t>Se puede ver que los costos de producción (sin arriendos) aumentan un 11.48% siendo este un incremento normal por cambio de año pero al agregar los arriendos de la familia que comenzaron en agosto de 2025</t>
  </si>
  <si>
    <t>el incremento total pasa a ser del 18.50% a febrero.  Los costos de enero presentan un incremento del 2.10% como se puede ver pero en el mes de febrero el incremento pasa a ser del 35.11% sobre todo  en CIF</t>
  </si>
  <si>
    <t>por lo explicado anteriormente</t>
  </si>
  <si>
    <t xml:space="preserve">                                         Enero</t>
  </si>
  <si>
    <t>Marzo</t>
  </si>
  <si>
    <t>INSUMOS LOCATIVOS</t>
  </si>
  <si>
    <t>720560</t>
  </si>
  <si>
    <t>730560</t>
  </si>
  <si>
    <t>731515</t>
  </si>
  <si>
    <t>73159503</t>
  </si>
  <si>
    <t>73959511</t>
  </si>
  <si>
    <t>Var.VS Mar año anterior</t>
  </si>
  <si>
    <t>VS acum a Mar año anterior</t>
  </si>
  <si>
    <t>El incremento del mes Vs mes anterior y Vs marzo del año anterior se da principalmente por el incremento des salario mínimo desde enero</t>
  </si>
  <si>
    <t xml:space="preserve">y el incremento de salarios que hizo la empresa a partir de febrero pero que fue pagado con retroactivo en marzo por valor de $13 millones </t>
  </si>
  <si>
    <t>más prestaciones sociales y administración que cobran las temporales</t>
  </si>
  <si>
    <t>La cantidad de personas este año ha disminuido a 103 en promedio por mes mientras que el año pasado fue de 106 personas en promedio mes</t>
  </si>
  <si>
    <t xml:space="preserve">Se presenta un incremento del 10.92% a marzo con respecto el año anterior lo cual es positivo para el control de los costos, se da por el incremento del salario mínimo que a la mayoría de los empleados les aplicó, </t>
  </si>
  <si>
    <t>esto se da por por la disminución en la cantidad de personas, este año en promedio entre vinculados y temporales han sido de 132 personas por mes, mientras que en el año anterior el promedio fue de 138</t>
  </si>
  <si>
    <t>138 personas por mes</t>
  </si>
  <si>
    <t>El incremento se da por la cantidad de personas que pasan a ser promedio 19 por mes mientras que el año pasado fue 13 personas por mes</t>
  </si>
  <si>
    <t>para fortalecer las áreas de logística, innovación, mantenimiento y calidad, también por el incremento de salarios y de horas extras festivas</t>
  </si>
  <si>
    <t>Se presenta un incremento del 20,30% que se considera controlado, teniendo en cuenta que se presenta aumento en la cantidad de personas, mientras que el año pasado fueron 36 en promedio mes,  este año</t>
  </si>
  <si>
    <t>también por el retroactivo de salarios pagado en marzo que fue por $13 millones más prestaciones</t>
  </si>
  <si>
    <t>han sido 41 personas en promedio cada mes, como el incremento de salarios fue a partir de febrero pero pagado el retroactivo en el mes de marzo por $13 millones más prestaciones</t>
  </si>
  <si>
    <t>Aumenta por reforma de moldes pagado a Ideas Técnicas por $52 millones (molde proyecto 225A $43 millones y molde caja oct 8 $9 millones)</t>
  </si>
  <si>
    <t>El valor de montacargas este año ha sido por $16 millones mientras que el año anterior fue $11 millones presentando un incremento del 45%</t>
  </si>
  <si>
    <t>se da por el volumen de importaciones que han llegado este año</t>
  </si>
  <si>
    <t xml:space="preserve">El valor de fletes por la traida de las herramientas de Amada fue por  $15 millones en febrero mientras que el año pasado se presentó </t>
  </si>
  <si>
    <t>fue en marzo por $8 millones</t>
  </si>
  <si>
    <t>Corresponde a la bodega de Tercol 56-26 que incrementó de esta manera para este año, casi un 50% como se puede ver</t>
  </si>
  <si>
    <t>Corresponde a un costo nuevo de este año y es la tasa de seguridad cobrado por la Gobernación con base en el consumo de energía de cada</t>
  </si>
  <si>
    <t>bodega</t>
  </si>
  <si>
    <t>El valor de CIF sin tener en cuenta los arrendamientos presentan un incremento del 14.39% el cual se considera un aumento normal por cambio de año, se demuestra control en los costos y los que se presentan</t>
  </si>
  <si>
    <t>nuevos se han presupuestado</t>
  </si>
  <si>
    <t xml:space="preserve">Corresponde a los servicios contratados con Arcoli, Proherrajes y Galvaniquel, presentan un comportamiento más controlado por las </t>
  </si>
  <si>
    <t>importaciones y se puede ver que no se presenta a marzo con respecto el año anterior</t>
  </si>
  <si>
    <t>Se puede ver que los costos de producción (sin arriendos) aumentan un 13.48% siendo este un incremento normal por cambio de año y agregando los arriendos de la familia que comenzaron en agosto de 2025</t>
  </si>
  <si>
    <t>el incremento total pasa a ser del 20.24% a marzo que no se considera alto teniendo en cuenta los incrementos de salarios y de horas extras festivas</t>
  </si>
  <si>
    <t>Abril</t>
  </si>
  <si>
    <t>SERVICIO LAVADO DOTACION</t>
  </si>
  <si>
    <t>73109506</t>
  </si>
  <si>
    <t>AUDITORIA DE RECERTIFICACION</t>
  </si>
  <si>
    <t>Var.VS Abr año anterior</t>
  </si>
  <si>
    <t>VS acum a Abr año anterior</t>
  </si>
  <si>
    <t>Los incrementos se presentan principalmente por el aumento del salario desde enero porque la mayoría del  personal temporal comenzó de una</t>
  </si>
  <si>
    <t>HORAS EXTRAS Y RECARGOS VINCULADOS</t>
  </si>
  <si>
    <t xml:space="preserve">vez con el nuevo salario mínimo que a partir de marzo se aumenta con los salarios autorizados por proceso, las horas extras también se han </t>
  </si>
  <si>
    <t>aumentado por el trabajo los días domingos, en cuanto al personal se puede ver que ha disminuido, este año han sido 103 el promedio por mes</t>
  </si>
  <si>
    <t>mientras que el año pasado fue de 105.  El aumento a abril del 18.21% no se ve alto pero tiene que ver con la disminución de personas</t>
  </si>
  <si>
    <t>Se puede ver como se presenta incremento con respecto el mes anterior y abril del año anterior del personal vinculado por el trabajo de los</t>
  </si>
  <si>
    <t xml:space="preserve">domingos teniendo en cuenta que el personal también ha disminuido, la cantidad en promedio por mes ha sido 29 personas mientras que el </t>
  </si>
  <si>
    <t>año pasado fueron en promedio 33</t>
  </si>
  <si>
    <t>Se puede ver que los costos de MOD del mes se incrementan por la dotación que en abril fue por $16 millones mientras que el año pasado este</t>
  </si>
  <si>
    <t>costo fue contabilizado en mayo de 2025 por lo tanto hace que se presente una variación grande con respecto el año anterior</t>
  </si>
  <si>
    <t xml:space="preserve">Se presenta un incremento del 14.78% a abril con respecto el año anterior lo cual es positivo para el control de los costos, se da por el incremento del salario mínimo que a la mayoría de los empleados les aplicó, </t>
  </si>
  <si>
    <t>esto se da por por la disminución en la cantidad de personas, este año en promedio entre vinculados y temporales han sido de 132 personas por mes, mientras que en el año anterior el promedio fue de 137</t>
  </si>
  <si>
    <t>personas por mes</t>
  </si>
  <si>
    <t>El valor no es tan representativo pero si el porcentaje y es para mostrar que también en el persnal indirecto vinculado se presenta incremento</t>
  </si>
  <si>
    <t>por el trabajo en los días festivos</t>
  </si>
  <si>
    <t>Pasa lo mismo que en MOD, es un costo que en 2025 fue contabilizado en el mes de mayo lo que hizo incrementar los costos hasta abril  y</t>
  </si>
  <si>
    <t>arrojar un incremento alto frente el mes  y el año anterior</t>
  </si>
  <si>
    <t>Se presenta un incremento del 24,51% que todavía se considera controlado, teniendo en cuenta que se presenta aumento en la cantidad de personas, mientras que el año pasado fueron 36 en promedio mes,  este año</t>
  </si>
  <si>
    <t>han sido 42 personas en promedio cada mes</t>
  </si>
  <si>
    <t xml:space="preserve">Aumenta por reforma de molde BSC225T con Ideas Técnicas por $36 millones - repuesto comprado a Amada para la punzonadora $5 millones - </t>
  </si>
  <si>
    <t xml:space="preserve">Mantenimiento PZ-01 y PZ-02 por casi $11 millones con Aeromaquinados - rodamientos matenimiento de eje para PZ-01 por $4 millones </t>
  </si>
  <si>
    <t xml:space="preserve">Se contabilizan en abril  herramientas de Amada consumidas en las punzonadoras por casi $13 millones - servicio de ensamble de troquel lateral </t>
  </si>
  <si>
    <t xml:space="preserve">Trif 225A por $22 millones </t>
  </si>
  <si>
    <t>del año pasado el costo de la montacarga fue $4 millones</t>
  </si>
  <si>
    <t>Se contabilizan los fletes de las importaciones de herramientas de Amada por $5 millones - montacarga $5 millones mientras que en abril</t>
  </si>
  <si>
    <t>Se contabiliza seguimiento al certificado de cajas metálicas por este valor de casi $9 millones</t>
  </si>
  <si>
    <t>El valor de CIF sin tener en cuenta los arrendamientos presentan un incremento del 23.25%, se puede ver que se da por el aumento de costos de mantenimiento por las reformas, las herramientas y el transporte</t>
  </si>
  <si>
    <t>El incremento se presenta principalmente por los servicios con Arcoli y Proherrajes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</si>
</sst>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164" formatCode="_-* #,##0_-;\-* #,##0_-;_-* &quot;-&quot;_-;_-@_-"/>
    <numFmt numFmtId="165" formatCode="_-* #,##0.00_-;\-* #,##0.00_-;_-* &quot;-&quot;??_-;_-@_-"/>
    <numFmt numFmtId="166" formatCode="_-* #,##0_-;\-* #,##0_-;_-* &quot;-&quot;??_-;_-@_-"/>
    <numFmt numFmtId="167" formatCode="_-&quot;$&quot;\ * #,##0_-;\-&quot;$&quot;\ * #,##0_-;_-&quot;$&quot;\ * &quot;-&quot;??_-;_-@_-"/>
    <numFmt numFmtId="168" formatCode="#,##0_ ;[Red]\-#,##0\ "/>
  </numFmts>
  <fonts count="14" x14ac:knownFonts="1">
    <font>
      <sz val="11"/>
      <color theme="1"/>
      <name val="Calibri"/>
      <family val="2"/>
      <scheme val="minor"/>
    </font>
    <font>
      <sz val="8"/>
      <color rgb="FF000000"/>
      <name val="Tahoma"/>
      <family val="2"/>
    </font>
    <font>
      <b/>
      <sz val="11"/>
      <color theme="1"/>
      <name val="Calibri"/>
      <family val="2"/>
      <scheme val="minor"/>
    </font>
    <font>
      <sz val="11"/>
      <color theme="1"/>
      <name val="Calibri"/>
      <family val="2"/>
      <scheme val="minor"/>
    </font>
    <font>
      <b/>
      <sz val="11"/>
      <color theme="0"/>
      <name val="Calibri"/>
      <family val="2"/>
      <scheme val="minor"/>
    </font>
    <font>
      <b/>
      <sz val="11"/>
      <color theme="4" tint="-0.249977111117893"/>
      <name val="Calibri"/>
      <family val="2"/>
      <scheme val="minor"/>
    </font>
    <font>
      <sz val="8"/>
      <name val="Calibri"/>
      <family val="2"/>
      <scheme val="minor"/>
    </font>
    <font>
      <b/>
      <sz val="12"/>
      <color theme="1"/>
      <name val="Calibri"/>
      <family val="2"/>
      <scheme val="minor"/>
    </font>
    <font>
      <b/>
      <sz val="14"/>
      <color theme="1"/>
      <name val="Calibri"/>
      <family val="2"/>
      <scheme val="minor"/>
    </font>
    <font>
      <sz val="14"/>
      <color theme="1"/>
      <name val="Calibri"/>
      <family val="2"/>
      <scheme val="minor"/>
    </font>
    <font>
      <sz val="11"/>
      <color theme="0"/>
      <name val="Calibri"/>
      <family val="2"/>
      <scheme val="minor"/>
    </font>
    <font>
      <b/>
      <sz val="11"/>
      <color rgb="FFFF0000"/>
      <name val="Calibri"/>
      <family val="2"/>
      <scheme val="minor"/>
    </font>
    <font>
      <b/>
      <sz val="10"/>
      <color theme="1"/>
      <name val="Calibri"/>
      <family val="2"/>
      <scheme val="minor"/>
    </font>
    <font>
      <sz val="10"/>
      <color theme="1"/>
      <name val="Calibri"/>
      <family val="2"/>
      <scheme val="minor"/>
    </font>
  </fonts>
  <fills count="11">
    <fill>
      <patternFill patternType="none"/>
    </fill>
    <fill>
      <patternFill patternType="gray125"/>
    </fill>
    <fill>
      <patternFill patternType="solid">
        <fgColor rgb="FFF0F0F0"/>
      </patternFill>
    </fill>
    <fill>
      <patternFill patternType="solid">
        <fgColor rgb="FFFFF7EC"/>
      </patternFill>
    </fill>
    <fill>
      <patternFill patternType="solid">
        <fgColor rgb="FFFFF7EC"/>
        <bgColor indexed="64"/>
      </patternFill>
    </fill>
    <fill>
      <patternFill patternType="solid">
        <fgColor theme="4" tint="0.79998168889431442"/>
        <bgColor theme="4" tint="0.79998168889431442"/>
      </patternFill>
    </fill>
    <fill>
      <patternFill patternType="solid">
        <fgColor rgb="FFF0F0F0"/>
        <bgColor indexed="64"/>
      </patternFill>
    </fill>
    <fill>
      <patternFill patternType="solid">
        <fgColor theme="4" tint="0.59999389629810485"/>
        <bgColor indexed="64"/>
      </patternFill>
    </fill>
    <fill>
      <patternFill patternType="solid">
        <fgColor theme="2" tint="-9.9978637043366805E-2"/>
        <bgColor indexed="64"/>
      </patternFill>
    </fill>
    <fill>
      <patternFill patternType="solid">
        <fgColor rgb="FFC00000"/>
        <bgColor indexed="64"/>
      </patternFill>
    </fill>
    <fill>
      <patternFill patternType="solid">
        <fgColor theme="4" tint="0.79998168889431442"/>
        <bgColor indexed="64"/>
      </patternFill>
    </fill>
  </fills>
  <borders count="25">
    <border>
      <left/>
      <right/>
      <top/>
      <bottom/>
      <diagonal/>
    </border>
    <border>
      <left style="thin">
        <color rgb="FF808080"/>
      </left>
      <right style="thin">
        <color rgb="FF808080"/>
      </right>
      <top style="thin">
        <color rgb="FF808080"/>
      </top>
      <bottom/>
      <diagonal/>
    </border>
    <border>
      <left style="thin">
        <color rgb="FF808080"/>
      </left>
      <right style="thin">
        <color rgb="FF808080"/>
      </right>
      <top/>
      <bottom style="thin">
        <color rgb="FF808080"/>
      </bottom>
      <diagonal/>
    </border>
    <border>
      <left/>
      <right style="thin">
        <color rgb="FF808080"/>
      </right>
      <top/>
      <bottom style="thin">
        <color rgb="FF808080"/>
      </bottom>
      <diagonal/>
    </border>
    <border>
      <left style="thin">
        <color rgb="FF808080"/>
      </left>
      <right/>
      <top style="thin">
        <color rgb="FF808080"/>
      </top>
      <bottom style="thin">
        <color rgb="FF808080"/>
      </bottom>
      <diagonal/>
    </border>
    <border>
      <left style="thin">
        <color rgb="FF808080"/>
      </left>
      <right/>
      <top/>
      <bottom style="thin">
        <color rgb="FF808080"/>
      </bottom>
      <diagonal/>
    </border>
    <border>
      <left/>
      <right/>
      <top/>
      <bottom style="thin">
        <color theme="4" tint="0.39997558519241921"/>
      </bottom>
      <diagonal/>
    </border>
    <border>
      <left style="thin">
        <color rgb="FF808080"/>
      </left>
      <right/>
      <top style="thin">
        <color rgb="FF808080"/>
      </top>
      <bottom/>
      <diagonal/>
    </border>
    <border>
      <left/>
      <right style="thin">
        <color rgb="FF808080"/>
      </right>
      <top/>
      <bottom/>
      <diagonal/>
    </border>
    <border>
      <left style="thin">
        <color rgb="FF808080"/>
      </left>
      <right style="thin">
        <color rgb="FF808080"/>
      </right>
      <top/>
      <bottom/>
      <diagonal/>
    </border>
    <border>
      <left/>
      <right/>
      <top/>
      <bottom style="thin">
        <color indexed="64"/>
      </bottom>
      <diagonal/>
    </border>
    <border>
      <left/>
      <right style="thin">
        <color indexed="64"/>
      </right>
      <top/>
      <bottom/>
      <diagonal/>
    </border>
    <border>
      <left/>
      <right style="thin">
        <color indexed="64"/>
      </right>
      <top/>
      <bottom style="thin">
        <color indexed="64"/>
      </bottom>
      <diagonal/>
    </border>
    <border>
      <left style="thin">
        <color indexed="64"/>
      </left>
      <right/>
      <top/>
      <bottom style="thin">
        <color indexed="64"/>
      </bottom>
      <diagonal/>
    </border>
    <border>
      <left style="thin">
        <color rgb="FF808080"/>
      </left>
      <right style="thin">
        <color rgb="FF808080"/>
      </right>
      <top style="thin">
        <color rgb="FF808080"/>
      </top>
      <bottom style="thin">
        <color rgb="FF808080"/>
      </bottom>
      <diagonal/>
    </border>
    <border>
      <left style="thin">
        <color indexed="64"/>
      </left>
      <right/>
      <top/>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s>
  <cellStyleXfs count="3">
    <xf numFmtId="0" fontId="0" fillId="0" borderId="0"/>
    <xf numFmtId="165" fontId="3" fillId="0" borderId="0" applyFont="0" applyFill="0" applyBorder="0" applyAlignment="0" applyProtection="0"/>
    <xf numFmtId="9" fontId="3" fillId="0" borderId="0" applyFont="0" applyFill="0" applyBorder="0" applyAlignment="0" applyProtection="0"/>
  </cellStyleXfs>
  <cellXfs count="98">
    <xf numFmtId="0" fontId="0" fillId="0" borderId="0" xfId="0"/>
    <xf numFmtId="49" fontId="1" fillId="2" borderId="1" xfId="0" applyNumberFormat="1" applyFont="1" applyFill="1" applyBorder="1" applyAlignment="1">
      <alignment horizontal="left" vertical="center" readingOrder="1"/>
    </xf>
    <xf numFmtId="0" fontId="1" fillId="2" borderId="1" xfId="0" applyFont="1" applyFill="1" applyBorder="1" applyAlignment="1">
      <alignment horizontal="left" vertical="center" readingOrder="1"/>
    </xf>
    <xf numFmtId="49" fontId="1" fillId="2" borderId="2" xfId="0" applyNumberFormat="1" applyFont="1" applyFill="1" applyBorder="1" applyAlignment="1">
      <alignment horizontal="left" vertical="center" readingOrder="1"/>
    </xf>
    <xf numFmtId="49" fontId="1" fillId="2" borderId="3" xfId="0" applyNumberFormat="1" applyFont="1" applyFill="1" applyBorder="1" applyAlignment="1">
      <alignment horizontal="left" vertical="center" readingOrder="1"/>
    </xf>
    <xf numFmtId="0" fontId="2" fillId="0" borderId="0" xfId="0" applyFont="1"/>
    <xf numFmtId="0" fontId="2" fillId="0" borderId="0" xfId="0" applyFont="1" applyAlignment="1">
      <alignment horizontal="center"/>
    </xf>
    <xf numFmtId="0" fontId="2" fillId="0" borderId="0" xfId="0" pivotButton="1" applyFont="1"/>
    <xf numFmtId="0" fontId="4" fillId="0" borderId="0" xfId="0" applyFont="1"/>
    <xf numFmtId="0" fontId="4" fillId="0" borderId="0" xfId="0" applyFont="1" applyAlignment="1">
      <alignment horizontal="center"/>
    </xf>
    <xf numFmtId="0" fontId="5" fillId="0" borderId="0" xfId="0" applyFont="1"/>
    <xf numFmtId="165" fontId="0" fillId="0" borderId="0" xfId="1" applyFont="1"/>
    <xf numFmtId="166" fontId="0" fillId="0" borderId="0" xfId="1" applyNumberFormat="1" applyFont="1"/>
    <xf numFmtId="166" fontId="0" fillId="0" borderId="0" xfId="1" applyNumberFormat="1" applyFont="1" applyFill="1"/>
    <xf numFmtId="1" fontId="0" fillId="0" borderId="0" xfId="1" applyNumberFormat="1" applyFont="1"/>
    <xf numFmtId="10" fontId="0" fillId="0" borderId="0" xfId="0" applyNumberFormat="1"/>
    <xf numFmtId="167" fontId="0" fillId="0" borderId="0" xfId="0" applyNumberFormat="1"/>
    <xf numFmtId="0" fontId="0" fillId="0" borderId="0" xfId="0" pivotButton="1" applyAlignment="1">
      <alignment horizontal="center" vertical="center"/>
    </xf>
    <xf numFmtId="164" fontId="0" fillId="0" borderId="0" xfId="1" applyNumberFormat="1" applyFont="1"/>
    <xf numFmtId="10" fontId="0" fillId="0" borderId="0" xfId="2" applyNumberFormat="1" applyFont="1"/>
    <xf numFmtId="164" fontId="0" fillId="0" borderId="0" xfId="0" applyNumberFormat="1"/>
    <xf numFmtId="1" fontId="0" fillId="0" borderId="0" xfId="0" applyNumberFormat="1"/>
    <xf numFmtId="0" fontId="0" fillId="0" borderId="0" xfId="0" applyAlignment="1">
      <alignment horizontal="center"/>
    </xf>
    <xf numFmtId="49" fontId="1" fillId="6" borderId="8" xfId="0" applyNumberFormat="1" applyFont="1" applyFill="1" applyBorder="1" applyAlignment="1">
      <alignment horizontal="left" vertical="center" readingOrder="1"/>
    </xf>
    <xf numFmtId="49" fontId="1" fillId="6" borderId="9" xfId="0" applyNumberFormat="1" applyFont="1" applyFill="1" applyBorder="1" applyAlignment="1">
      <alignment horizontal="left" vertical="center" readingOrder="1"/>
    </xf>
    <xf numFmtId="165" fontId="1" fillId="2" borderId="5" xfId="1" applyFont="1" applyFill="1" applyBorder="1" applyAlignment="1">
      <alignment horizontal="left" vertical="center" readingOrder="1"/>
    </xf>
    <xf numFmtId="165" fontId="1" fillId="3" borderId="4" xfId="1" applyFont="1" applyFill="1" applyBorder="1" applyAlignment="1">
      <alignment horizontal="right" vertical="center" readingOrder="1"/>
    </xf>
    <xf numFmtId="165" fontId="1" fillId="4" borderId="4" xfId="1" applyFont="1" applyFill="1" applyBorder="1" applyAlignment="1">
      <alignment horizontal="right" vertical="center" readingOrder="1"/>
    </xf>
    <xf numFmtId="165" fontId="1" fillId="4" borderId="7" xfId="1" applyFont="1" applyFill="1" applyBorder="1" applyAlignment="1">
      <alignment horizontal="right" vertical="center" readingOrder="1"/>
    </xf>
    <xf numFmtId="49" fontId="1" fillId="2" borderId="8" xfId="0" applyNumberFormat="1" applyFont="1" applyFill="1" applyBorder="1" applyAlignment="1">
      <alignment horizontal="left" vertical="center" readingOrder="1"/>
    </xf>
    <xf numFmtId="49" fontId="1" fillId="6" borderId="1" xfId="0" applyNumberFormat="1" applyFont="1" applyFill="1" applyBorder="1" applyAlignment="1">
      <alignment horizontal="left" vertical="center" readingOrder="1"/>
    </xf>
    <xf numFmtId="49" fontId="1" fillId="2" borderId="9" xfId="0" applyNumberFormat="1" applyFont="1" applyFill="1" applyBorder="1" applyAlignment="1">
      <alignment horizontal="left" vertical="center" readingOrder="1"/>
    </xf>
    <xf numFmtId="0" fontId="1" fillId="2" borderId="9" xfId="0" applyFont="1" applyFill="1" applyBorder="1" applyAlignment="1">
      <alignment horizontal="left" vertical="center" readingOrder="1"/>
    </xf>
    <xf numFmtId="165" fontId="1" fillId="3" borderId="7" xfId="1" applyFont="1" applyFill="1" applyBorder="1" applyAlignment="1">
      <alignment horizontal="right" vertical="center" readingOrder="1"/>
    </xf>
    <xf numFmtId="0" fontId="0" fillId="0" borderId="0" xfId="0" applyAlignment="1">
      <alignment horizontal="center" vertical="center"/>
    </xf>
    <xf numFmtId="165" fontId="0" fillId="0" borderId="0" xfId="0" applyNumberFormat="1"/>
    <xf numFmtId="166" fontId="2" fillId="0" borderId="0" xfId="1" applyNumberFormat="1" applyFont="1"/>
    <xf numFmtId="0" fontId="0" fillId="0" borderId="0" xfId="0" applyAlignment="1">
      <alignment wrapText="1"/>
    </xf>
    <xf numFmtId="0" fontId="0" fillId="0" borderId="0" xfId="0" applyAlignment="1">
      <alignment horizontal="left" wrapText="1"/>
    </xf>
    <xf numFmtId="0" fontId="2" fillId="7" borderId="0" xfId="0" applyFont="1" applyFill="1" applyAlignment="1">
      <alignment horizontal="center"/>
    </xf>
    <xf numFmtId="0" fontId="2" fillId="7" borderId="0" xfId="0" applyFont="1" applyFill="1" applyAlignment="1">
      <alignment horizontal="center" wrapText="1"/>
    </xf>
    <xf numFmtId="0" fontId="0" fillId="8" borderId="0" xfId="0" applyFill="1"/>
    <xf numFmtId="0" fontId="0" fillId="8" borderId="0" xfId="0" applyFill="1" applyAlignment="1">
      <alignment wrapText="1"/>
    </xf>
    <xf numFmtId="0" fontId="7" fillId="8" borderId="0" xfId="0" applyFont="1" applyFill="1"/>
    <xf numFmtId="0" fontId="2" fillId="8" borderId="0" xfId="0" applyFont="1" applyFill="1"/>
    <xf numFmtId="0" fontId="2" fillId="8" borderId="0" xfId="0" applyFont="1" applyFill="1" applyAlignment="1">
      <alignment wrapText="1"/>
    </xf>
    <xf numFmtId="0" fontId="8" fillId="7" borderId="0" xfId="0" applyFont="1" applyFill="1"/>
    <xf numFmtId="0" fontId="9" fillId="0" borderId="0" xfId="0" applyFont="1"/>
    <xf numFmtId="166" fontId="9" fillId="0" borderId="0" xfId="1" applyNumberFormat="1" applyFont="1"/>
    <xf numFmtId="165" fontId="2" fillId="0" borderId="0" xfId="1" applyFont="1" applyAlignment="1">
      <alignment horizontal="center"/>
    </xf>
    <xf numFmtId="165" fontId="0" fillId="0" borderId="0" xfId="1" applyFont="1" applyAlignment="1">
      <alignment horizontal="center"/>
    </xf>
    <xf numFmtId="168" fontId="0" fillId="0" borderId="0" xfId="1" applyNumberFormat="1" applyFont="1"/>
    <xf numFmtId="10" fontId="2" fillId="0" borderId="0" xfId="2" applyNumberFormat="1" applyFont="1"/>
    <xf numFmtId="0" fontId="2" fillId="0" borderId="0" xfId="0" applyFont="1" applyAlignment="1">
      <alignment horizontal="right"/>
    </xf>
    <xf numFmtId="166" fontId="2" fillId="0" borderId="0" xfId="0" applyNumberFormat="1" applyFont="1"/>
    <xf numFmtId="10" fontId="9" fillId="0" borderId="0" xfId="2" applyNumberFormat="1" applyFont="1"/>
    <xf numFmtId="10" fontId="11" fillId="0" borderId="0" xfId="2" applyNumberFormat="1" applyFont="1"/>
    <xf numFmtId="3" fontId="2" fillId="0" borderId="11" xfId="0" applyNumberFormat="1" applyFont="1" applyBorder="1"/>
    <xf numFmtId="0" fontId="12" fillId="5" borderId="6" xfId="0" applyFont="1" applyFill="1" applyBorder="1" applyAlignment="1">
      <alignment horizontal="center" vertical="center"/>
    </xf>
    <xf numFmtId="0" fontId="13" fillId="10" borderId="0" xfId="0" applyFont="1" applyFill="1"/>
    <xf numFmtId="0" fontId="12" fillId="5" borderId="6" xfId="0" applyFont="1" applyFill="1" applyBorder="1" applyAlignment="1">
      <alignment horizontal="center"/>
    </xf>
    <xf numFmtId="10" fontId="12" fillId="5" borderId="6" xfId="0" applyNumberFormat="1" applyFont="1" applyFill="1" applyBorder="1" applyAlignment="1">
      <alignment horizontal="center"/>
    </xf>
    <xf numFmtId="0" fontId="12" fillId="0" borderId="0" xfId="0" applyFont="1"/>
    <xf numFmtId="167" fontId="12" fillId="0" borderId="0" xfId="0" applyNumberFormat="1" applyFont="1"/>
    <xf numFmtId="10" fontId="12" fillId="0" borderId="0" xfId="2" applyNumberFormat="1" applyFont="1"/>
    <xf numFmtId="0" fontId="12" fillId="5" borderId="6" xfId="0" applyFont="1" applyFill="1" applyBorder="1" applyAlignment="1">
      <alignment horizontal="left" vertical="center"/>
    </xf>
    <xf numFmtId="0" fontId="1" fillId="6" borderId="14" xfId="0" applyFont="1" applyFill="1" applyBorder="1" applyAlignment="1">
      <alignment horizontal="left" vertical="center" readingOrder="1"/>
    </xf>
    <xf numFmtId="0" fontId="1" fillId="6" borderId="1" xfId="0" applyFont="1" applyFill="1" applyBorder="1" applyAlignment="1">
      <alignment horizontal="left" vertical="center" readingOrder="1"/>
    </xf>
    <xf numFmtId="168" fontId="3" fillId="0" borderId="0" xfId="1" applyNumberFormat="1" applyFont="1"/>
    <xf numFmtId="0" fontId="2" fillId="0" borderId="15" xfId="0" applyFont="1" applyBorder="1" applyAlignment="1">
      <alignment horizontal="left"/>
    </xf>
    <xf numFmtId="0" fontId="2" fillId="0" borderId="13" xfId="0" applyFont="1" applyBorder="1" applyAlignment="1">
      <alignment horizontal="left"/>
    </xf>
    <xf numFmtId="0" fontId="0" fillId="9" borderId="20" xfId="0" applyFill="1" applyBorder="1" applyAlignment="1">
      <alignment horizontal="center"/>
    </xf>
    <xf numFmtId="0" fontId="0" fillId="9" borderId="21" xfId="0" applyFill="1" applyBorder="1" applyAlignment="1">
      <alignment horizontal="center"/>
    </xf>
    <xf numFmtId="0" fontId="0" fillId="9" borderId="22" xfId="0" applyFill="1" applyBorder="1" applyAlignment="1">
      <alignment horizontal="center"/>
    </xf>
    <xf numFmtId="0" fontId="0" fillId="9" borderId="20" xfId="0" applyFill="1" applyBorder="1"/>
    <xf numFmtId="0" fontId="0" fillId="9" borderId="21" xfId="0" applyFill="1" applyBorder="1"/>
    <xf numFmtId="0" fontId="0" fillId="9" borderId="22" xfId="0" applyFill="1" applyBorder="1"/>
    <xf numFmtId="0" fontId="0" fillId="9" borderId="24" xfId="0" applyFill="1" applyBorder="1"/>
    <xf numFmtId="3" fontId="0" fillId="0" borderId="0" xfId="0" applyNumberFormat="1"/>
    <xf numFmtId="3" fontId="0" fillId="0" borderId="11" xfId="0" applyNumberFormat="1" applyBorder="1"/>
    <xf numFmtId="3" fontId="0" fillId="0" borderId="10" xfId="0" applyNumberFormat="1" applyBorder="1"/>
    <xf numFmtId="3" fontId="0" fillId="0" borderId="12" xfId="0" applyNumberFormat="1" applyBorder="1"/>
    <xf numFmtId="3" fontId="0" fillId="0" borderId="17" xfId="0" applyNumberFormat="1" applyBorder="1"/>
    <xf numFmtId="3" fontId="0" fillId="0" borderId="18" xfId="0" applyNumberFormat="1" applyBorder="1"/>
    <xf numFmtId="0" fontId="10" fillId="9" borderId="23" xfId="0" applyFont="1" applyFill="1" applyBorder="1" applyAlignment="1">
      <alignment horizontal="center"/>
    </xf>
    <xf numFmtId="0" fontId="10" fillId="9" borderId="24" xfId="0" applyFont="1" applyFill="1" applyBorder="1" applyAlignment="1">
      <alignment horizontal="center"/>
    </xf>
    <xf numFmtId="3" fontId="2" fillId="0" borderId="0" xfId="0" applyNumberFormat="1" applyFont="1"/>
    <xf numFmtId="0" fontId="0" fillId="9" borderId="0" xfId="0" applyFill="1"/>
    <xf numFmtId="0" fontId="2" fillId="9" borderId="19" xfId="0" applyFont="1" applyFill="1" applyBorder="1"/>
    <xf numFmtId="0" fontId="2" fillId="0" borderId="23" xfId="0" applyFont="1" applyBorder="1" applyAlignment="1">
      <alignment horizontal="left"/>
    </xf>
    <xf numFmtId="3" fontId="2" fillId="0" borderId="16" xfId="0" applyNumberFormat="1" applyFont="1" applyBorder="1"/>
    <xf numFmtId="3" fontId="2" fillId="0" borderId="17" xfId="0" applyNumberFormat="1" applyFont="1" applyBorder="1"/>
    <xf numFmtId="3" fontId="2" fillId="0" borderId="23" xfId="0" applyNumberFormat="1" applyFont="1" applyBorder="1"/>
    <xf numFmtId="3" fontId="2" fillId="0" borderId="18" xfId="0" applyNumberFormat="1" applyFont="1" applyBorder="1"/>
    <xf numFmtId="0" fontId="0" fillId="0" borderId="16" xfId="0" applyBorder="1" applyAlignment="1">
      <alignment horizontal="left" indent="1"/>
    </xf>
    <xf numFmtId="0" fontId="0" fillId="0" borderId="15" xfId="0" applyBorder="1" applyAlignment="1">
      <alignment horizontal="left" indent="1"/>
    </xf>
    <xf numFmtId="0" fontId="10" fillId="9" borderId="23" xfId="0" applyFont="1" applyFill="1" applyBorder="1"/>
    <xf numFmtId="0" fontId="2" fillId="7" borderId="0" xfId="0" applyFont="1" applyFill="1" applyAlignment="1">
      <alignment horizontal="center"/>
    </xf>
  </cellXfs>
  <cellStyles count="3">
    <cellStyle name="Millares" xfId="1" builtinId="3"/>
    <cellStyle name="Normal" xfId="0" builtinId="0"/>
    <cellStyle name="Porcentaje" xfId="2" builtinId="5"/>
  </cellStyles>
  <dxfs count="280">
    <dxf>
      <font>
        <b val="0"/>
        <i val="0"/>
        <strike val="0"/>
        <condense val="0"/>
        <extend val="0"/>
        <outline val="0"/>
        <shadow val="0"/>
        <u val="none"/>
        <vertAlign val="baseline"/>
        <sz val="8"/>
        <color rgb="FF000000"/>
        <name val="Tahoma"/>
        <family val="2"/>
        <scheme val="none"/>
      </font>
      <fill>
        <patternFill patternType="solid">
          <fgColor indexed="64"/>
          <bgColor rgb="FFFFF7EC"/>
        </patternFill>
      </fill>
      <alignment horizontal="right" vertical="center" textRotation="0" wrapText="0" indent="0" justifyLastLine="0" shrinkToFit="0" readingOrder="1"/>
      <border diagonalUp="0" diagonalDown="0" outline="0">
        <left style="thin">
          <color rgb="FF808080"/>
        </left>
        <right/>
        <top/>
        <bottom/>
      </border>
    </dxf>
    <dxf>
      <font>
        <b val="0"/>
        <i val="0"/>
        <strike val="0"/>
        <condense val="0"/>
        <extend val="0"/>
        <outline val="0"/>
        <shadow val="0"/>
        <u val="none"/>
        <vertAlign val="baseline"/>
        <sz val="8"/>
        <color rgb="FF000000"/>
        <name val="Tahoma"/>
        <family val="2"/>
        <scheme val="none"/>
      </font>
      <fill>
        <patternFill patternType="solid">
          <fgColor indexed="64"/>
          <bgColor rgb="FFFFF7EC"/>
        </patternFill>
      </fill>
      <alignment horizontal="right" vertical="center" textRotation="0" wrapText="0" indent="0" justifyLastLine="0" shrinkToFit="0" readingOrder="1"/>
      <border diagonalUp="0" diagonalDown="0">
        <left style="thin">
          <color rgb="FF808080"/>
        </left>
        <right/>
        <top style="thin">
          <color rgb="FF808080"/>
        </top>
        <bottom style="thin">
          <color rgb="FF808080"/>
        </bottom>
        <vertical/>
        <horizontal/>
      </border>
    </dxf>
    <dxf>
      <font>
        <b val="0"/>
        <i val="0"/>
        <strike val="0"/>
        <condense val="0"/>
        <extend val="0"/>
        <outline val="0"/>
        <shadow val="0"/>
        <u val="none"/>
        <vertAlign val="baseline"/>
        <sz val="8"/>
        <color rgb="FF000000"/>
        <name val="Tahoma"/>
        <family val="2"/>
        <scheme val="none"/>
      </font>
      <fill>
        <patternFill patternType="solid">
          <fgColor indexed="64"/>
          <bgColor rgb="FFF0F0F0"/>
        </patternFill>
      </fill>
      <alignment horizontal="left" vertical="center" textRotation="0" wrapText="0" indent="0" justifyLastLine="0" shrinkToFit="0" readingOrder="1"/>
      <border diagonalUp="0" diagonalDown="0" outline="0">
        <left style="thin">
          <color rgb="FF808080"/>
        </left>
        <right style="thin">
          <color rgb="FF808080"/>
        </right>
        <top/>
        <bottom/>
      </border>
    </dxf>
    <dxf>
      <font>
        <b val="0"/>
        <i val="0"/>
        <strike val="0"/>
        <condense val="0"/>
        <extend val="0"/>
        <outline val="0"/>
        <shadow val="0"/>
        <u val="none"/>
        <vertAlign val="baseline"/>
        <sz val="8"/>
        <color rgb="FF000000"/>
        <name val="Tahoma"/>
        <family val="2"/>
        <scheme val="none"/>
      </font>
      <fill>
        <patternFill patternType="solid">
          <fgColor indexed="64"/>
          <bgColor rgb="FFF0F0F0"/>
        </patternFill>
      </fill>
      <alignment horizontal="left" vertical="center" textRotation="0" wrapText="0" indent="0" justifyLastLine="0" shrinkToFit="0" readingOrder="1"/>
      <border diagonalUp="0" diagonalDown="0">
        <left style="thin">
          <color rgb="FF808080"/>
        </left>
        <right style="thin">
          <color rgb="FF808080"/>
        </right>
        <top style="thin">
          <color rgb="FF808080"/>
        </top>
        <bottom style="thin">
          <color rgb="FF808080"/>
        </bottom>
        <vertical/>
        <horizontal/>
      </border>
    </dxf>
    <dxf>
      <font>
        <b val="0"/>
        <i val="0"/>
        <strike val="0"/>
        <condense val="0"/>
        <extend val="0"/>
        <outline val="0"/>
        <shadow val="0"/>
        <u val="none"/>
        <vertAlign val="baseline"/>
        <sz val="8"/>
        <color rgb="FF000000"/>
        <name val="Tahoma"/>
        <family val="2"/>
        <scheme val="none"/>
      </font>
      <fill>
        <patternFill patternType="solid">
          <fgColor indexed="64"/>
          <bgColor rgb="FFF0F0F0"/>
        </patternFill>
      </fill>
      <alignment horizontal="left" vertical="center" textRotation="0" wrapText="0" indent="0" justifyLastLine="0" shrinkToFit="0" readingOrder="1"/>
      <border diagonalUp="0" diagonalDown="0" outline="0">
        <left style="thin">
          <color rgb="FF808080"/>
        </left>
        <right style="thin">
          <color rgb="FF808080"/>
        </right>
        <top/>
        <bottom/>
      </border>
    </dxf>
    <dxf>
      <font>
        <b val="0"/>
        <i val="0"/>
        <strike val="0"/>
        <condense val="0"/>
        <extend val="0"/>
        <outline val="0"/>
        <shadow val="0"/>
        <u val="none"/>
        <vertAlign val="baseline"/>
        <sz val="8"/>
        <color rgb="FF000000"/>
        <name val="Tahoma"/>
        <family val="2"/>
        <scheme val="none"/>
      </font>
      <numFmt numFmtId="30" formatCode="@"/>
      <fill>
        <patternFill patternType="solid">
          <fgColor indexed="64"/>
          <bgColor rgb="FFF0F0F0"/>
        </patternFill>
      </fill>
      <alignment horizontal="left" vertical="center" textRotation="0" wrapText="0" indent="0" justifyLastLine="0" shrinkToFit="0" readingOrder="1"/>
      <border diagonalUp="0" diagonalDown="0">
        <left style="thin">
          <color rgb="FF808080"/>
        </left>
        <right style="thin">
          <color rgb="FF808080"/>
        </right>
        <top/>
        <bottom style="thin">
          <color rgb="FF808080"/>
        </bottom>
        <vertical/>
        <horizontal/>
      </border>
    </dxf>
    <dxf>
      <font>
        <b val="0"/>
        <i val="0"/>
        <strike val="0"/>
        <condense val="0"/>
        <extend val="0"/>
        <outline val="0"/>
        <shadow val="0"/>
        <u val="none"/>
        <vertAlign val="baseline"/>
        <sz val="8"/>
        <color rgb="FF000000"/>
        <name val="Tahoma"/>
        <family val="2"/>
        <scheme val="none"/>
      </font>
      <fill>
        <patternFill patternType="solid">
          <fgColor indexed="64"/>
          <bgColor rgb="FFF0F0F0"/>
        </patternFill>
      </fill>
      <alignment horizontal="left" vertical="center" textRotation="0" wrapText="0" indent="0" justifyLastLine="0" shrinkToFit="0" readingOrder="1"/>
      <border diagonalUp="0" diagonalDown="0" outline="0">
        <left style="thin">
          <color rgb="FF808080"/>
        </left>
        <right style="thin">
          <color rgb="FF808080"/>
        </right>
        <top/>
        <bottom/>
      </border>
    </dxf>
    <dxf>
      <font>
        <b val="0"/>
        <i val="0"/>
        <strike val="0"/>
        <condense val="0"/>
        <extend val="0"/>
        <outline val="0"/>
        <shadow val="0"/>
        <u val="none"/>
        <vertAlign val="baseline"/>
        <sz val="8"/>
        <color rgb="FF000000"/>
        <name val="Tahoma"/>
        <family val="2"/>
        <scheme val="none"/>
      </font>
      <numFmt numFmtId="30" formatCode="@"/>
      <fill>
        <patternFill patternType="solid">
          <fgColor indexed="64"/>
          <bgColor rgb="FFF0F0F0"/>
        </patternFill>
      </fill>
      <alignment horizontal="left" vertical="center" textRotation="0" wrapText="0" indent="0" justifyLastLine="0" shrinkToFit="0" readingOrder="1"/>
      <border diagonalUp="0" diagonalDown="0">
        <left style="thin">
          <color rgb="FF808080"/>
        </left>
        <right style="thin">
          <color rgb="FF808080"/>
        </right>
        <top/>
        <bottom style="thin">
          <color rgb="FF808080"/>
        </bottom>
        <vertical/>
        <horizontal/>
      </border>
    </dxf>
    <dxf>
      <font>
        <b val="0"/>
        <i val="0"/>
        <strike val="0"/>
        <condense val="0"/>
        <extend val="0"/>
        <outline val="0"/>
        <shadow val="0"/>
        <u val="none"/>
        <vertAlign val="baseline"/>
        <sz val="8"/>
        <color rgb="FF000000"/>
        <name val="Tahoma"/>
        <family val="2"/>
        <scheme val="none"/>
      </font>
      <fill>
        <patternFill patternType="solid">
          <fgColor indexed="64"/>
          <bgColor rgb="FFF0F0F0"/>
        </patternFill>
      </fill>
      <alignment horizontal="left" vertical="center" textRotation="0" wrapText="0" indent="0" justifyLastLine="0" shrinkToFit="0" readingOrder="1"/>
      <border diagonalUp="0" diagonalDown="0" outline="0">
        <left/>
        <right style="thin">
          <color rgb="FF808080"/>
        </right>
        <top/>
        <bottom/>
      </border>
    </dxf>
    <dxf>
      <font>
        <b val="0"/>
        <i val="0"/>
        <strike val="0"/>
        <condense val="0"/>
        <extend val="0"/>
        <outline val="0"/>
        <shadow val="0"/>
        <u val="none"/>
        <vertAlign val="baseline"/>
        <sz val="8"/>
        <color rgb="FF000000"/>
        <name val="Tahoma"/>
        <family val="2"/>
        <scheme val="none"/>
      </font>
      <numFmt numFmtId="30" formatCode="@"/>
      <fill>
        <patternFill patternType="solid">
          <fgColor indexed="64"/>
          <bgColor rgb="FFF0F0F0"/>
        </patternFill>
      </fill>
      <alignment horizontal="left" vertical="center" textRotation="0" wrapText="0" indent="0" justifyLastLine="0" shrinkToFit="0" readingOrder="1"/>
      <border diagonalUp="0" diagonalDown="0">
        <left/>
        <right style="thin">
          <color rgb="FF808080"/>
        </right>
        <top/>
        <bottom style="thin">
          <color rgb="FF808080"/>
        </bottom>
        <vertical/>
        <horizontal/>
      </border>
    </dxf>
    <dxf>
      <font>
        <b val="0"/>
        <i val="0"/>
        <strike val="0"/>
        <condense val="0"/>
        <extend val="0"/>
        <outline val="0"/>
        <shadow val="0"/>
        <u val="none"/>
        <vertAlign val="baseline"/>
        <sz val="8"/>
        <color rgb="FF000000"/>
        <name val="Tahoma"/>
        <family val="2"/>
        <scheme val="none"/>
      </font>
      <fill>
        <patternFill patternType="solid">
          <fgColor indexed="64"/>
          <bgColor rgb="FFF0F0F0"/>
        </patternFill>
      </fill>
      <alignment horizontal="left" vertical="center" textRotation="0" wrapText="0" indent="0" justifyLastLine="0" shrinkToFit="0" readingOrder="1"/>
      <border diagonalUp="0" diagonalDown="0" outline="0">
        <left/>
        <right style="thin">
          <color rgb="FF808080"/>
        </right>
        <top/>
        <bottom/>
      </border>
    </dxf>
    <dxf>
      <font>
        <b val="0"/>
        <i val="0"/>
        <strike val="0"/>
        <condense val="0"/>
        <extend val="0"/>
        <outline val="0"/>
        <shadow val="0"/>
        <u val="none"/>
        <vertAlign val="baseline"/>
        <sz val="8"/>
        <color rgb="FF000000"/>
        <name val="Tahoma"/>
        <family val="2"/>
        <scheme val="none"/>
      </font>
      <numFmt numFmtId="30" formatCode="@"/>
      <fill>
        <patternFill patternType="solid">
          <fgColor indexed="64"/>
          <bgColor rgb="FFF0F0F0"/>
        </patternFill>
      </fill>
      <alignment horizontal="left" vertical="center" textRotation="0" wrapText="0" indent="0" justifyLastLine="0" shrinkToFit="0" readingOrder="1"/>
      <border diagonalUp="0" diagonalDown="0">
        <left/>
        <right style="thin">
          <color rgb="FF808080"/>
        </right>
        <top/>
        <bottom style="thin">
          <color rgb="FF808080"/>
        </bottom>
        <vertical/>
        <horizontal/>
      </border>
    </dxf>
    <dxf>
      <border outline="0">
        <left style="thin">
          <color rgb="FF808080"/>
        </left>
        <right style="thin">
          <color rgb="FF808080"/>
        </right>
        <top style="thin">
          <color rgb="FF808080"/>
        </top>
        <bottom style="thin">
          <color rgb="FF808080"/>
        </bottom>
      </border>
    </dxf>
    <dxf>
      <border outline="0">
        <bottom style="thin">
          <color rgb="FF808080"/>
        </bottom>
      </border>
    </dxf>
    <dxf>
      <font>
        <b val="0"/>
        <i val="0"/>
        <strike val="0"/>
        <condense val="0"/>
        <extend val="0"/>
        <outline val="0"/>
        <shadow val="0"/>
        <u val="none"/>
        <vertAlign val="baseline"/>
        <sz val="8"/>
        <color rgb="FF000000"/>
        <name val="Tahoma"/>
        <family val="2"/>
        <scheme val="none"/>
      </font>
      <numFmt numFmtId="30" formatCode="@"/>
      <fill>
        <patternFill patternType="solid">
          <fgColor indexed="64"/>
          <bgColor rgb="FFF0F0F0"/>
        </patternFill>
      </fill>
      <alignment horizontal="left" vertical="center" textRotation="0" wrapText="0" indent="0" justifyLastLine="0" shrinkToFit="0" readingOrder="1"/>
      <border diagonalUp="0" diagonalDown="0" outline="0">
        <left style="thin">
          <color rgb="FF808080"/>
        </left>
        <right style="thin">
          <color rgb="FF808080"/>
        </right>
        <top/>
        <bottom/>
      </border>
    </dxf>
    <dxf>
      <font>
        <b val="0"/>
        <i val="0"/>
        <strike val="0"/>
        <condense val="0"/>
        <extend val="0"/>
        <outline val="0"/>
        <shadow val="0"/>
        <u val="none"/>
        <vertAlign val="baseline"/>
        <sz val="11"/>
        <color theme="1"/>
        <name val="Calibri"/>
        <family val="2"/>
        <scheme val="minor"/>
      </font>
      <numFmt numFmtId="164" formatCode="_-* #,##0_-;\-* #,##0_-;_-* &quot;-&quot;_-;_-@_-"/>
    </dxf>
    <dxf>
      <font>
        <b val="0"/>
        <i val="0"/>
        <strike val="0"/>
        <condense val="0"/>
        <extend val="0"/>
        <outline val="0"/>
        <shadow val="0"/>
        <u val="none"/>
        <vertAlign val="baseline"/>
        <sz val="11"/>
        <color theme="1"/>
        <name val="Calibri"/>
        <family val="2"/>
        <scheme val="minor"/>
      </font>
      <numFmt numFmtId="164" formatCode="_-* #,##0_-;\-* #,##0_-;_-* &quot;-&quot;_-;_-@_-"/>
    </dxf>
    <dxf>
      <font>
        <b val="0"/>
        <i val="0"/>
        <strike val="0"/>
        <condense val="0"/>
        <extend val="0"/>
        <outline val="0"/>
        <shadow val="0"/>
        <u val="none"/>
        <vertAlign val="baseline"/>
        <sz val="11"/>
        <color theme="1"/>
        <name val="Calibri"/>
        <family val="2"/>
        <scheme val="minor"/>
      </font>
      <numFmt numFmtId="164" formatCode="_-* #,##0_-;\-* #,##0_-;_-* &quot;-&quot;_-;_-@_-"/>
    </dxf>
    <dxf>
      <font>
        <b val="0"/>
        <i val="0"/>
        <strike val="0"/>
        <condense val="0"/>
        <extend val="0"/>
        <outline val="0"/>
        <shadow val="0"/>
        <u val="none"/>
        <vertAlign val="baseline"/>
        <sz val="11"/>
        <color theme="1"/>
        <name val="Calibri"/>
        <family val="2"/>
        <scheme val="minor"/>
      </font>
      <numFmt numFmtId="164" formatCode="_-* #,##0_-;\-* #,##0_-;_-* &quot;-&quot;_-;_-@_-"/>
    </dxf>
    <dxf>
      <font>
        <b val="0"/>
        <i val="0"/>
        <strike val="0"/>
        <condense val="0"/>
        <extend val="0"/>
        <outline val="0"/>
        <shadow val="0"/>
        <u val="none"/>
        <vertAlign val="baseline"/>
        <sz val="11"/>
        <color theme="1"/>
        <name val="Calibri"/>
        <family val="2"/>
        <scheme val="minor"/>
      </font>
      <numFmt numFmtId="164" formatCode="_-* #,##0_-;\-* #,##0_-;_-* &quot;-&quot;_-;_-@_-"/>
    </dxf>
    <dxf>
      <font>
        <b val="0"/>
        <i val="0"/>
        <strike val="0"/>
        <condense val="0"/>
        <extend val="0"/>
        <outline val="0"/>
        <shadow val="0"/>
        <u val="none"/>
        <vertAlign val="baseline"/>
        <sz val="11"/>
        <color theme="1"/>
        <name val="Calibri"/>
        <family val="2"/>
        <scheme val="minor"/>
      </font>
      <numFmt numFmtId="164" formatCode="_-* #,##0_-;\-* #,##0_-;_-* &quot;-&quot;_-;_-@_-"/>
    </dxf>
    <dxf>
      <font>
        <b val="0"/>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theme="1"/>
        <name val="Calibri"/>
        <family val="2"/>
        <scheme val="minor"/>
      </font>
      <numFmt numFmtId="1" formatCode="0"/>
    </dxf>
    <dxf>
      <font>
        <b val="0"/>
        <i val="0"/>
        <strike val="0"/>
        <condense val="0"/>
        <extend val="0"/>
        <outline val="0"/>
        <shadow val="0"/>
        <u val="none"/>
        <vertAlign val="baseline"/>
        <sz val="11"/>
        <color theme="1"/>
        <name val="Calibri"/>
        <family val="2"/>
        <scheme val="minor"/>
      </font>
      <numFmt numFmtId="1" formatCode="0"/>
    </dxf>
    <dxf>
      <font>
        <b val="0"/>
        <i val="0"/>
        <strike val="0"/>
        <condense val="0"/>
        <extend val="0"/>
        <outline val="0"/>
        <shadow val="0"/>
        <u val="none"/>
        <vertAlign val="baseline"/>
        <sz val="11"/>
        <color theme="1"/>
        <name val="Calibri"/>
        <family val="2"/>
        <scheme val="minor"/>
      </font>
      <numFmt numFmtId="1" formatCode="0"/>
    </dxf>
    <dxf>
      <font>
        <b val="0"/>
        <i val="0"/>
        <strike val="0"/>
        <condense val="0"/>
        <extend val="0"/>
        <outline val="0"/>
        <shadow val="0"/>
        <u val="none"/>
        <vertAlign val="baseline"/>
        <sz val="11"/>
        <color theme="1"/>
        <name val="Calibri"/>
        <family val="2"/>
        <scheme val="minor"/>
      </font>
      <numFmt numFmtId="1" formatCode="0"/>
    </dxf>
    <dxf>
      <font>
        <b val="0"/>
        <i val="0"/>
        <strike val="0"/>
        <condense val="0"/>
        <extend val="0"/>
        <outline val="0"/>
        <shadow val="0"/>
        <u val="none"/>
        <vertAlign val="baseline"/>
        <sz val="11"/>
        <color theme="1"/>
        <name val="Calibri"/>
        <family val="2"/>
        <scheme val="minor"/>
      </font>
      <numFmt numFmtId="1" formatCode="0"/>
    </dxf>
    <dxf>
      <font>
        <b val="0"/>
        <i val="0"/>
        <strike val="0"/>
        <condense val="0"/>
        <extend val="0"/>
        <outline val="0"/>
        <shadow val="0"/>
        <u val="none"/>
        <vertAlign val="baseline"/>
        <sz val="11"/>
        <color theme="1"/>
        <name val="Calibri"/>
        <family val="2"/>
        <scheme val="minor"/>
      </font>
      <numFmt numFmtId="1" formatCode="0"/>
    </dxf>
    <dxf>
      <font>
        <b val="0"/>
        <i val="0"/>
        <strike val="0"/>
        <condense val="0"/>
        <extend val="0"/>
        <outline val="0"/>
        <shadow val="0"/>
        <u val="none"/>
        <vertAlign val="baseline"/>
        <sz val="11"/>
        <color theme="1"/>
        <name val="Calibri"/>
        <family val="2"/>
        <scheme val="minor"/>
      </font>
    </dxf>
    <dxf>
      <font>
        <b/>
        <i val="0"/>
        <strike val="0"/>
        <condense val="0"/>
        <extend val="0"/>
        <outline val="0"/>
        <shadow val="0"/>
        <u val="none"/>
        <vertAlign val="baseline"/>
        <sz val="11"/>
        <color theme="1"/>
        <name val="Calibri"/>
        <family val="2"/>
        <scheme val="minor"/>
      </font>
      <alignment horizontal="center" vertical="bottom" textRotation="0" wrapText="0" indent="0" justifyLastLine="0" shrinkToFit="0" readingOrder="0"/>
    </dxf>
    <dxf>
      <numFmt numFmtId="14" formatCode="0.00%"/>
    </dxf>
    <dxf>
      <numFmt numFmtId="14" formatCode="0.00%"/>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horizontal="center"/>
    </dxf>
    <dxf>
      <numFmt numFmtId="167" formatCode="_-&quot;$&quot;\ * #,##0_-;\-&quot;$&quot;\ * #,##0_-;_-&quot;$&quot;\ * &quot;-&quot;??_-;_-@_-"/>
    </dxf>
    <dxf>
      <font>
        <color theme="0"/>
      </font>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fill>
        <patternFill patternType="none">
          <fgColor indexed="64"/>
          <bgColor indexed="65"/>
        </patternFill>
      </fill>
    </dxf>
    <dxf>
      <fill>
        <patternFill patternType="solid">
          <bgColor rgb="FFFFFF00"/>
        </patternFill>
      </fill>
    </dxf>
    <dxf>
      <border>
        <bottom style="thin">
          <color indexed="64"/>
        </bottom>
      </border>
    </dxf>
    <dxf>
      <border>
        <left/>
        <right/>
        <top/>
        <bottom/>
        <vertical/>
      </border>
    </dxf>
    <dxf>
      <border>
        <left/>
        <right/>
        <top/>
        <bottom/>
        <vertical/>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fill>
        <patternFill patternType="solid">
          <bgColor rgb="FFC00000"/>
        </patternFill>
      </fill>
    </dxf>
    <dxf>
      <border>
        <left/>
        <right/>
        <top/>
        <bottom/>
        <vertical/>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right style="thin">
          <color indexed="64"/>
        </right>
      </border>
    </dxf>
    <dxf>
      <border>
        <right style="thin">
          <color indexed="64"/>
        </right>
      </border>
    </dxf>
    <dxf>
      <border>
        <left style="thin">
          <color indexed="64"/>
        </left>
        <right style="thin">
          <color indexed="64"/>
        </right>
      </border>
    </dxf>
    <dxf>
      <border>
        <right style="thin">
          <color indexed="64"/>
        </right>
      </border>
    </dxf>
    <dxf>
      <border>
        <right style="thin">
          <color indexed="64"/>
        </right>
      </border>
    </dxf>
    <dxf>
      <border>
        <right style="thin">
          <color indexed="64"/>
        </right>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font>
        <b/>
      </font>
    </dxf>
    <dxf>
      <border>
        <top style="thin">
          <color indexed="64"/>
        </top>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right/>
        <top/>
        <bottom/>
        <vertical/>
      </border>
    </dxf>
    <dxf>
      <border>
        <left/>
        <right/>
        <top/>
        <bottom/>
        <vertical/>
      </border>
    </dxf>
    <dxf>
      <border>
        <left/>
        <right/>
        <top/>
        <bottom/>
        <vertical/>
      </border>
    </dxf>
    <dxf>
      <border>
        <left/>
        <right/>
        <top/>
        <bottom/>
        <vertical/>
      </border>
    </dxf>
    <dxf>
      <font>
        <color theme="0"/>
      </font>
    </dxf>
    <dxf>
      <font>
        <color theme="0"/>
      </font>
    </dxf>
    <dxf>
      <font>
        <color theme="0"/>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border>
        <right style="thin">
          <color indexed="64"/>
        </right>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border>
    </dxf>
    <dxf>
      <border>
        <left style="thin">
          <color indexed="64"/>
        </left>
        <right style="thin">
          <color indexed="64"/>
        </right>
      </border>
    </dxf>
    <dxf>
      <border>
        <left style="thin">
          <color indexed="64"/>
        </left>
        <right style="thin">
          <color indexed="64"/>
        </right>
      </border>
    </dxf>
    <dxf>
      <border>
        <left style="thin">
          <color indexed="64"/>
        </left>
        <right style="thin">
          <color indexed="64"/>
        </right>
      </border>
    </dxf>
    <dxf>
      <border>
        <left style="thin">
          <color indexed="64"/>
        </left>
        <right style="thin">
          <color indexed="64"/>
        </right>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font>
        <color theme="1"/>
      </font>
    </dxf>
    <dxf>
      <font>
        <color theme="1"/>
      </font>
    </dxf>
    <dxf>
      <font>
        <color theme="1"/>
      </font>
    </dxf>
    <dxf>
      <font>
        <color theme="1"/>
      </font>
    </dxf>
    <dxf>
      <font>
        <color theme="1"/>
      </font>
    </dxf>
    <dxf>
      <font>
        <color theme="1"/>
      </font>
    </dxf>
    <dxf>
      <font>
        <color theme="1"/>
      </font>
    </dxf>
    <dxf>
      <font>
        <color theme="1"/>
      </font>
    </dxf>
    <dxf>
      <alignment horizontal="left" indent="1"/>
    </dxf>
    <dxf>
      <border>
        <right style="thin">
          <color indexed="64"/>
        </right>
      </border>
    </dxf>
    <dxf>
      <border>
        <right style="thin">
          <color indexed="64"/>
        </right>
      </border>
    </dxf>
    <dxf>
      <border>
        <right style="thin">
          <color indexed="64"/>
        </right>
      </border>
    </dxf>
    <dxf>
      <border>
        <right style="thin">
          <color indexed="64"/>
        </right>
      </border>
    </dxf>
    <dxf>
      <border>
        <right style="thin">
          <color indexed="64"/>
        </right>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alignment horizontal="general" vertical="bottom" textRotation="0" wrapText="0" indent="0" justifyLastLine="0" shrinkToFit="0" readingOrder="0"/>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font>
        <color theme="0"/>
      </font>
    </dxf>
    <dxf>
      <font>
        <color theme="0"/>
      </font>
    </dxf>
    <dxf>
      <font>
        <color theme="0"/>
      </font>
    </dxf>
    <dxf>
      <font>
        <color theme="0"/>
      </font>
    </dxf>
    <dxf>
      <alignment vertical="cent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fill>
        <patternFill>
          <bgColor rgb="FFC00000"/>
        </patternFill>
      </fill>
    </dxf>
    <dxf>
      <fill>
        <patternFill>
          <bgColor rgb="FFC00000"/>
        </patternFill>
      </fill>
    </dxf>
    <dxf>
      <fill>
        <patternFill>
          <bgColor rgb="FFC00000"/>
        </patternFill>
      </fill>
    </dxf>
    <dxf>
      <fill>
        <patternFill>
          <bgColor rgb="FFC00000"/>
        </patternFill>
      </fill>
    </dxf>
    <dxf>
      <fill>
        <patternFill>
          <bgColor rgb="FFC00000"/>
        </patternFill>
      </fill>
    </dxf>
    <dxf>
      <fill>
        <patternFill>
          <bgColor rgb="FFC00000"/>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alignment horizontal="center"/>
    </dxf>
    <dxf>
      <alignment horizontal="center"/>
    </dxf>
    <dxf>
      <alignment horizontal="center"/>
    </dxf>
    <dxf>
      <alignment horizontal="center"/>
    </dxf>
    <dxf>
      <alignment horizontal="center"/>
    </dxf>
    <dxf>
      <alignment horizontal="center"/>
    </dxf>
    <dxf>
      <font>
        <b val="0"/>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theme="1"/>
        <name val="Calibri"/>
        <family val="2"/>
        <scheme val="minor"/>
      </fon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font>
        <color theme="4" tint="-0.249977111117893"/>
      </font>
    </dxf>
    <dxf>
      <alignment horizontal="center"/>
    </dxf>
    <dxf>
      <alignment horizontal="center"/>
    </dxf>
    <dxf>
      <alignment horizontal="center"/>
    </dxf>
    <dxf>
      <alignment horizontal="center"/>
    </dxf>
    <dxf>
      <alignment horizontal="center"/>
    </dxf>
    <dxf>
      <font>
        <color theme="4" tint="-0.249977111117893"/>
      </font>
      <fill>
        <patternFill patternType="none">
          <fgColor indexed="64"/>
          <bgColor indexed="65"/>
        </patternFill>
      </fill>
    </dxf>
    <dxf>
      <font>
        <color theme="4" tint="-0.249977111117893"/>
      </font>
      <fill>
        <patternFill patternType="none">
          <fgColor indexed="64"/>
          <bgColor indexed="65"/>
        </patternFill>
      </fill>
    </dxf>
    <dxf>
      <font>
        <b/>
      </font>
    </dxf>
    <dxf>
      <font>
        <b/>
      </font>
    </dxf>
    <dxf>
      <font>
        <b/>
      </font>
    </dxf>
    <dxf>
      <font>
        <b/>
      </font>
    </dxf>
    <dxf>
      <font>
        <b/>
      </font>
    </dxf>
    <dxf>
      <font>
        <color theme="0"/>
      </font>
    </dxf>
    <dxf>
      <fill>
        <patternFill patternType="none">
          <bgColor auto="1"/>
        </patternFill>
      </fill>
    </dxf>
    <dxf>
      <font>
        <b val="0"/>
      </font>
    </dxf>
    <dxf>
      <font>
        <b val="0"/>
      </font>
    </dxf>
    <dxf>
      <font>
        <b val="0"/>
      </font>
    </dxf>
    <dxf>
      <font>
        <b val="0"/>
      </font>
    </dxf>
    <dxf>
      <font>
        <b/>
      </font>
    </dxf>
    <dxf>
      <font>
        <b/>
      </font>
    </dxf>
    <dxf>
      <font>
        <b/>
      </font>
    </dxf>
    <dxf>
      <font>
        <color theme="1" tint="4.9989318521683403E-2"/>
      </font>
    </dxf>
    <dxf>
      <font>
        <color theme="1"/>
      </font>
    </dxf>
    <dxf>
      <font>
        <color theme="4" tint="0.79998168889431442"/>
      </font>
    </dxf>
    <dxf>
      <font>
        <color theme="4" tint="0.79998168889431442"/>
      </font>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pivotCacheDefinition" Target="pivotCache/pivotCacheDefinition1.xml"/><Relationship Id="rId1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theme" Target="theme/theme1.xml"/><Relationship Id="rId10" Type="http://schemas.openxmlformats.org/officeDocument/2006/relationships/worksheet" Target="worksheets/sheet10.xml"/><Relationship Id="rId19" Type="http://schemas.openxmlformats.org/officeDocument/2006/relationships/customXml" Target="../customXml/item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pivotCacheDefinition" Target="pivotCache/pivotCacheDefinition2.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800" b="1" i="0" u="none" strike="noStrike" kern="1200" cap="all" spc="50" baseline="0">
                <a:solidFill>
                  <a:schemeClr val="tx1">
                    <a:lumMod val="65000"/>
                    <a:lumOff val="35000"/>
                  </a:schemeClr>
                </a:solidFill>
                <a:latin typeface="+mn-lt"/>
                <a:ea typeface="+mn-ea"/>
                <a:cs typeface="+mn-cs"/>
              </a:defRPr>
            </a:pPr>
            <a:r>
              <a:rPr lang="es-CO"/>
              <a:t>COMPORTAMIENTO DE COSTOS</a:t>
            </a:r>
          </a:p>
        </c:rich>
      </c:tx>
      <c:layout>
        <c:manualLayout>
          <c:xMode val="edge"/>
          <c:yMode val="edge"/>
          <c:x val="0.29030899627341961"/>
          <c:y val="2.6827632461435278E-3"/>
        </c:manualLayout>
      </c:layout>
      <c:overlay val="0"/>
      <c:spPr>
        <a:noFill/>
        <a:ln>
          <a:noFill/>
        </a:ln>
        <a:effectLst/>
      </c:spPr>
      <c:txPr>
        <a:bodyPr rot="0" spcFirstLastPara="1" vertOverflow="ellipsis" vert="horz" wrap="square" anchor="ctr" anchorCtr="1"/>
        <a:lstStyle/>
        <a:p>
          <a:pPr>
            <a:defRPr sz="1800" b="1" i="0" u="none" strike="noStrike" kern="1200" cap="all" spc="50" baseline="0">
              <a:solidFill>
                <a:schemeClr val="tx1">
                  <a:lumMod val="65000"/>
                  <a:lumOff val="35000"/>
                </a:schemeClr>
              </a:solidFill>
              <a:latin typeface="+mn-lt"/>
              <a:ea typeface="+mn-ea"/>
              <a:cs typeface="+mn-cs"/>
            </a:defRPr>
          </a:pPr>
          <a:endParaRPr lang="es-CO"/>
        </a:p>
      </c:txPr>
    </c:title>
    <c:autoTitleDeleted val="0"/>
    <c:view3D>
      <c:rotX val="15"/>
      <c:rotY val="20"/>
      <c:depthPercent val="100"/>
      <c:rAngAx val="1"/>
    </c:view3D>
    <c:floor>
      <c:thickness val="0"/>
      <c:spPr>
        <a:noFill/>
        <a:ln>
          <a:noFill/>
        </a:ln>
        <a:effectLst/>
        <a:sp3d/>
      </c:spPr>
    </c:floor>
    <c:sideWall>
      <c:thickness val="0"/>
      <c:spPr>
        <a:noFill/>
        <a:ln w="25400">
          <a:noFill/>
        </a:ln>
        <a:effectLst/>
        <a:sp3d/>
      </c:spPr>
    </c:sideWall>
    <c:backWall>
      <c:thickness val="0"/>
      <c:spPr>
        <a:noFill/>
        <a:ln w="25400">
          <a:noFill/>
        </a:ln>
        <a:effectLst/>
        <a:sp3d/>
      </c:spPr>
    </c:backWall>
    <c:plotArea>
      <c:layout>
        <c:manualLayout>
          <c:layoutTarget val="inner"/>
          <c:xMode val="edge"/>
          <c:yMode val="edge"/>
          <c:x val="7.56605884790717E-2"/>
          <c:y val="1.3923152309823932E-3"/>
          <c:w val="0.91159970780732469"/>
          <c:h val="0.83002000624047867"/>
        </c:manualLayout>
      </c:layout>
      <c:bar3DChart>
        <c:barDir val="col"/>
        <c:grouping val="standard"/>
        <c:varyColors val="0"/>
        <c:ser>
          <c:idx val="0"/>
          <c:order val="0"/>
          <c:tx>
            <c:v>2023</c:v>
          </c:tx>
          <c:spPr>
            <a:gradFill>
              <a:gsLst>
                <a:gs pos="100000">
                  <a:schemeClr val="accent1">
                    <a:alpha val="0"/>
                  </a:schemeClr>
                </a:gs>
                <a:gs pos="50000">
                  <a:schemeClr val="accent1"/>
                </a:gs>
              </a:gsLst>
              <a:lin ang="5400000" scaled="0"/>
            </a:gradFill>
            <a:ln>
              <a:noFill/>
            </a:ln>
            <a:effectLst/>
            <a:sp3d/>
          </c:spPr>
          <c:invertIfNegative val="0"/>
          <c:dLbls>
            <c:delete val="1"/>
          </c:dLbls>
          <c:cat>
            <c:strRef>
              <c:f>Hoja3!$B$3:$B$6</c:f>
              <c:strCache>
                <c:ptCount val="4"/>
                <c:pt idx="0">
                  <c:v>CIF</c:v>
                </c:pt>
                <c:pt idx="1">
                  <c:v>MOD</c:v>
                </c:pt>
                <c:pt idx="2">
                  <c:v>MOI</c:v>
                </c:pt>
                <c:pt idx="3">
                  <c:v>SP</c:v>
                </c:pt>
              </c:strCache>
            </c:strRef>
          </c:cat>
          <c:val>
            <c:numRef>
              <c:f>Hoja3!$C$3:$C$6</c:f>
              <c:numCache>
                <c:formatCode>_-* #,##0_-;\-* #,##0_-;_-* "-"??_-;_-@_-</c:formatCode>
                <c:ptCount val="4"/>
                <c:pt idx="0">
                  <c:v>959348.27399999986</c:v>
                </c:pt>
                <c:pt idx="1">
                  <c:v>1597990.3180000002</c:v>
                </c:pt>
                <c:pt idx="2">
                  <c:v>865601.56299999938</c:v>
                </c:pt>
                <c:pt idx="3">
                  <c:v>251974.46299999999</c:v>
                </c:pt>
              </c:numCache>
            </c:numRef>
          </c:val>
          <c:extLst>
            <c:ext xmlns:c16="http://schemas.microsoft.com/office/drawing/2014/chart" uri="{C3380CC4-5D6E-409C-BE32-E72D297353CC}">
              <c16:uniqueId val="{00000000-813B-4FB3-B37E-6FA4B8FBB5C4}"/>
            </c:ext>
          </c:extLst>
        </c:ser>
        <c:ser>
          <c:idx val="1"/>
          <c:order val="1"/>
          <c:tx>
            <c:v>2024</c:v>
          </c:tx>
          <c:spPr>
            <a:gradFill>
              <a:gsLst>
                <a:gs pos="100000">
                  <a:schemeClr val="accent2">
                    <a:alpha val="0"/>
                  </a:schemeClr>
                </a:gs>
                <a:gs pos="50000">
                  <a:schemeClr val="accent2"/>
                </a:gs>
              </a:gsLst>
              <a:lin ang="5400000" scaled="0"/>
            </a:gradFill>
            <a:ln>
              <a:noFill/>
            </a:ln>
            <a:effectLst/>
            <a:sp3d/>
          </c:spPr>
          <c:invertIfNegative val="0"/>
          <c:dLbls>
            <c:delete val="1"/>
          </c:dLbls>
          <c:cat>
            <c:strRef>
              <c:f>Hoja3!$B$3:$B$6</c:f>
              <c:strCache>
                <c:ptCount val="4"/>
                <c:pt idx="0">
                  <c:v>CIF</c:v>
                </c:pt>
                <c:pt idx="1">
                  <c:v>MOD</c:v>
                </c:pt>
                <c:pt idx="2">
                  <c:v>MOI</c:v>
                </c:pt>
                <c:pt idx="3">
                  <c:v>SP</c:v>
                </c:pt>
              </c:strCache>
            </c:strRef>
          </c:cat>
          <c:val>
            <c:numRef>
              <c:f>Hoja3!$D$3:$D$6</c:f>
              <c:numCache>
                <c:formatCode>_-* #,##0_-;\-* #,##0_-;_-* "-"??_-;_-@_-</c:formatCode>
                <c:ptCount val="4"/>
                <c:pt idx="0">
                  <c:v>811314.23300000001</c:v>
                </c:pt>
                <c:pt idx="1">
                  <c:v>1816730.4280000001</c:v>
                </c:pt>
                <c:pt idx="2">
                  <c:v>794405.00199999986</c:v>
                </c:pt>
                <c:pt idx="3">
                  <c:v>106891.431</c:v>
                </c:pt>
              </c:numCache>
            </c:numRef>
          </c:val>
          <c:extLst>
            <c:ext xmlns:c16="http://schemas.microsoft.com/office/drawing/2014/chart" uri="{C3380CC4-5D6E-409C-BE32-E72D297353CC}">
              <c16:uniqueId val="{00000001-813B-4FB3-B37E-6FA4B8FBB5C4}"/>
            </c:ext>
          </c:extLst>
        </c:ser>
        <c:ser>
          <c:idx val="2"/>
          <c:order val="2"/>
          <c:tx>
            <c:v>2025</c:v>
          </c:tx>
          <c:spPr>
            <a:gradFill>
              <a:gsLst>
                <a:gs pos="100000">
                  <a:schemeClr val="accent3">
                    <a:alpha val="0"/>
                  </a:schemeClr>
                </a:gs>
                <a:gs pos="50000">
                  <a:schemeClr val="accent3"/>
                </a:gs>
              </a:gsLst>
              <a:lin ang="5400000" scaled="0"/>
            </a:gradFill>
            <a:ln>
              <a:noFill/>
            </a:ln>
            <a:effectLst/>
            <a:sp3d/>
          </c:spPr>
          <c:invertIfNegative val="0"/>
          <c:dLbls>
            <c:delete val="1"/>
          </c:dLbls>
          <c:cat>
            <c:strRef>
              <c:f>Hoja3!$B$3:$B$6</c:f>
              <c:strCache>
                <c:ptCount val="4"/>
                <c:pt idx="0">
                  <c:v>CIF</c:v>
                </c:pt>
                <c:pt idx="1">
                  <c:v>MOD</c:v>
                </c:pt>
                <c:pt idx="2">
                  <c:v>MOI</c:v>
                </c:pt>
                <c:pt idx="3">
                  <c:v>SP</c:v>
                </c:pt>
              </c:strCache>
            </c:strRef>
          </c:cat>
          <c:val>
            <c:numRef>
              <c:f>Hoja3!$E$3:$E$6</c:f>
              <c:numCache>
                <c:formatCode>_-* #,##0_-;\-* #,##0_-;_-* "-"??_-;_-@_-</c:formatCode>
                <c:ptCount val="4"/>
                <c:pt idx="0">
                  <c:v>1235341.9319999998</c:v>
                </c:pt>
                <c:pt idx="1">
                  <c:v>2085330.5959999994</c:v>
                </c:pt>
                <c:pt idx="2">
                  <c:v>989122.61199999996</c:v>
                </c:pt>
                <c:pt idx="3">
                  <c:v>132325.595</c:v>
                </c:pt>
              </c:numCache>
            </c:numRef>
          </c:val>
          <c:extLst>
            <c:ext xmlns:c16="http://schemas.microsoft.com/office/drawing/2014/chart" uri="{C3380CC4-5D6E-409C-BE32-E72D297353CC}">
              <c16:uniqueId val="{00000002-813B-4FB3-B37E-6FA4B8FBB5C4}"/>
            </c:ext>
          </c:extLst>
        </c:ser>
        <c:dLbls>
          <c:showLegendKey val="0"/>
          <c:showVal val="1"/>
          <c:showCatName val="0"/>
          <c:showSerName val="0"/>
          <c:showPercent val="0"/>
          <c:showBubbleSize val="0"/>
        </c:dLbls>
        <c:gapWidth val="150"/>
        <c:gapDepth val="0"/>
        <c:shape val="box"/>
        <c:axId val="538159600"/>
        <c:axId val="538160080"/>
        <c:axId val="1541627648"/>
      </c:bar3DChart>
      <c:catAx>
        <c:axId val="538159600"/>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crossAx val="538160080"/>
        <c:crosses val="autoZero"/>
        <c:auto val="1"/>
        <c:lblAlgn val="ctr"/>
        <c:lblOffset val="100"/>
        <c:noMultiLvlLbl val="0"/>
      </c:catAx>
      <c:valAx>
        <c:axId val="538160080"/>
        <c:scaling>
          <c:orientation val="minMax"/>
        </c:scaling>
        <c:delete val="1"/>
        <c:axPos val="l"/>
        <c:numFmt formatCode="_-* #,##0_-;\-* #,##0_-;_-* &quot;-&quot;??_-;_-@_-" sourceLinked="1"/>
        <c:majorTickMark val="none"/>
        <c:minorTickMark val="none"/>
        <c:tickLblPos val="nextTo"/>
        <c:crossAx val="538159600"/>
        <c:crosses val="autoZero"/>
        <c:crossBetween val="between"/>
      </c:valAx>
      <c:serAx>
        <c:axId val="1541627648"/>
        <c:scaling>
          <c:orientation val="minMax"/>
        </c:scaling>
        <c:delete val="1"/>
        <c:axPos val="b"/>
        <c:majorTickMark val="none"/>
        <c:minorTickMark val="none"/>
        <c:tickLblPos val="nextTo"/>
        <c:crossAx val="538160080"/>
        <c:crosses val="autoZero"/>
      </c:serAx>
      <c:dTable>
        <c:showHorzBorder val="1"/>
        <c:showVertBorder val="1"/>
        <c:showOutline val="1"/>
        <c:showKeys val="1"/>
        <c:spPr>
          <a:noFill/>
          <a:ln w="9525">
            <a:solidFill>
              <a:schemeClr val="tx1">
                <a:lumMod val="15000"/>
                <a:lumOff val="85000"/>
              </a:schemeClr>
            </a:solidFill>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s-CO"/>
          </a:p>
        </c:txPr>
      </c:dTable>
      <c:spPr>
        <a:solidFill>
          <a:schemeClr val="accent3">
            <a:lumMod val="20000"/>
            <a:lumOff val="80000"/>
          </a:schemeClr>
        </a:solid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s-CO"/>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chemeClr val="tx1"/>
                </a:solidFill>
                <a:latin typeface="+mn-lt"/>
                <a:ea typeface="+mn-ea"/>
                <a:cs typeface="+mn-cs"/>
              </a:defRPr>
            </a:pPr>
            <a:r>
              <a:rPr lang="en-US" b="1">
                <a:solidFill>
                  <a:schemeClr val="tx1"/>
                </a:solidFill>
              </a:rPr>
              <a:t>Cantidad</a:t>
            </a:r>
            <a:r>
              <a:rPr lang="en-US" b="1" baseline="0">
                <a:solidFill>
                  <a:schemeClr val="tx1"/>
                </a:solidFill>
              </a:rPr>
              <a:t> de empleados MOD</a:t>
            </a:r>
            <a:endParaRPr lang="en-US" b="1">
              <a:solidFill>
                <a:schemeClr val="tx1"/>
              </a:solidFill>
            </a:endParaRPr>
          </a:p>
        </c:rich>
      </c:tx>
      <c:layout>
        <c:manualLayout>
          <c:xMode val="edge"/>
          <c:yMode val="edge"/>
          <c:x val="0.38755869050361547"/>
          <c:y val="5.5962666656890495E-2"/>
        </c:manualLayout>
      </c:layout>
      <c:overlay val="0"/>
      <c:spPr>
        <a:noFill/>
        <a:ln>
          <a:noFill/>
        </a:ln>
        <a:effectLst/>
      </c:spPr>
      <c:txPr>
        <a:bodyPr rot="0" spcFirstLastPara="1" vertOverflow="ellipsis" vert="horz" wrap="square" anchor="ctr" anchorCtr="1"/>
        <a:lstStyle/>
        <a:p>
          <a:pPr>
            <a:defRPr sz="1400" b="1" i="0" u="none" strike="noStrike" kern="1200" spc="0" baseline="0">
              <a:solidFill>
                <a:schemeClr val="tx1"/>
              </a:solidFill>
              <a:latin typeface="+mn-lt"/>
              <a:ea typeface="+mn-ea"/>
              <a:cs typeface="+mn-cs"/>
            </a:defRPr>
          </a:pPr>
          <a:endParaRPr lang="en-US"/>
        </a:p>
      </c:txPr>
    </c:title>
    <c:autoTitleDeleted val="0"/>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5.7471332816239708E-2"/>
          <c:y val="7.364455542851514E-2"/>
          <c:w val="0.90622837628450237"/>
          <c:h val="0.75315889252161239"/>
        </c:manualLayout>
      </c:layout>
      <c:bar3DChart>
        <c:barDir val="col"/>
        <c:grouping val="standard"/>
        <c:varyColors val="0"/>
        <c:ser>
          <c:idx val="4"/>
          <c:order val="0"/>
          <c:tx>
            <c:strRef>
              <c:f>'Personal-MOD'!$H$4</c:f>
              <c:strCache>
                <c:ptCount val="1"/>
                <c:pt idx="0">
                  <c:v>134</c:v>
                </c:pt>
              </c:strCache>
            </c:strRef>
          </c:tx>
          <c:spPr>
            <a:solidFill>
              <a:schemeClr val="accent6">
                <a:lumMod val="75000"/>
              </a:schemeClr>
            </a:solidFill>
            <a:ln>
              <a:noFill/>
            </a:ln>
            <a:effectLst/>
            <a:sp3d/>
          </c:spPr>
          <c:invertIfNegative val="0"/>
          <c:dPt>
            <c:idx val="0"/>
            <c:invertIfNegative val="0"/>
            <c:bubble3D val="0"/>
            <c:spPr>
              <a:solidFill>
                <a:schemeClr val="accent6">
                  <a:lumMod val="75000"/>
                </a:schemeClr>
              </a:solidFill>
              <a:ln>
                <a:noFill/>
              </a:ln>
              <a:effectLst/>
              <a:sp3d/>
            </c:spPr>
            <c:extLst>
              <c:ext xmlns:c16="http://schemas.microsoft.com/office/drawing/2014/chart" uri="{C3380CC4-5D6E-409C-BE32-E72D297353CC}">
                <c16:uniqueId val="{00000005-1EE9-4489-948D-C26F8D1A6370}"/>
              </c:ext>
            </c:extLst>
          </c:dPt>
          <c:dPt>
            <c:idx val="1"/>
            <c:invertIfNegative val="0"/>
            <c:bubble3D val="0"/>
            <c:spPr>
              <a:solidFill>
                <a:schemeClr val="accent6">
                  <a:lumMod val="75000"/>
                </a:schemeClr>
              </a:solidFill>
              <a:ln>
                <a:noFill/>
              </a:ln>
              <a:effectLst/>
              <a:sp3d/>
            </c:spPr>
            <c:extLst>
              <c:ext xmlns:c16="http://schemas.microsoft.com/office/drawing/2014/chart" uri="{C3380CC4-5D6E-409C-BE32-E72D297353CC}">
                <c16:uniqueId val="{00000006-1EE9-4489-948D-C26F8D1A6370}"/>
              </c:ext>
            </c:extLst>
          </c:dPt>
          <c:dPt>
            <c:idx val="2"/>
            <c:invertIfNegative val="0"/>
            <c:bubble3D val="0"/>
            <c:spPr>
              <a:solidFill>
                <a:schemeClr val="accent6">
                  <a:lumMod val="75000"/>
                </a:schemeClr>
              </a:solidFill>
              <a:ln>
                <a:noFill/>
              </a:ln>
              <a:effectLst/>
              <a:sp3d/>
            </c:spPr>
            <c:extLst>
              <c:ext xmlns:c16="http://schemas.microsoft.com/office/drawing/2014/chart" uri="{C3380CC4-5D6E-409C-BE32-E72D297353CC}">
                <c16:uniqueId val="{00000007-1EE9-4489-948D-C26F8D1A6370}"/>
              </c:ext>
            </c:extLst>
          </c:dPt>
          <c:dPt>
            <c:idx val="3"/>
            <c:invertIfNegative val="0"/>
            <c:bubble3D val="0"/>
            <c:spPr>
              <a:solidFill>
                <a:schemeClr val="accent5"/>
              </a:solidFill>
              <a:ln>
                <a:noFill/>
              </a:ln>
              <a:effectLst/>
              <a:sp3d/>
            </c:spPr>
            <c:extLst>
              <c:ext xmlns:c16="http://schemas.microsoft.com/office/drawing/2014/chart" uri="{C3380CC4-5D6E-409C-BE32-E72D297353CC}">
                <c16:uniqueId val="{00000043-BF59-488B-B857-EF8817FAF848}"/>
              </c:ext>
            </c:extLst>
          </c:dPt>
          <c:dPt>
            <c:idx val="4"/>
            <c:invertIfNegative val="0"/>
            <c:bubble3D val="0"/>
            <c:spPr>
              <a:solidFill>
                <a:schemeClr val="accent5"/>
              </a:solidFill>
              <a:ln>
                <a:noFill/>
              </a:ln>
              <a:effectLst/>
              <a:sp3d/>
            </c:spPr>
            <c:extLst>
              <c:ext xmlns:c16="http://schemas.microsoft.com/office/drawing/2014/chart" uri="{C3380CC4-5D6E-409C-BE32-E72D297353CC}">
                <c16:uniqueId val="{00000044-BF59-488B-B857-EF8817FAF848}"/>
              </c:ext>
            </c:extLst>
          </c:dPt>
          <c:dPt>
            <c:idx val="5"/>
            <c:invertIfNegative val="0"/>
            <c:bubble3D val="0"/>
            <c:spPr>
              <a:solidFill>
                <a:schemeClr val="accent5"/>
              </a:solidFill>
              <a:ln>
                <a:noFill/>
              </a:ln>
              <a:effectLst/>
              <a:sp3d/>
            </c:spPr>
            <c:extLst>
              <c:ext xmlns:c16="http://schemas.microsoft.com/office/drawing/2014/chart" uri="{C3380CC4-5D6E-409C-BE32-E72D297353CC}">
                <c16:uniqueId val="{00000045-BF59-488B-B857-EF8817FAF848}"/>
              </c:ext>
            </c:extLst>
          </c:dPt>
          <c:dPt>
            <c:idx val="6"/>
            <c:invertIfNegative val="0"/>
            <c:bubble3D val="0"/>
            <c:spPr>
              <a:solidFill>
                <a:srgbClr val="FFC000"/>
              </a:solidFill>
              <a:ln>
                <a:noFill/>
              </a:ln>
              <a:effectLst/>
              <a:sp3d/>
            </c:spPr>
            <c:extLst>
              <c:ext xmlns:c16="http://schemas.microsoft.com/office/drawing/2014/chart" uri="{C3380CC4-5D6E-409C-BE32-E72D297353CC}">
                <c16:uniqueId val="{00000008-1EE9-4489-948D-C26F8D1A6370}"/>
              </c:ext>
            </c:extLst>
          </c:dPt>
          <c:dPt>
            <c:idx val="7"/>
            <c:invertIfNegative val="0"/>
            <c:bubble3D val="0"/>
            <c:spPr>
              <a:solidFill>
                <a:srgbClr val="FFC000"/>
              </a:solidFill>
              <a:ln>
                <a:noFill/>
              </a:ln>
              <a:effectLst/>
              <a:sp3d/>
            </c:spPr>
            <c:extLst>
              <c:ext xmlns:c16="http://schemas.microsoft.com/office/drawing/2014/chart" uri="{C3380CC4-5D6E-409C-BE32-E72D297353CC}">
                <c16:uniqueId val="{00000009-1EE9-4489-948D-C26F8D1A6370}"/>
              </c:ext>
            </c:extLst>
          </c:dPt>
          <c:dPt>
            <c:idx val="8"/>
            <c:invertIfNegative val="0"/>
            <c:bubble3D val="0"/>
            <c:spPr>
              <a:solidFill>
                <a:srgbClr val="FFC000"/>
              </a:solidFill>
              <a:ln>
                <a:noFill/>
              </a:ln>
              <a:effectLst/>
              <a:sp3d/>
            </c:spPr>
            <c:extLst>
              <c:ext xmlns:c16="http://schemas.microsoft.com/office/drawing/2014/chart" uri="{C3380CC4-5D6E-409C-BE32-E72D297353CC}">
                <c16:uniqueId val="{0000000A-1EE9-4489-948D-C26F8D1A6370}"/>
              </c:ext>
            </c:extLst>
          </c:dPt>
          <c:dPt>
            <c:idx val="9"/>
            <c:invertIfNegative val="0"/>
            <c:bubble3D val="0"/>
            <c:spPr>
              <a:solidFill>
                <a:srgbClr val="7030A0"/>
              </a:solidFill>
              <a:ln>
                <a:noFill/>
              </a:ln>
              <a:effectLst/>
              <a:sp3d/>
            </c:spPr>
            <c:extLst>
              <c:ext xmlns:c16="http://schemas.microsoft.com/office/drawing/2014/chart" uri="{C3380CC4-5D6E-409C-BE32-E72D297353CC}">
                <c16:uniqueId val="{0000000B-1EE9-4489-948D-C26F8D1A6370}"/>
              </c:ext>
            </c:extLst>
          </c:dPt>
          <c:dPt>
            <c:idx val="10"/>
            <c:invertIfNegative val="0"/>
            <c:bubble3D val="0"/>
            <c:spPr>
              <a:solidFill>
                <a:srgbClr val="7030A0"/>
              </a:solidFill>
              <a:ln>
                <a:noFill/>
              </a:ln>
              <a:effectLst/>
              <a:sp3d/>
            </c:spPr>
            <c:extLst>
              <c:ext xmlns:c16="http://schemas.microsoft.com/office/drawing/2014/chart" uri="{C3380CC4-5D6E-409C-BE32-E72D297353CC}">
                <c16:uniqueId val="{0000000C-1EE9-4489-948D-C26F8D1A6370}"/>
              </c:ext>
            </c:extLst>
          </c:dPt>
          <c:dPt>
            <c:idx val="11"/>
            <c:invertIfNegative val="0"/>
            <c:bubble3D val="0"/>
            <c:spPr>
              <a:solidFill>
                <a:srgbClr val="7030A0"/>
              </a:solidFill>
              <a:ln>
                <a:noFill/>
              </a:ln>
              <a:effectLst/>
              <a:sp3d/>
            </c:spPr>
            <c:extLst>
              <c:ext xmlns:c16="http://schemas.microsoft.com/office/drawing/2014/chart" uri="{C3380CC4-5D6E-409C-BE32-E72D297353CC}">
                <c16:uniqueId val="{0000000D-1EE9-4489-948D-C26F8D1A6370}"/>
              </c:ext>
            </c:extLst>
          </c:dPt>
          <c:dPt>
            <c:idx val="12"/>
            <c:invertIfNegative val="0"/>
            <c:bubble3D val="0"/>
            <c:spPr>
              <a:solidFill>
                <a:schemeClr val="accent2"/>
              </a:solidFill>
              <a:ln>
                <a:noFill/>
              </a:ln>
              <a:effectLst/>
              <a:sp3d/>
            </c:spPr>
            <c:extLst>
              <c:ext xmlns:c16="http://schemas.microsoft.com/office/drawing/2014/chart" uri="{C3380CC4-5D6E-409C-BE32-E72D297353CC}">
                <c16:uniqueId val="{00000014-7189-40E4-BF2B-464157094F9B}"/>
              </c:ext>
            </c:extLst>
          </c:dPt>
          <c:dPt>
            <c:idx val="13"/>
            <c:invertIfNegative val="0"/>
            <c:bubble3D val="0"/>
            <c:spPr>
              <a:solidFill>
                <a:schemeClr val="accent2"/>
              </a:solidFill>
              <a:ln>
                <a:noFill/>
              </a:ln>
              <a:effectLst/>
              <a:sp3d/>
            </c:spPr>
            <c:extLst>
              <c:ext xmlns:c16="http://schemas.microsoft.com/office/drawing/2014/chart" uri="{C3380CC4-5D6E-409C-BE32-E72D297353CC}">
                <c16:uniqueId val="{00000015-7189-40E4-BF2B-464157094F9B}"/>
              </c:ext>
            </c:extLst>
          </c:dPt>
          <c:dPt>
            <c:idx val="14"/>
            <c:invertIfNegative val="0"/>
            <c:bubble3D val="0"/>
            <c:spPr>
              <a:solidFill>
                <a:schemeClr val="accent2"/>
              </a:solidFill>
              <a:ln>
                <a:noFill/>
              </a:ln>
              <a:effectLst/>
              <a:sp3d/>
            </c:spPr>
            <c:extLst>
              <c:ext xmlns:c16="http://schemas.microsoft.com/office/drawing/2014/chart" uri="{C3380CC4-5D6E-409C-BE32-E72D297353CC}">
                <c16:uniqueId val="{00000016-7189-40E4-BF2B-464157094F9B}"/>
              </c:ext>
            </c:extLst>
          </c:dPt>
          <c:dPt>
            <c:idx val="15"/>
            <c:invertIfNegative val="0"/>
            <c:bubble3D val="0"/>
            <c:spPr>
              <a:solidFill>
                <a:schemeClr val="tx2">
                  <a:lumMod val="75000"/>
                </a:schemeClr>
              </a:solidFill>
              <a:ln>
                <a:noFill/>
              </a:ln>
              <a:effectLst/>
              <a:sp3d/>
            </c:spPr>
            <c:extLst>
              <c:ext xmlns:c16="http://schemas.microsoft.com/office/drawing/2014/chart" uri="{C3380CC4-5D6E-409C-BE32-E72D297353CC}">
                <c16:uniqueId val="{0000001B-57DE-4133-A745-166426C5A9C8}"/>
              </c:ext>
            </c:extLst>
          </c:dPt>
          <c:dPt>
            <c:idx val="16"/>
            <c:invertIfNegative val="0"/>
            <c:bubble3D val="0"/>
            <c:spPr>
              <a:solidFill>
                <a:schemeClr val="tx2">
                  <a:lumMod val="75000"/>
                </a:schemeClr>
              </a:solidFill>
              <a:ln>
                <a:noFill/>
              </a:ln>
              <a:effectLst/>
              <a:sp3d/>
            </c:spPr>
            <c:extLst>
              <c:ext xmlns:c16="http://schemas.microsoft.com/office/drawing/2014/chart" uri="{C3380CC4-5D6E-409C-BE32-E72D297353CC}">
                <c16:uniqueId val="{0000001C-57DE-4133-A745-166426C5A9C8}"/>
              </c:ext>
            </c:extLst>
          </c:dPt>
          <c:dPt>
            <c:idx val="17"/>
            <c:invertIfNegative val="0"/>
            <c:bubble3D val="0"/>
            <c:spPr>
              <a:solidFill>
                <a:schemeClr val="tx2">
                  <a:lumMod val="75000"/>
                </a:schemeClr>
              </a:solidFill>
              <a:ln>
                <a:noFill/>
              </a:ln>
              <a:effectLst/>
              <a:sp3d/>
            </c:spPr>
            <c:extLst>
              <c:ext xmlns:c16="http://schemas.microsoft.com/office/drawing/2014/chart" uri="{C3380CC4-5D6E-409C-BE32-E72D297353CC}">
                <c16:uniqueId val="{0000001D-57DE-4133-A745-166426C5A9C8}"/>
              </c:ext>
            </c:extLst>
          </c:dPt>
          <c:dPt>
            <c:idx val="18"/>
            <c:invertIfNegative val="0"/>
            <c:bubble3D val="0"/>
            <c:spPr>
              <a:solidFill>
                <a:srgbClr val="00B0F0"/>
              </a:solidFill>
              <a:ln>
                <a:noFill/>
              </a:ln>
              <a:effectLst/>
              <a:sp3d/>
            </c:spPr>
            <c:extLst>
              <c:ext xmlns:c16="http://schemas.microsoft.com/office/drawing/2014/chart" uri="{C3380CC4-5D6E-409C-BE32-E72D297353CC}">
                <c16:uniqueId val="{00000027-A2EA-4812-B9C5-BC232DB7B6AE}"/>
              </c:ext>
            </c:extLst>
          </c:dPt>
          <c:dPt>
            <c:idx val="19"/>
            <c:invertIfNegative val="0"/>
            <c:bubble3D val="0"/>
            <c:spPr>
              <a:solidFill>
                <a:srgbClr val="00B0F0"/>
              </a:solidFill>
              <a:ln>
                <a:noFill/>
              </a:ln>
              <a:effectLst/>
              <a:sp3d/>
            </c:spPr>
            <c:extLst>
              <c:ext xmlns:c16="http://schemas.microsoft.com/office/drawing/2014/chart" uri="{C3380CC4-5D6E-409C-BE32-E72D297353CC}">
                <c16:uniqueId val="{00000028-A2EA-4812-B9C5-BC232DB7B6AE}"/>
              </c:ext>
            </c:extLst>
          </c:dPt>
          <c:dPt>
            <c:idx val="20"/>
            <c:invertIfNegative val="0"/>
            <c:bubble3D val="0"/>
            <c:spPr>
              <a:solidFill>
                <a:srgbClr val="00B0F0"/>
              </a:solidFill>
              <a:ln>
                <a:noFill/>
              </a:ln>
              <a:effectLst/>
              <a:sp3d/>
            </c:spPr>
            <c:extLst>
              <c:ext xmlns:c16="http://schemas.microsoft.com/office/drawing/2014/chart" uri="{C3380CC4-5D6E-409C-BE32-E72D297353CC}">
                <c16:uniqueId val="{00000029-A2EA-4812-B9C5-BC232DB7B6AE}"/>
              </c:ext>
            </c:extLst>
          </c:dPt>
          <c:dPt>
            <c:idx val="21"/>
            <c:invertIfNegative val="0"/>
            <c:bubble3D val="0"/>
            <c:spPr>
              <a:solidFill>
                <a:srgbClr val="C00000"/>
              </a:solidFill>
              <a:ln>
                <a:noFill/>
              </a:ln>
              <a:effectLst/>
              <a:sp3d/>
            </c:spPr>
            <c:extLst>
              <c:ext xmlns:c16="http://schemas.microsoft.com/office/drawing/2014/chart" uri="{C3380CC4-5D6E-409C-BE32-E72D297353CC}">
                <c16:uniqueId val="{0000001E-A2EA-4812-B9C5-BC232DB7B6AE}"/>
              </c:ext>
            </c:extLst>
          </c:dPt>
          <c:dPt>
            <c:idx val="22"/>
            <c:invertIfNegative val="0"/>
            <c:bubble3D val="0"/>
            <c:spPr>
              <a:solidFill>
                <a:srgbClr val="C00000"/>
              </a:solidFill>
              <a:ln>
                <a:noFill/>
              </a:ln>
              <a:effectLst/>
              <a:sp3d/>
            </c:spPr>
            <c:extLst>
              <c:ext xmlns:c16="http://schemas.microsoft.com/office/drawing/2014/chart" uri="{C3380CC4-5D6E-409C-BE32-E72D297353CC}">
                <c16:uniqueId val="{0000001F-A2EA-4812-B9C5-BC232DB7B6AE}"/>
              </c:ext>
            </c:extLst>
          </c:dPt>
          <c:dPt>
            <c:idx val="23"/>
            <c:invertIfNegative val="0"/>
            <c:bubble3D val="0"/>
            <c:spPr>
              <a:solidFill>
                <a:srgbClr val="C00000"/>
              </a:solidFill>
              <a:ln>
                <a:noFill/>
              </a:ln>
              <a:effectLst/>
              <a:sp3d/>
            </c:spPr>
            <c:extLst>
              <c:ext xmlns:c16="http://schemas.microsoft.com/office/drawing/2014/chart" uri="{C3380CC4-5D6E-409C-BE32-E72D297353CC}">
                <c16:uniqueId val="{00000020-A2EA-4812-B9C5-BC232DB7B6AE}"/>
              </c:ext>
            </c:extLst>
          </c:dPt>
          <c:dPt>
            <c:idx val="24"/>
            <c:invertIfNegative val="0"/>
            <c:bubble3D val="0"/>
            <c:spPr>
              <a:solidFill>
                <a:schemeClr val="accent6">
                  <a:lumMod val="75000"/>
                </a:schemeClr>
              </a:solidFill>
              <a:ln>
                <a:noFill/>
              </a:ln>
              <a:effectLst/>
              <a:sp3d/>
            </c:spPr>
            <c:extLst>
              <c:ext xmlns:c16="http://schemas.microsoft.com/office/drawing/2014/chart" uri="{C3380CC4-5D6E-409C-BE32-E72D297353CC}">
                <c16:uniqueId val="{00000021-A2EA-4812-B9C5-BC232DB7B6AE}"/>
              </c:ext>
            </c:extLst>
          </c:dPt>
          <c:dPt>
            <c:idx val="25"/>
            <c:invertIfNegative val="0"/>
            <c:bubble3D val="0"/>
            <c:spPr>
              <a:solidFill>
                <a:schemeClr val="accent6">
                  <a:lumMod val="75000"/>
                </a:schemeClr>
              </a:solidFill>
              <a:ln>
                <a:noFill/>
              </a:ln>
              <a:effectLst/>
              <a:sp3d/>
            </c:spPr>
            <c:extLst>
              <c:ext xmlns:c16="http://schemas.microsoft.com/office/drawing/2014/chart" uri="{C3380CC4-5D6E-409C-BE32-E72D297353CC}">
                <c16:uniqueId val="{00000022-A2EA-4812-B9C5-BC232DB7B6AE}"/>
              </c:ext>
            </c:extLst>
          </c:dPt>
          <c:dPt>
            <c:idx val="26"/>
            <c:invertIfNegative val="0"/>
            <c:bubble3D val="0"/>
            <c:spPr>
              <a:solidFill>
                <a:schemeClr val="accent6">
                  <a:lumMod val="75000"/>
                </a:schemeClr>
              </a:solidFill>
              <a:ln>
                <a:noFill/>
              </a:ln>
              <a:effectLst/>
              <a:sp3d/>
            </c:spPr>
            <c:extLst>
              <c:ext xmlns:c16="http://schemas.microsoft.com/office/drawing/2014/chart" uri="{C3380CC4-5D6E-409C-BE32-E72D297353CC}">
                <c16:uniqueId val="{00000023-A2EA-4812-B9C5-BC232DB7B6AE}"/>
              </c:ext>
            </c:extLst>
          </c:dPt>
          <c:dPt>
            <c:idx val="27"/>
            <c:invertIfNegative val="0"/>
            <c:bubble3D val="0"/>
            <c:spPr>
              <a:solidFill>
                <a:schemeClr val="bg1">
                  <a:lumMod val="75000"/>
                </a:schemeClr>
              </a:solidFill>
              <a:ln>
                <a:noFill/>
              </a:ln>
              <a:effectLst/>
              <a:sp3d/>
            </c:spPr>
            <c:extLst>
              <c:ext xmlns:c16="http://schemas.microsoft.com/office/drawing/2014/chart" uri="{C3380CC4-5D6E-409C-BE32-E72D297353CC}">
                <c16:uniqueId val="{00000024-A2EA-4812-B9C5-BC232DB7B6AE}"/>
              </c:ext>
            </c:extLst>
          </c:dPt>
          <c:dPt>
            <c:idx val="28"/>
            <c:invertIfNegative val="0"/>
            <c:bubble3D val="0"/>
            <c:spPr>
              <a:solidFill>
                <a:schemeClr val="bg1">
                  <a:lumMod val="75000"/>
                </a:schemeClr>
              </a:solidFill>
              <a:ln>
                <a:noFill/>
              </a:ln>
              <a:effectLst/>
              <a:sp3d/>
            </c:spPr>
            <c:extLst>
              <c:ext xmlns:c16="http://schemas.microsoft.com/office/drawing/2014/chart" uri="{C3380CC4-5D6E-409C-BE32-E72D297353CC}">
                <c16:uniqueId val="{00000025-A2EA-4812-B9C5-BC232DB7B6AE}"/>
              </c:ext>
            </c:extLst>
          </c:dPt>
          <c:dPt>
            <c:idx val="29"/>
            <c:invertIfNegative val="0"/>
            <c:bubble3D val="0"/>
            <c:spPr>
              <a:solidFill>
                <a:schemeClr val="bg1">
                  <a:lumMod val="75000"/>
                </a:schemeClr>
              </a:solidFill>
              <a:ln>
                <a:noFill/>
              </a:ln>
              <a:effectLst/>
              <a:sp3d/>
            </c:spPr>
            <c:extLst>
              <c:ext xmlns:c16="http://schemas.microsoft.com/office/drawing/2014/chart" uri="{C3380CC4-5D6E-409C-BE32-E72D297353CC}">
                <c16:uniqueId val="{00000026-A2EA-4812-B9C5-BC232DB7B6AE}"/>
              </c:ext>
            </c:extLst>
          </c:dPt>
          <c:dPt>
            <c:idx val="30"/>
            <c:invertIfNegative val="0"/>
            <c:bubble3D val="0"/>
            <c:spPr>
              <a:solidFill>
                <a:schemeClr val="accent2">
                  <a:lumMod val="20000"/>
                  <a:lumOff val="80000"/>
                </a:schemeClr>
              </a:solidFill>
              <a:ln>
                <a:noFill/>
              </a:ln>
              <a:effectLst/>
              <a:sp3d/>
            </c:spPr>
            <c:extLst>
              <c:ext xmlns:c16="http://schemas.microsoft.com/office/drawing/2014/chart" uri="{C3380CC4-5D6E-409C-BE32-E72D297353CC}">
                <c16:uniqueId val="{00000036-E330-4825-BB59-D71B321AC01D}"/>
              </c:ext>
            </c:extLst>
          </c:dPt>
          <c:dPt>
            <c:idx val="31"/>
            <c:invertIfNegative val="0"/>
            <c:bubble3D val="0"/>
            <c:spPr>
              <a:solidFill>
                <a:schemeClr val="accent2">
                  <a:lumMod val="20000"/>
                  <a:lumOff val="80000"/>
                </a:schemeClr>
              </a:solidFill>
              <a:ln>
                <a:noFill/>
              </a:ln>
              <a:effectLst/>
              <a:sp3d/>
            </c:spPr>
            <c:extLst>
              <c:ext xmlns:c16="http://schemas.microsoft.com/office/drawing/2014/chart" uri="{C3380CC4-5D6E-409C-BE32-E72D297353CC}">
                <c16:uniqueId val="{00000037-E330-4825-BB59-D71B321AC01D}"/>
              </c:ext>
            </c:extLst>
          </c:dPt>
          <c:dPt>
            <c:idx val="32"/>
            <c:invertIfNegative val="0"/>
            <c:bubble3D val="0"/>
            <c:spPr>
              <a:solidFill>
                <a:schemeClr val="accent2">
                  <a:lumMod val="20000"/>
                  <a:lumOff val="80000"/>
                </a:schemeClr>
              </a:solidFill>
              <a:ln>
                <a:noFill/>
              </a:ln>
              <a:effectLst/>
              <a:sp3d/>
            </c:spPr>
            <c:extLst>
              <c:ext xmlns:c16="http://schemas.microsoft.com/office/drawing/2014/chart" uri="{C3380CC4-5D6E-409C-BE32-E72D297353CC}">
                <c16:uniqueId val="{00000038-E330-4825-BB59-D71B321AC01D}"/>
              </c:ext>
            </c:extLst>
          </c:dPt>
          <c:dPt>
            <c:idx val="33"/>
            <c:invertIfNegative val="0"/>
            <c:bubble3D val="0"/>
            <c:spPr>
              <a:solidFill>
                <a:schemeClr val="accent2">
                  <a:lumMod val="75000"/>
                </a:schemeClr>
              </a:solidFill>
              <a:ln>
                <a:noFill/>
              </a:ln>
              <a:effectLst/>
              <a:sp3d/>
            </c:spPr>
            <c:extLst>
              <c:ext xmlns:c16="http://schemas.microsoft.com/office/drawing/2014/chart" uri="{C3380CC4-5D6E-409C-BE32-E72D297353CC}">
                <c16:uniqueId val="{0000003C-6692-4DB6-9373-C7217C1AB663}"/>
              </c:ext>
            </c:extLst>
          </c:dPt>
          <c:dPt>
            <c:idx val="34"/>
            <c:invertIfNegative val="0"/>
            <c:bubble3D val="0"/>
            <c:spPr>
              <a:solidFill>
                <a:schemeClr val="accent2">
                  <a:lumMod val="75000"/>
                </a:schemeClr>
              </a:solidFill>
              <a:ln>
                <a:noFill/>
              </a:ln>
              <a:effectLst/>
              <a:sp3d/>
            </c:spPr>
            <c:extLst>
              <c:ext xmlns:c16="http://schemas.microsoft.com/office/drawing/2014/chart" uri="{C3380CC4-5D6E-409C-BE32-E72D297353CC}">
                <c16:uniqueId val="{0000003D-6692-4DB6-9373-C7217C1AB663}"/>
              </c:ext>
            </c:extLst>
          </c:dPt>
          <c:dPt>
            <c:idx val="35"/>
            <c:invertIfNegative val="0"/>
            <c:bubble3D val="0"/>
            <c:spPr>
              <a:solidFill>
                <a:schemeClr val="accent2">
                  <a:lumMod val="75000"/>
                </a:schemeClr>
              </a:solidFill>
              <a:ln>
                <a:noFill/>
              </a:ln>
              <a:effectLst/>
              <a:sp3d/>
            </c:spPr>
            <c:extLst>
              <c:ext xmlns:c16="http://schemas.microsoft.com/office/drawing/2014/chart" uri="{C3380CC4-5D6E-409C-BE32-E72D297353CC}">
                <c16:uniqueId val="{0000003E-6692-4DB6-9373-C7217C1AB663}"/>
              </c:ext>
            </c:extLst>
          </c:dPt>
          <c:dLbls>
            <c:dLbl>
              <c:idx val="0"/>
              <c:layout>
                <c:manualLayout>
                  <c:x val="2.124239093626898E-4"/>
                  <c:y val="9.9255859140088679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1EE9-4489-948D-C26F8D1A6370}"/>
                </c:ext>
              </c:extLst>
            </c:dLbl>
            <c:dLbl>
              <c:idx val="1"/>
              <c:layout>
                <c:manualLayout>
                  <c:x val="1.6313185422495899E-3"/>
                  <c:y val="0.16698114318951243"/>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1EE9-4489-948D-C26F8D1A6370}"/>
                </c:ext>
              </c:extLst>
            </c:dLbl>
            <c:dLbl>
              <c:idx val="2"/>
              <c:layout>
                <c:manualLayout>
                  <c:x val="5.812931340827052E-4"/>
                  <c:y val="0.16877929585945434"/>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1EE9-4489-948D-C26F8D1A6370}"/>
                </c:ext>
              </c:extLst>
            </c:dLbl>
            <c:dLbl>
              <c:idx val="3"/>
              <c:layout>
                <c:manualLayout>
                  <c:x val="1.0024303631412626E-3"/>
                  <c:y val="0.1549457248546913"/>
                </c:manualLayout>
              </c:layout>
              <c:spPr>
                <a:noFill/>
                <a:ln>
                  <a:noFill/>
                </a:ln>
                <a:effectLst/>
              </c:spPr>
              <c:txPr>
                <a:bodyPr rot="0" spcFirstLastPara="1" vertOverflow="ellipsis" vert="horz" wrap="square" lIns="38100" tIns="19050" rIns="38100" bIns="19050" anchor="ctr" anchorCtr="1">
                  <a:noAutofit/>
                </a:bodyPr>
                <a:lstStyle/>
                <a:p>
                  <a:pPr>
                    <a:defRPr sz="1200" b="1" i="0" u="none" strike="noStrike" kern="1200" baseline="0">
                      <a:solidFill>
                        <a:schemeClr val="bg1"/>
                      </a:solidFill>
                      <a:latin typeface="+mn-lt"/>
                      <a:ea typeface="+mn-ea"/>
                      <a:cs typeface="+mn-cs"/>
                    </a:defRPr>
                  </a:pPr>
                  <a:endParaRPr lang="es-CO"/>
                </a:p>
              </c:txPr>
              <c:showLegendKey val="0"/>
              <c:showVal val="1"/>
              <c:showCatName val="0"/>
              <c:showSerName val="0"/>
              <c:showPercent val="0"/>
              <c:showBubbleSize val="0"/>
              <c:extLst>
                <c:ext xmlns:c15="http://schemas.microsoft.com/office/drawing/2012/chart" uri="{CE6537A1-D6FC-4f65-9D91-7224C49458BB}">
                  <c15:layout>
                    <c:manualLayout>
                      <c:w val="3.5579040070453545E-2"/>
                      <c:h val="5.7933178282297902E-2"/>
                    </c:manualLayout>
                  </c15:layout>
                </c:ext>
                <c:ext xmlns:c16="http://schemas.microsoft.com/office/drawing/2014/chart" uri="{C3380CC4-5D6E-409C-BE32-E72D297353CC}">
                  <c16:uniqueId val="{00000043-BF59-488B-B857-EF8817FAF848}"/>
                </c:ext>
              </c:extLst>
            </c:dLbl>
            <c:dLbl>
              <c:idx val="4"/>
              <c:layout>
                <c:manualLayout>
                  <c:x val="1.2449556299857663E-3"/>
                  <c:y val="0.16880145106639077"/>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44-BF59-488B-B857-EF8817FAF848}"/>
                </c:ext>
              </c:extLst>
            </c:dLbl>
            <c:dLbl>
              <c:idx val="5"/>
              <c:layout>
                <c:manualLayout>
                  <c:x val="1.6614831996725884E-3"/>
                  <c:y val="0.13945223276504734"/>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45-BF59-488B-B857-EF8817FAF848}"/>
                </c:ext>
              </c:extLst>
            </c:dLbl>
            <c:dLbl>
              <c:idx val="6"/>
              <c:layout>
                <c:manualLayout>
                  <c:x val="2.6382260704329815E-3"/>
                  <c:y val="0.1924574173960153"/>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1EE9-4489-948D-C26F8D1A6370}"/>
                </c:ext>
              </c:extLst>
            </c:dLbl>
            <c:dLbl>
              <c:idx val="7"/>
              <c:layout>
                <c:manualLayout>
                  <c:x val="2.4751353275435377E-3"/>
                  <c:y val="0.16798698722444183"/>
                </c:manualLayout>
              </c:layout>
              <c:spPr>
                <a:noFill/>
                <a:ln>
                  <a:noFill/>
                </a:ln>
                <a:effectLst/>
              </c:spPr>
              <c:txPr>
                <a:bodyPr rot="0" spcFirstLastPara="1" vertOverflow="ellipsis" vert="horz" wrap="square" lIns="38100" tIns="19050" rIns="38100" bIns="19050" anchor="ctr" anchorCtr="1">
                  <a:noAutofit/>
                </a:bodyPr>
                <a:lstStyle/>
                <a:p>
                  <a:pPr>
                    <a:defRPr sz="1200" b="1" i="0" u="none" strike="noStrike" kern="1200" baseline="0">
                      <a:solidFill>
                        <a:schemeClr val="bg1"/>
                      </a:solidFill>
                      <a:latin typeface="+mn-lt"/>
                      <a:ea typeface="+mn-ea"/>
                      <a:cs typeface="+mn-cs"/>
                    </a:defRPr>
                  </a:pPr>
                  <a:endParaRPr lang="es-CO"/>
                </a:p>
              </c:txPr>
              <c:showLegendKey val="0"/>
              <c:showVal val="1"/>
              <c:showCatName val="0"/>
              <c:showSerName val="0"/>
              <c:showPercent val="0"/>
              <c:showBubbleSize val="0"/>
              <c:extLst>
                <c:ext xmlns:c15="http://schemas.microsoft.com/office/drawing/2012/chart" uri="{CE6537A1-D6FC-4f65-9D91-7224C49458BB}">
                  <c15:layout>
                    <c:manualLayout>
                      <c:w val="3.4201062000701249E-2"/>
                      <c:h val="7.1205375409562663E-2"/>
                    </c:manualLayout>
                  </c15:layout>
                </c:ext>
                <c:ext xmlns:c16="http://schemas.microsoft.com/office/drawing/2014/chart" uri="{C3380CC4-5D6E-409C-BE32-E72D297353CC}">
                  <c16:uniqueId val="{00000009-1EE9-4489-948D-C26F8D1A6370}"/>
                </c:ext>
              </c:extLst>
            </c:dLbl>
            <c:dLbl>
              <c:idx val="8"/>
              <c:layout>
                <c:manualLayout>
                  <c:x val="0"/>
                  <c:y val="0.14455852693143173"/>
                </c:manualLayout>
              </c:layout>
              <c:spPr>
                <a:noFill/>
                <a:ln>
                  <a:noFill/>
                </a:ln>
                <a:effectLst/>
              </c:spPr>
              <c:txPr>
                <a:bodyPr rot="0" spcFirstLastPara="1" vertOverflow="ellipsis" vert="horz" wrap="square" lIns="38100" tIns="19050" rIns="38100" bIns="19050" anchor="ctr" anchorCtr="1">
                  <a:noAutofit/>
                </a:bodyPr>
                <a:lstStyle/>
                <a:p>
                  <a:pPr>
                    <a:defRPr sz="1200" b="1" i="0" u="none" strike="noStrike" kern="1200" baseline="0">
                      <a:solidFill>
                        <a:schemeClr val="bg1"/>
                      </a:solidFill>
                      <a:latin typeface="+mn-lt"/>
                      <a:ea typeface="+mn-ea"/>
                      <a:cs typeface="+mn-cs"/>
                    </a:defRPr>
                  </a:pPr>
                  <a:endParaRPr lang="es-CO"/>
                </a:p>
              </c:txPr>
              <c:showLegendKey val="0"/>
              <c:showVal val="1"/>
              <c:showCatName val="0"/>
              <c:showSerName val="0"/>
              <c:showPercent val="0"/>
              <c:showBubbleSize val="0"/>
              <c:extLst>
                <c:ext xmlns:c15="http://schemas.microsoft.com/office/drawing/2012/chart" uri="{CE6537A1-D6FC-4f65-9D91-7224C49458BB}">
                  <c15:layout>
                    <c:manualLayout>
                      <c:w val="3.4201062000701249E-2"/>
                      <c:h val="6.1338579740801084E-2"/>
                    </c:manualLayout>
                  </c15:layout>
                </c:ext>
                <c:ext xmlns:c16="http://schemas.microsoft.com/office/drawing/2014/chart" uri="{C3380CC4-5D6E-409C-BE32-E72D297353CC}">
                  <c16:uniqueId val="{0000000A-1EE9-4489-948D-C26F8D1A6370}"/>
                </c:ext>
              </c:extLst>
            </c:dLbl>
            <c:dLbl>
              <c:idx val="9"/>
              <c:layout>
                <c:manualLayout>
                  <c:x val="3.7928596473063734E-3"/>
                  <c:y val="0.15788841249731966"/>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B-1EE9-4489-948D-C26F8D1A6370}"/>
                </c:ext>
              </c:extLst>
            </c:dLbl>
            <c:dLbl>
              <c:idx val="10"/>
              <c:layout>
                <c:manualLayout>
                  <c:x val="3.7928596473062698E-3"/>
                  <c:y val="0.12750178948971308"/>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C-1EE9-4489-948D-C26F8D1A6370}"/>
                </c:ext>
              </c:extLst>
            </c:dLbl>
            <c:dLbl>
              <c:idx val="11"/>
              <c:layout>
                <c:manualLayout>
                  <c:x val="3.0550629010331451E-3"/>
                  <c:y val="0.11460814059847153"/>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D-1EE9-4489-948D-C26F8D1A6370}"/>
                </c:ext>
              </c:extLst>
            </c:dLbl>
            <c:dLbl>
              <c:idx val="12"/>
              <c:layout>
                <c:manualLayout>
                  <c:x val="2.3082731096968254E-3"/>
                  <c:y val="8.4551172347918299E-3"/>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4-7189-40E4-BF2B-464157094F9B}"/>
                </c:ext>
              </c:extLst>
            </c:dLbl>
            <c:dLbl>
              <c:idx val="13"/>
              <c:layout>
                <c:manualLayout>
                  <c:x val="-7.5546559903219188E-4"/>
                  <c:y val="5.3689015505059921E-3"/>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5-7189-40E4-BF2B-464157094F9B}"/>
                </c:ext>
              </c:extLst>
            </c:dLbl>
            <c:dLbl>
              <c:idx val="14"/>
              <c:layout>
                <c:manualLayout>
                  <c:x val="2.4677414920234084E-3"/>
                  <c:y val="2.8324947650999526E-4"/>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6-7189-40E4-BF2B-464157094F9B}"/>
                </c:ext>
              </c:extLst>
            </c:dLbl>
            <c:dLbl>
              <c:idx val="15"/>
              <c:layout>
                <c:manualLayout>
                  <c:x val="4.7840514697959109E-4"/>
                  <c:y val="4.3788924736842035E-3"/>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B-57DE-4133-A745-166426C5A9C8}"/>
                </c:ext>
              </c:extLst>
            </c:dLbl>
            <c:dLbl>
              <c:idx val="16"/>
              <c:layout>
                <c:manualLayout>
                  <c:x val="3.3826754733819468E-3"/>
                  <c:y val="-2.3643708427321876E-3"/>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C-57DE-4133-A745-166426C5A9C8}"/>
                </c:ext>
              </c:extLst>
            </c:dLbl>
            <c:dLbl>
              <c:idx val="17"/>
              <c:layout>
                <c:manualLayout>
                  <c:x val="2.6272098743499125E-3"/>
                  <c:y val="-1.165094164001981E-4"/>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D-57DE-4133-A745-166426C5A9C8}"/>
                </c:ext>
              </c:extLst>
            </c:dLbl>
            <c:dLbl>
              <c:idx val="18"/>
              <c:layout>
                <c:manualLayout>
                  <c:x val="1.0744023636852001E-3"/>
                  <c:y val="7.4623799760433526E-4"/>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27-A2EA-4812-B9C5-BC232DB7B6AE}"/>
                </c:ext>
              </c:extLst>
            </c:dLbl>
            <c:dLbl>
              <c:idx val="19"/>
              <c:layout>
                <c:manualLayout>
                  <c:x val="-1.0744023636853578E-3"/>
                  <c:y val="4.0762247611075145E-3"/>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28-A2EA-4812-B9C5-BC232DB7B6AE}"/>
                </c:ext>
              </c:extLst>
            </c:dLbl>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bg1"/>
                    </a:solidFill>
                    <a:latin typeface="+mn-lt"/>
                    <a:ea typeface="+mn-ea"/>
                    <a:cs typeface="+mn-cs"/>
                  </a:defRPr>
                </a:pPr>
                <a:endParaRPr lang="es-CO"/>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'Personal-MOD'!$B$2:$B$13</c:f>
              <c:numCache>
                <c:formatCode>General</c:formatCode>
                <c:ptCount val="12"/>
                <c:pt idx="0">
                  <c:v>2024</c:v>
                </c:pt>
                <c:pt idx="1">
                  <c:v>2025</c:v>
                </c:pt>
                <c:pt idx="2">
                  <c:v>2026</c:v>
                </c:pt>
                <c:pt idx="3">
                  <c:v>2024</c:v>
                </c:pt>
                <c:pt idx="4">
                  <c:v>2025</c:v>
                </c:pt>
                <c:pt idx="5">
                  <c:v>2026</c:v>
                </c:pt>
                <c:pt idx="6">
                  <c:v>2024</c:v>
                </c:pt>
                <c:pt idx="7">
                  <c:v>2025</c:v>
                </c:pt>
                <c:pt idx="8">
                  <c:v>2026</c:v>
                </c:pt>
                <c:pt idx="9">
                  <c:v>2024</c:v>
                </c:pt>
                <c:pt idx="10">
                  <c:v>2025</c:v>
                </c:pt>
                <c:pt idx="11">
                  <c:v>2026</c:v>
                </c:pt>
              </c:numCache>
            </c:numRef>
          </c:cat>
          <c:val>
            <c:numRef>
              <c:f>'Personal-MOD'!$H$2:$H$13</c:f>
              <c:numCache>
                <c:formatCode>0</c:formatCode>
                <c:ptCount val="12"/>
                <c:pt idx="0">
                  <c:v>125</c:v>
                </c:pt>
                <c:pt idx="1">
                  <c:v>138</c:v>
                </c:pt>
                <c:pt idx="2">
                  <c:v>134</c:v>
                </c:pt>
                <c:pt idx="3">
                  <c:v>138</c:v>
                </c:pt>
                <c:pt idx="4">
                  <c:v>140</c:v>
                </c:pt>
                <c:pt idx="5">
                  <c:v>132</c:v>
                </c:pt>
                <c:pt idx="6">
                  <c:v>142</c:v>
                </c:pt>
                <c:pt idx="7">
                  <c:v>137</c:v>
                </c:pt>
                <c:pt idx="8">
                  <c:v>130</c:v>
                </c:pt>
                <c:pt idx="9">
                  <c:v>143</c:v>
                </c:pt>
                <c:pt idx="10">
                  <c:v>134</c:v>
                </c:pt>
                <c:pt idx="11">
                  <c:v>131</c:v>
                </c:pt>
              </c:numCache>
            </c:numRef>
          </c:val>
          <c:extLst>
            <c:ext xmlns:c16="http://schemas.microsoft.com/office/drawing/2014/chart" uri="{C3380CC4-5D6E-409C-BE32-E72D297353CC}">
              <c16:uniqueId val="{00000004-1EE9-4489-948D-C26F8D1A6370}"/>
            </c:ext>
          </c:extLst>
        </c:ser>
        <c:dLbls>
          <c:showLegendKey val="0"/>
          <c:showVal val="0"/>
          <c:showCatName val="0"/>
          <c:showSerName val="0"/>
          <c:showPercent val="0"/>
          <c:showBubbleSize val="0"/>
        </c:dLbls>
        <c:gapWidth val="150"/>
        <c:shape val="box"/>
        <c:axId val="525655407"/>
        <c:axId val="525645807"/>
        <c:axId val="703282927"/>
      </c:bar3DChart>
      <c:catAx>
        <c:axId val="525655407"/>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200" b="1" i="0" u="none" strike="noStrike" kern="1200" baseline="0">
                <a:solidFill>
                  <a:schemeClr val="tx1">
                    <a:lumMod val="65000"/>
                    <a:lumOff val="35000"/>
                  </a:schemeClr>
                </a:solidFill>
                <a:latin typeface="+mn-lt"/>
                <a:ea typeface="+mn-ea"/>
                <a:cs typeface="+mn-cs"/>
              </a:defRPr>
            </a:pPr>
            <a:endParaRPr lang="es-CO"/>
          </a:p>
        </c:txPr>
        <c:crossAx val="525645807"/>
        <c:crosses val="autoZero"/>
        <c:auto val="1"/>
        <c:lblAlgn val="ctr"/>
        <c:lblOffset val="100"/>
        <c:noMultiLvlLbl val="0"/>
      </c:catAx>
      <c:valAx>
        <c:axId val="525645807"/>
        <c:scaling>
          <c:orientation val="minMax"/>
        </c:scaling>
        <c:delete val="1"/>
        <c:axPos val="l"/>
        <c:numFmt formatCode="0" sourceLinked="1"/>
        <c:majorTickMark val="none"/>
        <c:minorTickMark val="none"/>
        <c:tickLblPos val="nextTo"/>
        <c:crossAx val="525655407"/>
        <c:crosses val="autoZero"/>
        <c:crossBetween val="between"/>
      </c:valAx>
      <c:serAx>
        <c:axId val="703282927"/>
        <c:scaling>
          <c:orientation val="minMax"/>
        </c:scaling>
        <c:delete val="1"/>
        <c:axPos val="b"/>
        <c:majorTickMark val="out"/>
        <c:minorTickMark val="none"/>
        <c:tickLblPos val="nextTo"/>
        <c:crossAx val="525645807"/>
        <c:crosses val="autoZero"/>
      </c:ser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lumMod val="95000"/>
      </a:schemeClr>
    </a:solidFill>
    <a:ln w="9525" cap="flat" cmpd="sng" algn="ctr">
      <a:solidFill>
        <a:schemeClr val="tx1">
          <a:lumMod val="15000"/>
          <a:lumOff val="85000"/>
        </a:schemeClr>
      </a:solidFill>
      <a:round/>
    </a:ln>
    <a:effectLst/>
  </c:spPr>
  <c:txPr>
    <a:bodyPr/>
    <a:lstStyle/>
    <a:p>
      <a:pPr>
        <a:defRPr/>
      </a:pPr>
      <a:endParaRPr lang="es-CO"/>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chemeClr val="tx1"/>
                </a:solidFill>
                <a:latin typeface="+mn-lt"/>
                <a:ea typeface="+mn-ea"/>
                <a:cs typeface="+mn-cs"/>
              </a:defRPr>
            </a:pPr>
            <a:r>
              <a:rPr lang="en-US" b="1">
                <a:solidFill>
                  <a:schemeClr val="tx1"/>
                </a:solidFill>
              </a:rPr>
              <a:t>Cantidad</a:t>
            </a:r>
            <a:r>
              <a:rPr lang="en-US" b="1" baseline="0">
                <a:solidFill>
                  <a:schemeClr val="tx1"/>
                </a:solidFill>
              </a:rPr>
              <a:t> de empleados MOI</a:t>
            </a:r>
            <a:endParaRPr lang="en-US" b="1">
              <a:solidFill>
                <a:schemeClr val="tx1"/>
              </a:solidFill>
            </a:endParaRP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solidFill>
              <a:latin typeface="+mn-lt"/>
              <a:ea typeface="+mn-ea"/>
              <a:cs typeface="+mn-cs"/>
            </a:defRPr>
          </a:pPr>
          <a:endParaRPr lang="en-US"/>
        </a:p>
      </c:txPr>
    </c:title>
    <c:autoTitleDeleted val="0"/>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4.7064406436244731E-2"/>
          <c:y val="0.12851524824258789"/>
          <c:w val="0.93067152100544925"/>
          <c:h val="0.77342895780967147"/>
        </c:manualLayout>
      </c:layout>
      <c:bar3DChart>
        <c:barDir val="col"/>
        <c:grouping val="standard"/>
        <c:varyColors val="0"/>
        <c:ser>
          <c:idx val="4"/>
          <c:order val="0"/>
          <c:tx>
            <c:strRef>
              <c:f>'Personal-MOI'!$H$10</c:f>
              <c:strCache>
                <c:ptCount val="1"/>
                <c:pt idx="0">
                  <c:v> 42 </c:v>
                </c:pt>
              </c:strCache>
            </c:strRef>
          </c:tx>
          <c:spPr>
            <a:solidFill>
              <a:schemeClr val="accent6">
                <a:lumMod val="75000"/>
              </a:schemeClr>
            </a:solidFill>
            <a:ln>
              <a:noFill/>
            </a:ln>
            <a:effectLst/>
            <a:sp3d/>
          </c:spPr>
          <c:invertIfNegative val="0"/>
          <c:dPt>
            <c:idx val="0"/>
            <c:invertIfNegative val="0"/>
            <c:bubble3D val="0"/>
            <c:spPr>
              <a:solidFill>
                <a:schemeClr val="accent6">
                  <a:lumMod val="75000"/>
                </a:schemeClr>
              </a:solidFill>
              <a:ln>
                <a:noFill/>
              </a:ln>
              <a:effectLst/>
              <a:sp3d/>
            </c:spPr>
            <c:extLst>
              <c:ext xmlns:c16="http://schemas.microsoft.com/office/drawing/2014/chart" uri="{C3380CC4-5D6E-409C-BE32-E72D297353CC}">
                <c16:uniqueId val="{00000005-5EEA-4F0C-ABF9-D490C78DEA01}"/>
              </c:ext>
            </c:extLst>
          </c:dPt>
          <c:dPt>
            <c:idx val="1"/>
            <c:invertIfNegative val="0"/>
            <c:bubble3D val="0"/>
            <c:spPr>
              <a:solidFill>
                <a:schemeClr val="accent6">
                  <a:lumMod val="75000"/>
                </a:schemeClr>
              </a:solidFill>
              <a:ln>
                <a:noFill/>
              </a:ln>
              <a:effectLst/>
              <a:sp3d/>
            </c:spPr>
            <c:extLst>
              <c:ext xmlns:c16="http://schemas.microsoft.com/office/drawing/2014/chart" uri="{C3380CC4-5D6E-409C-BE32-E72D297353CC}">
                <c16:uniqueId val="{00000007-5EEA-4F0C-ABF9-D490C78DEA01}"/>
              </c:ext>
            </c:extLst>
          </c:dPt>
          <c:dPt>
            <c:idx val="2"/>
            <c:invertIfNegative val="0"/>
            <c:bubble3D val="0"/>
            <c:spPr>
              <a:solidFill>
                <a:schemeClr val="accent6">
                  <a:lumMod val="75000"/>
                </a:schemeClr>
              </a:solidFill>
              <a:ln>
                <a:noFill/>
              </a:ln>
              <a:effectLst/>
              <a:sp3d/>
            </c:spPr>
            <c:extLst>
              <c:ext xmlns:c16="http://schemas.microsoft.com/office/drawing/2014/chart" uri="{C3380CC4-5D6E-409C-BE32-E72D297353CC}">
                <c16:uniqueId val="{00000009-5EEA-4F0C-ABF9-D490C78DEA01}"/>
              </c:ext>
            </c:extLst>
          </c:dPt>
          <c:dPt>
            <c:idx val="3"/>
            <c:invertIfNegative val="0"/>
            <c:bubble3D val="0"/>
            <c:spPr>
              <a:solidFill>
                <a:schemeClr val="accent5"/>
              </a:solidFill>
              <a:ln>
                <a:noFill/>
              </a:ln>
              <a:effectLst/>
              <a:sp3d/>
            </c:spPr>
            <c:extLst>
              <c:ext xmlns:c16="http://schemas.microsoft.com/office/drawing/2014/chart" uri="{C3380CC4-5D6E-409C-BE32-E72D297353CC}">
                <c16:uniqueId val="{00000042-B716-4D0B-B738-5C35AE29E327}"/>
              </c:ext>
            </c:extLst>
          </c:dPt>
          <c:dPt>
            <c:idx val="4"/>
            <c:invertIfNegative val="0"/>
            <c:bubble3D val="0"/>
            <c:spPr>
              <a:solidFill>
                <a:schemeClr val="accent5"/>
              </a:solidFill>
              <a:ln>
                <a:noFill/>
              </a:ln>
              <a:effectLst/>
              <a:sp3d/>
            </c:spPr>
            <c:extLst>
              <c:ext xmlns:c16="http://schemas.microsoft.com/office/drawing/2014/chart" uri="{C3380CC4-5D6E-409C-BE32-E72D297353CC}">
                <c16:uniqueId val="{00000043-B716-4D0B-B738-5C35AE29E327}"/>
              </c:ext>
            </c:extLst>
          </c:dPt>
          <c:dPt>
            <c:idx val="5"/>
            <c:invertIfNegative val="0"/>
            <c:bubble3D val="0"/>
            <c:spPr>
              <a:solidFill>
                <a:schemeClr val="accent5"/>
              </a:solidFill>
              <a:ln>
                <a:noFill/>
              </a:ln>
              <a:effectLst/>
              <a:sp3d/>
            </c:spPr>
            <c:extLst>
              <c:ext xmlns:c16="http://schemas.microsoft.com/office/drawing/2014/chart" uri="{C3380CC4-5D6E-409C-BE32-E72D297353CC}">
                <c16:uniqueId val="{00000044-B716-4D0B-B738-5C35AE29E327}"/>
              </c:ext>
            </c:extLst>
          </c:dPt>
          <c:dPt>
            <c:idx val="6"/>
            <c:invertIfNegative val="0"/>
            <c:bubble3D val="0"/>
            <c:spPr>
              <a:solidFill>
                <a:srgbClr val="FFC000"/>
              </a:solidFill>
              <a:ln>
                <a:noFill/>
              </a:ln>
              <a:effectLst/>
              <a:sp3d/>
            </c:spPr>
            <c:extLst>
              <c:ext xmlns:c16="http://schemas.microsoft.com/office/drawing/2014/chart" uri="{C3380CC4-5D6E-409C-BE32-E72D297353CC}">
                <c16:uniqueId val="{0000000B-5EEA-4F0C-ABF9-D490C78DEA01}"/>
              </c:ext>
            </c:extLst>
          </c:dPt>
          <c:dPt>
            <c:idx val="7"/>
            <c:invertIfNegative val="0"/>
            <c:bubble3D val="0"/>
            <c:spPr>
              <a:solidFill>
                <a:srgbClr val="FFC000"/>
              </a:solidFill>
              <a:ln>
                <a:noFill/>
              </a:ln>
              <a:effectLst/>
              <a:sp3d/>
            </c:spPr>
            <c:extLst>
              <c:ext xmlns:c16="http://schemas.microsoft.com/office/drawing/2014/chart" uri="{C3380CC4-5D6E-409C-BE32-E72D297353CC}">
                <c16:uniqueId val="{0000000D-5EEA-4F0C-ABF9-D490C78DEA01}"/>
              </c:ext>
            </c:extLst>
          </c:dPt>
          <c:dPt>
            <c:idx val="8"/>
            <c:invertIfNegative val="0"/>
            <c:bubble3D val="0"/>
            <c:spPr>
              <a:solidFill>
                <a:srgbClr val="FFC000"/>
              </a:solidFill>
              <a:ln>
                <a:noFill/>
              </a:ln>
              <a:effectLst/>
              <a:sp3d/>
            </c:spPr>
            <c:extLst>
              <c:ext xmlns:c16="http://schemas.microsoft.com/office/drawing/2014/chart" uri="{C3380CC4-5D6E-409C-BE32-E72D297353CC}">
                <c16:uniqueId val="{0000000F-5EEA-4F0C-ABF9-D490C78DEA01}"/>
              </c:ext>
            </c:extLst>
          </c:dPt>
          <c:dPt>
            <c:idx val="9"/>
            <c:invertIfNegative val="0"/>
            <c:bubble3D val="0"/>
            <c:spPr>
              <a:solidFill>
                <a:srgbClr val="7030A0"/>
              </a:solidFill>
              <a:ln>
                <a:noFill/>
              </a:ln>
              <a:effectLst/>
              <a:sp3d/>
            </c:spPr>
            <c:extLst>
              <c:ext xmlns:c16="http://schemas.microsoft.com/office/drawing/2014/chart" uri="{C3380CC4-5D6E-409C-BE32-E72D297353CC}">
                <c16:uniqueId val="{00000011-5EEA-4F0C-ABF9-D490C78DEA01}"/>
              </c:ext>
            </c:extLst>
          </c:dPt>
          <c:dPt>
            <c:idx val="10"/>
            <c:invertIfNegative val="0"/>
            <c:bubble3D val="0"/>
            <c:spPr>
              <a:solidFill>
                <a:srgbClr val="7030A0"/>
              </a:solidFill>
              <a:ln>
                <a:noFill/>
              </a:ln>
              <a:effectLst/>
              <a:sp3d/>
            </c:spPr>
            <c:extLst>
              <c:ext xmlns:c16="http://schemas.microsoft.com/office/drawing/2014/chart" uri="{C3380CC4-5D6E-409C-BE32-E72D297353CC}">
                <c16:uniqueId val="{00000013-5EEA-4F0C-ABF9-D490C78DEA01}"/>
              </c:ext>
            </c:extLst>
          </c:dPt>
          <c:dPt>
            <c:idx val="11"/>
            <c:invertIfNegative val="0"/>
            <c:bubble3D val="0"/>
            <c:spPr>
              <a:solidFill>
                <a:srgbClr val="7030A0"/>
              </a:solidFill>
              <a:ln>
                <a:noFill/>
              </a:ln>
              <a:effectLst/>
              <a:sp3d/>
            </c:spPr>
            <c:extLst>
              <c:ext xmlns:c16="http://schemas.microsoft.com/office/drawing/2014/chart" uri="{C3380CC4-5D6E-409C-BE32-E72D297353CC}">
                <c16:uniqueId val="{00000015-5EEA-4F0C-ABF9-D490C78DEA01}"/>
              </c:ext>
            </c:extLst>
          </c:dPt>
          <c:dPt>
            <c:idx val="12"/>
            <c:invertIfNegative val="0"/>
            <c:bubble3D val="0"/>
            <c:spPr>
              <a:solidFill>
                <a:schemeClr val="accent2"/>
              </a:solidFill>
              <a:ln>
                <a:noFill/>
              </a:ln>
              <a:effectLst/>
              <a:sp3d/>
            </c:spPr>
            <c:extLst>
              <c:ext xmlns:c16="http://schemas.microsoft.com/office/drawing/2014/chart" uri="{C3380CC4-5D6E-409C-BE32-E72D297353CC}">
                <c16:uniqueId val="{00000012-01B6-4AE8-8B79-3624EB6BE902}"/>
              </c:ext>
            </c:extLst>
          </c:dPt>
          <c:dPt>
            <c:idx val="13"/>
            <c:invertIfNegative val="0"/>
            <c:bubble3D val="0"/>
            <c:spPr>
              <a:solidFill>
                <a:schemeClr val="accent2"/>
              </a:solidFill>
              <a:ln>
                <a:noFill/>
              </a:ln>
              <a:effectLst/>
              <a:sp3d/>
            </c:spPr>
            <c:extLst>
              <c:ext xmlns:c16="http://schemas.microsoft.com/office/drawing/2014/chart" uri="{C3380CC4-5D6E-409C-BE32-E72D297353CC}">
                <c16:uniqueId val="{00000013-01B6-4AE8-8B79-3624EB6BE902}"/>
              </c:ext>
            </c:extLst>
          </c:dPt>
          <c:dPt>
            <c:idx val="14"/>
            <c:invertIfNegative val="0"/>
            <c:bubble3D val="0"/>
            <c:spPr>
              <a:solidFill>
                <a:schemeClr val="accent2"/>
              </a:solidFill>
              <a:ln>
                <a:noFill/>
              </a:ln>
              <a:effectLst/>
              <a:sp3d/>
            </c:spPr>
            <c:extLst>
              <c:ext xmlns:c16="http://schemas.microsoft.com/office/drawing/2014/chart" uri="{C3380CC4-5D6E-409C-BE32-E72D297353CC}">
                <c16:uniqueId val="{00000014-01B6-4AE8-8B79-3624EB6BE902}"/>
              </c:ext>
            </c:extLst>
          </c:dPt>
          <c:dPt>
            <c:idx val="15"/>
            <c:invertIfNegative val="0"/>
            <c:bubble3D val="0"/>
            <c:spPr>
              <a:solidFill>
                <a:schemeClr val="tx2">
                  <a:lumMod val="75000"/>
                </a:schemeClr>
              </a:solidFill>
              <a:ln>
                <a:noFill/>
              </a:ln>
              <a:effectLst/>
              <a:sp3d/>
            </c:spPr>
            <c:extLst>
              <c:ext xmlns:c16="http://schemas.microsoft.com/office/drawing/2014/chart" uri="{C3380CC4-5D6E-409C-BE32-E72D297353CC}">
                <c16:uniqueId val="{00000018-3BFA-4A5E-9826-0D231F2BEFDE}"/>
              </c:ext>
            </c:extLst>
          </c:dPt>
          <c:dPt>
            <c:idx val="16"/>
            <c:invertIfNegative val="0"/>
            <c:bubble3D val="0"/>
            <c:spPr>
              <a:solidFill>
                <a:schemeClr val="tx2">
                  <a:lumMod val="75000"/>
                </a:schemeClr>
              </a:solidFill>
              <a:ln>
                <a:noFill/>
              </a:ln>
              <a:effectLst/>
              <a:sp3d/>
            </c:spPr>
            <c:extLst>
              <c:ext xmlns:c16="http://schemas.microsoft.com/office/drawing/2014/chart" uri="{C3380CC4-5D6E-409C-BE32-E72D297353CC}">
                <c16:uniqueId val="{00000019-3BFA-4A5E-9826-0D231F2BEFDE}"/>
              </c:ext>
            </c:extLst>
          </c:dPt>
          <c:dPt>
            <c:idx val="17"/>
            <c:invertIfNegative val="0"/>
            <c:bubble3D val="0"/>
            <c:spPr>
              <a:solidFill>
                <a:schemeClr val="tx2">
                  <a:lumMod val="75000"/>
                </a:schemeClr>
              </a:solidFill>
              <a:ln>
                <a:noFill/>
              </a:ln>
              <a:effectLst/>
              <a:sp3d/>
            </c:spPr>
            <c:extLst>
              <c:ext xmlns:c16="http://schemas.microsoft.com/office/drawing/2014/chart" uri="{C3380CC4-5D6E-409C-BE32-E72D297353CC}">
                <c16:uniqueId val="{0000001A-3BFA-4A5E-9826-0D231F2BEFDE}"/>
              </c:ext>
            </c:extLst>
          </c:dPt>
          <c:dPt>
            <c:idx val="18"/>
            <c:invertIfNegative val="0"/>
            <c:bubble3D val="0"/>
            <c:spPr>
              <a:solidFill>
                <a:srgbClr val="00B0F0"/>
              </a:solidFill>
              <a:ln>
                <a:noFill/>
              </a:ln>
              <a:effectLst/>
              <a:sp3d/>
            </c:spPr>
            <c:extLst>
              <c:ext xmlns:c16="http://schemas.microsoft.com/office/drawing/2014/chart" uri="{C3380CC4-5D6E-409C-BE32-E72D297353CC}">
                <c16:uniqueId val="{0000001E-6D5D-4D3B-9D50-33DEAEC680B1}"/>
              </c:ext>
            </c:extLst>
          </c:dPt>
          <c:dPt>
            <c:idx val="19"/>
            <c:invertIfNegative val="0"/>
            <c:bubble3D val="0"/>
            <c:spPr>
              <a:solidFill>
                <a:srgbClr val="00B0F0"/>
              </a:solidFill>
              <a:ln>
                <a:noFill/>
              </a:ln>
              <a:effectLst/>
              <a:sp3d/>
            </c:spPr>
            <c:extLst>
              <c:ext xmlns:c16="http://schemas.microsoft.com/office/drawing/2014/chart" uri="{C3380CC4-5D6E-409C-BE32-E72D297353CC}">
                <c16:uniqueId val="{0000001F-6D5D-4D3B-9D50-33DEAEC680B1}"/>
              </c:ext>
            </c:extLst>
          </c:dPt>
          <c:dPt>
            <c:idx val="20"/>
            <c:invertIfNegative val="0"/>
            <c:bubble3D val="0"/>
            <c:spPr>
              <a:solidFill>
                <a:srgbClr val="00B0F0"/>
              </a:solidFill>
              <a:ln>
                <a:noFill/>
              </a:ln>
              <a:effectLst/>
              <a:sp3d/>
            </c:spPr>
            <c:extLst>
              <c:ext xmlns:c16="http://schemas.microsoft.com/office/drawing/2014/chart" uri="{C3380CC4-5D6E-409C-BE32-E72D297353CC}">
                <c16:uniqueId val="{00000020-6D5D-4D3B-9D50-33DEAEC680B1}"/>
              </c:ext>
            </c:extLst>
          </c:dPt>
          <c:dPt>
            <c:idx val="21"/>
            <c:invertIfNegative val="0"/>
            <c:bubble3D val="0"/>
            <c:spPr>
              <a:solidFill>
                <a:srgbClr val="C00000"/>
              </a:solidFill>
              <a:ln>
                <a:noFill/>
              </a:ln>
              <a:effectLst/>
              <a:sp3d/>
            </c:spPr>
            <c:extLst>
              <c:ext xmlns:c16="http://schemas.microsoft.com/office/drawing/2014/chart" uri="{C3380CC4-5D6E-409C-BE32-E72D297353CC}">
                <c16:uniqueId val="{00000021-6D5D-4D3B-9D50-33DEAEC680B1}"/>
              </c:ext>
            </c:extLst>
          </c:dPt>
          <c:dPt>
            <c:idx val="22"/>
            <c:invertIfNegative val="0"/>
            <c:bubble3D val="0"/>
            <c:spPr>
              <a:solidFill>
                <a:srgbClr val="C00000"/>
              </a:solidFill>
              <a:ln>
                <a:noFill/>
              </a:ln>
              <a:effectLst/>
              <a:sp3d/>
            </c:spPr>
            <c:extLst>
              <c:ext xmlns:c16="http://schemas.microsoft.com/office/drawing/2014/chart" uri="{C3380CC4-5D6E-409C-BE32-E72D297353CC}">
                <c16:uniqueId val="{00000022-6D5D-4D3B-9D50-33DEAEC680B1}"/>
              </c:ext>
            </c:extLst>
          </c:dPt>
          <c:dPt>
            <c:idx val="23"/>
            <c:invertIfNegative val="0"/>
            <c:bubble3D val="0"/>
            <c:spPr>
              <a:solidFill>
                <a:srgbClr val="C00000"/>
              </a:solidFill>
              <a:ln>
                <a:noFill/>
              </a:ln>
              <a:effectLst/>
              <a:sp3d/>
            </c:spPr>
            <c:extLst>
              <c:ext xmlns:c16="http://schemas.microsoft.com/office/drawing/2014/chart" uri="{C3380CC4-5D6E-409C-BE32-E72D297353CC}">
                <c16:uniqueId val="{00000023-6D5D-4D3B-9D50-33DEAEC680B1}"/>
              </c:ext>
            </c:extLst>
          </c:dPt>
          <c:dPt>
            <c:idx val="24"/>
            <c:invertIfNegative val="0"/>
            <c:bubble3D val="0"/>
            <c:spPr>
              <a:solidFill>
                <a:schemeClr val="accent6">
                  <a:lumMod val="75000"/>
                </a:schemeClr>
              </a:solidFill>
              <a:ln>
                <a:noFill/>
              </a:ln>
              <a:effectLst/>
              <a:sp3d/>
            </c:spPr>
            <c:extLst>
              <c:ext xmlns:c16="http://schemas.microsoft.com/office/drawing/2014/chart" uri="{C3380CC4-5D6E-409C-BE32-E72D297353CC}">
                <c16:uniqueId val="{00000024-6D5D-4D3B-9D50-33DEAEC680B1}"/>
              </c:ext>
            </c:extLst>
          </c:dPt>
          <c:dPt>
            <c:idx val="25"/>
            <c:invertIfNegative val="0"/>
            <c:bubble3D val="0"/>
            <c:spPr>
              <a:solidFill>
                <a:schemeClr val="accent6">
                  <a:lumMod val="75000"/>
                </a:schemeClr>
              </a:solidFill>
              <a:ln>
                <a:noFill/>
              </a:ln>
              <a:effectLst/>
              <a:sp3d/>
            </c:spPr>
            <c:extLst>
              <c:ext xmlns:c16="http://schemas.microsoft.com/office/drawing/2014/chart" uri="{C3380CC4-5D6E-409C-BE32-E72D297353CC}">
                <c16:uniqueId val="{00000025-6D5D-4D3B-9D50-33DEAEC680B1}"/>
              </c:ext>
            </c:extLst>
          </c:dPt>
          <c:dPt>
            <c:idx val="26"/>
            <c:invertIfNegative val="0"/>
            <c:bubble3D val="0"/>
            <c:spPr>
              <a:solidFill>
                <a:schemeClr val="accent6">
                  <a:lumMod val="75000"/>
                </a:schemeClr>
              </a:solidFill>
              <a:ln>
                <a:noFill/>
              </a:ln>
              <a:effectLst/>
              <a:sp3d/>
            </c:spPr>
            <c:extLst>
              <c:ext xmlns:c16="http://schemas.microsoft.com/office/drawing/2014/chart" uri="{C3380CC4-5D6E-409C-BE32-E72D297353CC}">
                <c16:uniqueId val="{00000026-6D5D-4D3B-9D50-33DEAEC680B1}"/>
              </c:ext>
            </c:extLst>
          </c:dPt>
          <c:dPt>
            <c:idx val="27"/>
            <c:invertIfNegative val="0"/>
            <c:bubble3D val="0"/>
            <c:spPr>
              <a:solidFill>
                <a:schemeClr val="bg1">
                  <a:lumMod val="75000"/>
                </a:schemeClr>
              </a:solidFill>
              <a:ln>
                <a:noFill/>
              </a:ln>
              <a:effectLst/>
              <a:sp3d/>
            </c:spPr>
            <c:extLst>
              <c:ext xmlns:c16="http://schemas.microsoft.com/office/drawing/2014/chart" uri="{C3380CC4-5D6E-409C-BE32-E72D297353CC}">
                <c16:uniqueId val="{00000027-6D5D-4D3B-9D50-33DEAEC680B1}"/>
              </c:ext>
            </c:extLst>
          </c:dPt>
          <c:dPt>
            <c:idx val="28"/>
            <c:invertIfNegative val="0"/>
            <c:bubble3D val="0"/>
            <c:spPr>
              <a:solidFill>
                <a:schemeClr val="bg1">
                  <a:lumMod val="75000"/>
                </a:schemeClr>
              </a:solidFill>
              <a:ln>
                <a:noFill/>
              </a:ln>
              <a:effectLst/>
              <a:sp3d/>
            </c:spPr>
            <c:extLst>
              <c:ext xmlns:c16="http://schemas.microsoft.com/office/drawing/2014/chart" uri="{C3380CC4-5D6E-409C-BE32-E72D297353CC}">
                <c16:uniqueId val="{00000028-6D5D-4D3B-9D50-33DEAEC680B1}"/>
              </c:ext>
            </c:extLst>
          </c:dPt>
          <c:dPt>
            <c:idx val="29"/>
            <c:invertIfNegative val="0"/>
            <c:bubble3D val="0"/>
            <c:spPr>
              <a:solidFill>
                <a:schemeClr val="bg1">
                  <a:lumMod val="75000"/>
                </a:schemeClr>
              </a:solidFill>
              <a:ln>
                <a:noFill/>
              </a:ln>
              <a:effectLst/>
              <a:sp3d/>
            </c:spPr>
            <c:extLst>
              <c:ext xmlns:c16="http://schemas.microsoft.com/office/drawing/2014/chart" uri="{C3380CC4-5D6E-409C-BE32-E72D297353CC}">
                <c16:uniqueId val="{00000029-6D5D-4D3B-9D50-33DEAEC680B1}"/>
              </c:ext>
            </c:extLst>
          </c:dPt>
          <c:dPt>
            <c:idx val="30"/>
            <c:invertIfNegative val="0"/>
            <c:bubble3D val="0"/>
            <c:spPr>
              <a:solidFill>
                <a:schemeClr val="accent2">
                  <a:lumMod val="20000"/>
                  <a:lumOff val="80000"/>
                </a:schemeClr>
              </a:solidFill>
              <a:ln>
                <a:noFill/>
              </a:ln>
              <a:effectLst/>
              <a:sp3d/>
            </c:spPr>
            <c:extLst>
              <c:ext xmlns:c16="http://schemas.microsoft.com/office/drawing/2014/chart" uri="{C3380CC4-5D6E-409C-BE32-E72D297353CC}">
                <c16:uniqueId val="{00000036-C8F4-4D8B-82DA-678AAD36BE41}"/>
              </c:ext>
            </c:extLst>
          </c:dPt>
          <c:dPt>
            <c:idx val="31"/>
            <c:invertIfNegative val="0"/>
            <c:bubble3D val="0"/>
            <c:spPr>
              <a:solidFill>
                <a:schemeClr val="accent2">
                  <a:lumMod val="20000"/>
                  <a:lumOff val="80000"/>
                </a:schemeClr>
              </a:solidFill>
              <a:ln>
                <a:noFill/>
              </a:ln>
              <a:effectLst/>
              <a:sp3d/>
            </c:spPr>
            <c:extLst>
              <c:ext xmlns:c16="http://schemas.microsoft.com/office/drawing/2014/chart" uri="{C3380CC4-5D6E-409C-BE32-E72D297353CC}">
                <c16:uniqueId val="{00000037-C8F4-4D8B-82DA-678AAD36BE41}"/>
              </c:ext>
            </c:extLst>
          </c:dPt>
          <c:dPt>
            <c:idx val="32"/>
            <c:invertIfNegative val="0"/>
            <c:bubble3D val="0"/>
            <c:spPr>
              <a:solidFill>
                <a:schemeClr val="accent2">
                  <a:lumMod val="20000"/>
                  <a:lumOff val="80000"/>
                </a:schemeClr>
              </a:solidFill>
              <a:ln>
                <a:noFill/>
              </a:ln>
              <a:effectLst/>
              <a:sp3d/>
            </c:spPr>
            <c:extLst>
              <c:ext xmlns:c16="http://schemas.microsoft.com/office/drawing/2014/chart" uri="{C3380CC4-5D6E-409C-BE32-E72D297353CC}">
                <c16:uniqueId val="{00000038-C8F4-4D8B-82DA-678AAD36BE41}"/>
              </c:ext>
            </c:extLst>
          </c:dPt>
          <c:dPt>
            <c:idx val="33"/>
            <c:invertIfNegative val="0"/>
            <c:bubble3D val="0"/>
            <c:spPr>
              <a:solidFill>
                <a:schemeClr val="accent2">
                  <a:lumMod val="75000"/>
                </a:schemeClr>
              </a:solidFill>
              <a:ln>
                <a:noFill/>
              </a:ln>
              <a:effectLst/>
              <a:sp3d/>
            </c:spPr>
            <c:extLst>
              <c:ext xmlns:c16="http://schemas.microsoft.com/office/drawing/2014/chart" uri="{C3380CC4-5D6E-409C-BE32-E72D297353CC}">
                <c16:uniqueId val="{0000003C-21C6-41C2-81D6-5FB13AD3D770}"/>
              </c:ext>
            </c:extLst>
          </c:dPt>
          <c:dPt>
            <c:idx val="34"/>
            <c:invertIfNegative val="0"/>
            <c:bubble3D val="0"/>
            <c:spPr>
              <a:solidFill>
                <a:schemeClr val="accent2">
                  <a:lumMod val="75000"/>
                </a:schemeClr>
              </a:solidFill>
              <a:ln>
                <a:noFill/>
              </a:ln>
              <a:effectLst/>
              <a:sp3d/>
            </c:spPr>
            <c:extLst>
              <c:ext xmlns:c16="http://schemas.microsoft.com/office/drawing/2014/chart" uri="{C3380CC4-5D6E-409C-BE32-E72D297353CC}">
                <c16:uniqueId val="{0000003D-21C6-41C2-81D6-5FB13AD3D770}"/>
              </c:ext>
            </c:extLst>
          </c:dPt>
          <c:dPt>
            <c:idx val="35"/>
            <c:invertIfNegative val="0"/>
            <c:bubble3D val="0"/>
            <c:spPr>
              <a:solidFill>
                <a:schemeClr val="accent2">
                  <a:lumMod val="75000"/>
                </a:schemeClr>
              </a:solidFill>
              <a:ln>
                <a:noFill/>
              </a:ln>
              <a:effectLst/>
              <a:sp3d/>
            </c:spPr>
            <c:extLst>
              <c:ext xmlns:c16="http://schemas.microsoft.com/office/drawing/2014/chart" uri="{C3380CC4-5D6E-409C-BE32-E72D297353CC}">
                <c16:uniqueId val="{0000003E-21C6-41C2-81D6-5FB13AD3D770}"/>
              </c:ext>
            </c:extLst>
          </c:dPt>
          <c:dLbls>
            <c:dLbl>
              <c:idx val="0"/>
              <c:layout>
                <c:manualLayout>
                  <c:x val="4.3972260211425037E-5"/>
                  <c:y val="0.1216340059950452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5EEA-4F0C-ABF9-D490C78DEA01}"/>
                </c:ext>
              </c:extLst>
            </c:dLbl>
            <c:dLbl>
              <c:idx val="1"/>
              <c:layout>
                <c:manualLayout>
                  <c:x val="0"/>
                  <c:y val="0.16061974995392334"/>
                </c:manualLayout>
              </c:layout>
              <c:spPr>
                <a:noFill/>
                <a:ln>
                  <a:noFill/>
                </a:ln>
                <a:effectLst/>
              </c:spPr>
              <c:txPr>
                <a:bodyPr rot="0" spcFirstLastPara="1" vertOverflow="ellipsis" vert="horz" wrap="square" lIns="38100" tIns="19050" rIns="38100" bIns="19050" anchor="ctr" anchorCtr="1">
                  <a:noAutofit/>
                </a:bodyPr>
                <a:lstStyle/>
                <a:p>
                  <a:pPr>
                    <a:defRPr sz="1200" b="1" i="0" u="none" strike="noStrike" kern="1200" baseline="0">
                      <a:solidFill>
                        <a:schemeClr val="bg1"/>
                      </a:solidFill>
                      <a:latin typeface="+mn-lt"/>
                      <a:ea typeface="+mn-ea"/>
                      <a:cs typeface="+mn-cs"/>
                    </a:defRPr>
                  </a:pPr>
                  <a:endParaRPr lang="es-CO"/>
                </a:p>
              </c:txPr>
              <c:showLegendKey val="0"/>
              <c:showVal val="1"/>
              <c:showCatName val="0"/>
              <c:showSerName val="0"/>
              <c:showPercent val="0"/>
              <c:showBubbleSize val="0"/>
              <c:extLst>
                <c:ext xmlns:c15="http://schemas.microsoft.com/office/drawing/2012/chart" uri="{CE6537A1-D6FC-4f65-9D91-7224C49458BB}">
                  <c15:layout>
                    <c:manualLayout>
                      <c:w val="9.3319197618045024E-2"/>
                      <c:h val="0.19021717622289533"/>
                    </c:manualLayout>
                  </c15:layout>
                </c:ext>
                <c:ext xmlns:c16="http://schemas.microsoft.com/office/drawing/2014/chart" uri="{C3380CC4-5D6E-409C-BE32-E72D297353CC}">
                  <c16:uniqueId val="{00000007-5EEA-4F0C-ABF9-D490C78DEA01}"/>
                </c:ext>
              </c:extLst>
            </c:dLbl>
            <c:dLbl>
              <c:idx val="2"/>
              <c:layout>
                <c:manualLayout>
                  <c:x val="2.3224557886250968E-3"/>
                  <c:y val="0.2121035575652111"/>
                </c:manualLayout>
              </c:layout>
              <c:spPr>
                <a:noFill/>
                <a:ln>
                  <a:noFill/>
                </a:ln>
                <a:effectLst/>
              </c:spPr>
              <c:txPr>
                <a:bodyPr rot="0" spcFirstLastPara="1" vertOverflow="ellipsis" vert="horz" wrap="square" lIns="38100" tIns="19050" rIns="38100" bIns="19050" anchor="ctr" anchorCtr="1">
                  <a:noAutofit/>
                </a:bodyPr>
                <a:lstStyle/>
                <a:p>
                  <a:pPr>
                    <a:defRPr sz="1200" b="1" i="0" u="none" strike="noStrike" kern="1200" baseline="0">
                      <a:solidFill>
                        <a:schemeClr val="bg1"/>
                      </a:solidFill>
                      <a:latin typeface="+mn-lt"/>
                      <a:ea typeface="+mn-ea"/>
                      <a:cs typeface="+mn-cs"/>
                    </a:defRPr>
                  </a:pPr>
                  <a:endParaRPr lang="es-CO"/>
                </a:p>
              </c:txPr>
              <c:showLegendKey val="0"/>
              <c:showVal val="1"/>
              <c:showCatName val="0"/>
              <c:showSerName val="0"/>
              <c:showPercent val="0"/>
              <c:showBubbleSize val="0"/>
              <c:extLst>
                <c:ext xmlns:c15="http://schemas.microsoft.com/office/drawing/2012/chart" uri="{CE6537A1-D6FC-4f65-9D91-7224C49458BB}">
                  <c15:layout>
                    <c:manualLayout>
                      <c:w val="5.388080039450819E-2"/>
                      <c:h val="0.12918689231193684"/>
                    </c:manualLayout>
                  </c15:layout>
                </c:ext>
                <c:ext xmlns:c16="http://schemas.microsoft.com/office/drawing/2014/chart" uri="{C3380CC4-5D6E-409C-BE32-E72D297353CC}">
                  <c16:uniqueId val="{00000009-5EEA-4F0C-ABF9-D490C78DEA01}"/>
                </c:ext>
              </c:extLst>
            </c:dLbl>
            <c:dLbl>
              <c:idx val="3"/>
              <c:layout>
                <c:manualLayout>
                  <c:x val="-3.155071777882947E-3"/>
                  <c:y val="0.15078070142707403"/>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42-B716-4D0B-B738-5C35AE29E327}"/>
                </c:ext>
              </c:extLst>
            </c:dLbl>
            <c:dLbl>
              <c:idx val="4"/>
              <c:layout>
                <c:manualLayout>
                  <c:x val="1.5775358889414735E-3"/>
                  <c:y val="0.10949579204814128"/>
                </c:manualLayout>
              </c:layout>
              <c:spPr>
                <a:noFill/>
                <a:ln>
                  <a:noFill/>
                </a:ln>
                <a:effectLst/>
              </c:spPr>
              <c:txPr>
                <a:bodyPr rot="0" spcFirstLastPara="1" vertOverflow="ellipsis" vert="horz" wrap="square" lIns="38100" tIns="19050" rIns="38100" bIns="19050" anchor="ctr" anchorCtr="1">
                  <a:noAutofit/>
                </a:bodyPr>
                <a:lstStyle/>
                <a:p>
                  <a:pPr>
                    <a:defRPr sz="1200" b="1" i="0" u="none" strike="noStrike" kern="1200" baseline="0">
                      <a:solidFill>
                        <a:schemeClr val="bg1"/>
                      </a:solidFill>
                      <a:latin typeface="+mn-lt"/>
                      <a:ea typeface="+mn-ea"/>
                      <a:cs typeface="+mn-cs"/>
                    </a:defRPr>
                  </a:pPr>
                  <a:endParaRPr lang="es-CO"/>
                </a:p>
              </c:txPr>
              <c:showLegendKey val="0"/>
              <c:showVal val="1"/>
              <c:showCatName val="0"/>
              <c:showSerName val="0"/>
              <c:showPercent val="0"/>
              <c:showBubbleSize val="0"/>
              <c:extLst>
                <c:ext xmlns:c15="http://schemas.microsoft.com/office/drawing/2012/chart" uri="{CE6537A1-D6FC-4f65-9D91-7224C49458BB}">
                  <c15:layout>
                    <c:manualLayout>
                      <c:w val="3.293112378936542E-2"/>
                      <c:h val="6.6953811467022159E-2"/>
                    </c:manualLayout>
                  </c15:layout>
                </c:ext>
                <c:ext xmlns:c16="http://schemas.microsoft.com/office/drawing/2014/chart" uri="{C3380CC4-5D6E-409C-BE32-E72D297353CC}">
                  <c16:uniqueId val="{00000043-B716-4D0B-B738-5C35AE29E327}"/>
                </c:ext>
              </c:extLst>
            </c:dLbl>
            <c:dLbl>
              <c:idx val="5"/>
              <c:layout>
                <c:manualLayout>
                  <c:x val="-1.5775358889414735E-3"/>
                  <c:y val="0.1830908517328756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44-B716-4D0B-B738-5C35AE29E327}"/>
                </c:ext>
              </c:extLst>
            </c:dLbl>
            <c:dLbl>
              <c:idx val="6"/>
              <c:layout>
                <c:manualLayout>
                  <c:x val="1.5775358889414735E-3"/>
                  <c:y val="0.14001065132514018"/>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B-5EEA-4F0C-ABF9-D490C78DEA01}"/>
                </c:ext>
              </c:extLst>
            </c:dLbl>
            <c:dLbl>
              <c:idx val="7"/>
              <c:layout>
                <c:manualLayout>
                  <c:x val="-1.5775358889414735E-3"/>
                  <c:y val="9.6930450917404737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D-5EEA-4F0C-ABF9-D490C78DEA01}"/>
                </c:ext>
              </c:extLst>
            </c:dLbl>
            <c:dLbl>
              <c:idx val="8"/>
              <c:layout>
                <c:manualLayout>
                  <c:x val="0"/>
                  <c:y val="0.20463095193674333"/>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F-5EEA-4F0C-ABF9-D490C78DEA01}"/>
                </c:ext>
              </c:extLst>
            </c:dLbl>
            <c:dLbl>
              <c:idx val="9"/>
              <c:layout>
                <c:manualLayout>
                  <c:x val="4.7326076668244201E-3"/>
                  <c:y val="0.12206056782191708"/>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1-5EEA-4F0C-ABF9-D490C78DEA01}"/>
                </c:ext>
              </c:extLst>
            </c:dLbl>
            <c:dLbl>
              <c:idx val="10"/>
              <c:layout>
                <c:manualLayout>
                  <c:x val="1.5775358889415891E-3"/>
                  <c:y val="0.1005204676180494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3-5EEA-4F0C-ABF9-D490C78DEA01}"/>
                </c:ext>
              </c:extLst>
            </c:dLbl>
            <c:dLbl>
              <c:idx val="11"/>
              <c:layout>
                <c:manualLayout>
                  <c:x val="1.5775358889413577E-3"/>
                  <c:y val="0.2082209686373879"/>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5-5EEA-4F0C-ABF9-D490C78DEA01}"/>
                </c:ext>
              </c:extLst>
            </c:dLbl>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bg1"/>
                    </a:solidFill>
                    <a:latin typeface="+mn-lt"/>
                    <a:ea typeface="+mn-ea"/>
                    <a:cs typeface="+mn-cs"/>
                  </a:defRPr>
                </a:pPr>
                <a:endParaRPr lang="es-CO"/>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'Personal-MOI'!$B$2:$B$13</c:f>
              <c:numCache>
                <c:formatCode>General</c:formatCode>
                <c:ptCount val="12"/>
                <c:pt idx="0">
                  <c:v>2024</c:v>
                </c:pt>
                <c:pt idx="1">
                  <c:v>2025</c:v>
                </c:pt>
                <c:pt idx="2">
                  <c:v>2026</c:v>
                </c:pt>
                <c:pt idx="3">
                  <c:v>2024</c:v>
                </c:pt>
                <c:pt idx="4">
                  <c:v>2025</c:v>
                </c:pt>
                <c:pt idx="5">
                  <c:v>2026</c:v>
                </c:pt>
                <c:pt idx="6">
                  <c:v>2024</c:v>
                </c:pt>
                <c:pt idx="7">
                  <c:v>2025</c:v>
                </c:pt>
                <c:pt idx="8">
                  <c:v>2026</c:v>
                </c:pt>
                <c:pt idx="9">
                  <c:v>2024</c:v>
                </c:pt>
                <c:pt idx="10">
                  <c:v>2025</c:v>
                </c:pt>
                <c:pt idx="11">
                  <c:v>2026</c:v>
                </c:pt>
              </c:numCache>
            </c:numRef>
          </c:cat>
          <c:val>
            <c:numRef>
              <c:f>'Personal-MOI'!$H$2:$H$13</c:f>
              <c:numCache>
                <c:formatCode>_-* #,##0_-;\-* #,##0_-;_-* "-"_-;_-@_-</c:formatCode>
                <c:ptCount val="12"/>
                <c:pt idx="0">
                  <c:v>39</c:v>
                </c:pt>
                <c:pt idx="1">
                  <c:v>36</c:v>
                </c:pt>
                <c:pt idx="2">
                  <c:v>41</c:v>
                </c:pt>
                <c:pt idx="3">
                  <c:v>39</c:v>
                </c:pt>
                <c:pt idx="4">
                  <c:v>36</c:v>
                </c:pt>
                <c:pt idx="5">
                  <c:v>41</c:v>
                </c:pt>
                <c:pt idx="6">
                  <c:v>38</c:v>
                </c:pt>
                <c:pt idx="7">
                  <c:v>35</c:v>
                </c:pt>
                <c:pt idx="8">
                  <c:v>42</c:v>
                </c:pt>
                <c:pt idx="9">
                  <c:v>38</c:v>
                </c:pt>
                <c:pt idx="10">
                  <c:v>36</c:v>
                </c:pt>
                <c:pt idx="11">
                  <c:v>42</c:v>
                </c:pt>
              </c:numCache>
            </c:numRef>
          </c:val>
          <c:extLst>
            <c:ext xmlns:c16="http://schemas.microsoft.com/office/drawing/2014/chart" uri="{C3380CC4-5D6E-409C-BE32-E72D297353CC}">
              <c16:uniqueId val="{00000016-5EEA-4F0C-ABF9-D490C78DEA01}"/>
            </c:ext>
          </c:extLst>
        </c:ser>
        <c:dLbls>
          <c:showLegendKey val="0"/>
          <c:showVal val="1"/>
          <c:showCatName val="0"/>
          <c:showSerName val="0"/>
          <c:showPercent val="0"/>
          <c:showBubbleSize val="0"/>
        </c:dLbls>
        <c:gapWidth val="150"/>
        <c:shape val="box"/>
        <c:axId val="525655407"/>
        <c:axId val="525645807"/>
        <c:axId val="703282927"/>
      </c:bar3DChart>
      <c:catAx>
        <c:axId val="525655407"/>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200" b="1" i="0" u="none" strike="noStrike" kern="1200" baseline="0">
                <a:solidFill>
                  <a:schemeClr val="tx1">
                    <a:lumMod val="65000"/>
                    <a:lumOff val="35000"/>
                  </a:schemeClr>
                </a:solidFill>
                <a:latin typeface="+mn-lt"/>
                <a:ea typeface="+mn-ea"/>
                <a:cs typeface="+mn-cs"/>
              </a:defRPr>
            </a:pPr>
            <a:endParaRPr lang="es-CO"/>
          </a:p>
        </c:txPr>
        <c:crossAx val="525645807"/>
        <c:crosses val="autoZero"/>
        <c:auto val="1"/>
        <c:lblAlgn val="ctr"/>
        <c:lblOffset val="100"/>
        <c:noMultiLvlLbl val="0"/>
      </c:catAx>
      <c:valAx>
        <c:axId val="525645807"/>
        <c:scaling>
          <c:orientation val="minMax"/>
        </c:scaling>
        <c:delete val="1"/>
        <c:axPos val="l"/>
        <c:numFmt formatCode="_-* #,##0_-;\-* #,##0_-;_-* &quot;-&quot;_-;_-@_-" sourceLinked="1"/>
        <c:majorTickMark val="none"/>
        <c:minorTickMark val="none"/>
        <c:tickLblPos val="nextTo"/>
        <c:crossAx val="525655407"/>
        <c:crosses val="autoZero"/>
        <c:crossBetween val="between"/>
      </c:valAx>
      <c:serAx>
        <c:axId val="703282927"/>
        <c:scaling>
          <c:orientation val="minMax"/>
        </c:scaling>
        <c:delete val="1"/>
        <c:axPos val="b"/>
        <c:majorTickMark val="out"/>
        <c:minorTickMark val="none"/>
        <c:tickLblPos val="nextTo"/>
        <c:crossAx val="525645807"/>
        <c:crosses val="autoZero"/>
      </c:ser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lumMod val="95000"/>
      </a:schemeClr>
    </a:solidFill>
    <a:ln w="9525" cap="flat" cmpd="sng" algn="ctr">
      <a:solidFill>
        <a:schemeClr val="tx1">
          <a:lumMod val="15000"/>
          <a:lumOff val="85000"/>
        </a:schemeClr>
      </a:solidFill>
      <a:round/>
    </a:ln>
    <a:effectLst/>
  </c:spPr>
  <c:txPr>
    <a:bodyPr/>
    <a:lstStyle/>
    <a:p>
      <a:pPr>
        <a:defRPr/>
      </a:pPr>
      <a:endParaRPr lang="es-CO"/>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93">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bg1"/>
    </cs:fontRef>
    <cs:spPr>
      <a:solidFill>
        <a:schemeClr val="tx1">
          <a:lumMod val="50000"/>
          <a:lumOff val="50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5400000" scaled="0"/>
      </a:gradFill>
    </cs:spPr>
  </cs:dataPoint>
  <cs:dataPoint3D>
    <cs:lnRef idx="0"/>
    <cs:fillRef idx="0">
      <cs:styleClr val="auto"/>
    </cs:fillRef>
    <cs:effectRef idx="0"/>
    <cs:fontRef idx="minor">
      <a:schemeClr val="tx1"/>
    </cs:fontRef>
    <cs:spPr>
      <a:gradFill>
        <a:gsLst>
          <a:gs pos="100000">
            <a:schemeClr val="phClr">
              <a:alpha val="0"/>
            </a:schemeClr>
          </a:gs>
          <a:gs pos="50000">
            <a:schemeClr val="phClr"/>
          </a:gs>
        </a:gsLst>
        <a:lin ang="5400000" scaled="0"/>
      </a:gradFill>
      <a:sp3d/>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styleClr val="auto"/>
    </cs:lnRef>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5400000" scaled="0"/>
      </a:gradFill>
      <a:ln w="9525" cap="flat" cmpd="sng" algn="ctr">
        <a:solidFill>
          <a:schemeClr val="phClr">
            <a:shade val="95000"/>
          </a:schemeClr>
        </a:solidFill>
        <a:round/>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65000"/>
            <a:lumOff val="3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cap="flat" cmpd="sng" algn="ctr">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tx1"/>
    </cs:fontRef>
    <cs:spPr>
      <a:ln w="9525" cap="flat" cmpd="sng" algn="ctr">
        <a:solidFill>
          <a:schemeClr val="tx1">
            <a:lumMod val="5000"/>
            <a:lumOff val="9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headEnd type="none" w="sm" len="sm"/>
        <a:tailEnd type="none" w="sm" len="sm"/>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800" b="1" kern="1200" cap="all" spc="50" baseline="0"/>
  </cs:title>
  <cs:trendline>
    <cs:lnRef idx="0">
      <cs:styleClr val="auto"/>
    </cs:lnRef>
    <cs:fillRef idx="0"/>
    <cs:effectRef idx="0"/>
    <cs:fontRef idx="minor">
      <a:schemeClr val="dk1"/>
    </cs:fontRef>
    <cs:spPr>
      <a:ln w="9525"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1" Type="http://schemas.openxmlformats.org/officeDocument/2006/relationships/image" Target="../media/image1.png"/></Relationships>
</file>

<file path=xl/drawings/_rels/drawing5.xml.rels><?xml version="1.0" encoding="UTF-8" standalone="yes"?>
<Relationships xmlns="http://schemas.openxmlformats.org/package/2006/relationships"><Relationship Id="rId3" Type="http://schemas.openxmlformats.org/officeDocument/2006/relationships/image" Target="../media/image4.png"/><Relationship Id="rId2" Type="http://schemas.openxmlformats.org/officeDocument/2006/relationships/image" Target="../media/image3.png"/><Relationship Id="rId1"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twoCellAnchor>
    <xdr:from>
      <xdr:col>9</xdr:col>
      <xdr:colOff>66675</xdr:colOff>
      <xdr:row>6</xdr:row>
      <xdr:rowOff>30478</xdr:rowOff>
    </xdr:from>
    <xdr:to>
      <xdr:col>18</xdr:col>
      <xdr:colOff>281940</xdr:colOff>
      <xdr:row>29</xdr:row>
      <xdr:rowOff>76200</xdr:rowOff>
    </xdr:to>
    <xdr:graphicFrame macro="">
      <xdr:nvGraphicFramePr>
        <xdr:cNvPr id="2" name="Gráfico 1">
          <a:extLst>
            <a:ext uri="{FF2B5EF4-FFF2-40B4-BE49-F238E27FC236}">
              <a16:creationId xmlns:a16="http://schemas.microsoft.com/office/drawing/2014/main" id="{300AED21-7609-4223-A2A8-D168E61ECB1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1</xdr:col>
      <xdr:colOff>272416</xdr:colOff>
      <xdr:row>13</xdr:row>
      <xdr:rowOff>47624</xdr:rowOff>
    </xdr:from>
    <xdr:to>
      <xdr:col>9</xdr:col>
      <xdr:colOff>1432560</xdr:colOff>
      <xdr:row>34</xdr:row>
      <xdr:rowOff>68580</xdr:rowOff>
    </xdr:to>
    <xdr:graphicFrame macro="">
      <xdr:nvGraphicFramePr>
        <xdr:cNvPr id="2" name="Gráfico 1">
          <a:extLst>
            <a:ext uri="{FF2B5EF4-FFF2-40B4-BE49-F238E27FC236}">
              <a16:creationId xmlns:a16="http://schemas.microsoft.com/office/drawing/2014/main" id="{C6B22E88-94B7-820F-6388-F7429B8C74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1</xdr:col>
      <xdr:colOff>64770</xdr:colOff>
      <xdr:row>13</xdr:row>
      <xdr:rowOff>20952</xdr:rowOff>
    </xdr:from>
    <xdr:to>
      <xdr:col>10</xdr:col>
      <xdr:colOff>556260</xdr:colOff>
      <xdr:row>32</xdr:row>
      <xdr:rowOff>83820</xdr:rowOff>
    </xdr:to>
    <xdr:graphicFrame macro="">
      <xdr:nvGraphicFramePr>
        <xdr:cNvPr id="2" name="Gráfico 1">
          <a:extLst>
            <a:ext uri="{FF2B5EF4-FFF2-40B4-BE49-F238E27FC236}">
              <a16:creationId xmlns:a16="http://schemas.microsoft.com/office/drawing/2014/main" id="{813A14F8-ACF2-4CA2-A819-A1F10AAE3FA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editAs="oneCell">
    <xdr:from>
      <xdr:col>1</xdr:col>
      <xdr:colOff>371475</xdr:colOff>
      <xdr:row>45</xdr:row>
      <xdr:rowOff>95250</xdr:rowOff>
    </xdr:from>
    <xdr:to>
      <xdr:col>3</xdr:col>
      <xdr:colOff>3875932</xdr:colOff>
      <xdr:row>49</xdr:row>
      <xdr:rowOff>190393</xdr:rowOff>
    </xdr:to>
    <xdr:pic>
      <xdr:nvPicPr>
        <xdr:cNvPr id="4" name="Imagen 3">
          <a:extLst>
            <a:ext uri="{FF2B5EF4-FFF2-40B4-BE49-F238E27FC236}">
              <a16:creationId xmlns:a16="http://schemas.microsoft.com/office/drawing/2014/main" id="{B326D726-4BEC-A6EB-3EE5-EEEF3739E6B9}"/>
            </a:ext>
          </a:extLst>
        </xdr:cNvPr>
        <xdr:cNvPicPr>
          <a:picLocks noChangeAspect="1"/>
        </xdr:cNvPicPr>
      </xdr:nvPicPr>
      <xdr:blipFill>
        <a:blip xmlns:r="http://schemas.openxmlformats.org/officeDocument/2006/relationships" r:embed="rId1"/>
        <a:stretch>
          <a:fillRect/>
        </a:stretch>
      </xdr:blipFill>
      <xdr:spPr>
        <a:xfrm>
          <a:off x="3571875" y="10267950"/>
          <a:ext cx="5942857" cy="857143"/>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0</xdr:col>
      <xdr:colOff>60961</xdr:colOff>
      <xdr:row>57</xdr:row>
      <xdr:rowOff>38102</xdr:rowOff>
    </xdr:from>
    <xdr:to>
      <xdr:col>4</xdr:col>
      <xdr:colOff>873237</xdr:colOff>
      <xdr:row>62</xdr:row>
      <xdr:rowOff>152400</xdr:rowOff>
    </xdr:to>
    <xdr:pic>
      <xdr:nvPicPr>
        <xdr:cNvPr id="3" name="Imagen 2">
          <a:extLst>
            <a:ext uri="{FF2B5EF4-FFF2-40B4-BE49-F238E27FC236}">
              <a16:creationId xmlns:a16="http://schemas.microsoft.com/office/drawing/2014/main" id="{AE0EF2EF-1814-C44F-4352-60813E983CE1}"/>
            </a:ext>
          </a:extLst>
        </xdr:cNvPr>
        <xdr:cNvPicPr>
          <a:picLocks noChangeAspect="1"/>
        </xdr:cNvPicPr>
      </xdr:nvPicPr>
      <xdr:blipFill>
        <a:blip xmlns:r="http://schemas.openxmlformats.org/officeDocument/2006/relationships" r:embed="rId1"/>
        <a:stretch>
          <a:fillRect/>
        </a:stretch>
      </xdr:blipFill>
      <xdr:spPr>
        <a:xfrm>
          <a:off x="60961" y="11841482"/>
          <a:ext cx="6489176" cy="1028698"/>
        </a:xfrm>
        <a:prstGeom prst="rect">
          <a:avLst/>
        </a:prstGeom>
      </xdr:spPr>
    </xdr:pic>
    <xdr:clientData/>
  </xdr:twoCellAnchor>
  <xdr:twoCellAnchor editAs="oneCell">
    <xdr:from>
      <xdr:col>4</xdr:col>
      <xdr:colOff>1219201</xdr:colOff>
      <xdr:row>56</xdr:row>
      <xdr:rowOff>144781</xdr:rowOff>
    </xdr:from>
    <xdr:to>
      <xdr:col>4</xdr:col>
      <xdr:colOff>7901266</xdr:colOff>
      <xdr:row>62</xdr:row>
      <xdr:rowOff>129540</xdr:rowOff>
    </xdr:to>
    <xdr:pic>
      <xdr:nvPicPr>
        <xdr:cNvPr id="4" name="Imagen 3">
          <a:extLst>
            <a:ext uri="{FF2B5EF4-FFF2-40B4-BE49-F238E27FC236}">
              <a16:creationId xmlns:a16="http://schemas.microsoft.com/office/drawing/2014/main" id="{47024029-5799-2A7F-9E22-89EBBEBC34AE}"/>
            </a:ext>
          </a:extLst>
        </xdr:cNvPr>
        <xdr:cNvPicPr>
          <a:picLocks noChangeAspect="1"/>
        </xdr:cNvPicPr>
      </xdr:nvPicPr>
      <xdr:blipFill>
        <a:blip xmlns:r="http://schemas.openxmlformats.org/officeDocument/2006/relationships" r:embed="rId2"/>
        <a:stretch>
          <a:fillRect/>
        </a:stretch>
      </xdr:blipFill>
      <xdr:spPr>
        <a:xfrm>
          <a:off x="6896101" y="11765281"/>
          <a:ext cx="6682065" cy="1082039"/>
        </a:xfrm>
        <a:prstGeom prst="rect">
          <a:avLst/>
        </a:prstGeom>
      </xdr:spPr>
    </xdr:pic>
    <xdr:clientData/>
  </xdr:twoCellAnchor>
  <xdr:twoCellAnchor editAs="oneCell">
    <xdr:from>
      <xdr:col>2</xdr:col>
      <xdr:colOff>45721</xdr:colOff>
      <xdr:row>64</xdr:row>
      <xdr:rowOff>83820</xdr:rowOff>
    </xdr:from>
    <xdr:to>
      <xdr:col>4</xdr:col>
      <xdr:colOff>4648200</xdr:colOff>
      <xdr:row>69</xdr:row>
      <xdr:rowOff>61603</xdr:rowOff>
    </xdr:to>
    <xdr:pic>
      <xdr:nvPicPr>
        <xdr:cNvPr id="6" name="Imagen 5">
          <a:extLst>
            <a:ext uri="{FF2B5EF4-FFF2-40B4-BE49-F238E27FC236}">
              <a16:creationId xmlns:a16="http://schemas.microsoft.com/office/drawing/2014/main" id="{41FA52C0-DA93-A746-E36B-91F9A4CB33F9}"/>
            </a:ext>
          </a:extLst>
        </xdr:cNvPr>
        <xdr:cNvPicPr>
          <a:picLocks noChangeAspect="1"/>
        </xdr:cNvPicPr>
      </xdr:nvPicPr>
      <xdr:blipFill>
        <a:blip xmlns:r="http://schemas.openxmlformats.org/officeDocument/2006/relationships" r:embed="rId3"/>
        <a:stretch>
          <a:fillRect/>
        </a:stretch>
      </xdr:blipFill>
      <xdr:spPr>
        <a:xfrm>
          <a:off x="3680461" y="13350240"/>
          <a:ext cx="6644639" cy="892183"/>
        </a:xfrm>
        <a:prstGeom prst="rect">
          <a:avLst/>
        </a:prstGeom>
      </xdr:spPr>
    </xdr:pic>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2" Type="http://schemas.openxmlformats.org/officeDocument/2006/relationships/externalLinkPath" Target="/personal/adriana_bernal_tercol_com_co/Documents/Documents-Adriana/Adriana/INFORMES/INFORMES%20FINANCIEROS%20MENSUALES/2026/Variaciones%20costos%20de%20pccion%202024-2025-2026-Cesar.xlsx" TargetMode="External"/><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Contador" refreshedDate="46161.423497800926" createdVersion="8" refreshedVersion="8" minRefreshableVersion="3" recordCount="906" xr:uid="{86C16DE2-3F51-49BA-A2C5-B64328069577}">
  <cacheSource type="worksheet">
    <worksheetSource name="Tabla1"/>
  </cacheSource>
  <cacheFields count="6">
    <cacheField name="Cuenta" numFmtId="49">
      <sharedItems containsMixedTypes="1" containsNumber="1" containsInteger="1" minValue="720506" maxValue="73959511"/>
    </cacheField>
    <cacheField name="Tipo" numFmtId="49">
      <sharedItems count="4">
        <s v="MOD"/>
        <s v="MOI"/>
        <s v="CIF"/>
        <s v="SP"/>
      </sharedItems>
    </cacheField>
    <cacheField name="Descripcion" numFmtId="49">
      <sharedItems containsBlank="1" count="144">
        <s v="SUELDOS"/>
        <s v="HORAS EXTRAS Y RECARGOS"/>
        <s v="INCAPACIDADES"/>
        <s v="AUXILIO DE TRANSPORTE"/>
        <s v="PROVISIONES PRESTACIONES SOCIALES"/>
        <s v="AUXILIOS VINCULADOS"/>
        <s v="AGUINALDOS VINCULADOS"/>
        <s v="BONIFICACIONES"/>
        <s v="DOTACION PERSONAL-UNIFORME Y CALZADO"/>
        <s v="DOTACION PERSONAL-ELEMENTOS EPP"/>
        <s v="APORTES SEGURIDAD SOCIAL"/>
        <s v="GASTOS MEDICOS Y DROGAS"/>
        <s v="APRENDIZ"/>
        <s v="SUBSIDIO DE TRANSPORTE"/>
        <s v="INDEMNIZACIONES"/>
        <s v="ALQUILER DE BODEGAS"/>
        <s v="SEGURO BODEGA Y EQUIPOS"/>
        <s v="SERVICIO DE ASEO Y VIGILANCIA"/>
        <s v="PERSONAL TEMPORAL"/>
        <s v="AUXILIOS TEMPORALES"/>
        <s v="AGUINALDOS TEMPORALES"/>
        <s v="ASISTENCIA TECNICA"/>
        <s v="ACUEDUCTO Y ALCANTARILLADO"/>
        <s v="ENERGIA ELECTRICA"/>
        <s v="TRANSPORTES, FLETES Y ACARREOS"/>
        <s v="GAS"/>
        <s v="REPARACIONES LOCATIVAS"/>
        <s v="DEPRECIACIONES"/>
        <s v="ELEMENTOS DE ASEO Y CAFETERIA"/>
        <s v="UTILES, PAPELERIA Y OTROS MATERIALES"/>
        <s v="COMBUSTIBLES Y LUBRICANTES"/>
        <s v="CASINO Y RESTAURANTE"/>
        <s v="SERVICIOS DE PRODUCCION"/>
        <s v="EXAMENES MEDICOS"/>
        <s v="PROCESO DE SELECCION"/>
        <s v="FORMULACION DE PROYECTOS"/>
        <s v="SERVICIO DE FOTOCOPIAS"/>
        <s v="SERVICIO DE POLIGRAFIA"/>
        <s v="MANTENIMIENTOS METALMECANICA"/>
        <s v="MANTENIMIENTOS INYECCION"/>
        <s v="OTROS MANTENIMIENTOS OTROS EQUIPOS"/>
        <s v="ADQUISICION DE SOFTWARE-LICENCIAS"/>
        <s v="MANTENIM.EQUIPO DE COMPUTO"/>
        <s v="HERRAMIENTAS"/>
        <s v="DOTACION PERSONAL TEMPORAL"/>
        <s v="ELEMENTOS DE PROTOCOLO COVID"/>
        <s v="INSUMOS MANTEMIMIENTO"/>
        <s v="CAPACITACION AL PERSONAL"/>
        <s v="ASESORIA EN COMERCIO EXTERIOR"/>
        <s v="GASTOS DE REPRESENTACION"/>
        <s v="IMPUESTO PREDIAL"/>
        <s v="PRORRATEO DE IVA"/>
        <s v="COSTOS DE IMPORTACION"/>
        <s v="TASA ESPECIAL SEGURIDAD"/>
        <s v="IMPUESTO AL PLASTICO DE UN SOLO USO"/>
        <s v="PASAJES AEREOS"/>
        <s v="INSUMOS LOCATIVOS"/>
        <s v="SERVICIO LAVADO DOTACION"/>
        <s v="AUDITORIA DE RECERTIFICACION"/>
        <s v="TEMPORALES" u="1"/>
        <s v="CESANTIAS" u="1"/>
        <s v="INTERESES SOBRE CESANTIAS" u="1"/>
        <s v="PRIMA DE SERVICIOS" u="1"/>
        <s v="VACACIONES" u="1"/>
        <s v="AJUSTE VACACIONES" u="1"/>
        <s v="AUXILIOS ALIMENTACION Y TRANSPORTE" u="1"/>
        <s v="AGUINALDO ANUAL" u="1"/>
        <s v="APORTES A ARL" u="1"/>
        <s v="APORTES A EPS" u="1"/>
        <s v="APORTES A FONDOS DE PENSIONES" u="1"/>
        <s v="APORTES A CAJAS DE COMPENSACION" u="1"/>
        <s v="APORTES ICBF" u="1"/>
        <s v="APORTES SENA" u="1"/>
        <s v="MANTENIM.CORRECTIVO METALMECANICA" u="1"/>
        <s v="MANTENIM.PREVENTIVO METALMECANICA" u="1"/>
        <s v="MANTENIM.CORRECTIVO INYECCION" u="1"/>
        <s v="MANTENIM.PREVENTIVO INYECCION" u="1"/>
        <s v="DEPREC.CONSTRUCCIONES Y EDIFICACIONES" u="1"/>
        <s v="DEPRE. MAQUINARIA Y EQUIPO" u="1"/>
        <s v="DEPREC.EQUIPO DE OFICINA" u="1"/>
        <s v="DEPRE. EQUIPO DE COMPUTO" u="1"/>
        <s v="OTROS ACTIVOS DE CUANTIA MENOR" u="1"/>
        <s v="BONOS DE RECONOCIMIENTO" u="1"/>
        <s v="ALQUILER MAQUINARIA Y EQUIPO" u="1"/>
        <s v="PARTICIPACION EN FERIAS" u="1"/>
        <s v="INSUMOS AMBIENTAL" u="1"/>
        <s v="SERVICIO DE TOMA DE MUESTRAS Y LABORATORIO" u="1"/>
        <s v="BANCOS CORRECTORES AHORRO ENERGIA" u="1"/>
        <s v="TRAMITES Y LICENCIAS" u="1"/>
        <s v="AUXILIOS" u="1"/>
        <s v="ASEO Y VIGILANCIA" u="1"/>
        <s v="DIVERSOS" u="1"/>
        <s v="ALOJAMIENTO Y MANUTENCION" u="1"/>
        <s v="TRANSPORTE TERRESTRE EN VIAJES" u="1"/>
        <s v="PROYECTO FABRICAS DE PRODUCTIVIDAD" u="1"/>
        <s v="ACTIVOS FIJOS MENORES" u="1"/>
        <s v="INSUMOS PRODUCCION" u="1"/>
        <s v="EXAMENES MEDICOS Y JORNADAS" u="1"/>
        <s v="ADQUISICION DE SOFTWARE" u="1"/>
        <s v="ALQUILER BODEGAS" u="1"/>
        <s v="SERVICIO DE FOTOCOPIAS E IMPRESIONES" u="1"/>
        <s v="DEPREC. CONSTRUCCIONES Y EDIFICACIONES" u="1"/>
        <s v="DEPREC. EQUIPO DE OFICINA" u="1"/>
        <s v="CAPACITACIONES PERSONAL DE PRODUCCION" u="1"/>
        <s v="COSTOS DE VIAJE" u="1"/>
        <s v="SERVICIOS PARA INNOVACION" u="1"/>
        <s v="PROVISION AUXILIOS Y AGUINALDOS VINCULADOS" u="1"/>
        <s v="TEMPORALES-AUXILIOS PAGADOS" u="1"/>
        <s v="PROVISION AUXILIOS Y AGUINALDOS TEMPORALES" u="1"/>
        <s v="IMPORTACIONES" u="1"/>
        <s v="CONSTRUCCIONES Y EDIFICACIONES" u="1"/>
        <s v="PROVISION AUXILIOS" u="1"/>
        <s v="PROVISION AGUINALDO" u="1"/>
        <s v="INTERESES A LAS CESANTIAS" u="1"/>
        <s v="PROVISION AUXILIOS TEMPORALES" u="1"/>
        <s v="PROVISION AGUINALDOS TEMPORALES" u="1"/>
        <s v="CORRECTIVO METALMECANICA" u="1"/>
        <s v="PREVENTIVO METALMECANICA" u="1"/>
        <s v="CORRECTIVO INYECCION" u="1"/>
        <s v="PREVENTIVO INYECCION" u="1"/>
        <s v="EQUIPO DE COMPUTO" u="1"/>
        <s v="DEPRECIACION CONSTRUCCIONES Y EDIFICACIONES" u="1"/>
        <s v="DEPRECIACION MAQUINARIA Y EQUIPO" u="1"/>
        <s v="DEPRECIACION EQUIPO DE OFICINA" u="1"/>
        <s v="DEPRECIACION EQUIPO DE COMPUTO" u="1"/>
        <s v="UTILES, PAPELERIA Y FOTOCOPIAS" u="1"/>
        <s v="GASTOS DE VIAJE" u="1"/>
        <s v="PROVISION AUXILIOS Y AGUINALDOS" u="1"/>
        <s v="MAQUINARIA Y EQUIPO" u="1"/>
        <s v="INSUMOS MANTENIMIENTO" u="1"/>
        <s v="MANTENIMIENTO PREVENTIVO METALMECANICA" u="1"/>
        <s v="MANTENIMIENTO PREVENTIVO INYECCION" u="1"/>
        <s v="TEMPORALES-AUXILIOS" u="1"/>
        <s v="APORTES ADM. DE RIESGOS PROFESIONALES ARP" u="1"/>
        <s v="APORTES A ENTIDADES PROMOTORAS DE SALUD EPS" u="1"/>
        <s v="APORTES CAJA DE COMPENSACION" u="1"/>
        <s v="APORTES ENTIDADES PROMOTORAS DE SALUD EPS" u="1"/>
        <s v="APORTES CAJA DE COMPENSACION FAMILIAR" u="1"/>
        <m u="1"/>
        <s v="ADQUISICION DE SOFTWARE SIT" u="1"/>
        <s v="UTILES Y OTROS MATERIALES" u="1"/>
        <s v="MANTENIMIENTO CORRECTIVO METALMECANICA" u="1"/>
        <s v="MANTENIMIENTO CORRECTIVO INYECCION" u="1"/>
        <s v="MANTENIMIENTO EQUIPO DE COMPUTO" u="1"/>
      </sharedItems>
    </cacheField>
    <cacheField name="Año" numFmtId="0">
      <sharedItems containsSemiMixedTypes="0" containsString="0" containsNumber="1" containsInteger="1" minValue="2022" maxValue="2026" count="5">
        <n v="2024"/>
        <n v="2025"/>
        <n v="2026"/>
        <n v="2023" u="1"/>
        <n v="2022" u="1"/>
      </sharedItems>
    </cacheField>
    <cacheField name="Mes" numFmtId="0">
      <sharedItems containsMixedTypes="1" containsNumber="1" containsInteger="1" minValue="1" maxValue="4" count="8">
        <s v="Enero"/>
        <s v="Febrero"/>
        <s v="Marzo"/>
        <s v="Abril"/>
        <n v="1" u="1"/>
        <n v="2" u="1"/>
        <n v="3" u="1"/>
        <n v="4" u="1"/>
      </sharedItems>
    </cacheField>
    <cacheField name="Valor Total" numFmtId="165">
      <sharedItems containsSemiMixedTypes="0" containsString="0" containsNumber="1" minValue="-1580" maxValue="404395.36"/>
    </cacheField>
  </cacheFields>
  <extLst>
    <ext xmlns:x14="http://schemas.microsoft.com/office/spreadsheetml/2009/9/main" uri="{725AE2AE-9491-48be-B2B4-4EB974FC3084}">
      <x14:pivotCacheDefinition pivotCacheId="1212765128"/>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Contador" refreshedDate="46161.431096064814" createdVersion="8" refreshedVersion="8" minRefreshableVersion="3" recordCount="906" xr:uid="{BC4BA3FF-C6D5-42B9-8FB2-373E8457594A}">
  <cacheSource type="worksheet">
    <worksheetSource name="Tabla1" r:id="rId2"/>
  </cacheSource>
  <cacheFields count="14">
    <cacheField name="Cuenta" numFmtId="1">
      <sharedItems containsMixedTypes="1" containsNumber="1" containsInteger="1" minValue="720506" maxValue="73959511"/>
    </cacheField>
    <cacheField name="Tipo" numFmtId="0">
      <sharedItems count="4">
        <s v="MOD"/>
        <s v="MOI"/>
        <s v="CIF"/>
        <s v="SP"/>
      </sharedItems>
    </cacheField>
    <cacheField name="Descripcion" numFmtId="0">
      <sharedItems containsBlank="1" count="122">
        <s v="SUELDOS"/>
        <s v="HORAS EXTRAS Y RECARGOS"/>
        <s v="INCAPACIDADES"/>
        <s v="AUXILIO DE TRANSPORTE"/>
        <s v="PROVISIONES PRESTACIONES SOCIALES"/>
        <s v="AUXILIOS VINCULADOS"/>
        <s v="AGUINALDOS VINCULADOS"/>
        <s v="DOTACION PERSONAL-ELEMENTOS EPP"/>
        <s v="APORTES SEGURIDAD SOCIAL"/>
        <s v="GASTOS MEDICOS Y DROGAS"/>
        <s v="APRENDIZ"/>
        <s v="SUBSIDIO DE TRANSPORTE"/>
        <s v="DOTACION PERSONAL-UNIFORME Y CALZADO"/>
        <s v="INDEMNIZACIONES"/>
        <s v="ALQUILER DE BODEGAS"/>
        <s v="SEGURO BODEGA Y EQUIPOS"/>
        <s v="SERVICIO DE ASEO Y VIGILANCIA"/>
        <s v="PERSONAL TEMPORAL"/>
        <s v="AUXILIOS TEMPORALES"/>
        <s v="AGUINALDOS TEMPORALES"/>
        <s v="ASISTENCIA TECNICA"/>
        <s v="ACUEDUCTO Y ALCANTARILLADO"/>
        <s v="ENERGIA ELECTRICA"/>
        <s v="TRANSPORTES, FLETES Y ACARREOS"/>
        <s v="GAS"/>
        <s v="REPARACIONES LOCATIVAS"/>
        <s v="DEPRECIACIONES"/>
        <s v="ELEMENTOS DE ASEO Y CAFETERIA"/>
        <s v="UTILES, PAPELERIA Y OTROS MATERIALES"/>
        <s v="COMBUSTIBLES Y LUBRICANTES"/>
        <s v="CASINO Y RESTAURANTE"/>
        <s v="SERVICIOS DE PRODUCCION"/>
        <s v="EXAMENES MEDICOS"/>
        <s v="SERVICIO DE FOTOCOPIAS"/>
        <s v="MANTENIMIENTOS METALMECANICA"/>
        <s v="MANTENIMIENTOS INYECCION"/>
        <s v="OTROS MANTENIMIENTOS OTROS EQUIPOS"/>
        <s v="ADQUISICION DE SOFTWARE-LICENCIAS"/>
        <s v="MANTENIM.EQUIPO DE COMPUTO"/>
        <s v="HERRAMIENTAS"/>
        <s v="DOTACION PERSONAL TEMPORAL"/>
        <s v="ELEMENTOS DE PROTOCOLO COVID"/>
        <s v="INSUMOS MANTEMIMIENTO"/>
        <s v="CAPACITACION AL PERSONAL"/>
        <s v="ASESORIA EN COMERCIO EXTERIOR"/>
        <s v="GASTOS DE REPRESENTACION"/>
        <s v="BONIFICACIONES"/>
        <s v="PROCESO DE SELECCION"/>
        <s v="FORMULACION DE PROYECTOS"/>
        <s v="SERVICIO DE POLIGRAFIA"/>
        <s v="IMPUESTO PREDIAL"/>
        <s v="PRORRATEO DE IVA"/>
        <s v="COSTOS DE IMPORTACION"/>
        <s v="TASA ESPECIAL SEGURIDAD"/>
        <s v="IMPUESTO AL PLASTICO DE UN SOLO USO"/>
        <s v="PASAJES AEREOS"/>
        <s v="INSUMOS LOCATIVOS"/>
        <s v="SERVICIO LAVADO DOTACION"/>
        <s v="AUDITORIA DE RECERTIFICACION"/>
        <s v="TEMPORALES" u="1"/>
        <s v="ASEO Y VIGILANCIA" u="1"/>
        <s v="TRAMITES Y LICENCIAS" u="1"/>
        <s v="OTROS ACTIVOS DE CUANTIA MENOR" u="1"/>
        <s v="BONOS DE RECONOCIMIENTO" u="1"/>
        <s v="INSUMOS AMBIENTAL" u="1"/>
        <s v="SERVICIO DE TOMA DE MUESTRAS Y LABORATORIO" u="1"/>
        <s v="ALQUILER MAQUINARIA Y EQUIPO" u="1"/>
        <s v="BANCOS CORRECTORES AHORRO ENERGIA" u="1"/>
        <s v="DIVERSOS" u="1"/>
        <s v="PROYECTO FABRICAS DE PRODUCTIVIDAD" u="1"/>
        <s v="ACTIVOS FIJOS MENORES" u="1"/>
        <s v="PARTICIPACION EN FERIAS" u="1"/>
        <s v="AUXILIOS" u="1"/>
        <s v="ALOJAMIENTO Y MANUTENCION" u="1"/>
        <s v="TRANSPORTE TERRESTRE EN VIAJES" u="1"/>
        <s v="INSUMOS PRODUCCION" u="1"/>
        <s v="EXAMENES MEDICOS Y JORNADAS" u="1"/>
        <s v="ADQUISICION DE SOFTWARE" u="1"/>
        <s v="ALQUILER BODEGAS" u="1"/>
        <s v="CESANTIAS" u="1"/>
        <s v="INTERESES SOBRE CESANTIAS" u="1"/>
        <s v="PRIMA DE SERVICIOS" u="1"/>
        <s v="VACACIONES" u="1"/>
        <s v="AJUSTE VACACIONES" u="1"/>
        <s v="AUXILIOS ALIMENTACION Y TRANSPORTE" u="1"/>
        <s v="AGUINALDO ANUAL" u="1"/>
        <s v="APORTES A ARL" u="1"/>
        <s v="APORTES A EPS" u="1"/>
        <s v="APORTES A FONDOS DE PENSIONES" u="1"/>
        <s v="APORTES A CAJAS DE COMPENSACION" u="1"/>
        <s v="MANTENIM.CORRECTIVO METALMECANICA" u="1"/>
        <s v="MANTENIM.PREVENTIVO METALMECANICA" u="1"/>
        <s v="MANTENIM.CORRECTIVO INYECCION" u="1"/>
        <s v="MANTENIM.PREVENTIVO INYECCION" u="1"/>
        <s v="DEPREC.CONSTRUCCIONES Y EDIFICACIONES" u="1"/>
        <s v="DEPRE. MAQUINARIA Y EQUIPO" u="1"/>
        <s v="DEPREC.EQUIPO DE OFICINA" u="1"/>
        <s v="DEPRE. EQUIPO DE COMPUTO" u="1"/>
        <s v="APORTES ICBF" u="1"/>
        <s v="APORTES SENA" u="1"/>
        <s v="DEPREC. CONSTRUCCIONES Y EDIFICACIONES" u="1"/>
        <s v="DEPREC. EQUIPO DE OFICINA" u="1"/>
        <s v="COSTOS DE VIAJE" u="1"/>
        <s v="PROVISION AUXILIOS Y AGUINALDOS VINCULADOS" u="1"/>
        <s v="PROVISION AUXILIOS Y AGUINALDOS TEMPORALES" u="1"/>
        <s v="TEMPORALES-AUXILIOS" u="1"/>
        <s v="SERVICIOS PARA INNOVACION" u="1"/>
        <s v="CONSTRUCCIONES Y EDIFICACIONES" u="1"/>
        <s v="IMPORTACIONES" u="1"/>
        <s v="PROVISION AUXILIOS" u="1"/>
        <s v="PROVISION AGUINALDO" u="1"/>
        <s v="|" u="1"/>
        <s v="INSUMOS MANTENIMIENTO" u="1"/>
        <s v="PROVISION AUXILIOS Y AGUINALDOS" u="1"/>
        <s v="UTILES, PAPELERIA Y FOTOCOPIAS" u="1"/>
        <s v="DEPRECIACION CONSTRUCCIONES Y EDIFICACIONES" u="1"/>
        <s v="DEPRECIACION EQUIPO DE COMPUTO" u="1"/>
        <s v="DEPRECIACION EQUIPO DE OFICINA" u="1"/>
        <s v="DEPRECIACION MAQUINARIA Y EQUIPO" u="1"/>
        <m u="1"/>
        <s v="CORRECTIVO METALMECANICA" u="1"/>
        <s v="CORRECTIVO INYECCION" u="1"/>
      </sharedItems>
    </cacheField>
    <cacheField name="Año" numFmtId="0">
      <sharedItems containsSemiMixedTypes="0" containsString="0" containsNumber="1" containsInteger="1" minValue="2022" maxValue="2026" count="5">
        <n v="2024"/>
        <n v="2026"/>
        <n v="2025"/>
        <n v="2023" u="1"/>
        <n v="2022" u="1"/>
      </sharedItems>
    </cacheField>
    <cacheField name="Mes" numFmtId="0">
      <sharedItems count="12">
        <s v="Enero"/>
        <s v="Febrero"/>
        <s v="Marzo"/>
        <s v="Abril"/>
        <s v="Agosto" u="1"/>
        <s v="Julio" u="1"/>
        <s v="Junio" u="1"/>
        <s v="Mayo" u="1"/>
        <s v="Noviembre" u="1"/>
        <s v="Octubre" u="1"/>
        <s v="Septiembre" u="1"/>
        <s v="Diciembre" u="1"/>
      </sharedItems>
    </cacheField>
    <cacheField name="2024" numFmtId="0">
      <sharedItems containsString="0" containsBlank="1" containsNumber="1" minValue="-275" maxValue="283536"/>
    </cacheField>
    <cacheField name="2026" numFmtId="0">
      <sharedItems containsString="0" containsBlank="1" containsNumber="1" minValue="-9.6" maxValue="404395.36"/>
    </cacheField>
    <cacheField name="2025" numFmtId="0">
      <sharedItems containsString="0" containsBlank="1" containsNumber="1" minValue="-1580" maxValue="355869"/>
    </cacheField>
    <cacheField name="% 22Vs23" numFmtId="0" formula="IFERROR(#NAME?/#NAME?-1,0)" databaseField="0"/>
    <cacheField name="%23Vs24" numFmtId="0" formula="IFERROR('2024'/#NAME?-1,0)" databaseField="0"/>
    <cacheField name="Campo1" numFmtId="0" formula="'2024'/#NAME?-1" databaseField="0"/>
    <cacheField name="Campo2" numFmtId="0" formula="'2025'/'2024'-1" databaseField="0"/>
    <cacheField name="% 26Vs25" numFmtId="0" formula="IFERROR('2026'/'2025'-1,0)" databaseField="0"/>
    <cacheField name="% 25Vs24" numFmtId="0" formula="IFERROR('2025'/'2024'-1,0)" databaseField="0"/>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06">
  <r>
    <n v="720506"/>
    <x v="0"/>
    <x v="0"/>
    <x v="0"/>
    <x v="0"/>
    <n v="40413.692000000003"/>
  </r>
  <r>
    <n v="720506"/>
    <x v="0"/>
    <x v="0"/>
    <x v="1"/>
    <x v="0"/>
    <n v="47733.381000000001"/>
  </r>
  <r>
    <n v="720515"/>
    <x v="0"/>
    <x v="1"/>
    <x v="0"/>
    <x v="0"/>
    <n v="5460.2150000000001"/>
  </r>
  <r>
    <n v="720515"/>
    <x v="0"/>
    <x v="1"/>
    <x v="1"/>
    <x v="0"/>
    <n v="4804.82"/>
  </r>
  <r>
    <n v="720524"/>
    <x v="0"/>
    <x v="2"/>
    <x v="0"/>
    <x v="0"/>
    <n v="835.98099999999999"/>
  </r>
  <r>
    <n v="720524"/>
    <x v="0"/>
    <x v="2"/>
    <x v="1"/>
    <x v="0"/>
    <n v="521.95000000000005"/>
  </r>
  <r>
    <n v="720527"/>
    <x v="0"/>
    <x v="3"/>
    <x v="0"/>
    <x v="0"/>
    <n v="4766.7700000000004"/>
  </r>
  <r>
    <n v="720527"/>
    <x v="0"/>
    <x v="3"/>
    <x v="1"/>
    <x v="0"/>
    <n v="6280"/>
  </r>
  <r>
    <n v="720530"/>
    <x v="0"/>
    <x v="4"/>
    <x v="0"/>
    <x v="0"/>
    <n v="4489.3459999999995"/>
  </r>
  <r>
    <n v="720530"/>
    <x v="0"/>
    <x v="4"/>
    <x v="1"/>
    <x v="0"/>
    <n v="4998.1589999999997"/>
  </r>
  <r>
    <n v="720533"/>
    <x v="0"/>
    <x v="4"/>
    <x v="0"/>
    <x v="0"/>
    <n v="538.93399999999997"/>
  </r>
  <r>
    <n v="720533"/>
    <x v="0"/>
    <x v="4"/>
    <x v="1"/>
    <x v="0"/>
    <n v="600.01599999999996"/>
  </r>
  <r>
    <n v="720536"/>
    <x v="0"/>
    <x v="4"/>
    <x v="0"/>
    <x v="0"/>
    <n v="4489.3459999999995"/>
  </r>
  <r>
    <n v="720536"/>
    <x v="0"/>
    <x v="4"/>
    <x v="1"/>
    <x v="0"/>
    <n v="4998.1589999999997"/>
  </r>
  <r>
    <n v="720539"/>
    <x v="0"/>
    <x v="4"/>
    <x v="0"/>
    <x v="0"/>
    <n v="2048.5859999999998"/>
  </r>
  <r>
    <n v="720539"/>
    <x v="0"/>
    <x v="4"/>
    <x v="1"/>
    <x v="0"/>
    <n v="2240.2080000000001"/>
  </r>
  <r>
    <n v="720540"/>
    <x v="0"/>
    <x v="4"/>
    <x v="0"/>
    <x v="0"/>
    <n v="677.95299999999997"/>
  </r>
  <r>
    <n v="720540"/>
    <x v="0"/>
    <x v="4"/>
    <x v="1"/>
    <x v="0"/>
    <n v="741.36500000000001"/>
  </r>
  <r>
    <n v="720545"/>
    <x v="0"/>
    <x v="5"/>
    <x v="0"/>
    <x v="0"/>
    <n v="19288.849999999999"/>
  </r>
  <r>
    <n v="720546"/>
    <x v="0"/>
    <x v="5"/>
    <x v="1"/>
    <x v="0"/>
    <n v="21697.5"/>
  </r>
  <r>
    <n v="720547"/>
    <x v="0"/>
    <x v="6"/>
    <x v="0"/>
    <x v="0"/>
    <n v="1820.895"/>
  </r>
  <r>
    <n v="720547"/>
    <x v="0"/>
    <x v="6"/>
    <x v="1"/>
    <x v="0"/>
    <n v="2039.8430000000001"/>
  </r>
  <r>
    <n v="720548"/>
    <x v="0"/>
    <x v="7"/>
    <x v="1"/>
    <x v="0"/>
    <n v="150"/>
  </r>
  <r>
    <n v="720551"/>
    <x v="0"/>
    <x v="8"/>
    <x v="1"/>
    <x v="0"/>
    <n v="2037.69"/>
  </r>
  <r>
    <n v="720552"/>
    <x v="0"/>
    <x v="9"/>
    <x v="0"/>
    <x v="0"/>
    <n v="447"/>
  </r>
  <r>
    <n v="720552"/>
    <x v="0"/>
    <x v="9"/>
    <x v="1"/>
    <x v="0"/>
    <n v="4282.6930000000002"/>
  </r>
  <r>
    <n v="720568"/>
    <x v="0"/>
    <x v="10"/>
    <x v="0"/>
    <x v="0"/>
    <n v="1123.8"/>
  </r>
  <r>
    <n v="720568"/>
    <x v="0"/>
    <x v="10"/>
    <x v="1"/>
    <x v="0"/>
    <n v="1281.3"/>
  </r>
  <r>
    <n v="720569"/>
    <x v="0"/>
    <x v="10"/>
    <x v="0"/>
    <x v="0"/>
    <n v="73.522999999999996"/>
  </r>
  <r>
    <n v="720569"/>
    <x v="0"/>
    <x v="10"/>
    <x v="1"/>
    <x v="0"/>
    <n v="46.118000000000002"/>
  </r>
  <r>
    <n v="720570"/>
    <x v="0"/>
    <x v="10"/>
    <x v="0"/>
    <x v="0"/>
    <n v="5964.558"/>
  </r>
  <r>
    <n v="720570"/>
    <x v="0"/>
    <x v="10"/>
    <x v="1"/>
    <x v="0"/>
    <n v="6476.808"/>
  </r>
  <r>
    <n v="720572"/>
    <x v="0"/>
    <x v="10"/>
    <x v="0"/>
    <x v="0"/>
    <n v="2029.4"/>
  </r>
  <r>
    <n v="720572"/>
    <x v="0"/>
    <x v="10"/>
    <x v="1"/>
    <x v="0"/>
    <n v="2174.1"/>
  </r>
  <r>
    <n v="720584"/>
    <x v="0"/>
    <x v="11"/>
    <x v="0"/>
    <x v="0"/>
    <n v="43.764000000000003"/>
  </r>
  <r>
    <n v="730506"/>
    <x v="1"/>
    <x v="0"/>
    <x v="0"/>
    <x v="0"/>
    <n v="61673.5"/>
  </r>
  <r>
    <n v="730506"/>
    <x v="1"/>
    <x v="0"/>
    <x v="1"/>
    <x v="0"/>
    <n v="64912.9"/>
  </r>
  <r>
    <n v="730508"/>
    <x v="1"/>
    <x v="12"/>
    <x v="0"/>
    <x v="0"/>
    <n v="650"/>
  </r>
  <r>
    <n v="730508"/>
    <x v="1"/>
    <x v="12"/>
    <x v="1"/>
    <x v="0"/>
    <n v="711.75"/>
  </r>
  <r>
    <n v="730515"/>
    <x v="1"/>
    <x v="1"/>
    <x v="0"/>
    <x v="0"/>
    <n v="2108.8890000000001"/>
  </r>
  <r>
    <n v="730515"/>
    <x v="1"/>
    <x v="1"/>
    <x v="1"/>
    <x v="0"/>
    <n v="2943.0680000000002"/>
  </r>
  <r>
    <n v="730524"/>
    <x v="1"/>
    <x v="2"/>
    <x v="1"/>
    <x v="0"/>
    <n v="682.16099999999994"/>
  </r>
  <r>
    <n v="730527"/>
    <x v="1"/>
    <x v="13"/>
    <x v="0"/>
    <x v="0"/>
    <n v="1776.6"/>
  </r>
  <r>
    <n v="730527"/>
    <x v="1"/>
    <x v="13"/>
    <x v="1"/>
    <x v="0"/>
    <n v="2600.0010000000002"/>
  </r>
  <r>
    <n v="730530"/>
    <x v="1"/>
    <x v="4"/>
    <x v="0"/>
    <x v="0"/>
    <n v="5706.6689999999999"/>
  </r>
  <r>
    <n v="730530"/>
    <x v="1"/>
    <x v="4"/>
    <x v="1"/>
    <x v="0"/>
    <n v="6251.7520000000004"/>
  </r>
  <r>
    <n v="730533"/>
    <x v="1"/>
    <x v="4"/>
    <x v="0"/>
    <x v="0"/>
    <n v="685.07299999999998"/>
  </r>
  <r>
    <n v="730533"/>
    <x v="1"/>
    <x v="4"/>
    <x v="1"/>
    <x v="0"/>
    <n v="750.51199999999994"/>
  </r>
  <r>
    <n v="730536"/>
    <x v="1"/>
    <x v="4"/>
    <x v="0"/>
    <x v="0"/>
    <n v="5706.6689999999999"/>
  </r>
  <r>
    <n v="730536"/>
    <x v="1"/>
    <x v="4"/>
    <x v="1"/>
    <x v="0"/>
    <n v="6251.7520000000004"/>
  </r>
  <r>
    <n v="730539"/>
    <x v="1"/>
    <x v="4"/>
    <x v="0"/>
    <x v="0"/>
    <n v="2782.6770000000001"/>
  </r>
  <r>
    <n v="730539"/>
    <x v="1"/>
    <x v="4"/>
    <x v="1"/>
    <x v="0"/>
    <n v="3021.2109999999998"/>
  </r>
  <r>
    <n v="730540"/>
    <x v="1"/>
    <x v="4"/>
    <x v="0"/>
    <x v="0"/>
    <n v="920.88499999999999"/>
  </r>
  <r>
    <n v="730540"/>
    <x v="1"/>
    <x v="4"/>
    <x v="1"/>
    <x v="0"/>
    <n v="999.82500000000005"/>
  </r>
  <r>
    <n v="730545"/>
    <x v="1"/>
    <x v="5"/>
    <x v="0"/>
    <x v="0"/>
    <n v="31181"/>
  </r>
  <r>
    <n v="730546"/>
    <x v="1"/>
    <x v="5"/>
    <x v="1"/>
    <x v="0"/>
    <n v="31745.4"/>
  </r>
  <r>
    <n v="730547"/>
    <x v="1"/>
    <x v="6"/>
    <x v="0"/>
    <x v="0"/>
    <n v="2694.7359999999999"/>
  </r>
  <r>
    <n v="730547"/>
    <x v="1"/>
    <x v="6"/>
    <x v="1"/>
    <x v="0"/>
    <n v="2898.4839999999999"/>
  </r>
  <r>
    <n v="730548"/>
    <x v="1"/>
    <x v="7"/>
    <x v="1"/>
    <x v="0"/>
    <n v="500"/>
  </r>
  <r>
    <n v="730551"/>
    <x v="1"/>
    <x v="8"/>
    <x v="0"/>
    <x v="0"/>
    <n v="2376.3679999999999"/>
  </r>
  <r>
    <n v="730551"/>
    <x v="1"/>
    <x v="8"/>
    <x v="1"/>
    <x v="0"/>
    <n v="101.214"/>
  </r>
  <r>
    <n v="730552"/>
    <x v="1"/>
    <x v="9"/>
    <x v="1"/>
    <x v="0"/>
    <n v="549.92999999999995"/>
  </r>
  <r>
    <n v="730560"/>
    <x v="1"/>
    <x v="14"/>
    <x v="0"/>
    <x v="0"/>
    <n v="7744.3509999999997"/>
  </r>
  <r>
    <n v="730568"/>
    <x v="1"/>
    <x v="10"/>
    <x v="0"/>
    <x v="0"/>
    <n v="1503.6"/>
  </r>
  <r>
    <n v="730568"/>
    <x v="1"/>
    <x v="10"/>
    <x v="1"/>
    <x v="0"/>
    <n v="1651.35"/>
  </r>
  <r>
    <n v="730569"/>
    <x v="1"/>
    <x v="10"/>
    <x v="0"/>
    <x v="0"/>
    <n v="-30.532"/>
  </r>
  <r>
    <n v="730569"/>
    <x v="1"/>
    <x v="10"/>
    <x v="1"/>
    <x v="0"/>
    <n v="174.65799999999999"/>
  </r>
  <r>
    <n v="730570"/>
    <x v="1"/>
    <x v="10"/>
    <x v="0"/>
    <x v="0"/>
    <n v="7504.7179999999998"/>
  </r>
  <r>
    <n v="730570"/>
    <x v="1"/>
    <x v="10"/>
    <x v="1"/>
    <x v="0"/>
    <n v="8646.7250000000004"/>
  </r>
  <r>
    <n v="730572"/>
    <x v="1"/>
    <x v="10"/>
    <x v="0"/>
    <x v="0"/>
    <n v="2596.3000000000002"/>
  </r>
  <r>
    <n v="730572"/>
    <x v="1"/>
    <x v="10"/>
    <x v="1"/>
    <x v="0"/>
    <n v="2867.3"/>
  </r>
  <r>
    <n v="730584"/>
    <x v="1"/>
    <x v="11"/>
    <x v="1"/>
    <x v="0"/>
    <n v="61.552999999999997"/>
  </r>
  <r>
    <n v="732010"/>
    <x v="2"/>
    <x v="15"/>
    <x v="0"/>
    <x v="0"/>
    <n v="17631.150000000001"/>
  </r>
  <r>
    <n v="732010"/>
    <x v="2"/>
    <x v="15"/>
    <x v="1"/>
    <x v="0"/>
    <n v="19396.465"/>
  </r>
  <r>
    <n v="733095"/>
    <x v="2"/>
    <x v="16"/>
    <x v="0"/>
    <x v="0"/>
    <n v="4173.97"/>
  </r>
  <r>
    <n v="733095"/>
    <x v="2"/>
    <x v="16"/>
    <x v="1"/>
    <x v="0"/>
    <n v="4538.8010000000004"/>
  </r>
  <r>
    <n v="733505"/>
    <x v="2"/>
    <x v="17"/>
    <x v="0"/>
    <x v="0"/>
    <n v="1675.6279999999999"/>
  </r>
  <r>
    <n v="733505"/>
    <x v="2"/>
    <x v="17"/>
    <x v="1"/>
    <x v="0"/>
    <n v="292.72199999999998"/>
  </r>
  <r>
    <n v="733510"/>
    <x v="1"/>
    <x v="18"/>
    <x v="0"/>
    <x v="0"/>
    <n v="50475"/>
  </r>
  <r>
    <n v="733510"/>
    <x v="0"/>
    <x v="18"/>
    <x v="0"/>
    <x v="0"/>
    <n v="230176"/>
  </r>
  <r>
    <n v="733510"/>
    <x v="1"/>
    <x v="18"/>
    <x v="1"/>
    <x v="0"/>
    <n v="43454"/>
  </r>
  <r>
    <n v="733510"/>
    <x v="0"/>
    <x v="18"/>
    <x v="1"/>
    <x v="0"/>
    <n v="274217"/>
  </r>
  <r>
    <n v="733511"/>
    <x v="0"/>
    <x v="19"/>
    <x v="0"/>
    <x v="0"/>
    <n v="37369"/>
  </r>
  <r>
    <n v="733511"/>
    <x v="1"/>
    <x v="19"/>
    <x v="0"/>
    <x v="0"/>
    <n v="9812"/>
  </r>
  <r>
    <n v="733511"/>
    <x v="1"/>
    <x v="19"/>
    <x v="1"/>
    <x v="0"/>
    <n v="9985"/>
  </r>
  <r>
    <n v="733511"/>
    <x v="0"/>
    <x v="19"/>
    <x v="1"/>
    <x v="0"/>
    <n v="53338"/>
  </r>
  <r>
    <n v="733512"/>
    <x v="1"/>
    <x v="20"/>
    <x v="0"/>
    <x v="0"/>
    <n v="1118"/>
  </r>
  <r>
    <n v="733512"/>
    <x v="0"/>
    <x v="20"/>
    <x v="0"/>
    <x v="0"/>
    <n v="4277"/>
  </r>
  <r>
    <n v="733512"/>
    <x v="1"/>
    <x v="20"/>
    <x v="1"/>
    <x v="0"/>
    <n v="1038"/>
  </r>
  <r>
    <n v="733512"/>
    <x v="0"/>
    <x v="20"/>
    <x v="1"/>
    <x v="0"/>
    <n v="5756"/>
  </r>
  <r>
    <n v="733515"/>
    <x v="2"/>
    <x v="21"/>
    <x v="0"/>
    <x v="0"/>
    <n v="10175.066999999999"/>
  </r>
  <r>
    <n v="733515"/>
    <x v="2"/>
    <x v="21"/>
    <x v="1"/>
    <x v="0"/>
    <n v="31723.976999999999"/>
  </r>
  <r>
    <n v="733525"/>
    <x v="2"/>
    <x v="22"/>
    <x v="0"/>
    <x v="0"/>
    <n v="4871.1480000000001"/>
  </r>
  <r>
    <n v="733525"/>
    <x v="2"/>
    <x v="22"/>
    <x v="1"/>
    <x v="0"/>
    <n v="4980.7169999999996"/>
  </r>
  <r>
    <n v="733530"/>
    <x v="2"/>
    <x v="23"/>
    <x v="0"/>
    <x v="0"/>
    <n v="50230.464999999997"/>
  </r>
  <r>
    <n v="733530"/>
    <x v="2"/>
    <x v="23"/>
    <x v="1"/>
    <x v="0"/>
    <n v="50374.707000000002"/>
  </r>
  <r>
    <n v="733550"/>
    <x v="2"/>
    <x v="24"/>
    <x v="0"/>
    <x v="0"/>
    <n v="5535.9080000000004"/>
  </r>
  <r>
    <n v="733550"/>
    <x v="2"/>
    <x v="24"/>
    <x v="1"/>
    <x v="0"/>
    <n v="3716.444"/>
  </r>
  <r>
    <n v="733555"/>
    <x v="2"/>
    <x v="25"/>
    <x v="0"/>
    <x v="0"/>
    <n v="4773.9840000000004"/>
  </r>
  <r>
    <n v="733555"/>
    <x v="2"/>
    <x v="25"/>
    <x v="1"/>
    <x v="0"/>
    <n v="4593.5749999999998"/>
  </r>
  <r>
    <n v="735015"/>
    <x v="2"/>
    <x v="26"/>
    <x v="0"/>
    <x v="0"/>
    <n v="8952.3770000000004"/>
  </r>
  <r>
    <n v="735015"/>
    <x v="2"/>
    <x v="26"/>
    <x v="1"/>
    <x v="0"/>
    <n v="1595.491"/>
  </r>
  <r>
    <n v="736005"/>
    <x v="2"/>
    <x v="27"/>
    <x v="0"/>
    <x v="0"/>
    <n v="1388.8889999999999"/>
  </r>
  <r>
    <n v="736005"/>
    <x v="2"/>
    <x v="27"/>
    <x v="1"/>
    <x v="0"/>
    <n v="1388.8889999999999"/>
  </r>
  <r>
    <n v="736010"/>
    <x v="2"/>
    <x v="27"/>
    <x v="0"/>
    <x v="0"/>
    <n v="39022.387999999999"/>
  </r>
  <r>
    <n v="736010"/>
    <x v="2"/>
    <x v="27"/>
    <x v="1"/>
    <x v="0"/>
    <n v="32453.574000000001"/>
  </r>
  <r>
    <n v="736015"/>
    <x v="2"/>
    <x v="27"/>
    <x v="0"/>
    <x v="0"/>
    <n v="800.89499999999998"/>
  </r>
  <r>
    <n v="736015"/>
    <x v="2"/>
    <x v="27"/>
    <x v="1"/>
    <x v="0"/>
    <n v="800.89499999999998"/>
  </r>
  <r>
    <n v="736020"/>
    <x v="2"/>
    <x v="27"/>
    <x v="0"/>
    <x v="0"/>
    <n v="478.52300000000002"/>
  </r>
  <r>
    <n v="736020"/>
    <x v="2"/>
    <x v="27"/>
    <x v="1"/>
    <x v="0"/>
    <n v="4966.3519999999999"/>
  </r>
  <r>
    <n v="739525"/>
    <x v="2"/>
    <x v="28"/>
    <x v="0"/>
    <x v="0"/>
    <n v="2476.3510000000001"/>
  </r>
  <r>
    <n v="739525"/>
    <x v="2"/>
    <x v="28"/>
    <x v="1"/>
    <x v="0"/>
    <n v="398.15199999999999"/>
  </r>
  <r>
    <n v="739530"/>
    <x v="2"/>
    <x v="29"/>
    <x v="0"/>
    <x v="0"/>
    <n v="4964.9489999999996"/>
  </r>
  <r>
    <n v="739530"/>
    <x v="2"/>
    <x v="29"/>
    <x v="1"/>
    <x v="0"/>
    <n v="1373.498"/>
  </r>
  <r>
    <n v="739535"/>
    <x v="2"/>
    <x v="30"/>
    <x v="0"/>
    <x v="0"/>
    <n v="150"/>
  </r>
  <r>
    <n v="739535"/>
    <x v="2"/>
    <x v="30"/>
    <x v="1"/>
    <x v="0"/>
    <n v="150"/>
  </r>
  <r>
    <n v="739560"/>
    <x v="2"/>
    <x v="31"/>
    <x v="0"/>
    <x v="0"/>
    <n v="2043.65"/>
  </r>
  <r>
    <n v="739560"/>
    <x v="2"/>
    <x v="31"/>
    <x v="1"/>
    <x v="0"/>
    <n v="320.3"/>
  </r>
  <r>
    <n v="740101"/>
    <x v="3"/>
    <x v="32"/>
    <x v="0"/>
    <x v="0"/>
    <n v="34078.002999999997"/>
  </r>
  <r>
    <n v="740101"/>
    <x v="3"/>
    <x v="32"/>
    <x v="1"/>
    <x v="0"/>
    <n v="26453.001"/>
  </r>
  <r>
    <n v="73109502"/>
    <x v="1"/>
    <x v="33"/>
    <x v="0"/>
    <x v="0"/>
    <n v="348.07400000000007"/>
  </r>
  <r>
    <n v="73109502"/>
    <x v="0"/>
    <x v="33"/>
    <x v="0"/>
    <x v="0"/>
    <n v="693"/>
  </r>
  <r>
    <n v="73109502"/>
    <x v="1"/>
    <x v="33"/>
    <x v="1"/>
    <x v="0"/>
    <n v="594.68000000000029"/>
  </r>
  <r>
    <n v="73109502"/>
    <x v="0"/>
    <x v="33"/>
    <x v="1"/>
    <x v="0"/>
    <n v="3970"/>
  </r>
  <r>
    <n v="73109504"/>
    <x v="1"/>
    <x v="34"/>
    <x v="1"/>
    <x v="0"/>
    <n v="4850"/>
  </r>
  <r>
    <n v="73109505"/>
    <x v="2"/>
    <x v="35"/>
    <x v="1"/>
    <x v="0"/>
    <n v="2000"/>
  </r>
  <r>
    <n v="73359501"/>
    <x v="2"/>
    <x v="36"/>
    <x v="0"/>
    <x v="0"/>
    <n v="2960.4"/>
  </r>
  <r>
    <n v="73359506"/>
    <x v="1"/>
    <x v="37"/>
    <x v="1"/>
    <x v="0"/>
    <n v="446"/>
  </r>
  <r>
    <n v="73359506"/>
    <x v="0"/>
    <x v="37"/>
    <x v="1"/>
    <x v="0"/>
    <n v="533"/>
  </r>
  <r>
    <n v="73451501"/>
    <x v="2"/>
    <x v="38"/>
    <x v="0"/>
    <x v="0"/>
    <n v="3673.683"/>
  </r>
  <r>
    <n v="73451501"/>
    <x v="2"/>
    <x v="38"/>
    <x v="1"/>
    <x v="0"/>
    <n v="2838.5169999999998"/>
  </r>
  <r>
    <n v="73451502"/>
    <x v="2"/>
    <x v="38"/>
    <x v="0"/>
    <x v="0"/>
    <n v="11445.017"/>
  </r>
  <r>
    <n v="73451502"/>
    <x v="2"/>
    <x v="38"/>
    <x v="1"/>
    <x v="0"/>
    <n v="7302.0259999999998"/>
  </r>
  <r>
    <n v="73451503"/>
    <x v="2"/>
    <x v="39"/>
    <x v="0"/>
    <x v="0"/>
    <n v="976.50900000000001"/>
  </r>
  <r>
    <n v="73451503"/>
    <x v="2"/>
    <x v="39"/>
    <x v="1"/>
    <x v="0"/>
    <n v="155.9"/>
  </r>
  <r>
    <n v="73451504"/>
    <x v="2"/>
    <x v="39"/>
    <x v="0"/>
    <x v="0"/>
    <n v="161.90799999999999"/>
  </r>
  <r>
    <n v="73451504"/>
    <x v="2"/>
    <x v="39"/>
    <x v="1"/>
    <x v="0"/>
    <n v="635.08600000000001"/>
  </r>
  <r>
    <n v="73451507"/>
    <x v="2"/>
    <x v="40"/>
    <x v="0"/>
    <x v="0"/>
    <n v="250.018"/>
  </r>
  <r>
    <n v="73451507"/>
    <x v="2"/>
    <x v="40"/>
    <x v="1"/>
    <x v="0"/>
    <n v="50"/>
  </r>
  <r>
    <n v="73452501"/>
    <x v="2"/>
    <x v="41"/>
    <x v="0"/>
    <x v="0"/>
    <n v="654.04499999999996"/>
  </r>
  <r>
    <n v="73452501"/>
    <x v="2"/>
    <x v="41"/>
    <x v="1"/>
    <x v="0"/>
    <n v="825.798"/>
  </r>
  <r>
    <n v="73452502"/>
    <x v="2"/>
    <x v="42"/>
    <x v="0"/>
    <x v="0"/>
    <n v="619.98"/>
  </r>
  <r>
    <n v="73959501"/>
    <x v="2"/>
    <x v="43"/>
    <x v="0"/>
    <x v="0"/>
    <n v="9665.8259999999991"/>
  </r>
  <r>
    <n v="73959501"/>
    <x v="2"/>
    <x v="43"/>
    <x v="1"/>
    <x v="0"/>
    <n v="3484.7739999999999"/>
  </r>
  <r>
    <n v="73959504"/>
    <x v="1"/>
    <x v="44"/>
    <x v="0"/>
    <x v="0"/>
    <n v="103.03500000000008"/>
  </r>
  <r>
    <n v="73959504"/>
    <x v="0"/>
    <x v="44"/>
    <x v="0"/>
    <x v="0"/>
    <n v="1702"/>
  </r>
  <r>
    <n v="73959504"/>
    <x v="1"/>
    <x v="44"/>
    <x v="1"/>
    <x v="0"/>
    <n v="161.20500000000004"/>
  </r>
  <r>
    <n v="73959504"/>
    <x v="0"/>
    <x v="44"/>
    <x v="1"/>
    <x v="0"/>
    <n v="352"/>
  </r>
  <r>
    <n v="73959506"/>
    <x v="2"/>
    <x v="45"/>
    <x v="0"/>
    <x v="0"/>
    <n v="33.526000000000003"/>
  </r>
  <r>
    <n v="73959510"/>
    <x v="2"/>
    <x v="46"/>
    <x v="0"/>
    <x v="0"/>
    <n v="2610.2869999999998"/>
  </r>
  <r>
    <n v="73959510"/>
    <x v="2"/>
    <x v="46"/>
    <x v="1"/>
    <x v="0"/>
    <n v="632.91"/>
  </r>
  <r>
    <s v="720506"/>
    <x v="0"/>
    <x v="0"/>
    <x v="2"/>
    <x v="0"/>
    <n v="45519.35"/>
  </r>
  <r>
    <s v="720515"/>
    <x v="0"/>
    <x v="1"/>
    <x v="2"/>
    <x v="0"/>
    <n v="6131.0789999999997"/>
  </r>
  <r>
    <s v="720524"/>
    <x v="0"/>
    <x v="2"/>
    <x v="2"/>
    <x v="0"/>
    <n v="700.36300000000006"/>
  </r>
  <r>
    <s v="720527"/>
    <x v="0"/>
    <x v="3"/>
    <x v="2"/>
    <x v="0"/>
    <n v="6443.2569999999996"/>
  </r>
  <r>
    <s v="720530"/>
    <x v="0"/>
    <x v="4"/>
    <x v="2"/>
    <x v="0"/>
    <n v="5483.3159999999998"/>
  </r>
  <r>
    <s v="720533"/>
    <x v="0"/>
    <x v="4"/>
    <x v="2"/>
    <x v="0"/>
    <n v="658.26700000000005"/>
  </r>
  <r>
    <s v="720536"/>
    <x v="0"/>
    <x v="4"/>
    <x v="2"/>
    <x v="0"/>
    <n v="5483.3159999999998"/>
  </r>
  <r>
    <s v="720539"/>
    <x v="0"/>
    <x v="4"/>
    <x v="2"/>
    <x v="0"/>
    <n v="2476.27"/>
  </r>
  <r>
    <s v="720540"/>
    <x v="0"/>
    <x v="4"/>
    <x v="2"/>
    <x v="0"/>
    <n v="819.49300000000005"/>
  </r>
  <r>
    <s v="720546"/>
    <x v="0"/>
    <x v="5"/>
    <x v="2"/>
    <x v="0"/>
    <n v="7263.549"/>
  </r>
  <r>
    <s v="720547"/>
    <x v="0"/>
    <x v="6"/>
    <x v="2"/>
    <x v="0"/>
    <n v="2220.6019999999999"/>
  </r>
  <r>
    <s v="720551"/>
    <x v="0"/>
    <x v="8"/>
    <x v="2"/>
    <x v="0"/>
    <n v="1392.28"/>
  </r>
  <r>
    <s v="720552"/>
    <x v="0"/>
    <x v="9"/>
    <x v="2"/>
    <x v="0"/>
    <n v="3234.694"/>
  </r>
  <r>
    <s v="720568"/>
    <x v="0"/>
    <x v="10"/>
    <x v="2"/>
    <x v="0"/>
    <n v="1261.5"/>
  </r>
  <r>
    <s v="720569"/>
    <x v="0"/>
    <x v="10"/>
    <x v="2"/>
    <x v="0"/>
    <n v="-9.6"/>
  </r>
  <r>
    <s v="720570"/>
    <x v="0"/>
    <x v="10"/>
    <x v="2"/>
    <x v="0"/>
    <n v="7026"/>
  </r>
  <r>
    <s v="720572"/>
    <x v="0"/>
    <x v="10"/>
    <x v="2"/>
    <x v="0"/>
    <n v="2349.1"/>
  </r>
  <r>
    <s v="730506"/>
    <x v="1"/>
    <x v="0"/>
    <x v="2"/>
    <x v="0"/>
    <n v="71018.971000000005"/>
  </r>
  <r>
    <s v="730508"/>
    <x v="1"/>
    <x v="12"/>
    <x v="2"/>
    <x v="0"/>
    <n v="1050.5440000000001"/>
  </r>
  <r>
    <s v="730515"/>
    <x v="1"/>
    <x v="1"/>
    <x v="2"/>
    <x v="0"/>
    <n v="3032.3910000000001"/>
  </r>
  <r>
    <s v="730524"/>
    <x v="1"/>
    <x v="2"/>
    <x v="2"/>
    <x v="0"/>
    <n v="291.81799999999998"/>
  </r>
  <r>
    <s v="730527"/>
    <x v="1"/>
    <x v="13"/>
    <x v="2"/>
    <x v="0"/>
    <n v="3653.395"/>
  </r>
  <r>
    <s v="730530"/>
    <x v="1"/>
    <x v="4"/>
    <x v="2"/>
    <x v="0"/>
    <n v="7402.54"/>
  </r>
  <r>
    <s v="730533"/>
    <x v="1"/>
    <x v="4"/>
    <x v="2"/>
    <x v="0"/>
    <n v="888.66"/>
  </r>
  <r>
    <s v="730536"/>
    <x v="1"/>
    <x v="4"/>
    <x v="2"/>
    <x v="0"/>
    <n v="7402.54"/>
  </r>
  <r>
    <s v="730539"/>
    <x v="1"/>
    <x v="4"/>
    <x v="2"/>
    <x v="0"/>
    <n v="3553.3649999999998"/>
  </r>
  <r>
    <s v="730540"/>
    <x v="1"/>
    <x v="4"/>
    <x v="2"/>
    <x v="0"/>
    <n v="1175.934"/>
  </r>
  <r>
    <s v="730546"/>
    <x v="1"/>
    <x v="5"/>
    <x v="2"/>
    <x v="0"/>
    <n v="11209.373"/>
  </r>
  <r>
    <s v="730547"/>
    <x v="1"/>
    <x v="6"/>
    <x v="2"/>
    <x v="0"/>
    <n v="3426.9140000000002"/>
  </r>
  <r>
    <s v="730551"/>
    <x v="1"/>
    <x v="8"/>
    <x v="2"/>
    <x v="0"/>
    <n v="84.034000000000006"/>
  </r>
  <r>
    <s v="730552"/>
    <x v="1"/>
    <x v="9"/>
    <x v="2"/>
    <x v="0"/>
    <n v="314.988"/>
  </r>
  <r>
    <s v="730563"/>
    <x v="1"/>
    <x v="47"/>
    <x v="2"/>
    <x v="0"/>
    <n v="5504.12"/>
  </r>
  <r>
    <s v="730568"/>
    <x v="1"/>
    <x v="10"/>
    <x v="2"/>
    <x v="0"/>
    <n v="1891.6"/>
  </r>
  <r>
    <s v="730569"/>
    <x v="1"/>
    <x v="10"/>
    <x v="2"/>
    <x v="0"/>
    <n v="-0.4"/>
  </r>
  <r>
    <s v="730570"/>
    <x v="1"/>
    <x v="10"/>
    <x v="2"/>
    <x v="0"/>
    <n v="10236.1"/>
  </r>
  <r>
    <s v="730572"/>
    <x v="1"/>
    <x v="10"/>
    <x v="2"/>
    <x v="0"/>
    <n v="3406.9"/>
  </r>
  <r>
    <s v="73109502"/>
    <x v="1"/>
    <x v="33"/>
    <x v="2"/>
    <x v="0"/>
    <n v="2352.8310000000001"/>
  </r>
  <r>
    <s v="73109502"/>
    <x v="0"/>
    <x v="33"/>
    <x v="2"/>
    <x v="0"/>
    <n v="4265.92"/>
  </r>
  <r>
    <s v="73109508"/>
    <x v="2"/>
    <x v="48"/>
    <x v="2"/>
    <x v="0"/>
    <n v="300"/>
  </r>
  <r>
    <s v="732010"/>
    <x v="2"/>
    <x v="15"/>
    <x v="2"/>
    <x v="0"/>
    <n v="78787"/>
  </r>
  <r>
    <s v="733095"/>
    <x v="2"/>
    <x v="16"/>
    <x v="2"/>
    <x v="0"/>
    <n v="7213.9309999999996"/>
  </r>
  <r>
    <s v="733505"/>
    <x v="2"/>
    <x v="17"/>
    <x v="2"/>
    <x v="0"/>
    <n v="999.779"/>
  </r>
  <r>
    <s v="733510"/>
    <x v="1"/>
    <x v="18"/>
    <x v="2"/>
    <x v="0"/>
    <n v="60476.81"/>
  </r>
  <r>
    <s v="733510"/>
    <x v="0"/>
    <x v="18"/>
    <x v="2"/>
    <x v="0"/>
    <n v="333939.65000000002"/>
  </r>
  <r>
    <s v="733511"/>
    <x v="1"/>
    <x v="19"/>
    <x v="2"/>
    <x v="0"/>
    <n v="5815.6179999999986"/>
  </r>
  <r>
    <s v="733511"/>
    <x v="0"/>
    <x v="19"/>
    <x v="2"/>
    <x v="0"/>
    <n v="12583.86"/>
  </r>
  <r>
    <s v="733512"/>
    <x v="1"/>
    <x v="20"/>
    <x v="2"/>
    <x v="0"/>
    <n v="1785.0169999999998"/>
  </r>
  <r>
    <s v="733512"/>
    <x v="0"/>
    <x v="20"/>
    <x v="2"/>
    <x v="0"/>
    <n v="9211.11"/>
  </r>
  <r>
    <s v="733515"/>
    <x v="2"/>
    <x v="21"/>
    <x v="2"/>
    <x v="0"/>
    <n v="3616.51"/>
  </r>
  <r>
    <s v="733525"/>
    <x v="2"/>
    <x v="22"/>
    <x v="2"/>
    <x v="0"/>
    <n v="4810.5889999999999"/>
  </r>
  <r>
    <s v="733530"/>
    <x v="2"/>
    <x v="23"/>
    <x v="2"/>
    <x v="0"/>
    <n v="42194.154999999999"/>
  </r>
  <r>
    <s v="733550"/>
    <x v="2"/>
    <x v="24"/>
    <x v="2"/>
    <x v="0"/>
    <n v="8922.2860000000001"/>
  </r>
  <r>
    <s v="733555"/>
    <x v="2"/>
    <x v="25"/>
    <x v="2"/>
    <x v="0"/>
    <n v="3896.8139999999999"/>
  </r>
  <r>
    <s v="73451501"/>
    <x v="2"/>
    <x v="38"/>
    <x v="2"/>
    <x v="0"/>
    <n v="5741.0460000000003"/>
  </r>
  <r>
    <s v="73451502"/>
    <x v="2"/>
    <x v="38"/>
    <x v="2"/>
    <x v="0"/>
    <n v="1443.5830000000001"/>
  </r>
  <r>
    <s v="73451503"/>
    <x v="2"/>
    <x v="39"/>
    <x v="2"/>
    <x v="0"/>
    <n v="319"/>
  </r>
  <r>
    <s v="73451504"/>
    <x v="2"/>
    <x v="39"/>
    <x v="2"/>
    <x v="0"/>
    <n v="386.64699999999999"/>
  </r>
  <r>
    <s v="73452501"/>
    <x v="2"/>
    <x v="41"/>
    <x v="2"/>
    <x v="0"/>
    <n v="1561.837"/>
  </r>
  <r>
    <s v="735015"/>
    <x v="2"/>
    <x v="26"/>
    <x v="2"/>
    <x v="0"/>
    <n v="611.1"/>
  </r>
  <r>
    <s v="736005"/>
    <x v="2"/>
    <x v="27"/>
    <x v="2"/>
    <x v="0"/>
    <n v="1388.8889999999999"/>
  </r>
  <r>
    <s v="736010"/>
    <x v="2"/>
    <x v="27"/>
    <x v="2"/>
    <x v="0"/>
    <n v="34611.298999999999"/>
  </r>
  <r>
    <s v="736015"/>
    <x v="2"/>
    <x v="27"/>
    <x v="2"/>
    <x v="0"/>
    <n v="851.678"/>
  </r>
  <r>
    <s v="736020"/>
    <x v="2"/>
    <x v="27"/>
    <x v="2"/>
    <x v="0"/>
    <n v="543.06100000000004"/>
  </r>
  <r>
    <s v="739520"/>
    <x v="2"/>
    <x v="49"/>
    <x v="2"/>
    <x v="0"/>
    <n v="71.900000000000006"/>
  </r>
  <r>
    <s v="739525"/>
    <x v="2"/>
    <x v="28"/>
    <x v="2"/>
    <x v="0"/>
    <n v="46.55"/>
  </r>
  <r>
    <s v="739530"/>
    <x v="2"/>
    <x v="29"/>
    <x v="2"/>
    <x v="0"/>
    <n v="4228.5709999999999"/>
  </r>
  <r>
    <s v="739560"/>
    <x v="2"/>
    <x v="31"/>
    <x v="2"/>
    <x v="0"/>
    <n v="705.5"/>
  </r>
  <r>
    <s v="73959501"/>
    <x v="2"/>
    <x v="43"/>
    <x v="2"/>
    <x v="0"/>
    <n v="3547.223"/>
  </r>
  <r>
    <s v="73959510"/>
    <x v="2"/>
    <x v="46"/>
    <x v="2"/>
    <x v="0"/>
    <n v="1088.0630000000001"/>
  </r>
  <r>
    <s v="740101"/>
    <x v="3"/>
    <x v="32"/>
    <x v="2"/>
    <x v="0"/>
    <n v="3225.1280000000002"/>
  </r>
  <r>
    <n v="720506"/>
    <x v="0"/>
    <x v="0"/>
    <x v="0"/>
    <x v="1"/>
    <n v="46641.792999999998"/>
  </r>
  <r>
    <n v="720506"/>
    <x v="0"/>
    <x v="0"/>
    <x v="1"/>
    <x v="1"/>
    <n v="52342.631999999998"/>
  </r>
  <r>
    <n v="720515"/>
    <x v="0"/>
    <x v="1"/>
    <x v="0"/>
    <x v="1"/>
    <n v="10874.111000000001"/>
  </r>
  <r>
    <n v="720515"/>
    <x v="0"/>
    <x v="1"/>
    <x v="1"/>
    <x v="1"/>
    <n v="5137.0320000000002"/>
  </r>
  <r>
    <n v="720524"/>
    <x v="0"/>
    <x v="2"/>
    <x v="0"/>
    <x v="1"/>
    <n v="129.999"/>
  </r>
  <r>
    <n v="720524"/>
    <x v="0"/>
    <x v="2"/>
    <x v="1"/>
    <x v="1"/>
    <n v="1608.0170000000001"/>
  </r>
  <r>
    <n v="720527"/>
    <x v="0"/>
    <x v="3"/>
    <x v="0"/>
    <x v="1"/>
    <n v="4914"/>
  </r>
  <r>
    <n v="720527"/>
    <x v="0"/>
    <x v="3"/>
    <x v="1"/>
    <x v="1"/>
    <n v="6301.2730000000001"/>
  </r>
  <r>
    <n v="720530"/>
    <x v="0"/>
    <x v="4"/>
    <x v="0"/>
    <x v="1"/>
    <n v="5409.7039999999997"/>
  </r>
  <r>
    <n v="720530"/>
    <x v="0"/>
    <x v="4"/>
    <x v="1"/>
    <x v="1"/>
    <n v="5697.8069999999998"/>
  </r>
  <r>
    <n v="720533"/>
    <x v="0"/>
    <x v="4"/>
    <x v="0"/>
    <x v="1"/>
    <n v="649.41899999999998"/>
  </r>
  <r>
    <n v="720533"/>
    <x v="0"/>
    <x v="4"/>
    <x v="1"/>
    <x v="1"/>
    <n v="684.00699999999995"/>
  </r>
  <r>
    <n v="720536"/>
    <x v="0"/>
    <x v="4"/>
    <x v="0"/>
    <x v="1"/>
    <n v="5409.7039999999997"/>
  </r>
  <r>
    <n v="720536"/>
    <x v="0"/>
    <x v="4"/>
    <x v="1"/>
    <x v="1"/>
    <n v="5697.8069999999998"/>
  </r>
  <r>
    <n v="720539"/>
    <x v="0"/>
    <x v="4"/>
    <x v="0"/>
    <x v="1"/>
    <n v="2503.1779999999999"/>
  </r>
  <r>
    <n v="720539"/>
    <x v="0"/>
    <x v="4"/>
    <x v="1"/>
    <x v="1"/>
    <n v="2589.5610000000001"/>
  </r>
  <r>
    <n v="720540"/>
    <x v="0"/>
    <x v="4"/>
    <x v="0"/>
    <x v="1"/>
    <n v="828.39499999999998"/>
  </r>
  <r>
    <n v="720540"/>
    <x v="0"/>
    <x v="4"/>
    <x v="1"/>
    <x v="1"/>
    <n v="856.97799999999995"/>
  </r>
  <r>
    <n v="720545"/>
    <x v="0"/>
    <x v="5"/>
    <x v="0"/>
    <x v="1"/>
    <n v="663"/>
  </r>
  <r>
    <n v="720546"/>
    <x v="0"/>
    <x v="5"/>
    <x v="0"/>
    <x v="1"/>
    <n v="6704.6229999999996"/>
  </r>
  <r>
    <n v="720546"/>
    <x v="0"/>
    <x v="5"/>
    <x v="1"/>
    <x v="1"/>
    <n v="7769.7049999999999"/>
  </r>
  <r>
    <n v="720547"/>
    <x v="0"/>
    <x v="6"/>
    <x v="0"/>
    <x v="1"/>
    <n v="2049.7260000000001"/>
  </r>
  <r>
    <n v="720547"/>
    <x v="0"/>
    <x v="6"/>
    <x v="1"/>
    <x v="1"/>
    <n v="2375.348"/>
  </r>
  <r>
    <n v="720552"/>
    <x v="0"/>
    <x v="9"/>
    <x v="0"/>
    <x v="1"/>
    <n v="5402.3639999999996"/>
  </r>
  <r>
    <n v="720552"/>
    <x v="0"/>
    <x v="9"/>
    <x v="1"/>
    <x v="1"/>
    <n v="3577.2689999999998"/>
  </r>
  <r>
    <n v="720568"/>
    <x v="0"/>
    <x v="10"/>
    <x v="0"/>
    <x v="1"/>
    <n v="1404.1"/>
  </r>
  <r>
    <n v="720568"/>
    <x v="0"/>
    <x v="10"/>
    <x v="1"/>
    <x v="1"/>
    <n v="1414.6"/>
  </r>
  <r>
    <n v="720569"/>
    <x v="0"/>
    <x v="10"/>
    <x v="0"/>
    <x v="1"/>
    <n v="1.37"/>
  </r>
  <r>
    <n v="720569"/>
    <x v="0"/>
    <x v="10"/>
    <x v="1"/>
    <x v="1"/>
    <n v="-9.8879999999999999"/>
  </r>
  <r>
    <n v="720570"/>
    <x v="0"/>
    <x v="10"/>
    <x v="0"/>
    <x v="1"/>
    <n v="7016.52"/>
  </r>
  <r>
    <n v="720570"/>
    <x v="0"/>
    <x v="10"/>
    <x v="1"/>
    <x v="1"/>
    <n v="7191.3990000000003"/>
  </r>
  <r>
    <n v="720572"/>
    <x v="0"/>
    <x v="10"/>
    <x v="0"/>
    <x v="1"/>
    <n v="2397.1"/>
  </r>
  <r>
    <n v="720572"/>
    <x v="0"/>
    <x v="10"/>
    <x v="1"/>
    <x v="1"/>
    <n v="2430.4"/>
  </r>
  <r>
    <n v="730506"/>
    <x v="1"/>
    <x v="0"/>
    <x v="0"/>
    <x v="1"/>
    <n v="67606.968999999997"/>
  </r>
  <r>
    <n v="730506"/>
    <x v="1"/>
    <x v="0"/>
    <x v="1"/>
    <x v="1"/>
    <n v="75526.232999999993"/>
  </r>
  <r>
    <n v="730508"/>
    <x v="1"/>
    <x v="12"/>
    <x v="0"/>
    <x v="1"/>
    <n v="1300"/>
  </r>
  <r>
    <n v="730508"/>
    <x v="1"/>
    <x v="12"/>
    <x v="1"/>
    <x v="1"/>
    <n v="711.75"/>
  </r>
  <r>
    <n v="730515"/>
    <x v="1"/>
    <x v="1"/>
    <x v="0"/>
    <x v="1"/>
    <n v="3958.0070000000001"/>
  </r>
  <r>
    <n v="730515"/>
    <x v="1"/>
    <x v="1"/>
    <x v="1"/>
    <x v="1"/>
    <n v="2692.078"/>
  </r>
  <r>
    <n v="730524"/>
    <x v="1"/>
    <x v="2"/>
    <x v="0"/>
    <x v="1"/>
    <n v="1320.069"/>
  </r>
  <r>
    <n v="730527"/>
    <x v="1"/>
    <x v="13"/>
    <x v="0"/>
    <x v="1"/>
    <n v="1755"/>
  </r>
  <r>
    <n v="730527"/>
    <x v="1"/>
    <x v="13"/>
    <x v="1"/>
    <x v="1"/>
    <n v="2587.6"/>
  </r>
  <r>
    <n v="730530"/>
    <x v="1"/>
    <x v="4"/>
    <x v="0"/>
    <x v="1"/>
    <n v="6408.4139999999998"/>
  </r>
  <r>
    <n v="730530"/>
    <x v="1"/>
    <x v="4"/>
    <x v="1"/>
    <x v="1"/>
    <n v="6774.6589999999997"/>
  </r>
  <r>
    <n v="730533"/>
    <x v="1"/>
    <x v="4"/>
    <x v="0"/>
    <x v="1"/>
    <n v="769.31899999999996"/>
  </r>
  <r>
    <n v="730533"/>
    <x v="1"/>
    <x v="4"/>
    <x v="1"/>
    <x v="1"/>
    <n v="813.28300000000002"/>
  </r>
  <r>
    <n v="730536"/>
    <x v="1"/>
    <x v="4"/>
    <x v="0"/>
    <x v="1"/>
    <n v="6408.4139999999998"/>
  </r>
  <r>
    <n v="730536"/>
    <x v="1"/>
    <x v="4"/>
    <x v="1"/>
    <x v="1"/>
    <n v="6774.6589999999997"/>
  </r>
  <r>
    <n v="730539"/>
    <x v="1"/>
    <x v="4"/>
    <x v="0"/>
    <x v="1"/>
    <n v="3134.8719999999998"/>
  </r>
  <r>
    <n v="730539"/>
    <x v="1"/>
    <x v="4"/>
    <x v="1"/>
    <x v="1"/>
    <n v="3283.4940000000001"/>
  </r>
  <r>
    <n v="730540"/>
    <x v="1"/>
    <x v="4"/>
    <x v="0"/>
    <x v="1"/>
    <n v="1037.4380000000001"/>
  </r>
  <r>
    <n v="730540"/>
    <x v="1"/>
    <x v="4"/>
    <x v="1"/>
    <x v="1"/>
    <n v="1086.624"/>
  </r>
  <r>
    <n v="730545"/>
    <x v="1"/>
    <x v="5"/>
    <x v="1"/>
    <x v="1"/>
    <n v="500"/>
  </r>
  <r>
    <n v="730546"/>
    <x v="1"/>
    <x v="5"/>
    <x v="0"/>
    <x v="1"/>
    <n v="9714.23"/>
  </r>
  <r>
    <n v="730546"/>
    <x v="1"/>
    <x v="5"/>
    <x v="1"/>
    <x v="1"/>
    <n v="20051.545999999998"/>
  </r>
  <r>
    <n v="730547"/>
    <x v="1"/>
    <x v="6"/>
    <x v="0"/>
    <x v="1"/>
    <n v="2969.8220000000001"/>
  </r>
  <r>
    <n v="730547"/>
    <x v="1"/>
    <x v="6"/>
    <x v="1"/>
    <x v="1"/>
    <n v="3171.2350000000001"/>
  </r>
  <r>
    <n v="730548"/>
    <x v="1"/>
    <x v="7"/>
    <x v="1"/>
    <x v="1"/>
    <n v="200"/>
  </r>
  <r>
    <n v="730551"/>
    <x v="1"/>
    <x v="8"/>
    <x v="1"/>
    <x v="1"/>
    <n v="118.48699999999999"/>
  </r>
  <r>
    <n v="730552"/>
    <x v="1"/>
    <x v="9"/>
    <x v="0"/>
    <x v="1"/>
    <n v="511.31299999999999"/>
  </r>
  <r>
    <n v="730552"/>
    <x v="1"/>
    <x v="9"/>
    <x v="1"/>
    <x v="1"/>
    <n v="465.74799999999999"/>
  </r>
  <r>
    <n v="730563"/>
    <x v="1"/>
    <x v="47"/>
    <x v="1"/>
    <x v="1"/>
    <n v="14191.418"/>
  </r>
  <r>
    <n v="730568"/>
    <x v="1"/>
    <x v="10"/>
    <x v="0"/>
    <x v="1"/>
    <n v="1773.1"/>
  </r>
  <r>
    <n v="730568"/>
    <x v="1"/>
    <x v="10"/>
    <x v="1"/>
    <x v="1"/>
    <n v="1906.4"/>
  </r>
  <r>
    <n v="730569"/>
    <x v="1"/>
    <x v="10"/>
    <x v="0"/>
    <x v="1"/>
    <n v="1331.8309999999999"/>
  </r>
  <r>
    <n v="730569"/>
    <x v="1"/>
    <x v="10"/>
    <x v="1"/>
    <x v="1"/>
    <n v="1468.566"/>
  </r>
  <r>
    <n v="730570"/>
    <x v="1"/>
    <x v="10"/>
    <x v="0"/>
    <x v="1"/>
    <n v="8582.1610000000001"/>
  </r>
  <r>
    <n v="730570"/>
    <x v="1"/>
    <x v="10"/>
    <x v="1"/>
    <x v="1"/>
    <n v="9449.866"/>
  </r>
  <r>
    <n v="730572"/>
    <x v="1"/>
    <x v="10"/>
    <x v="0"/>
    <x v="1"/>
    <n v="2949.9"/>
  </r>
  <r>
    <n v="730572"/>
    <x v="1"/>
    <x v="10"/>
    <x v="1"/>
    <x v="1"/>
    <n v="3150.7"/>
  </r>
  <r>
    <n v="730575"/>
    <x v="1"/>
    <x v="10"/>
    <x v="0"/>
    <x v="1"/>
    <n v="412.6"/>
  </r>
  <r>
    <n v="730575"/>
    <x v="1"/>
    <x v="10"/>
    <x v="1"/>
    <x v="1"/>
    <n v="455.1"/>
  </r>
  <r>
    <n v="730578"/>
    <x v="1"/>
    <x v="10"/>
    <x v="0"/>
    <x v="1"/>
    <n v="275.10000000000002"/>
  </r>
  <r>
    <n v="730578"/>
    <x v="1"/>
    <x v="10"/>
    <x v="1"/>
    <x v="1"/>
    <n v="303.39999999999998"/>
  </r>
  <r>
    <n v="730584"/>
    <x v="1"/>
    <x v="11"/>
    <x v="0"/>
    <x v="1"/>
    <n v="70.903000000000006"/>
  </r>
  <r>
    <n v="731515"/>
    <x v="2"/>
    <x v="50"/>
    <x v="0"/>
    <x v="1"/>
    <n v="14984.771000000001"/>
  </r>
  <r>
    <n v="732010"/>
    <x v="2"/>
    <x v="15"/>
    <x v="0"/>
    <x v="1"/>
    <n v="19396.465"/>
  </r>
  <r>
    <n v="732010"/>
    <x v="2"/>
    <x v="15"/>
    <x v="1"/>
    <x v="1"/>
    <n v="20440"/>
  </r>
  <r>
    <n v="733095"/>
    <x v="2"/>
    <x v="16"/>
    <x v="0"/>
    <x v="1"/>
    <n v="4173.97"/>
  </r>
  <r>
    <n v="733095"/>
    <x v="2"/>
    <x v="16"/>
    <x v="1"/>
    <x v="1"/>
    <n v="4538.8010000000004"/>
  </r>
  <r>
    <n v="733505"/>
    <x v="2"/>
    <x v="17"/>
    <x v="0"/>
    <x v="1"/>
    <n v="3763.64"/>
  </r>
  <r>
    <n v="733505"/>
    <x v="2"/>
    <x v="17"/>
    <x v="1"/>
    <x v="1"/>
    <n v="3906.5369999999998"/>
  </r>
  <r>
    <n v="733510"/>
    <x v="1"/>
    <x v="18"/>
    <x v="0"/>
    <x v="1"/>
    <n v="53601.087999999989"/>
  </r>
  <r>
    <n v="733510"/>
    <x v="0"/>
    <x v="18"/>
    <x v="0"/>
    <x v="1"/>
    <n v="275486.5"/>
  </r>
  <r>
    <n v="733510"/>
    <x v="1"/>
    <x v="18"/>
    <x v="1"/>
    <x v="1"/>
    <n v="48544.241000000038"/>
  </r>
  <r>
    <n v="733510"/>
    <x v="0"/>
    <x v="18"/>
    <x v="1"/>
    <x v="1"/>
    <n v="292056.15999999997"/>
  </r>
  <r>
    <n v="733511"/>
    <x v="1"/>
    <x v="19"/>
    <x v="0"/>
    <x v="1"/>
    <n v="3793.0459999999985"/>
  </r>
  <r>
    <n v="733511"/>
    <x v="0"/>
    <x v="19"/>
    <x v="0"/>
    <x v="1"/>
    <n v="17260.990000000002"/>
  </r>
  <r>
    <n v="733511"/>
    <x v="1"/>
    <x v="19"/>
    <x v="1"/>
    <x v="1"/>
    <n v="3783.4349999999977"/>
  </r>
  <r>
    <n v="733511"/>
    <x v="0"/>
    <x v="19"/>
    <x v="1"/>
    <x v="1"/>
    <n v="20977.65"/>
  </r>
  <r>
    <n v="733512"/>
    <x v="1"/>
    <x v="20"/>
    <x v="0"/>
    <x v="1"/>
    <n v="1159.6090000000004"/>
  </r>
  <r>
    <n v="733512"/>
    <x v="0"/>
    <x v="20"/>
    <x v="0"/>
    <x v="1"/>
    <n v="5277"/>
  </r>
  <r>
    <n v="733512"/>
    <x v="1"/>
    <x v="20"/>
    <x v="1"/>
    <x v="1"/>
    <n v="1156.6710000000003"/>
  </r>
  <r>
    <n v="733512"/>
    <x v="0"/>
    <x v="20"/>
    <x v="1"/>
    <x v="1"/>
    <n v="6413.25"/>
  </r>
  <r>
    <n v="733515"/>
    <x v="2"/>
    <x v="21"/>
    <x v="0"/>
    <x v="1"/>
    <n v="930"/>
  </r>
  <r>
    <n v="733515"/>
    <x v="2"/>
    <x v="21"/>
    <x v="1"/>
    <x v="1"/>
    <n v="1140.48"/>
  </r>
  <r>
    <n v="733525"/>
    <x v="2"/>
    <x v="22"/>
    <x v="0"/>
    <x v="1"/>
    <n v="5463.9210000000003"/>
  </r>
  <r>
    <n v="733525"/>
    <x v="2"/>
    <x v="22"/>
    <x v="1"/>
    <x v="1"/>
    <n v="7027.0060000000003"/>
  </r>
  <r>
    <n v="733530"/>
    <x v="2"/>
    <x v="23"/>
    <x v="0"/>
    <x v="1"/>
    <n v="58759.828999999998"/>
  </r>
  <r>
    <n v="733530"/>
    <x v="2"/>
    <x v="23"/>
    <x v="1"/>
    <x v="1"/>
    <n v="58105.957999999999"/>
  </r>
  <r>
    <n v="733550"/>
    <x v="2"/>
    <x v="24"/>
    <x v="0"/>
    <x v="1"/>
    <n v="5258.9740000000002"/>
  </r>
  <r>
    <n v="733550"/>
    <x v="2"/>
    <x v="24"/>
    <x v="1"/>
    <x v="1"/>
    <n v="4132.165"/>
  </r>
  <r>
    <n v="733555"/>
    <x v="2"/>
    <x v="25"/>
    <x v="0"/>
    <x v="1"/>
    <n v="7400.1890000000003"/>
  </r>
  <r>
    <n v="733555"/>
    <x v="2"/>
    <x v="25"/>
    <x v="1"/>
    <x v="1"/>
    <n v="7830.0309999999999"/>
  </r>
  <r>
    <n v="735015"/>
    <x v="2"/>
    <x v="26"/>
    <x v="0"/>
    <x v="1"/>
    <n v="1843.0309999999999"/>
  </r>
  <r>
    <n v="735015"/>
    <x v="2"/>
    <x v="26"/>
    <x v="1"/>
    <x v="1"/>
    <n v="2578.8040000000001"/>
  </r>
  <r>
    <n v="736005"/>
    <x v="2"/>
    <x v="27"/>
    <x v="0"/>
    <x v="1"/>
    <n v="1388.8889999999999"/>
  </r>
  <r>
    <n v="736005"/>
    <x v="2"/>
    <x v="27"/>
    <x v="1"/>
    <x v="1"/>
    <n v="1388.8889999999999"/>
  </r>
  <r>
    <n v="736010"/>
    <x v="2"/>
    <x v="27"/>
    <x v="0"/>
    <x v="1"/>
    <n v="39022.387999999999"/>
  </r>
  <r>
    <n v="736010"/>
    <x v="2"/>
    <x v="27"/>
    <x v="1"/>
    <x v="1"/>
    <n v="37612.053999999996"/>
  </r>
  <r>
    <n v="736015"/>
    <x v="2"/>
    <x v="27"/>
    <x v="0"/>
    <x v="1"/>
    <n v="800.89499999999998"/>
  </r>
  <r>
    <n v="736015"/>
    <x v="2"/>
    <x v="27"/>
    <x v="1"/>
    <x v="1"/>
    <n v="800.89499999999998"/>
  </r>
  <r>
    <n v="736020"/>
    <x v="2"/>
    <x v="27"/>
    <x v="0"/>
    <x v="1"/>
    <n v="478.52300000000002"/>
  </r>
  <r>
    <n v="736020"/>
    <x v="2"/>
    <x v="27"/>
    <x v="1"/>
    <x v="1"/>
    <n v="594.327"/>
  </r>
  <r>
    <n v="739525"/>
    <x v="2"/>
    <x v="28"/>
    <x v="0"/>
    <x v="1"/>
    <n v="2688.8440000000001"/>
  </r>
  <r>
    <n v="739525"/>
    <x v="2"/>
    <x v="28"/>
    <x v="1"/>
    <x v="1"/>
    <n v="2846.15"/>
  </r>
  <r>
    <n v="739530"/>
    <x v="2"/>
    <x v="29"/>
    <x v="0"/>
    <x v="1"/>
    <n v="1879.5530000000001"/>
  </r>
  <r>
    <n v="739530"/>
    <x v="2"/>
    <x v="29"/>
    <x v="1"/>
    <x v="1"/>
    <n v="4317.4290000000001"/>
  </r>
  <r>
    <n v="739535"/>
    <x v="2"/>
    <x v="30"/>
    <x v="0"/>
    <x v="1"/>
    <n v="713.1"/>
  </r>
  <r>
    <n v="739535"/>
    <x v="2"/>
    <x v="30"/>
    <x v="1"/>
    <x v="1"/>
    <n v="1049.4110000000001"/>
  </r>
  <r>
    <n v="739560"/>
    <x v="2"/>
    <x v="31"/>
    <x v="0"/>
    <x v="1"/>
    <n v="3502.6590000000001"/>
  </r>
  <r>
    <n v="739560"/>
    <x v="2"/>
    <x v="31"/>
    <x v="1"/>
    <x v="1"/>
    <n v="488.84699999999998"/>
  </r>
  <r>
    <n v="740101"/>
    <x v="3"/>
    <x v="32"/>
    <x v="0"/>
    <x v="1"/>
    <n v="73246.270999999993"/>
  </r>
  <r>
    <n v="740101"/>
    <x v="3"/>
    <x v="32"/>
    <x v="1"/>
    <x v="1"/>
    <n v="32050.187000000002"/>
  </r>
  <r>
    <n v="73109502"/>
    <x v="1"/>
    <x v="33"/>
    <x v="0"/>
    <x v="1"/>
    <n v="172.53400000000011"/>
  </r>
  <r>
    <n v="73109502"/>
    <x v="0"/>
    <x v="33"/>
    <x v="0"/>
    <x v="1"/>
    <n v="2046"/>
  </r>
  <r>
    <n v="73109502"/>
    <x v="1"/>
    <x v="33"/>
    <x v="1"/>
    <x v="1"/>
    <n v="128.59599999999989"/>
  </r>
  <r>
    <n v="73109502"/>
    <x v="0"/>
    <x v="33"/>
    <x v="1"/>
    <x v="1"/>
    <n v="902.87"/>
  </r>
  <r>
    <n v="73159503"/>
    <x v="2"/>
    <x v="51"/>
    <x v="0"/>
    <x v="1"/>
    <n v="4946.5320000000002"/>
  </r>
  <r>
    <n v="73159503"/>
    <x v="2"/>
    <x v="51"/>
    <x v="1"/>
    <x v="1"/>
    <n v="231.37"/>
  </r>
  <r>
    <n v="73359501"/>
    <x v="2"/>
    <x v="36"/>
    <x v="0"/>
    <x v="1"/>
    <n v="2511"/>
  </r>
  <r>
    <n v="73359501"/>
    <x v="2"/>
    <x v="36"/>
    <x v="1"/>
    <x v="1"/>
    <n v="427.5"/>
  </r>
  <r>
    <n v="73359506"/>
    <x v="1"/>
    <x v="37"/>
    <x v="1"/>
    <x v="1"/>
    <n v="1400.56"/>
  </r>
  <r>
    <n v="73451501"/>
    <x v="2"/>
    <x v="38"/>
    <x v="0"/>
    <x v="1"/>
    <n v="13937.257"/>
  </r>
  <r>
    <n v="73451501"/>
    <x v="2"/>
    <x v="38"/>
    <x v="1"/>
    <x v="1"/>
    <n v="40"/>
  </r>
  <r>
    <n v="73451502"/>
    <x v="2"/>
    <x v="38"/>
    <x v="0"/>
    <x v="1"/>
    <n v="11190.339"/>
  </r>
  <r>
    <n v="73451502"/>
    <x v="2"/>
    <x v="38"/>
    <x v="1"/>
    <x v="1"/>
    <n v="5515.232"/>
  </r>
  <r>
    <n v="73451503"/>
    <x v="2"/>
    <x v="39"/>
    <x v="0"/>
    <x v="1"/>
    <n v="13671.29"/>
  </r>
  <r>
    <n v="73451503"/>
    <x v="2"/>
    <x v="39"/>
    <x v="1"/>
    <x v="1"/>
    <n v="6144.8"/>
  </r>
  <r>
    <n v="73451504"/>
    <x v="2"/>
    <x v="39"/>
    <x v="0"/>
    <x v="1"/>
    <n v="2754.0309999999999"/>
  </r>
  <r>
    <n v="73451504"/>
    <x v="2"/>
    <x v="39"/>
    <x v="1"/>
    <x v="1"/>
    <n v="1486.7470000000001"/>
  </r>
  <r>
    <n v="73451507"/>
    <x v="2"/>
    <x v="40"/>
    <x v="1"/>
    <x v="1"/>
    <n v="90"/>
  </r>
  <r>
    <n v="73452501"/>
    <x v="2"/>
    <x v="41"/>
    <x v="0"/>
    <x v="1"/>
    <n v="597.51700000000005"/>
  </r>
  <r>
    <n v="73452501"/>
    <x v="2"/>
    <x v="41"/>
    <x v="1"/>
    <x v="1"/>
    <n v="787.01"/>
  </r>
  <r>
    <n v="73452502"/>
    <x v="2"/>
    <x v="42"/>
    <x v="0"/>
    <x v="1"/>
    <n v="126.05"/>
  </r>
  <r>
    <n v="73959501"/>
    <x v="2"/>
    <x v="43"/>
    <x v="0"/>
    <x v="1"/>
    <n v="49629.004999999997"/>
  </r>
  <r>
    <n v="73959503"/>
    <x v="2"/>
    <x v="52"/>
    <x v="1"/>
    <x v="1"/>
    <n v="2089.7939999999999"/>
  </r>
  <r>
    <n v="73959504"/>
    <x v="1"/>
    <x v="44"/>
    <x v="0"/>
    <x v="1"/>
    <n v="119.40000000000009"/>
  </r>
  <r>
    <n v="73959504"/>
    <x v="0"/>
    <x v="44"/>
    <x v="0"/>
    <x v="1"/>
    <n v="2040.4"/>
  </r>
  <r>
    <n v="73959504"/>
    <x v="1"/>
    <x v="44"/>
    <x v="1"/>
    <x v="1"/>
    <n v="607.25"/>
  </r>
  <r>
    <n v="73959504"/>
    <x v="0"/>
    <x v="44"/>
    <x v="1"/>
    <x v="1"/>
    <n v="1298.6500000000001"/>
  </r>
  <r>
    <n v="73959510"/>
    <x v="2"/>
    <x v="46"/>
    <x v="0"/>
    <x v="1"/>
    <n v="2270.41"/>
  </r>
  <r>
    <n v="73959510"/>
    <x v="2"/>
    <x v="46"/>
    <x v="1"/>
    <x v="1"/>
    <n v="739.15"/>
  </r>
  <r>
    <s v="720506"/>
    <x v="0"/>
    <x v="0"/>
    <x v="2"/>
    <x v="1"/>
    <n v="50166.385000000002"/>
  </r>
  <r>
    <s v="720515"/>
    <x v="0"/>
    <x v="1"/>
    <x v="2"/>
    <x v="1"/>
    <n v="7311.067"/>
  </r>
  <r>
    <s v="720524"/>
    <x v="0"/>
    <x v="2"/>
    <x v="2"/>
    <x v="1"/>
    <n v="2217.817"/>
  </r>
  <r>
    <s v="720527"/>
    <x v="0"/>
    <x v="3"/>
    <x v="2"/>
    <x v="1"/>
    <n v="7099.21"/>
  </r>
  <r>
    <s v="720530"/>
    <x v="0"/>
    <x v="4"/>
    <x v="2"/>
    <x v="1"/>
    <n v="5701.4120000000003"/>
  </r>
  <r>
    <s v="720533"/>
    <x v="0"/>
    <x v="4"/>
    <x v="2"/>
    <x v="1"/>
    <n v="684.44200000000001"/>
  </r>
  <r>
    <s v="720536"/>
    <x v="0"/>
    <x v="4"/>
    <x v="2"/>
    <x v="1"/>
    <n v="5701.4120000000003"/>
  </r>
  <r>
    <s v="720539"/>
    <x v="0"/>
    <x v="4"/>
    <x v="2"/>
    <x v="1"/>
    <n v="2558.096"/>
  </r>
  <r>
    <s v="720540"/>
    <x v="0"/>
    <x v="4"/>
    <x v="2"/>
    <x v="1"/>
    <n v="846.57399999999996"/>
  </r>
  <r>
    <s v="720546"/>
    <x v="0"/>
    <x v="5"/>
    <x v="2"/>
    <x v="1"/>
    <n v="24915.5"/>
  </r>
  <r>
    <s v="720547"/>
    <x v="0"/>
    <x v="6"/>
    <x v="2"/>
    <x v="1"/>
    <n v="2241.3629999999998"/>
  </r>
  <r>
    <s v="720552"/>
    <x v="0"/>
    <x v="9"/>
    <x v="2"/>
    <x v="1"/>
    <n v="6067.1419999999998"/>
  </r>
  <r>
    <s v="720568"/>
    <x v="0"/>
    <x v="10"/>
    <x v="2"/>
    <x v="1"/>
    <n v="1406.7"/>
  </r>
  <r>
    <s v="720570"/>
    <x v="0"/>
    <x v="10"/>
    <x v="2"/>
    <x v="1"/>
    <n v="7102.4"/>
  </r>
  <r>
    <s v="720572"/>
    <x v="0"/>
    <x v="10"/>
    <x v="2"/>
    <x v="1"/>
    <n v="2389.5"/>
  </r>
  <r>
    <s v="730506"/>
    <x v="1"/>
    <x v="0"/>
    <x v="2"/>
    <x v="1"/>
    <n v="75219.213000000003"/>
  </r>
  <r>
    <s v="730508"/>
    <x v="1"/>
    <x v="12"/>
    <x v="2"/>
    <x v="1"/>
    <n v="1750.9059999999999"/>
  </r>
  <r>
    <s v="730515"/>
    <x v="1"/>
    <x v="1"/>
    <x v="2"/>
    <x v="1"/>
    <n v="5693.04"/>
  </r>
  <r>
    <s v="730524"/>
    <x v="1"/>
    <x v="2"/>
    <x v="2"/>
    <x v="1"/>
    <n v="246.55600000000001"/>
  </r>
  <r>
    <s v="730527"/>
    <x v="1"/>
    <x v="13"/>
    <x v="2"/>
    <x v="1"/>
    <n v="3968.915"/>
  </r>
  <r>
    <s v="730530"/>
    <x v="1"/>
    <x v="4"/>
    <x v="2"/>
    <x v="1"/>
    <n v="7623.8590000000004"/>
  </r>
  <r>
    <s v="730533"/>
    <x v="1"/>
    <x v="4"/>
    <x v="2"/>
    <x v="1"/>
    <n v="915.22799999999995"/>
  </r>
  <r>
    <s v="730536"/>
    <x v="1"/>
    <x v="4"/>
    <x v="2"/>
    <x v="1"/>
    <n v="7623.8590000000004"/>
  </r>
  <r>
    <s v="730539"/>
    <x v="1"/>
    <x v="4"/>
    <x v="2"/>
    <x v="1"/>
    <n v="3651.0010000000002"/>
  </r>
  <r>
    <s v="730540"/>
    <x v="1"/>
    <x v="4"/>
    <x v="2"/>
    <x v="1"/>
    <n v="1208.25"/>
  </r>
  <r>
    <s v="730545"/>
    <x v="1"/>
    <x v="5"/>
    <x v="2"/>
    <x v="1"/>
    <n v="3049.096"/>
  </r>
  <r>
    <s v="730546"/>
    <x v="1"/>
    <x v="5"/>
    <x v="2"/>
    <x v="1"/>
    <n v="37857.160000000003"/>
  </r>
  <r>
    <s v="730547"/>
    <x v="1"/>
    <x v="6"/>
    <x v="2"/>
    <x v="1"/>
    <n v="3413.6010000000001"/>
  </r>
  <r>
    <s v="730552"/>
    <x v="1"/>
    <x v="9"/>
    <x v="2"/>
    <x v="1"/>
    <n v="679.43100000000004"/>
  </r>
  <r>
    <s v="730568"/>
    <x v="1"/>
    <x v="10"/>
    <x v="2"/>
    <x v="1"/>
    <n v="2028.65"/>
  </r>
  <r>
    <s v="730570"/>
    <x v="1"/>
    <x v="10"/>
    <x v="2"/>
    <x v="1"/>
    <n v="10474.299999999999"/>
  </r>
  <r>
    <s v="730572"/>
    <x v="1"/>
    <x v="10"/>
    <x v="2"/>
    <x v="1"/>
    <n v="3492.25"/>
  </r>
  <r>
    <s v="730584"/>
    <x v="1"/>
    <x v="11"/>
    <x v="2"/>
    <x v="1"/>
    <n v="229.31"/>
  </r>
  <r>
    <s v="73109502"/>
    <x v="1"/>
    <x v="33"/>
    <x v="2"/>
    <x v="1"/>
    <n v="637.02400000000011"/>
  </r>
  <r>
    <s v="73109502"/>
    <x v="0"/>
    <x v="33"/>
    <x v="2"/>
    <x v="1"/>
    <n v="1333.26"/>
  </r>
  <r>
    <s v="73159504"/>
    <x v="2"/>
    <x v="53"/>
    <x v="2"/>
    <x v="1"/>
    <n v="14303"/>
  </r>
  <r>
    <s v="73159505"/>
    <x v="2"/>
    <x v="54"/>
    <x v="2"/>
    <x v="1"/>
    <n v="564"/>
  </r>
  <r>
    <s v="732010"/>
    <x v="2"/>
    <x v="15"/>
    <x v="2"/>
    <x v="1"/>
    <n v="85361"/>
  </r>
  <r>
    <s v="733095"/>
    <x v="2"/>
    <x v="16"/>
    <x v="2"/>
    <x v="1"/>
    <n v="7213.9309999999996"/>
  </r>
  <r>
    <s v="733505"/>
    <x v="2"/>
    <x v="17"/>
    <x v="2"/>
    <x v="1"/>
    <n v="4125.0039999999999"/>
  </r>
  <r>
    <s v="733510"/>
    <x v="1"/>
    <x v="18"/>
    <x v="2"/>
    <x v="1"/>
    <n v="65755.749000000011"/>
  </r>
  <r>
    <s v="733510"/>
    <x v="0"/>
    <x v="18"/>
    <x v="2"/>
    <x v="1"/>
    <n v="330918.03999999998"/>
  </r>
  <r>
    <s v="733511"/>
    <x v="1"/>
    <x v="19"/>
    <x v="2"/>
    <x v="1"/>
    <n v="14991.708999999988"/>
  </r>
  <r>
    <s v="733511"/>
    <x v="0"/>
    <x v="19"/>
    <x v="2"/>
    <x v="1"/>
    <n v="69286.850000000006"/>
  </r>
  <r>
    <s v="733515"/>
    <x v="2"/>
    <x v="21"/>
    <x v="2"/>
    <x v="1"/>
    <n v="14950"/>
  </r>
  <r>
    <s v="733525"/>
    <x v="2"/>
    <x v="22"/>
    <x v="2"/>
    <x v="1"/>
    <n v="9769.3330000000005"/>
  </r>
  <r>
    <s v="733530"/>
    <x v="2"/>
    <x v="23"/>
    <x v="2"/>
    <x v="1"/>
    <n v="55514.32"/>
  </r>
  <r>
    <s v="733550"/>
    <x v="2"/>
    <x v="24"/>
    <x v="2"/>
    <x v="1"/>
    <n v="19105.985000000001"/>
  </r>
  <r>
    <s v="733555"/>
    <x v="2"/>
    <x v="25"/>
    <x v="2"/>
    <x v="1"/>
    <n v="7661.3710000000001"/>
  </r>
  <r>
    <s v="73359501"/>
    <x v="2"/>
    <x v="36"/>
    <x v="2"/>
    <x v="1"/>
    <n v="56.25"/>
  </r>
  <r>
    <s v="73359506"/>
    <x v="0"/>
    <x v="37"/>
    <x v="2"/>
    <x v="1"/>
    <n v="405.10599999999999"/>
  </r>
  <r>
    <s v="73451501"/>
    <x v="2"/>
    <x v="38"/>
    <x v="2"/>
    <x v="1"/>
    <n v="4226"/>
  </r>
  <r>
    <s v="73451502"/>
    <x v="2"/>
    <x v="38"/>
    <x v="2"/>
    <x v="1"/>
    <n v="8878.89"/>
  </r>
  <r>
    <s v="73451503"/>
    <x v="2"/>
    <x v="39"/>
    <x v="2"/>
    <x v="1"/>
    <n v="2459.8000000000002"/>
  </r>
  <r>
    <s v="73451504"/>
    <x v="2"/>
    <x v="39"/>
    <x v="2"/>
    <x v="1"/>
    <n v="1236.3720000000001"/>
  </r>
  <r>
    <s v="73451507"/>
    <x v="2"/>
    <x v="40"/>
    <x v="2"/>
    <x v="1"/>
    <n v="583"/>
  </r>
  <r>
    <s v="73452501"/>
    <x v="2"/>
    <x v="41"/>
    <x v="2"/>
    <x v="1"/>
    <n v="1472.2059999999999"/>
  </r>
  <r>
    <s v="735015"/>
    <x v="2"/>
    <x v="26"/>
    <x v="2"/>
    <x v="1"/>
    <n v="6302.5879999999997"/>
  </r>
  <r>
    <s v="735515"/>
    <x v="2"/>
    <x v="55"/>
    <x v="2"/>
    <x v="1"/>
    <n v="2325.9"/>
  </r>
  <r>
    <s v="736005"/>
    <x v="2"/>
    <x v="27"/>
    <x v="2"/>
    <x v="1"/>
    <n v="1388.8889999999999"/>
  </r>
  <r>
    <s v="736010"/>
    <x v="2"/>
    <x v="27"/>
    <x v="2"/>
    <x v="1"/>
    <n v="34767.608999999997"/>
  </r>
  <r>
    <s v="736015"/>
    <x v="2"/>
    <x v="27"/>
    <x v="2"/>
    <x v="1"/>
    <n v="851.678"/>
  </r>
  <r>
    <s v="736020"/>
    <x v="2"/>
    <x v="27"/>
    <x v="2"/>
    <x v="1"/>
    <n v="543.06100000000004"/>
  </r>
  <r>
    <s v="739520"/>
    <x v="2"/>
    <x v="49"/>
    <x v="2"/>
    <x v="1"/>
    <n v="155"/>
  </r>
  <r>
    <s v="739525"/>
    <x v="2"/>
    <x v="28"/>
    <x v="2"/>
    <x v="1"/>
    <n v="1930.548"/>
  </r>
  <r>
    <s v="739530"/>
    <x v="2"/>
    <x v="29"/>
    <x v="2"/>
    <x v="1"/>
    <n v="3116.8420000000001"/>
  </r>
  <r>
    <s v="739535"/>
    <x v="2"/>
    <x v="30"/>
    <x v="2"/>
    <x v="1"/>
    <n v="4015"/>
  </r>
  <r>
    <s v="739560"/>
    <x v="2"/>
    <x v="31"/>
    <x v="2"/>
    <x v="1"/>
    <n v="3369.6469999999999"/>
  </r>
  <r>
    <s v="73959501"/>
    <x v="2"/>
    <x v="43"/>
    <x v="2"/>
    <x v="1"/>
    <n v="26900.17"/>
  </r>
  <r>
    <s v="73959504"/>
    <x v="1"/>
    <x v="44"/>
    <x v="2"/>
    <x v="1"/>
    <n v="702.15900000000011"/>
  </r>
  <r>
    <s v="73959504"/>
    <x v="0"/>
    <x v="44"/>
    <x v="2"/>
    <x v="1"/>
    <n v="1040.06"/>
  </r>
  <r>
    <s v="73959510"/>
    <x v="2"/>
    <x v="46"/>
    <x v="2"/>
    <x v="1"/>
    <n v="4188.3559999999998"/>
  </r>
  <r>
    <s v="740101"/>
    <x v="3"/>
    <x v="32"/>
    <x v="2"/>
    <x v="1"/>
    <n v="36476.173999999999"/>
  </r>
  <r>
    <n v="720506"/>
    <x v="0"/>
    <x v="0"/>
    <x v="0"/>
    <x v="2"/>
    <n v="44124.947999999997"/>
  </r>
  <r>
    <n v="720506"/>
    <x v="0"/>
    <x v="0"/>
    <x v="1"/>
    <x v="2"/>
    <n v="50534.004999999997"/>
  </r>
  <r>
    <n v="720515"/>
    <x v="0"/>
    <x v="1"/>
    <x v="0"/>
    <x v="2"/>
    <n v="8673.652"/>
  </r>
  <r>
    <n v="720515"/>
    <x v="0"/>
    <x v="1"/>
    <x v="1"/>
    <x v="2"/>
    <n v="17916.919999999998"/>
  </r>
  <r>
    <n v="720524"/>
    <x v="0"/>
    <x v="2"/>
    <x v="0"/>
    <x v="2"/>
    <n v="756.66700000000003"/>
  </r>
  <r>
    <n v="720524"/>
    <x v="0"/>
    <x v="2"/>
    <x v="1"/>
    <x v="2"/>
    <n v="1663.7829999999999"/>
  </r>
  <r>
    <n v="720527"/>
    <x v="0"/>
    <x v="3"/>
    <x v="0"/>
    <x v="2"/>
    <n v="4645.6080000000002"/>
  </r>
  <r>
    <n v="720527"/>
    <x v="0"/>
    <x v="3"/>
    <x v="1"/>
    <x v="2"/>
    <n v="6033.3339999999998"/>
  </r>
  <r>
    <n v="720530"/>
    <x v="0"/>
    <x v="4"/>
    <x v="0"/>
    <x v="2"/>
    <n v="5237.4690000000001"/>
  </r>
  <r>
    <n v="720530"/>
    <x v="0"/>
    <x v="4"/>
    <x v="1"/>
    <x v="2"/>
    <n v="6531.0829999999996"/>
  </r>
  <r>
    <n v="720533"/>
    <x v="0"/>
    <x v="4"/>
    <x v="0"/>
    <x v="2"/>
    <n v="628.74699999999996"/>
  </r>
  <r>
    <n v="720533"/>
    <x v="0"/>
    <x v="4"/>
    <x v="1"/>
    <x v="2"/>
    <n v="784.04200000000003"/>
  </r>
  <r>
    <n v="720536"/>
    <x v="0"/>
    <x v="4"/>
    <x v="0"/>
    <x v="2"/>
    <n v="5237.4690000000001"/>
  </r>
  <r>
    <n v="720536"/>
    <x v="0"/>
    <x v="4"/>
    <x v="1"/>
    <x v="2"/>
    <n v="6531.0829999999996"/>
  </r>
  <r>
    <n v="720539"/>
    <x v="0"/>
    <x v="4"/>
    <x v="0"/>
    <x v="2"/>
    <n v="2428.1559999999999"/>
  </r>
  <r>
    <n v="720539"/>
    <x v="0"/>
    <x v="4"/>
    <x v="1"/>
    <x v="2"/>
    <n v="3017.8739999999998"/>
  </r>
  <r>
    <n v="720540"/>
    <x v="0"/>
    <x v="4"/>
    <x v="0"/>
    <x v="2"/>
    <n v="803.55899999999997"/>
  </r>
  <r>
    <n v="720540"/>
    <x v="0"/>
    <x v="4"/>
    <x v="1"/>
    <x v="2"/>
    <n v="998.71600000000001"/>
  </r>
  <r>
    <n v="720546"/>
    <x v="0"/>
    <x v="5"/>
    <x v="0"/>
    <x v="2"/>
    <n v="6759.3590000000004"/>
  </r>
  <r>
    <n v="720546"/>
    <x v="0"/>
    <x v="5"/>
    <x v="1"/>
    <x v="2"/>
    <n v="7427.5240000000003"/>
  </r>
  <r>
    <n v="720547"/>
    <x v="0"/>
    <x v="6"/>
    <x v="0"/>
    <x v="2"/>
    <n v="2066.4630000000002"/>
  </r>
  <r>
    <n v="720547"/>
    <x v="0"/>
    <x v="6"/>
    <x v="1"/>
    <x v="2"/>
    <n v="2270.7370000000001"/>
  </r>
  <r>
    <n v="720551"/>
    <x v="0"/>
    <x v="8"/>
    <x v="0"/>
    <x v="2"/>
    <n v="13992.212"/>
  </r>
  <r>
    <n v="720552"/>
    <x v="0"/>
    <x v="9"/>
    <x v="0"/>
    <x v="2"/>
    <n v="3589.674"/>
  </r>
  <r>
    <n v="720552"/>
    <x v="0"/>
    <x v="9"/>
    <x v="1"/>
    <x v="2"/>
    <n v="6302.625"/>
  </r>
  <r>
    <n v="720568"/>
    <x v="0"/>
    <x v="10"/>
    <x v="0"/>
    <x v="2"/>
    <n v="1299.8"/>
  </r>
  <r>
    <n v="720568"/>
    <x v="0"/>
    <x v="10"/>
    <x v="1"/>
    <x v="2"/>
    <n v="1747.2"/>
  </r>
  <r>
    <n v="720569"/>
    <x v="0"/>
    <x v="10"/>
    <x v="0"/>
    <x v="2"/>
    <n v="-12.003"/>
  </r>
  <r>
    <n v="720569"/>
    <x v="0"/>
    <x v="10"/>
    <x v="1"/>
    <x v="2"/>
    <n v="78.813999999999993"/>
  </r>
  <r>
    <n v="720570"/>
    <x v="0"/>
    <x v="10"/>
    <x v="0"/>
    <x v="2"/>
    <n v="6642.8220000000001"/>
  </r>
  <r>
    <n v="720570"/>
    <x v="0"/>
    <x v="10"/>
    <x v="1"/>
    <x v="2"/>
    <n v="8717.0679999999993"/>
  </r>
  <r>
    <n v="720572"/>
    <x v="0"/>
    <x v="10"/>
    <x v="0"/>
    <x v="2"/>
    <n v="2306.6"/>
  </r>
  <r>
    <n v="720572"/>
    <x v="0"/>
    <x v="10"/>
    <x v="1"/>
    <x v="2"/>
    <n v="2912.9"/>
  </r>
  <r>
    <n v="720584"/>
    <x v="0"/>
    <x v="11"/>
    <x v="0"/>
    <x v="2"/>
    <n v="108.815"/>
  </r>
  <r>
    <n v="730506"/>
    <x v="1"/>
    <x v="0"/>
    <x v="0"/>
    <x v="2"/>
    <n v="72932.332999999999"/>
  </r>
  <r>
    <n v="730506"/>
    <x v="1"/>
    <x v="0"/>
    <x v="1"/>
    <x v="2"/>
    <n v="83693.645999999993"/>
  </r>
  <r>
    <n v="730508"/>
    <x v="1"/>
    <x v="12"/>
    <x v="0"/>
    <x v="2"/>
    <n v="1300"/>
  </r>
  <r>
    <n v="730515"/>
    <x v="1"/>
    <x v="1"/>
    <x v="0"/>
    <x v="2"/>
    <n v="5275.69"/>
  </r>
  <r>
    <n v="730515"/>
    <x v="1"/>
    <x v="1"/>
    <x v="1"/>
    <x v="2"/>
    <n v="7033.9129999999996"/>
  </r>
  <r>
    <n v="730524"/>
    <x v="1"/>
    <x v="2"/>
    <x v="0"/>
    <x v="2"/>
    <n v="672.34299999999996"/>
  </r>
  <r>
    <n v="730527"/>
    <x v="1"/>
    <x v="13"/>
    <x v="0"/>
    <x v="2"/>
    <n v="1641.6"/>
  </r>
  <r>
    <n v="730527"/>
    <x v="1"/>
    <x v="13"/>
    <x v="1"/>
    <x v="2"/>
    <n v="2400"/>
  </r>
  <r>
    <n v="730530"/>
    <x v="1"/>
    <x v="4"/>
    <x v="0"/>
    <x v="2"/>
    <n v="6969.0950000000003"/>
  </r>
  <r>
    <n v="730530"/>
    <x v="1"/>
    <x v="4"/>
    <x v="1"/>
    <x v="2"/>
    <n v="7757.53"/>
  </r>
  <r>
    <n v="730533"/>
    <x v="1"/>
    <x v="4"/>
    <x v="0"/>
    <x v="2"/>
    <n v="836.62599999999998"/>
  </r>
  <r>
    <n v="730533"/>
    <x v="1"/>
    <x v="4"/>
    <x v="1"/>
    <x v="2"/>
    <n v="931.27499999999998"/>
  </r>
  <r>
    <n v="730536"/>
    <x v="1"/>
    <x v="4"/>
    <x v="0"/>
    <x v="2"/>
    <n v="6969.0950000000003"/>
  </r>
  <r>
    <n v="730536"/>
    <x v="1"/>
    <x v="4"/>
    <x v="1"/>
    <x v="2"/>
    <n v="7757.53"/>
  </r>
  <r>
    <n v="730539"/>
    <x v="1"/>
    <x v="4"/>
    <x v="0"/>
    <x v="2"/>
    <n v="3420.2759999999998"/>
  </r>
  <r>
    <n v="730539"/>
    <x v="1"/>
    <x v="4"/>
    <x v="1"/>
    <x v="2"/>
    <n v="3783.3420000000001"/>
  </r>
  <r>
    <n v="730540"/>
    <x v="1"/>
    <x v="4"/>
    <x v="0"/>
    <x v="2"/>
    <n v="1131.8900000000001"/>
  </r>
  <r>
    <n v="730540"/>
    <x v="1"/>
    <x v="4"/>
    <x v="1"/>
    <x v="2"/>
    <n v="1252.0419999999999"/>
  </r>
  <r>
    <n v="730545"/>
    <x v="1"/>
    <x v="5"/>
    <x v="1"/>
    <x v="2"/>
    <n v="500"/>
  </r>
  <r>
    <n v="730546"/>
    <x v="1"/>
    <x v="5"/>
    <x v="0"/>
    <x v="2"/>
    <n v="10468.050999999999"/>
  </r>
  <r>
    <n v="730546"/>
    <x v="1"/>
    <x v="5"/>
    <x v="1"/>
    <x v="2"/>
    <n v="11415.815000000001"/>
  </r>
  <r>
    <n v="730547"/>
    <x v="1"/>
    <x v="6"/>
    <x v="0"/>
    <x v="2"/>
    <n v="3200.277"/>
  </r>
  <r>
    <n v="730547"/>
    <x v="1"/>
    <x v="6"/>
    <x v="1"/>
    <x v="2"/>
    <n v="3490.0279999999998"/>
  </r>
  <r>
    <n v="730551"/>
    <x v="1"/>
    <x v="8"/>
    <x v="0"/>
    <x v="2"/>
    <n v="2993.8380000000002"/>
  </r>
  <r>
    <n v="730552"/>
    <x v="1"/>
    <x v="9"/>
    <x v="0"/>
    <x v="2"/>
    <n v="1261.4749999999999"/>
  </r>
  <r>
    <n v="730552"/>
    <x v="1"/>
    <x v="9"/>
    <x v="1"/>
    <x v="2"/>
    <n v="536.40599999999995"/>
  </r>
  <r>
    <n v="730568"/>
    <x v="1"/>
    <x v="10"/>
    <x v="0"/>
    <x v="2"/>
    <n v="1938.2"/>
  </r>
  <r>
    <n v="730568"/>
    <x v="1"/>
    <x v="10"/>
    <x v="1"/>
    <x v="2"/>
    <n v="2211.1999999999998"/>
  </r>
  <r>
    <n v="730569"/>
    <x v="1"/>
    <x v="10"/>
    <x v="0"/>
    <x v="2"/>
    <n v="1312.3630000000001"/>
  </r>
  <r>
    <n v="730569"/>
    <x v="1"/>
    <x v="10"/>
    <x v="1"/>
    <x v="2"/>
    <n v="1286.3969999999999"/>
  </r>
  <r>
    <n v="730570"/>
    <x v="1"/>
    <x v="10"/>
    <x v="0"/>
    <x v="2"/>
    <n v="9763.393"/>
  </r>
  <r>
    <n v="730570"/>
    <x v="1"/>
    <x v="10"/>
    <x v="1"/>
    <x v="2"/>
    <n v="10888.047"/>
  </r>
  <r>
    <n v="730572"/>
    <x v="1"/>
    <x v="10"/>
    <x v="0"/>
    <x v="2"/>
    <n v="3234.9"/>
  </r>
  <r>
    <n v="730572"/>
    <x v="1"/>
    <x v="10"/>
    <x v="1"/>
    <x v="2"/>
    <n v="3629.8"/>
  </r>
  <r>
    <n v="730575"/>
    <x v="1"/>
    <x v="10"/>
    <x v="0"/>
    <x v="2"/>
    <n v="412.5"/>
  </r>
  <r>
    <n v="730575"/>
    <x v="1"/>
    <x v="10"/>
    <x v="1"/>
    <x v="2"/>
    <n v="453.8"/>
  </r>
  <r>
    <n v="730578"/>
    <x v="1"/>
    <x v="10"/>
    <x v="0"/>
    <x v="2"/>
    <n v="275"/>
  </r>
  <r>
    <n v="730578"/>
    <x v="1"/>
    <x v="10"/>
    <x v="1"/>
    <x v="2"/>
    <n v="302.5"/>
  </r>
  <r>
    <n v="730584"/>
    <x v="1"/>
    <x v="11"/>
    <x v="1"/>
    <x v="2"/>
    <n v="81.468999999999994"/>
  </r>
  <r>
    <n v="731515"/>
    <x v="2"/>
    <x v="50"/>
    <x v="1"/>
    <x v="2"/>
    <n v="16994.235000000001"/>
  </r>
  <r>
    <n v="732010"/>
    <x v="2"/>
    <x v="15"/>
    <x v="0"/>
    <x v="2"/>
    <n v="19396.465"/>
  </r>
  <r>
    <n v="732010"/>
    <x v="2"/>
    <x v="15"/>
    <x v="1"/>
    <x v="2"/>
    <n v="20440"/>
  </r>
  <r>
    <n v="733095"/>
    <x v="2"/>
    <x v="16"/>
    <x v="0"/>
    <x v="2"/>
    <n v="4176.6989999999996"/>
  </r>
  <r>
    <n v="733095"/>
    <x v="2"/>
    <x v="16"/>
    <x v="1"/>
    <x v="2"/>
    <n v="4538.8010000000004"/>
  </r>
  <r>
    <n v="733505"/>
    <x v="2"/>
    <x v="17"/>
    <x v="0"/>
    <x v="2"/>
    <n v="1758.42"/>
  </r>
  <r>
    <n v="733505"/>
    <x v="2"/>
    <x v="17"/>
    <x v="1"/>
    <x v="2"/>
    <n v="1730.462"/>
  </r>
  <r>
    <n v="733510"/>
    <x v="1"/>
    <x v="18"/>
    <x v="0"/>
    <x v="2"/>
    <n v="57137.67300000001"/>
  </r>
  <r>
    <n v="733510"/>
    <x v="0"/>
    <x v="18"/>
    <x v="0"/>
    <x v="2"/>
    <n v="283536"/>
  </r>
  <r>
    <n v="733510"/>
    <x v="1"/>
    <x v="18"/>
    <x v="1"/>
    <x v="2"/>
    <n v="41032.027000000002"/>
  </r>
  <r>
    <n v="733510"/>
    <x v="0"/>
    <x v="18"/>
    <x v="1"/>
    <x v="2"/>
    <n v="355869"/>
  </r>
  <r>
    <n v="733511"/>
    <x v="1"/>
    <x v="19"/>
    <x v="0"/>
    <x v="2"/>
    <n v="3898.107"/>
  </r>
  <r>
    <n v="733511"/>
    <x v="0"/>
    <x v="19"/>
    <x v="0"/>
    <x v="2"/>
    <n v="18595"/>
  </r>
  <r>
    <n v="733511"/>
    <x v="1"/>
    <x v="19"/>
    <x v="1"/>
    <x v="2"/>
    <n v="1449.4069999999992"/>
  </r>
  <r>
    <n v="733511"/>
    <x v="0"/>
    <x v="19"/>
    <x v="1"/>
    <x v="2"/>
    <n v="11399"/>
  </r>
  <r>
    <n v="733512"/>
    <x v="1"/>
    <x v="20"/>
    <x v="0"/>
    <x v="2"/>
    <n v="1191.558"/>
  </r>
  <r>
    <n v="733512"/>
    <x v="0"/>
    <x v="20"/>
    <x v="0"/>
    <x v="2"/>
    <n v="5685"/>
  </r>
  <r>
    <n v="733512"/>
    <x v="1"/>
    <x v="20"/>
    <x v="1"/>
    <x v="2"/>
    <n v="828.94599999999991"/>
  </r>
  <r>
    <n v="733512"/>
    <x v="0"/>
    <x v="20"/>
    <x v="1"/>
    <x v="2"/>
    <n v="6513"/>
  </r>
  <r>
    <n v="733515"/>
    <x v="2"/>
    <x v="21"/>
    <x v="0"/>
    <x v="2"/>
    <n v="2700"/>
  </r>
  <r>
    <n v="733515"/>
    <x v="2"/>
    <x v="21"/>
    <x v="1"/>
    <x v="2"/>
    <n v="4855.6000000000004"/>
  </r>
  <r>
    <n v="733525"/>
    <x v="2"/>
    <x v="22"/>
    <x v="0"/>
    <x v="2"/>
    <n v="4916.768"/>
  </r>
  <r>
    <n v="733525"/>
    <x v="2"/>
    <x v="22"/>
    <x v="1"/>
    <x v="2"/>
    <n v="5561.1120000000001"/>
  </r>
  <r>
    <n v="733530"/>
    <x v="2"/>
    <x v="23"/>
    <x v="0"/>
    <x v="2"/>
    <n v="63318.495000000003"/>
  </r>
  <r>
    <n v="733530"/>
    <x v="2"/>
    <x v="23"/>
    <x v="1"/>
    <x v="2"/>
    <n v="62117.451999999997"/>
  </r>
  <r>
    <n v="733550"/>
    <x v="2"/>
    <x v="24"/>
    <x v="0"/>
    <x v="2"/>
    <n v="6779.12"/>
  </r>
  <r>
    <n v="733550"/>
    <x v="2"/>
    <x v="24"/>
    <x v="1"/>
    <x v="2"/>
    <n v="13373.201999999999"/>
  </r>
  <r>
    <n v="733555"/>
    <x v="2"/>
    <x v="25"/>
    <x v="0"/>
    <x v="2"/>
    <n v="7147.8959999999997"/>
  </r>
  <r>
    <n v="733555"/>
    <x v="2"/>
    <x v="25"/>
    <x v="1"/>
    <x v="2"/>
    <n v="8420.7199999999993"/>
  </r>
  <r>
    <n v="735015"/>
    <x v="2"/>
    <x v="26"/>
    <x v="0"/>
    <x v="2"/>
    <n v="1535.6320000000001"/>
  </r>
  <r>
    <n v="735015"/>
    <x v="2"/>
    <x v="26"/>
    <x v="1"/>
    <x v="2"/>
    <n v="2091.9499999999998"/>
  </r>
  <r>
    <n v="736005"/>
    <x v="2"/>
    <x v="27"/>
    <x v="0"/>
    <x v="2"/>
    <n v="1388.8889999999999"/>
  </r>
  <r>
    <n v="736005"/>
    <x v="2"/>
    <x v="27"/>
    <x v="1"/>
    <x v="2"/>
    <n v="1388.8889999999999"/>
  </r>
  <r>
    <n v="736010"/>
    <x v="2"/>
    <x v="27"/>
    <x v="0"/>
    <x v="2"/>
    <n v="39428.970999999998"/>
  </r>
  <r>
    <n v="736010"/>
    <x v="2"/>
    <x v="27"/>
    <x v="1"/>
    <x v="2"/>
    <n v="34077.976999999999"/>
  </r>
  <r>
    <n v="736015"/>
    <x v="2"/>
    <x v="27"/>
    <x v="0"/>
    <x v="2"/>
    <n v="800.89499999999998"/>
  </r>
  <r>
    <n v="736015"/>
    <x v="2"/>
    <x v="27"/>
    <x v="1"/>
    <x v="2"/>
    <n v="2476.415"/>
  </r>
  <r>
    <n v="736020"/>
    <x v="2"/>
    <x v="27"/>
    <x v="0"/>
    <x v="2"/>
    <n v="478.52300000000002"/>
  </r>
  <r>
    <n v="736020"/>
    <x v="2"/>
    <x v="27"/>
    <x v="1"/>
    <x v="2"/>
    <n v="594.31899999999996"/>
  </r>
  <r>
    <n v="739525"/>
    <x v="2"/>
    <x v="28"/>
    <x v="0"/>
    <x v="2"/>
    <n v="2609.2820000000002"/>
  </r>
  <r>
    <n v="739525"/>
    <x v="2"/>
    <x v="28"/>
    <x v="1"/>
    <x v="2"/>
    <n v="2386.6880000000001"/>
  </r>
  <r>
    <n v="739530"/>
    <x v="2"/>
    <x v="29"/>
    <x v="0"/>
    <x v="2"/>
    <n v="5023.5439999999999"/>
  </r>
  <r>
    <n v="739530"/>
    <x v="2"/>
    <x v="29"/>
    <x v="1"/>
    <x v="2"/>
    <n v="3866.52"/>
  </r>
  <r>
    <n v="739535"/>
    <x v="2"/>
    <x v="30"/>
    <x v="0"/>
    <x v="2"/>
    <n v="150"/>
  </r>
  <r>
    <n v="739535"/>
    <x v="2"/>
    <x v="30"/>
    <x v="1"/>
    <x v="2"/>
    <n v="1150"/>
  </r>
  <r>
    <n v="739560"/>
    <x v="2"/>
    <x v="31"/>
    <x v="0"/>
    <x v="2"/>
    <n v="1324.0609999999999"/>
  </r>
  <r>
    <n v="739560"/>
    <x v="2"/>
    <x v="31"/>
    <x v="1"/>
    <x v="2"/>
    <n v="9592.2209999999995"/>
  </r>
  <r>
    <n v="740101"/>
    <x v="3"/>
    <x v="32"/>
    <x v="0"/>
    <x v="2"/>
    <n v="42080.120999999999"/>
  </r>
  <r>
    <n v="740101"/>
    <x v="3"/>
    <x v="32"/>
    <x v="1"/>
    <x v="2"/>
    <n v="26731.233"/>
  </r>
  <r>
    <n v="73109502"/>
    <x v="1"/>
    <x v="33"/>
    <x v="0"/>
    <x v="2"/>
    <n v="241.25399999999991"/>
  </r>
  <r>
    <n v="73109502"/>
    <x v="0"/>
    <x v="33"/>
    <x v="0"/>
    <x v="2"/>
    <n v="1525"/>
  </r>
  <r>
    <n v="73109502"/>
    <x v="1"/>
    <x v="33"/>
    <x v="1"/>
    <x v="2"/>
    <n v="521.30600000000004"/>
  </r>
  <r>
    <n v="73109502"/>
    <x v="0"/>
    <x v="33"/>
    <x v="1"/>
    <x v="2"/>
    <n v="912"/>
  </r>
  <r>
    <n v="73109503"/>
    <x v="1"/>
    <x v="47"/>
    <x v="1"/>
    <x v="2"/>
    <n v="608.78800000000001"/>
  </r>
  <r>
    <n v="73109504"/>
    <x v="1"/>
    <x v="34"/>
    <x v="0"/>
    <x v="2"/>
    <n v="3500"/>
  </r>
  <r>
    <n v="73109505"/>
    <x v="2"/>
    <x v="35"/>
    <x v="1"/>
    <x v="2"/>
    <n v="1400"/>
  </r>
  <r>
    <n v="73359506"/>
    <x v="1"/>
    <x v="37"/>
    <x v="0"/>
    <x v="2"/>
    <n v="6883.2659999999996"/>
  </r>
  <r>
    <n v="73359506"/>
    <x v="0"/>
    <x v="37"/>
    <x v="0"/>
    <x v="2"/>
    <n v="2427"/>
  </r>
  <r>
    <n v="73359506"/>
    <x v="1"/>
    <x v="37"/>
    <x v="1"/>
    <x v="2"/>
    <n v="632.71799999999996"/>
  </r>
  <r>
    <n v="73359506"/>
    <x v="0"/>
    <x v="37"/>
    <x v="1"/>
    <x v="2"/>
    <n v="234"/>
  </r>
  <r>
    <n v="73451501"/>
    <x v="2"/>
    <x v="38"/>
    <x v="0"/>
    <x v="2"/>
    <n v="4318.2430000000004"/>
  </r>
  <r>
    <n v="73451501"/>
    <x v="2"/>
    <x v="38"/>
    <x v="1"/>
    <x v="2"/>
    <n v="473.51499999999999"/>
  </r>
  <r>
    <n v="73451502"/>
    <x v="2"/>
    <x v="38"/>
    <x v="0"/>
    <x v="2"/>
    <n v="18988.615000000002"/>
  </r>
  <r>
    <n v="73451502"/>
    <x v="2"/>
    <x v="38"/>
    <x v="1"/>
    <x v="2"/>
    <n v="27504.434000000001"/>
  </r>
  <r>
    <n v="73451503"/>
    <x v="2"/>
    <x v="39"/>
    <x v="0"/>
    <x v="2"/>
    <n v="16640.96"/>
  </r>
  <r>
    <n v="73451503"/>
    <x v="2"/>
    <x v="39"/>
    <x v="1"/>
    <x v="2"/>
    <n v="1006.205"/>
  </r>
  <r>
    <n v="73451504"/>
    <x v="2"/>
    <x v="39"/>
    <x v="0"/>
    <x v="2"/>
    <n v="57088.800000000003"/>
  </r>
  <r>
    <n v="73451504"/>
    <x v="2"/>
    <x v="39"/>
    <x v="1"/>
    <x v="2"/>
    <n v="15946.316999999999"/>
  </r>
  <r>
    <n v="73451507"/>
    <x v="2"/>
    <x v="40"/>
    <x v="0"/>
    <x v="2"/>
    <n v="78"/>
  </r>
  <r>
    <n v="73451507"/>
    <x v="2"/>
    <x v="40"/>
    <x v="1"/>
    <x v="2"/>
    <n v="352.94099999999997"/>
  </r>
  <r>
    <n v="73452501"/>
    <x v="2"/>
    <x v="41"/>
    <x v="0"/>
    <x v="2"/>
    <n v="597.72799999999995"/>
  </r>
  <r>
    <n v="73452501"/>
    <x v="2"/>
    <x v="41"/>
    <x v="1"/>
    <x v="2"/>
    <n v="862.14"/>
  </r>
  <r>
    <n v="73959501"/>
    <x v="2"/>
    <x v="43"/>
    <x v="0"/>
    <x v="2"/>
    <n v="-275"/>
  </r>
  <r>
    <n v="73959501"/>
    <x v="2"/>
    <x v="43"/>
    <x v="1"/>
    <x v="2"/>
    <n v="2048.4029999999998"/>
  </r>
  <r>
    <n v="73959503"/>
    <x v="2"/>
    <x v="52"/>
    <x v="1"/>
    <x v="2"/>
    <n v="3888.3560000000002"/>
  </r>
  <r>
    <n v="73959504"/>
    <x v="2"/>
    <x v="44"/>
    <x v="0"/>
    <x v="2"/>
    <n v="2132.2640000000001"/>
  </r>
  <r>
    <n v="73959504"/>
    <x v="2"/>
    <x v="44"/>
    <x v="1"/>
    <x v="2"/>
    <n v="742.33299999999997"/>
  </r>
  <r>
    <n v="73959510"/>
    <x v="2"/>
    <x v="46"/>
    <x v="0"/>
    <x v="2"/>
    <n v="1724.2080000000001"/>
  </r>
  <r>
    <n v="73959510"/>
    <x v="2"/>
    <x v="46"/>
    <x v="1"/>
    <x v="2"/>
    <n v="4250.95"/>
  </r>
  <r>
    <n v="73959511"/>
    <x v="2"/>
    <x v="56"/>
    <x v="1"/>
    <x v="2"/>
    <n v="134.874"/>
  </r>
  <r>
    <s v="720506"/>
    <x v="0"/>
    <x v="0"/>
    <x v="2"/>
    <x v="2"/>
    <n v="53674.421000000002"/>
  </r>
  <r>
    <s v="720515"/>
    <x v="0"/>
    <x v="1"/>
    <x v="2"/>
    <x v="2"/>
    <n v="10485.587"/>
  </r>
  <r>
    <s v="720524"/>
    <x v="0"/>
    <x v="2"/>
    <x v="2"/>
    <x v="2"/>
    <n v="1925.999"/>
  </r>
  <r>
    <s v="720527"/>
    <x v="0"/>
    <x v="3"/>
    <x v="2"/>
    <x v="2"/>
    <n v="6061.3130000000001"/>
  </r>
  <r>
    <s v="720530"/>
    <x v="0"/>
    <x v="4"/>
    <x v="2"/>
    <x v="2"/>
    <n v="6615.4340000000002"/>
  </r>
  <r>
    <s v="720533"/>
    <x v="0"/>
    <x v="4"/>
    <x v="2"/>
    <x v="2"/>
    <n v="794.16800000000001"/>
  </r>
  <r>
    <s v="720536"/>
    <x v="0"/>
    <x v="4"/>
    <x v="2"/>
    <x v="2"/>
    <n v="6615.4340000000002"/>
  </r>
  <r>
    <s v="720539"/>
    <x v="0"/>
    <x v="4"/>
    <x v="2"/>
    <x v="2"/>
    <n v="3058.9369999999999"/>
  </r>
  <r>
    <s v="720540"/>
    <x v="0"/>
    <x v="4"/>
    <x v="2"/>
    <x v="2"/>
    <n v="1012.304"/>
  </r>
  <r>
    <s v="720546"/>
    <x v="0"/>
    <x v="5"/>
    <x v="2"/>
    <x v="2"/>
    <n v="8575.4709999999995"/>
  </r>
  <r>
    <s v="720547"/>
    <x v="0"/>
    <x v="6"/>
    <x v="2"/>
    <x v="2"/>
    <n v="2621.6860000000001"/>
  </r>
  <r>
    <s v="720551"/>
    <x v="0"/>
    <x v="8"/>
    <x v="2"/>
    <x v="2"/>
    <n v="2888.64"/>
  </r>
  <r>
    <s v="720552"/>
    <x v="0"/>
    <x v="9"/>
    <x v="2"/>
    <x v="2"/>
    <n v="4679.8559999999998"/>
  </r>
  <r>
    <s v="720560"/>
    <x v="0"/>
    <x v="14"/>
    <x v="2"/>
    <x v="2"/>
    <n v="6096.9719999999998"/>
  </r>
  <r>
    <s v="720568"/>
    <x v="0"/>
    <x v="10"/>
    <x v="2"/>
    <x v="2"/>
    <n v="1569.9"/>
  </r>
  <r>
    <s v="720570"/>
    <x v="0"/>
    <x v="10"/>
    <x v="2"/>
    <x v="2"/>
    <n v="8620"/>
  </r>
  <r>
    <s v="720572"/>
    <x v="0"/>
    <x v="10"/>
    <x v="2"/>
    <x v="2"/>
    <n v="2861.2"/>
  </r>
  <r>
    <s v="730506"/>
    <x v="1"/>
    <x v="0"/>
    <x v="2"/>
    <x v="2"/>
    <n v="97262.471000000005"/>
  </r>
  <r>
    <s v="730508"/>
    <x v="1"/>
    <x v="12"/>
    <x v="2"/>
    <x v="2"/>
    <n v="1750.9059999999999"/>
  </r>
  <r>
    <s v="730515"/>
    <x v="1"/>
    <x v="1"/>
    <x v="2"/>
    <x v="2"/>
    <n v="5856.0510000000004"/>
  </r>
  <r>
    <s v="730524"/>
    <x v="1"/>
    <x v="2"/>
    <x v="2"/>
    <x v="2"/>
    <n v="1183.3440000000001"/>
  </r>
  <r>
    <s v="730527"/>
    <x v="1"/>
    <x v="13"/>
    <x v="2"/>
    <x v="2"/>
    <n v="3628.4839999999999"/>
  </r>
  <r>
    <s v="730530"/>
    <x v="1"/>
    <x v="4"/>
    <x v="2"/>
    <x v="2"/>
    <n v="9164.2739999999994"/>
  </r>
  <r>
    <s v="730533"/>
    <x v="1"/>
    <x v="4"/>
    <x v="2"/>
    <x v="2"/>
    <n v="1100.1500000000001"/>
  </r>
  <r>
    <s v="730536"/>
    <x v="1"/>
    <x v="4"/>
    <x v="2"/>
    <x v="2"/>
    <n v="9164.2739999999994"/>
  </r>
  <r>
    <s v="730539"/>
    <x v="1"/>
    <x v="4"/>
    <x v="2"/>
    <x v="2"/>
    <n v="4436.326"/>
  </r>
  <r>
    <s v="730540"/>
    <x v="1"/>
    <x v="4"/>
    <x v="2"/>
    <x v="2"/>
    <n v="1468.135"/>
  </r>
  <r>
    <s v="730545"/>
    <x v="1"/>
    <x v="5"/>
    <x v="2"/>
    <x v="2"/>
    <n v="800"/>
  </r>
  <r>
    <s v="730546"/>
    <x v="1"/>
    <x v="5"/>
    <x v="2"/>
    <x v="2"/>
    <n v="13712.39"/>
  </r>
  <r>
    <s v="730547"/>
    <x v="1"/>
    <x v="6"/>
    <x v="2"/>
    <x v="2"/>
    <n v="4192.13"/>
  </r>
  <r>
    <s v="730551"/>
    <x v="1"/>
    <x v="8"/>
    <x v="2"/>
    <x v="2"/>
    <n v="849.6"/>
  </r>
  <r>
    <s v="730552"/>
    <x v="1"/>
    <x v="9"/>
    <x v="2"/>
    <x v="2"/>
    <n v="761.76599999999996"/>
  </r>
  <r>
    <s v="730560"/>
    <x v="1"/>
    <x v="14"/>
    <x v="2"/>
    <x v="2"/>
    <n v="2877.5830000000001"/>
  </r>
  <r>
    <s v="730563"/>
    <x v="1"/>
    <x v="47"/>
    <x v="2"/>
    <x v="2"/>
    <n v="2000"/>
  </r>
  <r>
    <s v="730568"/>
    <x v="1"/>
    <x v="10"/>
    <x v="2"/>
    <x v="2"/>
    <n v="2549.9"/>
  </r>
  <r>
    <s v="730570"/>
    <x v="1"/>
    <x v="10"/>
    <x v="2"/>
    <x v="2"/>
    <n v="12451.4"/>
  </r>
  <r>
    <s v="730572"/>
    <x v="1"/>
    <x v="10"/>
    <x v="2"/>
    <x v="2"/>
    <n v="4209"/>
  </r>
  <r>
    <s v="73109502"/>
    <x v="1"/>
    <x v="33"/>
    <x v="2"/>
    <x v="2"/>
    <n v="260.06400000000031"/>
  </r>
  <r>
    <s v="73109502"/>
    <x v="0"/>
    <x v="33"/>
    <x v="2"/>
    <x v="2"/>
    <n v="2120.6799999999998"/>
  </r>
  <r>
    <s v="731515"/>
    <x v="2"/>
    <x v="50"/>
    <x v="2"/>
    <x v="2"/>
    <n v="25477.518"/>
  </r>
  <r>
    <s v="73159503"/>
    <x v="2"/>
    <x v="51"/>
    <x v="2"/>
    <x v="2"/>
    <n v="2460.576"/>
  </r>
  <r>
    <s v="732010"/>
    <x v="2"/>
    <x v="15"/>
    <x v="2"/>
    <x v="2"/>
    <n v="85361"/>
  </r>
  <r>
    <s v="733095"/>
    <x v="2"/>
    <x v="16"/>
    <x v="2"/>
    <x v="2"/>
    <n v="7213.9309999999996"/>
  </r>
  <r>
    <s v="733505"/>
    <x v="2"/>
    <x v="17"/>
    <x v="2"/>
    <x v="2"/>
    <n v="899.91600000000005"/>
  </r>
  <r>
    <s v="733510"/>
    <x v="1"/>
    <x v="18"/>
    <x v="2"/>
    <x v="2"/>
    <n v="82550.884999999951"/>
  </r>
  <r>
    <s v="733510"/>
    <x v="0"/>
    <x v="18"/>
    <x v="2"/>
    <x v="2"/>
    <n v="385534.78"/>
  </r>
  <r>
    <s v="733511"/>
    <x v="1"/>
    <x v="19"/>
    <x v="2"/>
    <x v="2"/>
    <n v="6075.6620000000003"/>
  </r>
  <r>
    <s v="733511"/>
    <x v="0"/>
    <x v="19"/>
    <x v="2"/>
    <x v="2"/>
    <n v="13800.5"/>
  </r>
  <r>
    <s v="733512"/>
    <x v="1"/>
    <x v="20"/>
    <x v="2"/>
    <x v="2"/>
    <n v="1857.4390000000003"/>
  </r>
  <r>
    <s v="733512"/>
    <x v="0"/>
    <x v="20"/>
    <x v="2"/>
    <x v="2"/>
    <n v="8221.16"/>
  </r>
  <r>
    <s v="733515"/>
    <x v="2"/>
    <x v="21"/>
    <x v="2"/>
    <x v="2"/>
    <n v="1028.9860000000001"/>
  </r>
  <r>
    <s v="733525"/>
    <x v="2"/>
    <x v="22"/>
    <x v="2"/>
    <x v="2"/>
    <n v="6151.4470000000001"/>
  </r>
  <r>
    <s v="733530"/>
    <x v="2"/>
    <x v="23"/>
    <x v="2"/>
    <x v="2"/>
    <n v="54106.792000000001"/>
  </r>
  <r>
    <s v="733550"/>
    <x v="2"/>
    <x v="24"/>
    <x v="2"/>
    <x v="2"/>
    <n v="7088.3"/>
  </r>
  <r>
    <s v="733555"/>
    <x v="2"/>
    <x v="25"/>
    <x v="2"/>
    <x v="2"/>
    <n v="8227.1859999999997"/>
  </r>
  <r>
    <s v="73451501"/>
    <x v="2"/>
    <x v="38"/>
    <x v="2"/>
    <x v="2"/>
    <n v="1423.06"/>
  </r>
  <r>
    <s v="73451502"/>
    <x v="2"/>
    <x v="38"/>
    <x v="2"/>
    <x v="2"/>
    <n v="21452.295999999998"/>
  </r>
  <r>
    <s v="73451503"/>
    <x v="2"/>
    <x v="39"/>
    <x v="2"/>
    <x v="2"/>
    <n v="4463.7330000000002"/>
  </r>
  <r>
    <s v="73451504"/>
    <x v="2"/>
    <x v="39"/>
    <x v="2"/>
    <x v="2"/>
    <n v="54568.875"/>
  </r>
  <r>
    <s v="73451507"/>
    <x v="2"/>
    <x v="40"/>
    <x v="2"/>
    <x v="2"/>
    <n v="480.084"/>
  </r>
  <r>
    <s v="73452501"/>
    <x v="2"/>
    <x v="41"/>
    <x v="2"/>
    <x v="2"/>
    <n v="1758.8530000000001"/>
  </r>
  <r>
    <s v="735015"/>
    <x v="2"/>
    <x v="26"/>
    <x v="2"/>
    <x v="2"/>
    <n v="2606.4929999999999"/>
  </r>
  <r>
    <s v="736005"/>
    <x v="2"/>
    <x v="27"/>
    <x v="2"/>
    <x v="2"/>
    <n v="1388.8889999999999"/>
  </r>
  <r>
    <s v="736010"/>
    <x v="2"/>
    <x v="27"/>
    <x v="2"/>
    <x v="2"/>
    <n v="34767.608999999997"/>
  </r>
  <r>
    <s v="736015"/>
    <x v="2"/>
    <x v="27"/>
    <x v="2"/>
    <x v="2"/>
    <n v="2646.4839999999999"/>
  </r>
  <r>
    <s v="736020"/>
    <x v="2"/>
    <x v="27"/>
    <x v="2"/>
    <x v="2"/>
    <n v="2153.067"/>
  </r>
  <r>
    <s v="739520"/>
    <x v="2"/>
    <x v="49"/>
    <x v="2"/>
    <x v="2"/>
    <n v="19.5"/>
  </r>
  <r>
    <s v="739525"/>
    <x v="2"/>
    <x v="28"/>
    <x v="2"/>
    <x v="2"/>
    <n v="2686.5079999999998"/>
  </r>
  <r>
    <s v="739530"/>
    <x v="2"/>
    <x v="29"/>
    <x v="2"/>
    <x v="2"/>
    <n v="3864.297"/>
  </r>
  <r>
    <s v="739535"/>
    <x v="2"/>
    <x v="30"/>
    <x v="2"/>
    <x v="2"/>
    <n v="4685"/>
  </r>
  <r>
    <s v="739560"/>
    <x v="2"/>
    <x v="31"/>
    <x v="2"/>
    <x v="2"/>
    <n v="6298.4750000000004"/>
  </r>
  <r>
    <s v="73959501"/>
    <x v="2"/>
    <x v="43"/>
    <x v="2"/>
    <x v="2"/>
    <n v="668.2"/>
  </r>
  <r>
    <s v="73959504"/>
    <x v="0"/>
    <x v="44"/>
    <x v="2"/>
    <x v="2"/>
    <n v="1655.866"/>
  </r>
  <r>
    <s v="73959510"/>
    <x v="2"/>
    <x v="46"/>
    <x v="2"/>
    <x v="2"/>
    <n v="873.36699999999996"/>
  </r>
  <r>
    <s v="73959511"/>
    <x v="2"/>
    <x v="56"/>
    <x v="2"/>
    <x v="2"/>
    <n v="151.85"/>
  </r>
  <r>
    <s v="740101"/>
    <x v="3"/>
    <x v="32"/>
    <x v="2"/>
    <x v="2"/>
    <n v="45989.455999999998"/>
  </r>
  <r>
    <n v="720506"/>
    <x v="0"/>
    <x v="0"/>
    <x v="0"/>
    <x v="3"/>
    <n v="42426.767"/>
  </r>
  <r>
    <n v="720506"/>
    <x v="0"/>
    <x v="0"/>
    <x v="1"/>
    <x v="3"/>
    <n v="50482.387999999999"/>
  </r>
  <r>
    <n v="720515"/>
    <x v="0"/>
    <x v="1"/>
    <x v="0"/>
    <x v="3"/>
    <n v="5043.5519999999997"/>
  </r>
  <r>
    <n v="720515"/>
    <x v="0"/>
    <x v="1"/>
    <x v="1"/>
    <x v="3"/>
    <n v="10338.743"/>
  </r>
  <r>
    <n v="720524"/>
    <x v="0"/>
    <x v="2"/>
    <x v="0"/>
    <x v="3"/>
    <n v="1430.002"/>
  </r>
  <r>
    <n v="720524"/>
    <x v="0"/>
    <x v="2"/>
    <x v="1"/>
    <x v="3"/>
    <n v="521.95000000000005"/>
  </r>
  <r>
    <n v="720527"/>
    <x v="0"/>
    <x v="3"/>
    <x v="0"/>
    <x v="3"/>
    <n v="4482"/>
  </r>
  <r>
    <n v="720527"/>
    <x v="0"/>
    <x v="3"/>
    <x v="1"/>
    <x v="3"/>
    <n v="6088.9849999999997"/>
  </r>
  <r>
    <n v="720530"/>
    <x v="0"/>
    <x v="4"/>
    <x v="0"/>
    <x v="3"/>
    <n v="4770.3739999999998"/>
  </r>
  <r>
    <n v="720530"/>
    <x v="0"/>
    <x v="4"/>
    <x v="1"/>
    <x v="3"/>
    <n v="6168.8069999999998"/>
  </r>
  <r>
    <n v="720533"/>
    <x v="0"/>
    <x v="4"/>
    <x v="0"/>
    <x v="3"/>
    <n v="572.66999999999996"/>
  </r>
  <r>
    <n v="720533"/>
    <x v="0"/>
    <x v="4"/>
    <x v="1"/>
    <x v="3"/>
    <n v="740.553"/>
  </r>
  <r>
    <n v="720536"/>
    <x v="0"/>
    <x v="4"/>
    <x v="0"/>
    <x v="3"/>
    <n v="4770.3739999999998"/>
  </r>
  <r>
    <n v="720536"/>
    <x v="0"/>
    <x v="4"/>
    <x v="1"/>
    <x v="3"/>
    <n v="6168.8069999999998"/>
  </r>
  <r>
    <n v="720539"/>
    <x v="0"/>
    <x v="4"/>
    <x v="0"/>
    <x v="3"/>
    <n v="2201.145"/>
  </r>
  <r>
    <n v="720539"/>
    <x v="0"/>
    <x v="4"/>
    <x v="1"/>
    <x v="3"/>
    <n v="2834.1930000000002"/>
  </r>
  <r>
    <n v="720540"/>
    <x v="0"/>
    <x v="4"/>
    <x v="0"/>
    <x v="3"/>
    <n v="728.43899999999996"/>
  </r>
  <r>
    <n v="720540"/>
    <x v="0"/>
    <x v="4"/>
    <x v="1"/>
    <x v="3"/>
    <n v="937.93499999999995"/>
  </r>
  <r>
    <n v="720546"/>
    <x v="0"/>
    <x v="5"/>
    <x v="0"/>
    <x v="3"/>
    <n v="6511.9690000000001"/>
  </r>
  <r>
    <n v="720546"/>
    <x v="0"/>
    <x v="5"/>
    <x v="1"/>
    <x v="3"/>
    <n v="7860.3890000000001"/>
  </r>
  <r>
    <n v="720547"/>
    <x v="0"/>
    <x v="6"/>
    <x v="0"/>
    <x v="3"/>
    <n v="1990.8309999999999"/>
  </r>
  <r>
    <n v="720547"/>
    <x v="0"/>
    <x v="6"/>
    <x v="1"/>
    <x v="3"/>
    <n v="2403.0680000000002"/>
  </r>
  <r>
    <n v="720548"/>
    <x v="0"/>
    <x v="7"/>
    <x v="0"/>
    <x v="3"/>
    <n v="365"/>
  </r>
  <r>
    <n v="720551"/>
    <x v="0"/>
    <x v="8"/>
    <x v="0"/>
    <x v="3"/>
    <n v="328.64100000000002"/>
  </r>
  <r>
    <n v="720552"/>
    <x v="0"/>
    <x v="9"/>
    <x v="0"/>
    <x v="3"/>
    <n v="8641.9699999999993"/>
  </r>
  <r>
    <n v="720552"/>
    <x v="0"/>
    <x v="9"/>
    <x v="1"/>
    <x v="3"/>
    <n v="4482.8019999999997"/>
  </r>
  <r>
    <n v="720568"/>
    <x v="0"/>
    <x v="10"/>
    <x v="0"/>
    <x v="3"/>
    <n v="1157.9000000000001"/>
  </r>
  <r>
    <n v="720568"/>
    <x v="0"/>
    <x v="10"/>
    <x v="1"/>
    <x v="3"/>
    <n v="1482"/>
  </r>
  <r>
    <n v="720569"/>
    <x v="0"/>
    <x v="10"/>
    <x v="0"/>
    <x v="3"/>
    <n v="-65.563999999999993"/>
  </r>
  <r>
    <n v="720569"/>
    <x v="0"/>
    <x v="10"/>
    <x v="1"/>
    <x v="3"/>
    <n v="-103.535"/>
  </r>
  <r>
    <n v="720570"/>
    <x v="0"/>
    <x v="10"/>
    <x v="0"/>
    <x v="3"/>
    <n v="6038.5820000000003"/>
  </r>
  <r>
    <n v="720570"/>
    <x v="0"/>
    <x v="10"/>
    <x v="1"/>
    <x v="3"/>
    <n v="7542.348"/>
  </r>
  <r>
    <n v="720572"/>
    <x v="0"/>
    <x v="10"/>
    <x v="0"/>
    <x v="3"/>
    <n v="2045.3"/>
  </r>
  <r>
    <n v="720572"/>
    <x v="0"/>
    <x v="10"/>
    <x v="1"/>
    <x v="3"/>
    <n v="2593.6999999999998"/>
  </r>
  <r>
    <n v="730506"/>
    <x v="1"/>
    <x v="0"/>
    <x v="0"/>
    <x v="3"/>
    <n v="67712.232999999993"/>
  </r>
  <r>
    <n v="730506"/>
    <x v="1"/>
    <x v="0"/>
    <x v="1"/>
    <x v="3"/>
    <n v="75666.53"/>
  </r>
  <r>
    <n v="730508"/>
    <x v="1"/>
    <x v="12"/>
    <x v="0"/>
    <x v="3"/>
    <n v="1300"/>
  </r>
  <r>
    <n v="730508"/>
    <x v="1"/>
    <x v="12"/>
    <x v="1"/>
    <x v="3"/>
    <n v="142.35"/>
  </r>
  <r>
    <n v="730515"/>
    <x v="1"/>
    <x v="1"/>
    <x v="0"/>
    <x v="3"/>
    <n v="2743.34"/>
  </r>
  <r>
    <n v="730515"/>
    <x v="1"/>
    <x v="1"/>
    <x v="1"/>
    <x v="3"/>
    <n v="5062.7359999999999"/>
  </r>
  <r>
    <n v="730524"/>
    <x v="1"/>
    <x v="2"/>
    <x v="0"/>
    <x v="3"/>
    <n v="189.34299999999999"/>
  </r>
  <r>
    <n v="730524"/>
    <x v="1"/>
    <x v="2"/>
    <x v="1"/>
    <x v="3"/>
    <n v="996.78800000000001"/>
  </r>
  <r>
    <n v="730527"/>
    <x v="1"/>
    <x v="13"/>
    <x v="0"/>
    <x v="3"/>
    <n v="1722.6"/>
  </r>
  <r>
    <n v="730527"/>
    <x v="1"/>
    <x v="13"/>
    <x v="1"/>
    <x v="3"/>
    <n v="2246.6669999999999"/>
  </r>
  <r>
    <n v="730530"/>
    <x v="1"/>
    <x v="4"/>
    <x v="0"/>
    <x v="3"/>
    <n v="6342.2520000000004"/>
  </r>
  <r>
    <n v="730530"/>
    <x v="1"/>
    <x v="4"/>
    <x v="1"/>
    <x v="3"/>
    <n v="7496.1679999999997"/>
  </r>
  <r>
    <n v="730533"/>
    <x v="1"/>
    <x v="4"/>
    <x v="0"/>
    <x v="3"/>
    <n v="761.37400000000002"/>
  </r>
  <r>
    <n v="730533"/>
    <x v="1"/>
    <x v="4"/>
    <x v="1"/>
    <x v="3"/>
    <n v="899.89800000000002"/>
  </r>
  <r>
    <n v="730536"/>
    <x v="1"/>
    <x v="4"/>
    <x v="0"/>
    <x v="3"/>
    <n v="6342.2520000000004"/>
  </r>
  <r>
    <n v="730536"/>
    <x v="1"/>
    <x v="4"/>
    <x v="1"/>
    <x v="3"/>
    <n v="7496.1679999999997"/>
  </r>
  <r>
    <n v="730539"/>
    <x v="1"/>
    <x v="4"/>
    <x v="0"/>
    <x v="3"/>
    <n v="3103.098"/>
  </r>
  <r>
    <n v="730539"/>
    <x v="1"/>
    <x v="4"/>
    <x v="1"/>
    <x v="3"/>
    <n v="3658.8989999999999"/>
  </r>
  <r>
    <n v="730540"/>
    <x v="1"/>
    <x v="4"/>
    <x v="0"/>
    <x v="3"/>
    <n v="1026.923"/>
  </r>
  <r>
    <n v="730540"/>
    <x v="1"/>
    <x v="4"/>
    <x v="1"/>
    <x v="3"/>
    <n v="1210.8579999999999"/>
  </r>
  <r>
    <n v="730545"/>
    <x v="1"/>
    <x v="5"/>
    <x v="1"/>
    <x v="3"/>
    <n v="500"/>
  </r>
  <r>
    <n v="730546"/>
    <x v="1"/>
    <x v="5"/>
    <x v="0"/>
    <x v="3"/>
    <n v="9593.9310000000005"/>
  </r>
  <r>
    <n v="730546"/>
    <x v="1"/>
    <x v="5"/>
    <x v="1"/>
    <x v="3"/>
    <n v="11277.632"/>
  </r>
  <r>
    <n v="730547"/>
    <x v="1"/>
    <x v="6"/>
    <x v="0"/>
    <x v="3"/>
    <n v="2988.7"/>
  </r>
  <r>
    <n v="730547"/>
    <x v="1"/>
    <x v="6"/>
    <x v="1"/>
    <x v="3"/>
    <n v="3447.7829999999999"/>
  </r>
  <r>
    <n v="730548"/>
    <x v="1"/>
    <x v="7"/>
    <x v="0"/>
    <x v="3"/>
    <n v="500"/>
  </r>
  <r>
    <n v="730551"/>
    <x v="1"/>
    <x v="8"/>
    <x v="0"/>
    <x v="3"/>
    <n v="535.38499999999999"/>
  </r>
  <r>
    <n v="730551"/>
    <x v="1"/>
    <x v="8"/>
    <x v="1"/>
    <x v="3"/>
    <n v="585.51800000000003"/>
  </r>
  <r>
    <n v="730552"/>
    <x v="1"/>
    <x v="9"/>
    <x v="0"/>
    <x v="3"/>
    <n v="1169.027"/>
  </r>
  <r>
    <n v="730552"/>
    <x v="1"/>
    <x v="9"/>
    <x v="1"/>
    <x v="3"/>
    <n v="436.60500000000002"/>
  </r>
  <r>
    <n v="730560"/>
    <x v="1"/>
    <x v="14"/>
    <x v="0"/>
    <x v="3"/>
    <n v="99066"/>
  </r>
  <r>
    <n v="730563"/>
    <x v="1"/>
    <x v="47"/>
    <x v="0"/>
    <x v="3"/>
    <n v="110"/>
  </r>
  <r>
    <n v="730563"/>
    <x v="1"/>
    <x v="47"/>
    <x v="1"/>
    <x v="3"/>
    <n v="150"/>
  </r>
  <r>
    <n v="730568"/>
    <x v="1"/>
    <x v="10"/>
    <x v="0"/>
    <x v="3"/>
    <n v="1749"/>
  </r>
  <r>
    <n v="730568"/>
    <x v="1"/>
    <x v="10"/>
    <x v="1"/>
    <x v="3"/>
    <n v="1978.7"/>
  </r>
  <r>
    <n v="730569"/>
    <x v="1"/>
    <x v="10"/>
    <x v="0"/>
    <x v="3"/>
    <n v="1248.2950000000001"/>
  </r>
  <r>
    <n v="730569"/>
    <x v="1"/>
    <x v="10"/>
    <x v="1"/>
    <x v="3"/>
    <n v="1293.518"/>
  </r>
  <r>
    <n v="730570"/>
    <x v="1"/>
    <x v="10"/>
    <x v="0"/>
    <x v="3"/>
    <n v="9159.4590000000007"/>
  </r>
  <r>
    <n v="730570"/>
    <x v="1"/>
    <x v="10"/>
    <x v="1"/>
    <x v="3"/>
    <n v="10453.168"/>
  </r>
  <r>
    <n v="730572"/>
    <x v="1"/>
    <x v="10"/>
    <x v="0"/>
    <x v="3"/>
    <n v="3107.7"/>
  </r>
  <r>
    <n v="730572"/>
    <x v="1"/>
    <x v="10"/>
    <x v="1"/>
    <x v="3"/>
    <n v="3447.85"/>
  </r>
  <r>
    <n v="730575"/>
    <x v="1"/>
    <x v="10"/>
    <x v="0"/>
    <x v="3"/>
    <n v="412.5"/>
  </r>
  <r>
    <n v="730575"/>
    <x v="1"/>
    <x v="10"/>
    <x v="1"/>
    <x v="3"/>
    <n v="453.9"/>
  </r>
  <r>
    <n v="730578"/>
    <x v="1"/>
    <x v="10"/>
    <x v="0"/>
    <x v="3"/>
    <n v="275"/>
  </r>
  <r>
    <n v="730578"/>
    <x v="1"/>
    <x v="10"/>
    <x v="1"/>
    <x v="3"/>
    <n v="302.60000000000002"/>
  </r>
  <r>
    <n v="730584"/>
    <x v="1"/>
    <x v="11"/>
    <x v="1"/>
    <x v="3"/>
    <n v="156.70500000000001"/>
  </r>
  <r>
    <n v="732010"/>
    <x v="2"/>
    <x v="15"/>
    <x v="0"/>
    <x v="3"/>
    <n v="19396.465"/>
  </r>
  <r>
    <n v="732010"/>
    <x v="2"/>
    <x v="15"/>
    <x v="1"/>
    <x v="3"/>
    <n v="20440"/>
  </r>
  <r>
    <n v="733095"/>
    <x v="2"/>
    <x v="16"/>
    <x v="0"/>
    <x v="3"/>
    <n v="4176.6989999999996"/>
  </r>
  <r>
    <n v="733095"/>
    <x v="2"/>
    <x v="16"/>
    <x v="1"/>
    <x v="3"/>
    <n v="4538.8010000000004"/>
  </r>
  <r>
    <n v="733505"/>
    <x v="2"/>
    <x v="17"/>
    <x v="0"/>
    <x v="3"/>
    <n v="316.12799999999999"/>
  </r>
  <r>
    <n v="733505"/>
    <x v="2"/>
    <x v="17"/>
    <x v="1"/>
    <x v="3"/>
    <n v="358.322"/>
  </r>
  <r>
    <n v="733510"/>
    <x v="1"/>
    <x v="18"/>
    <x v="0"/>
    <x v="3"/>
    <n v="50050.434999999998"/>
  </r>
  <r>
    <n v="733510"/>
    <x v="0"/>
    <x v="18"/>
    <x v="0"/>
    <x v="3"/>
    <n v="281924.15999999997"/>
  </r>
  <r>
    <n v="733510"/>
    <x v="1"/>
    <x v="18"/>
    <x v="1"/>
    <x v="3"/>
    <n v="44356.923999999999"/>
  </r>
  <r>
    <n v="733510"/>
    <x v="0"/>
    <x v="18"/>
    <x v="1"/>
    <x v="3"/>
    <n v="308511.13"/>
  </r>
  <r>
    <n v="733511"/>
    <x v="1"/>
    <x v="19"/>
    <x v="0"/>
    <x v="3"/>
    <n v="3525.5109999999986"/>
  </r>
  <r>
    <n v="733511"/>
    <x v="0"/>
    <x v="19"/>
    <x v="0"/>
    <x v="3"/>
    <n v="19506.57"/>
  </r>
  <r>
    <n v="733511"/>
    <x v="1"/>
    <x v="19"/>
    <x v="1"/>
    <x v="3"/>
    <n v="3200.7610000000004"/>
  </r>
  <r>
    <n v="733511"/>
    <x v="0"/>
    <x v="19"/>
    <x v="1"/>
    <x v="3"/>
    <n v="11249.35"/>
  </r>
  <r>
    <n v="733512"/>
    <x v="1"/>
    <x v="20"/>
    <x v="0"/>
    <x v="3"/>
    <n v="1077.8139999999994"/>
  </r>
  <r>
    <n v="733512"/>
    <x v="0"/>
    <x v="20"/>
    <x v="0"/>
    <x v="3"/>
    <n v="5963.52"/>
  </r>
  <r>
    <n v="733512"/>
    <x v="1"/>
    <x v="20"/>
    <x v="1"/>
    <x v="3"/>
    <n v="978.53099999999995"/>
  </r>
  <r>
    <n v="733512"/>
    <x v="0"/>
    <x v="20"/>
    <x v="1"/>
    <x v="3"/>
    <n v="6701.4"/>
  </r>
  <r>
    <n v="733515"/>
    <x v="2"/>
    <x v="21"/>
    <x v="1"/>
    <x v="3"/>
    <n v="-1580"/>
  </r>
  <r>
    <n v="733525"/>
    <x v="2"/>
    <x v="22"/>
    <x v="0"/>
    <x v="3"/>
    <n v="3967.7240000000002"/>
  </r>
  <r>
    <n v="733525"/>
    <x v="2"/>
    <x v="22"/>
    <x v="1"/>
    <x v="3"/>
    <n v="5884.3130000000001"/>
  </r>
  <r>
    <n v="733530"/>
    <x v="2"/>
    <x v="23"/>
    <x v="0"/>
    <x v="3"/>
    <n v="50783.542999999998"/>
  </r>
  <r>
    <n v="733530"/>
    <x v="2"/>
    <x v="23"/>
    <x v="1"/>
    <x v="3"/>
    <n v="60408.402000000002"/>
  </r>
  <r>
    <n v="733550"/>
    <x v="2"/>
    <x v="24"/>
    <x v="0"/>
    <x v="3"/>
    <n v="8714.5190000000002"/>
  </r>
  <r>
    <n v="733550"/>
    <x v="2"/>
    <x v="24"/>
    <x v="1"/>
    <x v="3"/>
    <n v="4379.8"/>
  </r>
  <r>
    <n v="733555"/>
    <x v="2"/>
    <x v="25"/>
    <x v="0"/>
    <x v="3"/>
    <n v="5467.7969999999996"/>
  </r>
  <r>
    <n v="733555"/>
    <x v="2"/>
    <x v="25"/>
    <x v="1"/>
    <x v="3"/>
    <n v="8349.9860000000008"/>
  </r>
  <r>
    <n v="735015"/>
    <x v="2"/>
    <x v="26"/>
    <x v="0"/>
    <x v="3"/>
    <n v="3136.1060000000002"/>
  </r>
  <r>
    <n v="735015"/>
    <x v="2"/>
    <x v="26"/>
    <x v="1"/>
    <x v="3"/>
    <n v="1198.587"/>
  </r>
  <r>
    <n v="736005"/>
    <x v="2"/>
    <x v="27"/>
    <x v="0"/>
    <x v="3"/>
    <n v="1388.8889999999999"/>
  </r>
  <r>
    <n v="736005"/>
    <x v="2"/>
    <x v="27"/>
    <x v="1"/>
    <x v="3"/>
    <n v="1388.8889999999999"/>
  </r>
  <r>
    <n v="736010"/>
    <x v="2"/>
    <x v="27"/>
    <x v="0"/>
    <x v="3"/>
    <n v="39428.970999999998"/>
  </r>
  <r>
    <n v="736010"/>
    <x v="2"/>
    <x v="27"/>
    <x v="1"/>
    <x v="3"/>
    <n v="34077.976999999999"/>
  </r>
  <r>
    <n v="736015"/>
    <x v="2"/>
    <x v="27"/>
    <x v="0"/>
    <x v="3"/>
    <n v="800.89499999999998"/>
  </r>
  <r>
    <n v="736015"/>
    <x v="2"/>
    <x v="27"/>
    <x v="1"/>
    <x v="3"/>
    <n v="800.89499999999998"/>
  </r>
  <r>
    <n v="736020"/>
    <x v="2"/>
    <x v="27"/>
    <x v="0"/>
    <x v="3"/>
    <n v="478.52300000000002"/>
  </r>
  <r>
    <n v="736020"/>
    <x v="2"/>
    <x v="27"/>
    <x v="1"/>
    <x v="3"/>
    <n v="538.49"/>
  </r>
  <r>
    <n v="739525"/>
    <x v="2"/>
    <x v="28"/>
    <x v="0"/>
    <x v="3"/>
    <n v="3110.7159999999999"/>
  </r>
  <r>
    <n v="739525"/>
    <x v="2"/>
    <x v="28"/>
    <x v="1"/>
    <x v="3"/>
    <n v="3493.2379999999998"/>
  </r>
  <r>
    <n v="739530"/>
    <x v="2"/>
    <x v="29"/>
    <x v="0"/>
    <x v="3"/>
    <n v="2413.2759999999998"/>
  </r>
  <r>
    <n v="739530"/>
    <x v="2"/>
    <x v="29"/>
    <x v="1"/>
    <x v="3"/>
    <n v="3930.6239999999998"/>
  </r>
  <r>
    <n v="739535"/>
    <x v="2"/>
    <x v="30"/>
    <x v="0"/>
    <x v="3"/>
    <n v="11642.031999999999"/>
  </r>
  <r>
    <n v="739535"/>
    <x v="2"/>
    <x v="30"/>
    <x v="1"/>
    <x v="3"/>
    <n v="685"/>
  </r>
  <r>
    <n v="739560"/>
    <x v="2"/>
    <x v="31"/>
    <x v="0"/>
    <x v="3"/>
    <n v="4657.4049999999997"/>
  </r>
  <r>
    <n v="739560"/>
    <x v="2"/>
    <x v="31"/>
    <x v="1"/>
    <x v="3"/>
    <n v="44.075000000000003"/>
  </r>
  <r>
    <n v="740101"/>
    <x v="3"/>
    <x v="32"/>
    <x v="0"/>
    <x v="3"/>
    <n v="102570.068"/>
  </r>
  <r>
    <n v="740101"/>
    <x v="3"/>
    <x v="32"/>
    <x v="1"/>
    <x v="3"/>
    <n v="21657.01"/>
  </r>
  <r>
    <n v="73109502"/>
    <x v="1"/>
    <x v="33"/>
    <x v="0"/>
    <x v="3"/>
    <n v="55.799999999999955"/>
  </r>
  <r>
    <n v="73109502"/>
    <x v="0"/>
    <x v="33"/>
    <x v="0"/>
    <x v="3"/>
    <n v="1901.27"/>
  </r>
  <r>
    <n v="73109502"/>
    <x v="1"/>
    <x v="33"/>
    <x v="1"/>
    <x v="3"/>
    <n v="636.61000000000013"/>
  </r>
  <r>
    <n v="73109502"/>
    <x v="0"/>
    <x v="33"/>
    <x v="1"/>
    <x v="3"/>
    <n v="2581.12"/>
  </r>
  <r>
    <n v="73109503"/>
    <x v="1"/>
    <x v="47"/>
    <x v="1"/>
    <x v="3"/>
    <n v="405.48"/>
  </r>
  <r>
    <n v="73159503"/>
    <x v="2"/>
    <x v="51"/>
    <x v="0"/>
    <x v="3"/>
    <n v="9584.2790000000005"/>
  </r>
  <r>
    <n v="73159503"/>
    <x v="2"/>
    <x v="51"/>
    <x v="1"/>
    <x v="3"/>
    <n v="8240.277"/>
  </r>
  <r>
    <n v="73359501"/>
    <x v="2"/>
    <x v="36"/>
    <x v="0"/>
    <x v="3"/>
    <n v="1864.32"/>
  </r>
  <r>
    <n v="73359504"/>
    <x v="2"/>
    <x v="57"/>
    <x v="0"/>
    <x v="3"/>
    <n v="378.15100000000001"/>
  </r>
  <r>
    <n v="73359506"/>
    <x v="1"/>
    <x v="37"/>
    <x v="1"/>
    <x v="3"/>
    <n v="632.30999999999995"/>
  </r>
  <r>
    <n v="73451501"/>
    <x v="2"/>
    <x v="38"/>
    <x v="0"/>
    <x v="3"/>
    <n v="5173.7240000000002"/>
  </r>
  <r>
    <n v="73451501"/>
    <x v="2"/>
    <x v="38"/>
    <x v="1"/>
    <x v="3"/>
    <n v="1123.32"/>
  </r>
  <r>
    <n v="73451502"/>
    <x v="2"/>
    <x v="38"/>
    <x v="0"/>
    <x v="3"/>
    <n v="43481.273999999998"/>
  </r>
  <r>
    <n v="73451502"/>
    <x v="2"/>
    <x v="38"/>
    <x v="1"/>
    <x v="3"/>
    <n v="12099.367"/>
  </r>
  <r>
    <n v="73451503"/>
    <x v="2"/>
    <x v="39"/>
    <x v="0"/>
    <x v="3"/>
    <n v="1534.807"/>
  </r>
  <r>
    <n v="73451503"/>
    <x v="2"/>
    <x v="39"/>
    <x v="1"/>
    <x v="3"/>
    <n v="888.47299999999996"/>
  </r>
  <r>
    <n v="73451504"/>
    <x v="2"/>
    <x v="39"/>
    <x v="1"/>
    <x v="3"/>
    <n v="9911.6849999999995"/>
  </r>
  <r>
    <n v="73451507"/>
    <x v="2"/>
    <x v="40"/>
    <x v="0"/>
    <x v="3"/>
    <n v="630"/>
  </r>
  <r>
    <n v="73452501"/>
    <x v="2"/>
    <x v="41"/>
    <x v="0"/>
    <x v="3"/>
    <n v="596.23500000000001"/>
  </r>
  <r>
    <n v="73452501"/>
    <x v="2"/>
    <x v="41"/>
    <x v="1"/>
    <x v="3"/>
    <n v="1816.23"/>
  </r>
  <r>
    <n v="73959501"/>
    <x v="2"/>
    <x v="43"/>
    <x v="0"/>
    <x v="3"/>
    <n v="2979.53"/>
  </r>
  <r>
    <n v="73959501"/>
    <x v="2"/>
    <x v="43"/>
    <x v="1"/>
    <x v="3"/>
    <n v="14719.694"/>
  </r>
  <r>
    <n v="73959503"/>
    <x v="2"/>
    <x v="52"/>
    <x v="0"/>
    <x v="3"/>
    <n v="454.387"/>
  </r>
  <r>
    <n v="73959503"/>
    <x v="2"/>
    <x v="52"/>
    <x v="1"/>
    <x v="3"/>
    <n v="1444.9480000000001"/>
  </r>
  <r>
    <n v="73959504"/>
    <x v="1"/>
    <x v="44"/>
    <x v="0"/>
    <x v="3"/>
    <n v="300.03699999999992"/>
  </r>
  <r>
    <n v="73959504"/>
    <x v="0"/>
    <x v="44"/>
    <x v="0"/>
    <x v="3"/>
    <n v="357.22"/>
  </r>
  <r>
    <n v="73959504"/>
    <x v="1"/>
    <x v="44"/>
    <x v="1"/>
    <x v="3"/>
    <n v="201.38300000000004"/>
  </r>
  <r>
    <n v="73959504"/>
    <x v="0"/>
    <x v="44"/>
    <x v="1"/>
    <x v="3"/>
    <n v="166.95"/>
  </r>
  <r>
    <n v="73959506"/>
    <x v="2"/>
    <x v="45"/>
    <x v="0"/>
    <x v="3"/>
    <n v="97.299000000000007"/>
  </r>
  <r>
    <n v="73959510"/>
    <x v="2"/>
    <x v="46"/>
    <x v="0"/>
    <x v="3"/>
    <n v="1987.489"/>
  </r>
  <r>
    <n v="73959510"/>
    <x v="2"/>
    <x v="46"/>
    <x v="1"/>
    <x v="3"/>
    <n v="526.85199999999998"/>
  </r>
  <r>
    <s v="720506"/>
    <x v="0"/>
    <x v="0"/>
    <x v="2"/>
    <x v="3"/>
    <n v="45137.095999999998"/>
  </r>
  <r>
    <s v="720515"/>
    <x v="0"/>
    <x v="1"/>
    <x v="2"/>
    <x v="3"/>
    <n v="15617.788"/>
  </r>
  <r>
    <s v="720524"/>
    <x v="0"/>
    <x v="2"/>
    <x v="2"/>
    <x v="3"/>
    <n v="3015.4560000000001"/>
  </r>
  <r>
    <s v="720527"/>
    <x v="0"/>
    <x v="3"/>
    <x v="2"/>
    <x v="3"/>
    <n v="5513.308"/>
  </r>
  <r>
    <s v="720530"/>
    <x v="0"/>
    <x v="4"/>
    <x v="2"/>
    <x v="3"/>
    <n v="6130.009"/>
  </r>
  <r>
    <s v="720533"/>
    <x v="0"/>
    <x v="4"/>
    <x v="2"/>
    <x v="3"/>
    <n v="735.89700000000005"/>
  </r>
  <r>
    <s v="720536"/>
    <x v="0"/>
    <x v="4"/>
    <x v="2"/>
    <x v="3"/>
    <n v="6130.009"/>
  </r>
  <r>
    <s v="720539"/>
    <x v="0"/>
    <x v="4"/>
    <x v="2"/>
    <x v="3"/>
    <n v="2838.78"/>
  </r>
  <r>
    <s v="720540"/>
    <x v="0"/>
    <x v="4"/>
    <x v="2"/>
    <x v="3"/>
    <n v="939.452"/>
  </r>
  <r>
    <s v="720546"/>
    <x v="0"/>
    <x v="5"/>
    <x v="2"/>
    <x v="3"/>
    <n v="7155.3220000000001"/>
  </r>
  <r>
    <s v="720547"/>
    <x v="0"/>
    <x v="6"/>
    <x v="2"/>
    <x v="3"/>
    <n v="2187.518"/>
  </r>
  <r>
    <s v="720551"/>
    <x v="0"/>
    <x v="8"/>
    <x v="2"/>
    <x v="3"/>
    <n v="16363.5"/>
  </r>
  <r>
    <s v="720552"/>
    <x v="0"/>
    <x v="9"/>
    <x v="2"/>
    <x v="3"/>
    <n v="6039.951"/>
  </r>
  <r>
    <s v="720568"/>
    <x v="0"/>
    <x v="10"/>
    <x v="2"/>
    <x v="3"/>
    <n v="1486.6"/>
  </r>
  <r>
    <s v="720570"/>
    <x v="0"/>
    <x v="10"/>
    <x v="2"/>
    <x v="3"/>
    <n v="7873.3"/>
  </r>
  <r>
    <s v="720572"/>
    <x v="0"/>
    <x v="10"/>
    <x v="2"/>
    <x v="3"/>
    <n v="2604.9"/>
  </r>
  <r>
    <s v="730506"/>
    <x v="1"/>
    <x v="0"/>
    <x v="2"/>
    <x v="3"/>
    <n v="87772.767000000007"/>
  </r>
  <r>
    <s v="730508"/>
    <x v="1"/>
    <x v="12"/>
    <x v="2"/>
    <x v="3"/>
    <n v="1692.5419999999999"/>
  </r>
  <r>
    <s v="730515"/>
    <x v="1"/>
    <x v="1"/>
    <x v="2"/>
    <x v="3"/>
    <n v="8744.1419999999998"/>
  </r>
  <r>
    <s v="730524"/>
    <x v="1"/>
    <x v="2"/>
    <x v="2"/>
    <x v="3"/>
    <n v="409.44299999999998"/>
  </r>
  <r>
    <s v="730527"/>
    <x v="1"/>
    <x v="13"/>
    <x v="2"/>
    <x v="3"/>
    <n v="3512.241"/>
  </r>
  <r>
    <s v="730530"/>
    <x v="1"/>
    <x v="4"/>
    <x v="2"/>
    <x v="3"/>
    <n v="8905.2980000000007"/>
  </r>
  <r>
    <s v="730533"/>
    <x v="1"/>
    <x v="4"/>
    <x v="2"/>
    <x v="3"/>
    <n v="1069.066"/>
  </r>
  <r>
    <s v="730536"/>
    <x v="1"/>
    <x v="4"/>
    <x v="2"/>
    <x v="3"/>
    <n v="8905.2980000000007"/>
  </r>
  <r>
    <s v="730539"/>
    <x v="1"/>
    <x v="4"/>
    <x v="2"/>
    <x v="3"/>
    <n v="4311.5349999999999"/>
  </r>
  <r>
    <s v="730540"/>
    <x v="1"/>
    <x v="4"/>
    <x v="2"/>
    <x v="3"/>
    <n v="1426.837"/>
  </r>
  <r>
    <s v="730545"/>
    <x v="1"/>
    <x v="5"/>
    <x v="2"/>
    <x v="3"/>
    <n v="800"/>
  </r>
  <r>
    <s v="730546"/>
    <x v="1"/>
    <x v="5"/>
    <x v="2"/>
    <x v="3"/>
    <n v="12910.243"/>
  </r>
  <r>
    <s v="730547"/>
    <x v="1"/>
    <x v="6"/>
    <x v="2"/>
    <x v="3"/>
    <n v="3946.902"/>
  </r>
  <r>
    <s v="730551"/>
    <x v="1"/>
    <x v="8"/>
    <x v="2"/>
    <x v="3"/>
    <n v="5657.8"/>
  </r>
  <r>
    <s v="730552"/>
    <x v="1"/>
    <x v="9"/>
    <x v="2"/>
    <x v="3"/>
    <n v="753.51700000000005"/>
  </r>
  <r>
    <s v="730563"/>
    <x v="1"/>
    <x v="47"/>
    <x v="2"/>
    <x v="3"/>
    <n v="171.4"/>
  </r>
  <r>
    <s v="730568"/>
    <x v="1"/>
    <x v="10"/>
    <x v="2"/>
    <x v="3"/>
    <n v="2347.85"/>
  </r>
  <r>
    <s v="730569"/>
    <x v="1"/>
    <x v="10"/>
    <x v="2"/>
    <x v="3"/>
    <n v="-0.4"/>
  </r>
  <r>
    <s v="730570"/>
    <x v="1"/>
    <x v="10"/>
    <x v="2"/>
    <x v="3"/>
    <n v="12510.05"/>
  </r>
  <r>
    <s v="730572"/>
    <x v="1"/>
    <x v="10"/>
    <x v="2"/>
    <x v="3"/>
    <n v="4120.8500000000004"/>
  </r>
  <r>
    <s v="73109502"/>
    <x v="1"/>
    <x v="33"/>
    <x v="2"/>
    <x v="3"/>
    <n v="155.70800000000008"/>
  </r>
  <r>
    <s v="73109502"/>
    <x v="0"/>
    <x v="33"/>
    <x v="2"/>
    <x v="3"/>
    <n v="1718.84"/>
  </r>
  <r>
    <s v="73109506"/>
    <x v="2"/>
    <x v="58"/>
    <x v="2"/>
    <x v="3"/>
    <n v="8657.6239999999998"/>
  </r>
  <r>
    <s v="73159503"/>
    <x v="2"/>
    <x v="51"/>
    <x v="2"/>
    <x v="3"/>
    <n v="6140.335"/>
  </r>
  <r>
    <s v="732010"/>
    <x v="2"/>
    <x v="15"/>
    <x v="2"/>
    <x v="3"/>
    <n v="85361"/>
  </r>
  <r>
    <s v="733095"/>
    <x v="2"/>
    <x v="16"/>
    <x v="2"/>
    <x v="3"/>
    <n v="7213.9309999999996"/>
  </r>
  <r>
    <s v="733505"/>
    <x v="2"/>
    <x v="17"/>
    <x v="2"/>
    <x v="3"/>
    <n v="1307.047"/>
  </r>
  <r>
    <s v="733510"/>
    <x v="1"/>
    <x v="18"/>
    <x v="2"/>
    <x v="3"/>
    <n v="84147.524000000034"/>
  </r>
  <r>
    <s v="733510"/>
    <x v="0"/>
    <x v="18"/>
    <x v="2"/>
    <x v="3"/>
    <n v="404395.36"/>
  </r>
  <r>
    <s v="733511"/>
    <x v="1"/>
    <x v="19"/>
    <x v="2"/>
    <x v="3"/>
    <n v="5514.8039999999983"/>
  </r>
  <r>
    <s v="733511"/>
    <x v="0"/>
    <x v="19"/>
    <x v="2"/>
    <x v="3"/>
    <n v="13465.12"/>
  </r>
  <r>
    <s v="733512"/>
    <x v="1"/>
    <x v="20"/>
    <x v="2"/>
    <x v="3"/>
    <n v="1989.6320000000005"/>
  </r>
  <r>
    <s v="733512"/>
    <x v="0"/>
    <x v="20"/>
    <x v="2"/>
    <x v="3"/>
    <n v="8021.37"/>
  </r>
  <r>
    <s v="733525"/>
    <x v="2"/>
    <x v="22"/>
    <x v="2"/>
    <x v="3"/>
    <n v="6576.6440000000002"/>
  </r>
  <r>
    <s v="733530"/>
    <x v="2"/>
    <x v="23"/>
    <x v="2"/>
    <x v="3"/>
    <n v="60822.375999999997"/>
  </r>
  <r>
    <s v="733550"/>
    <x v="2"/>
    <x v="24"/>
    <x v="2"/>
    <x v="3"/>
    <n v="11368.636"/>
  </r>
  <r>
    <s v="733555"/>
    <x v="2"/>
    <x v="25"/>
    <x v="2"/>
    <x v="3"/>
    <n v="7566.82"/>
  </r>
  <r>
    <s v="73451501"/>
    <x v="2"/>
    <x v="38"/>
    <x v="2"/>
    <x v="3"/>
    <n v="1747.2"/>
  </r>
  <r>
    <s v="73451502"/>
    <x v="2"/>
    <x v="38"/>
    <x v="2"/>
    <x v="3"/>
    <n v="61239.845999999998"/>
  </r>
  <r>
    <s v="73451503"/>
    <x v="2"/>
    <x v="39"/>
    <x v="2"/>
    <x v="3"/>
    <n v="45.054000000000002"/>
  </r>
  <r>
    <s v="73451504"/>
    <x v="2"/>
    <x v="39"/>
    <x v="2"/>
    <x v="3"/>
    <n v="747.04499999999996"/>
  </r>
  <r>
    <s v="73451507"/>
    <x v="2"/>
    <x v="40"/>
    <x v="2"/>
    <x v="3"/>
    <n v="437"/>
  </r>
  <r>
    <s v="73452501"/>
    <x v="2"/>
    <x v="41"/>
    <x v="2"/>
    <x v="3"/>
    <n v="2892.636"/>
  </r>
  <r>
    <s v="735015"/>
    <x v="2"/>
    <x v="26"/>
    <x v="2"/>
    <x v="3"/>
    <n v="796.21"/>
  </r>
  <r>
    <s v="736005"/>
    <x v="2"/>
    <x v="27"/>
    <x v="2"/>
    <x v="3"/>
    <n v="1388.8889999999999"/>
  </r>
  <r>
    <s v="736010"/>
    <x v="2"/>
    <x v="27"/>
    <x v="2"/>
    <x v="3"/>
    <n v="35109.275999999998"/>
  </r>
  <r>
    <s v="736015"/>
    <x v="2"/>
    <x v="27"/>
    <x v="2"/>
    <x v="3"/>
    <n v="2220.1779999999999"/>
  </r>
  <r>
    <s v="736020"/>
    <x v="2"/>
    <x v="27"/>
    <x v="2"/>
    <x v="3"/>
    <n v="543.06100000000004"/>
  </r>
  <r>
    <s v="739525"/>
    <x v="2"/>
    <x v="28"/>
    <x v="2"/>
    <x v="3"/>
    <n v="3291.2240000000002"/>
  </r>
  <r>
    <s v="739530"/>
    <x v="2"/>
    <x v="29"/>
    <x v="2"/>
    <x v="3"/>
    <n v="1341.9480000000001"/>
  </r>
  <r>
    <s v="739560"/>
    <x v="2"/>
    <x v="31"/>
    <x v="2"/>
    <x v="3"/>
    <n v="781.42700000000002"/>
  </r>
  <r>
    <s v="73959501"/>
    <x v="2"/>
    <x v="43"/>
    <x v="2"/>
    <x v="3"/>
    <n v="40371.428999999996"/>
  </r>
  <r>
    <s v="73959504"/>
    <x v="0"/>
    <x v="44"/>
    <x v="2"/>
    <x v="3"/>
    <n v="625"/>
  </r>
  <r>
    <s v="73959510"/>
    <x v="2"/>
    <x v="46"/>
    <x v="2"/>
    <x v="3"/>
    <n v="1680.0429999999999"/>
  </r>
  <r>
    <s v="73959511"/>
    <x v="2"/>
    <x v="56"/>
    <x v="2"/>
    <x v="3"/>
    <n v="5500"/>
  </r>
  <r>
    <s v="740101"/>
    <x v="3"/>
    <x v="32"/>
    <x v="2"/>
    <x v="3"/>
    <n v="46634.837"/>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06">
  <r>
    <n v="720506"/>
    <x v="0"/>
    <x v="0"/>
    <x v="0"/>
    <x v="0"/>
    <n v="40413.692000000003"/>
    <m/>
    <m/>
  </r>
  <r>
    <n v="720515"/>
    <x v="0"/>
    <x v="1"/>
    <x v="0"/>
    <x v="0"/>
    <n v="5460.2150000000001"/>
    <m/>
    <m/>
  </r>
  <r>
    <n v="720524"/>
    <x v="0"/>
    <x v="2"/>
    <x v="0"/>
    <x v="0"/>
    <n v="835.98099999999999"/>
    <m/>
    <m/>
  </r>
  <r>
    <n v="720527"/>
    <x v="0"/>
    <x v="3"/>
    <x v="0"/>
    <x v="0"/>
    <n v="4766.7700000000004"/>
    <m/>
    <m/>
  </r>
  <r>
    <n v="720530"/>
    <x v="0"/>
    <x v="4"/>
    <x v="0"/>
    <x v="0"/>
    <n v="4489.3459999999995"/>
    <m/>
    <m/>
  </r>
  <r>
    <n v="720533"/>
    <x v="0"/>
    <x v="4"/>
    <x v="0"/>
    <x v="0"/>
    <n v="538.93399999999997"/>
    <m/>
    <m/>
  </r>
  <r>
    <n v="720536"/>
    <x v="0"/>
    <x v="4"/>
    <x v="0"/>
    <x v="0"/>
    <n v="4489.3459999999995"/>
    <m/>
    <m/>
  </r>
  <r>
    <n v="720539"/>
    <x v="0"/>
    <x v="4"/>
    <x v="0"/>
    <x v="0"/>
    <n v="2048.5859999999998"/>
    <m/>
    <m/>
  </r>
  <r>
    <n v="720540"/>
    <x v="0"/>
    <x v="4"/>
    <x v="0"/>
    <x v="0"/>
    <n v="677.95299999999997"/>
    <m/>
    <m/>
  </r>
  <r>
    <n v="720545"/>
    <x v="0"/>
    <x v="5"/>
    <x v="0"/>
    <x v="0"/>
    <n v="19288.849999999999"/>
    <m/>
    <m/>
  </r>
  <r>
    <n v="720547"/>
    <x v="0"/>
    <x v="6"/>
    <x v="0"/>
    <x v="0"/>
    <n v="1820.895"/>
    <m/>
    <m/>
  </r>
  <r>
    <n v="720552"/>
    <x v="0"/>
    <x v="7"/>
    <x v="0"/>
    <x v="0"/>
    <n v="447"/>
    <m/>
    <m/>
  </r>
  <r>
    <n v="720568"/>
    <x v="0"/>
    <x v="8"/>
    <x v="0"/>
    <x v="0"/>
    <n v="1123.8"/>
    <m/>
    <m/>
  </r>
  <r>
    <n v="720569"/>
    <x v="0"/>
    <x v="8"/>
    <x v="0"/>
    <x v="0"/>
    <n v="73.522999999999996"/>
    <m/>
    <m/>
  </r>
  <r>
    <n v="720570"/>
    <x v="0"/>
    <x v="8"/>
    <x v="0"/>
    <x v="0"/>
    <n v="5964.558"/>
    <m/>
    <m/>
  </r>
  <r>
    <n v="720572"/>
    <x v="0"/>
    <x v="8"/>
    <x v="0"/>
    <x v="0"/>
    <n v="2029.4"/>
    <m/>
    <m/>
  </r>
  <r>
    <n v="720584"/>
    <x v="0"/>
    <x v="9"/>
    <x v="0"/>
    <x v="0"/>
    <n v="43.764000000000003"/>
    <m/>
    <m/>
  </r>
  <r>
    <n v="730506"/>
    <x v="1"/>
    <x v="0"/>
    <x v="0"/>
    <x v="0"/>
    <n v="61673.5"/>
    <m/>
    <m/>
  </r>
  <r>
    <n v="730508"/>
    <x v="1"/>
    <x v="10"/>
    <x v="0"/>
    <x v="0"/>
    <n v="650"/>
    <m/>
    <m/>
  </r>
  <r>
    <n v="730515"/>
    <x v="1"/>
    <x v="1"/>
    <x v="0"/>
    <x v="0"/>
    <n v="2108.8890000000001"/>
    <m/>
    <m/>
  </r>
  <r>
    <n v="730527"/>
    <x v="1"/>
    <x v="11"/>
    <x v="0"/>
    <x v="0"/>
    <n v="1776.6"/>
    <m/>
    <m/>
  </r>
  <r>
    <n v="730530"/>
    <x v="1"/>
    <x v="4"/>
    <x v="0"/>
    <x v="0"/>
    <n v="5706.6689999999999"/>
    <m/>
    <m/>
  </r>
  <r>
    <n v="730533"/>
    <x v="1"/>
    <x v="4"/>
    <x v="0"/>
    <x v="0"/>
    <n v="685.07299999999998"/>
    <m/>
    <m/>
  </r>
  <r>
    <n v="730536"/>
    <x v="1"/>
    <x v="4"/>
    <x v="0"/>
    <x v="0"/>
    <n v="5706.6689999999999"/>
    <m/>
    <m/>
  </r>
  <r>
    <n v="730539"/>
    <x v="1"/>
    <x v="4"/>
    <x v="0"/>
    <x v="0"/>
    <n v="2782.6770000000001"/>
    <m/>
    <m/>
  </r>
  <r>
    <n v="730540"/>
    <x v="1"/>
    <x v="4"/>
    <x v="0"/>
    <x v="0"/>
    <n v="920.88499999999999"/>
    <m/>
    <m/>
  </r>
  <r>
    <n v="730545"/>
    <x v="1"/>
    <x v="5"/>
    <x v="0"/>
    <x v="0"/>
    <n v="31181"/>
    <m/>
    <m/>
  </r>
  <r>
    <n v="730547"/>
    <x v="1"/>
    <x v="6"/>
    <x v="0"/>
    <x v="0"/>
    <n v="2694.7359999999999"/>
    <m/>
    <m/>
  </r>
  <r>
    <n v="730551"/>
    <x v="1"/>
    <x v="12"/>
    <x v="0"/>
    <x v="0"/>
    <n v="2376.3679999999999"/>
    <m/>
    <m/>
  </r>
  <r>
    <n v="730560"/>
    <x v="1"/>
    <x v="13"/>
    <x v="0"/>
    <x v="0"/>
    <n v="7744.3509999999997"/>
    <m/>
    <m/>
  </r>
  <r>
    <n v="730568"/>
    <x v="1"/>
    <x v="8"/>
    <x v="0"/>
    <x v="0"/>
    <n v="1503.6"/>
    <m/>
    <m/>
  </r>
  <r>
    <n v="730569"/>
    <x v="1"/>
    <x v="8"/>
    <x v="0"/>
    <x v="0"/>
    <n v="-30.532"/>
    <m/>
    <m/>
  </r>
  <r>
    <n v="730570"/>
    <x v="1"/>
    <x v="8"/>
    <x v="0"/>
    <x v="0"/>
    <n v="7504.7179999999998"/>
    <m/>
    <m/>
  </r>
  <r>
    <n v="730572"/>
    <x v="1"/>
    <x v="8"/>
    <x v="0"/>
    <x v="0"/>
    <n v="2596.3000000000002"/>
    <m/>
    <m/>
  </r>
  <r>
    <n v="732010"/>
    <x v="2"/>
    <x v="14"/>
    <x v="0"/>
    <x v="0"/>
    <n v="17631.150000000001"/>
    <m/>
    <m/>
  </r>
  <r>
    <n v="733095"/>
    <x v="2"/>
    <x v="15"/>
    <x v="0"/>
    <x v="0"/>
    <n v="4173.97"/>
    <m/>
    <m/>
  </r>
  <r>
    <n v="733505"/>
    <x v="2"/>
    <x v="16"/>
    <x v="0"/>
    <x v="0"/>
    <n v="1675.6279999999999"/>
    <m/>
    <m/>
  </r>
  <r>
    <n v="733510"/>
    <x v="1"/>
    <x v="17"/>
    <x v="0"/>
    <x v="0"/>
    <n v="50475"/>
    <m/>
    <m/>
  </r>
  <r>
    <n v="733510"/>
    <x v="0"/>
    <x v="17"/>
    <x v="0"/>
    <x v="0"/>
    <n v="230176"/>
    <m/>
    <m/>
  </r>
  <r>
    <n v="733511"/>
    <x v="0"/>
    <x v="18"/>
    <x v="0"/>
    <x v="0"/>
    <n v="37369"/>
    <m/>
    <m/>
  </r>
  <r>
    <n v="733511"/>
    <x v="1"/>
    <x v="18"/>
    <x v="0"/>
    <x v="0"/>
    <n v="9812"/>
    <m/>
    <m/>
  </r>
  <r>
    <n v="733512"/>
    <x v="1"/>
    <x v="19"/>
    <x v="0"/>
    <x v="0"/>
    <n v="1118"/>
    <m/>
    <m/>
  </r>
  <r>
    <n v="733512"/>
    <x v="0"/>
    <x v="19"/>
    <x v="0"/>
    <x v="0"/>
    <n v="4277"/>
    <m/>
    <m/>
  </r>
  <r>
    <n v="733515"/>
    <x v="2"/>
    <x v="20"/>
    <x v="0"/>
    <x v="0"/>
    <n v="10175.066999999999"/>
    <m/>
    <m/>
  </r>
  <r>
    <n v="733525"/>
    <x v="2"/>
    <x v="21"/>
    <x v="0"/>
    <x v="0"/>
    <n v="4871.1480000000001"/>
    <m/>
    <m/>
  </r>
  <r>
    <n v="733530"/>
    <x v="2"/>
    <x v="22"/>
    <x v="0"/>
    <x v="0"/>
    <n v="50230.464999999997"/>
    <m/>
    <m/>
  </r>
  <r>
    <n v="733550"/>
    <x v="2"/>
    <x v="23"/>
    <x v="0"/>
    <x v="0"/>
    <n v="5535.9080000000004"/>
    <m/>
    <m/>
  </r>
  <r>
    <n v="733555"/>
    <x v="2"/>
    <x v="24"/>
    <x v="0"/>
    <x v="0"/>
    <n v="4773.9840000000004"/>
    <m/>
    <m/>
  </r>
  <r>
    <n v="735015"/>
    <x v="2"/>
    <x v="25"/>
    <x v="0"/>
    <x v="0"/>
    <n v="8952.3770000000004"/>
    <m/>
    <m/>
  </r>
  <r>
    <n v="736005"/>
    <x v="2"/>
    <x v="26"/>
    <x v="0"/>
    <x v="0"/>
    <n v="1388.8889999999999"/>
    <m/>
    <m/>
  </r>
  <r>
    <n v="736010"/>
    <x v="2"/>
    <x v="26"/>
    <x v="0"/>
    <x v="0"/>
    <n v="39022.387999999999"/>
    <m/>
    <m/>
  </r>
  <r>
    <n v="736015"/>
    <x v="2"/>
    <x v="26"/>
    <x v="0"/>
    <x v="0"/>
    <n v="800.89499999999998"/>
    <m/>
    <m/>
  </r>
  <r>
    <n v="736020"/>
    <x v="2"/>
    <x v="26"/>
    <x v="0"/>
    <x v="0"/>
    <n v="478.52300000000002"/>
    <m/>
    <m/>
  </r>
  <r>
    <n v="739525"/>
    <x v="2"/>
    <x v="27"/>
    <x v="0"/>
    <x v="0"/>
    <n v="2476.3510000000001"/>
    <m/>
    <m/>
  </r>
  <r>
    <n v="739530"/>
    <x v="2"/>
    <x v="28"/>
    <x v="0"/>
    <x v="0"/>
    <n v="4964.9489999999996"/>
    <m/>
    <m/>
  </r>
  <r>
    <n v="739535"/>
    <x v="2"/>
    <x v="29"/>
    <x v="0"/>
    <x v="0"/>
    <n v="150"/>
    <m/>
    <m/>
  </r>
  <r>
    <n v="739560"/>
    <x v="2"/>
    <x v="30"/>
    <x v="0"/>
    <x v="0"/>
    <n v="2043.65"/>
    <m/>
    <m/>
  </r>
  <r>
    <n v="740101"/>
    <x v="3"/>
    <x v="31"/>
    <x v="0"/>
    <x v="0"/>
    <n v="34078.002999999997"/>
    <m/>
    <m/>
  </r>
  <r>
    <n v="73109502"/>
    <x v="1"/>
    <x v="32"/>
    <x v="0"/>
    <x v="0"/>
    <n v="348.07400000000007"/>
    <m/>
    <m/>
  </r>
  <r>
    <n v="73109502"/>
    <x v="0"/>
    <x v="32"/>
    <x v="0"/>
    <x v="0"/>
    <n v="693"/>
    <m/>
    <m/>
  </r>
  <r>
    <n v="73359501"/>
    <x v="2"/>
    <x v="33"/>
    <x v="0"/>
    <x v="0"/>
    <n v="2960.4"/>
    <m/>
    <m/>
  </r>
  <r>
    <n v="73451501"/>
    <x v="2"/>
    <x v="34"/>
    <x v="0"/>
    <x v="0"/>
    <n v="3673.683"/>
    <m/>
    <m/>
  </r>
  <r>
    <n v="73451502"/>
    <x v="2"/>
    <x v="34"/>
    <x v="0"/>
    <x v="0"/>
    <n v="11445.017"/>
    <m/>
    <m/>
  </r>
  <r>
    <n v="73451503"/>
    <x v="2"/>
    <x v="35"/>
    <x v="0"/>
    <x v="0"/>
    <n v="976.50900000000001"/>
    <m/>
    <m/>
  </r>
  <r>
    <n v="73451504"/>
    <x v="2"/>
    <x v="35"/>
    <x v="0"/>
    <x v="0"/>
    <n v="161.90799999999999"/>
    <m/>
    <m/>
  </r>
  <r>
    <n v="73451507"/>
    <x v="2"/>
    <x v="36"/>
    <x v="0"/>
    <x v="0"/>
    <n v="250.018"/>
    <m/>
    <m/>
  </r>
  <r>
    <n v="73452501"/>
    <x v="2"/>
    <x v="37"/>
    <x v="0"/>
    <x v="0"/>
    <n v="654.04499999999996"/>
    <m/>
    <m/>
  </r>
  <r>
    <n v="73452502"/>
    <x v="2"/>
    <x v="38"/>
    <x v="0"/>
    <x v="0"/>
    <n v="619.98"/>
    <m/>
    <m/>
  </r>
  <r>
    <n v="73959501"/>
    <x v="2"/>
    <x v="39"/>
    <x v="0"/>
    <x v="0"/>
    <n v="9665.8259999999991"/>
    <m/>
    <m/>
  </r>
  <r>
    <n v="73959504"/>
    <x v="1"/>
    <x v="40"/>
    <x v="0"/>
    <x v="0"/>
    <n v="103.03500000000008"/>
    <m/>
    <m/>
  </r>
  <r>
    <n v="73959504"/>
    <x v="0"/>
    <x v="40"/>
    <x v="0"/>
    <x v="0"/>
    <n v="1702"/>
    <m/>
    <m/>
  </r>
  <r>
    <n v="73959506"/>
    <x v="2"/>
    <x v="41"/>
    <x v="0"/>
    <x v="0"/>
    <n v="33.526000000000003"/>
    <m/>
    <m/>
  </r>
  <r>
    <n v="73959510"/>
    <x v="2"/>
    <x v="42"/>
    <x v="0"/>
    <x v="0"/>
    <n v="2610.2869999999998"/>
    <m/>
    <m/>
  </r>
  <r>
    <s v="720506"/>
    <x v="0"/>
    <x v="0"/>
    <x v="1"/>
    <x v="0"/>
    <m/>
    <n v="45519.35"/>
    <m/>
  </r>
  <r>
    <s v="720515"/>
    <x v="0"/>
    <x v="1"/>
    <x v="1"/>
    <x v="0"/>
    <m/>
    <n v="6131.0789999999997"/>
    <m/>
  </r>
  <r>
    <s v="720524"/>
    <x v="0"/>
    <x v="2"/>
    <x v="1"/>
    <x v="0"/>
    <m/>
    <n v="700.36300000000006"/>
    <m/>
  </r>
  <r>
    <s v="720527"/>
    <x v="0"/>
    <x v="3"/>
    <x v="1"/>
    <x v="0"/>
    <m/>
    <n v="6443.2569999999996"/>
    <m/>
  </r>
  <r>
    <s v="720530"/>
    <x v="0"/>
    <x v="4"/>
    <x v="1"/>
    <x v="0"/>
    <m/>
    <n v="5483.3159999999998"/>
    <m/>
  </r>
  <r>
    <s v="720533"/>
    <x v="0"/>
    <x v="4"/>
    <x v="1"/>
    <x v="0"/>
    <m/>
    <n v="658.26700000000005"/>
    <m/>
  </r>
  <r>
    <s v="720536"/>
    <x v="0"/>
    <x v="4"/>
    <x v="1"/>
    <x v="0"/>
    <m/>
    <n v="5483.3159999999998"/>
    <m/>
  </r>
  <r>
    <s v="720539"/>
    <x v="0"/>
    <x v="4"/>
    <x v="1"/>
    <x v="0"/>
    <m/>
    <n v="2476.27"/>
    <m/>
  </r>
  <r>
    <s v="720540"/>
    <x v="0"/>
    <x v="4"/>
    <x v="1"/>
    <x v="0"/>
    <m/>
    <n v="819.49300000000005"/>
    <m/>
  </r>
  <r>
    <s v="720546"/>
    <x v="0"/>
    <x v="5"/>
    <x v="1"/>
    <x v="0"/>
    <m/>
    <n v="7263.549"/>
    <m/>
  </r>
  <r>
    <s v="720547"/>
    <x v="0"/>
    <x v="6"/>
    <x v="1"/>
    <x v="0"/>
    <m/>
    <n v="2220.6019999999999"/>
    <m/>
  </r>
  <r>
    <s v="720551"/>
    <x v="0"/>
    <x v="12"/>
    <x v="1"/>
    <x v="0"/>
    <m/>
    <n v="1392.28"/>
    <m/>
  </r>
  <r>
    <s v="720552"/>
    <x v="0"/>
    <x v="7"/>
    <x v="1"/>
    <x v="0"/>
    <m/>
    <n v="3234.694"/>
    <m/>
  </r>
  <r>
    <s v="720568"/>
    <x v="0"/>
    <x v="8"/>
    <x v="1"/>
    <x v="0"/>
    <m/>
    <n v="1261.5"/>
    <m/>
  </r>
  <r>
    <s v="720569"/>
    <x v="0"/>
    <x v="8"/>
    <x v="1"/>
    <x v="0"/>
    <m/>
    <n v="-9.6"/>
    <m/>
  </r>
  <r>
    <s v="720570"/>
    <x v="0"/>
    <x v="8"/>
    <x v="1"/>
    <x v="0"/>
    <m/>
    <n v="7026"/>
    <m/>
  </r>
  <r>
    <s v="720572"/>
    <x v="0"/>
    <x v="8"/>
    <x v="1"/>
    <x v="0"/>
    <m/>
    <n v="2349.1"/>
    <m/>
  </r>
  <r>
    <s v="730506"/>
    <x v="1"/>
    <x v="0"/>
    <x v="1"/>
    <x v="0"/>
    <m/>
    <n v="71018.971000000005"/>
    <m/>
  </r>
  <r>
    <s v="730508"/>
    <x v="1"/>
    <x v="10"/>
    <x v="1"/>
    <x v="0"/>
    <m/>
    <n v="1050.5440000000001"/>
    <m/>
  </r>
  <r>
    <s v="730515"/>
    <x v="1"/>
    <x v="1"/>
    <x v="1"/>
    <x v="0"/>
    <m/>
    <n v="3032.3910000000001"/>
    <m/>
  </r>
  <r>
    <s v="730524"/>
    <x v="1"/>
    <x v="2"/>
    <x v="1"/>
    <x v="0"/>
    <m/>
    <n v="291.81799999999998"/>
    <m/>
  </r>
  <r>
    <s v="730527"/>
    <x v="1"/>
    <x v="11"/>
    <x v="1"/>
    <x v="0"/>
    <m/>
    <n v="3653.395"/>
    <m/>
  </r>
  <r>
    <s v="730530"/>
    <x v="1"/>
    <x v="4"/>
    <x v="1"/>
    <x v="0"/>
    <m/>
    <n v="7402.54"/>
    <m/>
  </r>
  <r>
    <s v="730533"/>
    <x v="1"/>
    <x v="4"/>
    <x v="1"/>
    <x v="0"/>
    <m/>
    <n v="888.66"/>
    <m/>
  </r>
  <r>
    <s v="730536"/>
    <x v="1"/>
    <x v="4"/>
    <x v="1"/>
    <x v="0"/>
    <m/>
    <n v="7402.54"/>
    <m/>
  </r>
  <r>
    <s v="730539"/>
    <x v="1"/>
    <x v="4"/>
    <x v="1"/>
    <x v="0"/>
    <m/>
    <n v="3553.3649999999998"/>
    <m/>
  </r>
  <r>
    <s v="730540"/>
    <x v="1"/>
    <x v="4"/>
    <x v="1"/>
    <x v="0"/>
    <m/>
    <n v="1175.934"/>
    <m/>
  </r>
  <r>
    <s v="730546"/>
    <x v="1"/>
    <x v="5"/>
    <x v="1"/>
    <x v="0"/>
    <m/>
    <n v="11209.373"/>
    <m/>
  </r>
  <r>
    <s v="730547"/>
    <x v="1"/>
    <x v="6"/>
    <x v="1"/>
    <x v="0"/>
    <m/>
    <n v="3426.9140000000002"/>
    <m/>
  </r>
  <r>
    <s v="730551"/>
    <x v="1"/>
    <x v="12"/>
    <x v="1"/>
    <x v="0"/>
    <m/>
    <n v="84.034000000000006"/>
    <m/>
  </r>
  <r>
    <s v="730552"/>
    <x v="1"/>
    <x v="7"/>
    <x v="1"/>
    <x v="0"/>
    <m/>
    <n v="314.988"/>
    <m/>
  </r>
  <r>
    <s v="730563"/>
    <x v="1"/>
    <x v="43"/>
    <x v="1"/>
    <x v="0"/>
    <m/>
    <n v="5504.12"/>
    <m/>
  </r>
  <r>
    <s v="730568"/>
    <x v="1"/>
    <x v="8"/>
    <x v="1"/>
    <x v="0"/>
    <m/>
    <n v="1891.6"/>
    <m/>
  </r>
  <r>
    <s v="730569"/>
    <x v="1"/>
    <x v="8"/>
    <x v="1"/>
    <x v="0"/>
    <m/>
    <n v="-0.4"/>
    <m/>
  </r>
  <r>
    <s v="730570"/>
    <x v="1"/>
    <x v="8"/>
    <x v="1"/>
    <x v="0"/>
    <m/>
    <n v="10236.1"/>
    <m/>
  </r>
  <r>
    <s v="730572"/>
    <x v="1"/>
    <x v="8"/>
    <x v="1"/>
    <x v="0"/>
    <m/>
    <n v="3406.9"/>
    <m/>
  </r>
  <r>
    <s v="73109502"/>
    <x v="1"/>
    <x v="32"/>
    <x v="1"/>
    <x v="0"/>
    <m/>
    <n v="2352.8310000000001"/>
    <m/>
  </r>
  <r>
    <s v="73109502"/>
    <x v="0"/>
    <x v="32"/>
    <x v="1"/>
    <x v="0"/>
    <m/>
    <n v="4265.92"/>
    <m/>
  </r>
  <r>
    <s v="73109508"/>
    <x v="2"/>
    <x v="44"/>
    <x v="1"/>
    <x v="0"/>
    <m/>
    <n v="300"/>
    <m/>
  </r>
  <r>
    <s v="732010"/>
    <x v="2"/>
    <x v="14"/>
    <x v="1"/>
    <x v="0"/>
    <m/>
    <n v="78787"/>
    <m/>
  </r>
  <r>
    <s v="733095"/>
    <x v="2"/>
    <x v="15"/>
    <x v="1"/>
    <x v="0"/>
    <m/>
    <n v="7213.9309999999996"/>
    <m/>
  </r>
  <r>
    <s v="733505"/>
    <x v="2"/>
    <x v="16"/>
    <x v="1"/>
    <x v="0"/>
    <m/>
    <n v="999.779"/>
    <m/>
  </r>
  <r>
    <s v="733510"/>
    <x v="1"/>
    <x v="17"/>
    <x v="1"/>
    <x v="0"/>
    <m/>
    <n v="60476.81"/>
    <m/>
  </r>
  <r>
    <s v="733510"/>
    <x v="0"/>
    <x v="17"/>
    <x v="1"/>
    <x v="0"/>
    <m/>
    <n v="333939.65000000002"/>
    <m/>
  </r>
  <r>
    <s v="733511"/>
    <x v="1"/>
    <x v="18"/>
    <x v="1"/>
    <x v="0"/>
    <m/>
    <n v="5815.6179999999986"/>
    <m/>
  </r>
  <r>
    <s v="733511"/>
    <x v="0"/>
    <x v="18"/>
    <x v="1"/>
    <x v="0"/>
    <m/>
    <n v="12583.86"/>
    <m/>
  </r>
  <r>
    <s v="733512"/>
    <x v="1"/>
    <x v="19"/>
    <x v="1"/>
    <x v="0"/>
    <m/>
    <n v="1785.0169999999998"/>
    <m/>
  </r>
  <r>
    <s v="733512"/>
    <x v="0"/>
    <x v="19"/>
    <x v="1"/>
    <x v="0"/>
    <m/>
    <n v="9211.11"/>
    <m/>
  </r>
  <r>
    <s v="733515"/>
    <x v="2"/>
    <x v="20"/>
    <x v="1"/>
    <x v="0"/>
    <m/>
    <n v="3616.51"/>
    <m/>
  </r>
  <r>
    <s v="733525"/>
    <x v="2"/>
    <x v="21"/>
    <x v="1"/>
    <x v="0"/>
    <m/>
    <n v="4810.5889999999999"/>
    <m/>
  </r>
  <r>
    <s v="733530"/>
    <x v="2"/>
    <x v="22"/>
    <x v="1"/>
    <x v="0"/>
    <m/>
    <n v="42194.154999999999"/>
    <m/>
  </r>
  <r>
    <s v="733550"/>
    <x v="2"/>
    <x v="23"/>
    <x v="1"/>
    <x v="0"/>
    <m/>
    <n v="8922.2860000000001"/>
    <m/>
  </r>
  <r>
    <s v="733555"/>
    <x v="2"/>
    <x v="24"/>
    <x v="1"/>
    <x v="0"/>
    <m/>
    <n v="3896.8139999999999"/>
    <m/>
  </r>
  <r>
    <s v="73451501"/>
    <x v="2"/>
    <x v="34"/>
    <x v="1"/>
    <x v="0"/>
    <m/>
    <n v="5741.0460000000003"/>
    <m/>
  </r>
  <r>
    <s v="73451502"/>
    <x v="2"/>
    <x v="34"/>
    <x v="1"/>
    <x v="0"/>
    <m/>
    <n v="1443.5830000000001"/>
    <m/>
  </r>
  <r>
    <s v="73451503"/>
    <x v="2"/>
    <x v="35"/>
    <x v="1"/>
    <x v="0"/>
    <m/>
    <n v="319"/>
    <m/>
  </r>
  <r>
    <s v="73451504"/>
    <x v="2"/>
    <x v="35"/>
    <x v="1"/>
    <x v="0"/>
    <m/>
    <n v="386.64699999999999"/>
    <m/>
  </r>
  <r>
    <s v="73452501"/>
    <x v="2"/>
    <x v="37"/>
    <x v="1"/>
    <x v="0"/>
    <m/>
    <n v="1561.837"/>
    <m/>
  </r>
  <r>
    <s v="735015"/>
    <x v="2"/>
    <x v="25"/>
    <x v="1"/>
    <x v="0"/>
    <m/>
    <n v="611.1"/>
    <m/>
  </r>
  <r>
    <s v="736005"/>
    <x v="2"/>
    <x v="26"/>
    <x v="1"/>
    <x v="0"/>
    <m/>
    <n v="1388.8889999999999"/>
    <m/>
  </r>
  <r>
    <s v="736010"/>
    <x v="2"/>
    <x v="26"/>
    <x v="1"/>
    <x v="0"/>
    <m/>
    <n v="34611.298999999999"/>
    <m/>
  </r>
  <r>
    <s v="736015"/>
    <x v="2"/>
    <x v="26"/>
    <x v="1"/>
    <x v="0"/>
    <m/>
    <n v="851.678"/>
    <m/>
  </r>
  <r>
    <s v="736020"/>
    <x v="2"/>
    <x v="26"/>
    <x v="1"/>
    <x v="0"/>
    <m/>
    <n v="543.06100000000004"/>
    <m/>
  </r>
  <r>
    <s v="739520"/>
    <x v="2"/>
    <x v="45"/>
    <x v="1"/>
    <x v="0"/>
    <m/>
    <n v="71.900000000000006"/>
    <m/>
  </r>
  <r>
    <s v="739525"/>
    <x v="2"/>
    <x v="27"/>
    <x v="1"/>
    <x v="0"/>
    <m/>
    <n v="46.55"/>
    <m/>
  </r>
  <r>
    <s v="739530"/>
    <x v="2"/>
    <x v="28"/>
    <x v="1"/>
    <x v="0"/>
    <m/>
    <n v="4228.5709999999999"/>
    <m/>
  </r>
  <r>
    <s v="739560"/>
    <x v="2"/>
    <x v="30"/>
    <x v="1"/>
    <x v="0"/>
    <m/>
    <n v="705.5"/>
    <m/>
  </r>
  <r>
    <s v="73959501"/>
    <x v="2"/>
    <x v="39"/>
    <x v="1"/>
    <x v="0"/>
    <m/>
    <n v="3547.223"/>
    <m/>
  </r>
  <r>
    <s v="73959510"/>
    <x v="2"/>
    <x v="42"/>
    <x v="1"/>
    <x v="0"/>
    <m/>
    <n v="1088.0630000000001"/>
    <m/>
  </r>
  <r>
    <s v="740101"/>
    <x v="3"/>
    <x v="31"/>
    <x v="1"/>
    <x v="0"/>
    <m/>
    <n v="3225.1280000000002"/>
    <m/>
  </r>
  <r>
    <n v="720506"/>
    <x v="0"/>
    <x v="0"/>
    <x v="2"/>
    <x v="0"/>
    <m/>
    <m/>
    <n v="47733.381000000001"/>
  </r>
  <r>
    <n v="720515"/>
    <x v="0"/>
    <x v="1"/>
    <x v="2"/>
    <x v="0"/>
    <m/>
    <m/>
    <n v="4804.82"/>
  </r>
  <r>
    <n v="720524"/>
    <x v="0"/>
    <x v="2"/>
    <x v="2"/>
    <x v="0"/>
    <m/>
    <m/>
    <n v="521.95000000000005"/>
  </r>
  <r>
    <n v="720527"/>
    <x v="0"/>
    <x v="3"/>
    <x v="2"/>
    <x v="0"/>
    <m/>
    <m/>
    <n v="6280"/>
  </r>
  <r>
    <n v="720530"/>
    <x v="0"/>
    <x v="4"/>
    <x v="2"/>
    <x v="0"/>
    <m/>
    <m/>
    <n v="4998.1589999999997"/>
  </r>
  <r>
    <n v="720533"/>
    <x v="0"/>
    <x v="4"/>
    <x v="2"/>
    <x v="0"/>
    <m/>
    <m/>
    <n v="600.01599999999996"/>
  </r>
  <r>
    <n v="720536"/>
    <x v="0"/>
    <x v="4"/>
    <x v="2"/>
    <x v="0"/>
    <m/>
    <m/>
    <n v="4998.1589999999997"/>
  </r>
  <r>
    <n v="720539"/>
    <x v="0"/>
    <x v="4"/>
    <x v="2"/>
    <x v="0"/>
    <m/>
    <m/>
    <n v="2240.2080000000001"/>
  </r>
  <r>
    <n v="720540"/>
    <x v="0"/>
    <x v="4"/>
    <x v="2"/>
    <x v="0"/>
    <m/>
    <m/>
    <n v="741.36500000000001"/>
  </r>
  <r>
    <n v="720546"/>
    <x v="0"/>
    <x v="5"/>
    <x v="2"/>
    <x v="0"/>
    <m/>
    <m/>
    <n v="21697.5"/>
  </r>
  <r>
    <n v="720547"/>
    <x v="0"/>
    <x v="6"/>
    <x v="2"/>
    <x v="0"/>
    <m/>
    <m/>
    <n v="2039.8430000000001"/>
  </r>
  <r>
    <n v="720548"/>
    <x v="0"/>
    <x v="46"/>
    <x v="2"/>
    <x v="0"/>
    <m/>
    <m/>
    <n v="150"/>
  </r>
  <r>
    <n v="720551"/>
    <x v="0"/>
    <x v="12"/>
    <x v="2"/>
    <x v="0"/>
    <m/>
    <m/>
    <n v="2037.69"/>
  </r>
  <r>
    <n v="720552"/>
    <x v="0"/>
    <x v="7"/>
    <x v="2"/>
    <x v="0"/>
    <m/>
    <m/>
    <n v="4282.6930000000002"/>
  </r>
  <r>
    <n v="720568"/>
    <x v="0"/>
    <x v="8"/>
    <x v="2"/>
    <x v="0"/>
    <m/>
    <m/>
    <n v="1281.3"/>
  </r>
  <r>
    <n v="720569"/>
    <x v="0"/>
    <x v="8"/>
    <x v="2"/>
    <x v="0"/>
    <m/>
    <m/>
    <n v="46.118000000000002"/>
  </r>
  <r>
    <n v="720570"/>
    <x v="0"/>
    <x v="8"/>
    <x v="2"/>
    <x v="0"/>
    <m/>
    <m/>
    <n v="6476.808"/>
  </r>
  <r>
    <n v="720572"/>
    <x v="0"/>
    <x v="8"/>
    <x v="2"/>
    <x v="0"/>
    <m/>
    <m/>
    <n v="2174.1"/>
  </r>
  <r>
    <n v="730506"/>
    <x v="1"/>
    <x v="0"/>
    <x v="2"/>
    <x v="0"/>
    <m/>
    <m/>
    <n v="64912.9"/>
  </r>
  <r>
    <n v="730508"/>
    <x v="1"/>
    <x v="10"/>
    <x v="2"/>
    <x v="0"/>
    <m/>
    <m/>
    <n v="711.75"/>
  </r>
  <r>
    <n v="730515"/>
    <x v="1"/>
    <x v="1"/>
    <x v="2"/>
    <x v="0"/>
    <m/>
    <m/>
    <n v="2943.0680000000002"/>
  </r>
  <r>
    <n v="730524"/>
    <x v="1"/>
    <x v="2"/>
    <x v="2"/>
    <x v="0"/>
    <m/>
    <m/>
    <n v="682.16099999999994"/>
  </r>
  <r>
    <n v="730527"/>
    <x v="1"/>
    <x v="11"/>
    <x v="2"/>
    <x v="0"/>
    <m/>
    <m/>
    <n v="2600.0010000000002"/>
  </r>
  <r>
    <n v="730530"/>
    <x v="1"/>
    <x v="4"/>
    <x v="2"/>
    <x v="0"/>
    <m/>
    <m/>
    <n v="6251.7520000000004"/>
  </r>
  <r>
    <n v="730533"/>
    <x v="1"/>
    <x v="4"/>
    <x v="2"/>
    <x v="0"/>
    <m/>
    <m/>
    <n v="750.51199999999994"/>
  </r>
  <r>
    <n v="730536"/>
    <x v="1"/>
    <x v="4"/>
    <x v="2"/>
    <x v="0"/>
    <m/>
    <m/>
    <n v="6251.7520000000004"/>
  </r>
  <r>
    <n v="730539"/>
    <x v="1"/>
    <x v="4"/>
    <x v="2"/>
    <x v="0"/>
    <m/>
    <m/>
    <n v="3021.2109999999998"/>
  </r>
  <r>
    <n v="730540"/>
    <x v="1"/>
    <x v="4"/>
    <x v="2"/>
    <x v="0"/>
    <m/>
    <m/>
    <n v="999.82500000000005"/>
  </r>
  <r>
    <n v="730546"/>
    <x v="1"/>
    <x v="5"/>
    <x v="2"/>
    <x v="0"/>
    <m/>
    <m/>
    <n v="31745.4"/>
  </r>
  <r>
    <n v="730547"/>
    <x v="1"/>
    <x v="6"/>
    <x v="2"/>
    <x v="0"/>
    <m/>
    <m/>
    <n v="2898.4839999999999"/>
  </r>
  <r>
    <n v="730548"/>
    <x v="1"/>
    <x v="46"/>
    <x v="2"/>
    <x v="0"/>
    <m/>
    <m/>
    <n v="500"/>
  </r>
  <r>
    <n v="730551"/>
    <x v="1"/>
    <x v="12"/>
    <x v="2"/>
    <x v="0"/>
    <m/>
    <m/>
    <n v="101.214"/>
  </r>
  <r>
    <n v="730552"/>
    <x v="1"/>
    <x v="7"/>
    <x v="2"/>
    <x v="0"/>
    <m/>
    <m/>
    <n v="549.92999999999995"/>
  </r>
  <r>
    <n v="730568"/>
    <x v="1"/>
    <x v="8"/>
    <x v="2"/>
    <x v="0"/>
    <m/>
    <m/>
    <n v="1651.35"/>
  </r>
  <r>
    <n v="730569"/>
    <x v="1"/>
    <x v="8"/>
    <x v="2"/>
    <x v="0"/>
    <m/>
    <m/>
    <n v="174.65799999999999"/>
  </r>
  <r>
    <n v="730570"/>
    <x v="1"/>
    <x v="8"/>
    <x v="2"/>
    <x v="0"/>
    <m/>
    <m/>
    <n v="8646.7250000000004"/>
  </r>
  <r>
    <n v="730572"/>
    <x v="1"/>
    <x v="8"/>
    <x v="2"/>
    <x v="0"/>
    <m/>
    <m/>
    <n v="2867.3"/>
  </r>
  <r>
    <n v="730584"/>
    <x v="1"/>
    <x v="9"/>
    <x v="2"/>
    <x v="0"/>
    <m/>
    <m/>
    <n v="61.552999999999997"/>
  </r>
  <r>
    <n v="732010"/>
    <x v="2"/>
    <x v="14"/>
    <x v="2"/>
    <x v="0"/>
    <m/>
    <m/>
    <n v="19396.465"/>
  </r>
  <r>
    <n v="733095"/>
    <x v="2"/>
    <x v="15"/>
    <x v="2"/>
    <x v="0"/>
    <m/>
    <m/>
    <n v="4538.8010000000004"/>
  </r>
  <r>
    <n v="733505"/>
    <x v="2"/>
    <x v="16"/>
    <x v="2"/>
    <x v="0"/>
    <m/>
    <m/>
    <n v="292.72199999999998"/>
  </r>
  <r>
    <n v="733510"/>
    <x v="1"/>
    <x v="17"/>
    <x v="2"/>
    <x v="0"/>
    <m/>
    <m/>
    <n v="43454"/>
  </r>
  <r>
    <n v="733510"/>
    <x v="0"/>
    <x v="17"/>
    <x v="2"/>
    <x v="0"/>
    <m/>
    <m/>
    <n v="274217"/>
  </r>
  <r>
    <n v="733511"/>
    <x v="1"/>
    <x v="18"/>
    <x v="2"/>
    <x v="0"/>
    <m/>
    <m/>
    <n v="9985"/>
  </r>
  <r>
    <n v="733511"/>
    <x v="0"/>
    <x v="18"/>
    <x v="2"/>
    <x v="0"/>
    <m/>
    <m/>
    <n v="53338"/>
  </r>
  <r>
    <n v="733512"/>
    <x v="1"/>
    <x v="19"/>
    <x v="2"/>
    <x v="0"/>
    <m/>
    <m/>
    <n v="1038"/>
  </r>
  <r>
    <n v="733512"/>
    <x v="0"/>
    <x v="19"/>
    <x v="2"/>
    <x v="0"/>
    <m/>
    <m/>
    <n v="5756"/>
  </r>
  <r>
    <n v="733515"/>
    <x v="2"/>
    <x v="20"/>
    <x v="2"/>
    <x v="0"/>
    <m/>
    <m/>
    <n v="31723.976999999999"/>
  </r>
  <r>
    <n v="733525"/>
    <x v="2"/>
    <x v="21"/>
    <x v="2"/>
    <x v="0"/>
    <m/>
    <m/>
    <n v="4980.7169999999996"/>
  </r>
  <r>
    <n v="733530"/>
    <x v="2"/>
    <x v="22"/>
    <x v="2"/>
    <x v="0"/>
    <m/>
    <m/>
    <n v="50374.707000000002"/>
  </r>
  <r>
    <n v="733550"/>
    <x v="2"/>
    <x v="23"/>
    <x v="2"/>
    <x v="0"/>
    <m/>
    <m/>
    <n v="3716.444"/>
  </r>
  <r>
    <n v="733555"/>
    <x v="2"/>
    <x v="24"/>
    <x v="2"/>
    <x v="0"/>
    <m/>
    <m/>
    <n v="4593.5749999999998"/>
  </r>
  <r>
    <n v="735015"/>
    <x v="2"/>
    <x v="25"/>
    <x v="2"/>
    <x v="0"/>
    <m/>
    <m/>
    <n v="1595.491"/>
  </r>
  <r>
    <n v="736005"/>
    <x v="2"/>
    <x v="26"/>
    <x v="2"/>
    <x v="0"/>
    <m/>
    <m/>
    <n v="1388.8889999999999"/>
  </r>
  <r>
    <n v="736010"/>
    <x v="2"/>
    <x v="26"/>
    <x v="2"/>
    <x v="0"/>
    <m/>
    <m/>
    <n v="32453.574000000001"/>
  </r>
  <r>
    <n v="736015"/>
    <x v="2"/>
    <x v="26"/>
    <x v="2"/>
    <x v="0"/>
    <m/>
    <m/>
    <n v="800.89499999999998"/>
  </r>
  <r>
    <n v="736020"/>
    <x v="2"/>
    <x v="26"/>
    <x v="2"/>
    <x v="0"/>
    <m/>
    <m/>
    <n v="4966.3519999999999"/>
  </r>
  <r>
    <n v="739525"/>
    <x v="2"/>
    <x v="27"/>
    <x v="2"/>
    <x v="0"/>
    <m/>
    <m/>
    <n v="398.15199999999999"/>
  </r>
  <r>
    <n v="739530"/>
    <x v="2"/>
    <x v="28"/>
    <x v="2"/>
    <x v="0"/>
    <m/>
    <m/>
    <n v="1373.498"/>
  </r>
  <r>
    <n v="739535"/>
    <x v="2"/>
    <x v="29"/>
    <x v="2"/>
    <x v="0"/>
    <m/>
    <m/>
    <n v="150"/>
  </r>
  <r>
    <n v="739560"/>
    <x v="2"/>
    <x v="30"/>
    <x v="2"/>
    <x v="0"/>
    <m/>
    <m/>
    <n v="320.3"/>
  </r>
  <r>
    <n v="740101"/>
    <x v="3"/>
    <x v="31"/>
    <x v="2"/>
    <x v="0"/>
    <m/>
    <m/>
    <n v="26453.001"/>
  </r>
  <r>
    <n v="73109502"/>
    <x v="1"/>
    <x v="32"/>
    <x v="2"/>
    <x v="0"/>
    <m/>
    <m/>
    <n v="594.68000000000029"/>
  </r>
  <r>
    <n v="73109502"/>
    <x v="0"/>
    <x v="32"/>
    <x v="2"/>
    <x v="0"/>
    <m/>
    <m/>
    <n v="3970"/>
  </r>
  <r>
    <n v="73109504"/>
    <x v="1"/>
    <x v="47"/>
    <x v="2"/>
    <x v="0"/>
    <m/>
    <m/>
    <n v="4850"/>
  </r>
  <r>
    <n v="73109505"/>
    <x v="2"/>
    <x v="48"/>
    <x v="2"/>
    <x v="0"/>
    <m/>
    <m/>
    <n v="2000"/>
  </r>
  <r>
    <n v="73359506"/>
    <x v="1"/>
    <x v="49"/>
    <x v="2"/>
    <x v="0"/>
    <m/>
    <m/>
    <n v="446"/>
  </r>
  <r>
    <n v="73359506"/>
    <x v="0"/>
    <x v="49"/>
    <x v="2"/>
    <x v="0"/>
    <m/>
    <m/>
    <n v="533"/>
  </r>
  <r>
    <n v="73451501"/>
    <x v="2"/>
    <x v="34"/>
    <x v="2"/>
    <x v="0"/>
    <m/>
    <m/>
    <n v="2838.5169999999998"/>
  </r>
  <r>
    <n v="73451502"/>
    <x v="2"/>
    <x v="34"/>
    <x v="2"/>
    <x v="0"/>
    <m/>
    <m/>
    <n v="7302.0259999999998"/>
  </r>
  <r>
    <n v="73451503"/>
    <x v="2"/>
    <x v="35"/>
    <x v="2"/>
    <x v="0"/>
    <m/>
    <m/>
    <n v="155.9"/>
  </r>
  <r>
    <n v="73451504"/>
    <x v="2"/>
    <x v="35"/>
    <x v="2"/>
    <x v="0"/>
    <m/>
    <m/>
    <n v="635.08600000000001"/>
  </r>
  <r>
    <n v="73451507"/>
    <x v="2"/>
    <x v="36"/>
    <x v="2"/>
    <x v="0"/>
    <m/>
    <m/>
    <n v="50"/>
  </r>
  <r>
    <n v="73452501"/>
    <x v="2"/>
    <x v="37"/>
    <x v="2"/>
    <x v="0"/>
    <m/>
    <m/>
    <n v="825.798"/>
  </r>
  <r>
    <n v="73959501"/>
    <x v="2"/>
    <x v="39"/>
    <x v="2"/>
    <x v="0"/>
    <m/>
    <m/>
    <n v="3484.7739999999999"/>
  </r>
  <r>
    <n v="73959504"/>
    <x v="1"/>
    <x v="40"/>
    <x v="2"/>
    <x v="0"/>
    <m/>
    <m/>
    <n v="161.20500000000004"/>
  </r>
  <r>
    <n v="73959504"/>
    <x v="0"/>
    <x v="40"/>
    <x v="2"/>
    <x v="0"/>
    <m/>
    <m/>
    <n v="352"/>
  </r>
  <r>
    <n v="73959510"/>
    <x v="2"/>
    <x v="42"/>
    <x v="2"/>
    <x v="0"/>
    <m/>
    <m/>
    <n v="632.91"/>
  </r>
  <r>
    <n v="720506"/>
    <x v="0"/>
    <x v="0"/>
    <x v="0"/>
    <x v="1"/>
    <n v="46641.792999999998"/>
    <m/>
    <m/>
  </r>
  <r>
    <n v="720515"/>
    <x v="0"/>
    <x v="1"/>
    <x v="0"/>
    <x v="1"/>
    <n v="10874.111000000001"/>
    <m/>
    <m/>
  </r>
  <r>
    <n v="720524"/>
    <x v="0"/>
    <x v="2"/>
    <x v="0"/>
    <x v="1"/>
    <n v="129.999"/>
    <m/>
    <m/>
  </r>
  <r>
    <n v="720527"/>
    <x v="0"/>
    <x v="3"/>
    <x v="0"/>
    <x v="1"/>
    <n v="4914"/>
    <m/>
    <m/>
  </r>
  <r>
    <n v="720530"/>
    <x v="0"/>
    <x v="4"/>
    <x v="0"/>
    <x v="1"/>
    <n v="5409.7039999999997"/>
    <m/>
    <m/>
  </r>
  <r>
    <n v="720533"/>
    <x v="0"/>
    <x v="4"/>
    <x v="0"/>
    <x v="1"/>
    <n v="649.41899999999998"/>
    <m/>
    <m/>
  </r>
  <r>
    <n v="720536"/>
    <x v="0"/>
    <x v="4"/>
    <x v="0"/>
    <x v="1"/>
    <n v="5409.7039999999997"/>
    <m/>
    <m/>
  </r>
  <r>
    <n v="720539"/>
    <x v="0"/>
    <x v="4"/>
    <x v="0"/>
    <x v="1"/>
    <n v="2503.1779999999999"/>
    <m/>
    <m/>
  </r>
  <r>
    <n v="720540"/>
    <x v="0"/>
    <x v="4"/>
    <x v="0"/>
    <x v="1"/>
    <n v="828.39499999999998"/>
    <m/>
    <m/>
  </r>
  <r>
    <n v="720545"/>
    <x v="0"/>
    <x v="5"/>
    <x v="0"/>
    <x v="1"/>
    <n v="663"/>
    <m/>
    <m/>
  </r>
  <r>
    <n v="720546"/>
    <x v="0"/>
    <x v="5"/>
    <x v="0"/>
    <x v="1"/>
    <n v="6704.6229999999996"/>
    <m/>
    <m/>
  </r>
  <r>
    <n v="720547"/>
    <x v="0"/>
    <x v="6"/>
    <x v="0"/>
    <x v="1"/>
    <n v="2049.7260000000001"/>
    <m/>
    <m/>
  </r>
  <r>
    <n v="720552"/>
    <x v="0"/>
    <x v="7"/>
    <x v="0"/>
    <x v="1"/>
    <n v="5402.3639999999996"/>
    <m/>
    <m/>
  </r>
  <r>
    <n v="720568"/>
    <x v="0"/>
    <x v="8"/>
    <x v="0"/>
    <x v="1"/>
    <n v="1404.1"/>
    <m/>
    <m/>
  </r>
  <r>
    <n v="720569"/>
    <x v="0"/>
    <x v="8"/>
    <x v="0"/>
    <x v="1"/>
    <n v="1.37"/>
    <m/>
    <m/>
  </r>
  <r>
    <n v="720570"/>
    <x v="0"/>
    <x v="8"/>
    <x v="0"/>
    <x v="1"/>
    <n v="7016.52"/>
    <m/>
    <m/>
  </r>
  <r>
    <n v="720572"/>
    <x v="0"/>
    <x v="8"/>
    <x v="0"/>
    <x v="1"/>
    <n v="2397.1"/>
    <m/>
    <m/>
  </r>
  <r>
    <n v="730506"/>
    <x v="1"/>
    <x v="0"/>
    <x v="0"/>
    <x v="1"/>
    <n v="67606.968999999997"/>
    <m/>
    <m/>
  </r>
  <r>
    <n v="730508"/>
    <x v="1"/>
    <x v="10"/>
    <x v="0"/>
    <x v="1"/>
    <n v="1300"/>
    <m/>
    <m/>
  </r>
  <r>
    <n v="730515"/>
    <x v="1"/>
    <x v="1"/>
    <x v="0"/>
    <x v="1"/>
    <n v="3958.0070000000001"/>
    <m/>
    <m/>
  </r>
  <r>
    <n v="730524"/>
    <x v="1"/>
    <x v="2"/>
    <x v="0"/>
    <x v="1"/>
    <n v="1320.069"/>
    <m/>
    <m/>
  </r>
  <r>
    <n v="730527"/>
    <x v="1"/>
    <x v="11"/>
    <x v="0"/>
    <x v="1"/>
    <n v="1755"/>
    <m/>
    <m/>
  </r>
  <r>
    <n v="730530"/>
    <x v="1"/>
    <x v="4"/>
    <x v="0"/>
    <x v="1"/>
    <n v="6408.4139999999998"/>
    <m/>
    <m/>
  </r>
  <r>
    <n v="730533"/>
    <x v="1"/>
    <x v="4"/>
    <x v="0"/>
    <x v="1"/>
    <n v="769.31899999999996"/>
    <m/>
    <m/>
  </r>
  <r>
    <n v="730536"/>
    <x v="1"/>
    <x v="4"/>
    <x v="0"/>
    <x v="1"/>
    <n v="6408.4139999999998"/>
    <m/>
    <m/>
  </r>
  <r>
    <n v="730539"/>
    <x v="1"/>
    <x v="4"/>
    <x v="0"/>
    <x v="1"/>
    <n v="3134.8719999999998"/>
    <m/>
    <m/>
  </r>
  <r>
    <n v="730540"/>
    <x v="1"/>
    <x v="4"/>
    <x v="0"/>
    <x v="1"/>
    <n v="1037.4380000000001"/>
    <m/>
    <m/>
  </r>
  <r>
    <n v="730546"/>
    <x v="1"/>
    <x v="5"/>
    <x v="0"/>
    <x v="1"/>
    <n v="9714.23"/>
    <m/>
    <m/>
  </r>
  <r>
    <n v="730547"/>
    <x v="1"/>
    <x v="6"/>
    <x v="0"/>
    <x v="1"/>
    <n v="2969.8220000000001"/>
    <m/>
    <m/>
  </r>
  <r>
    <n v="730552"/>
    <x v="1"/>
    <x v="7"/>
    <x v="0"/>
    <x v="1"/>
    <n v="511.31299999999999"/>
    <m/>
    <m/>
  </r>
  <r>
    <n v="730568"/>
    <x v="1"/>
    <x v="8"/>
    <x v="0"/>
    <x v="1"/>
    <n v="1773.1"/>
    <m/>
    <m/>
  </r>
  <r>
    <n v="730569"/>
    <x v="1"/>
    <x v="8"/>
    <x v="0"/>
    <x v="1"/>
    <n v="1331.8309999999999"/>
    <m/>
    <m/>
  </r>
  <r>
    <n v="730570"/>
    <x v="1"/>
    <x v="8"/>
    <x v="0"/>
    <x v="1"/>
    <n v="8582.1610000000001"/>
    <m/>
    <m/>
  </r>
  <r>
    <n v="730572"/>
    <x v="1"/>
    <x v="8"/>
    <x v="0"/>
    <x v="1"/>
    <n v="2949.9"/>
    <m/>
    <m/>
  </r>
  <r>
    <n v="730575"/>
    <x v="1"/>
    <x v="8"/>
    <x v="0"/>
    <x v="1"/>
    <n v="412.6"/>
    <m/>
    <m/>
  </r>
  <r>
    <n v="730578"/>
    <x v="1"/>
    <x v="8"/>
    <x v="0"/>
    <x v="1"/>
    <n v="275.10000000000002"/>
    <m/>
    <m/>
  </r>
  <r>
    <n v="730584"/>
    <x v="1"/>
    <x v="9"/>
    <x v="0"/>
    <x v="1"/>
    <n v="70.903000000000006"/>
    <m/>
    <m/>
  </r>
  <r>
    <n v="731515"/>
    <x v="2"/>
    <x v="50"/>
    <x v="0"/>
    <x v="1"/>
    <n v="14984.771000000001"/>
    <m/>
    <m/>
  </r>
  <r>
    <n v="732010"/>
    <x v="2"/>
    <x v="14"/>
    <x v="0"/>
    <x v="1"/>
    <n v="19396.465"/>
    <m/>
    <m/>
  </r>
  <r>
    <n v="733095"/>
    <x v="2"/>
    <x v="15"/>
    <x v="0"/>
    <x v="1"/>
    <n v="4173.97"/>
    <m/>
    <m/>
  </r>
  <r>
    <n v="733505"/>
    <x v="2"/>
    <x v="16"/>
    <x v="0"/>
    <x v="1"/>
    <n v="3763.64"/>
    <m/>
    <m/>
  </r>
  <r>
    <n v="733510"/>
    <x v="1"/>
    <x v="17"/>
    <x v="0"/>
    <x v="1"/>
    <n v="53601.087999999989"/>
    <m/>
    <m/>
  </r>
  <r>
    <n v="733510"/>
    <x v="0"/>
    <x v="17"/>
    <x v="0"/>
    <x v="1"/>
    <n v="275486.5"/>
    <m/>
    <m/>
  </r>
  <r>
    <n v="733511"/>
    <x v="1"/>
    <x v="18"/>
    <x v="0"/>
    <x v="1"/>
    <n v="3793.0459999999985"/>
    <m/>
    <m/>
  </r>
  <r>
    <n v="733511"/>
    <x v="0"/>
    <x v="18"/>
    <x v="0"/>
    <x v="1"/>
    <n v="17260.990000000002"/>
    <m/>
    <m/>
  </r>
  <r>
    <n v="733512"/>
    <x v="1"/>
    <x v="19"/>
    <x v="0"/>
    <x v="1"/>
    <n v="1159.6090000000004"/>
    <m/>
    <m/>
  </r>
  <r>
    <n v="733512"/>
    <x v="0"/>
    <x v="19"/>
    <x v="0"/>
    <x v="1"/>
    <n v="5277"/>
    <m/>
    <m/>
  </r>
  <r>
    <n v="733515"/>
    <x v="2"/>
    <x v="20"/>
    <x v="0"/>
    <x v="1"/>
    <n v="930"/>
    <m/>
    <m/>
  </r>
  <r>
    <n v="733525"/>
    <x v="2"/>
    <x v="21"/>
    <x v="0"/>
    <x v="1"/>
    <n v="5463.9210000000003"/>
    <m/>
    <m/>
  </r>
  <r>
    <n v="733530"/>
    <x v="2"/>
    <x v="22"/>
    <x v="0"/>
    <x v="1"/>
    <n v="58759.828999999998"/>
    <m/>
    <m/>
  </r>
  <r>
    <n v="733550"/>
    <x v="2"/>
    <x v="23"/>
    <x v="0"/>
    <x v="1"/>
    <n v="5258.9740000000002"/>
    <m/>
    <m/>
  </r>
  <r>
    <n v="733555"/>
    <x v="2"/>
    <x v="24"/>
    <x v="0"/>
    <x v="1"/>
    <n v="7400.1890000000003"/>
    <m/>
    <m/>
  </r>
  <r>
    <n v="735015"/>
    <x v="2"/>
    <x v="25"/>
    <x v="0"/>
    <x v="1"/>
    <n v="1843.0309999999999"/>
    <m/>
    <m/>
  </r>
  <r>
    <n v="736005"/>
    <x v="2"/>
    <x v="26"/>
    <x v="0"/>
    <x v="1"/>
    <n v="1388.8889999999999"/>
    <m/>
    <m/>
  </r>
  <r>
    <n v="736010"/>
    <x v="2"/>
    <x v="26"/>
    <x v="0"/>
    <x v="1"/>
    <n v="39022.387999999999"/>
    <m/>
    <m/>
  </r>
  <r>
    <n v="736015"/>
    <x v="2"/>
    <x v="26"/>
    <x v="0"/>
    <x v="1"/>
    <n v="800.89499999999998"/>
    <m/>
    <m/>
  </r>
  <r>
    <n v="736020"/>
    <x v="2"/>
    <x v="26"/>
    <x v="0"/>
    <x v="1"/>
    <n v="478.52300000000002"/>
    <m/>
    <m/>
  </r>
  <r>
    <n v="739525"/>
    <x v="2"/>
    <x v="27"/>
    <x v="0"/>
    <x v="1"/>
    <n v="2688.8440000000001"/>
    <m/>
    <m/>
  </r>
  <r>
    <n v="739530"/>
    <x v="2"/>
    <x v="28"/>
    <x v="0"/>
    <x v="1"/>
    <n v="1879.5530000000001"/>
    <m/>
    <m/>
  </r>
  <r>
    <n v="739535"/>
    <x v="2"/>
    <x v="29"/>
    <x v="0"/>
    <x v="1"/>
    <n v="713.1"/>
    <m/>
    <m/>
  </r>
  <r>
    <n v="739560"/>
    <x v="2"/>
    <x v="30"/>
    <x v="0"/>
    <x v="1"/>
    <n v="3502.6590000000001"/>
    <m/>
    <m/>
  </r>
  <r>
    <n v="740101"/>
    <x v="3"/>
    <x v="31"/>
    <x v="0"/>
    <x v="1"/>
    <n v="73246.270999999993"/>
    <m/>
    <m/>
  </r>
  <r>
    <n v="73109502"/>
    <x v="1"/>
    <x v="32"/>
    <x v="0"/>
    <x v="1"/>
    <n v="172.53400000000011"/>
    <m/>
    <m/>
  </r>
  <r>
    <n v="73109502"/>
    <x v="0"/>
    <x v="32"/>
    <x v="0"/>
    <x v="1"/>
    <n v="2046"/>
    <m/>
    <m/>
  </r>
  <r>
    <n v="73159503"/>
    <x v="2"/>
    <x v="51"/>
    <x v="0"/>
    <x v="1"/>
    <n v="4946.5320000000002"/>
    <m/>
    <m/>
  </r>
  <r>
    <n v="73359501"/>
    <x v="2"/>
    <x v="33"/>
    <x v="0"/>
    <x v="1"/>
    <n v="2511"/>
    <m/>
    <m/>
  </r>
  <r>
    <n v="73451501"/>
    <x v="2"/>
    <x v="34"/>
    <x v="0"/>
    <x v="1"/>
    <n v="13937.257"/>
    <m/>
    <m/>
  </r>
  <r>
    <n v="73451502"/>
    <x v="2"/>
    <x v="34"/>
    <x v="0"/>
    <x v="1"/>
    <n v="11190.339"/>
    <m/>
    <m/>
  </r>
  <r>
    <n v="73451503"/>
    <x v="2"/>
    <x v="35"/>
    <x v="0"/>
    <x v="1"/>
    <n v="13671.29"/>
    <m/>
    <m/>
  </r>
  <r>
    <n v="73451504"/>
    <x v="2"/>
    <x v="35"/>
    <x v="0"/>
    <x v="1"/>
    <n v="2754.0309999999999"/>
    <m/>
    <m/>
  </r>
  <r>
    <n v="73452501"/>
    <x v="2"/>
    <x v="37"/>
    <x v="0"/>
    <x v="1"/>
    <n v="597.51700000000005"/>
    <m/>
    <m/>
  </r>
  <r>
    <n v="73452502"/>
    <x v="2"/>
    <x v="38"/>
    <x v="0"/>
    <x v="1"/>
    <n v="126.05"/>
    <m/>
    <m/>
  </r>
  <r>
    <n v="73959501"/>
    <x v="2"/>
    <x v="39"/>
    <x v="0"/>
    <x v="1"/>
    <n v="49629.004999999997"/>
    <m/>
    <m/>
  </r>
  <r>
    <n v="73959504"/>
    <x v="1"/>
    <x v="40"/>
    <x v="0"/>
    <x v="1"/>
    <n v="119.40000000000009"/>
    <m/>
    <m/>
  </r>
  <r>
    <n v="73959504"/>
    <x v="0"/>
    <x v="40"/>
    <x v="0"/>
    <x v="1"/>
    <n v="2040.4"/>
    <m/>
    <m/>
  </r>
  <r>
    <n v="73959510"/>
    <x v="2"/>
    <x v="42"/>
    <x v="0"/>
    <x v="1"/>
    <n v="2270.41"/>
    <m/>
    <m/>
  </r>
  <r>
    <n v="720506"/>
    <x v="0"/>
    <x v="0"/>
    <x v="2"/>
    <x v="1"/>
    <m/>
    <m/>
    <n v="52342.631999999998"/>
  </r>
  <r>
    <n v="720515"/>
    <x v="0"/>
    <x v="1"/>
    <x v="2"/>
    <x v="1"/>
    <m/>
    <m/>
    <n v="5137.0320000000002"/>
  </r>
  <r>
    <n v="720524"/>
    <x v="0"/>
    <x v="2"/>
    <x v="2"/>
    <x v="1"/>
    <m/>
    <m/>
    <n v="1608.0170000000001"/>
  </r>
  <r>
    <n v="720527"/>
    <x v="0"/>
    <x v="3"/>
    <x v="2"/>
    <x v="1"/>
    <m/>
    <m/>
    <n v="6301.2730000000001"/>
  </r>
  <r>
    <n v="720530"/>
    <x v="0"/>
    <x v="4"/>
    <x v="2"/>
    <x v="1"/>
    <m/>
    <m/>
    <n v="5697.8069999999998"/>
  </r>
  <r>
    <n v="720533"/>
    <x v="0"/>
    <x v="4"/>
    <x v="2"/>
    <x v="1"/>
    <m/>
    <m/>
    <n v="684.00699999999995"/>
  </r>
  <r>
    <n v="720536"/>
    <x v="0"/>
    <x v="4"/>
    <x v="2"/>
    <x v="1"/>
    <m/>
    <m/>
    <n v="5697.8069999999998"/>
  </r>
  <r>
    <n v="720539"/>
    <x v="0"/>
    <x v="4"/>
    <x v="2"/>
    <x v="1"/>
    <m/>
    <m/>
    <n v="2589.5610000000001"/>
  </r>
  <r>
    <n v="720540"/>
    <x v="0"/>
    <x v="4"/>
    <x v="2"/>
    <x v="1"/>
    <m/>
    <m/>
    <n v="856.97799999999995"/>
  </r>
  <r>
    <n v="720546"/>
    <x v="0"/>
    <x v="5"/>
    <x v="2"/>
    <x v="1"/>
    <m/>
    <m/>
    <n v="7769.7049999999999"/>
  </r>
  <r>
    <n v="720547"/>
    <x v="0"/>
    <x v="6"/>
    <x v="2"/>
    <x v="1"/>
    <m/>
    <m/>
    <n v="2375.348"/>
  </r>
  <r>
    <n v="720552"/>
    <x v="0"/>
    <x v="7"/>
    <x v="2"/>
    <x v="1"/>
    <m/>
    <m/>
    <n v="3577.2689999999998"/>
  </r>
  <r>
    <n v="720568"/>
    <x v="0"/>
    <x v="8"/>
    <x v="2"/>
    <x v="1"/>
    <m/>
    <m/>
    <n v="1414.6"/>
  </r>
  <r>
    <n v="720569"/>
    <x v="0"/>
    <x v="8"/>
    <x v="2"/>
    <x v="1"/>
    <m/>
    <m/>
    <n v="-9.8879999999999999"/>
  </r>
  <r>
    <n v="720570"/>
    <x v="0"/>
    <x v="8"/>
    <x v="2"/>
    <x v="1"/>
    <m/>
    <m/>
    <n v="7191.3990000000003"/>
  </r>
  <r>
    <n v="720572"/>
    <x v="0"/>
    <x v="8"/>
    <x v="2"/>
    <x v="1"/>
    <m/>
    <m/>
    <n v="2430.4"/>
  </r>
  <r>
    <n v="730506"/>
    <x v="1"/>
    <x v="0"/>
    <x v="2"/>
    <x v="1"/>
    <m/>
    <m/>
    <n v="75526.232999999993"/>
  </r>
  <r>
    <n v="730508"/>
    <x v="1"/>
    <x v="10"/>
    <x v="2"/>
    <x v="1"/>
    <m/>
    <m/>
    <n v="711.75"/>
  </r>
  <r>
    <n v="730515"/>
    <x v="1"/>
    <x v="1"/>
    <x v="2"/>
    <x v="1"/>
    <m/>
    <m/>
    <n v="2692.078"/>
  </r>
  <r>
    <n v="730527"/>
    <x v="1"/>
    <x v="11"/>
    <x v="2"/>
    <x v="1"/>
    <m/>
    <m/>
    <n v="2587.6"/>
  </r>
  <r>
    <n v="730530"/>
    <x v="1"/>
    <x v="4"/>
    <x v="2"/>
    <x v="1"/>
    <m/>
    <m/>
    <n v="6774.6589999999997"/>
  </r>
  <r>
    <n v="730533"/>
    <x v="1"/>
    <x v="4"/>
    <x v="2"/>
    <x v="1"/>
    <m/>
    <m/>
    <n v="813.28300000000002"/>
  </r>
  <r>
    <n v="730536"/>
    <x v="1"/>
    <x v="4"/>
    <x v="2"/>
    <x v="1"/>
    <m/>
    <m/>
    <n v="6774.6589999999997"/>
  </r>
  <r>
    <n v="730539"/>
    <x v="1"/>
    <x v="4"/>
    <x v="2"/>
    <x v="1"/>
    <m/>
    <m/>
    <n v="3283.4940000000001"/>
  </r>
  <r>
    <n v="730540"/>
    <x v="1"/>
    <x v="4"/>
    <x v="2"/>
    <x v="1"/>
    <m/>
    <m/>
    <n v="1086.624"/>
  </r>
  <r>
    <n v="730545"/>
    <x v="1"/>
    <x v="5"/>
    <x v="2"/>
    <x v="1"/>
    <m/>
    <m/>
    <n v="500"/>
  </r>
  <r>
    <n v="730546"/>
    <x v="1"/>
    <x v="5"/>
    <x v="2"/>
    <x v="1"/>
    <m/>
    <m/>
    <n v="20051.545999999998"/>
  </r>
  <r>
    <n v="730547"/>
    <x v="1"/>
    <x v="6"/>
    <x v="2"/>
    <x v="1"/>
    <m/>
    <m/>
    <n v="3171.2350000000001"/>
  </r>
  <r>
    <n v="730548"/>
    <x v="1"/>
    <x v="46"/>
    <x v="2"/>
    <x v="1"/>
    <m/>
    <m/>
    <n v="200"/>
  </r>
  <r>
    <n v="730551"/>
    <x v="1"/>
    <x v="12"/>
    <x v="2"/>
    <x v="1"/>
    <m/>
    <m/>
    <n v="118.48699999999999"/>
  </r>
  <r>
    <n v="730552"/>
    <x v="1"/>
    <x v="7"/>
    <x v="2"/>
    <x v="1"/>
    <m/>
    <m/>
    <n v="465.74799999999999"/>
  </r>
  <r>
    <n v="730563"/>
    <x v="1"/>
    <x v="43"/>
    <x v="2"/>
    <x v="1"/>
    <m/>
    <m/>
    <n v="14191.418"/>
  </r>
  <r>
    <n v="730568"/>
    <x v="1"/>
    <x v="8"/>
    <x v="2"/>
    <x v="1"/>
    <m/>
    <m/>
    <n v="1906.4"/>
  </r>
  <r>
    <n v="730569"/>
    <x v="1"/>
    <x v="8"/>
    <x v="2"/>
    <x v="1"/>
    <m/>
    <m/>
    <n v="1468.566"/>
  </r>
  <r>
    <n v="730570"/>
    <x v="1"/>
    <x v="8"/>
    <x v="2"/>
    <x v="1"/>
    <m/>
    <m/>
    <n v="9449.866"/>
  </r>
  <r>
    <n v="730572"/>
    <x v="1"/>
    <x v="8"/>
    <x v="2"/>
    <x v="1"/>
    <m/>
    <m/>
    <n v="3150.7"/>
  </r>
  <r>
    <n v="730575"/>
    <x v="1"/>
    <x v="8"/>
    <x v="2"/>
    <x v="1"/>
    <m/>
    <m/>
    <n v="455.1"/>
  </r>
  <r>
    <n v="730578"/>
    <x v="1"/>
    <x v="8"/>
    <x v="2"/>
    <x v="1"/>
    <m/>
    <m/>
    <n v="303.39999999999998"/>
  </r>
  <r>
    <n v="732010"/>
    <x v="2"/>
    <x v="14"/>
    <x v="2"/>
    <x v="1"/>
    <m/>
    <m/>
    <n v="20440"/>
  </r>
  <r>
    <n v="733095"/>
    <x v="2"/>
    <x v="15"/>
    <x v="2"/>
    <x v="1"/>
    <m/>
    <m/>
    <n v="4538.8010000000004"/>
  </r>
  <r>
    <n v="733505"/>
    <x v="2"/>
    <x v="16"/>
    <x v="2"/>
    <x v="1"/>
    <m/>
    <m/>
    <n v="3906.5369999999998"/>
  </r>
  <r>
    <n v="733510"/>
    <x v="1"/>
    <x v="17"/>
    <x v="2"/>
    <x v="1"/>
    <m/>
    <m/>
    <n v="48544.241000000038"/>
  </r>
  <r>
    <n v="733510"/>
    <x v="0"/>
    <x v="17"/>
    <x v="2"/>
    <x v="1"/>
    <m/>
    <m/>
    <n v="292056.15999999997"/>
  </r>
  <r>
    <n v="733511"/>
    <x v="1"/>
    <x v="18"/>
    <x v="2"/>
    <x v="1"/>
    <m/>
    <m/>
    <n v="3783.4349999999977"/>
  </r>
  <r>
    <n v="733511"/>
    <x v="0"/>
    <x v="18"/>
    <x v="2"/>
    <x v="1"/>
    <m/>
    <m/>
    <n v="20977.65"/>
  </r>
  <r>
    <n v="733512"/>
    <x v="1"/>
    <x v="19"/>
    <x v="2"/>
    <x v="1"/>
    <m/>
    <m/>
    <n v="1156.6710000000003"/>
  </r>
  <r>
    <n v="733512"/>
    <x v="0"/>
    <x v="19"/>
    <x v="2"/>
    <x v="1"/>
    <m/>
    <m/>
    <n v="6413.25"/>
  </r>
  <r>
    <n v="733515"/>
    <x v="2"/>
    <x v="20"/>
    <x v="2"/>
    <x v="1"/>
    <m/>
    <m/>
    <n v="1140.48"/>
  </r>
  <r>
    <n v="733525"/>
    <x v="2"/>
    <x v="21"/>
    <x v="2"/>
    <x v="1"/>
    <m/>
    <m/>
    <n v="7027.0060000000003"/>
  </r>
  <r>
    <n v="733530"/>
    <x v="2"/>
    <x v="22"/>
    <x v="2"/>
    <x v="1"/>
    <m/>
    <m/>
    <n v="58105.957999999999"/>
  </r>
  <r>
    <n v="733550"/>
    <x v="2"/>
    <x v="23"/>
    <x v="2"/>
    <x v="1"/>
    <m/>
    <m/>
    <n v="4132.165"/>
  </r>
  <r>
    <n v="733555"/>
    <x v="2"/>
    <x v="24"/>
    <x v="2"/>
    <x v="1"/>
    <m/>
    <m/>
    <n v="7830.0309999999999"/>
  </r>
  <r>
    <n v="735015"/>
    <x v="2"/>
    <x v="25"/>
    <x v="2"/>
    <x v="1"/>
    <m/>
    <m/>
    <n v="2578.8040000000001"/>
  </r>
  <r>
    <n v="736005"/>
    <x v="2"/>
    <x v="26"/>
    <x v="2"/>
    <x v="1"/>
    <m/>
    <m/>
    <n v="1388.8889999999999"/>
  </r>
  <r>
    <n v="736010"/>
    <x v="2"/>
    <x v="26"/>
    <x v="2"/>
    <x v="1"/>
    <m/>
    <m/>
    <n v="37612.053999999996"/>
  </r>
  <r>
    <n v="736015"/>
    <x v="2"/>
    <x v="26"/>
    <x v="2"/>
    <x v="1"/>
    <m/>
    <m/>
    <n v="800.89499999999998"/>
  </r>
  <r>
    <n v="736020"/>
    <x v="2"/>
    <x v="26"/>
    <x v="2"/>
    <x v="1"/>
    <m/>
    <m/>
    <n v="594.327"/>
  </r>
  <r>
    <n v="739525"/>
    <x v="2"/>
    <x v="27"/>
    <x v="2"/>
    <x v="1"/>
    <m/>
    <m/>
    <n v="2846.15"/>
  </r>
  <r>
    <n v="739530"/>
    <x v="2"/>
    <x v="28"/>
    <x v="2"/>
    <x v="1"/>
    <m/>
    <m/>
    <n v="4317.4290000000001"/>
  </r>
  <r>
    <n v="739535"/>
    <x v="2"/>
    <x v="29"/>
    <x v="2"/>
    <x v="1"/>
    <m/>
    <m/>
    <n v="1049.4110000000001"/>
  </r>
  <r>
    <n v="739560"/>
    <x v="2"/>
    <x v="30"/>
    <x v="2"/>
    <x v="1"/>
    <m/>
    <m/>
    <n v="488.84699999999998"/>
  </r>
  <r>
    <n v="740101"/>
    <x v="3"/>
    <x v="31"/>
    <x v="2"/>
    <x v="1"/>
    <m/>
    <m/>
    <n v="32050.187000000002"/>
  </r>
  <r>
    <n v="73109502"/>
    <x v="1"/>
    <x v="32"/>
    <x v="2"/>
    <x v="1"/>
    <m/>
    <m/>
    <n v="128.59599999999989"/>
  </r>
  <r>
    <n v="73109502"/>
    <x v="0"/>
    <x v="32"/>
    <x v="2"/>
    <x v="1"/>
    <m/>
    <m/>
    <n v="902.87"/>
  </r>
  <r>
    <n v="73159503"/>
    <x v="2"/>
    <x v="51"/>
    <x v="2"/>
    <x v="1"/>
    <m/>
    <m/>
    <n v="231.37"/>
  </r>
  <r>
    <n v="73359501"/>
    <x v="2"/>
    <x v="33"/>
    <x v="2"/>
    <x v="1"/>
    <m/>
    <m/>
    <n v="427.5"/>
  </r>
  <r>
    <n v="73359506"/>
    <x v="1"/>
    <x v="49"/>
    <x v="2"/>
    <x v="1"/>
    <m/>
    <m/>
    <n v="1400.56"/>
  </r>
  <r>
    <n v="73451501"/>
    <x v="2"/>
    <x v="34"/>
    <x v="2"/>
    <x v="1"/>
    <m/>
    <m/>
    <n v="40"/>
  </r>
  <r>
    <n v="73451502"/>
    <x v="2"/>
    <x v="34"/>
    <x v="2"/>
    <x v="1"/>
    <m/>
    <m/>
    <n v="5515.232"/>
  </r>
  <r>
    <n v="73451503"/>
    <x v="2"/>
    <x v="35"/>
    <x v="2"/>
    <x v="1"/>
    <m/>
    <m/>
    <n v="6144.8"/>
  </r>
  <r>
    <n v="73451504"/>
    <x v="2"/>
    <x v="35"/>
    <x v="2"/>
    <x v="1"/>
    <m/>
    <m/>
    <n v="1486.7470000000001"/>
  </r>
  <r>
    <n v="73451507"/>
    <x v="2"/>
    <x v="36"/>
    <x v="2"/>
    <x v="1"/>
    <m/>
    <m/>
    <n v="90"/>
  </r>
  <r>
    <n v="73452501"/>
    <x v="2"/>
    <x v="37"/>
    <x v="2"/>
    <x v="1"/>
    <m/>
    <m/>
    <n v="787.01"/>
  </r>
  <r>
    <n v="73959503"/>
    <x v="2"/>
    <x v="52"/>
    <x v="2"/>
    <x v="1"/>
    <m/>
    <m/>
    <n v="2089.7939999999999"/>
  </r>
  <r>
    <n v="73959504"/>
    <x v="1"/>
    <x v="40"/>
    <x v="2"/>
    <x v="1"/>
    <m/>
    <m/>
    <n v="607.25"/>
  </r>
  <r>
    <n v="73959504"/>
    <x v="0"/>
    <x v="40"/>
    <x v="2"/>
    <x v="1"/>
    <m/>
    <m/>
    <n v="1298.6500000000001"/>
  </r>
  <r>
    <n v="73959510"/>
    <x v="2"/>
    <x v="42"/>
    <x v="2"/>
    <x v="1"/>
    <m/>
    <m/>
    <n v="739.15"/>
  </r>
  <r>
    <s v="720506"/>
    <x v="0"/>
    <x v="0"/>
    <x v="1"/>
    <x v="1"/>
    <m/>
    <n v="50166.385000000002"/>
    <m/>
  </r>
  <r>
    <s v="720515"/>
    <x v="0"/>
    <x v="1"/>
    <x v="1"/>
    <x v="1"/>
    <m/>
    <n v="7311.067"/>
    <m/>
  </r>
  <r>
    <s v="720524"/>
    <x v="0"/>
    <x v="2"/>
    <x v="1"/>
    <x v="1"/>
    <m/>
    <n v="2217.817"/>
    <m/>
  </r>
  <r>
    <s v="720527"/>
    <x v="0"/>
    <x v="3"/>
    <x v="1"/>
    <x v="1"/>
    <m/>
    <n v="7099.21"/>
    <m/>
  </r>
  <r>
    <s v="720530"/>
    <x v="0"/>
    <x v="4"/>
    <x v="1"/>
    <x v="1"/>
    <m/>
    <n v="5701.4120000000003"/>
    <m/>
  </r>
  <r>
    <s v="720533"/>
    <x v="0"/>
    <x v="4"/>
    <x v="1"/>
    <x v="1"/>
    <m/>
    <n v="684.44200000000001"/>
    <m/>
  </r>
  <r>
    <s v="720536"/>
    <x v="0"/>
    <x v="4"/>
    <x v="1"/>
    <x v="1"/>
    <m/>
    <n v="5701.4120000000003"/>
    <m/>
  </r>
  <r>
    <s v="720539"/>
    <x v="0"/>
    <x v="4"/>
    <x v="1"/>
    <x v="1"/>
    <m/>
    <n v="2558.096"/>
    <m/>
  </r>
  <r>
    <s v="720540"/>
    <x v="0"/>
    <x v="4"/>
    <x v="1"/>
    <x v="1"/>
    <m/>
    <n v="846.57399999999996"/>
    <m/>
  </r>
  <r>
    <s v="720546"/>
    <x v="0"/>
    <x v="5"/>
    <x v="1"/>
    <x v="1"/>
    <m/>
    <n v="24915.5"/>
    <m/>
  </r>
  <r>
    <s v="720547"/>
    <x v="0"/>
    <x v="6"/>
    <x v="1"/>
    <x v="1"/>
    <m/>
    <n v="2241.3629999999998"/>
    <m/>
  </r>
  <r>
    <s v="720552"/>
    <x v="0"/>
    <x v="7"/>
    <x v="1"/>
    <x v="1"/>
    <m/>
    <n v="6067.1419999999998"/>
    <m/>
  </r>
  <r>
    <s v="720568"/>
    <x v="0"/>
    <x v="8"/>
    <x v="1"/>
    <x v="1"/>
    <m/>
    <n v="1406.7"/>
    <m/>
  </r>
  <r>
    <s v="720570"/>
    <x v="0"/>
    <x v="8"/>
    <x v="1"/>
    <x v="1"/>
    <m/>
    <n v="7102.4"/>
    <m/>
  </r>
  <r>
    <s v="720572"/>
    <x v="0"/>
    <x v="8"/>
    <x v="1"/>
    <x v="1"/>
    <m/>
    <n v="2389.5"/>
    <m/>
  </r>
  <r>
    <s v="730506"/>
    <x v="1"/>
    <x v="0"/>
    <x v="1"/>
    <x v="1"/>
    <m/>
    <n v="75219.213000000003"/>
    <m/>
  </r>
  <r>
    <s v="730508"/>
    <x v="1"/>
    <x v="10"/>
    <x v="1"/>
    <x v="1"/>
    <m/>
    <n v="1750.9059999999999"/>
    <m/>
  </r>
  <r>
    <s v="730515"/>
    <x v="1"/>
    <x v="1"/>
    <x v="1"/>
    <x v="1"/>
    <m/>
    <n v="5693.04"/>
    <m/>
  </r>
  <r>
    <s v="730524"/>
    <x v="1"/>
    <x v="2"/>
    <x v="1"/>
    <x v="1"/>
    <m/>
    <n v="246.55600000000001"/>
    <m/>
  </r>
  <r>
    <s v="730527"/>
    <x v="1"/>
    <x v="11"/>
    <x v="1"/>
    <x v="1"/>
    <m/>
    <n v="3968.915"/>
    <m/>
  </r>
  <r>
    <s v="730530"/>
    <x v="1"/>
    <x v="4"/>
    <x v="1"/>
    <x v="1"/>
    <m/>
    <n v="7623.8590000000004"/>
    <m/>
  </r>
  <r>
    <s v="730533"/>
    <x v="1"/>
    <x v="4"/>
    <x v="1"/>
    <x v="1"/>
    <m/>
    <n v="915.22799999999995"/>
    <m/>
  </r>
  <r>
    <s v="730536"/>
    <x v="1"/>
    <x v="4"/>
    <x v="1"/>
    <x v="1"/>
    <m/>
    <n v="7623.8590000000004"/>
    <m/>
  </r>
  <r>
    <s v="730539"/>
    <x v="1"/>
    <x v="4"/>
    <x v="1"/>
    <x v="1"/>
    <m/>
    <n v="3651.0010000000002"/>
    <m/>
  </r>
  <r>
    <s v="730540"/>
    <x v="1"/>
    <x v="4"/>
    <x v="1"/>
    <x v="1"/>
    <m/>
    <n v="1208.25"/>
    <m/>
  </r>
  <r>
    <s v="730545"/>
    <x v="1"/>
    <x v="5"/>
    <x v="1"/>
    <x v="1"/>
    <m/>
    <n v="3049.096"/>
    <m/>
  </r>
  <r>
    <s v="730546"/>
    <x v="1"/>
    <x v="5"/>
    <x v="1"/>
    <x v="1"/>
    <m/>
    <n v="37857.160000000003"/>
    <m/>
  </r>
  <r>
    <s v="730547"/>
    <x v="1"/>
    <x v="6"/>
    <x v="1"/>
    <x v="1"/>
    <m/>
    <n v="3413.6010000000001"/>
    <m/>
  </r>
  <r>
    <s v="730552"/>
    <x v="1"/>
    <x v="7"/>
    <x v="1"/>
    <x v="1"/>
    <m/>
    <n v="679.43100000000004"/>
    <m/>
  </r>
  <r>
    <s v="730568"/>
    <x v="1"/>
    <x v="8"/>
    <x v="1"/>
    <x v="1"/>
    <m/>
    <n v="2028.65"/>
    <m/>
  </r>
  <r>
    <s v="730570"/>
    <x v="1"/>
    <x v="8"/>
    <x v="1"/>
    <x v="1"/>
    <m/>
    <n v="10474.299999999999"/>
    <m/>
  </r>
  <r>
    <s v="730572"/>
    <x v="1"/>
    <x v="8"/>
    <x v="1"/>
    <x v="1"/>
    <m/>
    <n v="3492.25"/>
    <m/>
  </r>
  <r>
    <s v="730584"/>
    <x v="1"/>
    <x v="9"/>
    <x v="1"/>
    <x v="1"/>
    <m/>
    <n v="229.31"/>
    <m/>
  </r>
  <r>
    <s v="73109502"/>
    <x v="1"/>
    <x v="32"/>
    <x v="1"/>
    <x v="1"/>
    <m/>
    <n v="637.02400000000011"/>
    <m/>
  </r>
  <r>
    <s v="73109502"/>
    <x v="0"/>
    <x v="32"/>
    <x v="1"/>
    <x v="1"/>
    <m/>
    <n v="1333.26"/>
    <m/>
  </r>
  <r>
    <s v="73159504"/>
    <x v="2"/>
    <x v="53"/>
    <x v="1"/>
    <x v="1"/>
    <m/>
    <n v="14303"/>
    <m/>
  </r>
  <r>
    <s v="73159505"/>
    <x v="2"/>
    <x v="54"/>
    <x v="1"/>
    <x v="1"/>
    <m/>
    <n v="564"/>
    <m/>
  </r>
  <r>
    <s v="732010"/>
    <x v="2"/>
    <x v="14"/>
    <x v="1"/>
    <x v="1"/>
    <m/>
    <n v="85361"/>
    <m/>
  </r>
  <r>
    <s v="733095"/>
    <x v="2"/>
    <x v="15"/>
    <x v="1"/>
    <x v="1"/>
    <m/>
    <n v="7213.9309999999996"/>
    <m/>
  </r>
  <r>
    <s v="733505"/>
    <x v="2"/>
    <x v="16"/>
    <x v="1"/>
    <x v="1"/>
    <m/>
    <n v="4125.0039999999999"/>
    <m/>
  </r>
  <r>
    <s v="733510"/>
    <x v="1"/>
    <x v="17"/>
    <x v="1"/>
    <x v="1"/>
    <m/>
    <n v="65755.749000000011"/>
    <m/>
  </r>
  <r>
    <s v="733510"/>
    <x v="0"/>
    <x v="17"/>
    <x v="1"/>
    <x v="1"/>
    <m/>
    <n v="330918.03999999998"/>
    <m/>
  </r>
  <r>
    <s v="733511"/>
    <x v="1"/>
    <x v="18"/>
    <x v="1"/>
    <x v="1"/>
    <m/>
    <n v="14991.708999999988"/>
    <m/>
  </r>
  <r>
    <s v="733511"/>
    <x v="0"/>
    <x v="18"/>
    <x v="1"/>
    <x v="1"/>
    <m/>
    <n v="69286.850000000006"/>
    <m/>
  </r>
  <r>
    <s v="733515"/>
    <x v="2"/>
    <x v="20"/>
    <x v="1"/>
    <x v="1"/>
    <m/>
    <n v="14950"/>
    <m/>
  </r>
  <r>
    <s v="733525"/>
    <x v="2"/>
    <x v="21"/>
    <x v="1"/>
    <x v="1"/>
    <m/>
    <n v="9769.3330000000005"/>
    <m/>
  </r>
  <r>
    <s v="733530"/>
    <x v="2"/>
    <x v="22"/>
    <x v="1"/>
    <x v="1"/>
    <m/>
    <n v="55514.32"/>
    <m/>
  </r>
  <r>
    <s v="733550"/>
    <x v="2"/>
    <x v="23"/>
    <x v="1"/>
    <x v="1"/>
    <m/>
    <n v="19105.985000000001"/>
    <m/>
  </r>
  <r>
    <s v="733555"/>
    <x v="2"/>
    <x v="24"/>
    <x v="1"/>
    <x v="1"/>
    <m/>
    <n v="7661.3710000000001"/>
    <m/>
  </r>
  <r>
    <s v="73359501"/>
    <x v="2"/>
    <x v="33"/>
    <x v="1"/>
    <x v="1"/>
    <m/>
    <n v="56.25"/>
    <m/>
  </r>
  <r>
    <s v="73359506"/>
    <x v="0"/>
    <x v="49"/>
    <x v="1"/>
    <x v="1"/>
    <m/>
    <n v="405.10599999999999"/>
    <m/>
  </r>
  <r>
    <s v="73451501"/>
    <x v="2"/>
    <x v="34"/>
    <x v="1"/>
    <x v="1"/>
    <m/>
    <n v="4226"/>
    <m/>
  </r>
  <r>
    <s v="73451502"/>
    <x v="2"/>
    <x v="34"/>
    <x v="1"/>
    <x v="1"/>
    <m/>
    <n v="8878.89"/>
    <m/>
  </r>
  <r>
    <s v="73451503"/>
    <x v="2"/>
    <x v="35"/>
    <x v="1"/>
    <x v="1"/>
    <m/>
    <n v="2459.8000000000002"/>
    <m/>
  </r>
  <r>
    <s v="73451504"/>
    <x v="2"/>
    <x v="35"/>
    <x v="1"/>
    <x v="1"/>
    <m/>
    <n v="1236.3720000000001"/>
    <m/>
  </r>
  <r>
    <s v="73451507"/>
    <x v="2"/>
    <x v="36"/>
    <x v="1"/>
    <x v="1"/>
    <m/>
    <n v="583"/>
    <m/>
  </r>
  <r>
    <s v="73452501"/>
    <x v="2"/>
    <x v="37"/>
    <x v="1"/>
    <x v="1"/>
    <m/>
    <n v="1472.2059999999999"/>
    <m/>
  </r>
  <r>
    <s v="735015"/>
    <x v="2"/>
    <x v="25"/>
    <x v="1"/>
    <x v="1"/>
    <m/>
    <n v="6302.5879999999997"/>
    <m/>
  </r>
  <r>
    <s v="735515"/>
    <x v="2"/>
    <x v="55"/>
    <x v="1"/>
    <x v="1"/>
    <m/>
    <n v="2325.9"/>
    <m/>
  </r>
  <r>
    <s v="736005"/>
    <x v="2"/>
    <x v="26"/>
    <x v="1"/>
    <x v="1"/>
    <m/>
    <n v="1388.8889999999999"/>
    <m/>
  </r>
  <r>
    <s v="736010"/>
    <x v="2"/>
    <x v="26"/>
    <x v="1"/>
    <x v="1"/>
    <m/>
    <n v="34767.608999999997"/>
    <m/>
  </r>
  <r>
    <s v="736015"/>
    <x v="2"/>
    <x v="26"/>
    <x v="1"/>
    <x v="1"/>
    <m/>
    <n v="851.678"/>
    <m/>
  </r>
  <r>
    <s v="736020"/>
    <x v="2"/>
    <x v="26"/>
    <x v="1"/>
    <x v="1"/>
    <m/>
    <n v="543.06100000000004"/>
    <m/>
  </r>
  <r>
    <s v="739520"/>
    <x v="2"/>
    <x v="45"/>
    <x v="1"/>
    <x v="1"/>
    <m/>
    <n v="155"/>
    <m/>
  </r>
  <r>
    <s v="739525"/>
    <x v="2"/>
    <x v="27"/>
    <x v="1"/>
    <x v="1"/>
    <m/>
    <n v="1930.548"/>
    <m/>
  </r>
  <r>
    <s v="739530"/>
    <x v="2"/>
    <x v="28"/>
    <x v="1"/>
    <x v="1"/>
    <m/>
    <n v="3116.8420000000001"/>
    <m/>
  </r>
  <r>
    <s v="739535"/>
    <x v="2"/>
    <x v="29"/>
    <x v="1"/>
    <x v="1"/>
    <m/>
    <n v="4015"/>
    <m/>
  </r>
  <r>
    <s v="739560"/>
    <x v="2"/>
    <x v="30"/>
    <x v="1"/>
    <x v="1"/>
    <m/>
    <n v="3369.6469999999999"/>
    <m/>
  </r>
  <r>
    <s v="73959501"/>
    <x v="2"/>
    <x v="39"/>
    <x v="1"/>
    <x v="1"/>
    <m/>
    <n v="26900.17"/>
    <m/>
  </r>
  <r>
    <s v="73959504"/>
    <x v="1"/>
    <x v="40"/>
    <x v="1"/>
    <x v="1"/>
    <m/>
    <n v="702.15900000000011"/>
    <m/>
  </r>
  <r>
    <s v="73959504"/>
    <x v="0"/>
    <x v="40"/>
    <x v="1"/>
    <x v="1"/>
    <m/>
    <n v="1040.06"/>
    <m/>
  </r>
  <r>
    <s v="73959510"/>
    <x v="2"/>
    <x v="42"/>
    <x v="1"/>
    <x v="1"/>
    <m/>
    <n v="4188.3559999999998"/>
    <m/>
  </r>
  <r>
    <s v="740101"/>
    <x v="3"/>
    <x v="31"/>
    <x v="1"/>
    <x v="1"/>
    <m/>
    <n v="36476.173999999999"/>
    <m/>
  </r>
  <r>
    <n v="720506"/>
    <x v="0"/>
    <x v="0"/>
    <x v="0"/>
    <x v="2"/>
    <n v="44124.947999999997"/>
    <m/>
    <m/>
  </r>
  <r>
    <n v="720515"/>
    <x v="0"/>
    <x v="1"/>
    <x v="0"/>
    <x v="2"/>
    <n v="8673.652"/>
    <m/>
    <m/>
  </r>
  <r>
    <n v="720524"/>
    <x v="0"/>
    <x v="2"/>
    <x v="0"/>
    <x v="2"/>
    <n v="756.66700000000003"/>
    <m/>
    <m/>
  </r>
  <r>
    <n v="720527"/>
    <x v="0"/>
    <x v="3"/>
    <x v="0"/>
    <x v="2"/>
    <n v="4645.6080000000002"/>
    <m/>
    <m/>
  </r>
  <r>
    <n v="720530"/>
    <x v="0"/>
    <x v="4"/>
    <x v="0"/>
    <x v="2"/>
    <n v="5237.4690000000001"/>
    <m/>
    <m/>
  </r>
  <r>
    <n v="720533"/>
    <x v="0"/>
    <x v="4"/>
    <x v="0"/>
    <x v="2"/>
    <n v="628.74699999999996"/>
    <m/>
    <m/>
  </r>
  <r>
    <n v="720536"/>
    <x v="0"/>
    <x v="4"/>
    <x v="0"/>
    <x v="2"/>
    <n v="5237.4690000000001"/>
    <m/>
    <m/>
  </r>
  <r>
    <n v="720539"/>
    <x v="0"/>
    <x v="4"/>
    <x v="0"/>
    <x v="2"/>
    <n v="2428.1559999999999"/>
    <m/>
    <m/>
  </r>
  <r>
    <n v="720540"/>
    <x v="0"/>
    <x v="4"/>
    <x v="0"/>
    <x v="2"/>
    <n v="803.55899999999997"/>
    <m/>
    <m/>
  </r>
  <r>
    <n v="720546"/>
    <x v="0"/>
    <x v="5"/>
    <x v="0"/>
    <x v="2"/>
    <n v="6759.3590000000004"/>
    <m/>
    <m/>
  </r>
  <r>
    <n v="720547"/>
    <x v="0"/>
    <x v="6"/>
    <x v="0"/>
    <x v="2"/>
    <n v="2066.4630000000002"/>
    <m/>
    <m/>
  </r>
  <r>
    <n v="720551"/>
    <x v="0"/>
    <x v="12"/>
    <x v="0"/>
    <x v="2"/>
    <n v="13992.212"/>
    <m/>
    <m/>
  </r>
  <r>
    <n v="720552"/>
    <x v="0"/>
    <x v="7"/>
    <x v="0"/>
    <x v="2"/>
    <n v="3589.674"/>
    <m/>
    <m/>
  </r>
  <r>
    <n v="720568"/>
    <x v="0"/>
    <x v="8"/>
    <x v="0"/>
    <x v="2"/>
    <n v="1299.8"/>
    <m/>
    <m/>
  </r>
  <r>
    <n v="720569"/>
    <x v="0"/>
    <x v="8"/>
    <x v="0"/>
    <x v="2"/>
    <n v="-12.003"/>
    <m/>
    <m/>
  </r>
  <r>
    <n v="720570"/>
    <x v="0"/>
    <x v="8"/>
    <x v="0"/>
    <x v="2"/>
    <n v="6642.8220000000001"/>
    <m/>
    <m/>
  </r>
  <r>
    <n v="720572"/>
    <x v="0"/>
    <x v="8"/>
    <x v="0"/>
    <x v="2"/>
    <n v="2306.6"/>
    <m/>
    <m/>
  </r>
  <r>
    <n v="720584"/>
    <x v="0"/>
    <x v="9"/>
    <x v="0"/>
    <x v="2"/>
    <n v="108.815"/>
    <m/>
    <m/>
  </r>
  <r>
    <n v="730506"/>
    <x v="1"/>
    <x v="0"/>
    <x v="0"/>
    <x v="2"/>
    <n v="72932.332999999999"/>
    <m/>
    <m/>
  </r>
  <r>
    <n v="730508"/>
    <x v="1"/>
    <x v="10"/>
    <x v="0"/>
    <x v="2"/>
    <n v="1300"/>
    <m/>
    <m/>
  </r>
  <r>
    <n v="730515"/>
    <x v="1"/>
    <x v="1"/>
    <x v="0"/>
    <x v="2"/>
    <n v="5275.69"/>
    <m/>
    <m/>
  </r>
  <r>
    <n v="730524"/>
    <x v="1"/>
    <x v="2"/>
    <x v="0"/>
    <x v="2"/>
    <n v="672.34299999999996"/>
    <m/>
    <m/>
  </r>
  <r>
    <n v="730527"/>
    <x v="1"/>
    <x v="11"/>
    <x v="0"/>
    <x v="2"/>
    <n v="1641.6"/>
    <m/>
    <m/>
  </r>
  <r>
    <n v="730530"/>
    <x v="1"/>
    <x v="4"/>
    <x v="0"/>
    <x v="2"/>
    <n v="6969.0950000000003"/>
    <m/>
    <m/>
  </r>
  <r>
    <n v="730533"/>
    <x v="1"/>
    <x v="4"/>
    <x v="0"/>
    <x v="2"/>
    <n v="836.62599999999998"/>
    <m/>
    <m/>
  </r>
  <r>
    <n v="730536"/>
    <x v="1"/>
    <x v="4"/>
    <x v="0"/>
    <x v="2"/>
    <n v="6969.0950000000003"/>
    <m/>
    <m/>
  </r>
  <r>
    <n v="730539"/>
    <x v="1"/>
    <x v="4"/>
    <x v="0"/>
    <x v="2"/>
    <n v="3420.2759999999998"/>
    <m/>
    <m/>
  </r>
  <r>
    <n v="730540"/>
    <x v="1"/>
    <x v="4"/>
    <x v="0"/>
    <x v="2"/>
    <n v="1131.8900000000001"/>
    <m/>
    <m/>
  </r>
  <r>
    <n v="730546"/>
    <x v="1"/>
    <x v="5"/>
    <x v="0"/>
    <x v="2"/>
    <n v="10468.050999999999"/>
    <m/>
    <m/>
  </r>
  <r>
    <n v="730547"/>
    <x v="1"/>
    <x v="6"/>
    <x v="0"/>
    <x v="2"/>
    <n v="3200.277"/>
    <m/>
    <m/>
  </r>
  <r>
    <n v="730551"/>
    <x v="1"/>
    <x v="12"/>
    <x v="0"/>
    <x v="2"/>
    <n v="2993.8380000000002"/>
    <m/>
    <m/>
  </r>
  <r>
    <n v="730552"/>
    <x v="1"/>
    <x v="7"/>
    <x v="0"/>
    <x v="2"/>
    <n v="1261.4749999999999"/>
    <m/>
    <m/>
  </r>
  <r>
    <n v="730568"/>
    <x v="1"/>
    <x v="8"/>
    <x v="0"/>
    <x v="2"/>
    <n v="1938.2"/>
    <m/>
    <m/>
  </r>
  <r>
    <n v="730569"/>
    <x v="1"/>
    <x v="8"/>
    <x v="0"/>
    <x v="2"/>
    <n v="1312.3630000000001"/>
    <m/>
    <m/>
  </r>
  <r>
    <n v="730570"/>
    <x v="1"/>
    <x v="8"/>
    <x v="0"/>
    <x v="2"/>
    <n v="9763.393"/>
    <m/>
    <m/>
  </r>
  <r>
    <n v="730572"/>
    <x v="1"/>
    <x v="8"/>
    <x v="0"/>
    <x v="2"/>
    <n v="3234.9"/>
    <m/>
    <m/>
  </r>
  <r>
    <n v="730575"/>
    <x v="1"/>
    <x v="8"/>
    <x v="0"/>
    <x v="2"/>
    <n v="412.5"/>
    <m/>
    <m/>
  </r>
  <r>
    <n v="730578"/>
    <x v="1"/>
    <x v="8"/>
    <x v="0"/>
    <x v="2"/>
    <n v="275"/>
    <m/>
    <m/>
  </r>
  <r>
    <n v="732010"/>
    <x v="2"/>
    <x v="14"/>
    <x v="0"/>
    <x v="2"/>
    <n v="19396.465"/>
    <m/>
    <m/>
  </r>
  <r>
    <n v="733095"/>
    <x v="2"/>
    <x v="15"/>
    <x v="0"/>
    <x v="2"/>
    <n v="4176.6989999999996"/>
    <m/>
    <m/>
  </r>
  <r>
    <n v="733505"/>
    <x v="2"/>
    <x v="16"/>
    <x v="0"/>
    <x v="2"/>
    <n v="1758.42"/>
    <m/>
    <m/>
  </r>
  <r>
    <n v="733510"/>
    <x v="1"/>
    <x v="17"/>
    <x v="0"/>
    <x v="2"/>
    <n v="57137.67300000001"/>
    <m/>
    <m/>
  </r>
  <r>
    <n v="733510"/>
    <x v="0"/>
    <x v="17"/>
    <x v="0"/>
    <x v="2"/>
    <n v="283536"/>
    <m/>
    <m/>
  </r>
  <r>
    <n v="733511"/>
    <x v="1"/>
    <x v="18"/>
    <x v="0"/>
    <x v="2"/>
    <n v="3898.107"/>
    <m/>
    <m/>
  </r>
  <r>
    <n v="733511"/>
    <x v="0"/>
    <x v="18"/>
    <x v="0"/>
    <x v="2"/>
    <n v="18595"/>
    <m/>
    <m/>
  </r>
  <r>
    <n v="733512"/>
    <x v="1"/>
    <x v="19"/>
    <x v="0"/>
    <x v="2"/>
    <n v="1191.558"/>
    <m/>
    <m/>
  </r>
  <r>
    <n v="733512"/>
    <x v="0"/>
    <x v="19"/>
    <x v="0"/>
    <x v="2"/>
    <n v="5685"/>
    <m/>
    <m/>
  </r>
  <r>
    <n v="733515"/>
    <x v="2"/>
    <x v="20"/>
    <x v="0"/>
    <x v="2"/>
    <n v="2700"/>
    <m/>
    <m/>
  </r>
  <r>
    <n v="733525"/>
    <x v="2"/>
    <x v="21"/>
    <x v="0"/>
    <x v="2"/>
    <n v="4916.768"/>
    <m/>
    <m/>
  </r>
  <r>
    <n v="733530"/>
    <x v="2"/>
    <x v="22"/>
    <x v="0"/>
    <x v="2"/>
    <n v="63318.495000000003"/>
    <m/>
    <m/>
  </r>
  <r>
    <n v="733550"/>
    <x v="2"/>
    <x v="23"/>
    <x v="0"/>
    <x v="2"/>
    <n v="6779.12"/>
    <m/>
    <m/>
  </r>
  <r>
    <n v="733555"/>
    <x v="2"/>
    <x v="24"/>
    <x v="0"/>
    <x v="2"/>
    <n v="7147.8959999999997"/>
    <m/>
    <m/>
  </r>
  <r>
    <n v="735015"/>
    <x v="2"/>
    <x v="25"/>
    <x v="0"/>
    <x v="2"/>
    <n v="1535.6320000000001"/>
    <m/>
    <m/>
  </r>
  <r>
    <n v="736005"/>
    <x v="2"/>
    <x v="26"/>
    <x v="0"/>
    <x v="2"/>
    <n v="1388.8889999999999"/>
    <m/>
    <m/>
  </r>
  <r>
    <n v="736010"/>
    <x v="2"/>
    <x v="26"/>
    <x v="0"/>
    <x v="2"/>
    <n v="39428.970999999998"/>
    <m/>
    <m/>
  </r>
  <r>
    <n v="736015"/>
    <x v="2"/>
    <x v="26"/>
    <x v="0"/>
    <x v="2"/>
    <n v="800.89499999999998"/>
    <m/>
    <m/>
  </r>
  <r>
    <n v="736020"/>
    <x v="2"/>
    <x v="26"/>
    <x v="0"/>
    <x v="2"/>
    <n v="478.52300000000002"/>
    <m/>
    <m/>
  </r>
  <r>
    <n v="739525"/>
    <x v="2"/>
    <x v="27"/>
    <x v="0"/>
    <x v="2"/>
    <n v="2609.2820000000002"/>
    <m/>
    <m/>
  </r>
  <r>
    <n v="739530"/>
    <x v="2"/>
    <x v="28"/>
    <x v="0"/>
    <x v="2"/>
    <n v="5023.5439999999999"/>
    <m/>
    <m/>
  </r>
  <r>
    <n v="739535"/>
    <x v="2"/>
    <x v="29"/>
    <x v="0"/>
    <x v="2"/>
    <n v="150"/>
    <m/>
    <m/>
  </r>
  <r>
    <n v="739560"/>
    <x v="2"/>
    <x v="30"/>
    <x v="0"/>
    <x v="2"/>
    <n v="1324.0609999999999"/>
    <m/>
    <m/>
  </r>
  <r>
    <n v="740101"/>
    <x v="3"/>
    <x v="31"/>
    <x v="0"/>
    <x v="2"/>
    <n v="42080.120999999999"/>
    <m/>
    <m/>
  </r>
  <r>
    <n v="73109502"/>
    <x v="1"/>
    <x v="32"/>
    <x v="0"/>
    <x v="2"/>
    <n v="241.25399999999991"/>
    <m/>
    <m/>
  </r>
  <r>
    <n v="73109502"/>
    <x v="0"/>
    <x v="32"/>
    <x v="0"/>
    <x v="2"/>
    <n v="1525"/>
    <m/>
    <m/>
  </r>
  <r>
    <n v="73109504"/>
    <x v="1"/>
    <x v="47"/>
    <x v="0"/>
    <x v="2"/>
    <n v="3500"/>
    <m/>
    <m/>
  </r>
  <r>
    <n v="73359506"/>
    <x v="1"/>
    <x v="49"/>
    <x v="0"/>
    <x v="2"/>
    <n v="6883.2659999999996"/>
    <m/>
    <m/>
  </r>
  <r>
    <n v="73359506"/>
    <x v="0"/>
    <x v="49"/>
    <x v="0"/>
    <x v="2"/>
    <n v="2427"/>
    <m/>
    <m/>
  </r>
  <r>
    <n v="73451501"/>
    <x v="2"/>
    <x v="34"/>
    <x v="0"/>
    <x v="2"/>
    <n v="4318.2430000000004"/>
    <m/>
    <m/>
  </r>
  <r>
    <n v="73451502"/>
    <x v="2"/>
    <x v="34"/>
    <x v="0"/>
    <x v="2"/>
    <n v="18988.615000000002"/>
    <m/>
    <m/>
  </r>
  <r>
    <n v="73451503"/>
    <x v="2"/>
    <x v="35"/>
    <x v="0"/>
    <x v="2"/>
    <n v="16640.96"/>
    <m/>
    <m/>
  </r>
  <r>
    <n v="73451504"/>
    <x v="2"/>
    <x v="35"/>
    <x v="0"/>
    <x v="2"/>
    <n v="57088.800000000003"/>
    <m/>
    <m/>
  </r>
  <r>
    <n v="73451507"/>
    <x v="2"/>
    <x v="36"/>
    <x v="0"/>
    <x v="2"/>
    <n v="78"/>
    <m/>
    <m/>
  </r>
  <r>
    <n v="73452501"/>
    <x v="2"/>
    <x v="37"/>
    <x v="0"/>
    <x v="2"/>
    <n v="597.72799999999995"/>
    <m/>
    <m/>
  </r>
  <r>
    <n v="73959501"/>
    <x v="2"/>
    <x v="39"/>
    <x v="0"/>
    <x v="2"/>
    <n v="-275"/>
    <m/>
    <m/>
  </r>
  <r>
    <n v="73959504"/>
    <x v="2"/>
    <x v="40"/>
    <x v="0"/>
    <x v="2"/>
    <n v="2132.2640000000001"/>
    <m/>
    <m/>
  </r>
  <r>
    <n v="73959510"/>
    <x v="2"/>
    <x v="42"/>
    <x v="0"/>
    <x v="2"/>
    <n v="1724.2080000000001"/>
    <m/>
    <m/>
  </r>
  <r>
    <s v="720506"/>
    <x v="0"/>
    <x v="0"/>
    <x v="1"/>
    <x v="2"/>
    <m/>
    <n v="53674.421000000002"/>
    <m/>
  </r>
  <r>
    <s v="720515"/>
    <x v="0"/>
    <x v="1"/>
    <x v="1"/>
    <x v="2"/>
    <m/>
    <n v="10485.587"/>
    <m/>
  </r>
  <r>
    <s v="720524"/>
    <x v="0"/>
    <x v="2"/>
    <x v="1"/>
    <x v="2"/>
    <m/>
    <n v="1925.999"/>
    <m/>
  </r>
  <r>
    <s v="720527"/>
    <x v="0"/>
    <x v="3"/>
    <x v="1"/>
    <x v="2"/>
    <m/>
    <n v="6061.3130000000001"/>
    <m/>
  </r>
  <r>
    <s v="720530"/>
    <x v="0"/>
    <x v="4"/>
    <x v="1"/>
    <x v="2"/>
    <m/>
    <n v="6615.4340000000002"/>
    <m/>
  </r>
  <r>
    <s v="720533"/>
    <x v="0"/>
    <x v="4"/>
    <x v="1"/>
    <x v="2"/>
    <m/>
    <n v="794.16800000000001"/>
    <m/>
  </r>
  <r>
    <s v="720536"/>
    <x v="0"/>
    <x v="4"/>
    <x v="1"/>
    <x v="2"/>
    <m/>
    <n v="6615.4340000000002"/>
    <m/>
  </r>
  <r>
    <s v="720539"/>
    <x v="0"/>
    <x v="4"/>
    <x v="1"/>
    <x v="2"/>
    <m/>
    <n v="3058.9369999999999"/>
    <m/>
  </r>
  <r>
    <s v="720540"/>
    <x v="0"/>
    <x v="4"/>
    <x v="1"/>
    <x v="2"/>
    <m/>
    <n v="1012.304"/>
    <m/>
  </r>
  <r>
    <s v="720546"/>
    <x v="0"/>
    <x v="5"/>
    <x v="1"/>
    <x v="2"/>
    <m/>
    <n v="8575.4709999999995"/>
    <m/>
  </r>
  <r>
    <s v="720547"/>
    <x v="0"/>
    <x v="6"/>
    <x v="1"/>
    <x v="2"/>
    <m/>
    <n v="2621.6860000000001"/>
    <m/>
  </r>
  <r>
    <s v="720551"/>
    <x v="0"/>
    <x v="12"/>
    <x v="1"/>
    <x v="2"/>
    <m/>
    <n v="2888.64"/>
    <m/>
  </r>
  <r>
    <s v="720552"/>
    <x v="0"/>
    <x v="7"/>
    <x v="1"/>
    <x v="2"/>
    <m/>
    <n v="4679.8559999999998"/>
    <m/>
  </r>
  <r>
    <s v="720560"/>
    <x v="0"/>
    <x v="13"/>
    <x v="1"/>
    <x v="2"/>
    <m/>
    <n v="6096.9719999999998"/>
    <m/>
  </r>
  <r>
    <s v="720568"/>
    <x v="0"/>
    <x v="8"/>
    <x v="1"/>
    <x v="2"/>
    <m/>
    <n v="1569.9"/>
    <m/>
  </r>
  <r>
    <s v="720570"/>
    <x v="0"/>
    <x v="8"/>
    <x v="1"/>
    <x v="2"/>
    <m/>
    <n v="8620"/>
    <m/>
  </r>
  <r>
    <s v="720572"/>
    <x v="0"/>
    <x v="8"/>
    <x v="1"/>
    <x v="2"/>
    <m/>
    <n v="2861.2"/>
    <m/>
  </r>
  <r>
    <s v="730506"/>
    <x v="1"/>
    <x v="0"/>
    <x v="1"/>
    <x v="2"/>
    <m/>
    <n v="97262.471000000005"/>
    <m/>
  </r>
  <r>
    <s v="730508"/>
    <x v="1"/>
    <x v="10"/>
    <x v="1"/>
    <x v="2"/>
    <m/>
    <n v="1750.9059999999999"/>
    <m/>
  </r>
  <r>
    <s v="730515"/>
    <x v="1"/>
    <x v="1"/>
    <x v="1"/>
    <x v="2"/>
    <m/>
    <n v="5856.0510000000004"/>
    <m/>
  </r>
  <r>
    <s v="730524"/>
    <x v="1"/>
    <x v="2"/>
    <x v="1"/>
    <x v="2"/>
    <m/>
    <n v="1183.3440000000001"/>
    <m/>
  </r>
  <r>
    <s v="730527"/>
    <x v="1"/>
    <x v="11"/>
    <x v="1"/>
    <x v="2"/>
    <m/>
    <n v="3628.4839999999999"/>
    <m/>
  </r>
  <r>
    <s v="730530"/>
    <x v="1"/>
    <x v="4"/>
    <x v="1"/>
    <x v="2"/>
    <m/>
    <n v="9164.2739999999994"/>
    <m/>
  </r>
  <r>
    <s v="730533"/>
    <x v="1"/>
    <x v="4"/>
    <x v="1"/>
    <x v="2"/>
    <m/>
    <n v="1100.1500000000001"/>
    <m/>
  </r>
  <r>
    <s v="730536"/>
    <x v="1"/>
    <x v="4"/>
    <x v="1"/>
    <x v="2"/>
    <m/>
    <n v="9164.2739999999994"/>
    <m/>
  </r>
  <r>
    <s v="730539"/>
    <x v="1"/>
    <x v="4"/>
    <x v="1"/>
    <x v="2"/>
    <m/>
    <n v="4436.326"/>
    <m/>
  </r>
  <r>
    <s v="730540"/>
    <x v="1"/>
    <x v="4"/>
    <x v="1"/>
    <x v="2"/>
    <m/>
    <n v="1468.135"/>
    <m/>
  </r>
  <r>
    <s v="730545"/>
    <x v="1"/>
    <x v="5"/>
    <x v="1"/>
    <x v="2"/>
    <m/>
    <n v="800"/>
    <m/>
  </r>
  <r>
    <s v="730546"/>
    <x v="1"/>
    <x v="5"/>
    <x v="1"/>
    <x v="2"/>
    <m/>
    <n v="13712.39"/>
    <m/>
  </r>
  <r>
    <s v="730547"/>
    <x v="1"/>
    <x v="6"/>
    <x v="1"/>
    <x v="2"/>
    <m/>
    <n v="4192.13"/>
    <m/>
  </r>
  <r>
    <s v="730551"/>
    <x v="1"/>
    <x v="12"/>
    <x v="1"/>
    <x v="2"/>
    <m/>
    <n v="849.6"/>
    <m/>
  </r>
  <r>
    <s v="730552"/>
    <x v="1"/>
    <x v="7"/>
    <x v="1"/>
    <x v="2"/>
    <m/>
    <n v="761.76599999999996"/>
    <m/>
  </r>
  <r>
    <s v="730560"/>
    <x v="1"/>
    <x v="13"/>
    <x v="1"/>
    <x v="2"/>
    <m/>
    <n v="2877.5830000000001"/>
    <m/>
  </r>
  <r>
    <s v="730563"/>
    <x v="1"/>
    <x v="43"/>
    <x v="1"/>
    <x v="2"/>
    <m/>
    <n v="2000"/>
    <m/>
  </r>
  <r>
    <s v="730568"/>
    <x v="1"/>
    <x v="8"/>
    <x v="1"/>
    <x v="2"/>
    <m/>
    <n v="2549.9"/>
    <m/>
  </r>
  <r>
    <s v="730570"/>
    <x v="1"/>
    <x v="8"/>
    <x v="1"/>
    <x v="2"/>
    <m/>
    <n v="12451.4"/>
    <m/>
  </r>
  <r>
    <s v="730572"/>
    <x v="1"/>
    <x v="8"/>
    <x v="1"/>
    <x v="2"/>
    <m/>
    <n v="4209"/>
    <m/>
  </r>
  <r>
    <s v="73109502"/>
    <x v="1"/>
    <x v="32"/>
    <x v="1"/>
    <x v="2"/>
    <m/>
    <n v="260.06400000000031"/>
    <m/>
  </r>
  <r>
    <s v="73109502"/>
    <x v="0"/>
    <x v="32"/>
    <x v="1"/>
    <x v="2"/>
    <m/>
    <n v="2120.6799999999998"/>
    <m/>
  </r>
  <r>
    <s v="731515"/>
    <x v="2"/>
    <x v="50"/>
    <x v="1"/>
    <x v="2"/>
    <m/>
    <n v="25477.518"/>
    <m/>
  </r>
  <r>
    <s v="73159503"/>
    <x v="2"/>
    <x v="51"/>
    <x v="1"/>
    <x v="2"/>
    <m/>
    <n v="2460.576"/>
    <m/>
  </r>
  <r>
    <s v="732010"/>
    <x v="2"/>
    <x v="14"/>
    <x v="1"/>
    <x v="2"/>
    <m/>
    <n v="85361"/>
    <m/>
  </r>
  <r>
    <s v="733095"/>
    <x v="2"/>
    <x v="15"/>
    <x v="1"/>
    <x v="2"/>
    <m/>
    <n v="7213.9309999999996"/>
    <m/>
  </r>
  <r>
    <s v="733505"/>
    <x v="2"/>
    <x v="16"/>
    <x v="1"/>
    <x v="2"/>
    <m/>
    <n v="899.91600000000005"/>
    <m/>
  </r>
  <r>
    <s v="733510"/>
    <x v="1"/>
    <x v="17"/>
    <x v="1"/>
    <x v="2"/>
    <m/>
    <n v="82550.884999999951"/>
    <m/>
  </r>
  <r>
    <s v="733510"/>
    <x v="0"/>
    <x v="17"/>
    <x v="1"/>
    <x v="2"/>
    <m/>
    <n v="385534.78"/>
    <m/>
  </r>
  <r>
    <s v="733511"/>
    <x v="1"/>
    <x v="18"/>
    <x v="1"/>
    <x v="2"/>
    <m/>
    <n v="6075.6620000000003"/>
    <m/>
  </r>
  <r>
    <s v="733511"/>
    <x v="0"/>
    <x v="18"/>
    <x v="1"/>
    <x v="2"/>
    <m/>
    <n v="13800.5"/>
    <m/>
  </r>
  <r>
    <s v="733512"/>
    <x v="1"/>
    <x v="19"/>
    <x v="1"/>
    <x v="2"/>
    <m/>
    <n v="1857.4390000000003"/>
    <m/>
  </r>
  <r>
    <s v="733512"/>
    <x v="0"/>
    <x v="19"/>
    <x v="1"/>
    <x v="2"/>
    <m/>
    <n v="8221.16"/>
    <m/>
  </r>
  <r>
    <s v="733515"/>
    <x v="2"/>
    <x v="20"/>
    <x v="1"/>
    <x v="2"/>
    <m/>
    <n v="1028.9860000000001"/>
    <m/>
  </r>
  <r>
    <s v="733525"/>
    <x v="2"/>
    <x v="21"/>
    <x v="1"/>
    <x v="2"/>
    <m/>
    <n v="6151.4470000000001"/>
    <m/>
  </r>
  <r>
    <s v="733530"/>
    <x v="2"/>
    <x v="22"/>
    <x v="1"/>
    <x v="2"/>
    <m/>
    <n v="54106.792000000001"/>
    <m/>
  </r>
  <r>
    <s v="733550"/>
    <x v="2"/>
    <x v="23"/>
    <x v="1"/>
    <x v="2"/>
    <m/>
    <n v="7088.3"/>
    <m/>
  </r>
  <r>
    <s v="733555"/>
    <x v="2"/>
    <x v="24"/>
    <x v="1"/>
    <x v="2"/>
    <m/>
    <n v="8227.1859999999997"/>
    <m/>
  </r>
  <r>
    <s v="73451501"/>
    <x v="2"/>
    <x v="34"/>
    <x v="1"/>
    <x v="2"/>
    <m/>
    <n v="1423.06"/>
    <m/>
  </r>
  <r>
    <s v="73451502"/>
    <x v="2"/>
    <x v="34"/>
    <x v="1"/>
    <x v="2"/>
    <m/>
    <n v="21452.295999999998"/>
    <m/>
  </r>
  <r>
    <s v="73451503"/>
    <x v="2"/>
    <x v="35"/>
    <x v="1"/>
    <x v="2"/>
    <m/>
    <n v="4463.7330000000002"/>
    <m/>
  </r>
  <r>
    <s v="73451504"/>
    <x v="2"/>
    <x v="35"/>
    <x v="1"/>
    <x v="2"/>
    <m/>
    <n v="54568.875"/>
    <m/>
  </r>
  <r>
    <s v="73451507"/>
    <x v="2"/>
    <x v="36"/>
    <x v="1"/>
    <x v="2"/>
    <m/>
    <n v="480.084"/>
    <m/>
  </r>
  <r>
    <s v="73452501"/>
    <x v="2"/>
    <x v="37"/>
    <x v="1"/>
    <x v="2"/>
    <m/>
    <n v="1758.8530000000001"/>
    <m/>
  </r>
  <r>
    <s v="735015"/>
    <x v="2"/>
    <x v="25"/>
    <x v="1"/>
    <x v="2"/>
    <m/>
    <n v="2606.4929999999999"/>
    <m/>
  </r>
  <r>
    <s v="736005"/>
    <x v="2"/>
    <x v="26"/>
    <x v="1"/>
    <x v="2"/>
    <m/>
    <n v="1388.8889999999999"/>
    <m/>
  </r>
  <r>
    <s v="736010"/>
    <x v="2"/>
    <x v="26"/>
    <x v="1"/>
    <x v="2"/>
    <m/>
    <n v="34767.608999999997"/>
    <m/>
  </r>
  <r>
    <s v="736015"/>
    <x v="2"/>
    <x v="26"/>
    <x v="1"/>
    <x v="2"/>
    <m/>
    <n v="2646.4839999999999"/>
    <m/>
  </r>
  <r>
    <s v="736020"/>
    <x v="2"/>
    <x v="26"/>
    <x v="1"/>
    <x v="2"/>
    <m/>
    <n v="2153.067"/>
    <m/>
  </r>
  <r>
    <s v="739520"/>
    <x v="2"/>
    <x v="45"/>
    <x v="1"/>
    <x v="2"/>
    <m/>
    <n v="19.5"/>
    <m/>
  </r>
  <r>
    <s v="739525"/>
    <x v="2"/>
    <x v="27"/>
    <x v="1"/>
    <x v="2"/>
    <m/>
    <n v="2686.5079999999998"/>
    <m/>
  </r>
  <r>
    <s v="739530"/>
    <x v="2"/>
    <x v="28"/>
    <x v="1"/>
    <x v="2"/>
    <m/>
    <n v="3864.297"/>
    <m/>
  </r>
  <r>
    <s v="739535"/>
    <x v="2"/>
    <x v="29"/>
    <x v="1"/>
    <x v="2"/>
    <m/>
    <n v="4685"/>
    <m/>
  </r>
  <r>
    <s v="739560"/>
    <x v="2"/>
    <x v="30"/>
    <x v="1"/>
    <x v="2"/>
    <m/>
    <n v="6298.4750000000004"/>
    <m/>
  </r>
  <r>
    <s v="73959501"/>
    <x v="2"/>
    <x v="39"/>
    <x v="1"/>
    <x v="2"/>
    <m/>
    <n v="668.2"/>
    <m/>
  </r>
  <r>
    <s v="73959504"/>
    <x v="0"/>
    <x v="40"/>
    <x v="1"/>
    <x v="2"/>
    <m/>
    <n v="1655.866"/>
    <m/>
  </r>
  <r>
    <s v="73959510"/>
    <x v="2"/>
    <x v="42"/>
    <x v="1"/>
    <x v="2"/>
    <m/>
    <n v="873.36699999999996"/>
    <m/>
  </r>
  <r>
    <s v="73959511"/>
    <x v="2"/>
    <x v="56"/>
    <x v="1"/>
    <x v="2"/>
    <m/>
    <n v="151.85"/>
    <m/>
  </r>
  <r>
    <s v="740101"/>
    <x v="3"/>
    <x v="31"/>
    <x v="1"/>
    <x v="2"/>
    <m/>
    <n v="45989.455999999998"/>
    <m/>
  </r>
  <r>
    <n v="720506"/>
    <x v="0"/>
    <x v="0"/>
    <x v="2"/>
    <x v="2"/>
    <m/>
    <m/>
    <n v="50534.004999999997"/>
  </r>
  <r>
    <n v="720515"/>
    <x v="0"/>
    <x v="1"/>
    <x v="2"/>
    <x v="2"/>
    <m/>
    <m/>
    <n v="17916.919999999998"/>
  </r>
  <r>
    <n v="720524"/>
    <x v="0"/>
    <x v="2"/>
    <x v="2"/>
    <x v="2"/>
    <m/>
    <m/>
    <n v="1663.7829999999999"/>
  </r>
  <r>
    <n v="720527"/>
    <x v="0"/>
    <x v="3"/>
    <x v="2"/>
    <x v="2"/>
    <m/>
    <m/>
    <n v="6033.3339999999998"/>
  </r>
  <r>
    <n v="720530"/>
    <x v="0"/>
    <x v="4"/>
    <x v="2"/>
    <x v="2"/>
    <m/>
    <m/>
    <n v="6531.0829999999996"/>
  </r>
  <r>
    <n v="720533"/>
    <x v="0"/>
    <x v="4"/>
    <x v="2"/>
    <x v="2"/>
    <m/>
    <m/>
    <n v="784.04200000000003"/>
  </r>
  <r>
    <n v="720536"/>
    <x v="0"/>
    <x v="4"/>
    <x v="2"/>
    <x v="2"/>
    <m/>
    <m/>
    <n v="6531.0829999999996"/>
  </r>
  <r>
    <n v="720539"/>
    <x v="0"/>
    <x v="4"/>
    <x v="2"/>
    <x v="2"/>
    <m/>
    <m/>
    <n v="3017.8739999999998"/>
  </r>
  <r>
    <n v="720540"/>
    <x v="0"/>
    <x v="4"/>
    <x v="2"/>
    <x v="2"/>
    <m/>
    <m/>
    <n v="998.71600000000001"/>
  </r>
  <r>
    <n v="720546"/>
    <x v="0"/>
    <x v="5"/>
    <x v="2"/>
    <x v="2"/>
    <m/>
    <m/>
    <n v="7427.5240000000003"/>
  </r>
  <r>
    <n v="720547"/>
    <x v="0"/>
    <x v="6"/>
    <x v="2"/>
    <x v="2"/>
    <m/>
    <m/>
    <n v="2270.7370000000001"/>
  </r>
  <r>
    <n v="720552"/>
    <x v="0"/>
    <x v="7"/>
    <x v="2"/>
    <x v="2"/>
    <m/>
    <m/>
    <n v="6302.625"/>
  </r>
  <r>
    <n v="720568"/>
    <x v="0"/>
    <x v="8"/>
    <x v="2"/>
    <x v="2"/>
    <m/>
    <m/>
    <n v="1747.2"/>
  </r>
  <r>
    <n v="720569"/>
    <x v="0"/>
    <x v="8"/>
    <x v="2"/>
    <x v="2"/>
    <m/>
    <m/>
    <n v="78.813999999999993"/>
  </r>
  <r>
    <n v="720570"/>
    <x v="0"/>
    <x v="8"/>
    <x v="2"/>
    <x v="2"/>
    <m/>
    <m/>
    <n v="8717.0679999999993"/>
  </r>
  <r>
    <n v="720572"/>
    <x v="0"/>
    <x v="8"/>
    <x v="2"/>
    <x v="2"/>
    <m/>
    <m/>
    <n v="2912.9"/>
  </r>
  <r>
    <n v="730506"/>
    <x v="1"/>
    <x v="0"/>
    <x v="2"/>
    <x v="2"/>
    <m/>
    <m/>
    <n v="83693.645999999993"/>
  </r>
  <r>
    <n v="730515"/>
    <x v="1"/>
    <x v="1"/>
    <x v="2"/>
    <x v="2"/>
    <m/>
    <m/>
    <n v="7033.9129999999996"/>
  </r>
  <r>
    <n v="730527"/>
    <x v="1"/>
    <x v="11"/>
    <x v="2"/>
    <x v="2"/>
    <m/>
    <m/>
    <n v="2400"/>
  </r>
  <r>
    <n v="730530"/>
    <x v="1"/>
    <x v="4"/>
    <x v="2"/>
    <x v="2"/>
    <m/>
    <m/>
    <n v="7757.53"/>
  </r>
  <r>
    <n v="730533"/>
    <x v="1"/>
    <x v="4"/>
    <x v="2"/>
    <x v="2"/>
    <m/>
    <m/>
    <n v="931.27499999999998"/>
  </r>
  <r>
    <n v="730536"/>
    <x v="1"/>
    <x v="4"/>
    <x v="2"/>
    <x v="2"/>
    <m/>
    <m/>
    <n v="7757.53"/>
  </r>
  <r>
    <n v="730539"/>
    <x v="1"/>
    <x v="4"/>
    <x v="2"/>
    <x v="2"/>
    <m/>
    <m/>
    <n v="3783.3420000000001"/>
  </r>
  <r>
    <n v="730540"/>
    <x v="1"/>
    <x v="4"/>
    <x v="2"/>
    <x v="2"/>
    <m/>
    <m/>
    <n v="1252.0419999999999"/>
  </r>
  <r>
    <n v="730545"/>
    <x v="1"/>
    <x v="5"/>
    <x v="2"/>
    <x v="2"/>
    <m/>
    <m/>
    <n v="500"/>
  </r>
  <r>
    <n v="730546"/>
    <x v="1"/>
    <x v="5"/>
    <x v="2"/>
    <x v="2"/>
    <m/>
    <m/>
    <n v="11415.815000000001"/>
  </r>
  <r>
    <n v="730547"/>
    <x v="1"/>
    <x v="6"/>
    <x v="2"/>
    <x v="2"/>
    <m/>
    <m/>
    <n v="3490.0279999999998"/>
  </r>
  <r>
    <n v="730552"/>
    <x v="1"/>
    <x v="7"/>
    <x v="2"/>
    <x v="2"/>
    <m/>
    <m/>
    <n v="536.40599999999995"/>
  </r>
  <r>
    <n v="730568"/>
    <x v="1"/>
    <x v="8"/>
    <x v="2"/>
    <x v="2"/>
    <m/>
    <m/>
    <n v="2211.1999999999998"/>
  </r>
  <r>
    <n v="730569"/>
    <x v="1"/>
    <x v="8"/>
    <x v="2"/>
    <x v="2"/>
    <m/>
    <m/>
    <n v="1286.3969999999999"/>
  </r>
  <r>
    <n v="730570"/>
    <x v="1"/>
    <x v="8"/>
    <x v="2"/>
    <x v="2"/>
    <m/>
    <m/>
    <n v="10888.047"/>
  </r>
  <r>
    <n v="730572"/>
    <x v="1"/>
    <x v="8"/>
    <x v="2"/>
    <x v="2"/>
    <m/>
    <m/>
    <n v="3629.8"/>
  </r>
  <r>
    <n v="730575"/>
    <x v="1"/>
    <x v="8"/>
    <x v="2"/>
    <x v="2"/>
    <m/>
    <m/>
    <n v="453.8"/>
  </r>
  <r>
    <n v="730578"/>
    <x v="1"/>
    <x v="8"/>
    <x v="2"/>
    <x v="2"/>
    <m/>
    <m/>
    <n v="302.5"/>
  </r>
  <r>
    <n v="730584"/>
    <x v="1"/>
    <x v="9"/>
    <x v="2"/>
    <x v="2"/>
    <m/>
    <m/>
    <n v="81.468999999999994"/>
  </r>
  <r>
    <n v="731515"/>
    <x v="2"/>
    <x v="50"/>
    <x v="2"/>
    <x v="2"/>
    <m/>
    <m/>
    <n v="16994.235000000001"/>
  </r>
  <r>
    <n v="732010"/>
    <x v="2"/>
    <x v="14"/>
    <x v="2"/>
    <x v="2"/>
    <m/>
    <m/>
    <n v="20440"/>
  </r>
  <r>
    <n v="733095"/>
    <x v="2"/>
    <x v="15"/>
    <x v="2"/>
    <x v="2"/>
    <m/>
    <m/>
    <n v="4538.8010000000004"/>
  </r>
  <r>
    <n v="733505"/>
    <x v="2"/>
    <x v="16"/>
    <x v="2"/>
    <x v="2"/>
    <m/>
    <m/>
    <n v="1730.462"/>
  </r>
  <r>
    <n v="733510"/>
    <x v="1"/>
    <x v="17"/>
    <x v="2"/>
    <x v="2"/>
    <m/>
    <m/>
    <n v="41032.027000000002"/>
  </r>
  <r>
    <n v="733510"/>
    <x v="0"/>
    <x v="17"/>
    <x v="2"/>
    <x v="2"/>
    <m/>
    <m/>
    <n v="355869"/>
  </r>
  <r>
    <n v="733511"/>
    <x v="1"/>
    <x v="18"/>
    <x v="2"/>
    <x v="2"/>
    <m/>
    <m/>
    <n v="1449.4069999999992"/>
  </r>
  <r>
    <n v="733511"/>
    <x v="0"/>
    <x v="18"/>
    <x v="2"/>
    <x v="2"/>
    <m/>
    <m/>
    <n v="11399"/>
  </r>
  <r>
    <n v="733512"/>
    <x v="1"/>
    <x v="19"/>
    <x v="2"/>
    <x v="2"/>
    <m/>
    <m/>
    <n v="828.94599999999991"/>
  </r>
  <r>
    <n v="733512"/>
    <x v="0"/>
    <x v="19"/>
    <x v="2"/>
    <x v="2"/>
    <m/>
    <m/>
    <n v="6513"/>
  </r>
  <r>
    <n v="733515"/>
    <x v="2"/>
    <x v="20"/>
    <x v="2"/>
    <x v="2"/>
    <m/>
    <m/>
    <n v="4855.6000000000004"/>
  </r>
  <r>
    <n v="733525"/>
    <x v="2"/>
    <x v="21"/>
    <x v="2"/>
    <x v="2"/>
    <m/>
    <m/>
    <n v="5561.1120000000001"/>
  </r>
  <r>
    <n v="733530"/>
    <x v="2"/>
    <x v="22"/>
    <x v="2"/>
    <x v="2"/>
    <m/>
    <m/>
    <n v="62117.451999999997"/>
  </r>
  <r>
    <n v="733550"/>
    <x v="2"/>
    <x v="23"/>
    <x v="2"/>
    <x v="2"/>
    <m/>
    <m/>
    <n v="13373.201999999999"/>
  </r>
  <r>
    <n v="733555"/>
    <x v="2"/>
    <x v="24"/>
    <x v="2"/>
    <x v="2"/>
    <m/>
    <m/>
    <n v="8420.7199999999993"/>
  </r>
  <r>
    <n v="735015"/>
    <x v="2"/>
    <x v="25"/>
    <x v="2"/>
    <x v="2"/>
    <m/>
    <m/>
    <n v="2091.9499999999998"/>
  </r>
  <r>
    <n v="736005"/>
    <x v="2"/>
    <x v="26"/>
    <x v="2"/>
    <x v="2"/>
    <m/>
    <m/>
    <n v="1388.8889999999999"/>
  </r>
  <r>
    <n v="736010"/>
    <x v="2"/>
    <x v="26"/>
    <x v="2"/>
    <x v="2"/>
    <m/>
    <m/>
    <n v="34077.976999999999"/>
  </r>
  <r>
    <n v="736015"/>
    <x v="2"/>
    <x v="26"/>
    <x v="2"/>
    <x v="2"/>
    <m/>
    <m/>
    <n v="2476.415"/>
  </r>
  <r>
    <n v="736020"/>
    <x v="2"/>
    <x v="26"/>
    <x v="2"/>
    <x v="2"/>
    <m/>
    <m/>
    <n v="594.31899999999996"/>
  </r>
  <r>
    <n v="739525"/>
    <x v="2"/>
    <x v="27"/>
    <x v="2"/>
    <x v="2"/>
    <m/>
    <m/>
    <n v="2386.6880000000001"/>
  </r>
  <r>
    <n v="739530"/>
    <x v="2"/>
    <x v="28"/>
    <x v="2"/>
    <x v="2"/>
    <m/>
    <m/>
    <n v="3866.52"/>
  </r>
  <r>
    <n v="739535"/>
    <x v="2"/>
    <x v="29"/>
    <x v="2"/>
    <x v="2"/>
    <m/>
    <m/>
    <n v="1150"/>
  </r>
  <r>
    <n v="739560"/>
    <x v="2"/>
    <x v="30"/>
    <x v="2"/>
    <x v="2"/>
    <m/>
    <m/>
    <n v="9592.2209999999995"/>
  </r>
  <r>
    <n v="740101"/>
    <x v="3"/>
    <x v="31"/>
    <x v="2"/>
    <x v="2"/>
    <m/>
    <m/>
    <n v="26731.233"/>
  </r>
  <r>
    <n v="73109502"/>
    <x v="1"/>
    <x v="32"/>
    <x v="2"/>
    <x v="2"/>
    <m/>
    <m/>
    <n v="521.30600000000004"/>
  </r>
  <r>
    <n v="73109502"/>
    <x v="0"/>
    <x v="32"/>
    <x v="2"/>
    <x v="2"/>
    <m/>
    <m/>
    <n v="912"/>
  </r>
  <r>
    <n v="73109503"/>
    <x v="1"/>
    <x v="43"/>
    <x v="2"/>
    <x v="2"/>
    <m/>
    <m/>
    <n v="608.78800000000001"/>
  </r>
  <r>
    <n v="73109505"/>
    <x v="2"/>
    <x v="48"/>
    <x v="2"/>
    <x v="2"/>
    <m/>
    <m/>
    <n v="1400"/>
  </r>
  <r>
    <n v="73359506"/>
    <x v="1"/>
    <x v="49"/>
    <x v="2"/>
    <x v="2"/>
    <m/>
    <m/>
    <n v="632.71799999999996"/>
  </r>
  <r>
    <n v="73359506"/>
    <x v="0"/>
    <x v="49"/>
    <x v="2"/>
    <x v="2"/>
    <m/>
    <m/>
    <n v="234"/>
  </r>
  <r>
    <n v="73451501"/>
    <x v="2"/>
    <x v="34"/>
    <x v="2"/>
    <x v="2"/>
    <m/>
    <m/>
    <n v="473.51499999999999"/>
  </r>
  <r>
    <n v="73451502"/>
    <x v="2"/>
    <x v="34"/>
    <x v="2"/>
    <x v="2"/>
    <m/>
    <m/>
    <n v="27504.434000000001"/>
  </r>
  <r>
    <n v="73451503"/>
    <x v="2"/>
    <x v="35"/>
    <x v="2"/>
    <x v="2"/>
    <m/>
    <m/>
    <n v="1006.205"/>
  </r>
  <r>
    <n v="73451504"/>
    <x v="2"/>
    <x v="35"/>
    <x v="2"/>
    <x v="2"/>
    <m/>
    <m/>
    <n v="15946.316999999999"/>
  </r>
  <r>
    <n v="73451507"/>
    <x v="2"/>
    <x v="36"/>
    <x v="2"/>
    <x v="2"/>
    <m/>
    <m/>
    <n v="352.94099999999997"/>
  </r>
  <r>
    <n v="73452501"/>
    <x v="2"/>
    <x v="37"/>
    <x v="2"/>
    <x v="2"/>
    <m/>
    <m/>
    <n v="862.14"/>
  </r>
  <r>
    <n v="73959501"/>
    <x v="2"/>
    <x v="39"/>
    <x v="2"/>
    <x v="2"/>
    <m/>
    <m/>
    <n v="2048.4029999999998"/>
  </r>
  <r>
    <n v="73959503"/>
    <x v="2"/>
    <x v="52"/>
    <x v="2"/>
    <x v="2"/>
    <m/>
    <m/>
    <n v="3888.3560000000002"/>
  </r>
  <r>
    <n v="73959504"/>
    <x v="2"/>
    <x v="40"/>
    <x v="2"/>
    <x v="2"/>
    <m/>
    <m/>
    <n v="742.33299999999997"/>
  </r>
  <r>
    <n v="73959510"/>
    <x v="2"/>
    <x v="42"/>
    <x v="2"/>
    <x v="2"/>
    <m/>
    <m/>
    <n v="4250.95"/>
  </r>
  <r>
    <n v="73959511"/>
    <x v="2"/>
    <x v="56"/>
    <x v="2"/>
    <x v="2"/>
    <m/>
    <m/>
    <n v="134.874"/>
  </r>
  <r>
    <n v="720506"/>
    <x v="0"/>
    <x v="0"/>
    <x v="0"/>
    <x v="3"/>
    <n v="42426.767"/>
    <m/>
    <m/>
  </r>
  <r>
    <n v="720515"/>
    <x v="0"/>
    <x v="1"/>
    <x v="0"/>
    <x v="3"/>
    <n v="5043.5519999999997"/>
    <m/>
    <m/>
  </r>
  <r>
    <n v="720524"/>
    <x v="0"/>
    <x v="2"/>
    <x v="0"/>
    <x v="3"/>
    <n v="1430.002"/>
    <m/>
    <m/>
  </r>
  <r>
    <n v="720527"/>
    <x v="0"/>
    <x v="3"/>
    <x v="0"/>
    <x v="3"/>
    <n v="4482"/>
    <m/>
    <m/>
  </r>
  <r>
    <n v="720530"/>
    <x v="0"/>
    <x v="4"/>
    <x v="0"/>
    <x v="3"/>
    <n v="4770.3739999999998"/>
    <m/>
    <m/>
  </r>
  <r>
    <n v="720533"/>
    <x v="0"/>
    <x v="4"/>
    <x v="0"/>
    <x v="3"/>
    <n v="572.66999999999996"/>
    <m/>
    <m/>
  </r>
  <r>
    <n v="720536"/>
    <x v="0"/>
    <x v="4"/>
    <x v="0"/>
    <x v="3"/>
    <n v="4770.3739999999998"/>
    <m/>
    <m/>
  </r>
  <r>
    <n v="720539"/>
    <x v="0"/>
    <x v="4"/>
    <x v="0"/>
    <x v="3"/>
    <n v="2201.145"/>
    <m/>
    <m/>
  </r>
  <r>
    <n v="720540"/>
    <x v="0"/>
    <x v="4"/>
    <x v="0"/>
    <x v="3"/>
    <n v="728.43899999999996"/>
    <m/>
    <m/>
  </r>
  <r>
    <n v="720546"/>
    <x v="0"/>
    <x v="5"/>
    <x v="0"/>
    <x v="3"/>
    <n v="6511.9690000000001"/>
    <m/>
    <m/>
  </r>
  <r>
    <n v="720547"/>
    <x v="0"/>
    <x v="6"/>
    <x v="0"/>
    <x v="3"/>
    <n v="1990.8309999999999"/>
    <m/>
    <m/>
  </r>
  <r>
    <n v="720548"/>
    <x v="0"/>
    <x v="46"/>
    <x v="0"/>
    <x v="3"/>
    <n v="365"/>
    <m/>
    <m/>
  </r>
  <r>
    <n v="720551"/>
    <x v="0"/>
    <x v="12"/>
    <x v="0"/>
    <x v="3"/>
    <n v="328.64100000000002"/>
    <m/>
    <m/>
  </r>
  <r>
    <n v="720552"/>
    <x v="0"/>
    <x v="7"/>
    <x v="0"/>
    <x v="3"/>
    <n v="8641.9699999999993"/>
    <m/>
    <m/>
  </r>
  <r>
    <n v="720568"/>
    <x v="0"/>
    <x v="8"/>
    <x v="0"/>
    <x v="3"/>
    <n v="1157.9000000000001"/>
    <m/>
    <m/>
  </r>
  <r>
    <n v="720569"/>
    <x v="0"/>
    <x v="8"/>
    <x v="0"/>
    <x v="3"/>
    <n v="-65.563999999999993"/>
    <m/>
    <m/>
  </r>
  <r>
    <n v="720570"/>
    <x v="0"/>
    <x v="8"/>
    <x v="0"/>
    <x v="3"/>
    <n v="6038.5820000000003"/>
    <m/>
    <m/>
  </r>
  <r>
    <n v="720572"/>
    <x v="0"/>
    <x v="8"/>
    <x v="0"/>
    <x v="3"/>
    <n v="2045.3"/>
    <m/>
    <m/>
  </r>
  <r>
    <n v="730506"/>
    <x v="1"/>
    <x v="0"/>
    <x v="0"/>
    <x v="3"/>
    <n v="67712.232999999993"/>
    <m/>
    <m/>
  </r>
  <r>
    <n v="730508"/>
    <x v="1"/>
    <x v="10"/>
    <x v="0"/>
    <x v="3"/>
    <n v="1300"/>
    <m/>
    <m/>
  </r>
  <r>
    <n v="730515"/>
    <x v="1"/>
    <x v="1"/>
    <x v="0"/>
    <x v="3"/>
    <n v="2743.34"/>
    <m/>
    <m/>
  </r>
  <r>
    <n v="730524"/>
    <x v="1"/>
    <x v="2"/>
    <x v="0"/>
    <x v="3"/>
    <n v="189.34299999999999"/>
    <m/>
    <m/>
  </r>
  <r>
    <n v="730527"/>
    <x v="1"/>
    <x v="11"/>
    <x v="0"/>
    <x v="3"/>
    <n v="1722.6"/>
    <m/>
    <m/>
  </r>
  <r>
    <n v="730530"/>
    <x v="1"/>
    <x v="4"/>
    <x v="0"/>
    <x v="3"/>
    <n v="6342.2520000000004"/>
    <m/>
    <m/>
  </r>
  <r>
    <n v="730533"/>
    <x v="1"/>
    <x v="4"/>
    <x v="0"/>
    <x v="3"/>
    <n v="761.37400000000002"/>
    <m/>
    <m/>
  </r>
  <r>
    <n v="730536"/>
    <x v="1"/>
    <x v="4"/>
    <x v="0"/>
    <x v="3"/>
    <n v="6342.2520000000004"/>
    <m/>
    <m/>
  </r>
  <r>
    <n v="730539"/>
    <x v="1"/>
    <x v="4"/>
    <x v="0"/>
    <x v="3"/>
    <n v="3103.098"/>
    <m/>
    <m/>
  </r>
  <r>
    <n v="730540"/>
    <x v="1"/>
    <x v="4"/>
    <x v="0"/>
    <x v="3"/>
    <n v="1026.923"/>
    <m/>
    <m/>
  </r>
  <r>
    <n v="730546"/>
    <x v="1"/>
    <x v="5"/>
    <x v="0"/>
    <x v="3"/>
    <n v="9593.9310000000005"/>
    <m/>
    <m/>
  </r>
  <r>
    <n v="730547"/>
    <x v="1"/>
    <x v="6"/>
    <x v="0"/>
    <x v="3"/>
    <n v="2988.7"/>
    <m/>
    <m/>
  </r>
  <r>
    <n v="730548"/>
    <x v="1"/>
    <x v="46"/>
    <x v="0"/>
    <x v="3"/>
    <n v="500"/>
    <m/>
    <m/>
  </r>
  <r>
    <n v="730551"/>
    <x v="1"/>
    <x v="12"/>
    <x v="0"/>
    <x v="3"/>
    <n v="535.38499999999999"/>
    <m/>
    <m/>
  </r>
  <r>
    <n v="730552"/>
    <x v="1"/>
    <x v="7"/>
    <x v="0"/>
    <x v="3"/>
    <n v="1169.027"/>
    <m/>
    <m/>
  </r>
  <r>
    <n v="730560"/>
    <x v="1"/>
    <x v="13"/>
    <x v="0"/>
    <x v="3"/>
    <n v="99066"/>
    <m/>
    <m/>
  </r>
  <r>
    <n v="730563"/>
    <x v="1"/>
    <x v="43"/>
    <x v="0"/>
    <x v="3"/>
    <n v="110"/>
    <m/>
    <m/>
  </r>
  <r>
    <n v="730568"/>
    <x v="1"/>
    <x v="8"/>
    <x v="0"/>
    <x v="3"/>
    <n v="1749"/>
    <m/>
    <m/>
  </r>
  <r>
    <n v="730569"/>
    <x v="1"/>
    <x v="8"/>
    <x v="0"/>
    <x v="3"/>
    <n v="1248.2950000000001"/>
    <m/>
    <m/>
  </r>
  <r>
    <n v="730570"/>
    <x v="1"/>
    <x v="8"/>
    <x v="0"/>
    <x v="3"/>
    <n v="9159.4590000000007"/>
    <m/>
    <m/>
  </r>
  <r>
    <n v="730572"/>
    <x v="1"/>
    <x v="8"/>
    <x v="0"/>
    <x v="3"/>
    <n v="3107.7"/>
    <m/>
    <m/>
  </r>
  <r>
    <n v="730575"/>
    <x v="1"/>
    <x v="8"/>
    <x v="0"/>
    <x v="3"/>
    <n v="412.5"/>
    <m/>
    <m/>
  </r>
  <r>
    <n v="730578"/>
    <x v="1"/>
    <x v="8"/>
    <x v="0"/>
    <x v="3"/>
    <n v="275"/>
    <m/>
    <m/>
  </r>
  <r>
    <n v="732010"/>
    <x v="2"/>
    <x v="14"/>
    <x v="0"/>
    <x v="3"/>
    <n v="19396.465"/>
    <m/>
    <m/>
  </r>
  <r>
    <n v="733095"/>
    <x v="2"/>
    <x v="15"/>
    <x v="0"/>
    <x v="3"/>
    <n v="4176.6989999999996"/>
    <m/>
    <m/>
  </r>
  <r>
    <n v="733505"/>
    <x v="2"/>
    <x v="16"/>
    <x v="0"/>
    <x v="3"/>
    <n v="316.12799999999999"/>
    <m/>
    <m/>
  </r>
  <r>
    <n v="733510"/>
    <x v="1"/>
    <x v="17"/>
    <x v="0"/>
    <x v="3"/>
    <n v="50050.434999999998"/>
    <m/>
    <m/>
  </r>
  <r>
    <n v="733510"/>
    <x v="0"/>
    <x v="17"/>
    <x v="0"/>
    <x v="3"/>
    <n v="281924.15999999997"/>
    <m/>
    <m/>
  </r>
  <r>
    <n v="733511"/>
    <x v="1"/>
    <x v="18"/>
    <x v="0"/>
    <x v="3"/>
    <n v="3525.5109999999986"/>
    <m/>
    <m/>
  </r>
  <r>
    <n v="733511"/>
    <x v="0"/>
    <x v="18"/>
    <x v="0"/>
    <x v="3"/>
    <n v="19506.57"/>
    <m/>
    <m/>
  </r>
  <r>
    <n v="733512"/>
    <x v="1"/>
    <x v="19"/>
    <x v="0"/>
    <x v="3"/>
    <n v="1077.8139999999994"/>
    <m/>
    <m/>
  </r>
  <r>
    <n v="733512"/>
    <x v="0"/>
    <x v="19"/>
    <x v="0"/>
    <x v="3"/>
    <n v="5963.52"/>
    <m/>
    <m/>
  </r>
  <r>
    <n v="733525"/>
    <x v="2"/>
    <x v="21"/>
    <x v="0"/>
    <x v="3"/>
    <n v="3967.7240000000002"/>
    <m/>
    <m/>
  </r>
  <r>
    <n v="733530"/>
    <x v="2"/>
    <x v="22"/>
    <x v="0"/>
    <x v="3"/>
    <n v="50783.542999999998"/>
    <m/>
    <m/>
  </r>
  <r>
    <n v="733550"/>
    <x v="2"/>
    <x v="23"/>
    <x v="0"/>
    <x v="3"/>
    <n v="8714.5190000000002"/>
    <m/>
    <m/>
  </r>
  <r>
    <n v="733555"/>
    <x v="2"/>
    <x v="24"/>
    <x v="0"/>
    <x v="3"/>
    <n v="5467.7969999999996"/>
    <m/>
    <m/>
  </r>
  <r>
    <n v="735015"/>
    <x v="2"/>
    <x v="25"/>
    <x v="0"/>
    <x v="3"/>
    <n v="3136.1060000000002"/>
    <m/>
    <m/>
  </r>
  <r>
    <n v="736005"/>
    <x v="2"/>
    <x v="26"/>
    <x v="0"/>
    <x v="3"/>
    <n v="1388.8889999999999"/>
    <m/>
    <m/>
  </r>
  <r>
    <n v="736010"/>
    <x v="2"/>
    <x v="26"/>
    <x v="0"/>
    <x v="3"/>
    <n v="39428.970999999998"/>
    <m/>
    <m/>
  </r>
  <r>
    <n v="736015"/>
    <x v="2"/>
    <x v="26"/>
    <x v="0"/>
    <x v="3"/>
    <n v="800.89499999999998"/>
    <m/>
    <m/>
  </r>
  <r>
    <n v="736020"/>
    <x v="2"/>
    <x v="26"/>
    <x v="0"/>
    <x v="3"/>
    <n v="478.52300000000002"/>
    <m/>
    <m/>
  </r>
  <r>
    <n v="739525"/>
    <x v="2"/>
    <x v="27"/>
    <x v="0"/>
    <x v="3"/>
    <n v="3110.7159999999999"/>
    <m/>
    <m/>
  </r>
  <r>
    <n v="739530"/>
    <x v="2"/>
    <x v="28"/>
    <x v="0"/>
    <x v="3"/>
    <n v="2413.2759999999998"/>
    <m/>
    <m/>
  </r>
  <r>
    <n v="739535"/>
    <x v="2"/>
    <x v="29"/>
    <x v="0"/>
    <x v="3"/>
    <n v="11642.031999999999"/>
    <m/>
    <m/>
  </r>
  <r>
    <n v="739560"/>
    <x v="2"/>
    <x v="30"/>
    <x v="0"/>
    <x v="3"/>
    <n v="4657.4049999999997"/>
    <m/>
    <m/>
  </r>
  <r>
    <n v="740101"/>
    <x v="3"/>
    <x v="31"/>
    <x v="0"/>
    <x v="3"/>
    <n v="102570.068"/>
    <m/>
    <m/>
  </r>
  <r>
    <n v="73109502"/>
    <x v="1"/>
    <x v="32"/>
    <x v="0"/>
    <x v="3"/>
    <n v="55.799999999999955"/>
    <m/>
    <m/>
  </r>
  <r>
    <n v="73109502"/>
    <x v="0"/>
    <x v="32"/>
    <x v="0"/>
    <x v="3"/>
    <n v="1901.27"/>
    <m/>
    <m/>
  </r>
  <r>
    <n v="73159503"/>
    <x v="2"/>
    <x v="51"/>
    <x v="0"/>
    <x v="3"/>
    <n v="9584.2790000000005"/>
    <m/>
    <m/>
  </r>
  <r>
    <n v="73359501"/>
    <x v="2"/>
    <x v="33"/>
    <x v="0"/>
    <x v="3"/>
    <n v="1864.32"/>
    <m/>
    <m/>
  </r>
  <r>
    <n v="73359504"/>
    <x v="2"/>
    <x v="57"/>
    <x v="0"/>
    <x v="3"/>
    <n v="378.15100000000001"/>
    <m/>
    <m/>
  </r>
  <r>
    <n v="73451501"/>
    <x v="2"/>
    <x v="34"/>
    <x v="0"/>
    <x v="3"/>
    <n v="5173.7240000000002"/>
    <m/>
    <m/>
  </r>
  <r>
    <n v="73451502"/>
    <x v="2"/>
    <x v="34"/>
    <x v="0"/>
    <x v="3"/>
    <n v="43481.273999999998"/>
    <m/>
    <m/>
  </r>
  <r>
    <n v="73451503"/>
    <x v="2"/>
    <x v="35"/>
    <x v="0"/>
    <x v="3"/>
    <n v="1534.807"/>
    <m/>
    <m/>
  </r>
  <r>
    <n v="73451507"/>
    <x v="2"/>
    <x v="36"/>
    <x v="0"/>
    <x v="3"/>
    <n v="630"/>
    <m/>
    <m/>
  </r>
  <r>
    <n v="73452501"/>
    <x v="2"/>
    <x v="37"/>
    <x v="0"/>
    <x v="3"/>
    <n v="596.23500000000001"/>
    <m/>
    <m/>
  </r>
  <r>
    <n v="73959501"/>
    <x v="2"/>
    <x v="39"/>
    <x v="0"/>
    <x v="3"/>
    <n v="2979.53"/>
    <m/>
    <m/>
  </r>
  <r>
    <n v="73959503"/>
    <x v="2"/>
    <x v="52"/>
    <x v="0"/>
    <x v="3"/>
    <n v="454.387"/>
    <m/>
    <m/>
  </r>
  <r>
    <n v="73959504"/>
    <x v="1"/>
    <x v="40"/>
    <x v="0"/>
    <x v="3"/>
    <n v="300.03699999999992"/>
    <m/>
    <m/>
  </r>
  <r>
    <n v="73959504"/>
    <x v="0"/>
    <x v="40"/>
    <x v="0"/>
    <x v="3"/>
    <n v="357.22"/>
    <m/>
    <m/>
  </r>
  <r>
    <n v="73959506"/>
    <x v="2"/>
    <x v="41"/>
    <x v="0"/>
    <x v="3"/>
    <n v="97.299000000000007"/>
    <m/>
    <m/>
  </r>
  <r>
    <n v="73959510"/>
    <x v="2"/>
    <x v="42"/>
    <x v="0"/>
    <x v="3"/>
    <n v="1987.489"/>
    <m/>
    <m/>
  </r>
  <r>
    <s v="720506"/>
    <x v="0"/>
    <x v="0"/>
    <x v="1"/>
    <x v="3"/>
    <m/>
    <n v="45137.095999999998"/>
    <m/>
  </r>
  <r>
    <s v="720515"/>
    <x v="0"/>
    <x v="1"/>
    <x v="1"/>
    <x v="3"/>
    <m/>
    <n v="15617.788"/>
    <m/>
  </r>
  <r>
    <s v="720524"/>
    <x v="0"/>
    <x v="2"/>
    <x v="1"/>
    <x v="3"/>
    <m/>
    <n v="3015.4560000000001"/>
    <m/>
  </r>
  <r>
    <s v="720527"/>
    <x v="0"/>
    <x v="3"/>
    <x v="1"/>
    <x v="3"/>
    <m/>
    <n v="5513.308"/>
    <m/>
  </r>
  <r>
    <s v="720530"/>
    <x v="0"/>
    <x v="4"/>
    <x v="1"/>
    <x v="3"/>
    <m/>
    <n v="6130.009"/>
    <m/>
  </r>
  <r>
    <s v="720533"/>
    <x v="0"/>
    <x v="4"/>
    <x v="1"/>
    <x v="3"/>
    <m/>
    <n v="735.89700000000005"/>
    <m/>
  </r>
  <r>
    <s v="720536"/>
    <x v="0"/>
    <x v="4"/>
    <x v="1"/>
    <x v="3"/>
    <m/>
    <n v="6130.009"/>
    <m/>
  </r>
  <r>
    <s v="720539"/>
    <x v="0"/>
    <x v="4"/>
    <x v="1"/>
    <x v="3"/>
    <m/>
    <n v="2838.78"/>
    <m/>
  </r>
  <r>
    <s v="720540"/>
    <x v="0"/>
    <x v="4"/>
    <x v="1"/>
    <x v="3"/>
    <m/>
    <n v="939.452"/>
    <m/>
  </r>
  <r>
    <s v="720546"/>
    <x v="0"/>
    <x v="5"/>
    <x v="1"/>
    <x v="3"/>
    <m/>
    <n v="7155.3220000000001"/>
    <m/>
  </r>
  <r>
    <s v="720547"/>
    <x v="0"/>
    <x v="6"/>
    <x v="1"/>
    <x v="3"/>
    <m/>
    <n v="2187.518"/>
    <m/>
  </r>
  <r>
    <s v="720551"/>
    <x v="0"/>
    <x v="12"/>
    <x v="1"/>
    <x v="3"/>
    <m/>
    <n v="16363.5"/>
    <m/>
  </r>
  <r>
    <s v="720552"/>
    <x v="0"/>
    <x v="7"/>
    <x v="1"/>
    <x v="3"/>
    <m/>
    <n v="6039.951"/>
    <m/>
  </r>
  <r>
    <s v="720568"/>
    <x v="0"/>
    <x v="8"/>
    <x v="1"/>
    <x v="3"/>
    <m/>
    <n v="1486.6"/>
    <m/>
  </r>
  <r>
    <s v="720570"/>
    <x v="0"/>
    <x v="8"/>
    <x v="1"/>
    <x v="3"/>
    <m/>
    <n v="7873.3"/>
    <m/>
  </r>
  <r>
    <s v="720572"/>
    <x v="0"/>
    <x v="8"/>
    <x v="1"/>
    <x v="3"/>
    <m/>
    <n v="2604.9"/>
    <m/>
  </r>
  <r>
    <s v="730506"/>
    <x v="1"/>
    <x v="0"/>
    <x v="1"/>
    <x v="3"/>
    <m/>
    <n v="87772.767000000007"/>
    <m/>
  </r>
  <r>
    <s v="730508"/>
    <x v="1"/>
    <x v="10"/>
    <x v="1"/>
    <x v="3"/>
    <m/>
    <n v="1692.5419999999999"/>
    <m/>
  </r>
  <r>
    <s v="730515"/>
    <x v="1"/>
    <x v="1"/>
    <x v="1"/>
    <x v="3"/>
    <m/>
    <n v="8744.1419999999998"/>
    <m/>
  </r>
  <r>
    <s v="730524"/>
    <x v="1"/>
    <x v="2"/>
    <x v="1"/>
    <x v="3"/>
    <m/>
    <n v="409.44299999999998"/>
    <m/>
  </r>
  <r>
    <s v="730527"/>
    <x v="1"/>
    <x v="11"/>
    <x v="1"/>
    <x v="3"/>
    <m/>
    <n v="3512.241"/>
    <m/>
  </r>
  <r>
    <s v="730530"/>
    <x v="1"/>
    <x v="4"/>
    <x v="1"/>
    <x v="3"/>
    <m/>
    <n v="8905.2980000000007"/>
    <m/>
  </r>
  <r>
    <s v="730533"/>
    <x v="1"/>
    <x v="4"/>
    <x v="1"/>
    <x v="3"/>
    <m/>
    <n v="1069.066"/>
    <m/>
  </r>
  <r>
    <s v="730536"/>
    <x v="1"/>
    <x v="4"/>
    <x v="1"/>
    <x v="3"/>
    <m/>
    <n v="8905.2980000000007"/>
    <m/>
  </r>
  <r>
    <s v="730539"/>
    <x v="1"/>
    <x v="4"/>
    <x v="1"/>
    <x v="3"/>
    <m/>
    <n v="4311.5349999999999"/>
    <m/>
  </r>
  <r>
    <s v="730540"/>
    <x v="1"/>
    <x v="4"/>
    <x v="1"/>
    <x v="3"/>
    <m/>
    <n v="1426.837"/>
    <m/>
  </r>
  <r>
    <s v="730545"/>
    <x v="1"/>
    <x v="5"/>
    <x v="1"/>
    <x v="3"/>
    <m/>
    <n v="800"/>
    <m/>
  </r>
  <r>
    <s v="730546"/>
    <x v="1"/>
    <x v="5"/>
    <x v="1"/>
    <x v="3"/>
    <m/>
    <n v="12910.243"/>
    <m/>
  </r>
  <r>
    <s v="730547"/>
    <x v="1"/>
    <x v="6"/>
    <x v="1"/>
    <x v="3"/>
    <m/>
    <n v="3946.902"/>
    <m/>
  </r>
  <r>
    <s v="730551"/>
    <x v="1"/>
    <x v="12"/>
    <x v="1"/>
    <x v="3"/>
    <m/>
    <n v="5657.8"/>
    <m/>
  </r>
  <r>
    <s v="730552"/>
    <x v="1"/>
    <x v="7"/>
    <x v="1"/>
    <x v="3"/>
    <m/>
    <n v="753.51700000000005"/>
    <m/>
  </r>
  <r>
    <s v="730563"/>
    <x v="1"/>
    <x v="43"/>
    <x v="1"/>
    <x v="3"/>
    <m/>
    <n v="171.4"/>
    <m/>
  </r>
  <r>
    <s v="730568"/>
    <x v="1"/>
    <x v="8"/>
    <x v="1"/>
    <x v="3"/>
    <m/>
    <n v="2347.85"/>
    <m/>
  </r>
  <r>
    <s v="730569"/>
    <x v="1"/>
    <x v="8"/>
    <x v="1"/>
    <x v="3"/>
    <m/>
    <n v="-0.4"/>
    <m/>
  </r>
  <r>
    <s v="730570"/>
    <x v="1"/>
    <x v="8"/>
    <x v="1"/>
    <x v="3"/>
    <m/>
    <n v="12510.05"/>
    <m/>
  </r>
  <r>
    <s v="730572"/>
    <x v="1"/>
    <x v="8"/>
    <x v="1"/>
    <x v="3"/>
    <m/>
    <n v="4120.8500000000004"/>
    <m/>
  </r>
  <r>
    <s v="73109502"/>
    <x v="1"/>
    <x v="32"/>
    <x v="1"/>
    <x v="3"/>
    <m/>
    <n v="155.70800000000008"/>
    <m/>
  </r>
  <r>
    <s v="73109502"/>
    <x v="0"/>
    <x v="32"/>
    <x v="1"/>
    <x v="3"/>
    <m/>
    <n v="1718.84"/>
    <m/>
  </r>
  <r>
    <s v="73109506"/>
    <x v="2"/>
    <x v="58"/>
    <x v="1"/>
    <x v="3"/>
    <m/>
    <n v="8657.6239999999998"/>
    <m/>
  </r>
  <r>
    <s v="73159503"/>
    <x v="2"/>
    <x v="51"/>
    <x v="1"/>
    <x v="3"/>
    <m/>
    <n v="6140.335"/>
    <m/>
  </r>
  <r>
    <s v="732010"/>
    <x v="2"/>
    <x v="14"/>
    <x v="1"/>
    <x v="3"/>
    <m/>
    <n v="85361"/>
    <m/>
  </r>
  <r>
    <s v="733095"/>
    <x v="2"/>
    <x v="15"/>
    <x v="1"/>
    <x v="3"/>
    <m/>
    <n v="7213.9309999999996"/>
    <m/>
  </r>
  <r>
    <s v="733505"/>
    <x v="2"/>
    <x v="16"/>
    <x v="1"/>
    <x v="3"/>
    <m/>
    <n v="1307.047"/>
    <m/>
  </r>
  <r>
    <s v="733510"/>
    <x v="1"/>
    <x v="17"/>
    <x v="1"/>
    <x v="3"/>
    <m/>
    <n v="84147.524000000034"/>
    <m/>
  </r>
  <r>
    <s v="733510"/>
    <x v="0"/>
    <x v="17"/>
    <x v="1"/>
    <x v="3"/>
    <m/>
    <n v="404395.36"/>
    <m/>
  </r>
  <r>
    <s v="733511"/>
    <x v="1"/>
    <x v="18"/>
    <x v="1"/>
    <x v="3"/>
    <m/>
    <n v="5514.8039999999983"/>
    <m/>
  </r>
  <r>
    <s v="733511"/>
    <x v="0"/>
    <x v="18"/>
    <x v="1"/>
    <x v="3"/>
    <m/>
    <n v="13465.12"/>
    <m/>
  </r>
  <r>
    <s v="733512"/>
    <x v="1"/>
    <x v="19"/>
    <x v="1"/>
    <x v="3"/>
    <m/>
    <n v="1989.6320000000005"/>
    <m/>
  </r>
  <r>
    <s v="733512"/>
    <x v="0"/>
    <x v="19"/>
    <x v="1"/>
    <x v="3"/>
    <m/>
    <n v="8021.37"/>
    <m/>
  </r>
  <r>
    <s v="733525"/>
    <x v="2"/>
    <x v="21"/>
    <x v="1"/>
    <x v="3"/>
    <m/>
    <n v="6576.6440000000002"/>
    <m/>
  </r>
  <r>
    <s v="733530"/>
    <x v="2"/>
    <x v="22"/>
    <x v="1"/>
    <x v="3"/>
    <m/>
    <n v="60822.375999999997"/>
    <m/>
  </r>
  <r>
    <s v="733550"/>
    <x v="2"/>
    <x v="23"/>
    <x v="1"/>
    <x v="3"/>
    <m/>
    <n v="11368.636"/>
    <m/>
  </r>
  <r>
    <s v="733555"/>
    <x v="2"/>
    <x v="24"/>
    <x v="1"/>
    <x v="3"/>
    <m/>
    <n v="7566.82"/>
    <m/>
  </r>
  <r>
    <s v="73451501"/>
    <x v="2"/>
    <x v="34"/>
    <x v="1"/>
    <x v="3"/>
    <m/>
    <n v="1747.2"/>
    <m/>
  </r>
  <r>
    <s v="73451502"/>
    <x v="2"/>
    <x v="34"/>
    <x v="1"/>
    <x v="3"/>
    <m/>
    <n v="61239.845999999998"/>
    <m/>
  </r>
  <r>
    <s v="73451503"/>
    <x v="2"/>
    <x v="35"/>
    <x v="1"/>
    <x v="3"/>
    <m/>
    <n v="45.054000000000002"/>
    <m/>
  </r>
  <r>
    <s v="73451504"/>
    <x v="2"/>
    <x v="35"/>
    <x v="1"/>
    <x v="3"/>
    <m/>
    <n v="747.04499999999996"/>
    <m/>
  </r>
  <r>
    <s v="73451507"/>
    <x v="2"/>
    <x v="36"/>
    <x v="1"/>
    <x v="3"/>
    <m/>
    <n v="437"/>
    <m/>
  </r>
  <r>
    <s v="73452501"/>
    <x v="2"/>
    <x v="37"/>
    <x v="1"/>
    <x v="3"/>
    <m/>
    <n v="2892.636"/>
    <m/>
  </r>
  <r>
    <s v="735015"/>
    <x v="2"/>
    <x v="25"/>
    <x v="1"/>
    <x v="3"/>
    <m/>
    <n v="796.21"/>
    <m/>
  </r>
  <r>
    <s v="736005"/>
    <x v="2"/>
    <x v="26"/>
    <x v="1"/>
    <x v="3"/>
    <m/>
    <n v="1388.8889999999999"/>
    <m/>
  </r>
  <r>
    <s v="736010"/>
    <x v="2"/>
    <x v="26"/>
    <x v="1"/>
    <x v="3"/>
    <m/>
    <n v="35109.275999999998"/>
    <m/>
  </r>
  <r>
    <s v="736015"/>
    <x v="2"/>
    <x v="26"/>
    <x v="1"/>
    <x v="3"/>
    <m/>
    <n v="2220.1779999999999"/>
    <m/>
  </r>
  <r>
    <s v="736020"/>
    <x v="2"/>
    <x v="26"/>
    <x v="1"/>
    <x v="3"/>
    <m/>
    <n v="543.06100000000004"/>
    <m/>
  </r>
  <r>
    <s v="739525"/>
    <x v="2"/>
    <x v="27"/>
    <x v="1"/>
    <x v="3"/>
    <m/>
    <n v="3291.2240000000002"/>
    <m/>
  </r>
  <r>
    <s v="739530"/>
    <x v="2"/>
    <x v="28"/>
    <x v="1"/>
    <x v="3"/>
    <m/>
    <n v="1341.9480000000001"/>
    <m/>
  </r>
  <r>
    <s v="739560"/>
    <x v="2"/>
    <x v="30"/>
    <x v="1"/>
    <x v="3"/>
    <m/>
    <n v="781.42700000000002"/>
    <m/>
  </r>
  <r>
    <s v="73959501"/>
    <x v="2"/>
    <x v="39"/>
    <x v="1"/>
    <x v="3"/>
    <m/>
    <n v="40371.428999999996"/>
    <m/>
  </r>
  <r>
    <s v="73959504"/>
    <x v="0"/>
    <x v="40"/>
    <x v="1"/>
    <x v="3"/>
    <m/>
    <n v="625"/>
    <m/>
  </r>
  <r>
    <s v="73959510"/>
    <x v="2"/>
    <x v="42"/>
    <x v="1"/>
    <x v="3"/>
    <m/>
    <n v="1680.0429999999999"/>
    <m/>
  </r>
  <r>
    <s v="73959511"/>
    <x v="2"/>
    <x v="56"/>
    <x v="1"/>
    <x v="3"/>
    <m/>
    <n v="5500"/>
    <m/>
  </r>
  <r>
    <s v="740101"/>
    <x v="3"/>
    <x v="31"/>
    <x v="1"/>
    <x v="3"/>
    <m/>
    <n v="46634.837"/>
    <m/>
  </r>
  <r>
    <n v="720506"/>
    <x v="0"/>
    <x v="0"/>
    <x v="2"/>
    <x v="3"/>
    <m/>
    <m/>
    <n v="50482.387999999999"/>
  </r>
  <r>
    <n v="720515"/>
    <x v="0"/>
    <x v="1"/>
    <x v="2"/>
    <x v="3"/>
    <m/>
    <m/>
    <n v="10338.743"/>
  </r>
  <r>
    <n v="720524"/>
    <x v="0"/>
    <x v="2"/>
    <x v="2"/>
    <x v="3"/>
    <m/>
    <m/>
    <n v="521.95000000000005"/>
  </r>
  <r>
    <n v="720527"/>
    <x v="0"/>
    <x v="3"/>
    <x v="2"/>
    <x v="3"/>
    <m/>
    <m/>
    <n v="6088.9849999999997"/>
  </r>
  <r>
    <n v="720530"/>
    <x v="0"/>
    <x v="4"/>
    <x v="2"/>
    <x v="3"/>
    <m/>
    <m/>
    <n v="6168.8069999999998"/>
  </r>
  <r>
    <n v="720533"/>
    <x v="0"/>
    <x v="4"/>
    <x v="2"/>
    <x v="3"/>
    <m/>
    <m/>
    <n v="740.553"/>
  </r>
  <r>
    <n v="720536"/>
    <x v="0"/>
    <x v="4"/>
    <x v="2"/>
    <x v="3"/>
    <m/>
    <m/>
    <n v="6168.8069999999998"/>
  </r>
  <r>
    <n v="720539"/>
    <x v="0"/>
    <x v="4"/>
    <x v="2"/>
    <x v="3"/>
    <m/>
    <m/>
    <n v="2834.1930000000002"/>
  </r>
  <r>
    <n v="720540"/>
    <x v="0"/>
    <x v="4"/>
    <x v="2"/>
    <x v="3"/>
    <m/>
    <m/>
    <n v="937.93499999999995"/>
  </r>
  <r>
    <n v="720546"/>
    <x v="0"/>
    <x v="5"/>
    <x v="2"/>
    <x v="3"/>
    <m/>
    <m/>
    <n v="7860.3890000000001"/>
  </r>
  <r>
    <n v="720547"/>
    <x v="0"/>
    <x v="6"/>
    <x v="2"/>
    <x v="3"/>
    <m/>
    <m/>
    <n v="2403.0680000000002"/>
  </r>
  <r>
    <n v="720552"/>
    <x v="0"/>
    <x v="7"/>
    <x v="2"/>
    <x v="3"/>
    <m/>
    <m/>
    <n v="4482.8019999999997"/>
  </r>
  <r>
    <n v="720568"/>
    <x v="0"/>
    <x v="8"/>
    <x v="2"/>
    <x v="3"/>
    <m/>
    <m/>
    <n v="1482"/>
  </r>
  <r>
    <n v="720569"/>
    <x v="0"/>
    <x v="8"/>
    <x v="2"/>
    <x v="3"/>
    <m/>
    <m/>
    <n v="-103.535"/>
  </r>
  <r>
    <n v="720570"/>
    <x v="0"/>
    <x v="8"/>
    <x v="2"/>
    <x v="3"/>
    <m/>
    <m/>
    <n v="7542.348"/>
  </r>
  <r>
    <n v="720572"/>
    <x v="0"/>
    <x v="8"/>
    <x v="2"/>
    <x v="3"/>
    <m/>
    <m/>
    <n v="2593.6999999999998"/>
  </r>
  <r>
    <n v="730506"/>
    <x v="1"/>
    <x v="0"/>
    <x v="2"/>
    <x v="3"/>
    <m/>
    <m/>
    <n v="75666.53"/>
  </r>
  <r>
    <n v="730508"/>
    <x v="1"/>
    <x v="10"/>
    <x v="2"/>
    <x v="3"/>
    <m/>
    <m/>
    <n v="142.35"/>
  </r>
  <r>
    <n v="730515"/>
    <x v="1"/>
    <x v="1"/>
    <x v="2"/>
    <x v="3"/>
    <m/>
    <m/>
    <n v="5062.7359999999999"/>
  </r>
  <r>
    <n v="730524"/>
    <x v="1"/>
    <x v="2"/>
    <x v="2"/>
    <x v="3"/>
    <m/>
    <m/>
    <n v="996.78800000000001"/>
  </r>
  <r>
    <n v="730527"/>
    <x v="1"/>
    <x v="11"/>
    <x v="2"/>
    <x v="3"/>
    <m/>
    <m/>
    <n v="2246.6669999999999"/>
  </r>
  <r>
    <n v="730530"/>
    <x v="1"/>
    <x v="4"/>
    <x v="2"/>
    <x v="3"/>
    <m/>
    <m/>
    <n v="7496.1679999999997"/>
  </r>
  <r>
    <n v="730533"/>
    <x v="1"/>
    <x v="4"/>
    <x v="2"/>
    <x v="3"/>
    <m/>
    <m/>
    <n v="899.89800000000002"/>
  </r>
  <r>
    <n v="730536"/>
    <x v="1"/>
    <x v="4"/>
    <x v="2"/>
    <x v="3"/>
    <m/>
    <m/>
    <n v="7496.1679999999997"/>
  </r>
  <r>
    <n v="730539"/>
    <x v="1"/>
    <x v="4"/>
    <x v="2"/>
    <x v="3"/>
    <m/>
    <m/>
    <n v="3658.8989999999999"/>
  </r>
  <r>
    <n v="730540"/>
    <x v="1"/>
    <x v="4"/>
    <x v="2"/>
    <x v="3"/>
    <m/>
    <m/>
    <n v="1210.8579999999999"/>
  </r>
  <r>
    <n v="730545"/>
    <x v="1"/>
    <x v="5"/>
    <x v="2"/>
    <x v="3"/>
    <m/>
    <m/>
    <n v="500"/>
  </r>
  <r>
    <n v="730546"/>
    <x v="1"/>
    <x v="5"/>
    <x v="2"/>
    <x v="3"/>
    <m/>
    <m/>
    <n v="11277.632"/>
  </r>
  <r>
    <n v="730547"/>
    <x v="1"/>
    <x v="6"/>
    <x v="2"/>
    <x v="3"/>
    <m/>
    <m/>
    <n v="3447.7829999999999"/>
  </r>
  <r>
    <n v="730551"/>
    <x v="1"/>
    <x v="12"/>
    <x v="2"/>
    <x v="3"/>
    <m/>
    <m/>
    <n v="585.51800000000003"/>
  </r>
  <r>
    <n v="730552"/>
    <x v="1"/>
    <x v="7"/>
    <x v="2"/>
    <x v="3"/>
    <m/>
    <m/>
    <n v="436.60500000000002"/>
  </r>
  <r>
    <n v="730563"/>
    <x v="1"/>
    <x v="43"/>
    <x v="2"/>
    <x v="3"/>
    <m/>
    <m/>
    <n v="150"/>
  </r>
  <r>
    <n v="730568"/>
    <x v="1"/>
    <x v="8"/>
    <x v="2"/>
    <x v="3"/>
    <m/>
    <m/>
    <n v="1978.7"/>
  </r>
  <r>
    <n v="730569"/>
    <x v="1"/>
    <x v="8"/>
    <x v="2"/>
    <x v="3"/>
    <m/>
    <m/>
    <n v="1293.518"/>
  </r>
  <r>
    <n v="730570"/>
    <x v="1"/>
    <x v="8"/>
    <x v="2"/>
    <x v="3"/>
    <m/>
    <m/>
    <n v="10453.168"/>
  </r>
  <r>
    <n v="730572"/>
    <x v="1"/>
    <x v="8"/>
    <x v="2"/>
    <x v="3"/>
    <m/>
    <m/>
    <n v="3447.85"/>
  </r>
  <r>
    <n v="730575"/>
    <x v="1"/>
    <x v="8"/>
    <x v="2"/>
    <x v="3"/>
    <m/>
    <m/>
    <n v="453.9"/>
  </r>
  <r>
    <n v="730578"/>
    <x v="1"/>
    <x v="8"/>
    <x v="2"/>
    <x v="3"/>
    <m/>
    <m/>
    <n v="302.60000000000002"/>
  </r>
  <r>
    <n v="730584"/>
    <x v="1"/>
    <x v="9"/>
    <x v="2"/>
    <x v="3"/>
    <m/>
    <m/>
    <n v="156.70500000000001"/>
  </r>
  <r>
    <n v="732010"/>
    <x v="2"/>
    <x v="14"/>
    <x v="2"/>
    <x v="3"/>
    <m/>
    <m/>
    <n v="20440"/>
  </r>
  <r>
    <n v="733095"/>
    <x v="2"/>
    <x v="15"/>
    <x v="2"/>
    <x v="3"/>
    <m/>
    <m/>
    <n v="4538.8010000000004"/>
  </r>
  <r>
    <n v="733505"/>
    <x v="2"/>
    <x v="16"/>
    <x v="2"/>
    <x v="3"/>
    <m/>
    <m/>
    <n v="358.322"/>
  </r>
  <r>
    <n v="733510"/>
    <x v="1"/>
    <x v="17"/>
    <x v="2"/>
    <x v="3"/>
    <m/>
    <m/>
    <n v="44356.923999999999"/>
  </r>
  <r>
    <n v="733510"/>
    <x v="0"/>
    <x v="17"/>
    <x v="2"/>
    <x v="3"/>
    <m/>
    <m/>
    <n v="308511.13"/>
  </r>
  <r>
    <n v="733511"/>
    <x v="1"/>
    <x v="18"/>
    <x v="2"/>
    <x v="3"/>
    <m/>
    <m/>
    <n v="3200.7610000000004"/>
  </r>
  <r>
    <n v="733511"/>
    <x v="0"/>
    <x v="18"/>
    <x v="2"/>
    <x v="3"/>
    <m/>
    <m/>
    <n v="11249.35"/>
  </r>
  <r>
    <n v="733512"/>
    <x v="1"/>
    <x v="19"/>
    <x v="2"/>
    <x v="3"/>
    <m/>
    <m/>
    <n v="978.53099999999995"/>
  </r>
  <r>
    <n v="733512"/>
    <x v="0"/>
    <x v="19"/>
    <x v="2"/>
    <x v="3"/>
    <m/>
    <m/>
    <n v="6701.4"/>
  </r>
  <r>
    <n v="733515"/>
    <x v="2"/>
    <x v="20"/>
    <x v="2"/>
    <x v="3"/>
    <m/>
    <m/>
    <n v="-1580"/>
  </r>
  <r>
    <n v="733525"/>
    <x v="2"/>
    <x v="21"/>
    <x v="2"/>
    <x v="3"/>
    <m/>
    <m/>
    <n v="5884.3130000000001"/>
  </r>
  <r>
    <n v="733530"/>
    <x v="2"/>
    <x v="22"/>
    <x v="2"/>
    <x v="3"/>
    <m/>
    <m/>
    <n v="60408.402000000002"/>
  </r>
  <r>
    <n v="733550"/>
    <x v="2"/>
    <x v="23"/>
    <x v="2"/>
    <x v="3"/>
    <m/>
    <m/>
    <n v="4379.8"/>
  </r>
  <r>
    <n v="733555"/>
    <x v="2"/>
    <x v="24"/>
    <x v="2"/>
    <x v="3"/>
    <m/>
    <m/>
    <n v="8349.9860000000008"/>
  </r>
  <r>
    <n v="735015"/>
    <x v="2"/>
    <x v="25"/>
    <x v="2"/>
    <x v="3"/>
    <m/>
    <m/>
    <n v="1198.587"/>
  </r>
  <r>
    <n v="736005"/>
    <x v="2"/>
    <x v="26"/>
    <x v="2"/>
    <x v="3"/>
    <m/>
    <m/>
    <n v="1388.8889999999999"/>
  </r>
  <r>
    <n v="736010"/>
    <x v="2"/>
    <x v="26"/>
    <x v="2"/>
    <x v="3"/>
    <m/>
    <m/>
    <n v="34077.976999999999"/>
  </r>
  <r>
    <n v="736015"/>
    <x v="2"/>
    <x v="26"/>
    <x v="2"/>
    <x v="3"/>
    <m/>
    <m/>
    <n v="800.89499999999998"/>
  </r>
  <r>
    <n v="736020"/>
    <x v="2"/>
    <x v="26"/>
    <x v="2"/>
    <x v="3"/>
    <m/>
    <m/>
    <n v="538.49"/>
  </r>
  <r>
    <n v="739525"/>
    <x v="2"/>
    <x v="27"/>
    <x v="2"/>
    <x v="3"/>
    <m/>
    <m/>
    <n v="3493.2379999999998"/>
  </r>
  <r>
    <n v="739530"/>
    <x v="2"/>
    <x v="28"/>
    <x v="2"/>
    <x v="3"/>
    <m/>
    <m/>
    <n v="3930.6239999999998"/>
  </r>
  <r>
    <n v="739535"/>
    <x v="2"/>
    <x v="29"/>
    <x v="2"/>
    <x v="3"/>
    <m/>
    <m/>
    <n v="685"/>
  </r>
  <r>
    <n v="739560"/>
    <x v="2"/>
    <x v="30"/>
    <x v="2"/>
    <x v="3"/>
    <m/>
    <m/>
    <n v="44.075000000000003"/>
  </r>
  <r>
    <n v="740101"/>
    <x v="3"/>
    <x v="31"/>
    <x v="2"/>
    <x v="3"/>
    <m/>
    <m/>
    <n v="21657.01"/>
  </r>
  <r>
    <n v="73109502"/>
    <x v="1"/>
    <x v="32"/>
    <x v="2"/>
    <x v="3"/>
    <m/>
    <m/>
    <n v="636.61000000000013"/>
  </r>
  <r>
    <n v="73109502"/>
    <x v="0"/>
    <x v="32"/>
    <x v="2"/>
    <x v="3"/>
    <m/>
    <m/>
    <n v="2581.12"/>
  </r>
  <r>
    <n v="73109503"/>
    <x v="1"/>
    <x v="43"/>
    <x v="2"/>
    <x v="3"/>
    <m/>
    <m/>
    <n v="405.48"/>
  </r>
  <r>
    <n v="73159503"/>
    <x v="2"/>
    <x v="51"/>
    <x v="2"/>
    <x v="3"/>
    <m/>
    <m/>
    <n v="8240.277"/>
  </r>
  <r>
    <n v="73359506"/>
    <x v="1"/>
    <x v="49"/>
    <x v="2"/>
    <x v="3"/>
    <m/>
    <m/>
    <n v="632.30999999999995"/>
  </r>
  <r>
    <n v="73451501"/>
    <x v="2"/>
    <x v="34"/>
    <x v="2"/>
    <x v="3"/>
    <m/>
    <m/>
    <n v="1123.32"/>
  </r>
  <r>
    <n v="73451502"/>
    <x v="2"/>
    <x v="34"/>
    <x v="2"/>
    <x v="3"/>
    <m/>
    <m/>
    <n v="12099.367"/>
  </r>
  <r>
    <n v="73451503"/>
    <x v="2"/>
    <x v="35"/>
    <x v="2"/>
    <x v="3"/>
    <m/>
    <m/>
    <n v="888.47299999999996"/>
  </r>
  <r>
    <n v="73451504"/>
    <x v="2"/>
    <x v="35"/>
    <x v="2"/>
    <x v="3"/>
    <m/>
    <m/>
    <n v="9911.6849999999995"/>
  </r>
  <r>
    <n v="73452501"/>
    <x v="2"/>
    <x v="37"/>
    <x v="2"/>
    <x v="3"/>
    <m/>
    <m/>
    <n v="1816.23"/>
  </r>
  <r>
    <n v="73959501"/>
    <x v="2"/>
    <x v="39"/>
    <x v="2"/>
    <x v="3"/>
    <m/>
    <m/>
    <n v="14719.694"/>
  </r>
  <r>
    <n v="73959503"/>
    <x v="2"/>
    <x v="52"/>
    <x v="2"/>
    <x v="3"/>
    <m/>
    <m/>
    <n v="1444.9480000000001"/>
  </r>
  <r>
    <n v="73959504"/>
    <x v="1"/>
    <x v="40"/>
    <x v="2"/>
    <x v="3"/>
    <m/>
    <m/>
    <n v="201.38300000000004"/>
  </r>
  <r>
    <n v="73959504"/>
    <x v="0"/>
    <x v="40"/>
    <x v="2"/>
    <x v="3"/>
    <m/>
    <m/>
    <n v="166.95"/>
  </r>
  <r>
    <n v="73959510"/>
    <x v="2"/>
    <x v="42"/>
    <x v="2"/>
    <x v="3"/>
    <m/>
    <m/>
    <n v="526.85199999999998"/>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A9224C99-55D7-40DB-8C34-49E63E5B3FE0}" name="TablaDinámica3" cacheId="0" applyNumberFormats="0" applyBorderFormats="0" applyFontFormats="0" applyPatternFormats="0" applyAlignmentFormats="0" applyWidthHeightFormats="1" dataCaption="Valores" grandTotalCaption="TOTAL COSTOS DE PRODUCCIÓN" updatedVersion="8" minRefreshableVersion="3" showDrill="0" useAutoFormatting="1" colGrandTotals="0" itemPrintTitles="1" createdVersion="8" indent="0" showHeaders="0" outline="1" outlineData="1" multipleFieldFilters="0">
  <location ref="B3:Q88" firstHeaderRow="1" firstDataRow="3" firstDataCol="1"/>
  <pivotFields count="6">
    <pivotField showAll="0"/>
    <pivotField axis="axisRow" showAll="0">
      <items count="5">
        <item x="2"/>
        <item x="0"/>
        <item x="1"/>
        <item x="3"/>
        <item t="default"/>
      </items>
    </pivotField>
    <pivotField axis="axisRow" showAll="0" sortType="descending">
      <items count="145">
        <item m="1" x="95"/>
        <item x="22"/>
        <item m="1" x="98"/>
        <item m="1" x="139"/>
        <item x="41"/>
        <item m="1" x="66"/>
        <item x="20"/>
        <item x="6"/>
        <item m="1" x="64"/>
        <item m="1" x="92"/>
        <item m="1" x="99"/>
        <item x="15"/>
        <item m="1" x="83"/>
        <item m="1" x="67"/>
        <item m="1" x="70"/>
        <item m="1" x="134"/>
        <item m="1" x="68"/>
        <item m="1" x="69"/>
        <item m="1" x="133"/>
        <item m="1" x="135"/>
        <item m="1" x="137"/>
        <item m="1" x="136"/>
        <item m="1" x="71"/>
        <item x="10"/>
        <item m="1" x="72"/>
        <item x="12"/>
        <item m="1" x="90"/>
        <item x="48"/>
        <item x="21"/>
        <item x="58"/>
        <item x="3"/>
        <item m="1" x="89"/>
        <item m="1" x="65"/>
        <item x="19"/>
        <item x="5"/>
        <item m="1" x="87"/>
        <item x="7"/>
        <item m="1" x="82"/>
        <item x="47"/>
        <item m="1" x="103"/>
        <item x="31"/>
        <item m="1" x="60"/>
        <item x="30"/>
        <item m="1" x="110"/>
        <item m="1" x="118"/>
        <item m="1" x="116"/>
        <item x="52"/>
        <item m="1" x="104"/>
        <item m="1" x="80"/>
        <item m="1" x="78"/>
        <item m="1" x="101"/>
        <item m="1" x="102"/>
        <item m="1" x="77"/>
        <item m="1" x="79"/>
        <item m="1" x="121"/>
        <item m="1" x="124"/>
        <item m="1" x="123"/>
        <item m="1" x="122"/>
        <item x="27"/>
        <item m="1" x="91"/>
        <item x="44"/>
        <item x="9"/>
        <item x="8"/>
        <item x="28"/>
        <item x="45"/>
        <item x="23"/>
        <item m="1" x="120"/>
        <item x="33"/>
        <item m="1" x="97"/>
        <item x="35"/>
        <item x="25"/>
        <item x="49"/>
        <item m="1" x="126"/>
        <item x="11"/>
        <item x="43"/>
        <item x="1"/>
        <item m="1" x="109"/>
        <item n="IMPUESTO PREDIAL" x="50"/>
        <item x="2"/>
        <item x="14"/>
        <item m="1" x="85"/>
        <item x="56"/>
        <item x="46"/>
        <item m="1" x="129"/>
        <item m="1" x="96"/>
        <item m="1" x="113"/>
        <item m="1" x="61"/>
        <item m="1" x="75"/>
        <item m="1" x="73"/>
        <item x="42"/>
        <item m="1" x="76"/>
        <item m="1" x="74"/>
        <item m="1" x="142"/>
        <item m="1" x="141"/>
        <item m="1" x="143"/>
        <item m="1" x="131"/>
        <item m="1" x="130"/>
        <item x="39"/>
        <item x="38"/>
        <item m="1" x="128"/>
        <item m="1" x="81"/>
        <item x="40"/>
        <item m="1" x="84"/>
        <item x="55"/>
        <item x="18"/>
        <item m="1" x="119"/>
        <item m="1" x="117"/>
        <item m="1" x="62"/>
        <item x="34"/>
        <item x="51"/>
        <item m="1" x="112"/>
        <item m="1" x="115"/>
        <item m="1" x="111"/>
        <item m="1" x="114"/>
        <item m="1" x="127"/>
        <item m="1" x="108"/>
        <item m="1" x="106"/>
        <item x="4"/>
        <item m="1" x="94"/>
        <item x="26"/>
        <item x="16"/>
        <item x="17"/>
        <item x="36"/>
        <item m="1" x="100"/>
        <item x="37"/>
        <item m="1" x="86"/>
        <item x="57"/>
        <item x="32"/>
        <item m="1" x="105"/>
        <item x="13"/>
        <item x="0"/>
        <item x="53"/>
        <item m="1" x="59"/>
        <item m="1" x="132"/>
        <item m="1" x="107"/>
        <item m="1" x="88"/>
        <item m="1" x="93"/>
        <item x="24"/>
        <item m="1" x="140"/>
        <item m="1" x="125"/>
        <item x="29"/>
        <item m="1" x="63"/>
        <item m="1" x="138"/>
        <item x="54"/>
        <item t="default"/>
      </items>
      <autoSortScope>
        <pivotArea dataOnly="0" outline="0" fieldPosition="0">
          <references count="2">
            <reference field="4294967294" count="1" selected="0">
              <x v="0"/>
            </reference>
            <reference field="3" count="1" selected="0" defaultSubtotal="1">
              <x v="4"/>
            </reference>
          </references>
        </pivotArea>
      </autoSortScope>
    </pivotField>
    <pivotField axis="axisCol" showAll="0">
      <items count="6">
        <item m="1" x="4"/>
        <item n=" 2023" m="1" x="3"/>
        <item n=" 2024" x="0"/>
        <item n=" 2025" x="1"/>
        <item x="2"/>
        <item t="default"/>
      </items>
    </pivotField>
    <pivotField axis="axisCol" multipleItemSelectionAllowed="1" showAll="0">
      <items count="9">
        <item m="1" x="4"/>
        <item m="1" x="5"/>
        <item m="1" x="6"/>
        <item m="1" x="7"/>
        <item x="0"/>
        <item x="1"/>
        <item x="2"/>
        <item x="3"/>
        <item t="default"/>
      </items>
    </pivotField>
    <pivotField dataField="1" numFmtId="4" showAll="0"/>
  </pivotFields>
  <rowFields count="2">
    <field x="1"/>
    <field x="2"/>
  </rowFields>
  <rowItems count="83">
    <i>
      <x/>
    </i>
    <i r="1">
      <x v="11"/>
    </i>
    <i r="1">
      <x v="65"/>
    </i>
    <i r="1">
      <x v="58"/>
    </i>
    <i r="1">
      <x v="98"/>
    </i>
    <i r="1">
      <x v="74"/>
    </i>
    <i r="1">
      <x v="97"/>
    </i>
    <i r="1">
      <x v="137"/>
    </i>
    <i r="1">
      <x v="120"/>
    </i>
    <i r="1">
      <x v="70"/>
    </i>
    <i r="1">
      <x v="1"/>
    </i>
    <i r="1">
      <x v="77"/>
    </i>
    <i r="1">
      <x v="28"/>
    </i>
    <i r="1">
      <x v="131"/>
    </i>
    <i r="1">
      <x v="140"/>
    </i>
    <i r="1">
      <x v="40"/>
    </i>
    <i r="1">
      <x v="119"/>
    </i>
    <i r="1">
      <x v="42"/>
    </i>
    <i r="1">
      <x v="29"/>
    </i>
    <i r="1">
      <x v="109"/>
    </i>
    <i r="1">
      <x v="63"/>
    </i>
    <i r="1">
      <x v="82"/>
    </i>
    <i r="1">
      <x v="4"/>
    </i>
    <i r="1">
      <x v="121"/>
    </i>
    <i r="1">
      <x v="81"/>
    </i>
    <i r="1">
      <x v="103"/>
    </i>
    <i r="1">
      <x v="101"/>
    </i>
    <i r="1">
      <x v="143"/>
    </i>
    <i r="1">
      <x v="27"/>
    </i>
    <i r="1">
      <x v="71"/>
    </i>
    <i r="1">
      <x v="122"/>
    </i>
    <i r="1">
      <x v="89"/>
    </i>
    <i r="1">
      <x v="46"/>
    </i>
    <i r="1">
      <x v="64"/>
    </i>
    <i r="1">
      <x v="69"/>
    </i>
    <i r="1">
      <x v="126"/>
    </i>
    <i r="1">
      <x v="60"/>
    </i>
    <i>
      <x v="1"/>
    </i>
    <i r="1">
      <x v="104"/>
    </i>
    <i r="1">
      <x v="130"/>
    </i>
    <i r="1">
      <x v="33"/>
    </i>
    <i r="1">
      <x v="117"/>
    </i>
    <i r="1">
      <x v="34"/>
    </i>
    <i r="1">
      <x v="23"/>
    </i>
    <i r="1">
      <x v="75"/>
    </i>
    <i r="1">
      <x v="6"/>
    </i>
    <i r="1">
      <x v="30"/>
    </i>
    <i r="1">
      <x v="62"/>
    </i>
    <i r="1">
      <x v="61"/>
    </i>
    <i r="1">
      <x v="67"/>
    </i>
    <i r="1">
      <x v="7"/>
    </i>
    <i r="1">
      <x v="78"/>
    </i>
    <i r="1">
      <x v="79"/>
    </i>
    <i r="1">
      <x v="60"/>
    </i>
    <i r="1">
      <x v="124"/>
    </i>
    <i r="1">
      <x v="36"/>
    </i>
    <i r="1">
      <x v="73"/>
    </i>
    <i>
      <x v="2"/>
    </i>
    <i r="1">
      <x v="130"/>
    </i>
    <i r="1">
      <x v="104"/>
    </i>
    <i r="1">
      <x v="117"/>
    </i>
    <i r="1">
      <x v="34"/>
    </i>
    <i r="1">
      <x v="23"/>
    </i>
    <i r="1">
      <x v="33"/>
    </i>
    <i r="1">
      <x v="75"/>
    </i>
    <i r="1">
      <x v="7"/>
    </i>
    <i r="1">
      <x v="129"/>
    </i>
    <i r="1">
      <x v="38"/>
    </i>
    <i r="1">
      <x v="62"/>
    </i>
    <i r="1">
      <x v="25"/>
    </i>
    <i r="1">
      <x v="6"/>
    </i>
    <i r="1">
      <x v="67"/>
    </i>
    <i r="1">
      <x v="79"/>
    </i>
    <i r="1">
      <x v="61"/>
    </i>
    <i r="1">
      <x v="78"/>
    </i>
    <i r="1">
      <x v="60"/>
    </i>
    <i r="1">
      <x v="73"/>
    </i>
    <i r="1">
      <x v="36"/>
    </i>
    <i r="1">
      <x v="124"/>
    </i>
    <i r="1">
      <x v="108"/>
    </i>
    <i>
      <x v="3"/>
    </i>
    <i r="1">
      <x v="127"/>
    </i>
    <i t="grand">
      <x/>
    </i>
  </rowItems>
  <colFields count="2">
    <field x="3"/>
    <field x="4"/>
  </colFields>
  <colItems count="15">
    <i>
      <x v="2"/>
      <x v="4"/>
    </i>
    <i r="1">
      <x v="5"/>
    </i>
    <i r="1">
      <x v="6"/>
    </i>
    <i r="1">
      <x v="7"/>
    </i>
    <i t="default">
      <x v="2"/>
    </i>
    <i>
      <x v="3"/>
      <x v="4"/>
    </i>
    <i r="1">
      <x v="5"/>
    </i>
    <i r="1">
      <x v="6"/>
    </i>
    <i r="1">
      <x v="7"/>
    </i>
    <i t="default">
      <x v="3"/>
    </i>
    <i>
      <x v="4"/>
      <x v="4"/>
    </i>
    <i r="1">
      <x v="5"/>
    </i>
    <i r="1">
      <x v="6"/>
    </i>
    <i r="1">
      <x v="7"/>
    </i>
    <i t="default">
      <x v="4"/>
    </i>
  </colItems>
  <dataFields count="1">
    <dataField name=" Valor total" fld="5" baseField="2" baseItem="37" numFmtId="3"/>
  </dataFields>
  <formats count="236">
    <format dxfId="279">
      <pivotArea dataOnly="0" labelOnly="1" fieldPosition="0">
        <references count="1">
          <reference field="3" count="1">
            <x v="2"/>
          </reference>
        </references>
      </pivotArea>
    </format>
    <format dxfId="278">
      <pivotArea dataOnly="0" labelOnly="1" fieldPosition="0">
        <references count="1">
          <reference field="3" count="1">
            <x v="1"/>
          </reference>
        </references>
      </pivotArea>
    </format>
    <format dxfId="277">
      <pivotArea dataOnly="0" labelOnly="1" fieldPosition="0">
        <references count="1">
          <reference field="3" count="1">
            <x v="0"/>
          </reference>
        </references>
      </pivotArea>
    </format>
    <format dxfId="276">
      <pivotArea dataOnly="0" labelOnly="1" fieldPosition="0">
        <references count="1">
          <reference field="3" count="1">
            <x v="0"/>
          </reference>
        </references>
      </pivotArea>
    </format>
    <format dxfId="275">
      <pivotArea type="origin" dataOnly="0" labelOnly="1" outline="0" fieldPosition="0"/>
    </format>
    <format dxfId="274">
      <pivotArea dataOnly="0" labelOnly="1" fieldPosition="0">
        <references count="1">
          <reference field="1" count="0"/>
        </references>
      </pivotArea>
    </format>
    <format dxfId="273">
      <pivotArea dataOnly="0" labelOnly="1" grandRow="1" outline="0" fieldPosition="0"/>
    </format>
    <format dxfId="272">
      <pivotArea dataOnly="0" labelOnly="1" fieldPosition="0">
        <references count="2">
          <reference field="1" count="1" selected="0">
            <x v="0"/>
          </reference>
          <reference field="2" count="24">
            <x v="1"/>
            <x v="10"/>
            <x v="26"/>
            <x v="28"/>
            <x v="40"/>
            <x v="42"/>
            <x v="58"/>
            <x v="59"/>
            <x v="63"/>
            <x v="65"/>
            <x v="70"/>
            <x v="74"/>
            <x v="77"/>
            <x v="84"/>
            <x v="97"/>
            <x v="98"/>
            <x v="100"/>
            <x v="101"/>
            <x v="109"/>
            <x v="119"/>
            <x v="120"/>
            <x v="122"/>
            <x v="124"/>
            <x v="137"/>
          </reference>
        </references>
      </pivotArea>
    </format>
    <format dxfId="271">
      <pivotArea dataOnly="0" labelOnly="1" fieldPosition="0">
        <references count="2">
          <reference field="1" count="1" selected="0">
            <x v="1"/>
          </reference>
          <reference field="2" count="17">
            <x v="23"/>
            <x v="30"/>
            <x v="31"/>
            <x v="36"/>
            <x v="37"/>
            <x v="60"/>
            <x v="61"/>
            <x v="62"/>
            <x v="68"/>
            <x v="73"/>
            <x v="75"/>
            <x v="78"/>
            <x v="114"/>
            <x v="115"/>
            <x v="117"/>
            <x v="130"/>
            <x v="132"/>
          </reference>
        </references>
      </pivotArea>
    </format>
    <format dxfId="270">
      <pivotArea dataOnly="0" labelOnly="1" fieldPosition="0">
        <references count="2">
          <reference field="1" count="1" selected="0">
            <x v="2"/>
          </reference>
          <reference field="2" count="21">
            <x v="23"/>
            <x v="25"/>
            <x v="31"/>
            <x v="36"/>
            <x v="37"/>
            <x v="38"/>
            <x v="60"/>
            <x v="61"/>
            <x v="62"/>
            <x v="68"/>
            <x v="73"/>
            <x v="75"/>
            <x v="78"/>
            <x v="79"/>
            <x v="108"/>
            <x v="114"/>
            <x v="115"/>
            <x v="117"/>
            <x v="129"/>
            <x v="130"/>
            <x v="132"/>
          </reference>
        </references>
      </pivotArea>
    </format>
    <format dxfId="269">
      <pivotArea dataOnly="0" labelOnly="1" fieldPosition="0">
        <references count="2">
          <reference field="1" count="1" selected="0">
            <x v="3"/>
          </reference>
          <reference field="2" count="1">
            <x v="127"/>
          </reference>
        </references>
      </pivotArea>
    </format>
    <format dxfId="268">
      <pivotArea dataOnly="0" labelOnly="1" offset="A256" fieldPosition="0">
        <references count="1">
          <reference field="3" count="1">
            <x v="0"/>
          </reference>
        </references>
      </pivotArea>
    </format>
    <format dxfId="267">
      <pivotArea dataOnly="0" labelOnly="1" fieldPosition="0">
        <references count="1">
          <reference field="3" count="1">
            <x v="1"/>
          </reference>
        </references>
      </pivotArea>
    </format>
    <format dxfId="266">
      <pivotArea collapsedLevelsAreSubtotals="1" fieldPosition="0">
        <references count="1">
          <reference field="1" count="1">
            <x v="0"/>
          </reference>
        </references>
      </pivotArea>
    </format>
    <format dxfId="265">
      <pivotArea collapsedLevelsAreSubtotals="1" fieldPosition="0">
        <references count="1">
          <reference field="1" count="1">
            <x v="1"/>
          </reference>
        </references>
      </pivotArea>
    </format>
    <format dxfId="264">
      <pivotArea dataOnly="0" labelOnly="1" fieldPosition="0">
        <references count="1">
          <reference field="1" count="1">
            <x v="1"/>
          </reference>
        </references>
      </pivotArea>
    </format>
    <format dxfId="263">
      <pivotArea collapsedLevelsAreSubtotals="1" fieldPosition="0">
        <references count="1">
          <reference field="1" count="1">
            <x v="2"/>
          </reference>
        </references>
      </pivotArea>
    </format>
    <format dxfId="262">
      <pivotArea dataOnly="0" labelOnly="1" fieldPosition="0">
        <references count="1">
          <reference field="1" count="1">
            <x v="2"/>
          </reference>
        </references>
      </pivotArea>
    </format>
    <format dxfId="261">
      <pivotArea dataOnly="0" labelOnly="1" offset="A256" fieldPosition="0">
        <references count="1">
          <reference field="3" count="1">
            <x v="1"/>
          </reference>
        </references>
      </pivotArea>
    </format>
    <format dxfId="260">
      <pivotArea dataOnly="0" labelOnly="1" offset="A256" fieldPosition="0">
        <references count="1">
          <reference field="3" count="1">
            <x v="2"/>
          </reference>
        </references>
      </pivotArea>
    </format>
    <format dxfId="259">
      <pivotArea dataOnly="0" labelOnly="1" fieldPosition="0">
        <references count="1">
          <reference field="3" count="1" defaultSubtotal="1">
            <x v="0"/>
          </reference>
        </references>
      </pivotArea>
    </format>
    <format dxfId="258">
      <pivotArea dataOnly="0" labelOnly="1" grandCol="1" outline="0" fieldPosition="0"/>
    </format>
    <format dxfId="257">
      <pivotArea dataOnly="0" labelOnly="1" fieldPosition="0">
        <references count="2">
          <reference field="3" count="1" selected="0">
            <x v="0"/>
          </reference>
          <reference field="4" count="0"/>
        </references>
      </pivotArea>
    </format>
    <format dxfId="256">
      <pivotArea dataOnly="0" labelOnly="1" fieldPosition="0">
        <references count="2">
          <reference field="3" count="1" selected="0">
            <x v="1"/>
          </reference>
          <reference field="4" count="0"/>
        </references>
      </pivotArea>
    </format>
    <format dxfId="255">
      <pivotArea dataOnly="0" labelOnly="1" fieldPosition="0">
        <references count="2">
          <reference field="3" count="1" selected="0">
            <x v="2"/>
          </reference>
          <reference field="4" count="0"/>
        </references>
      </pivotArea>
    </format>
    <format dxfId="254">
      <pivotArea dataOnly="0" labelOnly="1" fieldPosition="0">
        <references count="1">
          <reference field="3" count="1">
            <x v="0"/>
          </reference>
        </references>
      </pivotArea>
    </format>
    <format dxfId="253">
      <pivotArea type="origin" dataOnly="0" labelOnly="1" outline="0" offset="A2" fieldPosition="0"/>
    </format>
    <format dxfId="252">
      <pivotArea dataOnly="0" labelOnly="1" fieldPosition="0">
        <references count="1">
          <reference field="3" count="0"/>
        </references>
      </pivotArea>
    </format>
    <format dxfId="251">
      <pivotArea dataOnly="0" labelOnly="1" fieldPosition="0">
        <references count="1">
          <reference field="3" count="0" defaultSubtotal="1"/>
        </references>
      </pivotArea>
    </format>
    <format dxfId="250">
      <pivotArea dataOnly="0" labelOnly="1" fieldPosition="0">
        <references count="2">
          <reference field="3" count="1" selected="0">
            <x v="0"/>
          </reference>
          <reference field="4" count="0"/>
        </references>
      </pivotArea>
    </format>
    <format dxfId="249">
      <pivotArea dataOnly="0" labelOnly="1" fieldPosition="0">
        <references count="2">
          <reference field="3" count="1" selected="0">
            <x v="1"/>
          </reference>
          <reference field="4" count="0"/>
        </references>
      </pivotArea>
    </format>
    <format dxfId="248">
      <pivotArea dataOnly="0" labelOnly="1" fieldPosition="0">
        <references count="2">
          <reference field="3" count="1" selected="0">
            <x v="2"/>
          </reference>
          <reference field="4" count="0"/>
        </references>
      </pivotArea>
    </format>
    <format dxfId="247">
      <pivotArea dataOnly="0" labelOnly="1" fieldPosition="0">
        <references count="1">
          <reference field="3" count="1">
            <x v="2"/>
          </reference>
        </references>
      </pivotArea>
    </format>
    <format dxfId="246">
      <pivotArea dataOnly="0" labelOnly="1" fieldPosition="0">
        <references count="1">
          <reference field="3" count="1">
            <x v="1"/>
          </reference>
        </references>
      </pivotArea>
    </format>
    <format dxfId="245">
      <pivotArea dataOnly="0" labelOnly="1" fieldPosition="0">
        <references count="1">
          <reference field="3" count="1">
            <x v="1"/>
          </reference>
        </references>
      </pivotArea>
    </format>
    <format dxfId="244">
      <pivotArea dataOnly="0" labelOnly="1" fieldPosition="0">
        <references count="1">
          <reference field="3" count="1" defaultSubtotal="1">
            <x v="1"/>
          </reference>
        </references>
      </pivotArea>
    </format>
    <format dxfId="243">
      <pivotArea dataOnly="0" labelOnly="1" fieldPosition="0">
        <references count="1">
          <reference field="3" count="1">
            <x v="2"/>
          </reference>
        </references>
      </pivotArea>
    </format>
    <format dxfId="242">
      <pivotArea dataOnly="0" labelOnly="1" fieldPosition="0">
        <references count="1">
          <reference field="3" count="1" defaultSubtotal="1">
            <x v="2"/>
          </reference>
        </references>
      </pivotArea>
    </format>
    <format dxfId="241">
      <pivotArea dataOnly="0" labelOnly="1" fieldPosition="0">
        <references count="1">
          <reference field="3" count="1">
            <x v="3"/>
          </reference>
        </references>
      </pivotArea>
    </format>
    <format dxfId="240">
      <pivotArea dataOnly="0" labelOnly="1" fieldPosition="0">
        <references count="1">
          <reference field="3" count="1" defaultSubtotal="1">
            <x v="3"/>
          </reference>
        </references>
      </pivotArea>
    </format>
    <format dxfId="239">
      <pivotArea collapsedLevelsAreSubtotals="1" fieldPosition="0">
        <references count="2">
          <reference field="1" count="1" selected="0">
            <x v="0"/>
          </reference>
          <reference field="2" count="44">
            <x v="1"/>
            <x v="2"/>
            <x v="4"/>
            <x v="11"/>
            <x v="28"/>
            <x v="37"/>
            <x v="40"/>
            <x v="42"/>
            <x v="46"/>
            <x v="48"/>
            <x v="49"/>
            <x v="50"/>
            <x v="51"/>
            <x v="52"/>
            <x v="53"/>
            <x v="60"/>
            <x v="63"/>
            <x v="64"/>
            <x v="65"/>
            <x v="69"/>
            <x v="70"/>
            <x v="74"/>
            <x v="77"/>
            <x v="80"/>
            <x v="81"/>
            <x v="82"/>
            <x v="87"/>
            <x v="88"/>
            <x v="89"/>
            <x v="90"/>
            <x v="91"/>
            <x v="100"/>
            <x v="101"/>
            <x v="109"/>
            <x v="119"/>
            <x v="120"/>
            <x v="121"/>
            <x v="122"/>
            <x v="124"/>
            <x v="125"/>
            <x v="126"/>
            <x v="135"/>
            <x v="137"/>
            <x v="140"/>
          </reference>
        </references>
      </pivotArea>
    </format>
    <format dxfId="238">
      <pivotArea dataOnly="0" labelOnly="1" fieldPosition="0">
        <references count="2">
          <reference field="1" count="1" selected="0">
            <x v="0"/>
          </reference>
          <reference field="2" count="44">
            <x v="1"/>
            <x v="2"/>
            <x v="4"/>
            <x v="11"/>
            <x v="28"/>
            <x v="37"/>
            <x v="40"/>
            <x v="42"/>
            <x v="46"/>
            <x v="48"/>
            <x v="49"/>
            <x v="50"/>
            <x v="51"/>
            <x v="52"/>
            <x v="53"/>
            <x v="60"/>
            <x v="63"/>
            <x v="64"/>
            <x v="65"/>
            <x v="69"/>
            <x v="70"/>
            <x v="74"/>
            <x v="77"/>
            <x v="80"/>
            <x v="81"/>
            <x v="82"/>
            <x v="87"/>
            <x v="88"/>
            <x v="89"/>
            <x v="90"/>
            <x v="91"/>
            <x v="100"/>
            <x v="101"/>
            <x v="109"/>
            <x v="119"/>
            <x v="120"/>
            <x v="121"/>
            <x v="122"/>
            <x v="124"/>
            <x v="125"/>
            <x v="126"/>
            <x v="135"/>
            <x v="137"/>
            <x v="140"/>
          </reference>
        </references>
      </pivotArea>
    </format>
    <format dxfId="237">
      <pivotArea collapsedLevelsAreSubtotals="1" fieldPosition="0">
        <references count="2">
          <reference field="1" count="1" selected="0">
            <x v="1"/>
          </reference>
          <reference field="2" count="27">
            <x v="5"/>
            <x v="6"/>
            <x v="8"/>
            <x v="13"/>
            <x v="14"/>
            <x v="16"/>
            <x v="17"/>
            <x v="30"/>
            <x v="31"/>
            <x v="32"/>
            <x v="33"/>
            <x v="36"/>
            <x v="37"/>
            <x v="41"/>
            <x v="60"/>
            <x v="61"/>
            <x v="62"/>
            <x v="67"/>
            <x v="73"/>
            <x v="75"/>
            <x v="78"/>
            <x v="86"/>
            <x v="104"/>
            <x v="107"/>
            <x v="124"/>
            <x v="130"/>
            <x v="141"/>
          </reference>
        </references>
      </pivotArea>
    </format>
    <format dxfId="236">
      <pivotArea dataOnly="0" labelOnly="1" fieldPosition="0">
        <references count="2">
          <reference field="1" count="1" selected="0">
            <x v="1"/>
          </reference>
          <reference field="2" count="27">
            <x v="5"/>
            <x v="6"/>
            <x v="8"/>
            <x v="13"/>
            <x v="14"/>
            <x v="16"/>
            <x v="17"/>
            <x v="30"/>
            <x v="31"/>
            <x v="32"/>
            <x v="33"/>
            <x v="36"/>
            <x v="37"/>
            <x v="41"/>
            <x v="60"/>
            <x v="61"/>
            <x v="62"/>
            <x v="67"/>
            <x v="73"/>
            <x v="75"/>
            <x v="78"/>
            <x v="86"/>
            <x v="104"/>
            <x v="107"/>
            <x v="124"/>
            <x v="130"/>
            <x v="141"/>
          </reference>
        </references>
      </pivotArea>
    </format>
    <format dxfId="235">
      <pivotArea type="origin" dataOnly="0" labelOnly="1" outline="0" offset="A2" fieldPosition="0"/>
    </format>
    <format dxfId="234">
      <pivotArea dataOnly="0" labelOnly="1" fieldPosition="0">
        <references count="1">
          <reference field="3" count="0"/>
        </references>
      </pivotArea>
    </format>
    <format dxfId="233">
      <pivotArea dataOnly="0" labelOnly="1" fieldPosition="0">
        <references count="1">
          <reference field="3" count="0" defaultSubtotal="1"/>
        </references>
      </pivotArea>
    </format>
    <format dxfId="232">
      <pivotArea dataOnly="0" labelOnly="1" fieldPosition="0">
        <references count="2">
          <reference field="3" count="1" selected="0">
            <x v="1"/>
          </reference>
          <reference field="4" count="0"/>
        </references>
      </pivotArea>
    </format>
    <format dxfId="231">
      <pivotArea dataOnly="0" labelOnly="1" fieldPosition="0">
        <references count="2">
          <reference field="3" count="1" selected="0">
            <x v="2"/>
          </reference>
          <reference field="4" count="0"/>
        </references>
      </pivotArea>
    </format>
    <format dxfId="230">
      <pivotArea dataOnly="0" labelOnly="1" fieldPosition="0">
        <references count="2">
          <reference field="3" count="1" selected="0">
            <x v="3"/>
          </reference>
          <reference field="4" count="0"/>
        </references>
      </pivotArea>
    </format>
    <format dxfId="229">
      <pivotArea dataOnly="0" labelOnly="1" fieldPosition="0">
        <references count="1">
          <reference field="3" count="0"/>
        </references>
      </pivotArea>
    </format>
    <format dxfId="228">
      <pivotArea dataOnly="0" labelOnly="1" fieldPosition="0">
        <references count="1">
          <reference field="3" count="0" defaultSubtotal="1"/>
        </references>
      </pivotArea>
    </format>
    <format dxfId="227">
      <pivotArea dataOnly="0" labelOnly="1" fieldPosition="0">
        <references count="2">
          <reference field="3" count="1" selected="0">
            <x v="1"/>
          </reference>
          <reference field="4" count="0"/>
        </references>
      </pivotArea>
    </format>
    <format dxfId="226">
      <pivotArea dataOnly="0" labelOnly="1" fieldPosition="0">
        <references count="2">
          <reference field="3" count="1" selected="0">
            <x v="2"/>
          </reference>
          <reference field="4" count="0"/>
        </references>
      </pivotArea>
    </format>
    <format dxfId="225">
      <pivotArea dataOnly="0" labelOnly="1" fieldPosition="0">
        <references count="2">
          <reference field="3" count="1" selected="0">
            <x v="3"/>
          </reference>
          <reference field="4" count="0"/>
        </references>
      </pivotArea>
    </format>
    <format dxfId="224">
      <pivotArea dataOnly="0" labelOnly="1" fieldPosition="0">
        <references count="1">
          <reference field="3" count="1" defaultSubtotal="1">
            <x v="1"/>
          </reference>
        </references>
      </pivotArea>
    </format>
    <format dxfId="223">
      <pivotArea collapsedLevelsAreSubtotals="1" fieldPosition="0">
        <references count="1">
          <reference field="1" count="1">
            <x v="1"/>
          </reference>
        </references>
      </pivotArea>
    </format>
    <format dxfId="222">
      <pivotArea collapsedLevelsAreSubtotals="1" fieldPosition="0">
        <references count="2">
          <reference field="1" count="1" selected="0">
            <x v="1"/>
          </reference>
          <reference field="2" count="4">
            <x v="32"/>
            <x v="33"/>
            <x v="104"/>
            <x v="130"/>
          </reference>
        </references>
      </pivotArea>
    </format>
    <format dxfId="221">
      <pivotArea dataOnly="0" labelOnly="1" fieldPosition="0">
        <references count="1">
          <reference field="1" count="1">
            <x v="1"/>
          </reference>
        </references>
      </pivotArea>
    </format>
    <format dxfId="220">
      <pivotArea dataOnly="0" labelOnly="1" fieldPosition="0">
        <references count="2">
          <reference field="1" count="1" selected="0">
            <x v="1"/>
          </reference>
          <reference field="2" count="4">
            <x v="32"/>
            <x v="33"/>
            <x v="104"/>
            <x v="130"/>
          </reference>
        </references>
      </pivotArea>
    </format>
    <format dxfId="219">
      <pivotArea collapsedLevelsAreSubtotals="1" fieldPosition="0">
        <references count="1">
          <reference field="1" count="1">
            <x v="0"/>
          </reference>
        </references>
      </pivotArea>
    </format>
    <format dxfId="218">
      <pivotArea collapsedLevelsAreSubtotals="1" fieldPosition="0">
        <references count="2">
          <reference field="1" count="1" selected="0">
            <x v="0"/>
          </reference>
          <reference field="2" count="25">
            <x v="1"/>
            <x v="11"/>
            <x v="28"/>
            <x v="40"/>
            <x v="46"/>
            <x v="48"/>
            <x v="49"/>
            <x v="50"/>
            <x v="51"/>
            <x v="63"/>
            <x v="65"/>
            <x v="69"/>
            <x v="70"/>
            <x v="74"/>
            <x v="77"/>
            <x v="82"/>
            <x v="87"/>
            <x v="88"/>
            <x v="90"/>
            <x v="91"/>
            <x v="119"/>
            <x v="120"/>
            <x v="121"/>
            <x v="137"/>
            <x v="140"/>
          </reference>
        </references>
      </pivotArea>
    </format>
    <format dxfId="217">
      <pivotArea dataOnly="0" labelOnly="1" fieldPosition="0">
        <references count="1">
          <reference field="1" count="1">
            <x v="0"/>
          </reference>
        </references>
      </pivotArea>
    </format>
    <format dxfId="216">
      <pivotArea dataOnly="0" labelOnly="1" fieldPosition="0">
        <references count="2">
          <reference field="1" count="1" selected="0">
            <x v="0"/>
          </reference>
          <reference field="2" count="25">
            <x v="1"/>
            <x v="11"/>
            <x v="28"/>
            <x v="40"/>
            <x v="46"/>
            <x v="48"/>
            <x v="49"/>
            <x v="50"/>
            <x v="51"/>
            <x v="63"/>
            <x v="65"/>
            <x v="69"/>
            <x v="70"/>
            <x v="74"/>
            <x v="77"/>
            <x v="82"/>
            <x v="87"/>
            <x v="88"/>
            <x v="90"/>
            <x v="91"/>
            <x v="119"/>
            <x v="120"/>
            <x v="121"/>
            <x v="137"/>
            <x v="140"/>
          </reference>
        </references>
      </pivotArea>
    </format>
    <format dxfId="215">
      <pivotArea dataOnly="0" labelOnly="1" fieldPosition="0">
        <references count="1">
          <reference field="3" count="0"/>
        </references>
      </pivotArea>
    </format>
    <format dxfId="214">
      <pivotArea dataOnly="0" labelOnly="1" fieldPosition="0">
        <references count="1">
          <reference field="3" count="0" defaultSubtotal="1"/>
        </references>
      </pivotArea>
    </format>
    <format dxfId="213">
      <pivotArea dataOnly="0" labelOnly="1" fieldPosition="0">
        <references count="2">
          <reference field="3" count="1" selected="0">
            <x v="1"/>
          </reference>
          <reference field="4" count="0"/>
        </references>
      </pivotArea>
    </format>
    <format dxfId="212">
      <pivotArea dataOnly="0" labelOnly="1" fieldPosition="0">
        <references count="2">
          <reference field="3" count="1" selected="0">
            <x v="2"/>
          </reference>
          <reference field="4" count="0"/>
        </references>
      </pivotArea>
    </format>
    <format dxfId="211">
      <pivotArea dataOnly="0" labelOnly="1" fieldPosition="0">
        <references count="2">
          <reference field="3" count="1" selected="0">
            <x v="3"/>
          </reference>
          <reference field="4" count="0"/>
        </references>
      </pivotArea>
    </format>
    <format dxfId="210">
      <pivotArea dataOnly="0" labelOnly="1" fieldPosition="0">
        <references count="2">
          <reference field="1" count="1" selected="0">
            <x v="0"/>
          </reference>
          <reference field="2" count="1">
            <x v="77"/>
          </reference>
        </references>
      </pivotArea>
    </format>
    <format dxfId="209">
      <pivotArea collapsedLevelsAreSubtotals="1" fieldPosition="0">
        <references count="2">
          <reference field="1" count="1" selected="0">
            <x v="2"/>
          </reference>
          <reference field="2" count="33">
            <x v="5"/>
            <x v="6"/>
            <x v="8"/>
            <x v="13"/>
            <x v="14"/>
            <x v="16"/>
            <x v="17"/>
            <x v="22"/>
            <x v="24"/>
            <x v="25"/>
            <x v="32"/>
            <x v="33"/>
            <x v="36"/>
            <x v="37"/>
            <x v="38"/>
            <x v="41"/>
            <x v="60"/>
            <x v="61"/>
            <x v="62"/>
            <x v="67"/>
            <x v="73"/>
            <x v="75"/>
            <x v="78"/>
            <x v="79"/>
            <x v="86"/>
            <x v="104"/>
            <x v="107"/>
            <x v="108"/>
            <x v="124"/>
            <x v="126"/>
            <x v="129"/>
            <x v="130"/>
            <x v="141"/>
          </reference>
        </references>
      </pivotArea>
    </format>
    <format dxfId="208">
      <pivotArea dataOnly="0" labelOnly="1" grandRow="1" outline="0" fieldPosition="0"/>
    </format>
    <format dxfId="207">
      <pivotArea dataOnly="0" labelOnly="1" fieldPosition="0">
        <references count="2">
          <reference field="1" count="1" selected="0">
            <x v="0"/>
          </reference>
          <reference field="2" count="41">
            <x v="1"/>
            <x v="4"/>
            <x v="11"/>
            <x v="28"/>
            <x v="37"/>
            <x v="40"/>
            <x v="42"/>
            <x v="46"/>
            <x v="48"/>
            <x v="49"/>
            <x v="52"/>
            <x v="53"/>
            <x v="60"/>
            <x v="63"/>
            <x v="64"/>
            <x v="65"/>
            <x v="69"/>
            <x v="70"/>
            <x v="74"/>
            <x v="77"/>
            <x v="80"/>
            <x v="81"/>
            <x v="82"/>
            <x v="87"/>
            <x v="88"/>
            <x v="89"/>
            <x v="90"/>
            <x v="91"/>
            <x v="100"/>
            <x v="101"/>
            <x v="109"/>
            <x v="119"/>
            <x v="120"/>
            <x v="121"/>
            <x v="122"/>
            <x v="125"/>
            <x v="126"/>
            <x v="131"/>
            <x v="135"/>
            <x v="137"/>
            <x v="140"/>
          </reference>
        </references>
      </pivotArea>
    </format>
    <format dxfId="206">
      <pivotArea dataOnly="0" labelOnly="1" fieldPosition="0">
        <references count="2">
          <reference field="1" count="1" selected="0">
            <x v="1"/>
          </reference>
          <reference field="2" count="27">
            <x v="5"/>
            <x v="6"/>
            <x v="8"/>
            <x v="13"/>
            <x v="14"/>
            <x v="16"/>
            <x v="17"/>
            <x v="30"/>
            <x v="32"/>
            <x v="33"/>
            <x v="36"/>
            <x v="37"/>
            <x v="41"/>
            <x v="60"/>
            <x v="61"/>
            <x v="62"/>
            <x v="67"/>
            <x v="73"/>
            <x v="75"/>
            <x v="78"/>
            <x v="79"/>
            <x v="86"/>
            <x v="104"/>
            <x v="107"/>
            <x v="124"/>
            <x v="130"/>
            <x v="141"/>
          </reference>
        </references>
      </pivotArea>
    </format>
    <format dxfId="205">
      <pivotArea dataOnly="0" labelOnly="1" fieldPosition="0">
        <references count="2">
          <reference field="1" count="1" selected="0">
            <x v="2"/>
          </reference>
          <reference field="2" count="33">
            <x v="5"/>
            <x v="6"/>
            <x v="8"/>
            <x v="13"/>
            <x v="14"/>
            <x v="16"/>
            <x v="17"/>
            <x v="22"/>
            <x v="24"/>
            <x v="25"/>
            <x v="32"/>
            <x v="33"/>
            <x v="36"/>
            <x v="37"/>
            <x v="38"/>
            <x v="41"/>
            <x v="60"/>
            <x v="61"/>
            <x v="62"/>
            <x v="67"/>
            <x v="73"/>
            <x v="75"/>
            <x v="78"/>
            <x v="79"/>
            <x v="86"/>
            <x v="104"/>
            <x v="107"/>
            <x v="108"/>
            <x v="124"/>
            <x v="126"/>
            <x v="129"/>
            <x v="130"/>
            <x v="141"/>
          </reference>
        </references>
      </pivotArea>
    </format>
    <format dxfId="204">
      <pivotArea dataOnly="0" labelOnly="1" fieldPosition="0">
        <references count="2">
          <reference field="1" count="1" selected="0">
            <x v="3"/>
          </reference>
          <reference field="2" count="1">
            <x v="127"/>
          </reference>
        </references>
      </pivotArea>
    </format>
    <format dxfId="203">
      <pivotArea dataOnly="0" labelOnly="1" grandRow="1" outline="0" fieldPosition="0"/>
    </format>
    <format dxfId="202">
      <pivotArea dataOnly="0" labelOnly="1" fieldPosition="0">
        <references count="2">
          <reference field="1" count="1" selected="0">
            <x v="0"/>
          </reference>
          <reference field="2" count="41">
            <x v="1"/>
            <x v="4"/>
            <x v="11"/>
            <x v="28"/>
            <x v="37"/>
            <x v="40"/>
            <x v="42"/>
            <x v="46"/>
            <x v="48"/>
            <x v="49"/>
            <x v="52"/>
            <x v="53"/>
            <x v="60"/>
            <x v="63"/>
            <x v="64"/>
            <x v="65"/>
            <x v="69"/>
            <x v="70"/>
            <x v="74"/>
            <x v="77"/>
            <x v="80"/>
            <x v="81"/>
            <x v="82"/>
            <x v="87"/>
            <x v="88"/>
            <x v="89"/>
            <x v="90"/>
            <x v="91"/>
            <x v="100"/>
            <x v="101"/>
            <x v="109"/>
            <x v="119"/>
            <x v="120"/>
            <x v="121"/>
            <x v="122"/>
            <x v="125"/>
            <x v="126"/>
            <x v="131"/>
            <x v="135"/>
            <x v="137"/>
            <x v="140"/>
          </reference>
        </references>
      </pivotArea>
    </format>
    <format dxfId="201">
      <pivotArea dataOnly="0" labelOnly="1" fieldPosition="0">
        <references count="2">
          <reference field="1" count="1" selected="0">
            <x v="1"/>
          </reference>
          <reference field="2" count="27">
            <x v="5"/>
            <x v="6"/>
            <x v="8"/>
            <x v="13"/>
            <x v="14"/>
            <x v="16"/>
            <x v="17"/>
            <x v="30"/>
            <x v="32"/>
            <x v="33"/>
            <x v="36"/>
            <x v="37"/>
            <x v="41"/>
            <x v="60"/>
            <x v="61"/>
            <x v="62"/>
            <x v="67"/>
            <x v="73"/>
            <x v="75"/>
            <x v="78"/>
            <x v="79"/>
            <x v="86"/>
            <x v="104"/>
            <x v="107"/>
            <x v="124"/>
            <x v="130"/>
            <x v="141"/>
          </reference>
        </references>
      </pivotArea>
    </format>
    <format dxfId="200">
      <pivotArea dataOnly="0" labelOnly="1" fieldPosition="0">
        <references count="2">
          <reference field="1" count="1" selected="0">
            <x v="2"/>
          </reference>
          <reference field="2" count="33">
            <x v="5"/>
            <x v="6"/>
            <x v="8"/>
            <x v="13"/>
            <x v="14"/>
            <x v="16"/>
            <x v="17"/>
            <x v="22"/>
            <x v="24"/>
            <x v="25"/>
            <x v="32"/>
            <x v="33"/>
            <x v="36"/>
            <x v="37"/>
            <x v="38"/>
            <x v="41"/>
            <x v="60"/>
            <x v="61"/>
            <x v="62"/>
            <x v="67"/>
            <x v="73"/>
            <x v="75"/>
            <x v="78"/>
            <x v="79"/>
            <x v="86"/>
            <x v="104"/>
            <x v="107"/>
            <x v="108"/>
            <x v="124"/>
            <x v="126"/>
            <x v="129"/>
            <x v="130"/>
            <x v="141"/>
          </reference>
        </references>
      </pivotArea>
    </format>
    <format dxfId="199">
      <pivotArea dataOnly="0" labelOnly="1" fieldPosition="0">
        <references count="2">
          <reference field="1" count="1" selected="0">
            <x v="3"/>
          </reference>
          <reference field="2" count="1">
            <x v="127"/>
          </reference>
        </references>
      </pivotArea>
    </format>
    <format dxfId="198">
      <pivotArea dataOnly="0" labelOnly="1" fieldPosition="0">
        <references count="2">
          <reference field="1" count="1" selected="0">
            <x v="0"/>
          </reference>
          <reference field="2" count="1">
            <x v="77"/>
          </reference>
        </references>
      </pivotArea>
    </format>
    <format dxfId="197">
      <pivotArea type="all" dataOnly="0" outline="0" fieldPosition="0"/>
    </format>
    <format dxfId="196">
      <pivotArea type="origin" dataOnly="0" labelOnly="1" outline="0" fieldPosition="0"/>
    </format>
    <format dxfId="195">
      <pivotArea dataOnly="0" labelOnly="1" fieldPosition="0">
        <references count="1">
          <reference field="1" count="0"/>
        </references>
      </pivotArea>
    </format>
    <format dxfId="194">
      <pivotArea dataOnly="0" labelOnly="1" grandRow="1" outline="0" fieldPosition="0"/>
    </format>
    <format dxfId="193">
      <pivotArea dataOnly="0" labelOnly="1" fieldPosition="0">
        <references count="2">
          <reference field="1" count="1" selected="0">
            <x v="0"/>
          </reference>
          <reference field="2" count="43">
            <x v="1"/>
            <x v="4"/>
            <x v="11"/>
            <x v="27"/>
            <x v="28"/>
            <x v="35"/>
            <x v="37"/>
            <x v="40"/>
            <x v="42"/>
            <x v="46"/>
            <x v="48"/>
            <x v="49"/>
            <x v="52"/>
            <x v="53"/>
            <x v="60"/>
            <x v="63"/>
            <x v="64"/>
            <x v="65"/>
            <x v="69"/>
            <x v="70"/>
            <x v="74"/>
            <x v="77"/>
            <x v="80"/>
            <x v="81"/>
            <x v="82"/>
            <x v="87"/>
            <x v="88"/>
            <x v="89"/>
            <x v="90"/>
            <x v="91"/>
            <x v="100"/>
            <x v="101"/>
            <x v="109"/>
            <x v="119"/>
            <x v="120"/>
            <x v="121"/>
            <x v="122"/>
            <x v="125"/>
            <x v="126"/>
            <x v="131"/>
            <x v="135"/>
            <x v="137"/>
            <x v="140"/>
          </reference>
        </references>
      </pivotArea>
    </format>
    <format dxfId="192">
      <pivotArea dataOnly="0" labelOnly="1" fieldPosition="0">
        <references count="2">
          <reference field="1" count="1" selected="0">
            <x v="1"/>
          </reference>
          <reference field="2" count="27">
            <x v="5"/>
            <x v="6"/>
            <x v="8"/>
            <x v="13"/>
            <x v="14"/>
            <x v="16"/>
            <x v="17"/>
            <x v="30"/>
            <x v="32"/>
            <x v="33"/>
            <x v="36"/>
            <x v="37"/>
            <x v="41"/>
            <x v="60"/>
            <x v="61"/>
            <x v="62"/>
            <x v="67"/>
            <x v="73"/>
            <x v="75"/>
            <x v="78"/>
            <x v="79"/>
            <x v="86"/>
            <x v="104"/>
            <x v="107"/>
            <x v="124"/>
            <x v="130"/>
            <x v="141"/>
          </reference>
        </references>
      </pivotArea>
    </format>
    <format dxfId="191">
      <pivotArea dataOnly="0" labelOnly="1" fieldPosition="0">
        <references count="2">
          <reference field="1" count="1" selected="0">
            <x v="2"/>
          </reference>
          <reference field="2" count="33">
            <x v="5"/>
            <x v="6"/>
            <x v="8"/>
            <x v="13"/>
            <x v="14"/>
            <x v="16"/>
            <x v="17"/>
            <x v="22"/>
            <x v="24"/>
            <x v="25"/>
            <x v="31"/>
            <x v="32"/>
            <x v="33"/>
            <x v="36"/>
            <x v="37"/>
            <x v="38"/>
            <x v="41"/>
            <x v="60"/>
            <x v="61"/>
            <x v="62"/>
            <x v="67"/>
            <x v="73"/>
            <x v="75"/>
            <x v="78"/>
            <x v="79"/>
            <x v="86"/>
            <x v="104"/>
            <x v="107"/>
            <x v="108"/>
            <x v="124"/>
            <x v="129"/>
            <x v="130"/>
            <x v="141"/>
          </reference>
        </references>
      </pivotArea>
    </format>
    <format dxfId="190">
      <pivotArea dataOnly="0" labelOnly="1" fieldPosition="0">
        <references count="2">
          <reference field="1" count="1" selected="0">
            <x v="3"/>
          </reference>
          <reference field="2" count="1">
            <x v="127"/>
          </reference>
        </references>
      </pivotArea>
    </format>
    <format dxfId="189">
      <pivotArea dataOnly="0" labelOnly="1" fieldPosition="0">
        <references count="2">
          <reference field="1" count="1" selected="0">
            <x v="1"/>
          </reference>
          <reference field="2" count="27">
            <x v="5"/>
            <x v="6"/>
            <x v="8"/>
            <x v="13"/>
            <x v="14"/>
            <x v="16"/>
            <x v="17"/>
            <x v="30"/>
            <x v="32"/>
            <x v="33"/>
            <x v="36"/>
            <x v="37"/>
            <x v="41"/>
            <x v="60"/>
            <x v="61"/>
            <x v="62"/>
            <x v="67"/>
            <x v="73"/>
            <x v="75"/>
            <x v="78"/>
            <x v="79"/>
            <x v="86"/>
            <x v="104"/>
            <x v="107"/>
            <x v="124"/>
            <x v="130"/>
            <x v="141"/>
          </reference>
        </references>
      </pivotArea>
    </format>
    <format dxfId="188">
      <pivotArea dataOnly="0" labelOnly="1" fieldPosition="0">
        <references count="2">
          <reference field="1" count="1" selected="0">
            <x v="2"/>
          </reference>
          <reference field="2" count="32">
            <x v="5"/>
            <x v="6"/>
            <x v="8"/>
            <x v="13"/>
            <x v="14"/>
            <x v="16"/>
            <x v="17"/>
            <x v="22"/>
            <x v="24"/>
            <x v="25"/>
            <x v="32"/>
            <x v="33"/>
            <x v="36"/>
            <x v="37"/>
            <x v="38"/>
            <x v="41"/>
            <x v="60"/>
            <x v="61"/>
            <x v="62"/>
            <x v="67"/>
            <x v="73"/>
            <x v="75"/>
            <x v="78"/>
            <x v="79"/>
            <x v="86"/>
            <x v="104"/>
            <x v="107"/>
            <x v="108"/>
            <x v="124"/>
            <x v="129"/>
            <x v="130"/>
            <x v="141"/>
          </reference>
        </references>
      </pivotArea>
    </format>
    <format dxfId="187">
      <pivotArea dataOnly="0" labelOnly="1" fieldPosition="0">
        <references count="2">
          <reference field="1" count="1" selected="0">
            <x v="3"/>
          </reference>
          <reference field="2" count="1">
            <x v="127"/>
          </reference>
        </references>
      </pivotArea>
    </format>
    <format dxfId="186">
      <pivotArea dataOnly="0" labelOnly="1" fieldPosition="0">
        <references count="1">
          <reference field="1" count="0"/>
        </references>
      </pivotArea>
    </format>
    <format dxfId="185">
      <pivotArea dataOnly="0" labelOnly="1" grandRow="1" outline="0" fieldPosition="0"/>
    </format>
    <format dxfId="184">
      <pivotArea dataOnly="0" labelOnly="1" fieldPosition="0">
        <references count="2">
          <reference field="1" count="1" selected="0">
            <x v="1"/>
          </reference>
          <reference field="2" count="27">
            <x v="5"/>
            <x v="6"/>
            <x v="8"/>
            <x v="13"/>
            <x v="14"/>
            <x v="16"/>
            <x v="17"/>
            <x v="30"/>
            <x v="32"/>
            <x v="33"/>
            <x v="36"/>
            <x v="37"/>
            <x v="41"/>
            <x v="60"/>
            <x v="61"/>
            <x v="62"/>
            <x v="67"/>
            <x v="73"/>
            <x v="75"/>
            <x v="78"/>
            <x v="79"/>
            <x v="86"/>
            <x v="104"/>
            <x v="107"/>
            <x v="124"/>
            <x v="130"/>
            <x v="141"/>
          </reference>
        </references>
      </pivotArea>
    </format>
    <format dxfId="183">
      <pivotArea dataOnly="0" labelOnly="1" fieldPosition="0">
        <references count="2">
          <reference field="1" count="1" selected="0">
            <x v="2"/>
          </reference>
          <reference field="2" count="32">
            <x v="5"/>
            <x v="6"/>
            <x v="8"/>
            <x v="13"/>
            <x v="14"/>
            <x v="16"/>
            <x v="17"/>
            <x v="22"/>
            <x v="24"/>
            <x v="25"/>
            <x v="32"/>
            <x v="33"/>
            <x v="36"/>
            <x v="37"/>
            <x v="38"/>
            <x v="41"/>
            <x v="60"/>
            <x v="61"/>
            <x v="62"/>
            <x v="67"/>
            <x v="73"/>
            <x v="75"/>
            <x v="78"/>
            <x v="79"/>
            <x v="86"/>
            <x v="104"/>
            <x v="107"/>
            <x v="108"/>
            <x v="124"/>
            <x v="129"/>
            <x v="130"/>
            <x v="141"/>
          </reference>
        </references>
      </pivotArea>
    </format>
    <format dxfId="182">
      <pivotArea dataOnly="0" labelOnly="1" fieldPosition="0">
        <references count="2">
          <reference field="1" count="1" selected="0">
            <x v="3"/>
          </reference>
          <reference field="2" count="1">
            <x v="127"/>
          </reference>
        </references>
      </pivotArea>
    </format>
    <format dxfId="181">
      <pivotArea collapsedLevelsAreSubtotals="1" fieldPosition="0">
        <references count="2">
          <reference field="1" count="1" selected="0">
            <x v="0"/>
          </reference>
          <reference field="2" count="43">
            <x v="1"/>
            <x v="4"/>
            <x v="11"/>
            <x v="27"/>
            <x v="28"/>
            <x v="35"/>
            <x v="37"/>
            <x v="40"/>
            <x v="42"/>
            <x v="46"/>
            <x v="48"/>
            <x v="49"/>
            <x v="52"/>
            <x v="53"/>
            <x v="60"/>
            <x v="63"/>
            <x v="64"/>
            <x v="65"/>
            <x v="69"/>
            <x v="70"/>
            <x v="74"/>
            <x v="77"/>
            <x v="80"/>
            <x v="81"/>
            <x v="82"/>
            <x v="87"/>
            <x v="88"/>
            <x v="89"/>
            <x v="90"/>
            <x v="91"/>
            <x v="100"/>
            <x v="101"/>
            <x v="109"/>
            <x v="119"/>
            <x v="120"/>
            <x v="121"/>
            <x v="122"/>
            <x v="125"/>
            <x v="126"/>
            <x v="131"/>
            <x v="135"/>
            <x v="137"/>
            <x v="140"/>
          </reference>
        </references>
      </pivotArea>
    </format>
    <format dxfId="180">
      <pivotArea dataOnly="0" labelOnly="1" fieldPosition="0">
        <references count="2">
          <reference field="1" count="1" selected="0">
            <x v="0"/>
          </reference>
          <reference field="2" count="43">
            <x v="1"/>
            <x v="4"/>
            <x v="11"/>
            <x v="27"/>
            <x v="28"/>
            <x v="35"/>
            <x v="37"/>
            <x v="40"/>
            <x v="42"/>
            <x v="46"/>
            <x v="48"/>
            <x v="49"/>
            <x v="52"/>
            <x v="53"/>
            <x v="60"/>
            <x v="63"/>
            <x v="64"/>
            <x v="65"/>
            <x v="69"/>
            <x v="70"/>
            <x v="74"/>
            <x v="77"/>
            <x v="80"/>
            <x v="81"/>
            <x v="82"/>
            <x v="87"/>
            <x v="88"/>
            <x v="89"/>
            <x v="90"/>
            <x v="91"/>
            <x v="100"/>
            <x v="101"/>
            <x v="109"/>
            <x v="119"/>
            <x v="120"/>
            <x v="121"/>
            <x v="122"/>
            <x v="125"/>
            <x v="126"/>
            <x v="131"/>
            <x v="135"/>
            <x v="137"/>
            <x v="140"/>
          </reference>
        </references>
      </pivotArea>
    </format>
    <format dxfId="179">
      <pivotArea dataOnly="0" labelOnly="1" fieldPosition="0">
        <references count="2">
          <reference field="1" count="1" selected="0">
            <x v="0"/>
          </reference>
          <reference field="2" count="43">
            <x v="1"/>
            <x v="4"/>
            <x v="11"/>
            <x v="27"/>
            <x v="28"/>
            <x v="35"/>
            <x v="37"/>
            <x v="40"/>
            <x v="42"/>
            <x v="46"/>
            <x v="48"/>
            <x v="49"/>
            <x v="52"/>
            <x v="53"/>
            <x v="60"/>
            <x v="63"/>
            <x v="64"/>
            <x v="65"/>
            <x v="69"/>
            <x v="70"/>
            <x v="74"/>
            <x v="77"/>
            <x v="80"/>
            <x v="81"/>
            <x v="82"/>
            <x v="87"/>
            <x v="88"/>
            <x v="89"/>
            <x v="90"/>
            <x v="91"/>
            <x v="100"/>
            <x v="101"/>
            <x v="109"/>
            <x v="119"/>
            <x v="120"/>
            <x v="121"/>
            <x v="122"/>
            <x v="125"/>
            <x v="126"/>
            <x v="131"/>
            <x v="135"/>
            <x v="137"/>
            <x v="140"/>
          </reference>
        </references>
      </pivotArea>
    </format>
    <format dxfId="178">
      <pivotArea type="all" dataOnly="0" outline="0" fieldPosition="0"/>
    </format>
    <format dxfId="177">
      <pivotArea outline="0" collapsedLevelsAreSubtotals="1" fieldPosition="0"/>
    </format>
    <format dxfId="176">
      <pivotArea type="origin" dataOnly="0" labelOnly="1" outline="0" fieldPosition="0"/>
    </format>
    <format dxfId="175">
      <pivotArea type="topRight" dataOnly="0" labelOnly="1" outline="0" fieldPosition="0"/>
    </format>
    <format dxfId="174">
      <pivotArea dataOnly="0" labelOnly="1" fieldPosition="0">
        <references count="1">
          <reference field="1" count="0"/>
        </references>
      </pivotArea>
    </format>
    <format dxfId="173">
      <pivotArea dataOnly="0" labelOnly="1" grandRow="1" outline="0" fieldPosition="0"/>
    </format>
    <format dxfId="172">
      <pivotArea dataOnly="0" labelOnly="1" fieldPosition="0">
        <references count="2">
          <reference field="1" count="1" selected="0">
            <x v="0"/>
          </reference>
          <reference field="2" count="46">
            <x v="1"/>
            <x v="4"/>
            <x v="11"/>
            <x v="12"/>
            <x v="27"/>
            <x v="28"/>
            <x v="29"/>
            <x v="35"/>
            <x v="37"/>
            <x v="40"/>
            <x v="42"/>
            <x v="46"/>
            <x v="48"/>
            <x v="49"/>
            <x v="52"/>
            <x v="53"/>
            <x v="60"/>
            <x v="63"/>
            <x v="64"/>
            <x v="65"/>
            <x v="69"/>
            <x v="70"/>
            <x v="71"/>
            <x v="74"/>
            <x v="77"/>
            <x v="80"/>
            <x v="81"/>
            <x v="82"/>
            <x v="87"/>
            <x v="88"/>
            <x v="89"/>
            <x v="90"/>
            <x v="91"/>
            <x v="100"/>
            <x v="101"/>
            <x v="109"/>
            <x v="119"/>
            <x v="120"/>
            <x v="121"/>
            <x v="122"/>
            <x v="125"/>
            <x v="126"/>
            <x v="131"/>
            <x v="135"/>
            <x v="137"/>
            <x v="140"/>
          </reference>
        </references>
      </pivotArea>
    </format>
    <format dxfId="171">
      <pivotArea dataOnly="0" labelOnly="1" fieldPosition="0">
        <references count="2">
          <reference field="1" count="1" selected="0">
            <x v="1"/>
          </reference>
          <reference field="2" count="27">
            <x v="5"/>
            <x v="6"/>
            <x v="8"/>
            <x v="13"/>
            <x v="14"/>
            <x v="16"/>
            <x v="17"/>
            <x v="30"/>
            <x v="32"/>
            <x v="33"/>
            <x v="36"/>
            <x v="37"/>
            <x v="41"/>
            <x v="60"/>
            <x v="61"/>
            <x v="62"/>
            <x v="67"/>
            <x v="73"/>
            <x v="75"/>
            <x v="78"/>
            <x v="79"/>
            <x v="86"/>
            <x v="104"/>
            <x v="107"/>
            <x v="124"/>
            <x v="130"/>
            <x v="141"/>
          </reference>
        </references>
      </pivotArea>
    </format>
    <format dxfId="170">
      <pivotArea dataOnly="0" labelOnly="1" fieldPosition="0">
        <references count="2">
          <reference field="1" count="1" selected="0">
            <x v="2"/>
          </reference>
          <reference field="2" count="32">
            <x v="5"/>
            <x v="6"/>
            <x v="8"/>
            <x v="13"/>
            <x v="14"/>
            <x v="16"/>
            <x v="17"/>
            <x v="22"/>
            <x v="24"/>
            <x v="25"/>
            <x v="32"/>
            <x v="33"/>
            <x v="36"/>
            <x v="37"/>
            <x v="38"/>
            <x v="41"/>
            <x v="60"/>
            <x v="61"/>
            <x v="62"/>
            <x v="67"/>
            <x v="73"/>
            <x v="75"/>
            <x v="78"/>
            <x v="79"/>
            <x v="86"/>
            <x v="104"/>
            <x v="107"/>
            <x v="108"/>
            <x v="124"/>
            <x v="129"/>
            <x v="130"/>
            <x v="141"/>
          </reference>
        </references>
      </pivotArea>
    </format>
    <format dxfId="169">
      <pivotArea dataOnly="0" labelOnly="1" fieldPosition="0">
        <references count="2">
          <reference field="1" count="1" selected="0">
            <x v="3"/>
          </reference>
          <reference field="2" count="1">
            <x v="127"/>
          </reference>
        </references>
      </pivotArea>
    </format>
    <format dxfId="168">
      <pivotArea dataOnly="0" labelOnly="1" fieldPosition="0">
        <references count="1">
          <reference field="3" count="0"/>
        </references>
      </pivotArea>
    </format>
    <format dxfId="167">
      <pivotArea dataOnly="0" labelOnly="1" fieldPosition="0">
        <references count="1">
          <reference field="3" count="0" defaultSubtotal="1"/>
        </references>
      </pivotArea>
    </format>
    <format dxfId="166">
      <pivotArea dataOnly="0" labelOnly="1" fieldPosition="0">
        <references count="2">
          <reference field="3" count="1" selected="0">
            <x v="1"/>
          </reference>
          <reference field="4" count="0"/>
        </references>
      </pivotArea>
    </format>
    <format dxfId="165">
      <pivotArea dataOnly="0" labelOnly="1" fieldPosition="0">
        <references count="2">
          <reference field="3" count="1" selected="0">
            <x v="2"/>
          </reference>
          <reference field="4" count="0"/>
        </references>
      </pivotArea>
    </format>
    <format dxfId="164">
      <pivotArea dataOnly="0" labelOnly="1" fieldPosition="0">
        <references count="2">
          <reference field="3" count="1" selected="0">
            <x v="3"/>
          </reference>
          <reference field="4" count="0"/>
        </references>
      </pivotArea>
    </format>
    <format dxfId="163">
      <pivotArea dataOnly="0" labelOnly="1" fieldPosition="0">
        <references count="1">
          <reference field="3" count="1" defaultSubtotal="1">
            <x v="1"/>
          </reference>
        </references>
      </pivotArea>
    </format>
    <format dxfId="162">
      <pivotArea dataOnly="0" labelOnly="1" fieldPosition="0">
        <references count="1">
          <reference field="3" count="1" defaultSubtotal="1">
            <x v="2"/>
          </reference>
        </references>
      </pivotArea>
    </format>
    <format dxfId="161">
      <pivotArea dataOnly="0" labelOnly="1" fieldPosition="0">
        <references count="1">
          <reference field="3" count="1" defaultSubtotal="1">
            <x v="3"/>
          </reference>
        </references>
      </pivotArea>
    </format>
    <format dxfId="160">
      <pivotArea collapsedLevelsAreSubtotals="1" fieldPosition="0">
        <references count="2">
          <reference field="1" count="1" selected="0">
            <x v="0"/>
          </reference>
          <reference field="2" count="44">
            <x v="1"/>
            <x v="4"/>
            <x v="11"/>
            <x v="12"/>
            <x v="27"/>
            <x v="28"/>
            <x v="29"/>
            <x v="35"/>
            <x v="40"/>
            <x v="42"/>
            <x v="46"/>
            <x v="48"/>
            <x v="49"/>
            <x v="52"/>
            <x v="53"/>
            <x v="60"/>
            <x v="63"/>
            <x v="64"/>
            <x v="65"/>
            <x v="69"/>
            <x v="70"/>
            <x v="74"/>
            <x v="77"/>
            <x v="80"/>
            <x v="81"/>
            <x v="82"/>
            <x v="87"/>
            <x v="88"/>
            <x v="89"/>
            <x v="90"/>
            <x v="91"/>
            <x v="100"/>
            <x v="101"/>
            <x v="109"/>
            <x v="119"/>
            <x v="120"/>
            <x v="121"/>
            <x v="122"/>
            <x v="125"/>
            <x v="126"/>
            <x v="131"/>
            <x v="135"/>
            <x v="137"/>
            <x v="140"/>
          </reference>
        </references>
      </pivotArea>
    </format>
    <format dxfId="159">
      <pivotArea collapsedLevelsAreSubtotals="1" fieldPosition="0">
        <references count="2">
          <reference field="1" count="1" selected="0">
            <x v="1"/>
          </reference>
          <reference field="2" count="27">
            <x v="5"/>
            <x v="6"/>
            <x v="8"/>
            <x v="13"/>
            <x v="14"/>
            <x v="16"/>
            <x v="17"/>
            <x v="30"/>
            <x v="32"/>
            <x v="33"/>
            <x v="36"/>
            <x v="37"/>
            <x v="41"/>
            <x v="60"/>
            <x v="61"/>
            <x v="62"/>
            <x v="67"/>
            <x v="73"/>
            <x v="75"/>
            <x v="78"/>
            <x v="79"/>
            <x v="86"/>
            <x v="104"/>
            <x v="107"/>
            <x v="124"/>
            <x v="130"/>
            <x v="141"/>
          </reference>
        </references>
      </pivotArea>
    </format>
    <format dxfId="158">
      <pivotArea collapsedLevelsAreSubtotals="1" fieldPosition="0">
        <references count="2">
          <reference field="1" count="1" selected="0">
            <x v="2"/>
          </reference>
          <reference field="2" count="32">
            <x v="5"/>
            <x v="6"/>
            <x v="8"/>
            <x v="13"/>
            <x v="14"/>
            <x v="16"/>
            <x v="17"/>
            <x v="22"/>
            <x v="24"/>
            <x v="25"/>
            <x v="32"/>
            <x v="33"/>
            <x v="36"/>
            <x v="37"/>
            <x v="38"/>
            <x v="41"/>
            <x v="60"/>
            <x v="61"/>
            <x v="62"/>
            <x v="67"/>
            <x v="73"/>
            <x v="75"/>
            <x v="78"/>
            <x v="79"/>
            <x v="86"/>
            <x v="104"/>
            <x v="107"/>
            <x v="108"/>
            <x v="124"/>
            <x v="129"/>
            <x v="130"/>
            <x v="141"/>
          </reference>
        </references>
      </pivotArea>
    </format>
    <format dxfId="157">
      <pivotArea collapsedLevelsAreSubtotals="1" fieldPosition="0">
        <references count="1">
          <reference field="1" count="1">
            <x v="3"/>
          </reference>
        </references>
      </pivotArea>
    </format>
    <format dxfId="156">
      <pivotArea outline="0" collapsedLevelsAreSubtotals="1" fieldPosition="0">
        <references count="1">
          <reference field="3" count="1" selected="0" defaultSubtotal="1">
            <x v="1"/>
          </reference>
        </references>
      </pivotArea>
    </format>
    <format dxfId="155">
      <pivotArea dataOnly="0" labelOnly="1" fieldPosition="0">
        <references count="2">
          <reference field="3" count="1" selected="0">
            <x v="1"/>
          </reference>
          <reference field="4" count="0"/>
        </references>
      </pivotArea>
    </format>
    <format dxfId="154">
      <pivotArea collapsedLevelsAreSubtotals="1" fieldPosition="0">
        <references count="2">
          <reference field="1" count="1">
            <x v="3"/>
          </reference>
          <reference field="3" count="1" selected="0" defaultSubtotal="1">
            <x v="1"/>
          </reference>
        </references>
      </pivotArea>
    </format>
    <format dxfId="153">
      <pivotArea collapsedLevelsAreSubtotals="1" fieldPosition="0">
        <references count="3">
          <reference field="1" count="1">
            <x v="3"/>
          </reference>
          <reference field="3" count="1" selected="0">
            <x v="2"/>
          </reference>
          <reference field="4" count="1" selected="0">
            <x v="4"/>
          </reference>
        </references>
      </pivotArea>
    </format>
    <format dxfId="152">
      <pivotArea dataOnly="0" labelOnly="1" fieldPosition="0">
        <references count="2">
          <reference field="1" count="1" selected="0">
            <x v="0"/>
          </reference>
          <reference field="2" count="48">
            <x v="1"/>
            <x v="4"/>
            <x v="11"/>
            <x v="12"/>
            <x v="27"/>
            <x v="28"/>
            <x v="29"/>
            <x v="35"/>
            <x v="40"/>
            <x v="42"/>
            <x v="46"/>
            <x v="48"/>
            <x v="49"/>
            <x v="52"/>
            <x v="53"/>
            <x v="60"/>
            <x v="63"/>
            <x v="64"/>
            <x v="65"/>
            <x v="69"/>
            <x v="70"/>
            <x v="71"/>
            <x v="74"/>
            <x v="77"/>
            <x v="80"/>
            <x v="81"/>
            <x v="82"/>
            <x v="87"/>
            <x v="88"/>
            <x v="89"/>
            <x v="90"/>
            <x v="91"/>
            <x v="100"/>
            <x v="101"/>
            <x v="102"/>
            <x v="109"/>
            <x v="119"/>
            <x v="120"/>
            <x v="121"/>
            <x v="122"/>
            <x v="123"/>
            <x v="124"/>
            <x v="125"/>
            <x v="126"/>
            <x v="131"/>
            <x v="135"/>
            <x v="137"/>
            <x v="140"/>
          </reference>
        </references>
      </pivotArea>
    </format>
    <format dxfId="151">
      <pivotArea dataOnly="0" labelOnly="1" fieldPosition="0">
        <references count="2">
          <reference field="1" count="1" selected="0">
            <x v="1"/>
          </reference>
          <reference field="2" count="28">
            <x v="5"/>
            <x v="6"/>
            <x v="8"/>
            <x v="13"/>
            <x v="14"/>
            <x v="16"/>
            <x v="17"/>
            <x v="30"/>
            <x v="31"/>
            <x v="32"/>
            <x v="33"/>
            <x v="36"/>
            <x v="37"/>
            <x v="41"/>
            <x v="60"/>
            <x v="61"/>
            <x v="62"/>
            <x v="67"/>
            <x v="73"/>
            <x v="75"/>
            <x v="78"/>
            <x v="79"/>
            <x v="86"/>
            <x v="104"/>
            <x v="107"/>
            <x v="124"/>
            <x v="130"/>
            <x v="141"/>
          </reference>
        </references>
      </pivotArea>
    </format>
    <format dxfId="150">
      <pivotArea dataOnly="0" labelOnly="1" fieldPosition="0">
        <references count="2">
          <reference field="1" count="1" selected="0">
            <x v="2"/>
          </reference>
          <reference field="2" count="33">
            <x v="5"/>
            <x v="6"/>
            <x v="8"/>
            <x v="13"/>
            <x v="14"/>
            <x v="16"/>
            <x v="17"/>
            <x v="22"/>
            <x v="24"/>
            <x v="25"/>
            <x v="31"/>
            <x v="32"/>
            <x v="33"/>
            <x v="36"/>
            <x v="37"/>
            <x v="38"/>
            <x v="41"/>
            <x v="60"/>
            <x v="61"/>
            <x v="62"/>
            <x v="67"/>
            <x v="73"/>
            <x v="75"/>
            <x v="78"/>
            <x v="79"/>
            <x v="86"/>
            <x v="104"/>
            <x v="107"/>
            <x v="108"/>
            <x v="124"/>
            <x v="129"/>
            <x v="130"/>
            <x v="141"/>
          </reference>
        </references>
      </pivotArea>
    </format>
    <format dxfId="149">
      <pivotArea collapsedLevelsAreSubtotals="1" fieldPosition="0">
        <references count="4">
          <reference field="1" count="1" selected="0">
            <x v="0"/>
          </reference>
          <reference field="2" count="48">
            <x v="1"/>
            <x v="4"/>
            <x v="11"/>
            <x v="12"/>
            <x v="27"/>
            <x v="28"/>
            <x v="29"/>
            <x v="35"/>
            <x v="40"/>
            <x v="42"/>
            <x v="46"/>
            <x v="48"/>
            <x v="49"/>
            <x v="52"/>
            <x v="53"/>
            <x v="60"/>
            <x v="63"/>
            <x v="64"/>
            <x v="65"/>
            <x v="69"/>
            <x v="70"/>
            <x v="71"/>
            <x v="74"/>
            <x v="77"/>
            <x v="80"/>
            <x v="81"/>
            <x v="82"/>
            <x v="87"/>
            <x v="88"/>
            <x v="89"/>
            <x v="90"/>
            <x v="91"/>
            <x v="100"/>
            <x v="101"/>
            <x v="102"/>
            <x v="109"/>
            <x v="119"/>
            <x v="120"/>
            <x v="121"/>
            <x v="122"/>
            <x v="123"/>
            <x v="124"/>
            <x v="125"/>
            <x v="126"/>
            <x v="131"/>
            <x v="135"/>
            <x v="137"/>
            <x v="140"/>
          </reference>
          <reference field="3" count="1" selected="0">
            <x v="1"/>
          </reference>
          <reference field="4" count="0" selected="0"/>
        </references>
      </pivotArea>
    </format>
    <format dxfId="148">
      <pivotArea collapsedLevelsAreSubtotals="1" fieldPosition="0">
        <references count="4">
          <reference field="1" count="1" selected="0">
            <x v="1"/>
          </reference>
          <reference field="2" count="28">
            <x v="5"/>
            <x v="6"/>
            <x v="8"/>
            <x v="13"/>
            <x v="14"/>
            <x v="16"/>
            <x v="17"/>
            <x v="30"/>
            <x v="31"/>
            <x v="32"/>
            <x v="33"/>
            <x v="36"/>
            <x v="37"/>
            <x v="41"/>
            <x v="60"/>
            <x v="61"/>
            <x v="62"/>
            <x v="67"/>
            <x v="73"/>
            <x v="75"/>
            <x v="78"/>
            <x v="79"/>
            <x v="86"/>
            <x v="104"/>
            <x v="107"/>
            <x v="124"/>
            <x v="130"/>
            <x v="141"/>
          </reference>
          <reference field="3" count="1" selected="0">
            <x v="1"/>
          </reference>
          <reference field="4" count="0" selected="0"/>
        </references>
      </pivotArea>
    </format>
    <format dxfId="147">
      <pivotArea collapsedLevelsAreSubtotals="1" fieldPosition="0">
        <references count="4">
          <reference field="1" count="1" selected="0">
            <x v="2"/>
          </reference>
          <reference field="2" count="33">
            <x v="5"/>
            <x v="6"/>
            <x v="8"/>
            <x v="13"/>
            <x v="14"/>
            <x v="16"/>
            <x v="17"/>
            <x v="22"/>
            <x v="24"/>
            <x v="25"/>
            <x v="31"/>
            <x v="32"/>
            <x v="33"/>
            <x v="36"/>
            <x v="37"/>
            <x v="38"/>
            <x v="41"/>
            <x v="60"/>
            <x v="61"/>
            <x v="62"/>
            <x v="67"/>
            <x v="73"/>
            <x v="75"/>
            <x v="78"/>
            <x v="79"/>
            <x v="86"/>
            <x v="104"/>
            <x v="107"/>
            <x v="108"/>
            <x v="124"/>
            <x v="129"/>
            <x v="130"/>
            <x v="141"/>
          </reference>
          <reference field="3" count="1" selected="0">
            <x v="1"/>
          </reference>
          <reference field="4" count="0" selected="0"/>
        </references>
      </pivotArea>
    </format>
    <format dxfId="146">
      <pivotArea collapsedLevelsAreSubtotals="1" fieldPosition="0">
        <references count="3">
          <reference field="1" count="1" selected="0">
            <x v="0"/>
          </reference>
          <reference field="2" count="48">
            <x v="1"/>
            <x v="4"/>
            <x v="11"/>
            <x v="12"/>
            <x v="27"/>
            <x v="28"/>
            <x v="29"/>
            <x v="35"/>
            <x v="40"/>
            <x v="42"/>
            <x v="46"/>
            <x v="48"/>
            <x v="49"/>
            <x v="52"/>
            <x v="53"/>
            <x v="60"/>
            <x v="63"/>
            <x v="64"/>
            <x v="65"/>
            <x v="69"/>
            <x v="70"/>
            <x v="71"/>
            <x v="74"/>
            <x v="77"/>
            <x v="80"/>
            <x v="81"/>
            <x v="82"/>
            <x v="87"/>
            <x v="88"/>
            <x v="89"/>
            <x v="90"/>
            <x v="91"/>
            <x v="100"/>
            <x v="101"/>
            <x v="102"/>
            <x v="109"/>
            <x v="119"/>
            <x v="120"/>
            <x v="121"/>
            <x v="122"/>
            <x v="123"/>
            <x v="124"/>
            <x v="125"/>
            <x v="126"/>
            <x v="131"/>
            <x v="135"/>
            <x v="137"/>
            <x v="140"/>
          </reference>
          <reference field="3" count="1" selected="0" defaultSubtotal="1">
            <x v="1"/>
          </reference>
        </references>
      </pivotArea>
    </format>
    <format dxfId="145">
      <pivotArea collapsedLevelsAreSubtotals="1" fieldPosition="0">
        <references count="3">
          <reference field="1" count="1" selected="0">
            <x v="1"/>
          </reference>
          <reference field="2" count="28">
            <x v="5"/>
            <x v="6"/>
            <x v="8"/>
            <x v="13"/>
            <x v="14"/>
            <x v="16"/>
            <x v="17"/>
            <x v="30"/>
            <x v="31"/>
            <x v="32"/>
            <x v="33"/>
            <x v="36"/>
            <x v="37"/>
            <x v="41"/>
            <x v="60"/>
            <x v="61"/>
            <x v="62"/>
            <x v="67"/>
            <x v="73"/>
            <x v="75"/>
            <x v="78"/>
            <x v="79"/>
            <x v="86"/>
            <x v="104"/>
            <x v="107"/>
            <x v="124"/>
            <x v="130"/>
            <x v="141"/>
          </reference>
          <reference field="3" count="1" selected="0" defaultSubtotal="1">
            <x v="1"/>
          </reference>
        </references>
      </pivotArea>
    </format>
    <format dxfId="144">
      <pivotArea collapsedLevelsAreSubtotals="1" fieldPosition="0">
        <references count="3">
          <reference field="1" count="1" selected="0">
            <x v="2"/>
          </reference>
          <reference field="2" count="33">
            <x v="5"/>
            <x v="6"/>
            <x v="8"/>
            <x v="13"/>
            <x v="14"/>
            <x v="16"/>
            <x v="17"/>
            <x v="22"/>
            <x v="24"/>
            <x v="25"/>
            <x v="31"/>
            <x v="32"/>
            <x v="33"/>
            <x v="36"/>
            <x v="37"/>
            <x v="38"/>
            <x v="41"/>
            <x v="60"/>
            <x v="61"/>
            <x v="62"/>
            <x v="67"/>
            <x v="73"/>
            <x v="75"/>
            <x v="78"/>
            <x v="79"/>
            <x v="86"/>
            <x v="104"/>
            <x v="107"/>
            <x v="108"/>
            <x v="124"/>
            <x v="129"/>
            <x v="130"/>
            <x v="141"/>
          </reference>
          <reference field="3" count="1" selected="0" defaultSubtotal="1">
            <x v="1"/>
          </reference>
        </references>
      </pivotArea>
    </format>
    <format dxfId="143">
      <pivotArea collapsedLevelsAreSubtotals="1" fieldPosition="0">
        <references count="4">
          <reference field="1" count="1" selected="0">
            <x v="0"/>
          </reference>
          <reference field="2" count="48">
            <x v="1"/>
            <x v="4"/>
            <x v="11"/>
            <x v="12"/>
            <x v="27"/>
            <x v="28"/>
            <x v="29"/>
            <x v="35"/>
            <x v="40"/>
            <x v="42"/>
            <x v="46"/>
            <x v="48"/>
            <x v="49"/>
            <x v="52"/>
            <x v="53"/>
            <x v="60"/>
            <x v="63"/>
            <x v="64"/>
            <x v="65"/>
            <x v="69"/>
            <x v="70"/>
            <x v="71"/>
            <x v="74"/>
            <x v="77"/>
            <x v="80"/>
            <x v="81"/>
            <x v="82"/>
            <x v="87"/>
            <x v="88"/>
            <x v="89"/>
            <x v="90"/>
            <x v="91"/>
            <x v="100"/>
            <x v="101"/>
            <x v="102"/>
            <x v="109"/>
            <x v="119"/>
            <x v="120"/>
            <x v="121"/>
            <x v="122"/>
            <x v="123"/>
            <x v="124"/>
            <x v="125"/>
            <x v="126"/>
            <x v="131"/>
            <x v="135"/>
            <x v="137"/>
            <x v="140"/>
          </reference>
          <reference field="3" count="1" selected="0">
            <x v="2"/>
          </reference>
          <reference field="4" count="0" selected="0"/>
        </references>
      </pivotArea>
    </format>
    <format dxfId="142">
      <pivotArea collapsedLevelsAreSubtotals="1" fieldPosition="0">
        <references count="4">
          <reference field="1" count="1" selected="0">
            <x v="1"/>
          </reference>
          <reference field="2" count="28">
            <x v="5"/>
            <x v="6"/>
            <x v="8"/>
            <x v="13"/>
            <x v="14"/>
            <x v="16"/>
            <x v="17"/>
            <x v="30"/>
            <x v="31"/>
            <x v="32"/>
            <x v="33"/>
            <x v="36"/>
            <x v="37"/>
            <x v="41"/>
            <x v="60"/>
            <x v="61"/>
            <x v="62"/>
            <x v="67"/>
            <x v="73"/>
            <x v="75"/>
            <x v="78"/>
            <x v="79"/>
            <x v="86"/>
            <x v="104"/>
            <x v="107"/>
            <x v="124"/>
            <x v="130"/>
            <x v="141"/>
          </reference>
          <reference field="3" count="1" selected="0">
            <x v="2"/>
          </reference>
          <reference field="4" count="0" selected="0"/>
        </references>
      </pivotArea>
    </format>
    <format dxfId="141">
      <pivotArea collapsedLevelsAreSubtotals="1" fieldPosition="0">
        <references count="4">
          <reference field="1" count="1" selected="0">
            <x v="2"/>
          </reference>
          <reference field="2" count="33">
            <x v="5"/>
            <x v="6"/>
            <x v="8"/>
            <x v="13"/>
            <x v="14"/>
            <x v="16"/>
            <x v="17"/>
            <x v="22"/>
            <x v="24"/>
            <x v="25"/>
            <x v="31"/>
            <x v="32"/>
            <x v="33"/>
            <x v="36"/>
            <x v="37"/>
            <x v="38"/>
            <x v="41"/>
            <x v="60"/>
            <x v="61"/>
            <x v="62"/>
            <x v="67"/>
            <x v="73"/>
            <x v="75"/>
            <x v="78"/>
            <x v="79"/>
            <x v="86"/>
            <x v="104"/>
            <x v="107"/>
            <x v="108"/>
            <x v="124"/>
            <x v="129"/>
            <x v="130"/>
            <x v="141"/>
          </reference>
          <reference field="3" count="1" selected="0">
            <x v="2"/>
          </reference>
          <reference field="4" count="0" selected="0"/>
        </references>
      </pivotArea>
    </format>
    <format dxfId="140">
      <pivotArea collapsedLevelsAreSubtotals="1" fieldPosition="0">
        <references count="3">
          <reference field="1" count="1" selected="0">
            <x v="0"/>
          </reference>
          <reference field="2" count="48">
            <x v="1"/>
            <x v="4"/>
            <x v="11"/>
            <x v="12"/>
            <x v="27"/>
            <x v="28"/>
            <x v="29"/>
            <x v="35"/>
            <x v="40"/>
            <x v="42"/>
            <x v="46"/>
            <x v="48"/>
            <x v="49"/>
            <x v="52"/>
            <x v="53"/>
            <x v="60"/>
            <x v="63"/>
            <x v="64"/>
            <x v="65"/>
            <x v="69"/>
            <x v="70"/>
            <x v="71"/>
            <x v="74"/>
            <x v="77"/>
            <x v="80"/>
            <x v="81"/>
            <x v="82"/>
            <x v="87"/>
            <x v="88"/>
            <x v="89"/>
            <x v="90"/>
            <x v="91"/>
            <x v="100"/>
            <x v="101"/>
            <x v="102"/>
            <x v="109"/>
            <x v="119"/>
            <x v="120"/>
            <x v="121"/>
            <x v="122"/>
            <x v="123"/>
            <x v="124"/>
            <x v="125"/>
            <x v="126"/>
            <x v="131"/>
            <x v="135"/>
            <x v="137"/>
            <x v="140"/>
          </reference>
          <reference field="3" count="1" selected="0" defaultSubtotal="1">
            <x v="2"/>
          </reference>
        </references>
      </pivotArea>
    </format>
    <format dxfId="139">
      <pivotArea collapsedLevelsAreSubtotals="1" fieldPosition="0">
        <references count="3">
          <reference field="1" count="1" selected="0">
            <x v="1"/>
          </reference>
          <reference field="2" count="28">
            <x v="5"/>
            <x v="6"/>
            <x v="8"/>
            <x v="13"/>
            <x v="14"/>
            <x v="16"/>
            <x v="17"/>
            <x v="30"/>
            <x v="31"/>
            <x v="32"/>
            <x v="33"/>
            <x v="36"/>
            <x v="37"/>
            <x v="41"/>
            <x v="60"/>
            <x v="61"/>
            <x v="62"/>
            <x v="67"/>
            <x v="73"/>
            <x v="75"/>
            <x v="78"/>
            <x v="79"/>
            <x v="86"/>
            <x v="104"/>
            <x v="107"/>
            <x v="124"/>
            <x v="130"/>
            <x v="141"/>
          </reference>
          <reference field="3" count="1" selected="0" defaultSubtotal="1">
            <x v="2"/>
          </reference>
        </references>
      </pivotArea>
    </format>
    <format dxfId="138">
      <pivotArea collapsedLevelsAreSubtotals="1" fieldPosition="0">
        <references count="3">
          <reference field="1" count="1" selected="0">
            <x v="2"/>
          </reference>
          <reference field="2" count="33">
            <x v="5"/>
            <x v="6"/>
            <x v="8"/>
            <x v="13"/>
            <x v="14"/>
            <x v="16"/>
            <x v="17"/>
            <x v="22"/>
            <x v="24"/>
            <x v="25"/>
            <x v="31"/>
            <x v="32"/>
            <x v="33"/>
            <x v="36"/>
            <x v="37"/>
            <x v="38"/>
            <x v="41"/>
            <x v="60"/>
            <x v="61"/>
            <x v="62"/>
            <x v="67"/>
            <x v="73"/>
            <x v="75"/>
            <x v="78"/>
            <x v="79"/>
            <x v="86"/>
            <x v="104"/>
            <x v="107"/>
            <x v="108"/>
            <x v="124"/>
            <x v="129"/>
            <x v="130"/>
            <x v="141"/>
          </reference>
          <reference field="3" count="1" selected="0" defaultSubtotal="1">
            <x v="2"/>
          </reference>
        </references>
      </pivotArea>
    </format>
    <format dxfId="137">
      <pivotArea collapsedLevelsAreSubtotals="1" fieldPosition="0">
        <references count="4">
          <reference field="1" count="1" selected="0">
            <x v="0"/>
          </reference>
          <reference field="2" count="48">
            <x v="1"/>
            <x v="4"/>
            <x v="11"/>
            <x v="12"/>
            <x v="27"/>
            <x v="28"/>
            <x v="29"/>
            <x v="35"/>
            <x v="40"/>
            <x v="42"/>
            <x v="46"/>
            <x v="48"/>
            <x v="49"/>
            <x v="52"/>
            <x v="53"/>
            <x v="60"/>
            <x v="63"/>
            <x v="64"/>
            <x v="65"/>
            <x v="69"/>
            <x v="70"/>
            <x v="71"/>
            <x v="74"/>
            <x v="77"/>
            <x v="80"/>
            <x v="81"/>
            <x v="82"/>
            <x v="87"/>
            <x v="88"/>
            <x v="89"/>
            <x v="90"/>
            <x v="91"/>
            <x v="100"/>
            <x v="101"/>
            <x v="102"/>
            <x v="109"/>
            <x v="119"/>
            <x v="120"/>
            <x v="121"/>
            <x v="122"/>
            <x v="123"/>
            <x v="124"/>
            <x v="125"/>
            <x v="126"/>
            <x v="131"/>
            <x v="135"/>
            <x v="137"/>
            <x v="140"/>
          </reference>
          <reference field="3" count="1" selected="0">
            <x v="3"/>
          </reference>
          <reference field="4" count="0" selected="0"/>
        </references>
      </pivotArea>
    </format>
    <format dxfId="136">
      <pivotArea collapsedLevelsAreSubtotals="1" fieldPosition="0">
        <references count="4">
          <reference field="1" count="1" selected="0">
            <x v="1"/>
          </reference>
          <reference field="2" count="28">
            <x v="5"/>
            <x v="6"/>
            <x v="8"/>
            <x v="13"/>
            <x v="14"/>
            <x v="16"/>
            <x v="17"/>
            <x v="30"/>
            <x v="31"/>
            <x v="32"/>
            <x v="33"/>
            <x v="36"/>
            <x v="37"/>
            <x v="41"/>
            <x v="60"/>
            <x v="61"/>
            <x v="62"/>
            <x v="67"/>
            <x v="73"/>
            <x v="75"/>
            <x v="78"/>
            <x v="79"/>
            <x v="86"/>
            <x v="104"/>
            <x v="107"/>
            <x v="124"/>
            <x v="130"/>
            <x v="141"/>
          </reference>
          <reference field="3" count="1" selected="0">
            <x v="3"/>
          </reference>
          <reference field="4" count="0" selected="0"/>
        </references>
      </pivotArea>
    </format>
    <format dxfId="135">
      <pivotArea collapsedLevelsAreSubtotals="1" fieldPosition="0">
        <references count="4">
          <reference field="1" count="1" selected="0">
            <x v="2"/>
          </reference>
          <reference field="2" count="33">
            <x v="5"/>
            <x v="6"/>
            <x v="8"/>
            <x v="13"/>
            <x v="14"/>
            <x v="16"/>
            <x v="17"/>
            <x v="22"/>
            <x v="24"/>
            <x v="25"/>
            <x v="31"/>
            <x v="32"/>
            <x v="33"/>
            <x v="36"/>
            <x v="37"/>
            <x v="38"/>
            <x v="41"/>
            <x v="60"/>
            <x v="61"/>
            <x v="62"/>
            <x v="67"/>
            <x v="73"/>
            <x v="75"/>
            <x v="78"/>
            <x v="79"/>
            <x v="86"/>
            <x v="104"/>
            <x v="107"/>
            <x v="108"/>
            <x v="124"/>
            <x v="129"/>
            <x v="130"/>
            <x v="141"/>
          </reference>
          <reference field="3" count="1" selected="0">
            <x v="3"/>
          </reference>
          <reference field="4" count="0" selected="0"/>
        </references>
      </pivotArea>
    </format>
    <format dxfId="134">
      <pivotArea collapsedLevelsAreSubtotals="1" fieldPosition="0">
        <references count="3">
          <reference field="1" count="1" selected="0">
            <x v="0"/>
          </reference>
          <reference field="2" count="48">
            <x v="1"/>
            <x v="4"/>
            <x v="11"/>
            <x v="12"/>
            <x v="27"/>
            <x v="28"/>
            <x v="29"/>
            <x v="35"/>
            <x v="40"/>
            <x v="42"/>
            <x v="46"/>
            <x v="48"/>
            <x v="49"/>
            <x v="52"/>
            <x v="53"/>
            <x v="60"/>
            <x v="63"/>
            <x v="64"/>
            <x v="65"/>
            <x v="69"/>
            <x v="70"/>
            <x v="71"/>
            <x v="74"/>
            <x v="77"/>
            <x v="80"/>
            <x v="81"/>
            <x v="82"/>
            <x v="87"/>
            <x v="88"/>
            <x v="89"/>
            <x v="90"/>
            <x v="91"/>
            <x v="100"/>
            <x v="101"/>
            <x v="102"/>
            <x v="109"/>
            <x v="119"/>
            <x v="120"/>
            <x v="121"/>
            <x v="122"/>
            <x v="123"/>
            <x v="124"/>
            <x v="125"/>
            <x v="126"/>
            <x v="131"/>
            <x v="135"/>
            <x v="137"/>
            <x v="140"/>
          </reference>
          <reference field="3" count="1" selected="0" defaultSubtotal="1">
            <x v="3"/>
          </reference>
        </references>
      </pivotArea>
    </format>
    <format dxfId="133">
      <pivotArea collapsedLevelsAreSubtotals="1" fieldPosition="0">
        <references count="3">
          <reference field="1" count="1" selected="0">
            <x v="1"/>
          </reference>
          <reference field="2" count="28">
            <x v="5"/>
            <x v="6"/>
            <x v="8"/>
            <x v="13"/>
            <x v="14"/>
            <x v="16"/>
            <x v="17"/>
            <x v="30"/>
            <x v="31"/>
            <x v="32"/>
            <x v="33"/>
            <x v="36"/>
            <x v="37"/>
            <x v="41"/>
            <x v="60"/>
            <x v="61"/>
            <x v="62"/>
            <x v="67"/>
            <x v="73"/>
            <x v="75"/>
            <x v="78"/>
            <x v="79"/>
            <x v="86"/>
            <x v="104"/>
            <x v="107"/>
            <x v="124"/>
            <x v="130"/>
            <x v="141"/>
          </reference>
          <reference field="3" count="1" selected="0" defaultSubtotal="1">
            <x v="3"/>
          </reference>
        </references>
      </pivotArea>
    </format>
    <format dxfId="132">
      <pivotArea collapsedLevelsAreSubtotals="1" fieldPosition="0">
        <references count="3">
          <reference field="1" count="1" selected="0">
            <x v="2"/>
          </reference>
          <reference field="2" count="33">
            <x v="5"/>
            <x v="6"/>
            <x v="8"/>
            <x v="13"/>
            <x v="14"/>
            <x v="16"/>
            <x v="17"/>
            <x v="22"/>
            <x v="24"/>
            <x v="25"/>
            <x v="31"/>
            <x v="32"/>
            <x v="33"/>
            <x v="36"/>
            <x v="37"/>
            <x v="38"/>
            <x v="41"/>
            <x v="60"/>
            <x v="61"/>
            <x v="62"/>
            <x v="67"/>
            <x v="73"/>
            <x v="75"/>
            <x v="78"/>
            <x v="79"/>
            <x v="86"/>
            <x v="104"/>
            <x v="107"/>
            <x v="108"/>
            <x v="124"/>
            <x v="129"/>
            <x v="130"/>
            <x v="141"/>
          </reference>
          <reference field="3" count="1" selected="0" defaultSubtotal="1">
            <x v="3"/>
          </reference>
        </references>
      </pivotArea>
    </format>
    <format dxfId="131">
      <pivotArea dataOnly="0" labelOnly="1" fieldPosition="0">
        <references count="2">
          <reference field="1" count="1" selected="0">
            <x v="0"/>
          </reference>
          <reference field="2" count="50">
            <x v="0"/>
            <x v="1"/>
            <x v="4"/>
            <x v="9"/>
            <x v="11"/>
            <x v="12"/>
            <x v="27"/>
            <x v="28"/>
            <x v="29"/>
            <x v="40"/>
            <x v="42"/>
            <x v="46"/>
            <x v="48"/>
            <x v="49"/>
            <x v="52"/>
            <x v="53"/>
            <x v="60"/>
            <x v="63"/>
            <x v="64"/>
            <x v="65"/>
            <x v="69"/>
            <x v="70"/>
            <x v="71"/>
            <x v="74"/>
            <x v="77"/>
            <x v="80"/>
            <x v="81"/>
            <x v="82"/>
            <x v="87"/>
            <x v="88"/>
            <x v="89"/>
            <x v="90"/>
            <x v="91"/>
            <x v="100"/>
            <x v="101"/>
            <x v="102"/>
            <x v="109"/>
            <x v="118"/>
            <x v="119"/>
            <x v="120"/>
            <x v="121"/>
            <x v="122"/>
            <x v="124"/>
            <x v="125"/>
            <x v="126"/>
            <x v="131"/>
            <x v="135"/>
            <x v="136"/>
            <x v="137"/>
            <x v="140"/>
          </reference>
        </references>
      </pivotArea>
    </format>
    <format dxfId="130">
      <pivotArea collapsedLevelsAreSubtotals="1" fieldPosition="0">
        <references count="4">
          <reference field="1" count="1" selected="0">
            <x v="0"/>
          </reference>
          <reference field="2" count="52">
            <x v="0"/>
            <x v="1"/>
            <x v="4"/>
            <x v="9"/>
            <x v="11"/>
            <x v="12"/>
            <x v="27"/>
            <x v="28"/>
            <x v="29"/>
            <x v="35"/>
            <x v="40"/>
            <x v="42"/>
            <x v="46"/>
            <x v="48"/>
            <x v="49"/>
            <x v="52"/>
            <x v="53"/>
            <x v="60"/>
            <x v="63"/>
            <x v="64"/>
            <x v="65"/>
            <x v="69"/>
            <x v="70"/>
            <x v="71"/>
            <x v="74"/>
            <x v="77"/>
            <x v="80"/>
            <x v="81"/>
            <x v="82"/>
            <x v="87"/>
            <x v="88"/>
            <x v="89"/>
            <x v="90"/>
            <x v="91"/>
            <x v="100"/>
            <x v="101"/>
            <x v="102"/>
            <x v="103"/>
            <x v="109"/>
            <x v="118"/>
            <x v="119"/>
            <x v="120"/>
            <x v="121"/>
            <x v="122"/>
            <x v="124"/>
            <x v="125"/>
            <x v="126"/>
            <x v="131"/>
            <x v="135"/>
            <x v="136"/>
            <x v="137"/>
            <x v="140"/>
          </reference>
          <reference field="3" count="1" selected="0">
            <x v="1"/>
          </reference>
          <reference field="4" count="0" selected="0"/>
        </references>
      </pivotArea>
    </format>
    <format dxfId="129">
      <pivotArea collapsedLevelsAreSubtotals="1" fieldPosition="0">
        <references count="3">
          <reference field="1" count="1" selected="0">
            <x v="0"/>
          </reference>
          <reference field="2" count="52">
            <x v="0"/>
            <x v="1"/>
            <x v="4"/>
            <x v="9"/>
            <x v="11"/>
            <x v="12"/>
            <x v="27"/>
            <x v="28"/>
            <x v="29"/>
            <x v="35"/>
            <x v="40"/>
            <x v="42"/>
            <x v="46"/>
            <x v="48"/>
            <x v="49"/>
            <x v="52"/>
            <x v="53"/>
            <x v="60"/>
            <x v="63"/>
            <x v="64"/>
            <x v="65"/>
            <x v="69"/>
            <x v="70"/>
            <x v="71"/>
            <x v="74"/>
            <x v="77"/>
            <x v="80"/>
            <x v="81"/>
            <x v="82"/>
            <x v="87"/>
            <x v="88"/>
            <x v="89"/>
            <x v="90"/>
            <x v="91"/>
            <x v="100"/>
            <x v="101"/>
            <x v="102"/>
            <x v="103"/>
            <x v="109"/>
            <x v="118"/>
            <x v="119"/>
            <x v="120"/>
            <x v="121"/>
            <x v="122"/>
            <x v="124"/>
            <x v="125"/>
            <x v="126"/>
            <x v="131"/>
            <x v="135"/>
            <x v="136"/>
            <x v="137"/>
            <x v="140"/>
          </reference>
          <reference field="3" count="1" selected="0" defaultSubtotal="1">
            <x v="1"/>
          </reference>
        </references>
      </pivotArea>
    </format>
    <format dxfId="128">
      <pivotArea dataOnly="0" labelOnly="1" fieldPosition="0">
        <references count="2">
          <reference field="1" count="1" selected="0">
            <x v="1"/>
          </reference>
          <reference field="2" count="27">
            <x v="5"/>
            <x v="6"/>
            <x v="8"/>
            <x v="13"/>
            <x v="14"/>
            <x v="16"/>
            <x v="17"/>
            <x v="30"/>
            <x v="32"/>
            <x v="33"/>
            <x v="36"/>
            <x v="37"/>
            <x v="41"/>
            <x v="60"/>
            <x v="61"/>
            <x v="62"/>
            <x v="67"/>
            <x v="73"/>
            <x v="75"/>
            <x v="78"/>
            <x v="79"/>
            <x v="86"/>
            <x v="104"/>
            <x v="107"/>
            <x v="124"/>
            <x v="130"/>
            <x v="141"/>
          </reference>
        </references>
      </pivotArea>
    </format>
    <format dxfId="127">
      <pivotArea collapsedLevelsAreSubtotals="1" fieldPosition="0">
        <references count="4">
          <reference field="1" count="1" selected="0">
            <x v="1"/>
          </reference>
          <reference field="2" count="27">
            <x v="5"/>
            <x v="6"/>
            <x v="8"/>
            <x v="13"/>
            <x v="14"/>
            <x v="16"/>
            <x v="17"/>
            <x v="30"/>
            <x v="32"/>
            <x v="33"/>
            <x v="36"/>
            <x v="37"/>
            <x v="41"/>
            <x v="60"/>
            <x v="61"/>
            <x v="62"/>
            <x v="67"/>
            <x v="73"/>
            <x v="75"/>
            <x v="78"/>
            <x v="79"/>
            <x v="86"/>
            <x v="104"/>
            <x v="107"/>
            <x v="124"/>
            <x v="130"/>
            <x v="141"/>
          </reference>
          <reference field="3" count="1" selected="0">
            <x v="1"/>
          </reference>
          <reference field="4" count="0" selected="0"/>
        </references>
      </pivotArea>
    </format>
    <format dxfId="126">
      <pivotArea collapsedLevelsAreSubtotals="1" fieldPosition="0">
        <references count="3">
          <reference field="1" count="1" selected="0">
            <x v="1"/>
          </reference>
          <reference field="2" count="27">
            <x v="5"/>
            <x v="6"/>
            <x v="8"/>
            <x v="13"/>
            <x v="14"/>
            <x v="16"/>
            <x v="17"/>
            <x v="30"/>
            <x v="32"/>
            <x v="33"/>
            <x v="36"/>
            <x v="37"/>
            <x v="41"/>
            <x v="60"/>
            <x v="61"/>
            <x v="62"/>
            <x v="67"/>
            <x v="73"/>
            <x v="75"/>
            <x v="78"/>
            <x v="79"/>
            <x v="86"/>
            <x v="104"/>
            <x v="107"/>
            <x v="124"/>
            <x v="130"/>
            <x v="141"/>
          </reference>
          <reference field="3" count="1" selected="0" defaultSubtotal="1">
            <x v="1"/>
          </reference>
        </references>
      </pivotArea>
    </format>
    <format dxfId="125">
      <pivotArea dataOnly="0" labelOnly="1" fieldPosition="0">
        <references count="2">
          <reference field="1" count="1" selected="0">
            <x v="2"/>
          </reference>
          <reference field="2" count="33">
            <x v="5"/>
            <x v="6"/>
            <x v="8"/>
            <x v="13"/>
            <x v="14"/>
            <x v="16"/>
            <x v="17"/>
            <x v="22"/>
            <x v="24"/>
            <x v="25"/>
            <x v="32"/>
            <x v="33"/>
            <x v="36"/>
            <x v="37"/>
            <x v="38"/>
            <x v="41"/>
            <x v="60"/>
            <x v="61"/>
            <x v="62"/>
            <x v="67"/>
            <x v="73"/>
            <x v="75"/>
            <x v="78"/>
            <x v="79"/>
            <x v="86"/>
            <x v="104"/>
            <x v="107"/>
            <x v="108"/>
            <x v="124"/>
            <x v="126"/>
            <x v="129"/>
            <x v="130"/>
            <x v="141"/>
          </reference>
        </references>
      </pivotArea>
    </format>
    <format dxfId="124">
      <pivotArea collapsedLevelsAreSubtotals="1" fieldPosition="0">
        <references count="4">
          <reference field="1" count="1" selected="0">
            <x v="2"/>
          </reference>
          <reference field="2" count="33">
            <x v="5"/>
            <x v="6"/>
            <x v="8"/>
            <x v="13"/>
            <x v="14"/>
            <x v="16"/>
            <x v="17"/>
            <x v="22"/>
            <x v="24"/>
            <x v="25"/>
            <x v="32"/>
            <x v="33"/>
            <x v="36"/>
            <x v="37"/>
            <x v="38"/>
            <x v="41"/>
            <x v="60"/>
            <x v="61"/>
            <x v="62"/>
            <x v="67"/>
            <x v="73"/>
            <x v="75"/>
            <x v="78"/>
            <x v="79"/>
            <x v="86"/>
            <x v="104"/>
            <x v="107"/>
            <x v="108"/>
            <x v="124"/>
            <x v="126"/>
            <x v="129"/>
            <x v="130"/>
            <x v="141"/>
          </reference>
          <reference field="3" count="1" selected="0">
            <x v="1"/>
          </reference>
          <reference field="4" count="0" selected="0"/>
        </references>
      </pivotArea>
    </format>
    <format dxfId="123">
      <pivotArea collapsedLevelsAreSubtotals="1" fieldPosition="0">
        <references count="3">
          <reference field="1" count="1" selected="0">
            <x v="2"/>
          </reference>
          <reference field="2" count="33">
            <x v="5"/>
            <x v="6"/>
            <x v="8"/>
            <x v="13"/>
            <x v="14"/>
            <x v="16"/>
            <x v="17"/>
            <x v="22"/>
            <x v="24"/>
            <x v="25"/>
            <x v="32"/>
            <x v="33"/>
            <x v="36"/>
            <x v="37"/>
            <x v="38"/>
            <x v="41"/>
            <x v="60"/>
            <x v="61"/>
            <x v="62"/>
            <x v="67"/>
            <x v="73"/>
            <x v="75"/>
            <x v="78"/>
            <x v="79"/>
            <x v="86"/>
            <x v="104"/>
            <x v="107"/>
            <x v="108"/>
            <x v="124"/>
            <x v="126"/>
            <x v="129"/>
            <x v="130"/>
            <x v="141"/>
          </reference>
          <reference field="3" count="1" selected="0" defaultSubtotal="1">
            <x v="1"/>
          </reference>
        </references>
      </pivotArea>
    </format>
    <format dxfId="122">
      <pivotArea collapsedLevelsAreSubtotals="1" fieldPosition="0">
        <references count="4">
          <reference field="1" count="1" selected="0">
            <x v="0"/>
          </reference>
          <reference field="2" count="52">
            <x v="0"/>
            <x v="1"/>
            <x v="4"/>
            <x v="9"/>
            <x v="11"/>
            <x v="12"/>
            <x v="27"/>
            <x v="28"/>
            <x v="29"/>
            <x v="35"/>
            <x v="40"/>
            <x v="42"/>
            <x v="46"/>
            <x v="48"/>
            <x v="49"/>
            <x v="52"/>
            <x v="53"/>
            <x v="60"/>
            <x v="63"/>
            <x v="64"/>
            <x v="65"/>
            <x v="69"/>
            <x v="70"/>
            <x v="71"/>
            <x v="74"/>
            <x v="77"/>
            <x v="80"/>
            <x v="81"/>
            <x v="82"/>
            <x v="87"/>
            <x v="88"/>
            <x v="89"/>
            <x v="90"/>
            <x v="91"/>
            <x v="100"/>
            <x v="101"/>
            <x v="102"/>
            <x v="103"/>
            <x v="109"/>
            <x v="118"/>
            <x v="119"/>
            <x v="120"/>
            <x v="121"/>
            <x v="122"/>
            <x v="124"/>
            <x v="125"/>
            <x v="126"/>
            <x v="131"/>
            <x v="135"/>
            <x v="136"/>
            <x v="137"/>
            <x v="140"/>
          </reference>
          <reference field="3" count="1" selected="0">
            <x v="2"/>
          </reference>
          <reference field="4" count="0" selected="0"/>
        </references>
      </pivotArea>
    </format>
    <format dxfId="121">
      <pivotArea collapsedLevelsAreSubtotals="1" fieldPosition="0">
        <references count="3">
          <reference field="1" count="1" selected="0">
            <x v="0"/>
          </reference>
          <reference field="2" count="52">
            <x v="0"/>
            <x v="1"/>
            <x v="4"/>
            <x v="9"/>
            <x v="11"/>
            <x v="12"/>
            <x v="27"/>
            <x v="28"/>
            <x v="29"/>
            <x v="35"/>
            <x v="40"/>
            <x v="42"/>
            <x v="46"/>
            <x v="48"/>
            <x v="49"/>
            <x v="52"/>
            <x v="53"/>
            <x v="60"/>
            <x v="63"/>
            <x v="64"/>
            <x v="65"/>
            <x v="69"/>
            <x v="70"/>
            <x v="71"/>
            <x v="74"/>
            <x v="77"/>
            <x v="80"/>
            <x v="81"/>
            <x v="82"/>
            <x v="87"/>
            <x v="88"/>
            <x v="89"/>
            <x v="90"/>
            <x v="91"/>
            <x v="100"/>
            <x v="101"/>
            <x v="102"/>
            <x v="103"/>
            <x v="109"/>
            <x v="118"/>
            <x v="119"/>
            <x v="120"/>
            <x v="121"/>
            <x v="122"/>
            <x v="124"/>
            <x v="125"/>
            <x v="126"/>
            <x v="131"/>
            <x v="135"/>
            <x v="136"/>
            <x v="137"/>
            <x v="140"/>
          </reference>
          <reference field="3" count="1" selected="0" defaultSubtotal="1">
            <x v="2"/>
          </reference>
        </references>
      </pivotArea>
    </format>
    <format dxfId="120">
      <pivotArea collapsedLevelsAreSubtotals="1" fieldPosition="0">
        <references count="4">
          <reference field="1" count="1" selected="0">
            <x v="1"/>
          </reference>
          <reference field="2" count="27">
            <x v="5"/>
            <x v="6"/>
            <x v="8"/>
            <x v="13"/>
            <x v="14"/>
            <x v="16"/>
            <x v="17"/>
            <x v="30"/>
            <x v="32"/>
            <x v="33"/>
            <x v="36"/>
            <x v="37"/>
            <x v="41"/>
            <x v="60"/>
            <x v="61"/>
            <x v="62"/>
            <x v="67"/>
            <x v="73"/>
            <x v="75"/>
            <x v="78"/>
            <x v="79"/>
            <x v="86"/>
            <x v="104"/>
            <x v="107"/>
            <x v="124"/>
            <x v="130"/>
            <x v="141"/>
          </reference>
          <reference field="3" count="1" selected="0">
            <x v="2"/>
          </reference>
          <reference field="4" count="0" selected="0"/>
        </references>
      </pivotArea>
    </format>
    <format dxfId="119">
      <pivotArea collapsedLevelsAreSubtotals="1" fieldPosition="0">
        <references count="4">
          <reference field="1" count="1" selected="0">
            <x v="2"/>
          </reference>
          <reference field="2" count="33">
            <x v="5"/>
            <x v="6"/>
            <x v="8"/>
            <x v="13"/>
            <x v="14"/>
            <x v="16"/>
            <x v="17"/>
            <x v="22"/>
            <x v="24"/>
            <x v="25"/>
            <x v="32"/>
            <x v="33"/>
            <x v="36"/>
            <x v="37"/>
            <x v="38"/>
            <x v="41"/>
            <x v="60"/>
            <x v="61"/>
            <x v="62"/>
            <x v="67"/>
            <x v="73"/>
            <x v="75"/>
            <x v="78"/>
            <x v="79"/>
            <x v="86"/>
            <x v="104"/>
            <x v="107"/>
            <x v="108"/>
            <x v="124"/>
            <x v="126"/>
            <x v="129"/>
            <x v="130"/>
            <x v="141"/>
          </reference>
          <reference field="3" count="1" selected="0">
            <x v="2"/>
          </reference>
          <reference field="4" count="0" selected="0"/>
        </references>
      </pivotArea>
    </format>
    <format dxfId="118">
      <pivotArea collapsedLevelsAreSubtotals="1" fieldPosition="0">
        <references count="3">
          <reference field="1" count="1" selected="0">
            <x v="2"/>
          </reference>
          <reference field="2" count="33">
            <x v="5"/>
            <x v="6"/>
            <x v="8"/>
            <x v="13"/>
            <x v="14"/>
            <x v="16"/>
            <x v="17"/>
            <x v="22"/>
            <x v="24"/>
            <x v="25"/>
            <x v="32"/>
            <x v="33"/>
            <x v="36"/>
            <x v="37"/>
            <x v="38"/>
            <x v="41"/>
            <x v="60"/>
            <x v="61"/>
            <x v="62"/>
            <x v="67"/>
            <x v="73"/>
            <x v="75"/>
            <x v="78"/>
            <x v="79"/>
            <x v="86"/>
            <x v="104"/>
            <x v="107"/>
            <x v="108"/>
            <x v="124"/>
            <x v="126"/>
            <x v="129"/>
            <x v="130"/>
            <x v="141"/>
          </reference>
          <reference field="3" count="1" selected="0" defaultSubtotal="1">
            <x v="2"/>
          </reference>
        </references>
      </pivotArea>
    </format>
    <format dxfId="117">
      <pivotArea collapsedLevelsAreSubtotals="1" fieldPosition="0">
        <references count="4">
          <reference field="1" count="1" selected="0">
            <x v="0"/>
          </reference>
          <reference field="2" count="52">
            <x v="0"/>
            <x v="1"/>
            <x v="4"/>
            <x v="9"/>
            <x v="11"/>
            <x v="12"/>
            <x v="27"/>
            <x v="28"/>
            <x v="29"/>
            <x v="35"/>
            <x v="40"/>
            <x v="42"/>
            <x v="46"/>
            <x v="48"/>
            <x v="49"/>
            <x v="52"/>
            <x v="53"/>
            <x v="60"/>
            <x v="63"/>
            <x v="64"/>
            <x v="65"/>
            <x v="69"/>
            <x v="70"/>
            <x v="71"/>
            <x v="74"/>
            <x v="77"/>
            <x v="80"/>
            <x v="81"/>
            <x v="82"/>
            <x v="87"/>
            <x v="88"/>
            <x v="89"/>
            <x v="90"/>
            <x v="91"/>
            <x v="100"/>
            <x v="101"/>
            <x v="102"/>
            <x v="103"/>
            <x v="109"/>
            <x v="118"/>
            <x v="119"/>
            <x v="120"/>
            <x v="121"/>
            <x v="122"/>
            <x v="124"/>
            <x v="125"/>
            <x v="126"/>
            <x v="131"/>
            <x v="135"/>
            <x v="136"/>
            <x v="137"/>
            <x v="140"/>
          </reference>
          <reference field="3" count="1" selected="0">
            <x v="3"/>
          </reference>
          <reference field="4" count="0" selected="0"/>
        </references>
      </pivotArea>
    </format>
    <format dxfId="116">
      <pivotArea collapsedLevelsAreSubtotals="1" fieldPosition="0">
        <references count="3">
          <reference field="1" count="1" selected="0">
            <x v="0"/>
          </reference>
          <reference field="2" count="52">
            <x v="0"/>
            <x v="1"/>
            <x v="4"/>
            <x v="9"/>
            <x v="11"/>
            <x v="12"/>
            <x v="27"/>
            <x v="28"/>
            <x v="29"/>
            <x v="35"/>
            <x v="40"/>
            <x v="42"/>
            <x v="46"/>
            <x v="48"/>
            <x v="49"/>
            <x v="52"/>
            <x v="53"/>
            <x v="60"/>
            <x v="63"/>
            <x v="64"/>
            <x v="65"/>
            <x v="69"/>
            <x v="70"/>
            <x v="71"/>
            <x v="74"/>
            <x v="77"/>
            <x v="80"/>
            <x v="81"/>
            <x v="82"/>
            <x v="87"/>
            <x v="88"/>
            <x v="89"/>
            <x v="90"/>
            <x v="91"/>
            <x v="100"/>
            <x v="101"/>
            <x v="102"/>
            <x v="103"/>
            <x v="109"/>
            <x v="118"/>
            <x v="119"/>
            <x v="120"/>
            <x v="121"/>
            <x v="122"/>
            <x v="124"/>
            <x v="125"/>
            <x v="126"/>
            <x v="131"/>
            <x v="135"/>
            <x v="136"/>
            <x v="137"/>
            <x v="140"/>
          </reference>
          <reference field="3" count="1" selected="0" defaultSubtotal="1">
            <x v="3"/>
          </reference>
        </references>
      </pivotArea>
    </format>
    <format dxfId="115">
      <pivotArea collapsedLevelsAreSubtotals="1" fieldPosition="0">
        <references count="4">
          <reference field="1" count="1" selected="0">
            <x v="2"/>
          </reference>
          <reference field="2" count="33">
            <x v="5"/>
            <x v="6"/>
            <x v="8"/>
            <x v="13"/>
            <x v="14"/>
            <x v="16"/>
            <x v="17"/>
            <x v="22"/>
            <x v="24"/>
            <x v="25"/>
            <x v="32"/>
            <x v="33"/>
            <x v="36"/>
            <x v="37"/>
            <x v="38"/>
            <x v="41"/>
            <x v="60"/>
            <x v="61"/>
            <x v="62"/>
            <x v="67"/>
            <x v="73"/>
            <x v="75"/>
            <x v="78"/>
            <x v="79"/>
            <x v="86"/>
            <x v="104"/>
            <x v="107"/>
            <x v="108"/>
            <x v="124"/>
            <x v="126"/>
            <x v="129"/>
            <x v="130"/>
            <x v="141"/>
          </reference>
          <reference field="3" count="1" selected="0">
            <x v="3"/>
          </reference>
          <reference field="4" count="0" selected="0"/>
        </references>
      </pivotArea>
    </format>
    <format dxfId="114">
      <pivotArea collapsedLevelsAreSubtotals="1" fieldPosition="0">
        <references count="3">
          <reference field="1" count="1" selected="0">
            <x v="2"/>
          </reference>
          <reference field="2" count="33">
            <x v="5"/>
            <x v="6"/>
            <x v="8"/>
            <x v="13"/>
            <x v="14"/>
            <x v="16"/>
            <x v="17"/>
            <x v="22"/>
            <x v="24"/>
            <x v="25"/>
            <x v="32"/>
            <x v="33"/>
            <x v="36"/>
            <x v="37"/>
            <x v="38"/>
            <x v="41"/>
            <x v="60"/>
            <x v="61"/>
            <x v="62"/>
            <x v="67"/>
            <x v="73"/>
            <x v="75"/>
            <x v="78"/>
            <x v="79"/>
            <x v="86"/>
            <x v="104"/>
            <x v="107"/>
            <x v="108"/>
            <x v="124"/>
            <x v="126"/>
            <x v="129"/>
            <x v="130"/>
            <x v="141"/>
          </reference>
          <reference field="3" count="1" selected="0" defaultSubtotal="1">
            <x v="3"/>
          </reference>
        </references>
      </pivotArea>
    </format>
    <format dxfId="113">
      <pivotArea collapsedLevelsAreSubtotals="1" fieldPosition="0">
        <references count="2">
          <reference field="1" count="1" selected="0">
            <x v="0"/>
          </reference>
          <reference field="2" count="50">
            <x v="0"/>
            <x v="1"/>
            <x v="4"/>
            <x v="9"/>
            <x v="11"/>
            <x v="12"/>
            <x v="26"/>
            <x v="27"/>
            <x v="28"/>
            <x v="29"/>
            <x v="35"/>
            <x v="40"/>
            <x v="42"/>
            <x v="46"/>
            <x v="58"/>
            <x v="59"/>
            <x v="60"/>
            <x v="63"/>
            <x v="64"/>
            <x v="65"/>
            <x v="69"/>
            <x v="70"/>
            <x v="71"/>
            <x v="74"/>
            <x v="77"/>
            <x v="80"/>
            <x v="81"/>
            <x v="82"/>
            <x v="84"/>
            <x v="89"/>
            <x v="97"/>
            <x v="98"/>
            <x v="100"/>
            <x v="101"/>
            <x v="102"/>
            <x v="103"/>
            <x v="109"/>
            <x v="118"/>
            <x v="119"/>
            <x v="120"/>
            <x v="121"/>
            <x v="122"/>
            <x v="124"/>
            <x v="125"/>
            <x v="126"/>
            <x v="131"/>
            <x v="135"/>
            <x v="136"/>
            <x v="137"/>
            <x v="140"/>
          </reference>
        </references>
      </pivotArea>
    </format>
    <format dxfId="112">
      <pivotArea dataOnly="0" labelOnly="1" fieldPosition="0">
        <references count="2">
          <reference field="1" count="1" selected="0">
            <x v="0"/>
          </reference>
          <reference field="2" count="50">
            <x v="0"/>
            <x v="1"/>
            <x v="4"/>
            <x v="9"/>
            <x v="11"/>
            <x v="12"/>
            <x v="26"/>
            <x v="27"/>
            <x v="28"/>
            <x v="29"/>
            <x v="35"/>
            <x v="40"/>
            <x v="42"/>
            <x v="46"/>
            <x v="58"/>
            <x v="59"/>
            <x v="60"/>
            <x v="63"/>
            <x v="64"/>
            <x v="65"/>
            <x v="69"/>
            <x v="70"/>
            <x v="71"/>
            <x v="74"/>
            <x v="77"/>
            <x v="80"/>
            <x v="81"/>
            <x v="82"/>
            <x v="84"/>
            <x v="89"/>
            <x v="97"/>
            <x v="98"/>
            <x v="100"/>
            <x v="101"/>
            <x v="102"/>
            <x v="103"/>
            <x v="109"/>
            <x v="118"/>
            <x v="119"/>
            <x v="120"/>
            <x v="121"/>
            <x v="122"/>
            <x v="124"/>
            <x v="125"/>
            <x v="126"/>
            <x v="131"/>
            <x v="135"/>
            <x v="136"/>
            <x v="137"/>
            <x v="140"/>
          </reference>
        </references>
      </pivotArea>
    </format>
    <format dxfId="111">
      <pivotArea collapsedLevelsAreSubtotals="1" fieldPosition="0">
        <references count="2">
          <reference field="1" count="1" selected="0">
            <x v="1"/>
          </reference>
          <reference field="2" count="20">
            <x v="6"/>
            <x v="7"/>
            <x v="23"/>
            <x v="30"/>
            <x v="33"/>
            <x v="34"/>
            <x v="36"/>
            <x v="37"/>
            <x v="60"/>
            <x v="61"/>
            <x v="62"/>
            <x v="67"/>
            <x v="73"/>
            <x v="75"/>
            <x v="78"/>
            <x v="79"/>
            <x v="104"/>
            <x v="117"/>
            <x v="124"/>
            <x v="130"/>
          </reference>
        </references>
      </pivotArea>
    </format>
    <format dxfId="110">
      <pivotArea dataOnly="0" labelOnly="1" fieldPosition="0">
        <references count="2">
          <reference field="1" count="1" selected="0">
            <x v="1"/>
          </reference>
          <reference field="2" count="20">
            <x v="6"/>
            <x v="7"/>
            <x v="23"/>
            <x v="30"/>
            <x v="33"/>
            <x v="34"/>
            <x v="36"/>
            <x v="37"/>
            <x v="60"/>
            <x v="61"/>
            <x v="62"/>
            <x v="67"/>
            <x v="73"/>
            <x v="75"/>
            <x v="78"/>
            <x v="79"/>
            <x v="104"/>
            <x v="117"/>
            <x v="124"/>
            <x v="130"/>
          </reference>
        </references>
      </pivotArea>
    </format>
    <format dxfId="109">
      <pivotArea collapsedLevelsAreSubtotals="1" fieldPosition="0">
        <references count="2">
          <reference field="1" count="1" selected="0">
            <x v="2"/>
          </reference>
          <reference field="2" count="25">
            <x v="6"/>
            <x v="7"/>
            <x v="23"/>
            <x v="25"/>
            <x v="31"/>
            <x v="33"/>
            <x v="34"/>
            <x v="36"/>
            <x v="37"/>
            <x v="38"/>
            <x v="60"/>
            <x v="61"/>
            <x v="62"/>
            <x v="67"/>
            <x v="73"/>
            <x v="75"/>
            <x v="78"/>
            <x v="79"/>
            <x v="104"/>
            <x v="108"/>
            <x v="117"/>
            <x v="124"/>
            <x v="126"/>
            <x v="129"/>
            <x v="130"/>
          </reference>
        </references>
      </pivotArea>
    </format>
    <format dxfId="108">
      <pivotArea dataOnly="0" labelOnly="1" fieldPosition="0">
        <references count="2">
          <reference field="1" count="1" selected="0">
            <x v="2"/>
          </reference>
          <reference field="2" count="25">
            <x v="6"/>
            <x v="7"/>
            <x v="23"/>
            <x v="25"/>
            <x v="31"/>
            <x v="33"/>
            <x v="34"/>
            <x v="36"/>
            <x v="37"/>
            <x v="38"/>
            <x v="60"/>
            <x v="61"/>
            <x v="62"/>
            <x v="67"/>
            <x v="73"/>
            <x v="75"/>
            <x v="78"/>
            <x v="79"/>
            <x v="104"/>
            <x v="108"/>
            <x v="117"/>
            <x v="124"/>
            <x v="126"/>
            <x v="129"/>
            <x v="130"/>
          </reference>
        </references>
      </pivotArea>
    </format>
    <format dxfId="107">
      <pivotArea dataOnly="0" labelOnly="1" fieldPosition="0">
        <references count="2">
          <reference field="1" count="1" selected="0">
            <x v="0"/>
          </reference>
          <reference field="2" count="50">
            <x v="0"/>
            <x v="1"/>
            <x v="4"/>
            <x v="9"/>
            <x v="11"/>
            <x v="12"/>
            <x v="26"/>
            <x v="27"/>
            <x v="28"/>
            <x v="29"/>
            <x v="35"/>
            <x v="40"/>
            <x v="42"/>
            <x v="46"/>
            <x v="58"/>
            <x v="59"/>
            <x v="60"/>
            <x v="63"/>
            <x v="64"/>
            <x v="65"/>
            <x v="69"/>
            <x v="70"/>
            <x v="71"/>
            <x v="74"/>
            <x v="77"/>
            <x v="80"/>
            <x v="81"/>
            <x v="82"/>
            <x v="84"/>
            <x v="89"/>
            <x v="97"/>
            <x v="98"/>
            <x v="100"/>
            <x v="101"/>
            <x v="102"/>
            <x v="103"/>
            <x v="109"/>
            <x v="118"/>
            <x v="119"/>
            <x v="120"/>
            <x v="121"/>
            <x v="122"/>
            <x v="124"/>
            <x v="125"/>
            <x v="126"/>
            <x v="131"/>
            <x v="135"/>
            <x v="136"/>
            <x v="137"/>
            <x v="140"/>
          </reference>
        </references>
      </pivotArea>
    </format>
    <format dxfId="106">
      <pivotArea dataOnly="0" labelOnly="1" fieldPosition="0">
        <references count="2">
          <reference field="1" count="1" selected="0">
            <x v="1"/>
          </reference>
          <reference field="2" count="20">
            <x v="6"/>
            <x v="7"/>
            <x v="23"/>
            <x v="30"/>
            <x v="33"/>
            <x v="34"/>
            <x v="36"/>
            <x v="37"/>
            <x v="60"/>
            <x v="61"/>
            <x v="62"/>
            <x v="67"/>
            <x v="73"/>
            <x v="75"/>
            <x v="78"/>
            <x v="79"/>
            <x v="104"/>
            <x v="117"/>
            <x v="124"/>
            <x v="130"/>
          </reference>
        </references>
      </pivotArea>
    </format>
    <format dxfId="105">
      <pivotArea dataOnly="0" labelOnly="1" fieldPosition="0">
        <references count="2">
          <reference field="1" count="1" selected="0">
            <x v="2"/>
          </reference>
          <reference field="2" count="25">
            <x v="6"/>
            <x v="7"/>
            <x v="23"/>
            <x v="25"/>
            <x v="31"/>
            <x v="33"/>
            <x v="34"/>
            <x v="36"/>
            <x v="37"/>
            <x v="38"/>
            <x v="60"/>
            <x v="61"/>
            <x v="62"/>
            <x v="67"/>
            <x v="73"/>
            <x v="75"/>
            <x v="78"/>
            <x v="79"/>
            <x v="104"/>
            <x v="108"/>
            <x v="117"/>
            <x v="124"/>
            <x v="126"/>
            <x v="129"/>
            <x v="130"/>
          </reference>
        </references>
      </pivotArea>
    </format>
    <format dxfId="104">
      <pivotArea outline="0" collapsedLevelsAreSubtotals="1" fieldPosition="0">
        <references count="1">
          <reference field="3" count="1" selected="0" defaultSubtotal="1">
            <x v="1"/>
          </reference>
        </references>
      </pivotArea>
    </format>
    <format dxfId="103">
      <pivotArea collapsedLevelsAreSubtotals="1" fieldPosition="0">
        <references count="4">
          <reference field="1" count="1" selected="0">
            <x v="1"/>
          </reference>
          <reference field="2" count="20">
            <x v="6"/>
            <x v="7"/>
            <x v="23"/>
            <x v="30"/>
            <x v="33"/>
            <x v="34"/>
            <x v="36"/>
            <x v="37"/>
            <x v="60"/>
            <x v="61"/>
            <x v="62"/>
            <x v="67"/>
            <x v="73"/>
            <x v="75"/>
            <x v="78"/>
            <x v="79"/>
            <x v="104"/>
            <x v="117"/>
            <x v="124"/>
            <x v="130"/>
          </reference>
          <reference field="3" count="1" selected="0">
            <x v="2"/>
          </reference>
          <reference field="4" count="0" selected="0"/>
        </references>
      </pivotArea>
    </format>
    <format dxfId="102">
      <pivotArea collapsedLevelsAreSubtotals="1" fieldPosition="0">
        <references count="4">
          <reference field="1" count="1" selected="0">
            <x v="2"/>
          </reference>
          <reference field="2" count="25">
            <x v="6"/>
            <x v="7"/>
            <x v="23"/>
            <x v="25"/>
            <x v="31"/>
            <x v="33"/>
            <x v="34"/>
            <x v="36"/>
            <x v="37"/>
            <x v="38"/>
            <x v="60"/>
            <x v="61"/>
            <x v="62"/>
            <x v="67"/>
            <x v="73"/>
            <x v="75"/>
            <x v="78"/>
            <x v="79"/>
            <x v="104"/>
            <x v="108"/>
            <x v="117"/>
            <x v="124"/>
            <x v="126"/>
            <x v="129"/>
            <x v="130"/>
          </reference>
          <reference field="3" count="1" selected="0">
            <x v="2"/>
          </reference>
          <reference field="4" count="0" selected="0"/>
        </references>
      </pivotArea>
    </format>
    <format dxfId="101">
      <pivotArea collapsedLevelsAreSubtotals="1" fieldPosition="0">
        <references count="4">
          <reference field="1" count="1" selected="0">
            <x v="0"/>
          </reference>
          <reference field="2" count="51">
            <x v="0"/>
            <x v="1"/>
            <x v="2"/>
            <x v="4"/>
            <x v="9"/>
            <x v="11"/>
            <x v="12"/>
            <x v="26"/>
            <x v="27"/>
            <x v="28"/>
            <x v="29"/>
            <x v="35"/>
            <x v="40"/>
            <x v="42"/>
            <x v="46"/>
            <x v="58"/>
            <x v="59"/>
            <x v="60"/>
            <x v="63"/>
            <x v="64"/>
            <x v="65"/>
            <x v="69"/>
            <x v="70"/>
            <x v="71"/>
            <x v="74"/>
            <x v="77"/>
            <x v="80"/>
            <x v="81"/>
            <x v="82"/>
            <x v="84"/>
            <x v="89"/>
            <x v="97"/>
            <x v="98"/>
            <x v="100"/>
            <x v="101"/>
            <x v="102"/>
            <x v="103"/>
            <x v="109"/>
            <x v="118"/>
            <x v="119"/>
            <x v="120"/>
            <x v="121"/>
            <x v="122"/>
            <x v="124"/>
            <x v="125"/>
            <x v="126"/>
            <x v="131"/>
            <x v="135"/>
            <x v="136"/>
            <x v="137"/>
            <x v="140"/>
          </reference>
          <reference field="3" count="1" selected="0">
            <x v="1"/>
          </reference>
          <reference field="4" count="0" selected="0"/>
        </references>
      </pivotArea>
    </format>
    <format dxfId="100">
      <pivotArea dataOnly="0" labelOnly="1" fieldPosition="0">
        <references count="2">
          <reference field="1" count="1" selected="0">
            <x v="0"/>
          </reference>
          <reference field="2" count="50">
            <x v="0"/>
            <x v="1"/>
            <x v="2"/>
            <x v="4"/>
            <x v="9"/>
            <x v="11"/>
            <x v="12"/>
            <x v="26"/>
            <x v="27"/>
            <x v="28"/>
            <x v="29"/>
            <x v="35"/>
            <x v="40"/>
            <x v="42"/>
            <x v="46"/>
            <x v="58"/>
            <x v="59"/>
            <x v="60"/>
            <x v="63"/>
            <x v="64"/>
            <x v="65"/>
            <x v="69"/>
            <x v="70"/>
            <x v="71"/>
            <x v="74"/>
            <x v="77"/>
            <x v="80"/>
            <x v="81"/>
            <x v="82"/>
            <x v="84"/>
            <x v="89"/>
            <x v="97"/>
            <x v="98"/>
            <x v="100"/>
            <x v="101"/>
            <x v="102"/>
            <x v="103"/>
            <x v="109"/>
            <x v="118"/>
            <x v="119"/>
            <x v="120"/>
            <x v="121"/>
            <x v="122"/>
            <x v="125"/>
            <x v="126"/>
            <x v="131"/>
            <x v="135"/>
            <x v="136"/>
            <x v="137"/>
            <x v="140"/>
          </reference>
        </references>
      </pivotArea>
    </format>
    <format dxfId="99">
      <pivotArea dataOnly="0" labelOnly="1" fieldPosition="0">
        <references count="2">
          <reference field="1" count="1" selected="0">
            <x v="0"/>
          </reference>
          <reference field="2" count="1">
            <x v="124"/>
          </reference>
        </references>
      </pivotArea>
    </format>
    <format dxfId="98">
      <pivotArea collapsedLevelsAreSubtotals="1" fieldPosition="0">
        <references count="4">
          <reference field="1" count="1" selected="0">
            <x v="1"/>
          </reference>
          <reference field="2" count="22">
            <x v="6"/>
            <x v="7"/>
            <x v="23"/>
            <x v="30"/>
            <x v="33"/>
            <x v="34"/>
            <x v="36"/>
            <x v="37"/>
            <x v="59"/>
            <x v="60"/>
            <x v="61"/>
            <x v="62"/>
            <x v="67"/>
            <x v="68"/>
            <x v="73"/>
            <x v="75"/>
            <x v="78"/>
            <x v="79"/>
            <x v="117"/>
            <x v="124"/>
            <x v="130"/>
            <x v="132"/>
          </reference>
          <reference field="3" count="1" selected="0">
            <x v="1"/>
          </reference>
          <reference field="4" count="0" selected="0"/>
        </references>
      </pivotArea>
    </format>
    <format dxfId="97">
      <pivotArea dataOnly="0" labelOnly="1" fieldPosition="0">
        <references count="2">
          <reference field="1" count="1" selected="0">
            <x v="1"/>
          </reference>
          <reference field="2" count="22">
            <x v="6"/>
            <x v="7"/>
            <x v="23"/>
            <x v="30"/>
            <x v="33"/>
            <x v="34"/>
            <x v="36"/>
            <x v="37"/>
            <x v="59"/>
            <x v="60"/>
            <x v="61"/>
            <x v="62"/>
            <x v="67"/>
            <x v="68"/>
            <x v="73"/>
            <x v="75"/>
            <x v="78"/>
            <x v="79"/>
            <x v="117"/>
            <x v="124"/>
            <x v="130"/>
            <x v="132"/>
          </reference>
        </references>
      </pivotArea>
    </format>
    <format dxfId="96">
      <pivotArea collapsedLevelsAreSubtotals="1" fieldPosition="0">
        <references count="4">
          <reference field="1" count="1" selected="0">
            <x v="2"/>
          </reference>
          <reference field="2" count="27">
            <x v="6"/>
            <x v="7"/>
            <x v="23"/>
            <x v="25"/>
            <x v="31"/>
            <x v="33"/>
            <x v="34"/>
            <x v="36"/>
            <x v="37"/>
            <x v="38"/>
            <x v="59"/>
            <x v="60"/>
            <x v="61"/>
            <x v="62"/>
            <x v="67"/>
            <x v="68"/>
            <x v="73"/>
            <x v="75"/>
            <x v="78"/>
            <x v="79"/>
            <x v="108"/>
            <x v="117"/>
            <x v="124"/>
            <x v="126"/>
            <x v="129"/>
            <x v="130"/>
            <x v="132"/>
          </reference>
          <reference field="3" count="1" selected="0">
            <x v="1"/>
          </reference>
          <reference field="4" count="0" selected="0"/>
        </references>
      </pivotArea>
    </format>
    <format dxfId="95">
      <pivotArea dataOnly="0" labelOnly="1" fieldPosition="0">
        <references count="2">
          <reference field="1" count="1" selected="0">
            <x v="2"/>
          </reference>
          <reference field="2" count="27">
            <x v="6"/>
            <x v="7"/>
            <x v="23"/>
            <x v="25"/>
            <x v="31"/>
            <x v="33"/>
            <x v="34"/>
            <x v="36"/>
            <x v="37"/>
            <x v="38"/>
            <x v="59"/>
            <x v="60"/>
            <x v="61"/>
            <x v="62"/>
            <x v="67"/>
            <x v="68"/>
            <x v="73"/>
            <x v="75"/>
            <x v="78"/>
            <x v="79"/>
            <x v="108"/>
            <x v="117"/>
            <x v="124"/>
            <x v="126"/>
            <x v="129"/>
            <x v="130"/>
            <x v="132"/>
          </reference>
        </references>
      </pivotArea>
    </format>
    <format dxfId="94">
      <pivotArea collapsedLevelsAreSubtotals="1" fieldPosition="0">
        <references count="3">
          <reference field="1" count="1" selected="0">
            <x v="2"/>
          </reference>
          <reference field="2" count="27">
            <x v="6"/>
            <x v="7"/>
            <x v="23"/>
            <x v="25"/>
            <x v="31"/>
            <x v="33"/>
            <x v="34"/>
            <x v="36"/>
            <x v="37"/>
            <x v="38"/>
            <x v="59"/>
            <x v="60"/>
            <x v="61"/>
            <x v="62"/>
            <x v="67"/>
            <x v="68"/>
            <x v="73"/>
            <x v="75"/>
            <x v="78"/>
            <x v="79"/>
            <x v="108"/>
            <x v="117"/>
            <x v="124"/>
            <x v="126"/>
            <x v="129"/>
            <x v="130"/>
            <x v="132"/>
          </reference>
          <reference field="3" count="1" selected="0" defaultSubtotal="1">
            <x v="1"/>
          </reference>
        </references>
      </pivotArea>
    </format>
    <format dxfId="93">
      <pivotArea collapsedLevelsAreSubtotals="1" fieldPosition="0">
        <references count="3">
          <reference field="1" count="1" selected="0">
            <x v="0"/>
          </reference>
          <reference field="2" count="51">
            <x v="0"/>
            <x v="1"/>
            <x v="2"/>
            <x v="4"/>
            <x v="9"/>
            <x v="11"/>
            <x v="12"/>
            <x v="26"/>
            <x v="27"/>
            <x v="28"/>
            <x v="29"/>
            <x v="35"/>
            <x v="40"/>
            <x v="42"/>
            <x v="46"/>
            <x v="58"/>
            <x v="59"/>
            <x v="60"/>
            <x v="63"/>
            <x v="64"/>
            <x v="65"/>
            <x v="69"/>
            <x v="70"/>
            <x v="71"/>
            <x v="74"/>
            <x v="77"/>
            <x v="80"/>
            <x v="81"/>
            <x v="82"/>
            <x v="84"/>
            <x v="89"/>
            <x v="97"/>
            <x v="98"/>
            <x v="100"/>
            <x v="101"/>
            <x v="102"/>
            <x v="103"/>
            <x v="109"/>
            <x v="118"/>
            <x v="119"/>
            <x v="120"/>
            <x v="121"/>
            <x v="122"/>
            <x v="124"/>
            <x v="125"/>
            <x v="126"/>
            <x v="131"/>
            <x v="135"/>
            <x v="136"/>
            <x v="137"/>
            <x v="140"/>
          </reference>
          <reference field="3" count="1" selected="0" defaultSubtotal="1">
            <x v="1"/>
          </reference>
        </references>
      </pivotArea>
    </format>
    <format dxfId="92">
      <pivotArea collapsedLevelsAreSubtotals="1" fieldPosition="0">
        <references count="3">
          <reference field="1" count="1" selected="0">
            <x v="1"/>
          </reference>
          <reference field="2" count="22">
            <x v="6"/>
            <x v="7"/>
            <x v="23"/>
            <x v="30"/>
            <x v="33"/>
            <x v="34"/>
            <x v="36"/>
            <x v="37"/>
            <x v="59"/>
            <x v="60"/>
            <x v="61"/>
            <x v="62"/>
            <x v="67"/>
            <x v="68"/>
            <x v="73"/>
            <x v="75"/>
            <x v="78"/>
            <x v="79"/>
            <x v="117"/>
            <x v="124"/>
            <x v="130"/>
            <x v="132"/>
          </reference>
          <reference field="3" count="1" selected="0" defaultSubtotal="1">
            <x v="1"/>
          </reference>
        </references>
      </pivotArea>
    </format>
    <format dxfId="91">
      <pivotArea collapsedLevelsAreSubtotals="1" fieldPosition="0">
        <references count="4">
          <reference field="1" count="1" selected="0">
            <x v="0"/>
          </reference>
          <reference field="2" count="51">
            <x v="0"/>
            <x v="1"/>
            <x v="2"/>
            <x v="4"/>
            <x v="9"/>
            <x v="11"/>
            <x v="12"/>
            <x v="26"/>
            <x v="27"/>
            <x v="28"/>
            <x v="29"/>
            <x v="35"/>
            <x v="40"/>
            <x v="42"/>
            <x v="46"/>
            <x v="58"/>
            <x v="59"/>
            <x v="60"/>
            <x v="63"/>
            <x v="64"/>
            <x v="65"/>
            <x v="69"/>
            <x v="70"/>
            <x v="71"/>
            <x v="74"/>
            <x v="77"/>
            <x v="80"/>
            <x v="81"/>
            <x v="82"/>
            <x v="84"/>
            <x v="89"/>
            <x v="97"/>
            <x v="98"/>
            <x v="100"/>
            <x v="101"/>
            <x v="102"/>
            <x v="103"/>
            <x v="109"/>
            <x v="118"/>
            <x v="119"/>
            <x v="120"/>
            <x v="121"/>
            <x v="122"/>
            <x v="124"/>
            <x v="125"/>
            <x v="126"/>
            <x v="131"/>
            <x v="135"/>
            <x v="136"/>
            <x v="137"/>
            <x v="140"/>
          </reference>
          <reference field="3" count="1" selected="0">
            <x v="2"/>
          </reference>
          <reference field="4" count="0" selected="0"/>
        </references>
      </pivotArea>
    </format>
    <format dxfId="90">
      <pivotArea collapsedLevelsAreSubtotals="1" fieldPosition="0">
        <references count="4">
          <reference field="1" count="1" selected="0">
            <x v="1"/>
          </reference>
          <reference field="2" count="22">
            <x v="6"/>
            <x v="7"/>
            <x v="23"/>
            <x v="30"/>
            <x v="33"/>
            <x v="34"/>
            <x v="36"/>
            <x v="37"/>
            <x v="59"/>
            <x v="60"/>
            <x v="61"/>
            <x v="62"/>
            <x v="67"/>
            <x v="68"/>
            <x v="73"/>
            <x v="75"/>
            <x v="78"/>
            <x v="79"/>
            <x v="117"/>
            <x v="124"/>
            <x v="130"/>
            <x v="132"/>
          </reference>
          <reference field="3" count="1" selected="0">
            <x v="2"/>
          </reference>
          <reference field="4" count="0" selected="0"/>
        </references>
      </pivotArea>
    </format>
    <format dxfId="89">
      <pivotArea collapsedLevelsAreSubtotals="1" fieldPosition="0">
        <references count="4">
          <reference field="1" count="1" selected="0">
            <x v="2"/>
          </reference>
          <reference field="2" count="27">
            <x v="6"/>
            <x v="7"/>
            <x v="23"/>
            <x v="25"/>
            <x v="31"/>
            <x v="33"/>
            <x v="34"/>
            <x v="36"/>
            <x v="37"/>
            <x v="38"/>
            <x v="59"/>
            <x v="60"/>
            <x v="61"/>
            <x v="62"/>
            <x v="67"/>
            <x v="68"/>
            <x v="73"/>
            <x v="75"/>
            <x v="78"/>
            <x v="79"/>
            <x v="108"/>
            <x v="117"/>
            <x v="124"/>
            <x v="126"/>
            <x v="129"/>
            <x v="130"/>
            <x v="132"/>
          </reference>
          <reference field="3" count="1" selected="0">
            <x v="2"/>
          </reference>
          <reference field="4" count="0" selected="0"/>
        </references>
      </pivotArea>
    </format>
    <format dxfId="88">
      <pivotArea collapsedLevelsAreSubtotals="1" fieldPosition="0">
        <references count="3">
          <reference field="1" count="1" selected="0">
            <x v="0"/>
          </reference>
          <reference field="2" count="51">
            <x v="0"/>
            <x v="1"/>
            <x v="2"/>
            <x v="4"/>
            <x v="9"/>
            <x v="11"/>
            <x v="12"/>
            <x v="26"/>
            <x v="27"/>
            <x v="28"/>
            <x v="29"/>
            <x v="35"/>
            <x v="40"/>
            <x v="42"/>
            <x v="46"/>
            <x v="58"/>
            <x v="59"/>
            <x v="60"/>
            <x v="63"/>
            <x v="64"/>
            <x v="65"/>
            <x v="69"/>
            <x v="70"/>
            <x v="71"/>
            <x v="74"/>
            <x v="77"/>
            <x v="80"/>
            <x v="81"/>
            <x v="82"/>
            <x v="84"/>
            <x v="89"/>
            <x v="97"/>
            <x v="98"/>
            <x v="100"/>
            <x v="101"/>
            <x v="102"/>
            <x v="103"/>
            <x v="109"/>
            <x v="118"/>
            <x v="119"/>
            <x v="120"/>
            <x v="121"/>
            <x v="122"/>
            <x v="124"/>
            <x v="125"/>
            <x v="126"/>
            <x v="131"/>
            <x v="135"/>
            <x v="136"/>
            <x v="137"/>
            <x v="140"/>
          </reference>
          <reference field="3" count="1" selected="0" defaultSubtotal="1">
            <x v="2"/>
          </reference>
        </references>
      </pivotArea>
    </format>
    <format dxfId="87">
      <pivotArea collapsedLevelsAreSubtotals="1" fieldPosition="0">
        <references count="3">
          <reference field="1" count="1" selected="0">
            <x v="1"/>
          </reference>
          <reference field="2" count="22">
            <x v="6"/>
            <x v="7"/>
            <x v="23"/>
            <x v="30"/>
            <x v="33"/>
            <x v="34"/>
            <x v="36"/>
            <x v="37"/>
            <x v="59"/>
            <x v="60"/>
            <x v="61"/>
            <x v="62"/>
            <x v="67"/>
            <x v="68"/>
            <x v="73"/>
            <x v="75"/>
            <x v="78"/>
            <x v="79"/>
            <x v="117"/>
            <x v="124"/>
            <x v="130"/>
            <x v="132"/>
          </reference>
          <reference field="3" count="1" selected="0" defaultSubtotal="1">
            <x v="2"/>
          </reference>
        </references>
      </pivotArea>
    </format>
    <format dxfId="86">
      <pivotArea collapsedLevelsAreSubtotals="1" fieldPosition="0">
        <references count="3">
          <reference field="1" count="1" selected="0">
            <x v="2"/>
          </reference>
          <reference field="2" count="27">
            <x v="6"/>
            <x v="7"/>
            <x v="23"/>
            <x v="25"/>
            <x v="31"/>
            <x v="33"/>
            <x v="34"/>
            <x v="36"/>
            <x v="37"/>
            <x v="38"/>
            <x v="59"/>
            <x v="60"/>
            <x v="61"/>
            <x v="62"/>
            <x v="67"/>
            <x v="68"/>
            <x v="73"/>
            <x v="75"/>
            <x v="78"/>
            <x v="79"/>
            <x v="108"/>
            <x v="117"/>
            <x v="124"/>
            <x v="126"/>
            <x v="129"/>
            <x v="130"/>
            <x v="132"/>
          </reference>
          <reference field="3" count="1" selected="0" defaultSubtotal="1">
            <x v="2"/>
          </reference>
        </references>
      </pivotArea>
    </format>
    <format dxfId="85">
      <pivotArea collapsedLevelsAreSubtotals="1" fieldPosition="0">
        <references count="4">
          <reference field="1" count="1" selected="0">
            <x v="0"/>
          </reference>
          <reference field="2" count="51">
            <x v="0"/>
            <x v="1"/>
            <x v="2"/>
            <x v="4"/>
            <x v="9"/>
            <x v="11"/>
            <x v="12"/>
            <x v="26"/>
            <x v="27"/>
            <x v="28"/>
            <x v="29"/>
            <x v="35"/>
            <x v="40"/>
            <x v="42"/>
            <x v="46"/>
            <x v="58"/>
            <x v="59"/>
            <x v="60"/>
            <x v="63"/>
            <x v="64"/>
            <x v="65"/>
            <x v="69"/>
            <x v="70"/>
            <x v="71"/>
            <x v="74"/>
            <x v="77"/>
            <x v="80"/>
            <x v="81"/>
            <x v="82"/>
            <x v="84"/>
            <x v="89"/>
            <x v="97"/>
            <x v="98"/>
            <x v="100"/>
            <x v="101"/>
            <x v="102"/>
            <x v="103"/>
            <x v="109"/>
            <x v="118"/>
            <x v="119"/>
            <x v="120"/>
            <x v="121"/>
            <x v="122"/>
            <x v="124"/>
            <x v="125"/>
            <x v="126"/>
            <x v="131"/>
            <x v="135"/>
            <x v="136"/>
            <x v="137"/>
            <x v="140"/>
          </reference>
          <reference field="3" count="1" selected="0">
            <x v="3"/>
          </reference>
          <reference field="4" count="0" selected="0"/>
        </references>
      </pivotArea>
    </format>
    <format dxfId="84">
      <pivotArea collapsedLevelsAreSubtotals="1" fieldPosition="0">
        <references count="4">
          <reference field="1" count="1" selected="0">
            <x v="1"/>
          </reference>
          <reference field="2" count="22">
            <x v="6"/>
            <x v="7"/>
            <x v="23"/>
            <x v="30"/>
            <x v="33"/>
            <x v="34"/>
            <x v="36"/>
            <x v="37"/>
            <x v="59"/>
            <x v="60"/>
            <x v="61"/>
            <x v="62"/>
            <x v="67"/>
            <x v="68"/>
            <x v="73"/>
            <x v="75"/>
            <x v="78"/>
            <x v="79"/>
            <x v="117"/>
            <x v="124"/>
            <x v="130"/>
            <x v="132"/>
          </reference>
          <reference field="3" count="1" selected="0">
            <x v="3"/>
          </reference>
          <reference field="4" count="0" selected="0"/>
        </references>
      </pivotArea>
    </format>
    <format dxfId="83">
      <pivotArea collapsedLevelsAreSubtotals="1" fieldPosition="0">
        <references count="4">
          <reference field="1" count="1" selected="0">
            <x v="2"/>
          </reference>
          <reference field="2" count="27">
            <x v="6"/>
            <x v="7"/>
            <x v="23"/>
            <x v="25"/>
            <x v="31"/>
            <x v="33"/>
            <x v="34"/>
            <x v="36"/>
            <x v="37"/>
            <x v="38"/>
            <x v="59"/>
            <x v="60"/>
            <x v="61"/>
            <x v="62"/>
            <x v="67"/>
            <x v="68"/>
            <x v="73"/>
            <x v="75"/>
            <x v="78"/>
            <x v="79"/>
            <x v="108"/>
            <x v="117"/>
            <x v="124"/>
            <x v="126"/>
            <x v="129"/>
            <x v="130"/>
            <x v="132"/>
          </reference>
          <reference field="3" count="1" selected="0">
            <x v="3"/>
          </reference>
          <reference field="4" count="0" selected="0"/>
        </references>
      </pivotArea>
    </format>
    <format dxfId="82">
      <pivotArea collapsedLevelsAreSubtotals="1" fieldPosition="0">
        <references count="3">
          <reference field="1" count="1" selected="0">
            <x v="0"/>
          </reference>
          <reference field="2" count="51">
            <x v="0"/>
            <x v="1"/>
            <x v="2"/>
            <x v="4"/>
            <x v="9"/>
            <x v="11"/>
            <x v="12"/>
            <x v="26"/>
            <x v="27"/>
            <x v="28"/>
            <x v="29"/>
            <x v="35"/>
            <x v="40"/>
            <x v="42"/>
            <x v="46"/>
            <x v="58"/>
            <x v="59"/>
            <x v="60"/>
            <x v="63"/>
            <x v="64"/>
            <x v="65"/>
            <x v="69"/>
            <x v="70"/>
            <x v="71"/>
            <x v="74"/>
            <x v="77"/>
            <x v="80"/>
            <x v="81"/>
            <x v="82"/>
            <x v="84"/>
            <x v="89"/>
            <x v="97"/>
            <x v="98"/>
            <x v="100"/>
            <x v="101"/>
            <x v="102"/>
            <x v="103"/>
            <x v="109"/>
            <x v="118"/>
            <x v="119"/>
            <x v="120"/>
            <x v="121"/>
            <x v="122"/>
            <x v="124"/>
            <x v="125"/>
            <x v="126"/>
            <x v="131"/>
            <x v="135"/>
            <x v="136"/>
            <x v="137"/>
            <x v="140"/>
          </reference>
          <reference field="3" count="1" selected="0" defaultSubtotal="1">
            <x v="3"/>
          </reference>
        </references>
      </pivotArea>
    </format>
    <format dxfId="81">
      <pivotArea collapsedLevelsAreSubtotals="1" fieldPosition="0">
        <references count="3">
          <reference field="1" count="1" selected="0">
            <x v="1"/>
          </reference>
          <reference field="2" count="22">
            <x v="6"/>
            <x v="7"/>
            <x v="23"/>
            <x v="30"/>
            <x v="33"/>
            <x v="34"/>
            <x v="36"/>
            <x v="37"/>
            <x v="59"/>
            <x v="60"/>
            <x v="61"/>
            <x v="62"/>
            <x v="67"/>
            <x v="68"/>
            <x v="73"/>
            <x v="75"/>
            <x v="78"/>
            <x v="79"/>
            <x v="117"/>
            <x v="124"/>
            <x v="130"/>
            <x v="132"/>
          </reference>
          <reference field="3" count="1" selected="0" defaultSubtotal="1">
            <x v="3"/>
          </reference>
        </references>
      </pivotArea>
    </format>
    <format dxfId="80">
      <pivotArea collapsedLevelsAreSubtotals="1" fieldPosition="0">
        <references count="3">
          <reference field="1" count="1" selected="0">
            <x v="2"/>
          </reference>
          <reference field="2" count="27">
            <x v="6"/>
            <x v="7"/>
            <x v="23"/>
            <x v="25"/>
            <x v="31"/>
            <x v="33"/>
            <x v="34"/>
            <x v="36"/>
            <x v="37"/>
            <x v="38"/>
            <x v="59"/>
            <x v="60"/>
            <x v="61"/>
            <x v="62"/>
            <x v="67"/>
            <x v="68"/>
            <x v="73"/>
            <x v="75"/>
            <x v="78"/>
            <x v="79"/>
            <x v="108"/>
            <x v="117"/>
            <x v="124"/>
            <x v="126"/>
            <x v="129"/>
            <x v="130"/>
            <x v="132"/>
          </reference>
          <reference field="3" count="1" selected="0" defaultSubtotal="1">
            <x v="3"/>
          </reference>
        </references>
      </pivotArea>
    </format>
    <format dxfId="79">
      <pivotArea collapsedLevelsAreSubtotals="1" fieldPosition="0">
        <references count="2">
          <reference field="1" count="1" selected="0">
            <x v="1"/>
          </reference>
          <reference field="2" count="18">
            <x v="6"/>
            <x v="7"/>
            <x v="23"/>
            <x v="30"/>
            <x v="33"/>
            <x v="34"/>
            <x v="36"/>
            <x v="60"/>
            <x v="61"/>
            <x v="62"/>
            <x v="67"/>
            <x v="73"/>
            <x v="75"/>
            <x v="78"/>
            <x v="117"/>
            <x v="124"/>
            <x v="130"/>
            <x v="132"/>
          </reference>
        </references>
      </pivotArea>
    </format>
    <format dxfId="78">
      <pivotArea dataOnly="0" labelOnly="1" fieldPosition="0">
        <references count="2">
          <reference field="3" count="1" selected="0">
            <x v="4"/>
          </reference>
          <reference field="4" count="0"/>
        </references>
      </pivotArea>
    </format>
    <format dxfId="77">
      <pivotArea outline="0" collapsedLevelsAreSubtotals="1" fieldPosition="0">
        <references count="1">
          <reference field="3" count="2" selected="0" defaultSubtotal="1">
            <x v="2"/>
            <x v="3"/>
          </reference>
        </references>
      </pivotArea>
    </format>
    <format dxfId="76">
      <pivotArea outline="0" collapsedLevelsAreSubtotals="1" fieldPosition="0">
        <references count="2">
          <reference field="3" count="1" selected="0">
            <x v="4"/>
          </reference>
          <reference field="4" count="0" selected="0"/>
        </references>
      </pivotArea>
    </format>
    <format dxfId="75">
      <pivotArea collapsedLevelsAreSubtotals="1" fieldPosition="0">
        <references count="2">
          <reference field="1" count="1" selected="0">
            <x v="0"/>
          </reference>
          <reference field="2" count="32">
            <x v="1"/>
            <x v="4"/>
            <x v="11"/>
            <x v="27"/>
            <x v="28"/>
            <x v="40"/>
            <x v="42"/>
            <x v="46"/>
            <x v="58"/>
            <x v="63"/>
            <x v="64"/>
            <x v="65"/>
            <x v="69"/>
            <x v="70"/>
            <x v="71"/>
            <x v="74"/>
            <x v="77"/>
            <x v="82"/>
            <x v="89"/>
            <x v="97"/>
            <x v="98"/>
            <x v="101"/>
            <x v="103"/>
            <x v="109"/>
            <x v="119"/>
            <x v="120"/>
            <x v="121"/>
            <x v="122"/>
            <x v="131"/>
            <x v="137"/>
            <x v="140"/>
            <x v="143"/>
          </reference>
        </references>
      </pivotArea>
    </format>
    <format dxfId="74">
      <pivotArea collapsedLevelsAreSubtotals="1" fieldPosition="0">
        <references count="2">
          <reference field="1" count="1" selected="0">
            <x v="1"/>
          </reference>
          <reference field="2" count="18">
            <x v="6"/>
            <x v="7"/>
            <x v="23"/>
            <x v="30"/>
            <x v="33"/>
            <x v="34"/>
            <x v="36"/>
            <x v="60"/>
            <x v="61"/>
            <x v="62"/>
            <x v="67"/>
            <x v="73"/>
            <x v="75"/>
            <x v="78"/>
            <x v="104"/>
            <x v="117"/>
            <x v="124"/>
            <x v="130"/>
          </reference>
        </references>
      </pivotArea>
    </format>
    <format dxfId="73">
      <pivotArea collapsedLevelsAreSubtotals="1" fieldPosition="0">
        <references count="1">
          <reference field="1" count="1">
            <x v="0"/>
          </reference>
        </references>
      </pivotArea>
    </format>
    <format dxfId="72">
      <pivotArea collapsedLevelsAreSubtotals="1" fieldPosition="0">
        <references count="3">
          <reference field="1" count="1" selected="0">
            <x v="1"/>
          </reference>
          <reference field="2" count="1">
            <x v="104"/>
          </reference>
          <reference field="3" count="1" selected="0" defaultSubtotal="1">
            <x v="4"/>
          </reference>
        </references>
      </pivotArea>
    </format>
    <format dxfId="71">
      <pivotArea collapsedLevelsAreSubtotals="1" fieldPosition="0">
        <references count="3">
          <reference field="1" count="1" selected="0">
            <x v="0"/>
          </reference>
          <reference field="2" count="13">
            <x v="1"/>
            <x v="11"/>
            <x v="28"/>
            <x v="58"/>
            <x v="65"/>
            <x v="70"/>
            <x v="74"/>
            <x v="98"/>
            <x v="119"/>
            <x v="120"/>
            <x v="131"/>
            <x v="137"/>
            <x v="140"/>
          </reference>
          <reference field="3" count="1" selected="0" defaultSubtotal="1">
            <x v="4"/>
          </reference>
        </references>
      </pivotArea>
    </format>
    <format dxfId="70">
      <pivotArea outline="0" collapsedLevelsAreSubtotals="1" fieldPosition="0"/>
    </format>
    <format dxfId="69">
      <pivotArea type="origin" dataOnly="0" labelOnly="1" outline="0" offset="A2" fieldPosition="0"/>
    </format>
    <format dxfId="68">
      <pivotArea dataOnly="0" labelOnly="1" fieldPosition="0">
        <references count="1">
          <reference field="1" count="0"/>
        </references>
      </pivotArea>
    </format>
    <format dxfId="67">
      <pivotArea dataOnly="0" labelOnly="1" fieldPosition="0">
        <references count="1">
          <reference field="3" count="0"/>
        </references>
      </pivotArea>
    </format>
    <format dxfId="66">
      <pivotArea dataOnly="0" labelOnly="1" fieldPosition="0">
        <references count="1">
          <reference field="3" count="0" defaultSubtotal="1"/>
        </references>
      </pivotArea>
    </format>
    <format dxfId="65">
      <pivotArea dataOnly="0" labelOnly="1" fieldPosition="0">
        <references count="2">
          <reference field="3" count="1" selected="0">
            <x v="2"/>
          </reference>
          <reference field="4" count="0"/>
        </references>
      </pivotArea>
    </format>
    <format dxfId="64">
      <pivotArea dataOnly="0" labelOnly="1" fieldPosition="0">
        <references count="2">
          <reference field="3" count="1" selected="0">
            <x v="3"/>
          </reference>
          <reference field="4" count="0"/>
        </references>
      </pivotArea>
    </format>
    <format dxfId="63">
      <pivotArea dataOnly="0" labelOnly="1" fieldPosition="0">
        <references count="2">
          <reference field="3" count="1" selected="0">
            <x v="4"/>
          </reference>
          <reference field="4" count="0"/>
        </references>
      </pivotArea>
    </format>
    <format dxfId="62">
      <pivotArea collapsedLevelsAreSubtotals="1" fieldPosition="0">
        <references count="2">
          <reference field="1" count="1" selected="0">
            <x v="1"/>
          </reference>
          <reference field="2" count="20">
            <x v="6"/>
            <x v="7"/>
            <x v="23"/>
            <x v="30"/>
            <x v="33"/>
            <x v="34"/>
            <x v="36"/>
            <x v="60"/>
            <x v="61"/>
            <x v="62"/>
            <x v="67"/>
            <x v="73"/>
            <x v="75"/>
            <x v="78"/>
            <x v="79"/>
            <x v="104"/>
            <x v="117"/>
            <x v="124"/>
            <x v="130"/>
            <x v="132"/>
          </reference>
        </references>
      </pivotArea>
    </format>
    <format dxfId="61">
      <pivotArea collapsedLevelsAreSubtotals="1" fieldPosition="0">
        <references count="2">
          <reference field="1" count="1" selected="0">
            <x v="2"/>
          </reference>
          <reference field="2" count="23">
            <x v="6"/>
            <x v="7"/>
            <x v="23"/>
            <x v="25"/>
            <x v="33"/>
            <x v="34"/>
            <x v="36"/>
            <x v="38"/>
            <x v="60"/>
            <x v="61"/>
            <x v="62"/>
            <x v="67"/>
            <x v="73"/>
            <x v="75"/>
            <x v="78"/>
            <x v="79"/>
            <x v="104"/>
            <x v="108"/>
            <x v="117"/>
            <x v="124"/>
            <x v="129"/>
            <x v="130"/>
            <x v="132"/>
          </reference>
        </references>
      </pivotArea>
    </format>
    <format dxfId="60">
      <pivotArea dataOnly="0" labelOnly="1" fieldPosition="0">
        <references count="2">
          <reference field="1" count="1" selected="0">
            <x v="1"/>
          </reference>
          <reference field="2" count="20">
            <x v="6"/>
            <x v="7"/>
            <x v="23"/>
            <x v="30"/>
            <x v="33"/>
            <x v="34"/>
            <x v="36"/>
            <x v="60"/>
            <x v="61"/>
            <x v="62"/>
            <x v="67"/>
            <x v="73"/>
            <x v="75"/>
            <x v="78"/>
            <x v="79"/>
            <x v="104"/>
            <x v="117"/>
            <x v="124"/>
            <x v="130"/>
            <x v="132"/>
          </reference>
        </references>
      </pivotArea>
    </format>
    <format dxfId="59">
      <pivotArea dataOnly="0" labelOnly="1" fieldPosition="0">
        <references count="2">
          <reference field="1" count="1" selected="0">
            <x v="2"/>
          </reference>
          <reference field="2" count="23">
            <x v="6"/>
            <x v="7"/>
            <x v="23"/>
            <x v="25"/>
            <x v="33"/>
            <x v="34"/>
            <x v="36"/>
            <x v="38"/>
            <x v="60"/>
            <x v="61"/>
            <x v="62"/>
            <x v="67"/>
            <x v="73"/>
            <x v="75"/>
            <x v="78"/>
            <x v="79"/>
            <x v="104"/>
            <x v="108"/>
            <x v="117"/>
            <x v="124"/>
            <x v="129"/>
            <x v="130"/>
            <x v="132"/>
          </reference>
        </references>
      </pivotArea>
    </format>
    <format dxfId="58">
      <pivotArea collapsedLevelsAreSubtotals="1" fieldPosition="0">
        <references count="2">
          <reference field="1" count="1" selected="0">
            <x v="0"/>
          </reference>
          <reference field="2" count="36">
            <x v="1"/>
            <x v="4"/>
            <x v="11"/>
            <x v="27"/>
            <x v="28"/>
            <x v="29"/>
            <x v="40"/>
            <x v="42"/>
            <x v="46"/>
            <x v="58"/>
            <x v="60"/>
            <x v="63"/>
            <x v="64"/>
            <x v="65"/>
            <x v="69"/>
            <x v="70"/>
            <x v="71"/>
            <x v="74"/>
            <x v="77"/>
            <x v="81"/>
            <x v="82"/>
            <x v="89"/>
            <x v="97"/>
            <x v="98"/>
            <x v="101"/>
            <x v="103"/>
            <x v="109"/>
            <x v="119"/>
            <x v="120"/>
            <x v="121"/>
            <x v="122"/>
            <x v="126"/>
            <x v="131"/>
            <x v="137"/>
            <x v="140"/>
            <x v="143"/>
          </reference>
        </references>
      </pivotArea>
    </format>
    <format dxfId="57">
      <pivotArea collapsedLevelsAreSubtotals="1" fieldPosition="0">
        <references count="1">
          <reference field="1" count="1">
            <x v="1"/>
          </reference>
        </references>
      </pivotArea>
    </format>
    <format dxfId="56">
      <pivotArea collapsedLevelsAreSubtotals="1" fieldPosition="0">
        <references count="2">
          <reference field="1" count="1" selected="0">
            <x v="1"/>
          </reference>
          <reference field="2" count="19">
            <x v="6"/>
            <x v="7"/>
            <x v="23"/>
            <x v="30"/>
            <x v="33"/>
            <x v="34"/>
            <x v="36"/>
            <x v="60"/>
            <x v="61"/>
            <x v="62"/>
            <x v="67"/>
            <x v="73"/>
            <x v="75"/>
            <x v="78"/>
            <x v="79"/>
            <x v="104"/>
            <x v="117"/>
            <x v="124"/>
            <x v="130"/>
          </reference>
        </references>
      </pivotArea>
    </format>
    <format dxfId="55">
      <pivotArea collapsedLevelsAreSubtotals="1" fieldPosition="0">
        <references count="1">
          <reference field="1" count="1">
            <x v="2"/>
          </reference>
        </references>
      </pivotArea>
    </format>
    <format dxfId="54">
      <pivotArea collapsedLevelsAreSubtotals="1" fieldPosition="0">
        <references count="2">
          <reference field="1" count="1" selected="0">
            <x v="2"/>
          </reference>
          <reference field="2" count="22">
            <x v="6"/>
            <x v="7"/>
            <x v="23"/>
            <x v="25"/>
            <x v="33"/>
            <x v="34"/>
            <x v="36"/>
            <x v="38"/>
            <x v="60"/>
            <x v="61"/>
            <x v="62"/>
            <x v="67"/>
            <x v="73"/>
            <x v="75"/>
            <x v="78"/>
            <x v="79"/>
            <x v="104"/>
            <x v="108"/>
            <x v="117"/>
            <x v="124"/>
            <x v="129"/>
            <x v="130"/>
          </reference>
        </references>
      </pivotArea>
    </format>
    <format dxfId="53">
      <pivotArea collapsedLevelsAreSubtotals="1" fieldPosition="0">
        <references count="1">
          <reference field="1" count="1">
            <x v="3"/>
          </reference>
        </references>
      </pivotArea>
    </format>
    <format dxfId="52">
      <pivotArea collapsedLevelsAreSubtotals="1" fieldPosition="0">
        <references count="2">
          <reference field="1" count="1" selected="0">
            <x v="3"/>
          </reference>
          <reference field="2" count="1">
            <x v="127"/>
          </reference>
        </references>
      </pivotArea>
    </format>
    <format dxfId="51">
      <pivotArea grandRow="1" outline="0" collapsedLevelsAreSubtotals="1" fieldPosition="0"/>
    </format>
    <format dxfId="50">
      <pivotArea dataOnly="0" labelOnly="1" fieldPosition="0">
        <references count="1">
          <reference field="1" count="3">
            <x v="1"/>
            <x v="2"/>
            <x v="3"/>
          </reference>
        </references>
      </pivotArea>
    </format>
    <format dxfId="49">
      <pivotArea dataOnly="0" labelOnly="1" grandRow="1" outline="0" fieldPosition="0"/>
    </format>
    <format dxfId="48">
      <pivotArea dataOnly="0" labelOnly="1" fieldPosition="0">
        <references count="2">
          <reference field="1" count="1" selected="0">
            <x v="0"/>
          </reference>
          <reference field="2" count="36">
            <x v="1"/>
            <x v="4"/>
            <x v="11"/>
            <x v="27"/>
            <x v="28"/>
            <x v="29"/>
            <x v="40"/>
            <x v="42"/>
            <x v="46"/>
            <x v="58"/>
            <x v="60"/>
            <x v="63"/>
            <x v="64"/>
            <x v="65"/>
            <x v="69"/>
            <x v="70"/>
            <x v="71"/>
            <x v="74"/>
            <x v="77"/>
            <x v="81"/>
            <x v="82"/>
            <x v="89"/>
            <x v="97"/>
            <x v="98"/>
            <x v="101"/>
            <x v="103"/>
            <x v="109"/>
            <x v="119"/>
            <x v="120"/>
            <x v="121"/>
            <x v="122"/>
            <x v="126"/>
            <x v="131"/>
            <x v="137"/>
            <x v="140"/>
            <x v="143"/>
          </reference>
        </references>
      </pivotArea>
    </format>
    <format dxfId="47">
      <pivotArea dataOnly="0" labelOnly="1" fieldPosition="0">
        <references count="2">
          <reference field="1" count="1" selected="0">
            <x v="1"/>
          </reference>
          <reference field="2" count="19">
            <x v="6"/>
            <x v="7"/>
            <x v="23"/>
            <x v="30"/>
            <x v="33"/>
            <x v="34"/>
            <x v="36"/>
            <x v="60"/>
            <x v="61"/>
            <x v="62"/>
            <x v="67"/>
            <x v="73"/>
            <x v="75"/>
            <x v="78"/>
            <x v="79"/>
            <x v="104"/>
            <x v="117"/>
            <x v="124"/>
            <x v="130"/>
          </reference>
        </references>
      </pivotArea>
    </format>
    <format dxfId="46">
      <pivotArea dataOnly="0" labelOnly="1" fieldPosition="0">
        <references count="2">
          <reference field="1" count="1" selected="0">
            <x v="2"/>
          </reference>
          <reference field="2" count="22">
            <x v="6"/>
            <x v="7"/>
            <x v="23"/>
            <x v="25"/>
            <x v="33"/>
            <x v="34"/>
            <x v="36"/>
            <x v="38"/>
            <x v="60"/>
            <x v="61"/>
            <x v="62"/>
            <x v="67"/>
            <x v="73"/>
            <x v="75"/>
            <x v="78"/>
            <x v="79"/>
            <x v="104"/>
            <x v="108"/>
            <x v="117"/>
            <x v="124"/>
            <x v="129"/>
            <x v="130"/>
          </reference>
        </references>
      </pivotArea>
    </format>
    <format dxfId="45">
      <pivotArea dataOnly="0" labelOnly="1" fieldPosition="0">
        <references count="2">
          <reference field="1" count="1" selected="0">
            <x v="3"/>
          </reference>
          <reference field="2" count="1">
            <x v="127"/>
          </reference>
        </references>
      </pivotArea>
    </format>
    <format dxfId="44">
      <pivotArea dataOnly="0" labelOnly="1" fieldPosition="0">
        <references count="1">
          <reference field="3" count="1" defaultSubtotal="1">
            <x v="4"/>
          </reference>
        </references>
      </pivotArea>
    </format>
  </formats>
  <pivotTableStyleInfo name="PivotStyleMedium13"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B5CC551C-0082-42BB-BB9A-B5AA3A9AA676}" name="TablaDinámica1" cacheId="1" applyNumberFormats="0" applyBorderFormats="0" applyFontFormats="0" applyPatternFormats="0" applyAlignmentFormats="0" applyWidthHeightFormats="1" dataCaption="Valores" updatedVersion="8" minRefreshableVersion="3" useAutoFormatting="1" itemPrintTitles="1" createdVersion="8" indent="0" compact="0" compactData="0" multipleFieldFilters="0">
  <location ref="A6:H11" firstHeaderRow="0" firstDataRow="1" firstDataCol="3"/>
  <pivotFields count="14">
    <pivotField compact="0" outline="0" showAll="0"/>
    <pivotField axis="axisRow" compact="0" outline="0" showAll="0">
      <items count="5">
        <item sd="0" x="2"/>
        <item sd="0" x="0"/>
        <item sd="0" x="1"/>
        <item sd="0" x="3"/>
        <item t="default"/>
      </items>
    </pivotField>
    <pivotField axis="axisRow" compact="0" outline="0" showAll="0" sortType="descending">
      <items count="123">
        <item x="21"/>
        <item m="1" x="78"/>
        <item x="8"/>
        <item x="10"/>
        <item m="1" x="60"/>
        <item x="20"/>
        <item x="3"/>
        <item m="1" x="72"/>
        <item x="46"/>
        <item m="1" x="63"/>
        <item x="43"/>
        <item x="30"/>
        <item x="29"/>
        <item x="26"/>
        <item m="1" x="68"/>
        <item x="40"/>
        <item x="7"/>
        <item x="12"/>
        <item x="27"/>
        <item x="22"/>
        <item m="1" x="76"/>
        <item x="24"/>
        <item x="9"/>
        <item x="39"/>
        <item x="1"/>
        <item x="50"/>
        <item x="2"/>
        <item x="13"/>
        <item m="1" x="75"/>
        <item x="35"/>
        <item x="34"/>
        <item m="1" x="62"/>
        <item x="36"/>
        <item x="47"/>
        <item x="51"/>
        <item m="1" x="113"/>
        <item m="1" x="104"/>
        <item x="4"/>
        <item x="25"/>
        <item x="15"/>
        <item x="33"/>
        <item x="49"/>
        <item x="31"/>
        <item x="11"/>
        <item x="0"/>
        <item m="1" x="59"/>
        <item m="1" x="105"/>
        <item x="23"/>
        <item m="1" x="119"/>
        <item m="1" x="115"/>
        <item m="1" x="120"/>
        <item m="1" x="121"/>
        <item m="1" x="118"/>
        <item m="1" x="117"/>
        <item m="1" x="116"/>
        <item m="1" x="114"/>
        <item x="41"/>
        <item m="1" x="112"/>
        <item m="1" x="83"/>
        <item m="1" x="77"/>
        <item x="56"/>
        <item x="48"/>
        <item m="1" x="106"/>
        <item x="58"/>
        <item m="1" x="70"/>
        <item m="1" x="103"/>
        <item m="1" x="69"/>
        <item m="1" x="73"/>
        <item x="55"/>
        <item m="1" x="102"/>
        <item x="45"/>
        <item m="1" x="109"/>
        <item m="1" x="110"/>
        <item x="57"/>
        <item m="1" x="61"/>
        <item m="1" x="111"/>
        <item m="1" x="107"/>
        <item m="1" x="108"/>
        <item x="5"/>
        <item x="6"/>
        <item x="18"/>
        <item x="19"/>
        <item m="1" x="79"/>
        <item m="1" x="80"/>
        <item m="1" x="81"/>
        <item m="1" x="82"/>
        <item m="1" x="84"/>
        <item m="1" x="85"/>
        <item m="1" x="86"/>
        <item m="1" x="87"/>
        <item m="1" x="88"/>
        <item m="1" x="89"/>
        <item x="32"/>
        <item x="14"/>
        <item x="16"/>
        <item x="17"/>
        <item m="1" x="90"/>
        <item m="1" x="91"/>
        <item m="1" x="92"/>
        <item m="1" x="93"/>
        <item x="38"/>
        <item m="1" x="100"/>
        <item m="1" x="95"/>
        <item m="1" x="101"/>
        <item m="1" x="97"/>
        <item x="28"/>
        <item x="42"/>
        <item m="1" x="64"/>
        <item m="1" x="65"/>
        <item m="1" x="98"/>
        <item m="1" x="99"/>
        <item x="52"/>
        <item x="37"/>
        <item m="1" x="94"/>
        <item m="1" x="96"/>
        <item x="53"/>
        <item m="1" x="67"/>
        <item x="44"/>
        <item m="1" x="66"/>
        <item m="1" x="71"/>
        <item m="1" x="74"/>
        <item x="54"/>
        <item t="default"/>
      </items>
      <autoSortScope>
        <pivotArea dataOnly="0" outline="0" fieldPosition="0">
          <references count="1">
            <reference field="4294967294" count="1" selected="0">
              <x v="2"/>
            </reference>
          </references>
        </pivotArea>
      </autoSortScope>
    </pivotField>
    <pivotField compact="0" outline="0" showAll="0"/>
    <pivotField axis="axisRow" compact="0" outline="0" showAll="0">
      <items count="13">
        <item x="0"/>
        <item x="1"/>
        <item x="2"/>
        <item x="3"/>
        <item m="1" x="7"/>
        <item m="1" x="6"/>
        <item m="1" x="5"/>
        <item m="1" x="4"/>
        <item m="1" x="10"/>
        <item m="1" x="9"/>
        <item m="1" x="8"/>
        <item m="1" x="11"/>
        <item t="default"/>
      </items>
    </pivotField>
    <pivotField dataField="1" compact="0" outline="0" showAll="0"/>
    <pivotField dataField="1" compact="0" outline="0" showAll="0"/>
    <pivotField dataField="1" compact="0" outline="0" showAll="0"/>
    <pivotField compact="0" outline="0" dragToRow="0" dragToCol="0" dragToPage="0" showAll="0" defaultSubtotal="0"/>
    <pivotField compact="0" outline="0" dragToRow="0" dragToCol="0" dragToPage="0" showAll="0" defaultSubtotal="0"/>
    <pivotField compact="0" outline="0" dragToRow="0" dragToCol="0" dragToPage="0" showAll="0" defaultSubtotal="0"/>
    <pivotField compact="0" outline="0" dragToRow="0" dragToCol="0" dragToPage="0" showAll="0" defaultSubtotal="0"/>
    <pivotField dataField="1" compact="0" outline="0" dragToRow="0" dragToCol="0" dragToPage="0" showAll="0" defaultSubtotal="0"/>
    <pivotField dataField="1" compact="0" outline="0" dragToRow="0" dragToCol="0" dragToPage="0" showAll="0" defaultSubtotal="0"/>
  </pivotFields>
  <rowFields count="3">
    <field x="1"/>
    <field x="2"/>
    <field x="4"/>
  </rowFields>
  <rowItems count="5">
    <i>
      <x/>
    </i>
    <i>
      <x v="1"/>
    </i>
    <i>
      <x v="2"/>
    </i>
    <i>
      <x v="3"/>
    </i>
    <i t="grand">
      <x/>
    </i>
  </rowItems>
  <colFields count="1">
    <field x="-2"/>
  </colFields>
  <colItems count="5">
    <i>
      <x/>
    </i>
    <i i="1">
      <x v="1"/>
    </i>
    <i i="2">
      <x v="2"/>
    </i>
    <i i="3">
      <x v="3"/>
    </i>
    <i i="4">
      <x v="4"/>
    </i>
  </colItems>
  <dataFields count="5">
    <dataField name=" 2024" fld="5" baseField="0" baseItem="0"/>
    <dataField name=" 2025" fld="7" baseField="0" baseItem="0"/>
    <dataField name=" 2026" fld="6" baseField="4" baseItem="0"/>
    <dataField name="Var % 25Vs24" fld="13" subtotal="var" baseField="1" baseItem="0" numFmtId="10"/>
    <dataField name="Var % 26Vs25" fld="12" subtotal="var" baseField="1" baseItem="0" numFmtId="10"/>
  </dataFields>
  <formats count="13">
    <format dxfId="43">
      <pivotArea outline="0" collapsedLevelsAreSubtotals="1" fieldPosition="0"/>
    </format>
    <format dxfId="42">
      <pivotArea dataOnly="0" labelOnly="1" outline="0" fieldPosition="0">
        <references count="1">
          <reference field="4294967294" count="1">
            <x v="0"/>
          </reference>
        </references>
      </pivotArea>
    </format>
    <format dxfId="41">
      <pivotArea field="1" type="button" dataOnly="0" labelOnly="1" outline="0" axis="axisRow" fieldPosition="0"/>
    </format>
    <format dxfId="40">
      <pivotArea field="2" type="button" dataOnly="0" labelOnly="1" outline="0" axis="axisRow" fieldPosition="1"/>
    </format>
    <format dxfId="39">
      <pivotArea field="4" type="button" dataOnly="0" labelOnly="1" outline="0" axis="axisRow" fieldPosition="2"/>
    </format>
    <format dxfId="38">
      <pivotArea dataOnly="0" labelOnly="1" outline="0" fieldPosition="0">
        <references count="1">
          <reference field="4294967294" count="1">
            <x v="0"/>
          </reference>
        </references>
      </pivotArea>
    </format>
    <format dxfId="37">
      <pivotArea dataOnly="0" labelOnly="1" outline="0" fieldPosition="0">
        <references count="1">
          <reference field="4294967294" count="1">
            <x v="1"/>
          </reference>
        </references>
      </pivotArea>
    </format>
    <format dxfId="36">
      <pivotArea field="1" type="button" dataOnly="0" labelOnly="1" outline="0" axis="axisRow" fieldPosition="0"/>
    </format>
    <format dxfId="35">
      <pivotArea field="2" type="button" dataOnly="0" labelOnly="1" outline="0" axis="axisRow" fieldPosition="1"/>
    </format>
    <format dxfId="34">
      <pivotArea field="4" type="button" dataOnly="0" labelOnly="1" outline="0" axis="axisRow" fieldPosition="2"/>
    </format>
    <format dxfId="33">
      <pivotArea dataOnly="0" labelOnly="1" outline="0" fieldPosition="0">
        <references count="1">
          <reference field="4294967294" count="2">
            <x v="0"/>
            <x v="1"/>
          </reference>
        </references>
      </pivotArea>
    </format>
    <format dxfId="32">
      <pivotArea outline="0" fieldPosition="0">
        <references count="1">
          <reference field="4294967294" count="1">
            <x v="3"/>
          </reference>
        </references>
      </pivotArea>
    </format>
    <format dxfId="31">
      <pivotArea outline="0" fieldPosition="0">
        <references count="1">
          <reference field="4294967294" count="1">
            <x v="4"/>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89221459-DE32-4D90-B47B-8B2202D1E1B6}" name="Tabla2" displayName="Tabla2" ref="B1:I13" totalsRowShown="0" headerRowDxfId="30" dataDxfId="29" headerRowCellStyle="Millares" dataCellStyle="Millares">
  <autoFilter ref="B1:I13" xr:uid="{89221459-DE32-4D90-B47B-8B2202D1E1B6}"/>
  <tableColumns count="8">
    <tableColumn id="1" xr3:uid="{29B02D90-BCF2-4151-BC11-3AE4EEDC5DFF}" name="Año fact"/>
    <tableColumn id="2" xr3:uid="{19172606-71E8-4169-AC71-4A8EBAA5BABF}" name="Mes fact"/>
    <tableColumn id="4" xr3:uid="{270E2AB9-09DC-484A-924D-EB309CAEDC33}" name="MOD-Saitemp" dataDxfId="28" dataCellStyle="Millares"/>
    <tableColumn id="3" xr3:uid="{843BFEA5-38A4-44A2-9CD0-535C3B7AF50F}" name="Vinculados" dataDxfId="27" dataCellStyle="Millares"/>
    <tableColumn id="5" xr3:uid="{C20ABCEB-E758-4257-9A41-E724292A642B}" name="MOD-Vinculamos" dataDxfId="26" dataCellStyle="Millares"/>
    <tableColumn id="6" xr3:uid="{69786DF2-7796-4125-B225-5FA11ED598F9}" name="GyCompromiso" dataDxfId="25" dataCellStyle="Millares"/>
    <tableColumn id="7" xr3:uid="{22D40B64-5895-46F5-8852-56FDB7198479}" name="Total" dataDxfId="24" dataCellStyle="Millares">
      <calculatedColumnFormula>SUM(Tabla2[[#This Row],[MOD-Saitemp]:[GyCompromiso]])</calculatedColumnFormula>
    </tableColumn>
    <tableColumn id="8" xr3:uid="{5E8DDBDB-9F70-485D-9DE6-8533FDA83FA6}" name="Temporales" dataDxfId="23" dataCellStyle="Millares">
      <calculatedColumnFormula>H2-E2</calculatedColumnFormula>
    </tableColumn>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7F0C0F95-1631-4C29-AA32-4519258A12AD}" name="Tabla5" displayName="Tabla5" ref="B1:I13" totalsRowShown="0" headerRowDxfId="22" dataDxfId="21" headerRowCellStyle="Millares" dataCellStyle="Millares">
  <autoFilter ref="B1:I13" xr:uid="{7F0C0F95-1631-4C29-AA32-4519258A12AD}"/>
  <sortState xmlns:xlrd2="http://schemas.microsoft.com/office/spreadsheetml/2017/richdata2" ref="B2:H3">
    <sortCondition ref="C1:C3"/>
  </sortState>
  <tableColumns count="8">
    <tableColumn id="7" xr3:uid="{17165C92-A59B-4C60-890E-D1F51011362D}" name="Año"/>
    <tableColumn id="1" xr3:uid="{284A7F3D-E182-4B30-8C8E-2B8C80751180}" name="Mes fact"/>
    <tableColumn id="2" xr3:uid="{624E3919-966C-4D7E-BFE3-E154F4E2B36A}" name="Vinculados" dataDxfId="20" dataCellStyle="Millares"/>
    <tableColumn id="3" xr3:uid="{54F627E9-692B-410F-8D21-38CE73336779}" name="MOI-Saitemp" dataDxfId="19" dataCellStyle="Millares"/>
    <tableColumn id="4" xr3:uid="{319795A5-FEAF-4135-8859-302AF34CE9A8}" name="MOI-Vinculamos" dataDxfId="18" dataCellStyle="Millares"/>
    <tableColumn id="5" xr3:uid="{83476095-699F-48F9-A3BD-979A802A069A}" name="MOI-GyC" dataDxfId="17" dataCellStyle="Millares"/>
    <tableColumn id="6" xr3:uid="{25C3C462-B307-492F-AC19-BE28F3EA0F83}" name="Total" dataDxfId="16" dataCellStyle="Millares">
      <calculatedColumnFormula>SUM(D2:G2)</calculatedColumnFormula>
    </tableColumn>
    <tableColumn id="8" xr3:uid="{18CB22E3-0785-487F-8239-0B996742A52E}" name="Temporales" dataDxfId="15" dataCellStyle="Millares">
      <calculatedColumnFormula>H2-D2</calculatedColumnFormula>
    </tableColumn>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CF45CBD7-7E41-4044-89A5-ABA93B5C8876}" name="Tabla1" displayName="Tabla1" ref="A1:F907" totalsRowShown="0" headerRowDxfId="14" headerRowBorderDxfId="13" tableBorderDxfId="12">
  <autoFilter ref="A1:F907" xr:uid="{CF45CBD7-7E41-4044-89A5-ABA93B5C8876}">
    <filterColumn colId="3">
      <filters>
        <filter val="2025"/>
      </filters>
    </filterColumn>
    <filterColumn colId="4">
      <filters>
        <filter val="Abril"/>
      </filters>
    </filterColumn>
  </autoFilter>
  <sortState xmlns:xlrd2="http://schemas.microsoft.com/office/spreadsheetml/2017/richdata2" ref="A2:F152">
    <sortCondition ref="E1:E152"/>
  </sortState>
  <tableColumns count="6">
    <tableColumn id="1" xr3:uid="{BF9D1D12-D973-4580-95F6-7C045EF66CD1}" name="Cuenta" dataDxfId="11" totalsRowDxfId="10"/>
    <tableColumn id="6" xr3:uid="{170BEF8A-8D3A-4596-A5B4-D9C6F4DC6D42}" name="Tipo" dataDxfId="9" totalsRowDxfId="8"/>
    <tableColumn id="2" xr3:uid="{5465A66E-DAC3-4B17-A4C0-CAB3C91B34C8}" name="Descripcion" dataDxfId="7" totalsRowDxfId="6"/>
    <tableColumn id="3" xr3:uid="{9476D981-0C64-4350-A405-7FEAB0EEFD4D}" name="Año" dataDxfId="5" totalsRowDxfId="4"/>
    <tableColumn id="4" xr3:uid="{1085A1B8-2810-45D7-A114-76E2B71ADF3D}" name="Mes" dataDxfId="3" totalsRowDxfId="2"/>
    <tableColumn id="5" xr3:uid="{ADADD3C4-5202-456E-ABD6-E075977AAD06}" name="Valor Total" dataDxfId="1" totalsRowDxfId="0" dataCellStyle="Millares"/>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2.xml"/></Relationships>
</file>

<file path=xl/worksheets/_rels/sheet4.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drawing" Target="../drawings/drawing2.xml"/></Relationships>
</file>

<file path=xl/worksheets/_rels/sheet5.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drawing" Target="../drawings/drawing3.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12.xml.rels><?xml version="1.0" encoding="UTF-8" standalone="yes"?>
<Relationships xmlns="http://schemas.openxmlformats.org/package/2006/relationships"><Relationship Id="rId2" Type="http://schemas.openxmlformats.org/officeDocument/2006/relationships/table" Target="../tables/table3.xml"/><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36617D-CD83-4C6B-9F16-0C8623878529}">
  <dimension ref="B1:AO123"/>
  <sheetViews>
    <sheetView showGridLines="0" tabSelected="1" zoomScale="110" zoomScaleNormal="110" workbookViewId="0">
      <pane xSplit="1" ySplit="5" topLeftCell="B6" activePane="bottomRight" state="frozen"/>
      <selection pane="topRight" activeCell="B1" sqref="B1"/>
      <selection pane="bottomLeft" activeCell="A6" sqref="A6"/>
      <selection pane="bottomRight" activeCell="L86" sqref="L86"/>
    </sheetView>
  </sheetViews>
  <sheetFormatPr baseColWidth="10" defaultColWidth="7.44140625" defaultRowHeight="14.4" outlineLevelCol="1" x14ac:dyDescent="0.3"/>
  <cols>
    <col min="1" max="1" width="3.33203125" customWidth="1"/>
    <col min="2" max="2" width="40.5546875" style="5" bestFit="1" customWidth="1"/>
    <col min="3" max="5" width="7.5546875" hidden="1" customWidth="1" outlineLevel="1"/>
    <col min="6" max="6" width="9.109375" hidden="1" customWidth="1" outlineLevel="1"/>
    <col min="7" max="7" width="10.33203125" customWidth="1" collapsed="1"/>
    <col min="8" max="11" width="7.5546875" hidden="1" customWidth="1" outlineLevel="1"/>
    <col min="12" max="12" width="10.33203125" customWidth="1" collapsed="1"/>
    <col min="13" max="13" width="7.5546875" hidden="1" customWidth="1" outlineLevel="1"/>
    <col min="14" max="14" width="9.109375" hidden="1" customWidth="1" outlineLevel="1"/>
    <col min="15" max="15" width="9.109375" style="19" hidden="1" customWidth="1" outlineLevel="1"/>
    <col min="16" max="16" width="9.109375" hidden="1" customWidth="1" outlineLevel="1"/>
    <col min="17" max="17" width="9.77734375" bestFit="1" customWidth="1" collapsed="1"/>
    <col min="18" max="18" width="7.5546875" customWidth="1"/>
    <col min="19" max="19" width="9.109375" customWidth="1"/>
    <col min="20" max="23" width="7.5546875" customWidth="1"/>
    <col min="24" max="24" width="10.6640625" style="19" customWidth="1"/>
    <col min="25" max="25" width="7.6640625" style="19" customWidth="1"/>
    <col min="26" max="26" width="10.33203125" style="19" customWidth="1"/>
    <col min="27" max="27" width="9.44140625" customWidth="1"/>
    <col min="28" max="28" width="10.109375" bestFit="1" customWidth="1"/>
    <col min="29" max="36" width="7.5546875" customWidth="1"/>
    <col min="37" max="37" width="10.6640625" customWidth="1"/>
    <col min="38" max="38" width="9.109375" style="19" customWidth="1"/>
    <col min="39" max="39" width="10.33203125" customWidth="1"/>
    <col min="40" max="40" width="9.44140625" customWidth="1"/>
    <col min="41" max="41" width="10.109375" bestFit="1" customWidth="1"/>
    <col min="42" max="42" width="7.6640625" bestFit="1" customWidth="1"/>
  </cols>
  <sheetData>
    <row r="1" spans="2:41" x14ac:dyDescent="0.3">
      <c r="B1" s="5" t="s">
        <v>44</v>
      </c>
    </row>
    <row r="2" spans="2:41" x14ac:dyDescent="0.3">
      <c r="B2" t="s">
        <v>42</v>
      </c>
    </row>
    <row r="3" spans="2:41" hidden="1" x14ac:dyDescent="0.3">
      <c r="B3" s="7" t="s">
        <v>41</v>
      </c>
      <c r="O3"/>
      <c r="X3"/>
      <c r="Y3"/>
      <c r="Z3"/>
      <c r="AL3"/>
    </row>
    <row r="4" spans="2:41" s="6" customFormat="1" x14ac:dyDescent="0.3">
      <c r="B4" s="88"/>
      <c r="C4" s="71" t="s">
        <v>52</v>
      </c>
      <c r="D4" s="72"/>
      <c r="E4" s="72"/>
      <c r="F4" s="73"/>
      <c r="G4" s="84" t="s">
        <v>72</v>
      </c>
      <c r="H4" s="71" t="s">
        <v>70</v>
      </c>
      <c r="I4" s="72"/>
      <c r="J4" s="72"/>
      <c r="K4" s="73"/>
      <c r="L4" s="84" t="s">
        <v>71</v>
      </c>
      <c r="M4" s="74">
        <v>2026</v>
      </c>
      <c r="N4" s="75"/>
      <c r="O4" s="75"/>
      <c r="P4" s="76"/>
      <c r="Q4" s="96" t="s">
        <v>165</v>
      </c>
      <c r="R4"/>
      <c r="S4"/>
      <c r="T4"/>
      <c r="U4"/>
      <c r="V4"/>
      <c r="W4"/>
      <c r="X4"/>
      <c r="Y4"/>
      <c r="Z4"/>
      <c r="AA4"/>
      <c r="AB4"/>
      <c r="AC4"/>
      <c r="AD4"/>
      <c r="AE4"/>
      <c r="AF4"/>
      <c r="AG4"/>
      <c r="AH4"/>
      <c r="AI4"/>
      <c r="AJ4"/>
      <c r="AK4"/>
      <c r="AL4"/>
      <c r="AM4"/>
      <c r="AN4"/>
      <c r="AO4"/>
    </row>
    <row r="5" spans="2:41" s="6" customFormat="1" x14ac:dyDescent="0.3">
      <c r="B5" s="87"/>
      <c r="C5" s="71" t="s">
        <v>40</v>
      </c>
      <c r="D5" s="72" t="s">
        <v>195</v>
      </c>
      <c r="E5" s="72" t="s">
        <v>245</v>
      </c>
      <c r="F5" s="73" t="s">
        <v>280</v>
      </c>
      <c r="G5" s="85"/>
      <c r="H5" s="74" t="s">
        <v>40</v>
      </c>
      <c r="I5" s="75" t="s">
        <v>195</v>
      </c>
      <c r="J5" s="75" t="s">
        <v>245</v>
      </c>
      <c r="K5" s="76" t="s">
        <v>280</v>
      </c>
      <c r="L5" s="85"/>
      <c r="M5" s="74" t="s">
        <v>40</v>
      </c>
      <c r="N5" s="75" t="s">
        <v>195</v>
      </c>
      <c r="O5" s="75" t="s">
        <v>245</v>
      </c>
      <c r="P5" s="76" t="s">
        <v>280</v>
      </c>
      <c r="Q5" s="77"/>
      <c r="R5"/>
      <c r="S5"/>
      <c r="T5"/>
      <c r="U5"/>
      <c r="V5"/>
      <c r="W5"/>
      <c r="X5"/>
      <c r="Y5"/>
      <c r="Z5"/>
      <c r="AA5"/>
      <c r="AB5"/>
      <c r="AC5"/>
      <c r="AD5"/>
      <c r="AE5"/>
      <c r="AF5"/>
      <c r="AG5"/>
      <c r="AH5"/>
      <c r="AI5"/>
      <c r="AJ5"/>
      <c r="AK5"/>
      <c r="AL5"/>
      <c r="AM5"/>
      <c r="AN5"/>
      <c r="AO5"/>
    </row>
    <row r="6" spans="2:41" s="5" customFormat="1" x14ac:dyDescent="0.3">
      <c r="B6" s="89" t="s">
        <v>38</v>
      </c>
      <c r="C6" s="90">
        <v>192396.54100000003</v>
      </c>
      <c r="D6" s="91">
        <v>274083.07199999999</v>
      </c>
      <c r="E6" s="91">
        <v>264227.47800000006</v>
      </c>
      <c r="F6" s="91">
        <v>228641.18300000002</v>
      </c>
      <c r="G6" s="92">
        <v>959348.27399999998</v>
      </c>
      <c r="H6" s="91">
        <v>180989.57000000004</v>
      </c>
      <c r="I6" s="91">
        <v>176349.38699999999</v>
      </c>
      <c r="J6" s="91">
        <v>254267.03099999999</v>
      </c>
      <c r="K6" s="91">
        <v>199708.245</v>
      </c>
      <c r="L6" s="92">
        <v>811314.23299999989</v>
      </c>
      <c r="M6" s="90">
        <v>207887.01100000006</v>
      </c>
      <c r="N6" s="91">
        <v>327335.75000000006</v>
      </c>
      <c r="O6" s="91">
        <v>344972.29199999996</v>
      </c>
      <c r="P6" s="93">
        <v>355146.87899999996</v>
      </c>
      <c r="Q6" s="93">
        <v>1235341.932</v>
      </c>
      <c r="R6"/>
      <c r="S6"/>
      <c r="T6"/>
      <c r="U6"/>
      <c r="V6"/>
      <c r="W6"/>
      <c r="X6"/>
      <c r="Y6"/>
      <c r="Z6"/>
      <c r="AA6"/>
      <c r="AB6"/>
      <c r="AC6"/>
      <c r="AD6"/>
      <c r="AE6"/>
      <c r="AF6"/>
      <c r="AG6"/>
      <c r="AH6"/>
      <c r="AI6"/>
      <c r="AJ6"/>
      <c r="AK6"/>
      <c r="AL6"/>
      <c r="AM6"/>
      <c r="AN6"/>
      <c r="AO6"/>
    </row>
    <row r="7" spans="2:41" x14ac:dyDescent="0.3">
      <c r="B7" s="94" t="s">
        <v>61</v>
      </c>
      <c r="C7" s="82">
        <v>17631.150000000001</v>
      </c>
      <c r="D7" s="82">
        <v>19396.465</v>
      </c>
      <c r="E7" s="82">
        <v>19396.465</v>
      </c>
      <c r="F7" s="82">
        <v>19396.465</v>
      </c>
      <c r="G7" s="82">
        <v>75820.544999999998</v>
      </c>
      <c r="H7" s="82">
        <v>19396.465</v>
      </c>
      <c r="I7" s="82">
        <v>20440</v>
      </c>
      <c r="J7" s="82">
        <v>20440</v>
      </c>
      <c r="K7" s="82">
        <v>20440</v>
      </c>
      <c r="L7" s="82">
        <v>80716.464999999997</v>
      </c>
      <c r="M7" s="82">
        <v>78787</v>
      </c>
      <c r="N7" s="82">
        <v>85361</v>
      </c>
      <c r="O7" s="82">
        <v>85361</v>
      </c>
      <c r="P7" s="82">
        <v>85361</v>
      </c>
      <c r="Q7" s="83">
        <v>334870</v>
      </c>
      <c r="X7"/>
      <c r="Y7"/>
      <c r="Z7"/>
      <c r="AL7"/>
    </row>
    <row r="8" spans="2:41" x14ac:dyDescent="0.3">
      <c r="B8" s="95" t="s">
        <v>21</v>
      </c>
      <c r="C8" s="78">
        <v>50230.464999999997</v>
      </c>
      <c r="D8" s="78">
        <v>58759.828999999998</v>
      </c>
      <c r="E8" s="78">
        <v>63318.495000000003</v>
      </c>
      <c r="F8" s="78">
        <v>50783.542999999998</v>
      </c>
      <c r="G8" s="78">
        <v>223092.33199999999</v>
      </c>
      <c r="H8" s="78">
        <v>50374.707000000002</v>
      </c>
      <c r="I8" s="78">
        <v>58105.957999999999</v>
      </c>
      <c r="J8" s="78">
        <v>62117.451999999997</v>
      </c>
      <c r="K8" s="78">
        <v>60408.402000000002</v>
      </c>
      <c r="L8" s="78">
        <v>231006.519</v>
      </c>
      <c r="M8" s="78">
        <v>42194.154999999999</v>
      </c>
      <c r="N8" s="78">
        <v>55514.32</v>
      </c>
      <c r="O8" s="78">
        <v>54106.792000000001</v>
      </c>
      <c r="P8" s="78">
        <v>60822.375999999997</v>
      </c>
      <c r="Q8" s="79">
        <v>212637.64299999998</v>
      </c>
      <c r="X8"/>
      <c r="Y8"/>
      <c r="Z8"/>
      <c r="AL8"/>
    </row>
    <row r="9" spans="2:41" x14ac:dyDescent="0.3">
      <c r="B9" s="95" t="s">
        <v>160</v>
      </c>
      <c r="C9" s="78">
        <v>41690.695</v>
      </c>
      <c r="D9" s="78">
        <v>41690.695</v>
      </c>
      <c r="E9" s="78">
        <v>42097.277999999998</v>
      </c>
      <c r="F9" s="78">
        <v>42097.277999999998</v>
      </c>
      <c r="G9" s="78">
        <v>167575.946</v>
      </c>
      <c r="H9" s="78">
        <v>39609.71</v>
      </c>
      <c r="I9" s="78">
        <v>40396.164999999994</v>
      </c>
      <c r="J9" s="78">
        <v>38537.600000000006</v>
      </c>
      <c r="K9" s="78">
        <v>36806.250999999997</v>
      </c>
      <c r="L9" s="78">
        <v>155349.726</v>
      </c>
      <c r="M9" s="78">
        <v>37394.927000000003</v>
      </c>
      <c r="N9" s="78">
        <v>37551.237000000001</v>
      </c>
      <c r="O9" s="78">
        <v>40956.048999999999</v>
      </c>
      <c r="P9" s="78">
        <v>39261.404000000002</v>
      </c>
      <c r="Q9" s="79">
        <v>155163.617</v>
      </c>
      <c r="X9"/>
      <c r="Y9"/>
      <c r="Z9"/>
      <c r="AL9"/>
    </row>
    <row r="10" spans="2:41" x14ac:dyDescent="0.3">
      <c r="B10" s="95" t="s">
        <v>158</v>
      </c>
      <c r="C10" s="78">
        <v>15118.7</v>
      </c>
      <c r="D10" s="78">
        <v>25127.595999999998</v>
      </c>
      <c r="E10" s="78">
        <v>23306.858</v>
      </c>
      <c r="F10" s="78">
        <v>48654.998</v>
      </c>
      <c r="G10" s="78">
        <v>112208.152</v>
      </c>
      <c r="H10" s="78">
        <v>10140.543</v>
      </c>
      <c r="I10" s="78">
        <v>5555.232</v>
      </c>
      <c r="J10" s="78">
        <v>27977.949000000001</v>
      </c>
      <c r="K10" s="78">
        <v>13222.687</v>
      </c>
      <c r="L10" s="78">
        <v>56896.411</v>
      </c>
      <c r="M10" s="78">
        <v>7184.6290000000008</v>
      </c>
      <c r="N10" s="78">
        <v>13104.89</v>
      </c>
      <c r="O10" s="78">
        <v>22875.356</v>
      </c>
      <c r="P10" s="78">
        <v>62987.045999999995</v>
      </c>
      <c r="Q10" s="79">
        <v>106151.921</v>
      </c>
      <c r="X10"/>
      <c r="Y10"/>
      <c r="Z10"/>
      <c r="AL10"/>
    </row>
    <row r="11" spans="2:41" x14ac:dyDescent="0.3">
      <c r="B11" s="95" t="s">
        <v>31</v>
      </c>
      <c r="C11" s="78">
        <v>9665.8259999999991</v>
      </c>
      <c r="D11" s="78">
        <v>49629.004999999997</v>
      </c>
      <c r="E11" s="78">
        <v>-275</v>
      </c>
      <c r="F11" s="78">
        <v>2979.53</v>
      </c>
      <c r="G11" s="78">
        <v>61999.360999999997</v>
      </c>
      <c r="H11" s="78">
        <v>3484.7739999999999</v>
      </c>
      <c r="I11" s="78"/>
      <c r="J11" s="78">
        <v>2048.4029999999998</v>
      </c>
      <c r="K11" s="78">
        <v>14719.694</v>
      </c>
      <c r="L11" s="78">
        <v>20252.870999999999</v>
      </c>
      <c r="M11" s="78">
        <v>3547.223</v>
      </c>
      <c r="N11" s="78">
        <v>26900.17</v>
      </c>
      <c r="O11" s="78">
        <v>668.2</v>
      </c>
      <c r="P11" s="78">
        <v>40371.428999999996</v>
      </c>
      <c r="Q11" s="79">
        <v>71487.021999999997</v>
      </c>
      <c r="X11"/>
      <c r="Y11"/>
      <c r="Z11"/>
      <c r="AL11"/>
    </row>
    <row r="12" spans="2:41" x14ac:dyDescent="0.3">
      <c r="B12" s="95" t="s">
        <v>159</v>
      </c>
      <c r="C12" s="78">
        <v>1138.4169999999999</v>
      </c>
      <c r="D12" s="78">
        <v>16425.321</v>
      </c>
      <c r="E12" s="78">
        <v>73729.760000000009</v>
      </c>
      <c r="F12" s="78">
        <v>1534.807</v>
      </c>
      <c r="G12" s="78">
        <v>92828.305000000008</v>
      </c>
      <c r="H12" s="78">
        <v>790.98599999999999</v>
      </c>
      <c r="I12" s="78">
        <v>7631.5470000000005</v>
      </c>
      <c r="J12" s="78">
        <v>16952.522000000001</v>
      </c>
      <c r="K12" s="78">
        <v>10800.157999999999</v>
      </c>
      <c r="L12" s="78">
        <v>36175.213000000003</v>
      </c>
      <c r="M12" s="78">
        <v>705.64699999999993</v>
      </c>
      <c r="N12" s="78">
        <v>3696.1720000000005</v>
      </c>
      <c r="O12" s="78">
        <v>59032.608</v>
      </c>
      <c r="P12" s="78">
        <v>792.09899999999993</v>
      </c>
      <c r="Q12" s="79">
        <v>64226.526000000005</v>
      </c>
      <c r="X12"/>
      <c r="Y12"/>
      <c r="Z12"/>
      <c r="AL12"/>
    </row>
    <row r="13" spans="2:41" x14ac:dyDescent="0.3">
      <c r="B13" s="95" t="s">
        <v>22</v>
      </c>
      <c r="C13" s="78">
        <v>5535.9080000000004</v>
      </c>
      <c r="D13" s="78">
        <v>5258.9740000000002</v>
      </c>
      <c r="E13" s="78">
        <v>6779.12</v>
      </c>
      <c r="F13" s="78">
        <v>8714.5190000000002</v>
      </c>
      <c r="G13" s="78">
        <v>26288.521000000001</v>
      </c>
      <c r="H13" s="78">
        <v>3716.444</v>
      </c>
      <c r="I13" s="78">
        <v>4132.165</v>
      </c>
      <c r="J13" s="78">
        <v>13373.201999999999</v>
      </c>
      <c r="K13" s="78">
        <v>4379.8</v>
      </c>
      <c r="L13" s="78">
        <v>25601.611000000001</v>
      </c>
      <c r="M13" s="78">
        <v>8922.2860000000001</v>
      </c>
      <c r="N13" s="78">
        <v>19105.985000000001</v>
      </c>
      <c r="O13" s="78">
        <v>7088.3</v>
      </c>
      <c r="P13" s="78">
        <v>11368.636</v>
      </c>
      <c r="Q13" s="79">
        <v>46485.207000000002</v>
      </c>
      <c r="X13"/>
      <c r="Y13"/>
      <c r="Z13"/>
      <c r="AL13"/>
    </row>
    <row r="14" spans="2:41" x14ac:dyDescent="0.3">
      <c r="B14" s="95" t="s">
        <v>18</v>
      </c>
      <c r="C14" s="78">
        <v>4173.97</v>
      </c>
      <c r="D14" s="78">
        <v>4173.97</v>
      </c>
      <c r="E14" s="78">
        <v>4176.6989999999996</v>
      </c>
      <c r="F14" s="78">
        <v>4176.6989999999996</v>
      </c>
      <c r="G14" s="78">
        <v>16701.338</v>
      </c>
      <c r="H14" s="78">
        <v>4538.8010000000004</v>
      </c>
      <c r="I14" s="78">
        <v>4538.8010000000004</v>
      </c>
      <c r="J14" s="78">
        <v>4538.8010000000004</v>
      </c>
      <c r="K14" s="78">
        <v>4538.8010000000004</v>
      </c>
      <c r="L14" s="78">
        <v>18155.204000000002</v>
      </c>
      <c r="M14" s="78">
        <v>7213.9309999999996</v>
      </c>
      <c r="N14" s="78">
        <v>7213.9309999999996</v>
      </c>
      <c r="O14" s="78">
        <v>7213.9309999999996</v>
      </c>
      <c r="P14" s="78">
        <v>7213.9309999999996</v>
      </c>
      <c r="Q14" s="79">
        <v>28855.723999999998</v>
      </c>
      <c r="X14"/>
      <c r="Y14"/>
      <c r="Z14"/>
      <c r="AL14"/>
    </row>
    <row r="15" spans="2:41" x14ac:dyDescent="0.3">
      <c r="B15" s="95" t="s">
        <v>23</v>
      </c>
      <c r="C15" s="78">
        <v>4773.9840000000004</v>
      </c>
      <c r="D15" s="78">
        <v>7400.1890000000003</v>
      </c>
      <c r="E15" s="78">
        <v>7147.8959999999997</v>
      </c>
      <c r="F15" s="78">
        <v>5467.7969999999996</v>
      </c>
      <c r="G15" s="78">
        <v>24789.865999999998</v>
      </c>
      <c r="H15" s="78">
        <v>4593.5749999999998</v>
      </c>
      <c r="I15" s="78">
        <v>7830.0309999999999</v>
      </c>
      <c r="J15" s="78">
        <v>8420.7199999999993</v>
      </c>
      <c r="K15" s="78">
        <v>8349.9860000000008</v>
      </c>
      <c r="L15" s="78">
        <v>29194.312000000002</v>
      </c>
      <c r="M15" s="78">
        <v>3896.8139999999999</v>
      </c>
      <c r="N15" s="78">
        <v>7661.3710000000001</v>
      </c>
      <c r="O15" s="78">
        <v>8227.1859999999997</v>
      </c>
      <c r="P15" s="78">
        <v>7566.82</v>
      </c>
      <c r="Q15" s="79">
        <v>27352.190999999999</v>
      </c>
      <c r="X15"/>
      <c r="Y15"/>
      <c r="Z15"/>
      <c r="AL15"/>
    </row>
    <row r="16" spans="2:41" x14ac:dyDescent="0.3">
      <c r="B16" s="95" t="s">
        <v>20</v>
      </c>
      <c r="C16" s="78">
        <v>4871.1480000000001</v>
      </c>
      <c r="D16" s="78">
        <v>5463.9210000000003</v>
      </c>
      <c r="E16" s="78">
        <v>4916.768</v>
      </c>
      <c r="F16" s="78">
        <v>3967.7240000000002</v>
      </c>
      <c r="G16" s="78">
        <v>19219.561000000002</v>
      </c>
      <c r="H16" s="78">
        <v>4980.7169999999996</v>
      </c>
      <c r="I16" s="78">
        <v>7027.0060000000003</v>
      </c>
      <c r="J16" s="78">
        <v>5561.1120000000001</v>
      </c>
      <c r="K16" s="78">
        <v>5884.3130000000001</v>
      </c>
      <c r="L16" s="78">
        <v>23453.148000000001</v>
      </c>
      <c r="M16" s="78">
        <v>4810.5889999999999</v>
      </c>
      <c r="N16" s="78">
        <v>9769.3330000000005</v>
      </c>
      <c r="O16" s="78">
        <v>6151.4470000000001</v>
      </c>
      <c r="P16" s="78">
        <v>6576.6440000000002</v>
      </c>
      <c r="Q16" s="79">
        <v>27308.012999999999</v>
      </c>
      <c r="X16"/>
      <c r="Y16"/>
      <c r="Z16"/>
      <c r="AL16"/>
    </row>
    <row r="17" spans="2:38" x14ac:dyDescent="0.3">
      <c r="B17" s="95" t="s">
        <v>196</v>
      </c>
      <c r="C17" s="78"/>
      <c r="D17" s="78">
        <v>14984.771000000001</v>
      </c>
      <c r="E17" s="78"/>
      <c r="F17" s="78"/>
      <c r="G17" s="78">
        <v>14984.771000000001</v>
      </c>
      <c r="H17" s="78"/>
      <c r="I17" s="78"/>
      <c r="J17" s="78">
        <v>16994.235000000001</v>
      </c>
      <c r="K17" s="78"/>
      <c r="L17" s="78">
        <v>16994.235000000001</v>
      </c>
      <c r="M17" s="78"/>
      <c r="N17" s="78"/>
      <c r="O17" s="78">
        <v>25477.518</v>
      </c>
      <c r="P17" s="78"/>
      <c r="Q17" s="79">
        <v>25477.518</v>
      </c>
      <c r="X17"/>
      <c r="Y17"/>
      <c r="Z17"/>
      <c r="AL17"/>
    </row>
    <row r="18" spans="2:38" x14ac:dyDescent="0.3">
      <c r="B18" s="95" t="s">
        <v>19</v>
      </c>
      <c r="C18" s="78">
        <v>10175.066999999999</v>
      </c>
      <c r="D18" s="78">
        <v>930</v>
      </c>
      <c r="E18" s="78">
        <v>2700</v>
      </c>
      <c r="F18" s="78"/>
      <c r="G18" s="78">
        <v>13805.066999999999</v>
      </c>
      <c r="H18" s="78">
        <v>31723.976999999999</v>
      </c>
      <c r="I18" s="78">
        <v>1140.48</v>
      </c>
      <c r="J18" s="78">
        <v>4855.6000000000004</v>
      </c>
      <c r="K18" s="78">
        <v>-1580</v>
      </c>
      <c r="L18" s="78">
        <v>36140.057000000001</v>
      </c>
      <c r="M18" s="78">
        <v>3616.51</v>
      </c>
      <c r="N18" s="78">
        <v>14950</v>
      </c>
      <c r="O18" s="78">
        <v>1028.9860000000001</v>
      </c>
      <c r="P18" s="78"/>
      <c r="Q18" s="79">
        <v>19595.496000000003</v>
      </c>
      <c r="X18"/>
      <c r="Y18"/>
      <c r="Z18"/>
      <c r="AL18"/>
    </row>
    <row r="19" spans="2:38" x14ac:dyDescent="0.3">
      <c r="B19" s="95" t="s">
        <v>202</v>
      </c>
      <c r="C19" s="78"/>
      <c r="D19" s="78"/>
      <c r="E19" s="78"/>
      <c r="F19" s="78"/>
      <c r="G19" s="78"/>
      <c r="H19" s="78"/>
      <c r="I19" s="78"/>
      <c r="J19" s="78"/>
      <c r="K19" s="78"/>
      <c r="L19" s="78"/>
      <c r="M19" s="78"/>
      <c r="N19" s="78">
        <v>14303</v>
      </c>
      <c r="O19" s="78"/>
      <c r="P19" s="78"/>
      <c r="Q19" s="79">
        <v>14303</v>
      </c>
      <c r="X19"/>
      <c r="Y19"/>
      <c r="Z19"/>
      <c r="AL19"/>
    </row>
    <row r="20" spans="2:38" x14ac:dyDescent="0.3">
      <c r="B20" s="95" t="s">
        <v>65</v>
      </c>
      <c r="C20" s="78">
        <v>4964.9489999999996</v>
      </c>
      <c r="D20" s="78">
        <v>1879.5530000000001</v>
      </c>
      <c r="E20" s="78">
        <v>5023.5439999999999</v>
      </c>
      <c r="F20" s="78">
        <v>2413.2759999999998</v>
      </c>
      <c r="G20" s="78">
        <v>14281.321999999998</v>
      </c>
      <c r="H20" s="78">
        <v>1373.498</v>
      </c>
      <c r="I20" s="78">
        <v>4317.4290000000001</v>
      </c>
      <c r="J20" s="78">
        <v>3866.52</v>
      </c>
      <c r="K20" s="78">
        <v>3930.6239999999998</v>
      </c>
      <c r="L20" s="78">
        <v>13488.071</v>
      </c>
      <c r="M20" s="78">
        <v>4228.5709999999999</v>
      </c>
      <c r="N20" s="78">
        <v>3116.8420000000001</v>
      </c>
      <c r="O20" s="78">
        <v>3864.297</v>
      </c>
      <c r="P20" s="78">
        <v>1341.9480000000001</v>
      </c>
      <c r="Q20" s="79">
        <v>12551.658000000001</v>
      </c>
      <c r="X20"/>
      <c r="Y20"/>
      <c r="Z20"/>
      <c r="AL20"/>
    </row>
    <row r="21" spans="2:38" x14ac:dyDescent="0.3">
      <c r="B21" s="95" t="s">
        <v>30</v>
      </c>
      <c r="C21" s="78">
        <v>2043.65</v>
      </c>
      <c r="D21" s="78">
        <v>3502.6590000000001</v>
      </c>
      <c r="E21" s="78">
        <v>1324.0609999999999</v>
      </c>
      <c r="F21" s="78">
        <v>4657.4049999999997</v>
      </c>
      <c r="G21" s="78">
        <v>11527.775</v>
      </c>
      <c r="H21" s="78">
        <v>320.3</v>
      </c>
      <c r="I21" s="78">
        <v>488.84699999999998</v>
      </c>
      <c r="J21" s="78">
        <v>9592.2209999999995</v>
      </c>
      <c r="K21" s="78">
        <v>44.075000000000003</v>
      </c>
      <c r="L21" s="78">
        <v>10445.442999999999</v>
      </c>
      <c r="M21" s="78">
        <v>705.5</v>
      </c>
      <c r="N21" s="78">
        <v>3369.6469999999999</v>
      </c>
      <c r="O21" s="78">
        <v>6298.4750000000004</v>
      </c>
      <c r="P21" s="78">
        <v>781.42700000000002</v>
      </c>
      <c r="Q21" s="79">
        <v>11155.048999999999</v>
      </c>
      <c r="X21"/>
      <c r="Y21"/>
      <c r="Z21"/>
      <c r="AL21"/>
    </row>
    <row r="22" spans="2:38" x14ac:dyDescent="0.3">
      <c r="B22" s="95" t="s">
        <v>27</v>
      </c>
      <c r="C22" s="78">
        <v>8952.3770000000004</v>
      </c>
      <c r="D22" s="78">
        <v>1843.0309999999999</v>
      </c>
      <c r="E22" s="78">
        <v>1535.6320000000001</v>
      </c>
      <c r="F22" s="78">
        <v>3136.1060000000002</v>
      </c>
      <c r="G22" s="78">
        <v>15467.145999999999</v>
      </c>
      <c r="H22" s="78">
        <v>1595.491</v>
      </c>
      <c r="I22" s="78">
        <v>2578.8040000000001</v>
      </c>
      <c r="J22" s="78">
        <v>2091.9499999999998</v>
      </c>
      <c r="K22" s="78">
        <v>1198.587</v>
      </c>
      <c r="L22" s="78">
        <v>7464.8320000000003</v>
      </c>
      <c r="M22" s="78">
        <v>611.1</v>
      </c>
      <c r="N22" s="78">
        <v>6302.5879999999997</v>
      </c>
      <c r="O22" s="78">
        <v>2606.4929999999999</v>
      </c>
      <c r="P22" s="78">
        <v>796.21</v>
      </c>
      <c r="Q22" s="79">
        <v>10316.391</v>
      </c>
      <c r="X22"/>
      <c r="Y22"/>
      <c r="Z22"/>
      <c r="AL22"/>
    </row>
    <row r="23" spans="2:38" x14ac:dyDescent="0.3">
      <c r="B23" s="95" t="s">
        <v>29</v>
      </c>
      <c r="C23" s="78">
        <v>150</v>
      </c>
      <c r="D23" s="78">
        <v>713.1</v>
      </c>
      <c r="E23" s="78">
        <v>150</v>
      </c>
      <c r="F23" s="78">
        <v>11642.031999999999</v>
      </c>
      <c r="G23" s="78">
        <v>12655.132</v>
      </c>
      <c r="H23" s="78">
        <v>150</v>
      </c>
      <c r="I23" s="78">
        <v>1049.4110000000001</v>
      </c>
      <c r="J23" s="78">
        <v>1150</v>
      </c>
      <c r="K23" s="78">
        <v>685</v>
      </c>
      <c r="L23" s="78">
        <v>3034.4110000000001</v>
      </c>
      <c r="M23" s="78"/>
      <c r="N23" s="78">
        <v>4015</v>
      </c>
      <c r="O23" s="78">
        <v>4685</v>
      </c>
      <c r="P23" s="78"/>
      <c r="Q23" s="79">
        <v>8700</v>
      </c>
      <c r="X23"/>
      <c r="Y23"/>
      <c r="Z23"/>
      <c r="AL23"/>
    </row>
    <row r="24" spans="2:38" x14ac:dyDescent="0.3">
      <c r="B24" s="95" t="s">
        <v>283</v>
      </c>
      <c r="C24" s="78"/>
      <c r="D24" s="78"/>
      <c r="E24" s="78"/>
      <c r="F24" s="78"/>
      <c r="G24" s="78"/>
      <c r="H24" s="78"/>
      <c r="I24" s="78"/>
      <c r="J24" s="78"/>
      <c r="K24" s="78"/>
      <c r="L24" s="78"/>
      <c r="M24" s="78"/>
      <c r="N24" s="78"/>
      <c r="O24" s="78"/>
      <c r="P24" s="78">
        <v>8657.6239999999998</v>
      </c>
      <c r="Q24" s="79">
        <v>8657.6239999999998</v>
      </c>
      <c r="X24"/>
      <c r="Y24"/>
      <c r="Z24"/>
      <c r="AL24"/>
    </row>
    <row r="25" spans="2:38" x14ac:dyDescent="0.3">
      <c r="B25" s="95" t="s">
        <v>197</v>
      </c>
      <c r="C25" s="78"/>
      <c r="D25" s="78">
        <v>4946.5320000000002</v>
      </c>
      <c r="E25" s="78"/>
      <c r="F25" s="78">
        <v>9584.2790000000005</v>
      </c>
      <c r="G25" s="78">
        <v>14530.811000000002</v>
      </c>
      <c r="H25" s="78"/>
      <c r="I25" s="78">
        <v>231.37</v>
      </c>
      <c r="J25" s="78"/>
      <c r="K25" s="78">
        <v>8240.277</v>
      </c>
      <c r="L25" s="78">
        <v>8471.6470000000008</v>
      </c>
      <c r="M25" s="78"/>
      <c r="N25" s="78"/>
      <c r="O25" s="78">
        <v>2460.576</v>
      </c>
      <c r="P25" s="78">
        <v>6140.335</v>
      </c>
      <c r="Q25" s="79">
        <v>8600.9110000000001</v>
      </c>
      <c r="X25"/>
      <c r="Y25"/>
      <c r="Z25"/>
      <c r="AL25"/>
    </row>
    <row r="26" spans="2:38" x14ac:dyDescent="0.3">
      <c r="B26" s="95" t="s">
        <v>28</v>
      </c>
      <c r="C26" s="78">
        <v>2476.3510000000001</v>
      </c>
      <c r="D26" s="78">
        <v>2688.8440000000001</v>
      </c>
      <c r="E26" s="78">
        <v>2609.2820000000002</v>
      </c>
      <c r="F26" s="78">
        <v>3110.7159999999999</v>
      </c>
      <c r="G26" s="78">
        <v>10885.192999999999</v>
      </c>
      <c r="H26" s="78">
        <v>398.15199999999999</v>
      </c>
      <c r="I26" s="78">
        <v>2846.15</v>
      </c>
      <c r="J26" s="78">
        <v>2386.6880000000001</v>
      </c>
      <c r="K26" s="78">
        <v>3493.2379999999998</v>
      </c>
      <c r="L26" s="78">
        <v>9124.2279999999992</v>
      </c>
      <c r="M26" s="78">
        <v>46.55</v>
      </c>
      <c r="N26" s="78">
        <v>1930.548</v>
      </c>
      <c r="O26" s="78">
        <v>2686.5079999999998</v>
      </c>
      <c r="P26" s="78">
        <v>3291.2240000000002</v>
      </c>
      <c r="Q26" s="79">
        <v>7954.83</v>
      </c>
      <c r="X26"/>
      <c r="Y26"/>
      <c r="Z26"/>
      <c r="AL26"/>
    </row>
    <row r="27" spans="2:38" x14ac:dyDescent="0.3">
      <c r="B27" s="95" t="s">
        <v>67</v>
      </c>
      <c r="C27" s="78">
        <v>2610.2869999999998</v>
      </c>
      <c r="D27" s="78">
        <v>2270.41</v>
      </c>
      <c r="E27" s="78">
        <v>1724.2080000000001</v>
      </c>
      <c r="F27" s="78">
        <v>1987.489</v>
      </c>
      <c r="G27" s="78">
        <v>8592.3940000000002</v>
      </c>
      <c r="H27" s="78">
        <v>632.91</v>
      </c>
      <c r="I27" s="78">
        <v>739.15</v>
      </c>
      <c r="J27" s="78">
        <v>4250.95</v>
      </c>
      <c r="K27" s="78">
        <v>526.85199999999998</v>
      </c>
      <c r="L27" s="78">
        <v>6149.8620000000001</v>
      </c>
      <c r="M27" s="78">
        <v>1088.0630000000001</v>
      </c>
      <c r="N27" s="78">
        <v>4188.3559999999998</v>
      </c>
      <c r="O27" s="78">
        <v>873.36699999999996</v>
      </c>
      <c r="P27" s="78">
        <v>1680.0429999999999</v>
      </c>
      <c r="Q27" s="79">
        <v>7829.8289999999997</v>
      </c>
      <c r="X27"/>
      <c r="Y27"/>
      <c r="Z27"/>
      <c r="AL27"/>
    </row>
    <row r="28" spans="2:38" x14ac:dyDescent="0.3">
      <c r="B28" s="95" t="s">
        <v>74</v>
      </c>
      <c r="C28" s="78">
        <v>654.04499999999996</v>
      </c>
      <c r="D28" s="78">
        <v>597.51700000000005</v>
      </c>
      <c r="E28" s="78">
        <v>597.72799999999995</v>
      </c>
      <c r="F28" s="78">
        <v>596.23500000000001</v>
      </c>
      <c r="G28" s="78">
        <v>2445.5250000000001</v>
      </c>
      <c r="H28" s="78">
        <v>825.798</v>
      </c>
      <c r="I28" s="78">
        <v>787.01</v>
      </c>
      <c r="J28" s="78">
        <v>862.14</v>
      </c>
      <c r="K28" s="78">
        <v>1816.23</v>
      </c>
      <c r="L28" s="78">
        <v>4291.1779999999999</v>
      </c>
      <c r="M28" s="78">
        <v>1561.837</v>
      </c>
      <c r="N28" s="78">
        <v>1472.2059999999999</v>
      </c>
      <c r="O28" s="78">
        <v>1758.8530000000001</v>
      </c>
      <c r="P28" s="78">
        <v>2892.636</v>
      </c>
      <c r="Q28" s="79">
        <v>7685.5319999999992</v>
      </c>
      <c r="X28"/>
      <c r="Y28"/>
      <c r="Z28"/>
      <c r="AL28"/>
    </row>
    <row r="29" spans="2:38" x14ac:dyDescent="0.3">
      <c r="B29" s="95" t="s">
        <v>62</v>
      </c>
      <c r="C29" s="78">
        <v>1675.6279999999999</v>
      </c>
      <c r="D29" s="78">
        <v>3763.64</v>
      </c>
      <c r="E29" s="78">
        <v>1758.42</v>
      </c>
      <c r="F29" s="78">
        <v>316.12799999999999</v>
      </c>
      <c r="G29" s="78">
        <v>7513.8159999999998</v>
      </c>
      <c r="H29" s="78">
        <v>292.72199999999998</v>
      </c>
      <c r="I29" s="78">
        <v>3906.5369999999998</v>
      </c>
      <c r="J29" s="78">
        <v>1730.462</v>
      </c>
      <c r="K29" s="78">
        <v>358.322</v>
      </c>
      <c r="L29" s="78">
        <v>6288.0429999999997</v>
      </c>
      <c r="M29" s="78">
        <v>999.779</v>
      </c>
      <c r="N29" s="78">
        <v>4125.0039999999999</v>
      </c>
      <c r="O29" s="78">
        <v>899.91600000000005</v>
      </c>
      <c r="P29" s="78">
        <v>1307.047</v>
      </c>
      <c r="Q29" s="79">
        <v>7331.7459999999992</v>
      </c>
      <c r="X29"/>
      <c r="Y29"/>
      <c r="Z29"/>
      <c r="AL29"/>
    </row>
    <row r="30" spans="2:38" x14ac:dyDescent="0.3">
      <c r="B30" s="95" t="s">
        <v>246</v>
      </c>
      <c r="C30" s="78"/>
      <c r="D30" s="78"/>
      <c r="E30" s="78"/>
      <c r="F30" s="78"/>
      <c r="G30" s="78"/>
      <c r="H30" s="78"/>
      <c r="I30" s="78"/>
      <c r="J30" s="78">
        <v>134.874</v>
      </c>
      <c r="K30" s="78"/>
      <c r="L30" s="78">
        <v>134.874</v>
      </c>
      <c r="M30" s="78"/>
      <c r="N30" s="78"/>
      <c r="O30" s="78">
        <v>151.85</v>
      </c>
      <c r="P30" s="78">
        <v>5500</v>
      </c>
      <c r="Q30" s="79">
        <v>5651.85</v>
      </c>
      <c r="X30"/>
      <c r="Y30"/>
      <c r="Z30"/>
      <c r="AL30"/>
    </row>
    <row r="31" spans="2:38" x14ac:dyDescent="0.3">
      <c r="B31" s="95" t="s">
        <v>209</v>
      </c>
      <c r="C31" s="78"/>
      <c r="D31" s="78"/>
      <c r="E31" s="78"/>
      <c r="F31" s="78"/>
      <c r="G31" s="78"/>
      <c r="H31" s="78"/>
      <c r="I31" s="78"/>
      <c r="J31" s="78"/>
      <c r="K31" s="78"/>
      <c r="L31" s="78"/>
      <c r="M31" s="78"/>
      <c r="N31" s="78">
        <v>2325.9</v>
      </c>
      <c r="O31" s="78"/>
      <c r="P31" s="78"/>
      <c r="Q31" s="79">
        <v>2325.9</v>
      </c>
      <c r="X31"/>
      <c r="Y31"/>
      <c r="Z31"/>
      <c r="AL31"/>
    </row>
    <row r="32" spans="2:38" x14ac:dyDescent="0.3">
      <c r="B32" s="95" t="s">
        <v>26</v>
      </c>
      <c r="C32" s="78">
        <v>250.018</v>
      </c>
      <c r="D32" s="78"/>
      <c r="E32" s="78">
        <v>78</v>
      </c>
      <c r="F32" s="78">
        <v>630</v>
      </c>
      <c r="G32" s="78">
        <v>958.01800000000003</v>
      </c>
      <c r="H32" s="78">
        <v>50</v>
      </c>
      <c r="I32" s="78">
        <v>90</v>
      </c>
      <c r="J32" s="78">
        <v>352.94099999999997</v>
      </c>
      <c r="K32" s="78"/>
      <c r="L32" s="78">
        <v>492.94099999999997</v>
      </c>
      <c r="M32" s="78"/>
      <c r="N32" s="78">
        <v>583</v>
      </c>
      <c r="O32" s="78">
        <v>480.084</v>
      </c>
      <c r="P32" s="78">
        <v>437</v>
      </c>
      <c r="Q32" s="79">
        <v>1500.0840000000001</v>
      </c>
      <c r="X32"/>
      <c r="Y32"/>
      <c r="Z32"/>
      <c r="AL32"/>
    </row>
    <row r="33" spans="2:38" x14ac:dyDescent="0.3">
      <c r="B33" s="95" t="s">
        <v>204</v>
      </c>
      <c r="C33" s="78"/>
      <c r="D33" s="78"/>
      <c r="E33" s="78"/>
      <c r="F33" s="78"/>
      <c r="G33" s="78"/>
      <c r="H33" s="78"/>
      <c r="I33" s="78"/>
      <c r="J33" s="78"/>
      <c r="K33" s="78"/>
      <c r="L33" s="78"/>
      <c r="M33" s="78"/>
      <c r="N33" s="78">
        <v>564</v>
      </c>
      <c r="O33" s="78"/>
      <c r="P33" s="78"/>
      <c r="Q33" s="79">
        <v>564</v>
      </c>
      <c r="X33"/>
      <c r="Y33"/>
      <c r="Z33"/>
      <c r="AL33"/>
    </row>
    <row r="34" spans="2:38" x14ac:dyDescent="0.3">
      <c r="B34" s="95" t="s">
        <v>147</v>
      </c>
      <c r="C34" s="78"/>
      <c r="D34" s="78"/>
      <c r="E34" s="78"/>
      <c r="F34" s="78"/>
      <c r="G34" s="78"/>
      <c r="H34" s="78"/>
      <c r="I34" s="78"/>
      <c r="J34" s="78"/>
      <c r="K34" s="78"/>
      <c r="L34" s="78"/>
      <c r="M34" s="78">
        <v>300</v>
      </c>
      <c r="N34" s="78"/>
      <c r="O34" s="78"/>
      <c r="P34" s="78"/>
      <c r="Q34" s="79">
        <v>300</v>
      </c>
      <c r="X34"/>
      <c r="Y34"/>
      <c r="Z34"/>
      <c r="AL34"/>
    </row>
    <row r="35" spans="2:38" x14ac:dyDescent="0.3">
      <c r="B35" s="95" t="s">
        <v>153</v>
      </c>
      <c r="C35" s="78"/>
      <c r="D35" s="78"/>
      <c r="E35" s="78"/>
      <c r="F35" s="78"/>
      <c r="G35" s="78"/>
      <c r="H35" s="78"/>
      <c r="I35" s="78"/>
      <c r="J35" s="78"/>
      <c r="K35" s="78"/>
      <c r="L35" s="78"/>
      <c r="M35" s="78">
        <v>71.900000000000006</v>
      </c>
      <c r="N35" s="78">
        <v>155</v>
      </c>
      <c r="O35" s="78">
        <v>19.5</v>
      </c>
      <c r="P35" s="78"/>
      <c r="Q35" s="79">
        <v>246.4</v>
      </c>
      <c r="X35"/>
      <c r="Y35"/>
      <c r="Z35"/>
      <c r="AL35"/>
    </row>
    <row r="36" spans="2:38" x14ac:dyDescent="0.3">
      <c r="B36" s="95" t="s">
        <v>24</v>
      </c>
      <c r="C36" s="78">
        <v>2960.4</v>
      </c>
      <c r="D36" s="78">
        <v>2511</v>
      </c>
      <c r="E36" s="78"/>
      <c r="F36" s="78">
        <v>1864.32</v>
      </c>
      <c r="G36" s="78">
        <v>7335.7199999999993</v>
      </c>
      <c r="H36" s="78"/>
      <c r="I36" s="78">
        <v>427.5</v>
      </c>
      <c r="J36" s="78"/>
      <c r="K36" s="78"/>
      <c r="L36" s="78">
        <v>427.5</v>
      </c>
      <c r="M36" s="78"/>
      <c r="N36" s="78">
        <v>56.25</v>
      </c>
      <c r="O36" s="78"/>
      <c r="P36" s="78"/>
      <c r="Q36" s="79">
        <v>56.25</v>
      </c>
      <c r="X36"/>
      <c r="Y36"/>
      <c r="Z36"/>
      <c r="AL36"/>
    </row>
    <row r="37" spans="2:38" x14ac:dyDescent="0.3">
      <c r="B37" s="95" t="s">
        <v>64</v>
      </c>
      <c r="C37" s="78">
        <v>619.98</v>
      </c>
      <c r="D37" s="78">
        <v>126.05</v>
      </c>
      <c r="E37" s="78"/>
      <c r="F37" s="78"/>
      <c r="G37" s="78">
        <v>746.03</v>
      </c>
      <c r="H37" s="78"/>
      <c r="I37" s="78"/>
      <c r="J37" s="78"/>
      <c r="K37" s="78"/>
      <c r="L37" s="78"/>
      <c r="M37" s="78"/>
      <c r="N37" s="78"/>
      <c r="O37" s="78"/>
      <c r="P37" s="78"/>
      <c r="Q37" s="79"/>
      <c r="X37"/>
      <c r="Y37"/>
      <c r="Z37"/>
      <c r="AL37"/>
    </row>
    <row r="38" spans="2:38" x14ac:dyDescent="0.3">
      <c r="B38" s="95" t="s">
        <v>198</v>
      </c>
      <c r="C38" s="78"/>
      <c r="D38" s="78"/>
      <c r="E38" s="78"/>
      <c r="F38" s="78">
        <v>454.387</v>
      </c>
      <c r="G38" s="78">
        <v>454.387</v>
      </c>
      <c r="H38" s="78"/>
      <c r="I38" s="78">
        <v>2089.7939999999999</v>
      </c>
      <c r="J38" s="78">
        <v>3888.3560000000002</v>
      </c>
      <c r="K38" s="78">
        <v>1444.9480000000001</v>
      </c>
      <c r="L38" s="78">
        <v>7423.098</v>
      </c>
      <c r="M38" s="78"/>
      <c r="N38" s="78"/>
      <c r="O38" s="78"/>
      <c r="P38" s="78"/>
      <c r="Q38" s="79"/>
      <c r="X38"/>
      <c r="Y38"/>
      <c r="Z38"/>
      <c r="AL38"/>
    </row>
    <row r="39" spans="2:38" x14ac:dyDescent="0.3">
      <c r="B39" s="95" t="s">
        <v>66</v>
      </c>
      <c r="C39" s="78">
        <v>33.526000000000003</v>
      </c>
      <c r="D39" s="78"/>
      <c r="E39" s="78"/>
      <c r="F39" s="78">
        <v>97.299000000000007</v>
      </c>
      <c r="G39" s="78">
        <v>130.82500000000002</v>
      </c>
      <c r="H39" s="78"/>
      <c r="I39" s="78"/>
      <c r="J39" s="78"/>
      <c r="K39" s="78"/>
      <c r="L39" s="78"/>
      <c r="M39" s="78"/>
      <c r="N39" s="78"/>
      <c r="O39" s="78"/>
      <c r="P39" s="78"/>
      <c r="Q39" s="79"/>
      <c r="X39"/>
      <c r="Y39"/>
      <c r="Z39"/>
      <c r="AL39"/>
    </row>
    <row r="40" spans="2:38" x14ac:dyDescent="0.3">
      <c r="B40" s="95" t="s">
        <v>56</v>
      </c>
      <c r="C40" s="78"/>
      <c r="D40" s="78"/>
      <c r="E40" s="78"/>
      <c r="F40" s="78"/>
      <c r="G40" s="78"/>
      <c r="H40" s="78">
        <v>2000</v>
      </c>
      <c r="I40" s="78"/>
      <c r="J40" s="78">
        <v>1400</v>
      </c>
      <c r="K40" s="78"/>
      <c r="L40" s="78">
        <v>3400</v>
      </c>
      <c r="M40" s="78"/>
      <c r="N40" s="78"/>
      <c r="O40" s="78"/>
      <c r="P40" s="78"/>
      <c r="Q40" s="79"/>
      <c r="X40"/>
      <c r="Y40"/>
      <c r="Z40"/>
      <c r="AL40"/>
    </row>
    <row r="41" spans="2:38" x14ac:dyDescent="0.3">
      <c r="B41" s="95" t="s">
        <v>281</v>
      </c>
      <c r="C41" s="78"/>
      <c r="D41" s="78"/>
      <c r="E41" s="78"/>
      <c r="F41" s="78">
        <v>378.15100000000001</v>
      </c>
      <c r="G41" s="78">
        <v>378.15100000000001</v>
      </c>
      <c r="H41" s="78"/>
      <c r="I41" s="78"/>
      <c r="J41" s="78"/>
      <c r="K41" s="78"/>
      <c r="L41" s="78"/>
      <c r="M41" s="78"/>
      <c r="N41" s="78"/>
      <c r="O41" s="78"/>
      <c r="P41" s="78"/>
      <c r="Q41" s="79"/>
      <c r="X41"/>
      <c r="Y41"/>
      <c r="Z41"/>
      <c r="AL41"/>
    </row>
    <row r="42" spans="2:38" x14ac:dyDescent="0.3">
      <c r="B42" s="95" t="s">
        <v>32</v>
      </c>
      <c r="C42" s="78"/>
      <c r="D42" s="78"/>
      <c r="E42" s="78">
        <v>2132.2640000000001</v>
      </c>
      <c r="F42" s="78"/>
      <c r="G42" s="78">
        <v>2132.2640000000001</v>
      </c>
      <c r="H42" s="78"/>
      <c r="I42" s="78"/>
      <c r="J42" s="78">
        <v>742.33299999999997</v>
      </c>
      <c r="K42" s="78"/>
      <c r="L42" s="78">
        <v>742.33299999999997</v>
      </c>
      <c r="M42" s="78"/>
      <c r="N42" s="78"/>
      <c r="O42" s="78"/>
      <c r="P42" s="78"/>
      <c r="Q42" s="79"/>
      <c r="X42"/>
      <c r="Y42"/>
      <c r="Z42"/>
      <c r="AL42"/>
    </row>
    <row r="43" spans="2:38" x14ac:dyDescent="0.3">
      <c r="B43" s="69" t="s">
        <v>36</v>
      </c>
      <c r="C43" s="86">
        <v>368729.61299999995</v>
      </c>
      <c r="D43" s="86">
        <v>405109.99600000004</v>
      </c>
      <c r="E43" s="86">
        <v>421058.01699999999</v>
      </c>
      <c r="F43" s="86">
        <v>403092.69199999992</v>
      </c>
      <c r="G43" s="86">
        <v>1597990.3179999997</v>
      </c>
      <c r="H43" s="86">
        <v>451270.11</v>
      </c>
      <c r="I43" s="86">
        <v>427312.52699999994</v>
      </c>
      <c r="J43" s="86">
        <v>498394.70800000004</v>
      </c>
      <c r="K43" s="86">
        <v>439753.08299999998</v>
      </c>
      <c r="L43" s="86">
        <v>1816730.4280000001</v>
      </c>
      <c r="M43" s="86">
        <v>458453.37599999999</v>
      </c>
      <c r="N43" s="86">
        <v>529392.33600000001</v>
      </c>
      <c r="O43" s="86">
        <v>539490.30799999996</v>
      </c>
      <c r="P43" s="86">
        <v>557994.576</v>
      </c>
      <c r="Q43" s="57">
        <v>2085330.5959999999</v>
      </c>
      <c r="X43"/>
      <c r="Y43"/>
      <c r="Z43"/>
      <c r="AL43"/>
    </row>
    <row r="44" spans="2:38" x14ac:dyDescent="0.3">
      <c r="B44" s="95" t="s">
        <v>63</v>
      </c>
      <c r="C44" s="78">
        <v>230176</v>
      </c>
      <c r="D44" s="78">
        <v>275486.5</v>
      </c>
      <c r="E44" s="78">
        <v>283536</v>
      </c>
      <c r="F44" s="78">
        <v>281924.15999999997</v>
      </c>
      <c r="G44" s="78">
        <v>1071122.6599999999</v>
      </c>
      <c r="H44" s="78">
        <v>274217</v>
      </c>
      <c r="I44" s="78">
        <v>292056.15999999997</v>
      </c>
      <c r="J44" s="78">
        <v>355869</v>
      </c>
      <c r="K44" s="78">
        <v>308511.13</v>
      </c>
      <c r="L44" s="78">
        <v>1230653.29</v>
      </c>
      <c r="M44" s="78">
        <v>333939.65000000002</v>
      </c>
      <c r="N44" s="78">
        <v>330918.03999999998</v>
      </c>
      <c r="O44" s="78">
        <v>385534.78</v>
      </c>
      <c r="P44" s="78">
        <v>404395.36</v>
      </c>
      <c r="Q44" s="79">
        <v>1454787.83</v>
      </c>
      <c r="X44"/>
      <c r="Y44"/>
      <c r="Z44"/>
      <c r="AL44"/>
    </row>
    <row r="45" spans="2:38" x14ac:dyDescent="0.3">
      <c r="B45" s="95" t="s">
        <v>5</v>
      </c>
      <c r="C45" s="78">
        <v>40413.692000000003</v>
      </c>
      <c r="D45" s="78">
        <v>46641.792999999998</v>
      </c>
      <c r="E45" s="78">
        <v>44124.947999999997</v>
      </c>
      <c r="F45" s="78">
        <v>42426.767</v>
      </c>
      <c r="G45" s="78">
        <v>173607.19999999998</v>
      </c>
      <c r="H45" s="78">
        <v>47733.381000000001</v>
      </c>
      <c r="I45" s="78">
        <v>52342.631999999998</v>
      </c>
      <c r="J45" s="78">
        <v>50534.004999999997</v>
      </c>
      <c r="K45" s="78">
        <v>50482.387999999999</v>
      </c>
      <c r="L45" s="78">
        <v>201092.40600000002</v>
      </c>
      <c r="M45" s="78">
        <v>45519.35</v>
      </c>
      <c r="N45" s="78">
        <v>50166.385000000002</v>
      </c>
      <c r="O45" s="78">
        <v>53674.421000000002</v>
      </c>
      <c r="P45" s="78">
        <v>45137.095999999998</v>
      </c>
      <c r="Q45" s="79">
        <v>194497.25200000001</v>
      </c>
      <c r="X45"/>
      <c r="Y45"/>
      <c r="Z45"/>
      <c r="AL45"/>
    </row>
    <row r="46" spans="2:38" x14ac:dyDescent="0.3">
      <c r="B46" s="95" t="s">
        <v>58</v>
      </c>
      <c r="C46" s="78">
        <v>37369</v>
      </c>
      <c r="D46" s="78">
        <v>17260.990000000002</v>
      </c>
      <c r="E46" s="78">
        <v>18595</v>
      </c>
      <c r="F46" s="78">
        <v>19506.57</v>
      </c>
      <c r="G46" s="78">
        <v>92731.56</v>
      </c>
      <c r="H46" s="78">
        <v>53338</v>
      </c>
      <c r="I46" s="78">
        <v>20977.65</v>
      </c>
      <c r="J46" s="78">
        <v>11399</v>
      </c>
      <c r="K46" s="78">
        <v>11249.35</v>
      </c>
      <c r="L46" s="78">
        <v>96964</v>
      </c>
      <c r="M46" s="78">
        <v>12583.86</v>
      </c>
      <c r="N46" s="78">
        <v>69286.850000000006</v>
      </c>
      <c r="O46" s="78">
        <v>13800.5</v>
      </c>
      <c r="P46" s="78">
        <v>13465.12</v>
      </c>
      <c r="Q46" s="79">
        <v>109136.33</v>
      </c>
      <c r="X46"/>
      <c r="Y46"/>
      <c r="Z46"/>
      <c r="AL46"/>
    </row>
    <row r="47" spans="2:38" x14ac:dyDescent="0.3">
      <c r="B47" s="95" t="s">
        <v>154</v>
      </c>
      <c r="C47" s="78">
        <v>12244.164999999999</v>
      </c>
      <c r="D47" s="78">
        <v>14800.4</v>
      </c>
      <c r="E47" s="78">
        <v>14335.4</v>
      </c>
      <c r="F47" s="78">
        <v>13043.002</v>
      </c>
      <c r="G47" s="78">
        <v>54422.966999999997</v>
      </c>
      <c r="H47" s="78">
        <v>13577.906999999999</v>
      </c>
      <c r="I47" s="78">
        <v>15526.159999999998</v>
      </c>
      <c r="J47" s="78">
        <v>17862.797999999999</v>
      </c>
      <c r="K47" s="78">
        <v>16850.295000000002</v>
      </c>
      <c r="L47" s="78">
        <v>63817.159999999989</v>
      </c>
      <c r="M47" s="78">
        <v>14920.662</v>
      </c>
      <c r="N47" s="78">
        <v>15491.936</v>
      </c>
      <c r="O47" s="78">
        <v>18096.276999999998</v>
      </c>
      <c r="P47" s="78">
        <v>16774.147000000001</v>
      </c>
      <c r="Q47" s="79">
        <v>65283.021999999997</v>
      </c>
      <c r="X47"/>
      <c r="Y47"/>
      <c r="Z47"/>
      <c r="AL47"/>
    </row>
    <row r="48" spans="2:38" x14ac:dyDescent="0.3">
      <c r="B48" s="95" t="s">
        <v>155</v>
      </c>
      <c r="C48" s="78">
        <v>19288.849999999999</v>
      </c>
      <c r="D48" s="78">
        <v>7367.6229999999996</v>
      </c>
      <c r="E48" s="78">
        <v>6759.3590000000004</v>
      </c>
      <c r="F48" s="78">
        <v>6511.9690000000001</v>
      </c>
      <c r="G48" s="78">
        <v>39927.800999999992</v>
      </c>
      <c r="H48" s="78">
        <v>21697.5</v>
      </c>
      <c r="I48" s="78">
        <v>7769.7049999999999</v>
      </c>
      <c r="J48" s="78">
        <v>7427.5240000000003</v>
      </c>
      <c r="K48" s="78">
        <v>7860.3890000000001</v>
      </c>
      <c r="L48" s="78">
        <v>44755.118000000002</v>
      </c>
      <c r="M48" s="78">
        <v>7263.549</v>
      </c>
      <c r="N48" s="78">
        <v>24915.5</v>
      </c>
      <c r="O48" s="78">
        <v>8575.4709999999995</v>
      </c>
      <c r="P48" s="78">
        <v>7155.3220000000001</v>
      </c>
      <c r="Q48" s="79">
        <v>47909.841999999997</v>
      </c>
      <c r="X48"/>
      <c r="Y48"/>
      <c r="Z48"/>
      <c r="AL48"/>
    </row>
    <row r="49" spans="2:38" x14ac:dyDescent="0.3">
      <c r="B49" s="95" t="s">
        <v>157</v>
      </c>
      <c r="C49" s="78">
        <v>9191.280999999999</v>
      </c>
      <c r="D49" s="78">
        <v>10819.09</v>
      </c>
      <c r="E49" s="78">
        <v>10237.219000000001</v>
      </c>
      <c r="F49" s="78">
        <v>9176.2180000000008</v>
      </c>
      <c r="G49" s="78">
        <v>39423.808000000005</v>
      </c>
      <c r="H49" s="78">
        <v>9978.3259999999991</v>
      </c>
      <c r="I49" s="78">
        <v>11026.511</v>
      </c>
      <c r="J49" s="78">
        <v>13455.981999999998</v>
      </c>
      <c r="K49" s="78">
        <v>11514.512999999999</v>
      </c>
      <c r="L49" s="78">
        <v>45975.331999999995</v>
      </c>
      <c r="M49" s="78">
        <v>10627</v>
      </c>
      <c r="N49" s="78">
        <v>10898.6</v>
      </c>
      <c r="O49" s="78">
        <v>13051.099999999999</v>
      </c>
      <c r="P49" s="78">
        <v>11964.8</v>
      </c>
      <c r="Q49" s="79">
        <v>46541.5</v>
      </c>
      <c r="X49"/>
      <c r="Y49"/>
      <c r="Z49"/>
      <c r="AL49"/>
    </row>
    <row r="50" spans="2:38" x14ac:dyDescent="0.3">
      <c r="B50" s="95" t="s">
        <v>6</v>
      </c>
      <c r="C50" s="78">
        <v>5460.2150000000001</v>
      </c>
      <c r="D50" s="78">
        <v>10874.111000000001</v>
      </c>
      <c r="E50" s="78">
        <v>8673.652</v>
      </c>
      <c r="F50" s="78">
        <v>5043.5519999999997</v>
      </c>
      <c r="G50" s="78">
        <v>30051.530000000002</v>
      </c>
      <c r="H50" s="78">
        <v>4804.82</v>
      </c>
      <c r="I50" s="78">
        <v>5137.0320000000002</v>
      </c>
      <c r="J50" s="78">
        <v>17916.919999999998</v>
      </c>
      <c r="K50" s="78">
        <v>10338.743</v>
      </c>
      <c r="L50" s="78">
        <v>38197.514999999999</v>
      </c>
      <c r="M50" s="78">
        <v>6131.0789999999997</v>
      </c>
      <c r="N50" s="78">
        <v>7311.067</v>
      </c>
      <c r="O50" s="78">
        <v>10485.587</v>
      </c>
      <c r="P50" s="78">
        <v>15617.788</v>
      </c>
      <c r="Q50" s="79">
        <v>39545.521000000001</v>
      </c>
      <c r="X50"/>
      <c r="Y50"/>
      <c r="Z50"/>
      <c r="AL50"/>
    </row>
    <row r="51" spans="2:38" x14ac:dyDescent="0.3">
      <c r="B51" s="95" t="s">
        <v>59</v>
      </c>
      <c r="C51" s="78">
        <v>4277</v>
      </c>
      <c r="D51" s="78">
        <v>5277</v>
      </c>
      <c r="E51" s="78">
        <v>5685</v>
      </c>
      <c r="F51" s="78">
        <v>5963.52</v>
      </c>
      <c r="G51" s="78">
        <v>21202.52</v>
      </c>
      <c r="H51" s="78">
        <v>5756</v>
      </c>
      <c r="I51" s="78">
        <v>6413.25</v>
      </c>
      <c r="J51" s="78">
        <v>6513</v>
      </c>
      <c r="K51" s="78">
        <v>6701.4</v>
      </c>
      <c r="L51" s="78">
        <v>25383.65</v>
      </c>
      <c r="M51" s="78">
        <v>9211.11</v>
      </c>
      <c r="N51" s="78"/>
      <c r="O51" s="78">
        <v>8221.16</v>
      </c>
      <c r="P51" s="78">
        <v>8021.37</v>
      </c>
      <c r="Q51" s="79">
        <v>25453.64</v>
      </c>
      <c r="X51"/>
      <c r="Y51"/>
      <c r="Z51"/>
      <c r="AL51"/>
    </row>
    <row r="52" spans="2:38" x14ac:dyDescent="0.3">
      <c r="B52" s="95" t="s">
        <v>8</v>
      </c>
      <c r="C52" s="78">
        <v>4766.7700000000004</v>
      </c>
      <c r="D52" s="78">
        <v>4914</v>
      </c>
      <c r="E52" s="78">
        <v>4645.6080000000002</v>
      </c>
      <c r="F52" s="78">
        <v>4482</v>
      </c>
      <c r="G52" s="78">
        <v>18808.378000000001</v>
      </c>
      <c r="H52" s="78">
        <v>6280</v>
      </c>
      <c r="I52" s="78">
        <v>6301.2730000000001</v>
      </c>
      <c r="J52" s="78">
        <v>6033.3339999999998</v>
      </c>
      <c r="K52" s="78">
        <v>6088.9849999999997</v>
      </c>
      <c r="L52" s="78">
        <v>24703.592000000001</v>
      </c>
      <c r="M52" s="78">
        <v>6443.2569999999996</v>
      </c>
      <c r="N52" s="78">
        <v>7099.21</v>
      </c>
      <c r="O52" s="78">
        <v>6061.3130000000001</v>
      </c>
      <c r="P52" s="78">
        <v>5513.308</v>
      </c>
      <c r="Q52" s="79">
        <v>25117.088</v>
      </c>
      <c r="X52"/>
      <c r="Y52"/>
      <c r="Z52"/>
      <c r="AL52"/>
    </row>
    <row r="53" spans="2:38" x14ac:dyDescent="0.3">
      <c r="B53" s="95" t="s">
        <v>10</v>
      </c>
      <c r="C53" s="78"/>
      <c r="D53" s="78"/>
      <c r="E53" s="78">
        <v>13992.212</v>
      </c>
      <c r="F53" s="78">
        <v>328.64100000000002</v>
      </c>
      <c r="G53" s="78">
        <v>14320.852999999999</v>
      </c>
      <c r="H53" s="78">
        <v>2037.69</v>
      </c>
      <c r="I53" s="78"/>
      <c r="J53" s="78"/>
      <c r="K53" s="78"/>
      <c r="L53" s="78">
        <v>2037.69</v>
      </c>
      <c r="M53" s="78">
        <v>1392.28</v>
      </c>
      <c r="N53" s="78"/>
      <c r="O53" s="78">
        <v>2888.64</v>
      </c>
      <c r="P53" s="78">
        <v>16363.5</v>
      </c>
      <c r="Q53" s="79">
        <v>20644.419999999998</v>
      </c>
      <c r="X53"/>
      <c r="Y53"/>
      <c r="Z53"/>
      <c r="AL53"/>
    </row>
    <row r="54" spans="2:38" x14ac:dyDescent="0.3">
      <c r="B54" s="95" t="s">
        <v>11</v>
      </c>
      <c r="C54" s="78">
        <v>447</v>
      </c>
      <c r="D54" s="78">
        <v>5402.3639999999996</v>
      </c>
      <c r="E54" s="78">
        <v>3589.674</v>
      </c>
      <c r="F54" s="78">
        <v>8641.9699999999993</v>
      </c>
      <c r="G54" s="78">
        <v>18081.008000000002</v>
      </c>
      <c r="H54" s="78">
        <v>4282.6930000000002</v>
      </c>
      <c r="I54" s="78">
        <v>3577.2689999999998</v>
      </c>
      <c r="J54" s="78">
        <v>6302.625</v>
      </c>
      <c r="K54" s="78">
        <v>4482.8019999999997</v>
      </c>
      <c r="L54" s="78">
        <v>18645.388999999999</v>
      </c>
      <c r="M54" s="78">
        <v>3234.694</v>
      </c>
      <c r="N54" s="78">
        <v>6067.1419999999998</v>
      </c>
      <c r="O54" s="78">
        <v>4679.8559999999998</v>
      </c>
      <c r="P54" s="78">
        <v>6039.951</v>
      </c>
      <c r="Q54" s="79">
        <v>20021.643</v>
      </c>
      <c r="X54"/>
      <c r="Y54"/>
      <c r="Z54"/>
      <c r="AL54"/>
    </row>
    <row r="55" spans="2:38" x14ac:dyDescent="0.3">
      <c r="B55" s="95" t="s">
        <v>60</v>
      </c>
      <c r="C55" s="78">
        <v>693</v>
      </c>
      <c r="D55" s="78">
        <v>2046</v>
      </c>
      <c r="E55" s="78">
        <v>1525</v>
      </c>
      <c r="F55" s="78">
        <v>1901.27</v>
      </c>
      <c r="G55" s="78">
        <v>6165.27</v>
      </c>
      <c r="H55" s="78">
        <v>3970</v>
      </c>
      <c r="I55" s="78">
        <v>902.87</v>
      </c>
      <c r="J55" s="78">
        <v>912</v>
      </c>
      <c r="K55" s="78">
        <v>2581.12</v>
      </c>
      <c r="L55" s="78">
        <v>8365.99</v>
      </c>
      <c r="M55" s="78">
        <v>4265.92</v>
      </c>
      <c r="N55" s="78">
        <v>1333.26</v>
      </c>
      <c r="O55" s="78">
        <v>2120.6799999999998</v>
      </c>
      <c r="P55" s="78">
        <v>1718.84</v>
      </c>
      <c r="Q55" s="79">
        <v>9438.7000000000007</v>
      </c>
      <c r="X55"/>
      <c r="Y55"/>
      <c r="Z55"/>
      <c r="AL55"/>
    </row>
    <row r="56" spans="2:38" x14ac:dyDescent="0.3">
      <c r="B56" s="95" t="s">
        <v>156</v>
      </c>
      <c r="C56" s="78">
        <v>1820.895</v>
      </c>
      <c r="D56" s="78">
        <v>2049.7260000000001</v>
      </c>
      <c r="E56" s="78">
        <v>2066.4630000000002</v>
      </c>
      <c r="F56" s="78">
        <v>1990.8309999999999</v>
      </c>
      <c r="G56" s="78">
        <v>7927.9150000000009</v>
      </c>
      <c r="H56" s="78">
        <v>2039.8430000000001</v>
      </c>
      <c r="I56" s="78">
        <v>2375.348</v>
      </c>
      <c r="J56" s="78">
        <v>2270.7370000000001</v>
      </c>
      <c r="K56" s="78">
        <v>2403.0680000000002</v>
      </c>
      <c r="L56" s="78">
        <v>9088.9959999999992</v>
      </c>
      <c r="M56" s="78">
        <v>2220.6019999999999</v>
      </c>
      <c r="N56" s="78">
        <v>2241.3629999999998</v>
      </c>
      <c r="O56" s="78">
        <v>2621.6860000000001</v>
      </c>
      <c r="P56" s="78">
        <v>2187.518</v>
      </c>
      <c r="Q56" s="79">
        <v>9271.1689999999999</v>
      </c>
      <c r="X56"/>
      <c r="Y56"/>
      <c r="Z56"/>
      <c r="AL56"/>
    </row>
    <row r="57" spans="2:38" x14ac:dyDescent="0.3">
      <c r="B57" s="95" t="s">
        <v>7</v>
      </c>
      <c r="C57" s="78">
        <v>835.98099999999999</v>
      </c>
      <c r="D57" s="78">
        <v>129.999</v>
      </c>
      <c r="E57" s="78">
        <v>756.66700000000003</v>
      </c>
      <c r="F57" s="78">
        <v>1430.002</v>
      </c>
      <c r="G57" s="78">
        <v>3152.6489999999999</v>
      </c>
      <c r="H57" s="78">
        <v>521.95000000000005</v>
      </c>
      <c r="I57" s="78">
        <v>1608.0170000000001</v>
      </c>
      <c r="J57" s="78">
        <v>1663.7829999999999</v>
      </c>
      <c r="K57" s="78">
        <v>521.95000000000005</v>
      </c>
      <c r="L57" s="78">
        <v>4315.7</v>
      </c>
      <c r="M57" s="78">
        <v>700.36300000000006</v>
      </c>
      <c r="N57" s="78">
        <v>2217.817</v>
      </c>
      <c r="O57" s="78">
        <v>1925.999</v>
      </c>
      <c r="P57" s="78">
        <v>3015.4560000000001</v>
      </c>
      <c r="Q57" s="79">
        <v>7859.6350000000002</v>
      </c>
      <c r="X57"/>
      <c r="Y57"/>
      <c r="Z57"/>
      <c r="AL57"/>
    </row>
    <row r="58" spans="2:38" x14ac:dyDescent="0.3">
      <c r="B58" s="95" t="s">
        <v>15</v>
      </c>
      <c r="C58" s="78"/>
      <c r="D58" s="78"/>
      <c r="E58" s="78"/>
      <c r="F58" s="78"/>
      <c r="G58" s="78"/>
      <c r="H58" s="78"/>
      <c r="I58" s="78"/>
      <c r="J58" s="78"/>
      <c r="K58" s="78"/>
      <c r="L58" s="78"/>
      <c r="M58" s="78"/>
      <c r="N58" s="78"/>
      <c r="O58" s="78">
        <v>6096.9719999999998</v>
      </c>
      <c r="P58" s="78"/>
      <c r="Q58" s="79">
        <v>6096.9719999999998</v>
      </c>
      <c r="X58"/>
      <c r="Y58"/>
      <c r="Z58"/>
      <c r="AL58"/>
    </row>
    <row r="59" spans="2:38" x14ac:dyDescent="0.3">
      <c r="B59" s="95" t="s">
        <v>32</v>
      </c>
      <c r="C59" s="78">
        <v>1702</v>
      </c>
      <c r="D59" s="78">
        <v>2040.4</v>
      </c>
      <c r="E59" s="78"/>
      <c r="F59" s="78">
        <v>357.22</v>
      </c>
      <c r="G59" s="78">
        <v>4099.62</v>
      </c>
      <c r="H59" s="78">
        <v>352</v>
      </c>
      <c r="I59" s="78">
        <v>1298.6500000000001</v>
      </c>
      <c r="J59" s="78"/>
      <c r="K59" s="78">
        <v>166.95</v>
      </c>
      <c r="L59" s="78">
        <v>1817.6000000000001</v>
      </c>
      <c r="M59" s="78"/>
      <c r="N59" s="78">
        <v>1040.06</v>
      </c>
      <c r="O59" s="78">
        <v>1655.866</v>
      </c>
      <c r="P59" s="78">
        <v>625</v>
      </c>
      <c r="Q59" s="79">
        <v>3320.9259999999999</v>
      </c>
      <c r="X59"/>
      <c r="Y59"/>
      <c r="Z59"/>
      <c r="AL59"/>
    </row>
    <row r="60" spans="2:38" x14ac:dyDescent="0.3">
      <c r="B60" s="95" t="s">
        <v>25</v>
      </c>
      <c r="C60" s="78"/>
      <c r="D60" s="78"/>
      <c r="E60" s="78">
        <v>2427</v>
      </c>
      <c r="F60" s="78"/>
      <c r="G60" s="78">
        <v>2427</v>
      </c>
      <c r="H60" s="78">
        <v>533</v>
      </c>
      <c r="I60" s="78"/>
      <c r="J60" s="78">
        <v>234</v>
      </c>
      <c r="K60" s="78"/>
      <c r="L60" s="78">
        <v>767</v>
      </c>
      <c r="M60" s="78"/>
      <c r="N60" s="78">
        <v>405.10599999999999</v>
      </c>
      <c r="O60" s="78"/>
      <c r="P60" s="78"/>
      <c r="Q60" s="79">
        <v>405.10599999999999</v>
      </c>
      <c r="X60"/>
      <c r="Y60"/>
      <c r="Z60"/>
      <c r="AL60"/>
    </row>
    <row r="61" spans="2:38" x14ac:dyDescent="0.3">
      <c r="B61" s="95" t="s">
        <v>9</v>
      </c>
      <c r="C61" s="78"/>
      <c r="D61" s="78"/>
      <c r="E61" s="78"/>
      <c r="F61" s="78">
        <v>365</v>
      </c>
      <c r="G61" s="78">
        <v>365</v>
      </c>
      <c r="H61" s="78">
        <v>150</v>
      </c>
      <c r="I61" s="78"/>
      <c r="J61" s="78"/>
      <c r="K61" s="78"/>
      <c r="L61" s="78">
        <v>150</v>
      </c>
      <c r="M61" s="78"/>
      <c r="N61" s="78"/>
      <c r="O61" s="78"/>
      <c r="P61" s="78"/>
      <c r="Q61" s="79"/>
      <c r="X61"/>
      <c r="Y61"/>
      <c r="Z61"/>
      <c r="AL61"/>
    </row>
    <row r="62" spans="2:38" x14ac:dyDescent="0.3">
      <c r="B62" s="95" t="s">
        <v>12</v>
      </c>
      <c r="C62" s="78">
        <v>43.764000000000003</v>
      </c>
      <c r="D62" s="78"/>
      <c r="E62" s="78">
        <v>108.815</v>
      </c>
      <c r="F62" s="78"/>
      <c r="G62" s="78">
        <v>152.57900000000001</v>
      </c>
      <c r="H62" s="78"/>
      <c r="I62" s="78"/>
      <c r="J62" s="78"/>
      <c r="K62" s="78"/>
      <c r="L62" s="78"/>
      <c r="M62" s="78"/>
      <c r="N62" s="78"/>
      <c r="O62" s="78"/>
      <c r="P62" s="78"/>
      <c r="Q62" s="79"/>
      <c r="X62"/>
      <c r="Y62"/>
      <c r="Z62"/>
      <c r="AL62"/>
    </row>
    <row r="63" spans="2:38" x14ac:dyDescent="0.3">
      <c r="B63" s="69" t="s">
        <v>37</v>
      </c>
      <c r="C63" s="86">
        <v>199437.61200000002</v>
      </c>
      <c r="D63" s="86">
        <v>181135.13899999997</v>
      </c>
      <c r="E63" s="86">
        <v>208860.80300000001</v>
      </c>
      <c r="F63" s="86">
        <v>276168.00900000002</v>
      </c>
      <c r="G63" s="86">
        <v>865601.56300000008</v>
      </c>
      <c r="H63" s="86">
        <v>198850.43099999998</v>
      </c>
      <c r="I63" s="86">
        <v>211303.59899999999</v>
      </c>
      <c r="J63" s="86">
        <v>194477.93199999997</v>
      </c>
      <c r="K63" s="86">
        <v>189773.03999999998</v>
      </c>
      <c r="L63" s="86">
        <v>794405.00199999998</v>
      </c>
      <c r="M63" s="86">
        <v>205974.06299999997</v>
      </c>
      <c r="N63" s="86">
        <v>251211.266</v>
      </c>
      <c r="O63" s="86">
        <v>270162.23399999994</v>
      </c>
      <c r="P63" s="86">
        <v>261775.04900000006</v>
      </c>
      <c r="Q63" s="57">
        <v>989122.61200000008</v>
      </c>
      <c r="X63"/>
      <c r="Y63"/>
      <c r="Z63"/>
      <c r="AL63"/>
    </row>
    <row r="64" spans="2:38" x14ac:dyDescent="0.3">
      <c r="B64" s="95" t="s">
        <v>5</v>
      </c>
      <c r="C64" s="78">
        <v>61673.5</v>
      </c>
      <c r="D64" s="78">
        <v>67606.968999999997</v>
      </c>
      <c r="E64" s="78">
        <v>72932.332999999999</v>
      </c>
      <c r="F64" s="78">
        <v>67712.232999999993</v>
      </c>
      <c r="G64" s="78">
        <v>269925.03499999997</v>
      </c>
      <c r="H64" s="78">
        <v>64912.9</v>
      </c>
      <c r="I64" s="78">
        <v>75526.232999999993</v>
      </c>
      <c r="J64" s="78">
        <v>83693.645999999993</v>
      </c>
      <c r="K64" s="78">
        <v>75666.53</v>
      </c>
      <c r="L64" s="78">
        <v>299799.30900000001</v>
      </c>
      <c r="M64" s="78">
        <v>71018.971000000005</v>
      </c>
      <c r="N64" s="78">
        <v>75219.213000000003</v>
      </c>
      <c r="O64" s="78">
        <v>97262.471000000005</v>
      </c>
      <c r="P64" s="78">
        <v>87772.767000000007</v>
      </c>
      <c r="Q64" s="79">
        <v>331273.42200000002</v>
      </c>
      <c r="X64"/>
      <c r="Y64"/>
      <c r="Z64"/>
      <c r="AL64"/>
    </row>
    <row r="65" spans="2:38" x14ac:dyDescent="0.3">
      <c r="B65" s="95" t="s">
        <v>63</v>
      </c>
      <c r="C65" s="78">
        <v>50475</v>
      </c>
      <c r="D65" s="78">
        <v>53601.087999999989</v>
      </c>
      <c r="E65" s="78">
        <v>57137.67300000001</v>
      </c>
      <c r="F65" s="78">
        <v>50050.434999999998</v>
      </c>
      <c r="G65" s="78">
        <v>211264.196</v>
      </c>
      <c r="H65" s="78">
        <v>43454</v>
      </c>
      <c r="I65" s="78">
        <v>48544.241000000038</v>
      </c>
      <c r="J65" s="78">
        <v>41032.027000000002</v>
      </c>
      <c r="K65" s="78">
        <v>44356.923999999999</v>
      </c>
      <c r="L65" s="78">
        <v>177387.19200000004</v>
      </c>
      <c r="M65" s="78">
        <v>60476.81</v>
      </c>
      <c r="N65" s="78">
        <v>65755.749000000011</v>
      </c>
      <c r="O65" s="78">
        <v>82550.884999999951</v>
      </c>
      <c r="P65" s="78">
        <v>84147.524000000034</v>
      </c>
      <c r="Q65" s="79">
        <v>292930.96799999999</v>
      </c>
      <c r="X65"/>
      <c r="Y65"/>
      <c r="Z65"/>
      <c r="AL65"/>
    </row>
    <row r="66" spans="2:38" x14ac:dyDescent="0.3">
      <c r="B66" s="95" t="s">
        <v>154</v>
      </c>
      <c r="C66" s="78">
        <v>15801.973</v>
      </c>
      <c r="D66" s="78">
        <v>17758.457000000002</v>
      </c>
      <c r="E66" s="78">
        <v>19326.982</v>
      </c>
      <c r="F66" s="78">
        <v>17575.899000000001</v>
      </c>
      <c r="G66" s="78">
        <v>70463.311000000002</v>
      </c>
      <c r="H66" s="78">
        <v>17275.052</v>
      </c>
      <c r="I66" s="78">
        <v>18732.718999999997</v>
      </c>
      <c r="J66" s="78">
        <v>21481.719000000001</v>
      </c>
      <c r="K66" s="78">
        <v>20761.990999999998</v>
      </c>
      <c r="L66" s="78">
        <v>78251.480999999985</v>
      </c>
      <c r="M66" s="78">
        <v>20423.039000000004</v>
      </c>
      <c r="N66" s="78">
        <v>21022.197</v>
      </c>
      <c r="O66" s="78">
        <v>25333.158999999996</v>
      </c>
      <c r="P66" s="78">
        <v>24618.034000000003</v>
      </c>
      <c r="Q66" s="79">
        <v>91396.429000000004</v>
      </c>
      <c r="X66"/>
      <c r="Y66"/>
      <c r="Z66"/>
      <c r="AL66"/>
    </row>
    <row r="67" spans="2:38" x14ac:dyDescent="0.3">
      <c r="B67" s="95" t="s">
        <v>155</v>
      </c>
      <c r="C67" s="78">
        <v>31181</v>
      </c>
      <c r="D67" s="78">
        <v>9714.23</v>
      </c>
      <c r="E67" s="78">
        <v>10468.050999999999</v>
      </c>
      <c r="F67" s="78">
        <v>9593.9310000000005</v>
      </c>
      <c r="G67" s="78">
        <v>60957.212</v>
      </c>
      <c r="H67" s="78">
        <v>31745.4</v>
      </c>
      <c r="I67" s="78">
        <v>20551.545999999998</v>
      </c>
      <c r="J67" s="78">
        <v>11915.815000000001</v>
      </c>
      <c r="K67" s="78">
        <v>11777.632</v>
      </c>
      <c r="L67" s="78">
        <v>75990.392999999996</v>
      </c>
      <c r="M67" s="78">
        <v>11209.373</v>
      </c>
      <c r="N67" s="78">
        <v>40906.256000000001</v>
      </c>
      <c r="O67" s="78">
        <v>14512.39</v>
      </c>
      <c r="P67" s="78">
        <v>13710.243</v>
      </c>
      <c r="Q67" s="79">
        <v>80338.262000000002</v>
      </c>
      <c r="X67"/>
      <c r="Y67"/>
      <c r="Z67"/>
      <c r="AL67"/>
    </row>
    <row r="68" spans="2:38" x14ac:dyDescent="0.3">
      <c r="B68" s="95" t="s">
        <v>157</v>
      </c>
      <c r="C68" s="78">
        <v>11574.085999999999</v>
      </c>
      <c r="D68" s="78">
        <v>15324.692000000001</v>
      </c>
      <c r="E68" s="78">
        <v>16936.356</v>
      </c>
      <c r="F68" s="78">
        <v>15951.954000000002</v>
      </c>
      <c r="G68" s="78">
        <v>59787.088000000003</v>
      </c>
      <c r="H68" s="78">
        <v>13340.032999999999</v>
      </c>
      <c r="I68" s="78">
        <v>16734.031999999999</v>
      </c>
      <c r="J68" s="78">
        <v>18771.743999999999</v>
      </c>
      <c r="K68" s="78">
        <v>17929.735999999997</v>
      </c>
      <c r="L68" s="78">
        <v>66775.544999999984</v>
      </c>
      <c r="M68" s="78">
        <v>15534.199999999999</v>
      </c>
      <c r="N68" s="78">
        <v>15995.199999999999</v>
      </c>
      <c r="O68" s="78">
        <v>19210.3</v>
      </c>
      <c r="P68" s="78">
        <v>18978.349999999999</v>
      </c>
      <c r="Q68" s="79">
        <v>69718.049999999988</v>
      </c>
      <c r="X68"/>
      <c r="Y68"/>
      <c r="Z68"/>
      <c r="AL68"/>
    </row>
    <row r="69" spans="2:38" x14ac:dyDescent="0.3">
      <c r="B69" s="95" t="s">
        <v>58</v>
      </c>
      <c r="C69" s="78">
        <v>9812</v>
      </c>
      <c r="D69" s="78">
        <v>3793.0459999999985</v>
      </c>
      <c r="E69" s="78">
        <v>3898.107</v>
      </c>
      <c r="F69" s="78">
        <v>3525.5109999999986</v>
      </c>
      <c r="G69" s="78">
        <v>21028.663999999997</v>
      </c>
      <c r="H69" s="78">
        <v>9985</v>
      </c>
      <c r="I69" s="78">
        <v>3783.4349999999977</v>
      </c>
      <c r="J69" s="78">
        <v>1449.4069999999992</v>
      </c>
      <c r="K69" s="78">
        <v>3200.7610000000004</v>
      </c>
      <c r="L69" s="78">
        <v>18418.602999999996</v>
      </c>
      <c r="M69" s="78">
        <v>5815.6179999999986</v>
      </c>
      <c r="N69" s="78">
        <v>14991.708999999988</v>
      </c>
      <c r="O69" s="78">
        <v>6075.6620000000003</v>
      </c>
      <c r="P69" s="78">
        <v>5514.8039999999983</v>
      </c>
      <c r="Q69" s="79">
        <v>32397.792999999983</v>
      </c>
      <c r="X69"/>
      <c r="Y69"/>
      <c r="Z69"/>
      <c r="AL69"/>
    </row>
    <row r="70" spans="2:38" x14ac:dyDescent="0.3">
      <c r="B70" s="95" t="s">
        <v>6</v>
      </c>
      <c r="C70" s="78">
        <v>2108.8890000000001</v>
      </c>
      <c r="D70" s="78">
        <v>3958.0070000000001</v>
      </c>
      <c r="E70" s="78">
        <v>5275.69</v>
      </c>
      <c r="F70" s="78">
        <v>2743.34</v>
      </c>
      <c r="G70" s="78">
        <v>14085.925999999999</v>
      </c>
      <c r="H70" s="78">
        <v>2943.0680000000002</v>
      </c>
      <c r="I70" s="78">
        <v>2692.078</v>
      </c>
      <c r="J70" s="78">
        <v>7033.9129999999996</v>
      </c>
      <c r="K70" s="78">
        <v>5062.7359999999999</v>
      </c>
      <c r="L70" s="78">
        <v>17731.795000000002</v>
      </c>
      <c r="M70" s="78">
        <v>3032.3910000000001</v>
      </c>
      <c r="N70" s="78">
        <v>5693.04</v>
      </c>
      <c r="O70" s="78">
        <v>5856.0510000000004</v>
      </c>
      <c r="P70" s="78">
        <v>8744.1419999999998</v>
      </c>
      <c r="Q70" s="79">
        <v>23325.624</v>
      </c>
      <c r="X70"/>
      <c r="Y70"/>
      <c r="Z70"/>
      <c r="AL70"/>
    </row>
    <row r="71" spans="2:38" x14ac:dyDescent="0.3">
      <c r="B71" s="95" t="s">
        <v>156</v>
      </c>
      <c r="C71" s="78">
        <v>2694.7359999999999</v>
      </c>
      <c r="D71" s="78">
        <v>2969.8220000000001</v>
      </c>
      <c r="E71" s="78">
        <v>3200.277</v>
      </c>
      <c r="F71" s="78">
        <v>2988.7</v>
      </c>
      <c r="G71" s="78">
        <v>11853.535</v>
      </c>
      <c r="H71" s="78">
        <v>2898.4839999999999</v>
      </c>
      <c r="I71" s="78">
        <v>3171.2350000000001</v>
      </c>
      <c r="J71" s="78">
        <v>3490.0279999999998</v>
      </c>
      <c r="K71" s="78">
        <v>3447.7829999999999</v>
      </c>
      <c r="L71" s="78">
        <v>13007.529999999999</v>
      </c>
      <c r="M71" s="78">
        <v>3426.9140000000002</v>
      </c>
      <c r="N71" s="78">
        <v>3413.6010000000001</v>
      </c>
      <c r="O71" s="78">
        <v>4192.13</v>
      </c>
      <c r="P71" s="78">
        <v>3946.902</v>
      </c>
      <c r="Q71" s="79">
        <v>14979.547</v>
      </c>
      <c r="X71"/>
      <c r="Y71"/>
      <c r="Z71"/>
      <c r="AL71"/>
    </row>
    <row r="72" spans="2:38" x14ac:dyDescent="0.3">
      <c r="B72" s="95" t="s">
        <v>14</v>
      </c>
      <c r="C72" s="78">
        <v>1776.6</v>
      </c>
      <c r="D72" s="78">
        <v>1755</v>
      </c>
      <c r="E72" s="78">
        <v>1641.6</v>
      </c>
      <c r="F72" s="78">
        <v>1722.6</v>
      </c>
      <c r="G72" s="78">
        <v>6895.7999999999993</v>
      </c>
      <c r="H72" s="78">
        <v>2600.0010000000002</v>
      </c>
      <c r="I72" s="78">
        <v>2587.6</v>
      </c>
      <c r="J72" s="78">
        <v>2400</v>
      </c>
      <c r="K72" s="78">
        <v>2246.6669999999999</v>
      </c>
      <c r="L72" s="78">
        <v>9834.268</v>
      </c>
      <c r="M72" s="78">
        <v>3653.395</v>
      </c>
      <c r="N72" s="78">
        <v>3968.915</v>
      </c>
      <c r="O72" s="78">
        <v>3628.4839999999999</v>
      </c>
      <c r="P72" s="78">
        <v>3512.241</v>
      </c>
      <c r="Q72" s="79">
        <v>14763.035</v>
      </c>
      <c r="X72"/>
      <c r="Y72"/>
      <c r="Z72"/>
      <c r="AL72"/>
    </row>
    <row r="73" spans="2:38" x14ac:dyDescent="0.3">
      <c r="B73" s="95" t="s">
        <v>16</v>
      </c>
      <c r="C73" s="78"/>
      <c r="D73" s="78"/>
      <c r="E73" s="78"/>
      <c r="F73" s="78">
        <v>110</v>
      </c>
      <c r="G73" s="78">
        <v>110</v>
      </c>
      <c r="H73" s="78"/>
      <c r="I73" s="78">
        <v>14191.418</v>
      </c>
      <c r="J73" s="78">
        <v>608.78800000000001</v>
      </c>
      <c r="K73" s="78">
        <v>555.48</v>
      </c>
      <c r="L73" s="78">
        <v>15355.686</v>
      </c>
      <c r="M73" s="78">
        <v>5504.12</v>
      </c>
      <c r="N73" s="78"/>
      <c r="O73" s="78">
        <v>2000</v>
      </c>
      <c r="P73" s="78">
        <v>171.4</v>
      </c>
      <c r="Q73" s="79">
        <v>7675.5199999999995</v>
      </c>
      <c r="X73"/>
      <c r="Y73"/>
      <c r="Z73"/>
      <c r="AL73"/>
    </row>
    <row r="74" spans="2:38" x14ac:dyDescent="0.3">
      <c r="B74" s="95" t="s">
        <v>10</v>
      </c>
      <c r="C74" s="78">
        <v>2376.3679999999999</v>
      </c>
      <c r="D74" s="78"/>
      <c r="E74" s="78">
        <v>2993.8380000000002</v>
      </c>
      <c r="F74" s="78">
        <v>535.38499999999999</v>
      </c>
      <c r="G74" s="78">
        <v>5905.5910000000003</v>
      </c>
      <c r="H74" s="78">
        <v>101.214</v>
      </c>
      <c r="I74" s="78">
        <v>118.48699999999999</v>
      </c>
      <c r="J74" s="78"/>
      <c r="K74" s="78">
        <v>585.51800000000003</v>
      </c>
      <c r="L74" s="78">
        <v>805.21900000000005</v>
      </c>
      <c r="M74" s="78">
        <v>84.034000000000006</v>
      </c>
      <c r="N74" s="78"/>
      <c r="O74" s="78">
        <v>849.6</v>
      </c>
      <c r="P74" s="78">
        <v>5657.8</v>
      </c>
      <c r="Q74" s="79">
        <v>6591.4340000000002</v>
      </c>
      <c r="X74"/>
      <c r="Y74"/>
      <c r="Z74"/>
      <c r="AL74"/>
    </row>
    <row r="75" spans="2:38" x14ac:dyDescent="0.3">
      <c r="B75" s="95" t="s">
        <v>13</v>
      </c>
      <c r="C75" s="78">
        <v>650</v>
      </c>
      <c r="D75" s="78">
        <v>1300</v>
      </c>
      <c r="E75" s="78">
        <v>1300</v>
      </c>
      <c r="F75" s="78">
        <v>1300</v>
      </c>
      <c r="G75" s="78">
        <v>4550</v>
      </c>
      <c r="H75" s="78">
        <v>711.75</v>
      </c>
      <c r="I75" s="78">
        <v>711.75</v>
      </c>
      <c r="J75" s="78"/>
      <c r="K75" s="78">
        <v>142.35</v>
      </c>
      <c r="L75" s="78">
        <v>1565.85</v>
      </c>
      <c r="M75" s="78">
        <v>1050.5440000000001</v>
      </c>
      <c r="N75" s="78">
        <v>1750.9059999999999</v>
      </c>
      <c r="O75" s="78">
        <v>1750.9059999999999</v>
      </c>
      <c r="P75" s="78">
        <v>1692.5419999999999</v>
      </c>
      <c r="Q75" s="79">
        <v>6244.8979999999992</v>
      </c>
      <c r="X75"/>
      <c r="Y75"/>
      <c r="Z75"/>
      <c r="AL75"/>
    </row>
    <row r="76" spans="2:38" x14ac:dyDescent="0.3">
      <c r="B76" s="95" t="s">
        <v>59</v>
      </c>
      <c r="C76" s="78">
        <v>1118</v>
      </c>
      <c r="D76" s="78">
        <v>1159.6090000000004</v>
      </c>
      <c r="E76" s="78">
        <v>1191.558</v>
      </c>
      <c r="F76" s="78">
        <v>1077.8139999999994</v>
      </c>
      <c r="G76" s="78">
        <v>4546.9809999999998</v>
      </c>
      <c r="H76" s="78">
        <v>1038</v>
      </c>
      <c r="I76" s="78">
        <v>1156.6710000000003</v>
      </c>
      <c r="J76" s="78">
        <v>828.94599999999991</v>
      </c>
      <c r="K76" s="78">
        <v>978.53099999999995</v>
      </c>
      <c r="L76" s="78">
        <v>4002.1480000000001</v>
      </c>
      <c r="M76" s="78">
        <v>1785.0169999999998</v>
      </c>
      <c r="N76" s="78"/>
      <c r="O76" s="78">
        <v>1857.4390000000003</v>
      </c>
      <c r="P76" s="78">
        <v>1989.6320000000005</v>
      </c>
      <c r="Q76" s="79">
        <v>5632.0880000000006</v>
      </c>
      <c r="X76"/>
      <c r="Y76"/>
      <c r="Z76"/>
      <c r="AL76"/>
    </row>
    <row r="77" spans="2:38" x14ac:dyDescent="0.3">
      <c r="B77" s="95" t="s">
        <v>60</v>
      </c>
      <c r="C77" s="78">
        <v>348.07400000000007</v>
      </c>
      <c r="D77" s="78">
        <v>172.53400000000011</v>
      </c>
      <c r="E77" s="78">
        <v>241.25399999999991</v>
      </c>
      <c r="F77" s="78">
        <v>55.799999999999955</v>
      </c>
      <c r="G77" s="78">
        <v>817.66200000000003</v>
      </c>
      <c r="H77" s="78">
        <v>594.68000000000029</v>
      </c>
      <c r="I77" s="78">
        <v>128.59599999999989</v>
      </c>
      <c r="J77" s="78">
        <v>521.30600000000004</v>
      </c>
      <c r="K77" s="78">
        <v>636.61000000000013</v>
      </c>
      <c r="L77" s="78">
        <v>1881.1920000000005</v>
      </c>
      <c r="M77" s="78">
        <v>2352.8310000000001</v>
      </c>
      <c r="N77" s="78">
        <v>637.02400000000011</v>
      </c>
      <c r="O77" s="78">
        <v>260.06400000000031</v>
      </c>
      <c r="P77" s="78">
        <v>155.70800000000008</v>
      </c>
      <c r="Q77" s="79">
        <v>3405.6270000000009</v>
      </c>
      <c r="X77"/>
      <c r="Y77"/>
      <c r="Z77"/>
      <c r="AL77"/>
    </row>
    <row r="78" spans="2:38" x14ac:dyDescent="0.3">
      <c r="B78" s="95" t="s">
        <v>15</v>
      </c>
      <c r="C78" s="78">
        <v>7744.3509999999997</v>
      </c>
      <c r="D78" s="78"/>
      <c r="E78" s="78"/>
      <c r="F78" s="78">
        <v>99066</v>
      </c>
      <c r="G78" s="78">
        <v>106810.351</v>
      </c>
      <c r="H78" s="78"/>
      <c r="I78" s="78"/>
      <c r="J78" s="78"/>
      <c r="K78" s="78"/>
      <c r="L78" s="78"/>
      <c r="M78" s="78"/>
      <c r="N78" s="78"/>
      <c r="O78" s="78">
        <v>2877.5830000000001</v>
      </c>
      <c r="P78" s="78"/>
      <c r="Q78" s="79">
        <v>2877.5830000000001</v>
      </c>
      <c r="X78"/>
      <c r="Y78"/>
      <c r="Z78"/>
      <c r="AL78"/>
    </row>
    <row r="79" spans="2:38" x14ac:dyDescent="0.3">
      <c r="B79" s="95" t="s">
        <v>11</v>
      </c>
      <c r="C79" s="78"/>
      <c r="D79" s="78">
        <v>511.31299999999999</v>
      </c>
      <c r="E79" s="78">
        <v>1261.4749999999999</v>
      </c>
      <c r="F79" s="78">
        <v>1169.027</v>
      </c>
      <c r="G79" s="78">
        <v>2941.8150000000001</v>
      </c>
      <c r="H79" s="78">
        <v>549.92999999999995</v>
      </c>
      <c r="I79" s="78">
        <v>465.74799999999999</v>
      </c>
      <c r="J79" s="78">
        <v>536.40599999999995</v>
      </c>
      <c r="K79" s="78">
        <v>436.60500000000002</v>
      </c>
      <c r="L79" s="78">
        <v>1988.6889999999999</v>
      </c>
      <c r="M79" s="78">
        <v>314.988</v>
      </c>
      <c r="N79" s="78">
        <v>679.43100000000004</v>
      </c>
      <c r="O79" s="78">
        <v>761.76599999999996</v>
      </c>
      <c r="P79" s="78">
        <v>753.51700000000005</v>
      </c>
      <c r="Q79" s="79">
        <v>2509.7020000000002</v>
      </c>
      <c r="X79"/>
      <c r="Y79"/>
      <c r="Z79"/>
      <c r="AL79"/>
    </row>
    <row r="80" spans="2:38" x14ac:dyDescent="0.3">
      <c r="B80" s="95" t="s">
        <v>7</v>
      </c>
      <c r="C80" s="78"/>
      <c r="D80" s="78">
        <v>1320.069</v>
      </c>
      <c r="E80" s="78">
        <v>672.34299999999996</v>
      </c>
      <c r="F80" s="78">
        <v>189.34299999999999</v>
      </c>
      <c r="G80" s="78">
        <v>2181.7549999999997</v>
      </c>
      <c r="H80" s="78">
        <v>682.16099999999994</v>
      </c>
      <c r="I80" s="78"/>
      <c r="J80" s="78"/>
      <c r="K80" s="78">
        <v>996.78800000000001</v>
      </c>
      <c r="L80" s="78">
        <v>1678.9490000000001</v>
      </c>
      <c r="M80" s="78">
        <v>291.81799999999998</v>
      </c>
      <c r="N80" s="78">
        <v>246.55600000000001</v>
      </c>
      <c r="O80" s="78">
        <v>1183.3440000000001</v>
      </c>
      <c r="P80" s="78">
        <v>409.44299999999998</v>
      </c>
      <c r="Q80" s="79">
        <v>2131.1610000000001</v>
      </c>
      <c r="X80"/>
      <c r="Y80"/>
      <c r="Z80"/>
      <c r="AL80"/>
    </row>
    <row r="81" spans="2:17" customFormat="1" x14ac:dyDescent="0.3">
      <c r="B81" s="95" t="s">
        <v>32</v>
      </c>
      <c r="C81" s="78">
        <v>103.03500000000008</v>
      </c>
      <c r="D81" s="78">
        <v>119.40000000000009</v>
      </c>
      <c r="E81" s="78"/>
      <c r="F81" s="78">
        <v>300.03699999999992</v>
      </c>
      <c r="G81" s="78">
        <v>522.47200000000009</v>
      </c>
      <c r="H81" s="78">
        <v>161.20500000000004</v>
      </c>
      <c r="I81" s="78">
        <v>607.25</v>
      </c>
      <c r="J81" s="78"/>
      <c r="K81" s="78">
        <v>201.38300000000004</v>
      </c>
      <c r="L81" s="78">
        <v>969.83800000000008</v>
      </c>
      <c r="M81" s="78"/>
      <c r="N81" s="78">
        <v>702.15900000000011</v>
      </c>
      <c r="O81" s="78"/>
      <c r="P81" s="78"/>
      <c r="Q81" s="79">
        <v>702.15900000000011</v>
      </c>
    </row>
    <row r="82" spans="2:17" customFormat="1" x14ac:dyDescent="0.3">
      <c r="B82" s="95" t="s">
        <v>12</v>
      </c>
      <c r="C82" s="78"/>
      <c r="D82" s="78">
        <v>70.903000000000006</v>
      </c>
      <c r="E82" s="78"/>
      <c r="F82" s="78"/>
      <c r="G82" s="78">
        <v>70.903000000000006</v>
      </c>
      <c r="H82" s="78">
        <v>61.552999999999997</v>
      </c>
      <c r="I82" s="78"/>
      <c r="J82" s="78">
        <v>81.468999999999994</v>
      </c>
      <c r="K82" s="78">
        <v>156.70500000000001</v>
      </c>
      <c r="L82" s="78">
        <v>299.72699999999998</v>
      </c>
      <c r="M82" s="78"/>
      <c r="N82" s="78">
        <v>229.31</v>
      </c>
      <c r="O82" s="78"/>
      <c r="P82" s="78"/>
      <c r="Q82" s="79">
        <v>229.31</v>
      </c>
    </row>
    <row r="83" spans="2:17" customFormat="1" x14ac:dyDescent="0.3">
      <c r="B83" s="95" t="s">
        <v>9</v>
      </c>
      <c r="C83" s="78"/>
      <c r="D83" s="78"/>
      <c r="E83" s="78"/>
      <c r="F83" s="78">
        <v>500</v>
      </c>
      <c r="G83" s="78">
        <v>500</v>
      </c>
      <c r="H83" s="78">
        <v>500</v>
      </c>
      <c r="I83" s="78">
        <v>200</v>
      </c>
      <c r="J83" s="78"/>
      <c r="K83" s="78"/>
      <c r="L83" s="78">
        <v>700</v>
      </c>
      <c r="M83" s="78"/>
      <c r="N83" s="78"/>
      <c r="O83" s="78"/>
      <c r="P83" s="78"/>
      <c r="Q83" s="79"/>
    </row>
    <row r="84" spans="2:17" customFormat="1" x14ac:dyDescent="0.3">
      <c r="B84" s="95" t="s">
        <v>25</v>
      </c>
      <c r="C84" s="78"/>
      <c r="D84" s="78"/>
      <c r="E84" s="78">
        <v>6883.2659999999996</v>
      </c>
      <c r="F84" s="78"/>
      <c r="G84" s="78">
        <v>6883.2659999999996</v>
      </c>
      <c r="H84" s="78">
        <v>446</v>
      </c>
      <c r="I84" s="78">
        <v>1400.56</v>
      </c>
      <c r="J84" s="78">
        <v>632.71799999999996</v>
      </c>
      <c r="K84" s="78">
        <v>632.30999999999995</v>
      </c>
      <c r="L84" s="78">
        <v>3111.5879999999997</v>
      </c>
      <c r="M84" s="78"/>
      <c r="N84" s="78"/>
      <c r="O84" s="78"/>
      <c r="P84" s="78"/>
      <c r="Q84" s="79"/>
    </row>
    <row r="85" spans="2:17" customFormat="1" x14ac:dyDescent="0.3">
      <c r="B85" s="95" t="s">
        <v>17</v>
      </c>
      <c r="C85" s="78"/>
      <c r="D85" s="78"/>
      <c r="E85" s="78">
        <v>3500</v>
      </c>
      <c r="F85" s="78"/>
      <c r="G85" s="78">
        <v>3500</v>
      </c>
      <c r="H85" s="78">
        <v>4850</v>
      </c>
      <c r="I85" s="78"/>
      <c r="J85" s="78"/>
      <c r="K85" s="78"/>
      <c r="L85" s="78">
        <v>4850</v>
      </c>
      <c r="M85" s="78"/>
      <c r="N85" s="78"/>
      <c r="O85" s="78"/>
      <c r="P85" s="78"/>
      <c r="Q85" s="79"/>
    </row>
    <row r="86" spans="2:17" customFormat="1" x14ac:dyDescent="0.3">
      <c r="B86" s="69" t="s">
        <v>39</v>
      </c>
      <c r="C86" s="86">
        <v>34078.002999999997</v>
      </c>
      <c r="D86" s="78">
        <v>73246.270999999993</v>
      </c>
      <c r="E86" s="78">
        <v>42080.120999999999</v>
      </c>
      <c r="F86" s="78">
        <v>102570.068</v>
      </c>
      <c r="G86" s="78">
        <v>251974.46299999999</v>
      </c>
      <c r="H86" s="78">
        <v>26453.001</v>
      </c>
      <c r="I86" s="78">
        <v>32050.187000000002</v>
      </c>
      <c r="J86" s="78">
        <v>26731.233</v>
      </c>
      <c r="K86" s="78">
        <v>21657.01</v>
      </c>
      <c r="L86" s="78">
        <v>106891.431</v>
      </c>
      <c r="M86" s="78">
        <v>3225.1280000000002</v>
      </c>
      <c r="N86" s="78">
        <v>36476.173999999999</v>
      </c>
      <c r="O86" s="78">
        <v>45989.455999999998</v>
      </c>
      <c r="P86" s="78">
        <v>46634.837</v>
      </c>
      <c r="Q86" s="79">
        <v>132325.595</v>
      </c>
    </row>
    <row r="87" spans="2:17" customFormat="1" x14ac:dyDescent="0.3">
      <c r="B87" s="95" t="s">
        <v>33</v>
      </c>
      <c r="C87" s="78">
        <v>34078.002999999997</v>
      </c>
      <c r="D87" s="78">
        <v>73246.270999999993</v>
      </c>
      <c r="E87" s="78">
        <v>42080.120999999999</v>
      </c>
      <c r="F87" s="78">
        <v>102570.068</v>
      </c>
      <c r="G87" s="78">
        <v>251974.46299999999</v>
      </c>
      <c r="H87" s="78">
        <v>26453.001</v>
      </c>
      <c r="I87" s="78">
        <v>32050.187000000002</v>
      </c>
      <c r="J87" s="78">
        <v>26731.233</v>
      </c>
      <c r="K87" s="78">
        <v>21657.01</v>
      </c>
      <c r="L87" s="78">
        <v>106891.431</v>
      </c>
      <c r="M87" s="78">
        <v>3225.1280000000002</v>
      </c>
      <c r="N87" s="78">
        <v>36476.173999999999</v>
      </c>
      <c r="O87" s="78">
        <v>45989.455999999998</v>
      </c>
      <c r="P87" s="78">
        <v>46634.837</v>
      </c>
      <c r="Q87" s="79">
        <v>132325.595</v>
      </c>
    </row>
    <row r="88" spans="2:17" customFormat="1" x14ac:dyDescent="0.3">
      <c r="B88" s="70" t="s">
        <v>43</v>
      </c>
      <c r="C88" s="80">
        <v>794641.7690000002</v>
      </c>
      <c r="D88" s="80">
        <v>933574.47800000012</v>
      </c>
      <c r="E88" s="80">
        <v>936226.41899999976</v>
      </c>
      <c r="F88" s="80">
        <v>1010471.9519999997</v>
      </c>
      <c r="G88" s="80">
        <v>3674914.6179999998</v>
      </c>
      <c r="H88" s="80">
        <v>857563.11200000043</v>
      </c>
      <c r="I88" s="80">
        <v>847015.70000000007</v>
      </c>
      <c r="J88" s="80">
        <v>973870.90399999975</v>
      </c>
      <c r="K88" s="80">
        <v>850891.37800000026</v>
      </c>
      <c r="L88" s="80">
        <v>3529341.094</v>
      </c>
      <c r="M88" s="80">
        <v>875539.57799999998</v>
      </c>
      <c r="N88" s="80">
        <v>1144415.5260000001</v>
      </c>
      <c r="O88" s="80">
        <v>1200614.2899999998</v>
      </c>
      <c r="P88" s="80">
        <v>1221551.341</v>
      </c>
      <c r="Q88" s="81">
        <v>4442120.7349999994</v>
      </c>
    </row>
    <row r="89" spans="2:17" customFormat="1" x14ac:dyDescent="0.3"/>
    <row r="90" spans="2:17" customFormat="1" x14ac:dyDescent="0.3"/>
    <row r="91" spans="2:17" customFormat="1" x14ac:dyDescent="0.3"/>
    <row r="92" spans="2:17" customFormat="1" x14ac:dyDescent="0.3"/>
    <row r="93" spans="2:17" customFormat="1" x14ac:dyDescent="0.3"/>
    <row r="94" spans="2:17" customFormat="1" x14ac:dyDescent="0.3"/>
    <row r="95" spans="2:17" customFormat="1" x14ac:dyDescent="0.3"/>
    <row r="96" spans="2:17" customFormat="1" x14ac:dyDescent="0.3"/>
    <row r="97" customFormat="1" x14ac:dyDescent="0.3"/>
    <row r="98" customFormat="1" x14ac:dyDescent="0.3"/>
    <row r="99" customFormat="1" x14ac:dyDescent="0.3"/>
    <row r="100" customFormat="1" x14ac:dyDescent="0.3"/>
    <row r="101" customFormat="1" x14ac:dyDescent="0.3"/>
    <row r="102" customFormat="1" x14ac:dyDescent="0.3"/>
    <row r="103" customFormat="1" x14ac:dyDescent="0.3"/>
    <row r="104" customFormat="1" x14ac:dyDescent="0.3"/>
    <row r="105" customFormat="1" x14ac:dyDescent="0.3"/>
    <row r="106" customFormat="1" x14ac:dyDescent="0.3"/>
    <row r="107" customFormat="1" x14ac:dyDescent="0.3"/>
    <row r="108" customFormat="1" x14ac:dyDescent="0.3"/>
    <row r="109" customFormat="1" x14ac:dyDescent="0.3"/>
    <row r="110" customFormat="1" x14ac:dyDescent="0.3"/>
    <row r="111" customFormat="1" x14ac:dyDescent="0.3"/>
    <row r="112" customFormat="1" x14ac:dyDescent="0.3"/>
    <row r="113" spans="2:38" x14ac:dyDescent="0.3">
      <c r="B113"/>
      <c r="O113"/>
      <c r="X113"/>
      <c r="Y113"/>
      <c r="Z113"/>
      <c r="AL113"/>
    </row>
    <row r="114" spans="2:38" x14ac:dyDescent="0.3">
      <c r="B114"/>
      <c r="O114"/>
      <c r="X114"/>
      <c r="Y114"/>
      <c r="Z114"/>
      <c r="AL114"/>
    </row>
    <row r="115" spans="2:38" x14ac:dyDescent="0.3">
      <c r="B115"/>
      <c r="O115"/>
      <c r="X115"/>
      <c r="Y115"/>
      <c r="Z115"/>
    </row>
    <row r="116" spans="2:38" x14ac:dyDescent="0.3">
      <c r="B116"/>
      <c r="O116"/>
      <c r="X116"/>
      <c r="Y116"/>
      <c r="Z116"/>
    </row>
    <row r="117" spans="2:38" x14ac:dyDescent="0.3">
      <c r="B117"/>
      <c r="O117"/>
      <c r="X117"/>
      <c r="Y117"/>
      <c r="Z117"/>
    </row>
    <row r="118" spans="2:38" x14ac:dyDescent="0.3">
      <c r="B118"/>
      <c r="O118"/>
      <c r="X118"/>
      <c r="Y118"/>
      <c r="Z118"/>
    </row>
    <row r="119" spans="2:38" x14ac:dyDescent="0.3">
      <c r="B119"/>
      <c r="O119"/>
      <c r="X119"/>
      <c r="Y119"/>
      <c r="Z119"/>
    </row>
    <row r="120" spans="2:38" x14ac:dyDescent="0.3">
      <c r="B120"/>
      <c r="O120"/>
      <c r="X120"/>
      <c r="Y120"/>
      <c r="Z120"/>
    </row>
    <row r="121" spans="2:38" x14ac:dyDescent="0.3">
      <c r="B121"/>
      <c r="O121"/>
      <c r="X121"/>
      <c r="Y121"/>
      <c r="Z121"/>
    </row>
    <row r="122" spans="2:38" x14ac:dyDescent="0.3">
      <c r="B122"/>
      <c r="O122"/>
      <c r="X122"/>
      <c r="Y122"/>
      <c r="Z122"/>
    </row>
    <row r="123" spans="2:38" x14ac:dyDescent="0.3">
      <c r="B123"/>
      <c r="O123"/>
      <c r="X123"/>
      <c r="Y123"/>
      <c r="Z123"/>
    </row>
  </sheetData>
  <pageMargins left="0.7" right="0.7" top="0.75" bottom="0.75" header="0.3" footer="0.3"/>
  <pageSetup paperSize="9" orientation="portrait" horizontalDpi="0" verticalDpi="0"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0A5957C-0068-4B35-8CC4-5A04929DE28B}">
  <dimension ref="A1:P528"/>
  <sheetViews>
    <sheetView showGridLines="0" zoomScaleNormal="100" workbookViewId="0">
      <pane ySplit="6" topLeftCell="A7" activePane="bottomLeft" state="frozen"/>
      <selection pane="bottomLeft" activeCell="A15" sqref="A15"/>
    </sheetView>
  </sheetViews>
  <sheetFormatPr baseColWidth="10" defaultRowHeight="14.4" x14ac:dyDescent="0.3"/>
  <cols>
    <col min="1" max="1" width="29.6640625" bestFit="1" customWidth="1"/>
    <col min="2" max="2" width="37" customWidth="1"/>
    <col min="3" max="3" width="9" style="15" bestFit="1" customWidth="1"/>
    <col min="4" max="4" width="11.88671875" style="15" bestFit="1" customWidth="1"/>
    <col min="5" max="5" width="11.88671875" bestFit="1" customWidth="1"/>
    <col min="6" max="6" width="11.88671875" style="15" bestFit="1" customWidth="1"/>
    <col min="7" max="7" width="12.21875" style="15" bestFit="1" customWidth="1"/>
    <col min="8" max="8" width="12.21875" bestFit="1" customWidth="1"/>
    <col min="9" max="9" width="11.6640625" style="15" hidden="1" customWidth="1"/>
    <col min="10" max="10" width="12.88671875" customWidth="1"/>
    <col min="11" max="11" width="14.33203125" customWidth="1"/>
    <col min="12" max="12" width="11.6640625" customWidth="1"/>
    <col min="13" max="14" width="12.44140625" bestFit="1" customWidth="1"/>
    <col min="15" max="15" width="11.6640625" bestFit="1" customWidth="1"/>
    <col min="16" max="17" width="11.6640625" customWidth="1"/>
  </cols>
  <sheetData>
    <row r="1" spans="1:16" x14ac:dyDescent="0.3">
      <c r="A1" s="5" t="s">
        <v>44</v>
      </c>
      <c r="J1" s="65" t="s">
        <v>163</v>
      </c>
      <c r="K1" s="59"/>
      <c r="L1" s="58">
        <v>2024</v>
      </c>
      <c r="M1" s="58">
        <v>2025</v>
      </c>
      <c r="N1" s="60">
        <v>2026</v>
      </c>
      <c r="O1" s="58" t="s">
        <v>73</v>
      </c>
      <c r="P1" s="61" t="s">
        <v>190</v>
      </c>
    </row>
    <row r="2" spans="1:16" x14ac:dyDescent="0.3">
      <c r="A2" t="s">
        <v>42</v>
      </c>
      <c r="J2" s="62" t="s">
        <v>161</v>
      </c>
      <c r="K2" s="62"/>
      <c r="L2" s="63">
        <v>75821</v>
      </c>
      <c r="M2" s="63">
        <v>80716</v>
      </c>
      <c r="N2" s="63">
        <v>334870</v>
      </c>
      <c r="O2" s="64">
        <f>M2/L2-1</f>
        <v>6.4559950409517119E-2</v>
      </c>
      <c r="P2" s="64">
        <f t="shared" ref="O2:P3" si="0">N2/M2-1</f>
        <v>3.1487437434957135</v>
      </c>
    </row>
    <row r="3" spans="1:16" x14ac:dyDescent="0.3">
      <c r="C3"/>
      <c r="D3"/>
      <c r="F3"/>
      <c r="G3"/>
      <c r="I3"/>
      <c r="J3" s="62" t="s">
        <v>162</v>
      </c>
      <c r="K3" s="62"/>
      <c r="L3" s="63">
        <f>959348-L2</f>
        <v>883527</v>
      </c>
      <c r="M3" s="63">
        <f>811314-M2</f>
        <v>730598</v>
      </c>
      <c r="N3" s="63">
        <f>1235342-N2</f>
        <v>900472</v>
      </c>
      <c r="O3" s="64">
        <f t="shared" si="0"/>
        <v>-0.17308922081611544</v>
      </c>
      <c r="P3" s="64">
        <f t="shared" si="0"/>
        <v>0.23251363951174242</v>
      </c>
    </row>
    <row r="4" spans="1:16" x14ac:dyDescent="0.3">
      <c r="C4"/>
      <c r="D4"/>
      <c r="F4"/>
      <c r="G4"/>
      <c r="I4"/>
      <c r="J4" s="62" t="s">
        <v>164</v>
      </c>
      <c r="K4" s="62"/>
      <c r="L4" s="63">
        <f>3674915-L2</f>
        <v>3599094</v>
      </c>
      <c r="M4" s="63">
        <f>3529341-M2</f>
        <v>3448625</v>
      </c>
      <c r="N4" s="63">
        <f>4442121-N2</f>
        <v>4107251</v>
      </c>
      <c r="O4" s="64">
        <f>M4/L4-1</f>
        <v>-4.1807465990051917E-2</v>
      </c>
      <c r="P4" s="64">
        <f>N4/M4-1</f>
        <v>0.19098220305194102</v>
      </c>
    </row>
    <row r="5" spans="1:16" x14ac:dyDescent="0.3">
      <c r="C5"/>
      <c r="D5"/>
      <c r="F5"/>
      <c r="G5"/>
      <c r="I5"/>
      <c r="J5" s="16"/>
    </row>
    <row r="6" spans="1:16" x14ac:dyDescent="0.3">
      <c r="A6" s="17" t="s">
        <v>35</v>
      </c>
      <c r="B6" s="17" t="s">
        <v>1</v>
      </c>
      <c r="C6" s="17" t="s">
        <v>3</v>
      </c>
      <c r="D6" s="34" t="s">
        <v>52</v>
      </c>
      <c r="E6" s="22" t="s">
        <v>70</v>
      </c>
      <c r="F6" t="s">
        <v>166</v>
      </c>
      <c r="G6" t="s">
        <v>167</v>
      </c>
      <c r="H6" t="s">
        <v>168</v>
      </c>
    </row>
    <row r="7" spans="1:16" x14ac:dyDescent="0.3">
      <c r="A7" t="s">
        <v>38</v>
      </c>
      <c r="C7"/>
      <c r="D7" s="16">
        <v>959348.27399999986</v>
      </c>
      <c r="E7" s="16">
        <v>811314.23300000001</v>
      </c>
      <c r="F7" s="16">
        <v>1235341.9319999998</v>
      </c>
      <c r="G7" s="15">
        <v>-0.1543068820906639</v>
      </c>
      <c r="H7" s="15">
        <v>0.52264299300170136</v>
      </c>
    </row>
    <row r="8" spans="1:16" x14ac:dyDescent="0.3">
      <c r="A8" t="s">
        <v>36</v>
      </c>
      <c r="C8"/>
      <c r="D8" s="16">
        <v>1597990.3180000002</v>
      </c>
      <c r="E8" s="16">
        <v>1816730.4280000001</v>
      </c>
      <c r="F8" s="16">
        <v>2085330.5959999994</v>
      </c>
      <c r="G8" s="15">
        <v>0.13688450270072283</v>
      </c>
      <c r="H8" s="15">
        <v>0.14784811431583478</v>
      </c>
    </row>
    <row r="9" spans="1:16" x14ac:dyDescent="0.3">
      <c r="A9" t="s">
        <v>37</v>
      </c>
      <c r="C9"/>
      <c r="D9" s="16">
        <v>865601.56299999938</v>
      </c>
      <c r="E9" s="16">
        <v>794405.00199999986</v>
      </c>
      <c r="F9" s="16">
        <v>989122.61199999996</v>
      </c>
      <c r="G9" s="15">
        <v>-8.2250961693330016E-2</v>
      </c>
      <c r="H9" s="15">
        <v>0.24511125875312678</v>
      </c>
    </row>
    <row r="10" spans="1:16" x14ac:dyDescent="0.3">
      <c r="A10" t="s">
        <v>39</v>
      </c>
      <c r="C10"/>
      <c r="D10" s="16">
        <v>251974.46299999999</v>
      </c>
      <c r="E10" s="16">
        <v>106891.431</v>
      </c>
      <c r="F10" s="16">
        <v>132325.595</v>
      </c>
      <c r="G10" s="15">
        <v>-0.5757846659246576</v>
      </c>
      <c r="H10" s="15">
        <v>0.23794390029262491</v>
      </c>
    </row>
    <row r="11" spans="1:16" x14ac:dyDescent="0.3">
      <c r="A11" t="s">
        <v>53</v>
      </c>
      <c r="C11"/>
      <c r="D11" s="16">
        <v>3674914.6179999993</v>
      </c>
      <c r="E11" s="16">
        <v>3529341.0940000005</v>
      </c>
      <c r="F11" s="16">
        <v>4442120.7349999975</v>
      </c>
      <c r="G11" s="15">
        <v>-3.9612763596457157E-2</v>
      </c>
      <c r="H11" s="15">
        <v>0.2586260768480988</v>
      </c>
    </row>
    <row r="12" spans="1:16" x14ac:dyDescent="0.3">
      <c r="C12"/>
      <c r="D12"/>
      <c r="F12"/>
      <c r="G12"/>
    </row>
    <row r="13" spans="1:16" x14ac:dyDescent="0.3">
      <c r="C13"/>
      <c r="D13"/>
      <c r="F13"/>
      <c r="G13"/>
    </row>
    <row r="14" spans="1:16" x14ac:dyDescent="0.3">
      <c r="C14"/>
      <c r="D14"/>
      <c r="F14"/>
      <c r="G14"/>
    </row>
    <row r="15" spans="1:16" x14ac:dyDescent="0.3">
      <c r="C15"/>
      <c r="D15"/>
      <c r="F15"/>
      <c r="G15"/>
    </row>
    <row r="16" spans="1:16" x14ac:dyDescent="0.3">
      <c r="C16"/>
      <c r="D16"/>
      <c r="F16"/>
      <c r="G16"/>
    </row>
    <row r="17" spans="3:7" x14ac:dyDescent="0.3">
      <c r="C17"/>
      <c r="D17"/>
      <c r="F17"/>
      <c r="G17"/>
    </row>
    <row r="18" spans="3:7" x14ac:dyDescent="0.3">
      <c r="C18"/>
      <c r="D18"/>
      <c r="F18"/>
      <c r="G18"/>
    </row>
    <row r="19" spans="3:7" x14ac:dyDescent="0.3">
      <c r="C19"/>
      <c r="D19"/>
      <c r="F19"/>
      <c r="G19"/>
    </row>
    <row r="20" spans="3:7" x14ac:dyDescent="0.3">
      <c r="C20"/>
      <c r="D20"/>
      <c r="F20"/>
      <c r="G20"/>
    </row>
    <row r="21" spans="3:7" x14ac:dyDescent="0.3">
      <c r="C21"/>
      <c r="D21"/>
      <c r="F21"/>
      <c r="G21"/>
    </row>
    <row r="22" spans="3:7" x14ac:dyDescent="0.3">
      <c r="C22"/>
      <c r="D22"/>
      <c r="F22"/>
      <c r="G22"/>
    </row>
    <row r="23" spans="3:7" x14ac:dyDescent="0.3">
      <c r="C23"/>
      <c r="D23"/>
      <c r="F23"/>
      <c r="G23"/>
    </row>
    <row r="24" spans="3:7" x14ac:dyDescent="0.3">
      <c r="C24"/>
      <c r="D24"/>
      <c r="F24"/>
      <c r="G24"/>
    </row>
    <row r="25" spans="3:7" x14ac:dyDescent="0.3">
      <c r="C25"/>
      <c r="D25"/>
      <c r="F25"/>
      <c r="G25"/>
    </row>
    <row r="26" spans="3:7" x14ac:dyDescent="0.3">
      <c r="C26"/>
      <c r="D26"/>
      <c r="F26"/>
      <c r="G26"/>
    </row>
    <row r="27" spans="3:7" x14ac:dyDescent="0.3">
      <c r="C27"/>
      <c r="D27"/>
      <c r="F27"/>
      <c r="G27"/>
    </row>
    <row r="28" spans="3:7" x14ac:dyDescent="0.3">
      <c r="C28"/>
      <c r="D28"/>
      <c r="F28"/>
      <c r="G28"/>
    </row>
    <row r="29" spans="3:7" x14ac:dyDescent="0.3">
      <c r="C29"/>
      <c r="D29"/>
      <c r="F29"/>
      <c r="G29"/>
    </row>
    <row r="30" spans="3:7" x14ac:dyDescent="0.3">
      <c r="C30"/>
      <c r="D30"/>
      <c r="F30"/>
      <c r="G30"/>
    </row>
    <row r="31" spans="3:7" x14ac:dyDescent="0.3">
      <c r="C31"/>
      <c r="D31"/>
      <c r="F31"/>
      <c r="G31"/>
    </row>
    <row r="32" spans="3:7" x14ac:dyDescent="0.3">
      <c r="C32"/>
      <c r="D32"/>
      <c r="F32"/>
      <c r="G32"/>
    </row>
    <row r="33" spans="3:7" x14ac:dyDescent="0.3">
      <c r="C33"/>
      <c r="D33"/>
      <c r="F33"/>
      <c r="G33"/>
    </row>
    <row r="34" spans="3:7" x14ac:dyDescent="0.3">
      <c r="C34"/>
      <c r="D34"/>
      <c r="F34"/>
      <c r="G34"/>
    </row>
    <row r="35" spans="3:7" x14ac:dyDescent="0.3">
      <c r="C35"/>
      <c r="D35"/>
      <c r="F35"/>
      <c r="G35"/>
    </row>
    <row r="36" spans="3:7" x14ac:dyDescent="0.3">
      <c r="C36"/>
      <c r="D36"/>
      <c r="F36"/>
      <c r="G36"/>
    </row>
    <row r="37" spans="3:7" x14ac:dyDescent="0.3">
      <c r="C37"/>
      <c r="D37"/>
      <c r="F37"/>
      <c r="G37"/>
    </row>
    <row r="38" spans="3:7" x14ac:dyDescent="0.3">
      <c r="C38"/>
      <c r="D38"/>
      <c r="F38"/>
      <c r="G38"/>
    </row>
    <row r="39" spans="3:7" x14ac:dyDescent="0.3">
      <c r="C39"/>
      <c r="D39"/>
      <c r="F39"/>
      <c r="G39"/>
    </row>
    <row r="40" spans="3:7" x14ac:dyDescent="0.3">
      <c r="C40"/>
      <c r="D40"/>
      <c r="F40"/>
      <c r="G40"/>
    </row>
    <row r="41" spans="3:7" x14ac:dyDescent="0.3">
      <c r="C41"/>
      <c r="D41"/>
      <c r="F41"/>
      <c r="G41"/>
    </row>
    <row r="42" spans="3:7" x14ac:dyDescent="0.3">
      <c r="C42"/>
      <c r="D42"/>
      <c r="F42"/>
      <c r="G42"/>
    </row>
    <row r="43" spans="3:7" x14ac:dyDescent="0.3">
      <c r="C43"/>
      <c r="D43"/>
      <c r="F43"/>
      <c r="G43"/>
    </row>
    <row r="44" spans="3:7" x14ac:dyDescent="0.3">
      <c r="C44"/>
      <c r="D44"/>
      <c r="F44"/>
      <c r="G44"/>
    </row>
    <row r="45" spans="3:7" x14ac:dyDescent="0.3">
      <c r="C45"/>
      <c r="D45"/>
      <c r="F45"/>
      <c r="G45"/>
    </row>
    <row r="46" spans="3:7" x14ac:dyDescent="0.3">
      <c r="C46"/>
      <c r="D46"/>
      <c r="F46"/>
      <c r="G46"/>
    </row>
    <row r="47" spans="3:7" x14ac:dyDescent="0.3">
      <c r="C47"/>
      <c r="D47"/>
      <c r="F47"/>
      <c r="G47"/>
    </row>
    <row r="48" spans="3:7" x14ac:dyDescent="0.3">
      <c r="C48"/>
      <c r="D48"/>
      <c r="F48"/>
      <c r="G48"/>
    </row>
    <row r="49" spans="3:7" x14ac:dyDescent="0.3">
      <c r="C49"/>
      <c r="D49"/>
      <c r="F49"/>
      <c r="G49"/>
    </row>
    <row r="50" spans="3:7" x14ac:dyDescent="0.3">
      <c r="C50"/>
      <c r="D50"/>
      <c r="F50"/>
      <c r="G50"/>
    </row>
    <row r="51" spans="3:7" x14ac:dyDescent="0.3">
      <c r="C51"/>
      <c r="D51"/>
      <c r="F51"/>
      <c r="G51"/>
    </row>
    <row r="52" spans="3:7" x14ac:dyDescent="0.3">
      <c r="C52"/>
      <c r="D52"/>
      <c r="F52"/>
      <c r="G52"/>
    </row>
    <row r="53" spans="3:7" x14ac:dyDescent="0.3">
      <c r="C53"/>
      <c r="D53"/>
      <c r="F53"/>
      <c r="G53"/>
    </row>
    <row r="54" spans="3:7" x14ac:dyDescent="0.3">
      <c r="C54"/>
      <c r="D54"/>
      <c r="F54"/>
      <c r="G54"/>
    </row>
    <row r="55" spans="3:7" x14ac:dyDescent="0.3">
      <c r="C55"/>
      <c r="D55"/>
      <c r="F55"/>
      <c r="G55"/>
    </row>
    <row r="56" spans="3:7" x14ac:dyDescent="0.3">
      <c r="C56"/>
      <c r="D56"/>
      <c r="F56"/>
      <c r="G56"/>
    </row>
    <row r="57" spans="3:7" x14ac:dyDescent="0.3">
      <c r="C57"/>
      <c r="D57"/>
      <c r="F57"/>
      <c r="G57"/>
    </row>
    <row r="58" spans="3:7" x14ac:dyDescent="0.3">
      <c r="C58"/>
      <c r="D58"/>
      <c r="F58"/>
      <c r="G58"/>
    </row>
    <row r="59" spans="3:7" x14ac:dyDescent="0.3">
      <c r="C59"/>
      <c r="D59"/>
      <c r="F59"/>
      <c r="G59"/>
    </row>
    <row r="60" spans="3:7" x14ac:dyDescent="0.3">
      <c r="C60"/>
      <c r="D60"/>
      <c r="F60"/>
      <c r="G60"/>
    </row>
    <row r="61" spans="3:7" x14ac:dyDescent="0.3">
      <c r="C61"/>
      <c r="D61"/>
      <c r="F61"/>
      <c r="G61"/>
    </row>
    <row r="62" spans="3:7" x14ac:dyDescent="0.3">
      <c r="C62"/>
      <c r="D62"/>
      <c r="F62"/>
      <c r="G62"/>
    </row>
    <row r="63" spans="3:7" x14ac:dyDescent="0.3">
      <c r="C63"/>
      <c r="D63"/>
      <c r="F63"/>
      <c r="G63"/>
    </row>
    <row r="64" spans="3:7" x14ac:dyDescent="0.3">
      <c r="C64"/>
      <c r="D64"/>
      <c r="F64"/>
      <c r="G64"/>
    </row>
    <row r="65" spans="3:7" x14ac:dyDescent="0.3">
      <c r="C65"/>
      <c r="D65"/>
      <c r="F65"/>
      <c r="G65"/>
    </row>
    <row r="66" spans="3:7" x14ac:dyDescent="0.3">
      <c r="C66"/>
      <c r="D66"/>
      <c r="F66"/>
      <c r="G66"/>
    </row>
    <row r="67" spans="3:7" x14ac:dyDescent="0.3">
      <c r="C67"/>
      <c r="D67"/>
      <c r="F67"/>
      <c r="G67"/>
    </row>
    <row r="68" spans="3:7" x14ac:dyDescent="0.3">
      <c r="C68"/>
      <c r="D68"/>
      <c r="F68"/>
      <c r="G68"/>
    </row>
    <row r="69" spans="3:7" x14ac:dyDescent="0.3">
      <c r="C69"/>
      <c r="D69"/>
      <c r="F69"/>
      <c r="G69"/>
    </row>
    <row r="70" spans="3:7" x14ac:dyDescent="0.3">
      <c r="C70"/>
      <c r="D70"/>
      <c r="F70"/>
      <c r="G70"/>
    </row>
    <row r="71" spans="3:7" x14ac:dyDescent="0.3">
      <c r="C71"/>
      <c r="D71"/>
      <c r="F71"/>
      <c r="G71"/>
    </row>
    <row r="72" spans="3:7" x14ac:dyDescent="0.3">
      <c r="C72"/>
      <c r="D72"/>
      <c r="F72"/>
      <c r="G72"/>
    </row>
    <row r="73" spans="3:7" x14ac:dyDescent="0.3">
      <c r="C73"/>
      <c r="D73"/>
      <c r="F73"/>
      <c r="G73"/>
    </row>
    <row r="74" spans="3:7" x14ac:dyDescent="0.3">
      <c r="C74"/>
      <c r="D74"/>
      <c r="F74"/>
      <c r="G74"/>
    </row>
    <row r="75" spans="3:7" x14ac:dyDescent="0.3">
      <c r="C75"/>
      <c r="D75"/>
      <c r="F75"/>
      <c r="G75"/>
    </row>
    <row r="76" spans="3:7" x14ac:dyDescent="0.3">
      <c r="C76"/>
      <c r="D76"/>
      <c r="F76"/>
      <c r="G76"/>
    </row>
    <row r="77" spans="3:7" x14ac:dyDescent="0.3">
      <c r="C77"/>
      <c r="D77"/>
      <c r="F77"/>
      <c r="G77"/>
    </row>
    <row r="78" spans="3:7" x14ac:dyDescent="0.3">
      <c r="C78"/>
      <c r="D78"/>
      <c r="F78"/>
      <c r="G78"/>
    </row>
    <row r="79" spans="3:7" x14ac:dyDescent="0.3">
      <c r="C79"/>
      <c r="D79"/>
      <c r="F79"/>
      <c r="G79"/>
    </row>
    <row r="80" spans="3:7" x14ac:dyDescent="0.3">
      <c r="C80"/>
      <c r="D80"/>
      <c r="F80"/>
      <c r="G80"/>
    </row>
    <row r="81" spans="3:7" x14ac:dyDescent="0.3">
      <c r="C81"/>
      <c r="D81"/>
      <c r="F81"/>
      <c r="G81"/>
    </row>
    <row r="82" spans="3:7" x14ac:dyDescent="0.3">
      <c r="C82"/>
      <c r="D82"/>
      <c r="F82"/>
      <c r="G82"/>
    </row>
    <row r="83" spans="3:7" x14ac:dyDescent="0.3">
      <c r="C83"/>
      <c r="D83"/>
      <c r="F83"/>
      <c r="G83"/>
    </row>
    <row r="84" spans="3:7" x14ac:dyDescent="0.3">
      <c r="C84"/>
      <c r="D84"/>
      <c r="F84"/>
      <c r="G84"/>
    </row>
    <row r="85" spans="3:7" x14ac:dyDescent="0.3">
      <c r="C85"/>
      <c r="D85"/>
      <c r="F85"/>
      <c r="G85"/>
    </row>
    <row r="86" spans="3:7" x14ac:dyDescent="0.3">
      <c r="C86"/>
      <c r="D86"/>
      <c r="F86"/>
      <c r="G86"/>
    </row>
    <row r="87" spans="3:7" x14ac:dyDescent="0.3">
      <c r="C87"/>
      <c r="D87"/>
      <c r="F87"/>
      <c r="G87"/>
    </row>
    <row r="88" spans="3:7" x14ac:dyDescent="0.3">
      <c r="C88"/>
      <c r="D88"/>
      <c r="F88"/>
      <c r="G88"/>
    </row>
    <row r="89" spans="3:7" x14ac:dyDescent="0.3">
      <c r="C89"/>
      <c r="D89"/>
      <c r="F89"/>
      <c r="G89"/>
    </row>
    <row r="90" spans="3:7" x14ac:dyDescent="0.3">
      <c r="C90"/>
      <c r="D90"/>
      <c r="F90"/>
      <c r="G90"/>
    </row>
    <row r="91" spans="3:7" x14ac:dyDescent="0.3">
      <c r="C91"/>
      <c r="D91"/>
      <c r="F91"/>
      <c r="G91"/>
    </row>
    <row r="92" spans="3:7" x14ac:dyDescent="0.3">
      <c r="C92"/>
      <c r="D92"/>
      <c r="F92"/>
      <c r="G92"/>
    </row>
    <row r="93" spans="3:7" x14ac:dyDescent="0.3">
      <c r="C93"/>
      <c r="D93"/>
      <c r="F93"/>
      <c r="G93"/>
    </row>
    <row r="94" spans="3:7" x14ac:dyDescent="0.3">
      <c r="C94"/>
      <c r="D94"/>
      <c r="F94"/>
      <c r="G94"/>
    </row>
    <row r="95" spans="3:7" x14ac:dyDescent="0.3">
      <c r="C95"/>
      <c r="D95"/>
      <c r="F95"/>
      <c r="G95"/>
    </row>
    <row r="96" spans="3:7" x14ac:dyDescent="0.3">
      <c r="C96"/>
      <c r="D96"/>
      <c r="F96"/>
      <c r="G96"/>
    </row>
    <row r="97" spans="3:7" x14ac:dyDescent="0.3">
      <c r="C97"/>
      <c r="D97"/>
      <c r="F97"/>
      <c r="G97"/>
    </row>
    <row r="98" spans="3:7" x14ac:dyDescent="0.3">
      <c r="C98"/>
      <c r="D98"/>
      <c r="F98"/>
      <c r="G98"/>
    </row>
    <row r="99" spans="3:7" x14ac:dyDescent="0.3">
      <c r="C99"/>
      <c r="D99"/>
      <c r="F99"/>
      <c r="G99"/>
    </row>
    <row r="100" spans="3:7" x14ac:dyDescent="0.3">
      <c r="C100"/>
      <c r="D100"/>
      <c r="F100"/>
      <c r="G100"/>
    </row>
    <row r="101" spans="3:7" x14ac:dyDescent="0.3">
      <c r="C101"/>
      <c r="D101"/>
      <c r="F101"/>
      <c r="G101"/>
    </row>
    <row r="102" spans="3:7" x14ac:dyDescent="0.3">
      <c r="C102"/>
      <c r="D102"/>
      <c r="F102"/>
      <c r="G102"/>
    </row>
    <row r="103" spans="3:7" x14ac:dyDescent="0.3">
      <c r="C103"/>
      <c r="D103"/>
      <c r="F103"/>
      <c r="G103"/>
    </row>
    <row r="104" spans="3:7" x14ac:dyDescent="0.3">
      <c r="C104"/>
      <c r="D104"/>
      <c r="F104"/>
      <c r="G104"/>
    </row>
    <row r="105" spans="3:7" x14ac:dyDescent="0.3">
      <c r="C105"/>
      <c r="D105"/>
      <c r="F105"/>
      <c r="G105"/>
    </row>
    <row r="106" spans="3:7" x14ac:dyDescent="0.3">
      <c r="C106"/>
      <c r="D106"/>
      <c r="F106"/>
      <c r="G106"/>
    </row>
    <row r="107" spans="3:7" x14ac:dyDescent="0.3">
      <c r="C107"/>
      <c r="D107"/>
      <c r="F107"/>
      <c r="G107"/>
    </row>
    <row r="108" spans="3:7" x14ac:dyDescent="0.3">
      <c r="C108"/>
      <c r="D108"/>
      <c r="F108"/>
      <c r="G108"/>
    </row>
    <row r="109" spans="3:7" x14ac:dyDescent="0.3">
      <c r="C109"/>
      <c r="D109"/>
      <c r="F109"/>
      <c r="G109"/>
    </row>
    <row r="110" spans="3:7" x14ac:dyDescent="0.3">
      <c r="C110"/>
      <c r="D110"/>
      <c r="F110"/>
      <c r="G110"/>
    </row>
    <row r="111" spans="3:7" x14ac:dyDescent="0.3">
      <c r="C111"/>
      <c r="D111"/>
      <c r="F111"/>
      <c r="G111"/>
    </row>
    <row r="112" spans="3:7" x14ac:dyDescent="0.3">
      <c r="C112"/>
      <c r="D112"/>
      <c r="F112"/>
      <c r="G112"/>
    </row>
    <row r="113" spans="3:7" x14ac:dyDescent="0.3">
      <c r="C113"/>
      <c r="D113"/>
      <c r="F113"/>
      <c r="G113"/>
    </row>
    <row r="114" spans="3:7" x14ac:dyDescent="0.3">
      <c r="C114"/>
      <c r="D114"/>
      <c r="F114"/>
      <c r="G114"/>
    </row>
    <row r="115" spans="3:7" x14ac:dyDescent="0.3">
      <c r="C115"/>
      <c r="D115"/>
      <c r="F115"/>
      <c r="G115"/>
    </row>
    <row r="116" spans="3:7" x14ac:dyDescent="0.3">
      <c r="C116"/>
      <c r="D116"/>
      <c r="F116"/>
      <c r="G116"/>
    </row>
    <row r="117" spans="3:7" x14ac:dyDescent="0.3">
      <c r="C117"/>
      <c r="D117"/>
      <c r="F117"/>
      <c r="G117"/>
    </row>
    <row r="118" spans="3:7" x14ac:dyDescent="0.3">
      <c r="C118"/>
      <c r="D118"/>
      <c r="F118"/>
      <c r="G118"/>
    </row>
    <row r="119" spans="3:7" x14ac:dyDescent="0.3">
      <c r="C119"/>
      <c r="D119"/>
      <c r="F119"/>
      <c r="G119"/>
    </row>
    <row r="120" spans="3:7" x14ac:dyDescent="0.3">
      <c r="C120"/>
      <c r="D120"/>
      <c r="F120"/>
      <c r="G120"/>
    </row>
    <row r="121" spans="3:7" x14ac:dyDescent="0.3">
      <c r="C121"/>
      <c r="D121"/>
      <c r="F121"/>
      <c r="G121"/>
    </row>
    <row r="122" spans="3:7" x14ac:dyDescent="0.3">
      <c r="C122"/>
      <c r="D122"/>
      <c r="F122"/>
      <c r="G122"/>
    </row>
    <row r="123" spans="3:7" x14ac:dyDescent="0.3">
      <c r="C123"/>
      <c r="D123"/>
      <c r="F123"/>
      <c r="G123"/>
    </row>
    <row r="124" spans="3:7" x14ac:dyDescent="0.3">
      <c r="C124"/>
      <c r="D124"/>
      <c r="F124"/>
      <c r="G124"/>
    </row>
    <row r="125" spans="3:7" x14ac:dyDescent="0.3">
      <c r="C125"/>
      <c r="D125"/>
      <c r="F125"/>
      <c r="G125"/>
    </row>
    <row r="126" spans="3:7" x14ac:dyDescent="0.3">
      <c r="C126"/>
      <c r="D126"/>
      <c r="F126"/>
      <c r="G126"/>
    </row>
    <row r="127" spans="3:7" x14ac:dyDescent="0.3">
      <c r="C127"/>
      <c r="D127"/>
      <c r="F127"/>
      <c r="G127"/>
    </row>
    <row r="128" spans="3:7" x14ac:dyDescent="0.3">
      <c r="C128"/>
      <c r="D128"/>
      <c r="F128"/>
      <c r="G128"/>
    </row>
    <row r="129" spans="3:7" x14ac:dyDescent="0.3">
      <c r="C129"/>
      <c r="D129"/>
      <c r="F129"/>
      <c r="G129"/>
    </row>
    <row r="130" spans="3:7" x14ac:dyDescent="0.3">
      <c r="C130"/>
      <c r="D130"/>
      <c r="F130"/>
      <c r="G130"/>
    </row>
    <row r="131" spans="3:7" x14ac:dyDescent="0.3">
      <c r="C131"/>
      <c r="D131"/>
      <c r="F131"/>
      <c r="G131"/>
    </row>
    <row r="132" spans="3:7" x14ac:dyDescent="0.3">
      <c r="C132"/>
      <c r="D132"/>
      <c r="F132"/>
      <c r="G132"/>
    </row>
    <row r="133" spans="3:7" x14ac:dyDescent="0.3">
      <c r="C133"/>
      <c r="D133"/>
      <c r="F133"/>
      <c r="G133"/>
    </row>
    <row r="134" spans="3:7" x14ac:dyDescent="0.3">
      <c r="C134"/>
      <c r="D134"/>
      <c r="F134"/>
      <c r="G134"/>
    </row>
    <row r="135" spans="3:7" x14ac:dyDescent="0.3">
      <c r="C135"/>
      <c r="D135"/>
      <c r="F135"/>
      <c r="G135"/>
    </row>
    <row r="136" spans="3:7" x14ac:dyDescent="0.3">
      <c r="C136"/>
      <c r="D136"/>
      <c r="F136"/>
      <c r="G136"/>
    </row>
    <row r="137" spans="3:7" x14ac:dyDescent="0.3">
      <c r="C137"/>
      <c r="D137"/>
      <c r="F137"/>
      <c r="G137"/>
    </row>
    <row r="138" spans="3:7" x14ac:dyDescent="0.3">
      <c r="C138"/>
      <c r="D138"/>
      <c r="F138"/>
      <c r="G138"/>
    </row>
    <row r="139" spans="3:7" x14ac:dyDescent="0.3">
      <c r="C139"/>
      <c r="D139"/>
      <c r="F139"/>
      <c r="G139"/>
    </row>
    <row r="140" spans="3:7" x14ac:dyDescent="0.3">
      <c r="C140"/>
      <c r="D140"/>
      <c r="F140"/>
      <c r="G140"/>
    </row>
    <row r="141" spans="3:7" x14ac:dyDescent="0.3">
      <c r="C141"/>
      <c r="D141"/>
      <c r="F141"/>
      <c r="G141"/>
    </row>
    <row r="142" spans="3:7" x14ac:dyDescent="0.3">
      <c r="C142"/>
      <c r="D142"/>
      <c r="F142"/>
      <c r="G142"/>
    </row>
    <row r="143" spans="3:7" x14ac:dyDescent="0.3">
      <c r="C143"/>
      <c r="D143"/>
      <c r="F143"/>
      <c r="G143"/>
    </row>
    <row r="144" spans="3:7" x14ac:dyDescent="0.3">
      <c r="C144"/>
      <c r="D144"/>
      <c r="F144"/>
      <c r="G144"/>
    </row>
    <row r="145" spans="3:7" x14ac:dyDescent="0.3">
      <c r="C145"/>
      <c r="D145"/>
      <c r="F145"/>
      <c r="G145"/>
    </row>
    <row r="146" spans="3:7" x14ac:dyDescent="0.3">
      <c r="C146"/>
      <c r="D146"/>
      <c r="F146"/>
      <c r="G146"/>
    </row>
    <row r="147" spans="3:7" x14ac:dyDescent="0.3">
      <c r="C147"/>
      <c r="D147"/>
      <c r="F147"/>
      <c r="G147"/>
    </row>
    <row r="148" spans="3:7" x14ac:dyDescent="0.3">
      <c r="C148"/>
      <c r="D148"/>
      <c r="F148"/>
      <c r="G148"/>
    </row>
    <row r="149" spans="3:7" x14ac:dyDescent="0.3">
      <c r="C149"/>
      <c r="D149"/>
      <c r="F149"/>
      <c r="G149"/>
    </row>
    <row r="150" spans="3:7" x14ac:dyDescent="0.3">
      <c r="C150"/>
      <c r="D150"/>
      <c r="F150"/>
      <c r="G150"/>
    </row>
    <row r="151" spans="3:7" x14ac:dyDescent="0.3">
      <c r="C151"/>
      <c r="D151"/>
      <c r="F151"/>
      <c r="G151"/>
    </row>
    <row r="152" spans="3:7" x14ac:dyDescent="0.3">
      <c r="C152"/>
      <c r="D152"/>
      <c r="F152"/>
      <c r="G152"/>
    </row>
    <row r="153" spans="3:7" x14ac:dyDescent="0.3">
      <c r="C153"/>
      <c r="D153"/>
      <c r="F153"/>
      <c r="G153"/>
    </row>
    <row r="154" spans="3:7" x14ac:dyDescent="0.3">
      <c r="C154"/>
      <c r="D154"/>
      <c r="F154"/>
      <c r="G154"/>
    </row>
    <row r="155" spans="3:7" x14ac:dyDescent="0.3">
      <c r="C155"/>
      <c r="D155"/>
      <c r="F155"/>
      <c r="G155"/>
    </row>
    <row r="156" spans="3:7" x14ac:dyDescent="0.3">
      <c r="C156"/>
      <c r="D156"/>
      <c r="F156"/>
      <c r="G156"/>
    </row>
    <row r="157" spans="3:7" x14ac:dyDescent="0.3">
      <c r="C157"/>
      <c r="D157"/>
      <c r="F157"/>
      <c r="G157"/>
    </row>
    <row r="158" spans="3:7" x14ac:dyDescent="0.3">
      <c r="C158"/>
      <c r="D158"/>
      <c r="F158"/>
      <c r="G158"/>
    </row>
    <row r="159" spans="3:7" x14ac:dyDescent="0.3">
      <c r="C159"/>
      <c r="D159"/>
      <c r="F159"/>
      <c r="G159"/>
    </row>
    <row r="160" spans="3:7" x14ac:dyDescent="0.3">
      <c r="C160"/>
      <c r="D160"/>
      <c r="F160"/>
      <c r="G160"/>
    </row>
    <row r="161" spans="3:7" x14ac:dyDescent="0.3">
      <c r="C161"/>
      <c r="D161"/>
      <c r="F161"/>
      <c r="G161"/>
    </row>
    <row r="162" spans="3:7" x14ac:dyDescent="0.3">
      <c r="C162"/>
      <c r="D162"/>
      <c r="F162"/>
      <c r="G162"/>
    </row>
    <row r="163" spans="3:7" x14ac:dyDescent="0.3">
      <c r="C163"/>
      <c r="D163"/>
      <c r="F163"/>
      <c r="G163"/>
    </row>
    <row r="164" spans="3:7" x14ac:dyDescent="0.3">
      <c r="C164"/>
      <c r="D164"/>
      <c r="F164"/>
      <c r="G164"/>
    </row>
    <row r="165" spans="3:7" x14ac:dyDescent="0.3">
      <c r="C165"/>
      <c r="D165"/>
      <c r="F165"/>
      <c r="G165"/>
    </row>
    <row r="166" spans="3:7" x14ac:dyDescent="0.3">
      <c r="C166"/>
      <c r="D166"/>
      <c r="F166"/>
      <c r="G166"/>
    </row>
    <row r="167" spans="3:7" x14ac:dyDescent="0.3">
      <c r="C167"/>
      <c r="D167"/>
      <c r="F167"/>
      <c r="G167"/>
    </row>
    <row r="168" spans="3:7" x14ac:dyDescent="0.3">
      <c r="C168"/>
      <c r="D168"/>
      <c r="F168"/>
      <c r="G168"/>
    </row>
    <row r="169" spans="3:7" x14ac:dyDescent="0.3">
      <c r="C169"/>
      <c r="D169"/>
      <c r="F169"/>
      <c r="G169"/>
    </row>
    <row r="170" spans="3:7" x14ac:dyDescent="0.3">
      <c r="C170"/>
      <c r="D170"/>
      <c r="F170"/>
      <c r="G170"/>
    </row>
    <row r="171" spans="3:7" x14ac:dyDescent="0.3">
      <c r="C171"/>
      <c r="D171"/>
      <c r="F171"/>
      <c r="G171"/>
    </row>
    <row r="172" spans="3:7" x14ac:dyDescent="0.3">
      <c r="C172"/>
      <c r="D172"/>
      <c r="F172"/>
      <c r="G172"/>
    </row>
    <row r="173" spans="3:7" x14ac:dyDescent="0.3">
      <c r="C173"/>
      <c r="D173"/>
      <c r="F173"/>
      <c r="G173"/>
    </row>
    <row r="174" spans="3:7" x14ac:dyDescent="0.3">
      <c r="C174"/>
      <c r="D174"/>
      <c r="F174"/>
      <c r="G174"/>
    </row>
    <row r="175" spans="3:7" x14ac:dyDescent="0.3">
      <c r="C175"/>
      <c r="D175"/>
      <c r="F175"/>
      <c r="G175"/>
    </row>
    <row r="176" spans="3:7" x14ac:dyDescent="0.3">
      <c r="C176"/>
      <c r="D176"/>
      <c r="F176"/>
      <c r="G176"/>
    </row>
    <row r="177" spans="3:7" x14ac:dyDescent="0.3">
      <c r="C177"/>
      <c r="D177"/>
      <c r="F177"/>
      <c r="G177"/>
    </row>
    <row r="178" spans="3:7" x14ac:dyDescent="0.3">
      <c r="C178"/>
      <c r="D178"/>
      <c r="F178"/>
      <c r="G178"/>
    </row>
    <row r="179" spans="3:7" x14ac:dyDescent="0.3">
      <c r="C179"/>
      <c r="D179"/>
      <c r="F179"/>
      <c r="G179"/>
    </row>
    <row r="180" spans="3:7" x14ac:dyDescent="0.3">
      <c r="C180"/>
      <c r="D180"/>
      <c r="F180"/>
      <c r="G180"/>
    </row>
    <row r="181" spans="3:7" x14ac:dyDescent="0.3">
      <c r="C181"/>
      <c r="D181"/>
      <c r="F181"/>
      <c r="G181"/>
    </row>
    <row r="182" spans="3:7" x14ac:dyDescent="0.3">
      <c r="C182"/>
      <c r="D182"/>
      <c r="F182"/>
      <c r="G182"/>
    </row>
    <row r="183" spans="3:7" x14ac:dyDescent="0.3">
      <c r="C183"/>
      <c r="D183"/>
      <c r="F183"/>
      <c r="G183"/>
    </row>
    <row r="184" spans="3:7" x14ac:dyDescent="0.3">
      <c r="C184"/>
      <c r="D184"/>
      <c r="F184"/>
      <c r="G184"/>
    </row>
    <row r="185" spans="3:7" x14ac:dyDescent="0.3">
      <c r="C185"/>
      <c r="D185"/>
      <c r="F185"/>
      <c r="G185"/>
    </row>
    <row r="186" spans="3:7" x14ac:dyDescent="0.3">
      <c r="C186"/>
      <c r="D186"/>
      <c r="F186"/>
      <c r="G186"/>
    </row>
    <row r="187" spans="3:7" x14ac:dyDescent="0.3">
      <c r="C187"/>
      <c r="D187"/>
      <c r="F187"/>
      <c r="G187"/>
    </row>
    <row r="188" spans="3:7" x14ac:dyDescent="0.3">
      <c r="C188"/>
      <c r="D188"/>
      <c r="F188"/>
      <c r="G188"/>
    </row>
    <row r="189" spans="3:7" x14ac:dyDescent="0.3">
      <c r="C189"/>
      <c r="D189"/>
      <c r="F189"/>
      <c r="G189"/>
    </row>
    <row r="190" spans="3:7" x14ac:dyDescent="0.3">
      <c r="C190"/>
      <c r="D190"/>
      <c r="F190"/>
      <c r="G190"/>
    </row>
    <row r="191" spans="3:7" x14ac:dyDescent="0.3">
      <c r="C191"/>
      <c r="D191"/>
      <c r="F191"/>
      <c r="G191"/>
    </row>
    <row r="192" spans="3:7" x14ac:dyDescent="0.3">
      <c r="C192"/>
      <c r="D192"/>
      <c r="F192"/>
      <c r="G192"/>
    </row>
    <row r="193" spans="3:7" x14ac:dyDescent="0.3">
      <c r="C193"/>
      <c r="D193"/>
      <c r="F193"/>
      <c r="G193"/>
    </row>
    <row r="194" spans="3:7" x14ac:dyDescent="0.3">
      <c r="C194"/>
      <c r="D194"/>
      <c r="F194"/>
      <c r="G194"/>
    </row>
    <row r="195" spans="3:7" x14ac:dyDescent="0.3">
      <c r="C195"/>
      <c r="D195"/>
      <c r="F195"/>
      <c r="G195"/>
    </row>
    <row r="196" spans="3:7" x14ac:dyDescent="0.3">
      <c r="C196"/>
      <c r="D196"/>
      <c r="F196"/>
      <c r="G196"/>
    </row>
    <row r="197" spans="3:7" x14ac:dyDescent="0.3">
      <c r="C197"/>
      <c r="D197"/>
      <c r="F197"/>
      <c r="G197"/>
    </row>
    <row r="198" spans="3:7" x14ac:dyDescent="0.3">
      <c r="C198"/>
      <c r="D198"/>
      <c r="F198"/>
      <c r="G198"/>
    </row>
    <row r="199" spans="3:7" x14ac:dyDescent="0.3">
      <c r="C199"/>
      <c r="D199"/>
      <c r="F199"/>
      <c r="G199"/>
    </row>
    <row r="200" spans="3:7" x14ac:dyDescent="0.3">
      <c r="C200"/>
      <c r="D200"/>
      <c r="F200"/>
      <c r="G200"/>
    </row>
    <row r="201" spans="3:7" x14ac:dyDescent="0.3">
      <c r="C201"/>
      <c r="D201"/>
      <c r="F201"/>
      <c r="G201"/>
    </row>
    <row r="202" spans="3:7" x14ac:dyDescent="0.3">
      <c r="C202"/>
      <c r="D202"/>
      <c r="F202"/>
      <c r="G202"/>
    </row>
    <row r="203" spans="3:7" x14ac:dyDescent="0.3">
      <c r="C203"/>
      <c r="D203"/>
      <c r="F203"/>
      <c r="G203"/>
    </row>
    <row r="204" spans="3:7" x14ac:dyDescent="0.3">
      <c r="C204"/>
      <c r="D204"/>
      <c r="F204"/>
      <c r="G204"/>
    </row>
    <row r="205" spans="3:7" x14ac:dyDescent="0.3">
      <c r="C205"/>
      <c r="D205"/>
      <c r="F205"/>
      <c r="G205"/>
    </row>
    <row r="206" spans="3:7" x14ac:dyDescent="0.3">
      <c r="C206"/>
      <c r="D206"/>
      <c r="F206"/>
      <c r="G206"/>
    </row>
    <row r="207" spans="3:7" x14ac:dyDescent="0.3">
      <c r="C207"/>
      <c r="D207"/>
      <c r="F207"/>
      <c r="G207"/>
    </row>
    <row r="208" spans="3:7" x14ac:dyDescent="0.3">
      <c r="C208"/>
      <c r="D208"/>
      <c r="F208"/>
      <c r="G208"/>
    </row>
    <row r="209" spans="3:7" x14ac:dyDescent="0.3">
      <c r="C209"/>
      <c r="D209"/>
      <c r="F209"/>
      <c r="G209"/>
    </row>
    <row r="210" spans="3:7" x14ac:dyDescent="0.3">
      <c r="C210"/>
      <c r="D210"/>
      <c r="F210"/>
      <c r="G210"/>
    </row>
    <row r="211" spans="3:7" x14ac:dyDescent="0.3">
      <c r="C211"/>
      <c r="D211"/>
      <c r="F211"/>
      <c r="G211"/>
    </row>
    <row r="212" spans="3:7" x14ac:dyDescent="0.3">
      <c r="C212"/>
      <c r="D212"/>
      <c r="F212"/>
      <c r="G212"/>
    </row>
    <row r="213" spans="3:7" x14ac:dyDescent="0.3">
      <c r="C213"/>
      <c r="D213"/>
      <c r="F213"/>
      <c r="G213"/>
    </row>
    <row r="214" spans="3:7" x14ac:dyDescent="0.3">
      <c r="C214"/>
      <c r="D214"/>
      <c r="F214"/>
      <c r="G214"/>
    </row>
    <row r="215" spans="3:7" x14ac:dyDescent="0.3">
      <c r="C215"/>
      <c r="D215"/>
      <c r="F215"/>
      <c r="G215"/>
    </row>
    <row r="216" spans="3:7" x14ac:dyDescent="0.3">
      <c r="C216"/>
      <c r="D216"/>
      <c r="F216"/>
      <c r="G216"/>
    </row>
    <row r="217" spans="3:7" x14ac:dyDescent="0.3">
      <c r="C217"/>
      <c r="D217"/>
      <c r="F217"/>
      <c r="G217"/>
    </row>
    <row r="218" spans="3:7" x14ac:dyDescent="0.3">
      <c r="C218"/>
      <c r="D218"/>
      <c r="F218"/>
      <c r="G218"/>
    </row>
    <row r="219" spans="3:7" x14ac:dyDescent="0.3">
      <c r="C219"/>
      <c r="D219"/>
      <c r="F219"/>
      <c r="G219"/>
    </row>
    <row r="220" spans="3:7" x14ac:dyDescent="0.3">
      <c r="C220"/>
      <c r="D220"/>
      <c r="F220"/>
      <c r="G220"/>
    </row>
    <row r="221" spans="3:7" x14ac:dyDescent="0.3">
      <c r="C221"/>
      <c r="D221"/>
      <c r="F221"/>
      <c r="G221"/>
    </row>
    <row r="222" spans="3:7" x14ac:dyDescent="0.3">
      <c r="C222"/>
      <c r="D222"/>
      <c r="F222"/>
      <c r="G222"/>
    </row>
    <row r="223" spans="3:7" x14ac:dyDescent="0.3">
      <c r="C223"/>
      <c r="D223"/>
      <c r="F223"/>
      <c r="G223"/>
    </row>
    <row r="224" spans="3:7" x14ac:dyDescent="0.3">
      <c r="C224"/>
      <c r="D224"/>
      <c r="F224"/>
      <c r="G224"/>
    </row>
    <row r="225" spans="3:7" x14ac:dyDescent="0.3">
      <c r="C225"/>
      <c r="D225"/>
      <c r="F225"/>
      <c r="G225"/>
    </row>
    <row r="226" spans="3:7" x14ac:dyDescent="0.3">
      <c r="C226"/>
      <c r="D226"/>
      <c r="F226"/>
      <c r="G226"/>
    </row>
    <row r="227" spans="3:7" x14ac:dyDescent="0.3">
      <c r="C227"/>
      <c r="D227"/>
      <c r="F227"/>
      <c r="G227"/>
    </row>
    <row r="228" spans="3:7" x14ac:dyDescent="0.3">
      <c r="C228"/>
      <c r="D228"/>
      <c r="F228"/>
      <c r="G228"/>
    </row>
    <row r="229" spans="3:7" x14ac:dyDescent="0.3">
      <c r="C229"/>
      <c r="D229"/>
      <c r="F229"/>
      <c r="G229"/>
    </row>
    <row r="230" spans="3:7" x14ac:dyDescent="0.3">
      <c r="C230"/>
      <c r="D230"/>
      <c r="F230"/>
      <c r="G230"/>
    </row>
    <row r="231" spans="3:7" x14ac:dyDescent="0.3">
      <c r="C231"/>
      <c r="D231"/>
      <c r="F231"/>
      <c r="G231"/>
    </row>
    <row r="232" spans="3:7" x14ac:dyDescent="0.3">
      <c r="C232"/>
      <c r="D232"/>
      <c r="F232"/>
      <c r="G232"/>
    </row>
    <row r="233" spans="3:7" x14ac:dyDescent="0.3">
      <c r="C233"/>
      <c r="D233"/>
      <c r="F233"/>
      <c r="G233"/>
    </row>
    <row r="234" spans="3:7" x14ac:dyDescent="0.3">
      <c r="C234"/>
      <c r="D234"/>
      <c r="F234"/>
      <c r="G234"/>
    </row>
    <row r="235" spans="3:7" x14ac:dyDescent="0.3">
      <c r="C235"/>
      <c r="D235"/>
      <c r="F235"/>
      <c r="G235"/>
    </row>
    <row r="236" spans="3:7" x14ac:dyDescent="0.3">
      <c r="C236"/>
      <c r="D236"/>
      <c r="F236"/>
      <c r="G236"/>
    </row>
    <row r="237" spans="3:7" x14ac:dyDescent="0.3">
      <c r="C237"/>
      <c r="D237"/>
      <c r="F237"/>
      <c r="G237"/>
    </row>
    <row r="238" spans="3:7" x14ac:dyDescent="0.3">
      <c r="C238"/>
      <c r="D238"/>
      <c r="F238"/>
      <c r="G238"/>
    </row>
    <row r="239" spans="3:7" x14ac:dyDescent="0.3">
      <c r="C239"/>
      <c r="D239"/>
      <c r="F239"/>
      <c r="G239"/>
    </row>
    <row r="240" spans="3:7" x14ac:dyDescent="0.3">
      <c r="C240"/>
      <c r="D240"/>
      <c r="F240"/>
      <c r="G240"/>
    </row>
    <row r="241" spans="3:7" x14ac:dyDescent="0.3">
      <c r="C241"/>
      <c r="D241"/>
      <c r="F241"/>
      <c r="G241"/>
    </row>
    <row r="242" spans="3:7" x14ac:dyDescent="0.3">
      <c r="C242"/>
      <c r="D242"/>
      <c r="F242"/>
      <c r="G242"/>
    </row>
    <row r="243" spans="3:7" x14ac:dyDescent="0.3">
      <c r="C243"/>
      <c r="D243"/>
      <c r="F243"/>
      <c r="G243"/>
    </row>
    <row r="244" spans="3:7" x14ac:dyDescent="0.3">
      <c r="C244"/>
      <c r="D244"/>
      <c r="F244"/>
      <c r="G244"/>
    </row>
    <row r="245" spans="3:7" x14ac:dyDescent="0.3">
      <c r="C245"/>
      <c r="D245"/>
      <c r="F245"/>
      <c r="G245"/>
    </row>
    <row r="246" spans="3:7" x14ac:dyDescent="0.3">
      <c r="C246"/>
      <c r="D246"/>
      <c r="F246"/>
      <c r="G246"/>
    </row>
    <row r="247" spans="3:7" x14ac:dyDescent="0.3">
      <c r="C247"/>
      <c r="D247"/>
      <c r="F247"/>
      <c r="G247"/>
    </row>
    <row r="248" spans="3:7" x14ac:dyDescent="0.3">
      <c r="C248"/>
      <c r="D248"/>
      <c r="F248"/>
      <c r="G248"/>
    </row>
    <row r="249" spans="3:7" x14ac:dyDescent="0.3">
      <c r="C249"/>
      <c r="D249"/>
      <c r="F249"/>
      <c r="G249"/>
    </row>
    <row r="250" spans="3:7" x14ac:dyDescent="0.3">
      <c r="C250"/>
      <c r="D250"/>
      <c r="F250"/>
      <c r="G250"/>
    </row>
    <row r="251" spans="3:7" x14ac:dyDescent="0.3">
      <c r="C251"/>
      <c r="D251"/>
      <c r="F251"/>
      <c r="G251"/>
    </row>
    <row r="252" spans="3:7" x14ac:dyDescent="0.3">
      <c r="C252"/>
      <c r="D252"/>
      <c r="F252"/>
      <c r="G252"/>
    </row>
    <row r="253" spans="3:7" x14ac:dyDescent="0.3">
      <c r="C253"/>
      <c r="D253"/>
      <c r="F253"/>
      <c r="G253"/>
    </row>
    <row r="254" spans="3:7" x14ac:dyDescent="0.3">
      <c r="C254"/>
      <c r="D254"/>
      <c r="F254"/>
      <c r="G254"/>
    </row>
    <row r="255" spans="3:7" x14ac:dyDescent="0.3">
      <c r="C255"/>
      <c r="D255"/>
      <c r="F255"/>
      <c r="G255"/>
    </row>
    <row r="256" spans="3:7" x14ac:dyDescent="0.3">
      <c r="C256"/>
      <c r="D256"/>
      <c r="F256"/>
      <c r="G256"/>
    </row>
    <row r="257" spans="3:7" x14ac:dyDescent="0.3">
      <c r="C257"/>
      <c r="D257"/>
      <c r="F257"/>
      <c r="G257"/>
    </row>
    <row r="258" spans="3:7" x14ac:dyDescent="0.3">
      <c r="C258"/>
      <c r="D258"/>
      <c r="F258"/>
      <c r="G258"/>
    </row>
    <row r="259" spans="3:7" x14ac:dyDescent="0.3">
      <c r="C259"/>
      <c r="D259"/>
      <c r="F259"/>
      <c r="G259"/>
    </row>
    <row r="260" spans="3:7" x14ac:dyDescent="0.3">
      <c r="C260"/>
      <c r="D260"/>
      <c r="F260"/>
      <c r="G260"/>
    </row>
    <row r="261" spans="3:7" x14ac:dyDescent="0.3">
      <c r="C261"/>
      <c r="D261"/>
      <c r="F261"/>
      <c r="G261"/>
    </row>
    <row r="262" spans="3:7" x14ac:dyDescent="0.3">
      <c r="C262"/>
      <c r="D262"/>
      <c r="F262"/>
      <c r="G262"/>
    </row>
    <row r="263" spans="3:7" x14ac:dyDescent="0.3">
      <c r="C263"/>
      <c r="D263"/>
      <c r="F263"/>
      <c r="G263"/>
    </row>
    <row r="264" spans="3:7" x14ac:dyDescent="0.3">
      <c r="C264"/>
      <c r="D264"/>
      <c r="F264"/>
      <c r="G264"/>
    </row>
    <row r="265" spans="3:7" x14ac:dyDescent="0.3">
      <c r="C265"/>
      <c r="D265"/>
      <c r="F265"/>
      <c r="G265"/>
    </row>
    <row r="266" spans="3:7" x14ac:dyDescent="0.3">
      <c r="C266"/>
      <c r="D266"/>
      <c r="F266"/>
      <c r="G266"/>
    </row>
    <row r="267" spans="3:7" x14ac:dyDescent="0.3">
      <c r="C267"/>
      <c r="D267"/>
      <c r="F267"/>
      <c r="G267"/>
    </row>
    <row r="268" spans="3:7" x14ac:dyDescent="0.3">
      <c r="C268"/>
      <c r="D268"/>
      <c r="F268"/>
      <c r="G268"/>
    </row>
    <row r="269" spans="3:7" x14ac:dyDescent="0.3">
      <c r="C269"/>
      <c r="D269"/>
      <c r="F269"/>
      <c r="G269"/>
    </row>
    <row r="270" spans="3:7" x14ac:dyDescent="0.3">
      <c r="C270"/>
      <c r="D270"/>
      <c r="F270"/>
      <c r="G270"/>
    </row>
    <row r="271" spans="3:7" x14ac:dyDescent="0.3">
      <c r="C271"/>
      <c r="D271"/>
      <c r="F271"/>
      <c r="G271"/>
    </row>
    <row r="272" spans="3:7" x14ac:dyDescent="0.3">
      <c r="C272"/>
      <c r="D272"/>
      <c r="F272"/>
      <c r="G272"/>
    </row>
    <row r="273" spans="3:7" x14ac:dyDescent="0.3">
      <c r="C273"/>
      <c r="D273"/>
      <c r="F273"/>
      <c r="G273"/>
    </row>
    <row r="274" spans="3:7" x14ac:dyDescent="0.3">
      <c r="C274"/>
      <c r="D274"/>
      <c r="F274"/>
      <c r="G274"/>
    </row>
    <row r="275" spans="3:7" x14ac:dyDescent="0.3">
      <c r="C275"/>
      <c r="D275"/>
      <c r="F275"/>
      <c r="G275"/>
    </row>
    <row r="276" spans="3:7" x14ac:dyDescent="0.3">
      <c r="C276"/>
      <c r="D276"/>
      <c r="F276"/>
      <c r="G276"/>
    </row>
    <row r="277" spans="3:7" x14ac:dyDescent="0.3">
      <c r="C277"/>
      <c r="D277"/>
      <c r="F277"/>
      <c r="G277"/>
    </row>
    <row r="278" spans="3:7" x14ac:dyDescent="0.3">
      <c r="C278"/>
      <c r="D278"/>
      <c r="F278"/>
      <c r="G278"/>
    </row>
    <row r="279" spans="3:7" x14ac:dyDescent="0.3">
      <c r="C279"/>
      <c r="D279"/>
      <c r="F279"/>
      <c r="G279"/>
    </row>
    <row r="280" spans="3:7" x14ac:dyDescent="0.3">
      <c r="C280"/>
      <c r="D280"/>
      <c r="F280"/>
      <c r="G280"/>
    </row>
    <row r="281" spans="3:7" x14ac:dyDescent="0.3">
      <c r="C281"/>
      <c r="D281"/>
      <c r="F281"/>
      <c r="G281"/>
    </row>
    <row r="282" spans="3:7" x14ac:dyDescent="0.3">
      <c r="C282"/>
      <c r="D282"/>
      <c r="F282"/>
      <c r="G282"/>
    </row>
    <row r="283" spans="3:7" x14ac:dyDescent="0.3">
      <c r="C283"/>
      <c r="D283"/>
      <c r="F283"/>
      <c r="G283"/>
    </row>
    <row r="284" spans="3:7" x14ac:dyDescent="0.3">
      <c r="C284"/>
      <c r="D284"/>
      <c r="F284"/>
      <c r="G284"/>
    </row>
    <row r="285" spans="3:7" x14ac:dyDescent="0.3">
      <c r="C285"/>
      <c r="D285"/>
      <c r="F285"/>
      <c r="G285"/>
    </row>
    <row r="286" spans="3:7" x14ac:dyDescent="0.3">
      <c r="C286"/>
      <c r="D286"/>
      <c r="F286"/>
      <c r="G286"/>
    </row>
    <row r="287" spans="3:7" x14ac:dyDescent="0.3">
      <c r="C287"/>
      <c r="D287"/>
      <c r="F287"/>
      <c r="G287"/>
    </row>
    <row r="288" spans="3:7" x14ac:dyDescent="0.3">
      <c r="C288"/>
      <c r="D288"/>
      <c r="F288"/>
      <c r="G288"/>
    </row>
    <row r="289" spans="3:7" x14ac:dyDescent="0.3">
      <c r="C289"/>
      <c r="D289"/>
      <c r="F289"/>
      <c r="G289"/>
    </row>
    <row r="290" spans="3:7" x14ac:dyDescent="0.3">
      <c r="C290"/>
      <c r="D290"/>
      <c r="F290"/>
      <c r="G290"/>
    </row>
    <row r="291" spans="3:7" x14ac:dyDescent="0.3">
      <c r="C291"/>
      <c r="D291"/>
      <c r="F291"/>
      <c r="G291"/>
    </row>
    <row r="292" spans="3:7" x14ac:dyDescent="0.3">
      <c r="C292"/>
      <c r="D292"/>
      <c r="F292"/>
      <c r="G292"/>
    </row>
    <row r="293" spans="3:7" x14ac:dyDescent="0.3">
      <c r="C293"/>
      <c r="D293"/>
      <c r="F293"/>
      <c r="G293"/>
    </row>
    <row r="294" spans="3:7" x14ac:dyDescent="0.3">
      <c r="C294"/>
      <c r="D294"/>
      <c r="F294"/>
      <c r="G294"/>
    </row>
    <row r="295" spans="3:7" x14ac:dyDescent="0.3">
      <c r="C295"/>
      <c r="D295"/>
      <c r="F295"/>
      <c r="G295"/>
    </row>
    <row r="296" spans="3:7" x14ac:dyDescent="0.3">
      <c r="C296"/>
      <c r="D296"/>
      <c r="F296"/>
      <c r="G296"/>
    </row>
    <row r="297" spans="3:7" x14ac:dyDescent="0.3">
      <c r="C297"/>
      <c r="D297"/>
      <c r="F297"/>
      <c r="G297"/>
    </row>
    <row r="298" spans="3:7" x14ac:dyDescent="0.3">
      <c r="C298"/>
      <c r="D298"/>
      <c r="F298"/>
      <c r="G298"/>
    </row>
    <row r="299" spans="3:7" x14ac:dyDescent="0.3">
      <c r="C299"/>
      <c r="D299"/>
      <c r="F299"/>
      <c r="G299"/>
    </row>
    <row r="300" spans="3:7" x14ac:dyDescent="0.3">
      <c r="C300"/>
      <c r="D300"/>
      <c r="F300"/>
      <c r="G300"/>
    </row>
    <row r="301" spans="3:7" x14ac:dyDescent="0.3">
      <c r="C301"/>
      <c r="D301"/>
      <c r="F301"/>
      <c r="G301"/>
    </row>
    <row r="302" spans="3:7" x14ac:dyDescent="0.3">
      <c r="C302"/>
      <c r="D302"/>
      <c r="F302"/>
      <c r="G302"/>
    </row>
    <row r="303" spans="3:7" x14ac:dyDescent="0.3">
      <c r="C303"/>
      <c r="D303"/>
      <c r="F303"/>
      <c r="G303"/>
    </row>
    <row r="304" spans="3:7" x14ac:dyDescent="0.3">
      <c r="C304"/>
      <c r="D304"/>
      <c r="F304"/>
      <c r="G304"/>
    </row>
    <row r="305" spans="3:7" x14ac:dyDescent="0.3">
      <c r="C305"/>
      <c r="D305"/>
      <c r="F305"/>
      <c r="G305"/>
    </row>
    <row r="306" spans="3:7" x14ac:dyDescent="0.3">
      <c r="C306"/>
      <c r="D306"/>
      <c r="F306"/>
      <c r="G306"/>
    </row>
    <row r="307" spans="3:7" x14ac:dyDescent="0.3">
      <c r="C307"/>
      <c r="D307"/>
      <c r="F307"/>
      <c r="G307"/>
    </row>
    <row r="308" spans="3:7" x14ac:dyDescent="0.3">
      <c r="C308"/>
      <c r="D308"/>
      <c r="F308"/>
      <c r="G308"/>
    </row>
    <row r="309" spans="3:7" x14ac:dyDescent="0.3">
      <c r="C309"/>
      <c r="D309"/>
      <c r="F309"/>
      <c r="G309"/>
    </row>
    <row r="310" spans="3:7" x14ac:dyDescent="0.3">
      <c r="C310"/>
      <c r="D310"/>
      <c r="F310"/>
      <c r="G310"/>
    </row>
    <row r="311" spans="3:7" x14ac:dyDescent="0.3">
      <c r="C311"/>
      <c r="D311"/>
      <c r="F311"/>
      <c r="G311"/>
    </row>
    <row r="312" spans="3:7" x14ac:dyDescent="0.3">
      <c r="C312"/>
      <c r="D312"/>
      <c r="F312"/>
      <c r="G312"/>
    </row>
    <row r="313" spans="3:7" x14ac:dyDescent="0.3">
      <c r="C313"/>
      <c r="D313"/>
      <c r="F313"/>
      <c r="G313"/>
    </row>
    <row r="314" spans="3:7" x14ac:dyDescent="0.3">
      <c r="C314"/>
      <c r="D314"/>
      <c r="F314"/>
      <c r="G314"/>
    </row>
    <row r="315" spans="3:7" x14ac:dyDescent="0.3">
      <c r="C315"/>
      <c r="D315"/>
      <c r="F315"/>
      <c r="G315"/>
    </row>
    <row r="316" spans="3:7" x14ac:dyDescent="0.3">
      <c r="C316"/>
      <c r="D316"/>
      <c r="F316"/>
      <c r="G316"/>
    </row>
    <row r="317" spans="3:7" x14ac:dyDescent="0.3">
      <c r="C317"/>
      <c r="D317"/>
      <c r="F317"/>
      <c r="G317"/>
    </row>
    <row r="318" spans="3:7" x14ac:dyDescent="0.3">
      <c r="C318"/>
      <c r="D318"/>
      <c r="F318"/>
      <c r="G318"/>
    </row>
    <row r="319" spans="3:7" x14ac:dyDescent="0.3">
      <c r="C319"/>
      <c r="D319"/>
      <c r="F319"/>
      <c r="G319"/>
    </row>
    <row r="320" spans="3:7" x14ac:dyDescent="0.3">
      <c r="C320"/>
      <c r="D320"/>
      <c r="F320"/>
      <c r="G320"/>
    </row>
    <row r="321" spans="3:7" x14ac:dyDescent="0.3">
      <c r="C321"/>
      <c r="D321"/>
      <c r="F321"/>
      <c r="G321"/>
    </row>
    <row r="322" spans="3:7" x14ac:dyDescent="0.3">
      <c r="C322"/>
      <c r="D322"/>
      <c r="F322"/>
      <c r="G322"/>
    </row>
    <row r="323" spans="3:7" x14ac:dyDescent="0.3">
      <c r="C323"/>
      <c r="D323"/>
      <c r="F323"/>
      <c r="G323"/>
    </row>
    <row r="324" spans="3:7" x14ac:dyDescent="0.3">
      <c r="C324"/>
      <c r="D324"/>
      <c r="F324"/>
      <c r="G324"/>
    </row>
    <row r="325" spans="3:7" x14ac:dyDescent="0.3">
      <c r="C325"/>
      <c r="D325"/>
      <c r="F325"/>
      <c r="G325"/>
    </row>
    <row r="326" spans="3:7" x14ac:dyDescent="0.3">
      <c r="C326"/>
      <c r="D326"/>
      <c r="F326"/>
      <c r="G326"/>
    </row>
    <row r="327" spans="3:7" x14ac:dyDescent="0.3">
      <c r="C327"/>
      <c r="D327"/>
      <c r="F327"/>
      <c r="G327"/>
    </row>
    <row r="328" spans="3:7" x14ac:dyDescent="0.3">
      <c r="C328"/>
      <c r="D328"/>
      <c r="F328"/>
      <c r="G328"/>
    </row>
    <row r="329" spans="3:7" x14ac:dyDescent="0.3">
      <c r="C329"/>
      <c r="D329"/>
      <c r="F329"/>
      <c r="G329"/>
    </row>
    <row r="330" spans="3:7" x14ac:dyDescent="0.3">
      <c r="C330"/>
      <c r="D330"/>
      <c r="F330"/>
      <c r="G330"/>
    </row>
    <row r="331" spans="3:7" x14ac:dyDescent="0.3">
      <c r="C331"/>
      <c r="D331"/>
      <c r="F331"/>
      <c r="G331"/>
    </row>
    <row r="332" spans="3:7" x14ac:dyDescent="0.3">
      <c r="C332"/>
      <c r="D332"/>
      <c r="F332"/>
      <c r="G332"/>
    </row>
    <row r="333" spans="3:7" x14ac:dyDescent="0.3">
      <c r="C333"/>
      <c r="D333"/>
      <c r="F333"/>
      <c r="G333"/>
    </row>
    <row r="334" spans="3:7" x14ac:dyDescent="0.3">
      <c r="C334"/>
      <c r="D334"/>
      <c r="F334"/>
      <c r="G334"/>
    </row>
    <row r="335" spans="3:7" x14ac:dyDescent="0.3">
      <c r="C335"/>
      <c r="D335"/>
      <c r="F335"/>
      <c r="G335"/>
    </row>
    <row r="336" spans="3:7" x14ac:dyDescent="0.3">
      <c r="C336"/>
      <c r="D336"/>
      <c r="F336"/>
      <c r="G336"/>
    </row>
    <row r="337" spans="3:7" x14ac:dyDescent="0.3">
      <c r="C337"/>
      <c r="D337"/>
      <c r="F337"/>
      <c r="G337"/>
    </row>
    <row r="338" spans="3:7" x14ac:dyDescent="0.3">
      <c r="C338"/>
      <c r="D338"/>
      <c r="F338"/>
      <c r="G338"/>
    </row>
    <row r="339" spans="3:7" x14ac:dyDescent="0.3">
      <c r="C339"/>
      <c r="D339"/>
      <c r="F339"/>
      <c r="G339"/>
    </row>
    <row r="340" spans="3:7" x14ac:dyDescent="0.3">
      <c r="C340"/>
      <c r="D340"/>
      <c r="F340"/>
      <c r="G340"/>
    </row>
    <row r="341" spans="3:7" x14ac:dyDescent="0.3">
      <c r="C341"/>
      <c r="D341"/>
      <c r="F341"/>
      <c r="G341"/>
    </row>
    <row r="342" spans="3:7" x14ac:dyDescent="0.3">
      <c r="C342"/>
      <c r="D342"/>
      <c r="F342"/>
      <c r="G342"/>
    </row>
    <row r="343" spans="3:7" x14ac:dyDescent="0.3">
      <c r="C343"/>
      <c r="D343"/>
      <c r="F343"/>
      <c r="G343"/>
    </row>
    <row r="344" spans="3:7" x14ac:dyDescent="0.3">
      <c r="C344"/>
      <c r="D344"/>
      <c r="F344"/>
      <c r="G344"/>
    </row>
    <row r="345" spans="3:7" x14ac:dyDescent="0.3">
      <c r="C345"/>
      <c r="D345"/>
      <c r="F345"/>
      <c r="G345"/>
    </row>
    <row r="346" spans="3:7" x14ac:dyDescent="0.3">
      <c r="C346"/>
      <c r="D346"/>
      <c r="F346"/>
      <c r="G346"/>
    </row>
    <row r="347" spans="3:7" x14ac:dyDescent="0.3">
      <c r="C347"/>
      <c r="D347"/>
      <c r="F347"/>
      <c r="G347"/>
    </row>
    <row r="348" spans="3:7" x14ac:dyDescent="0.3">
      <c r="C348"/>
      <c r="D348"/>
      <c r="F348"/>
      <c r="G348"/>
    </row>
    <row r="349" spans="3:7" x14ac:dyDescent="0.3">
      <c r="C349"/>
      <c r="D349"/>
      <c r="F349"/>
      <c r="G349"/>
    </row>
    <row r="350" spans="3:7" x14ac:dyDescent="0.3">
      <c r="C350"/>
      <c r="D350"/>
      <c r="F350"/>
      <c r="G350"/>
    </row>
    <row r="351" spans="3:7" x14ac:dyDescent="0.3">
      <c r="C351"/>
      <c r="D351"/>
      <c r="F351"/>
      <c r="G351"/>
    </row>
    <row r="352" spans="3:7" x14ac:dyDescent="0.3">
      <c r="C352"/>
      <c r="D352"/>
      <c r="F352"/>
      <c r="G352"/>
    </row>
    <row r="353" spans="3:7" x14ac:dyDescent="0.3">
      <c r="C353"/>
      <c r="D353"/>
      <c r="F353"/>
      <c r="G353"/>
    </row>
    <row r="354" spans="3:7" x14ac:dyDescent="0.3">
      <c r="C354"/>
      <c r="D354"/>
      <c r="F354"/>
      <c r="G354"/>
    </row>
    <row r="355" spans="3:7" x14ac:dyDescent="0.3">
      <c r="C355"/>
      <c r="D355"/>
      <c r="F355"/>
      <c r="G355"/>
    </row>
    <row r="356" spans="3:7" x14ac:dyDescent="0.3">
      <c r="C356"/>
      <c r="D356"/>
      <c r="F356"/>
      <c r="G356"/>
    </row>
    <row r="357" spans="3:7" x14ac:dyDescent="0.3">
      <c r="C357"/>
      <c r="D357"/>
      <c r="F357"/>
      <c r="G357"/>
    </row>
    <row r="358" spans="3:7" x14ac:dyDescent="0.3">
      <c r="C358"/>
      <c r="D358"/>
      <c r="F358"/>
      <c r="G358"/>
    </row>
    <row r="359" spans="3:7" x14ac:dyDescent="0.3">
      <c r="C359"/>
      <c r="D359"/>
      <c r="F359"/>
      <c r="G359"/>
    </row>
    <row r="360" spans="3:7" x14ac:dyDescent="0.3">
      <c r="C360"/>
      <c r="D360"/>
      <c r="F360"/>
      <c r="G360"/>
    </row>
    <row r="361" spans="3:7" x14ac:dyDescent="0.3">
      <c r="C361"/>
      <c r="D361"/>
      <c r="F361"/>
      <c r="G361"/>
    </row>
    <row r="362" spans="3:7" x14ac:dyDescent="0.3">
      <c r="C362"/>
      <c r="D362"/>
      <c r="F362"/>
      <c r="G362"/>
    </row>
    <row r="363" spans="3:7" x14ac:dyDescent="0.3">
      <c r="C363"/>
      <c r="D363"/>
      <c r="F363"/>
      <c r="G363"/>
    </row>
    <row r="364" spans="3:7" x14ac:dyDescent="0.3">
      <c r="C364"/>
      <c r="D364"/>
      <c r="F364"/>
      <c r="G364"/>
    </row>
    <row r="365" spans="3:7" x14ac:dyDescent="0.3">
      <c r="C365"/>
      <c r="D365"/>
      <c r="F365"/>
      <c r="G365"/>
    </row>
    <row r="366" spans="3:7" x14ac:dyDescent="0.3">
      <c r="C366"/>
      <c r="D366"/>
      <c r="F366"/>
      <c r="G366"/>
    </row>
    <row r="367" spans="3:7" x14ac:dyDescent="0.3">
      <c r="C367"/>
      <c r="D367"/>
      <c r="F367"/>
      <c r="G367"/>
    </row>
    <row r="368" spans="3:7" x14ac:dyDescent="0.3">
      <c r="C368"/>
      <c r="D368"/>
      <c r="F368"/>
      <c r="G368"/>
    </row>
    <row r="369" spans="3:7" x14ac:dyDescent="0.3">
      <c r="C369"/>
      <c r="D369"/>
      <c r="F369"/>
      <c r="G369"/>
    </row>
    <row r="370" spans="3:7" x14ac:dyDescent="0.3">
      <c r="C370"/>
      <c r="D370"/>
      <c r="F370"/>
      <c r="G370"/>
    </row>
    <row r="371" spans="3:7" x14ac:dyDescent="0.3">
      <c r="C371"/>
      <c r="D371"/>
      <c r="F371"/>
      <c r="G371"/>
    </row>
    <row r="372" spans="3:7" x14ac:dyDescent="0.3">
      <c r="C372"/>
      <c r="D372"/>
      <c r="F372"/>
      <c r="G372"/>
    </row>
    <row r="373" spans="3:7" x14ac:dyDescent="0.3">
      <c r="C373"/>
      <c r="D373"/>
      <c r="F373"/>
      <c r="G373"/>
    </row>
    <row r="374" spans="3:7" x14ac:dyDescent="0.3">
      <c r="C374"/>
      <c r="D374"/>
      <c r="F374"/>
      <c r="G374"/>
    </row>
    <row r="375" spans="3:7" x14ac:dyDescent="0.3">
      <c r="C375"/>
      <c r="D375"/>
      <c r="F375"/>
      <c r="G375"/>
    </row>
    <row r="376" spans="3:7" x14ac:dyDescent="0.3">
      <c r="C376"/>
      <c r="D376"/>
      <c r="F376"/>
      <c r="G376"/>
    </row>
    <row r="377" spans="3:7" x14ac:dyDescent="0.3">
      <c r="C377"/>
      <c r="D377"/>
      <c r="F377"/>
      <c r="G377"/>
    </row>
    <row r="378" spans="3:7" x14ac:dyDescent="0.3">
      <c r="C378"/>
      <c r="D378"/>
      <c r="F378"/>
      <c r="G378"/>
    </row>
    <row r="379" spans="3:7" x14ac:dyDescent="0.3">
      <c r="C379"/>
      <c r="D379"/>
      <c r="F379"/>
      <c r="G379"/>
    </row>
    <row r="380" spans="3:7" x14ac:dyDescent="0.3">
      <c r="C380"/>
      <c r="D380"/>
      <c r="F380"/>
      <c r="G380"/>
    </row>
    <row r="381" spans="3:7" x14ac:dyDescent="0.3">
      <c r="C381"/>
      <c r="D381"/>
      <c r="F381"/>
      <c r="G381"/>
    </row>
    <row r="382" spans="3:7" x14ac:dyDescent="0.3">
      <c r="C382"/>
      <c r="D382"/>
      <c r="F382"/>
      <c r="G382"/>
    </row>
    <row r="383" spans="3:7" x14ac:dyDescent="0.3">
      <c r="C383"/>
      <c r="D383"/>
      <c r="F383"/>
      <c r="G383"/>
    </row>
    <row r="384" spans="3:7" x14ac:dyDescent="0.3">
      <c r="C384"/>
      <c r="D384"/>
      <c r="F384"/>
      <c r="G384"/>
    </row>
    <row r="385" spans="3:7" x14ac:dyDescent="0.3">
      <c r="C385"/>
      <c r="D385"/>
      <c r="F385"/>
      <c r="G385"/>
    </row>
    <row r="386" spans="3:7" x14ac:dyDescent="0.3">
      <c r="C386"/>
      <c r="D386"/>
      <c r="F386"/>
      <c r="G386"/>
    </row>
    <row r="387" spans="3:7" x14ac:dyDescent="0.3">
      <c r="C387"/>
      <c r="D387"/>
      <c r="F387"/>
      <c r="G387"/>
    </row>
    <row r="388" spans="3:7" x14ac:dyDescent="0.3">
      <c r="C388"/>
      <c r="D388"/>
      <c r="F388"/>
      <c r="G388"/>
    </row>
    <row r="389" spans="3:7" x14ac:dyDescent="0.3">
      <c r="C389"/>
      <c r="D389"/>
      <c r="F389"/>
      <c r="G389"/>
    </row>
    <row r="390" spans="3:7" x14ac:dyDescent="0.3">
      <c r="C390"/>
      <c r="D390"/>
      <c r="F390"/>
      <c r="G390"/>
    </row>
    <row r="391" spans="3:7" x14ac:dyDescent="0.3">
      <c r="C391"/>
      <c r="D391"/>
      <c r="F391"/>
      <c r="G391"/>
    </row>
    <row r="392" spans="3:7" x14ac:dyDescent="0.3">
      <c r="C392"/>
      <c r="D392"/>
      <c r="F392"/>
      <c r="G392"/>
    </row>
    <row r="393" spans="3:7" x14ac:dyDescent="0.3">
      <c r="C393"/>
      <c r="D393"/>
      <c r="F393"/>
      <c r="G393"/>
    </row>
    <row r="394" spans="3:7" x14ac:dyDescent="0.3">
      <c r="C394"/>
      <c r="D394"/>
      <c r="F394"/>
      <c r="G394"/>
    </row>
    <row r="395" spans="3:7" x14ac:dyDescent="0.3">
      <c r="C395"/>
      <c r="D395"/>
      <c r="F395"/>
      <c r="G395"/>
    </row>
    <row r="396" spans="3:7" x14ac:dyDescent="0.3">
      <c r="C396"/>
      <c r="D396"/>
      <c r="F396"/>
      <c r="G396"/>
    </row>
    <row r="397" spans="3:7" x14ac:dyDescent="0.3">
      <c r="C397"/>
      <c r="D397"/>
      <c r="F397"/>
      <c r="G397"/>
    </row>
    <row r="398" spans="3:7" x14ac:dyDescent="0.3">
      <c r="C398"/>
      <c r="D398"/>
      <c r="F398"/>
      <c r="G398"/>
    </row>
    <row r="399" spans="3:7" x14ac:dyDescent="0.3">
      <c r="C399"/>
      <c r="D399"/>
      <c r="F399"/>
      <c r="G399"/>
    </row>
    <row r="400" spans="3:7" x14ac:dyDescent="0.3">
      <c r="C400"/>
      <c r="D400"/>
      <c r="F400"/>
      <c r="G400"/>
    </row>
    <row r="401" spans="3:7" x14ac:dyDescent="0.3">
      <c r="C401"/>
      <c r="D401"/>
      <c r="F401"/>
      <c r="G401"/>
    </row>
    <row r="402" spans="3:7" x14ac:dyDescent="0.3">
      <c r="C402"/>
      <c r="D402"/>
      <c r="F402"/>
      <c r="G402"/>
    </row>
    <row r="403" spans="3:7" x14ac:dyDescent="0.3">
      <c r="C403"/>
      <c r="D403"/>
      <c r="F403"/>
      <c r="G403"/>
    </row>
    <row r="404" spans="3:7" x14ac:dyDescent="0.3">
      <c r="C404"/>
      <c r="D404"/>
      <c r="F404"/>
      <c r="G404"/>
    </row>
    <row r="405" spans="3:7" x14ac:dyDescent="0.3">
      <c r="C405"/>
      <c r="D405"/>
      <c r="F405"/>
      <c r="G405"/>
    </row>
    <row r="406" spans="3:7" x14ac:dyDescent="0.3">
      <c r="C406"/>
      <c r="D406"/>
      <c r="F406"/>
      <c r="G406"/>
    </row>
    <row r="407" spans="3:7" x14ac:dyDescent="0.3">
      <c r="C407"/>
      <c r="D407"/>
      <c r="F407"/>
      <c r="G407"/>
    </row>
    <row r="408" spans="3:7" x14ac:dyDescent="0.3">
      <c r="C408"/>
      <c r="D408"/>
      <c r="F408"/>
      <c r="G408"/>
    </row>
    <row r="409" spans="3:7" x14ac:dyDescent="0.3">
      <c r="C409"/>
      <c r="D409"/>
      <c r="F409"/>
      <c r="G409"/>
    </row>
    <row r="410" spans="3:7" x14ac:dyDescent="0.3">
      <c r="C410"/>
      <c r="D410"/>
      <c r="F410"/>
      <c r="G410"/>
    </row>
    <row r="411" spans="3:7" x14ac:dyDescent="0.3">
      <c r="C411"/>
      <c r="D411"/>
      <c r="F411"/>
      <c r="G411"/>
    </row>
    <row r="412" spans="3:7" x14ac:dyDescent="0.3">
      <c r="C412"/>
      <c r="D412"/>
      <c r="F412"/>
      <c r="G412"/>
    </row>
    <row r="413" spans="3:7" x14ac:dyDescent="0.3">
      <c r="C413"/>
      <c r="D413"/>
      <c r="F413"/>
      <c r="G413"/>
    </row>
    <row r="414" spans="3:7" x14ac:dyDescent="0.3">
      <c r="C414"/>
      <c r="D414"/>
      <c r="F414"/>
      <c r="G414"/>
    </row>
    <row r="415" spans="3:7" x14ac:dyDescent="0.3">
      <c r="C415"/>
      <c r="D415"/>
      <c r="F415"/>
      <c r="G415"/>
    </row>
    <row r="416" spans="3:7" x14ac:dyDescent="0.3">
      <c r="C416"/>
      <c r="D416"/>
      <c r="F416"/>
      <c r="G416"/>
    </row>
    <row r="417" spans="3:7" x14ac:dyDescent="0.3">
      <c r="C417"/>
      <c r="D417"/>
      <c r="F417"/>
      <c r="G417"/>
    </row>
    <row r="418" spans="3:7" x14ac:dyDescent="0.3">
      <c r="C418"/>
      <c r="D418"/>
      <c r="F418"/>
      <c r="G418"/>
    </row>
    <row r="419" spans="3:7" x14ac:dyDescent="0.3">
      <c r="C419"/>
      <c r="D419"/>
      <c r="F419"/>
      <c r="G419"/>
    </row>
    <row r="420" spans="3:7" x14ac:dyDescent="0.3">
      <c r="C420"/>
      <c r="D420"/>
      <c r="F420"/>
      <c r="G420"/>
    </row>
    <row r="421" spans="3:7" x14ac:dyDescent="0.3">
      <c r="C421"/>
      <c r="D421"/>
      <c r="F421"/>
      <c r="G421"/>
    </row>
    <row r="422" spans="3:7" x14ac:dyDescent="0.3">
      <c r="C422"/>
      <c r="D422"/>
      <c r="F422"/>
      <c r="G422"/>
    </row>
    <row r="423" spans="3:7" x14ac:dyDescent="0.3">
      <c r="C423"/>
      <c r="D423"/>
      <c r="F423"/>
      <c r="G423"/>
    </row>
    <row r="424" spans="3:7" x14ac:dyDescent="0.3">
      <c r="C424"/>
      <c r="D424"/>
      <c r="F424"/>
      <c r="G424"/>
    </row>
    <row r="425" spans="3:7" x14ac:dyDescent="0.3">
      <c r="C425"/>
      <c r="D425"/>
      <c r="F425"/>
      <c r="G425"/>
    </row>
    <row r="426" spans="3:7" x14ac:dyDescent="0.3">
      <c r="C426"/>
      <c r="D426"/>
      <c r="F426"/>
      <c r="G426"/>
    </row>
    <row r="427" spans="3:7" x14ac:dyDescent="0.3">
      <c r="C427"/>
      <c r="D427"/>
      <c r="F427"/>
      <c r="G427"/>
    </row>
    <row r="428" spans="3:7" x14ac:dyDescent="0.3">
      <c r="C428"/>
      <c r="D428"/>
      <c r="F428"/>
      <c r="G428"/>
    </row>
    <row r="429" spans="3:7" x14ac:dyDescent="0.3">
      <c r="C429"/>
      <c r="D429"/>
      <c r="F429"/>
      <c r="G429"/>
    </row>
    <row r="430" spans="3:7" x14ac:dyDescent="0.3">
      <c r="C430"/>
      <c r="D430"/>
      <c r="F430"/>
      <c r="G430"/>
    </row>
    <row r="431" spans="3:7" x14ac:dyDescent="0.3">
      <c r="C431"/>
      <c r="D431"/>
      <c r="F431"/>
      <c r="G431"/>
    </row>
    <row r="432" spans="3:7" x14ac:dyDescent="0.3">
      <c r="C432"/>
      <c r="D432"/>
      <c r="F432"/>
      <c r="G432"/>
    </row>
    <row r="433" spans="3:7" x14ac:dyDescent="0.3">
      <c r="C433"/>
      <c r="D433"/>
      <c r="F433"/>
      <c r="G433"/>
    </row>
    <row r="434" spans="3:7" x14ac:dyDescent="0.3">
      <c r="C434"/>
      <c r="D434"/>
      <c r="F434"/>
      <c r="G434"/>
    </row>
    <row r="435" spans="3:7" x14ac:dyDescent="0.3">
      <c r="C435"/>
      <c r="D435"/>
      <c r="F435"/>
      <c r="G435"/>
    </row>
    <row r="436" spans="3:7" x14ac:dyDescent="0.3">
      <c r="C436"/>
      <c r="D436"/>
      <c r="F436"/>
      <c r="G436"/>
    </row>
    <row r="437" spans="3:7" x14ac:dyDescent="0.3">
      <c r="C437"/>
      <c r="D437"/>
      <c r="F437"/>
      <c r="G437"/>
    </row>
    <row r="438" spans="3:7" x14ac:dyDescent="0.3">
      <c r="C438"/>
      <c r="D438"/>
      <c r="F438"/>
      <c r="G438"/>
    </row>
    <row r="439" spans="3:7" x14ac:dyDescent="0.3">
      <c r="C439"/>
      <c r="D439"/>
      <c r="F439"/>
      <c r="G439"/>
    </row>
    <row r="440" spans="3:7" x14ac:dyDescent="0.3">
      <c r="C440"/>
      <c r="D440"/>
      <c r="F440"/>
      <c r="G440"/>
    </row>
    <row r="441" spans="3:7" x14ac:dyDescent="0.3">
      <c r="C441"/>
      <c r="D441"/>
      <c r="F441"/>
      <c r="G441"/>
    </row>
    <row r="442" spans="3:7" x14ac:dyDescent="0.3">
      <c r="C442"/>
      <c r="D442"/>
      <c r="F442"/>
      <c r="G442"/>
    </row>
    <row r="443" spans="3:7" x14ac:dyDescent="0.3">
      <c r="C443"/>
      <c r="D443"/>
      <c r="F443"/>
      <c r="G443"/>
    </row>
    <row r="444" spans="3:7" x14ac:dyDescent="0.3">
      <c r="C444"/>
      <c r="D444"/>
      <c r="F444"/>
      <c r="G444"/>
    </row>
    <row r="445" spans="3:7" x14ac:dyDescent="0.3">
      <c r="C445"/>
      <c r="D445"/>
      <c r="F445"/>
      <c r="G445"/>
    </row>
    <row r="446" spans="3:7" x14ac:dyDescent="0.3">
      <c r="C446"/>
      <c r="D446"/>
      <c r="F446"/>
      <c r="G446"/>
    </row>
    <row r="447" spans="3:7" x14ac:dyDescent="0.3">
      <c r="C447"/>
      <c r="D447"/>
      <c r="F447"/>
      <c r="G447"/>
    </row>
    <row r="448" spans="3:7" x14ac:dyDescent="0.3">
      <c r="C448"/>
      <c r="D448"/>
      <c r="F448"/>
      <c r="G448"/>
    </row>
    <row r="449" spans="3:7" x14ac:dyDescent="0.3">
      <c r="C449"/>
      <c r="D449"/>
      <c r="F449"/>
      <c r="G449"/>
    </row>
    <row r="450" spans="3:7" x14ac:dyDescent="0.3">
      <c r="C450"/>
      <c r="D450"/>
      <c r="F450"/>
      <c r="G450"/>
    </row>
    <row r="451" spans="3:7" x14ac:dyDescent="0.3">
      <c r="C451"/>
      <c r="D451"/>
      <c r="F451"/>
      <c r="G451"/>
    </row>
    <row r="452" spans="3:7" x14ac:dyDescent="0.3">
      <c r="C452"/>
      <c r="D452"/>
      <c r="F452"/>
      <c r="G452"/>
    </row>
    <row r="453" spans="3:7" x14ac:dyDescent="0.3">
      <c r="C453"/>
      <c r="D453"/>
      <c r="F453"/>
      <c r="G453"/>
    </row>
    <row r="454" spans="3:7" x14ac:dyDescent="0.3">
      <c r="C454"/>
      <c r="D454"/>
      <c r="F454"/>
      <c r="G454"/>
    </row>
    <row r="455" spans="3:7" x14ac:dyDescent="0.3">
      <c r="C455"/>
      <c r="D455"/>
      <c r="F455"/>
      <c r="G455"/>
    </row>
    <row r="456" spans="3:7" x14ac:dyDescent="0.3">
      <c r="C456"/>
      <c r="D456"/>
      <c r="F456"/>
      <c r="G456"/>
    </row>
    <row r="457" spans="3:7" x14ac:dyDescent="0.3">
      <c r="C457"/>
      <c r="D457"/>
      <c r="F457"/>
      <c r="G457"/>
    </row>
    <row r="458" spans="3:7" x14ac:dyDescent="0.3">
      <c r="C458"/>
      <c r="D458"/>
      <c r="F458"/>
      <c r="G458"/>
    </row>
    <row r="459" spans="3:7" x14ac:dyDescent="0.3">
      <c r="C459"/>
      <c r="D459"/>
      <c r="F459"/>
      <c r="G459"/>
    </row>
    <row r="460" spans="3:7" x14ac:dyDescent="0.3">
      <c r="C460"/>
      <c r="D460"/>
      <c r="F460"/>
      <c r="G460"/>
    </row>
    <row r="461" spans="3:7" x14ac:dyDescent="0.3">
      <c r="C461"/>
      <c r="D461"/>
      <c r="F461"/>
      <c r="G461"/>
    </row>
    <row r="462" spans="3:7" x14ac:dyDescent="0.3">
      <c r="C462"/>
      <c r="D462"/>
      <c r="F462"/>
      <c r="G462"/>
    </row>
    <row r="463" spans="3:7" x14ac:dyDescent="0.3">
      <c r="C463"/>
      <c r="D463"/>
      <c r="F463"/>
      <c r="G463"/>
    </row>
    <row r="464" spans="3:7" x14ac:dyDescent="0.3">
      <c r="C464"/>
      <c r="D464"/>
      <c r="F464"/>
      <c r="G464"/>
    </row>
    <row r="465" spans="3:7" x14ac:dyDescent="0.3">
      <c r="C465"/>
      <c r="D465"/>
      <c r="F465"/>
      <c r="G465"/>
    </row>
    <row r="466" spans="3:7" x14ac:dyDescent="0.3">
      <c r="C466"/>
      <c r="D466"/>
      <c r="F466"/>
      <c r="G466"/>
    </row>
    <row r="467" spans="3:7" x14ac:dyDescent="0.3">
      <c r="C467"/>
      <c r="D467"/>
      <c r="F467"/>
      <c r="G467"/>
    </row>
    <row r="468" spans="3:7" x14ac:dyDescent="0.3">
      <c r="C468"/>
      <c r="D468"/>
      <c r="F468"/>
      <c r="G468"/>
    </row>
    <row r="469" spans="3:7" x14ac:dyDescent="0.3">
      <c r="C469"/>
      <c r="D469"/>
      <c r="F469"/>
      <c r="G469"/>
    </row>
    <row r="470" spans="3:7" x14ac:dyDescent="0.3">
      <c r="C470"/>
      <c r="D470"/>
      <c r="F470"/>
      <c r="G470"/>
    </row>
    <row r="471" spans="3:7" x14ac:dyDescent="0.3">
      <c r="C471"/>
      <c r="D471"/>
      <c r="F471"/>
      <c r="G471"/>
    </row>
    <row r="472" spans="3:7" x14ac:dyDescent="0.3">
      <c r="C472"/>
      <c r="D472"/>
      <c r="F472"/>
      <c r="G472"/>
    </row>
    <row r="473" spans="3:7" x14ac:dyDescent="0.3">
      <c r="C473"/>
      <c r="D473"/>
      <c r="F473"/>
      <c r="G473"/>
    </row>
    <row r="474" spans="3:7" x14ac:dyDescent="0.3">
      <c r="C474"/>
      <c r="D474"/>
      <c r="F474"/>
      <c r="G474"/>
    </row>
    <row r="475" spans="3:7" x14ac:dyDescent="0.3">
      <c r="C475"/>
      <c r="D475"/>
      <c r="F475"/>
      <c r="G475"/>
    </row>
    <row r="476" spans="3:7" x14ac:dyDescent="0.3">
      <c r="C476"/>
      <c r="D476"/>
      <c r="F476"/>
      <c r="G476"/>
    </row>
    <row r="477" spans="3:7" x14ac:dyDescent="0.3">
      <c r="C477"/>
      <c r="D477"/>
      <c r="F477"/>
      <c r="G477"/>
    </row>
    <row r="478" spans="3:7" x14ac:dyDescent="0.3">
      <c r="C478"/>
      <c r="D478"/>
      <c r="F478"/>
      <c r="G478"/>
    </row>
    <row r="479" spans="3:7" x14ac:dyDescent="0.3">
      <c r="C479"/>
      <c r="D479"/>
      <c r="F479"/>
      <c r="G479"/>
    </row>
    <row r="480" spans="3:7" x14ac:dyDescent="0.3">
      <c r="C480"/>
      <c r="D480"/>
      <c r="F480"/>
      <c r="G480"/>
    </row>
    <row r="481" spans="3:7" x14ac:dyDescent="0.3">
      <c r="C481"/>
      <c r="D481"/>
      <c r="F481"/>
      <c r="G481"/>
    </row>
    <row r="482" spans="3:7" x14ac:dyDescent="0.3">
      <c r="C482"/>
      <c r="D482"/>
      <c r="F482"/>
      <c r="G482"/>
    </row>
    <row r="483" spans="3:7" x14ac:dyDescent="0.3">
      <c r="C483"/>
      <c r="D483"/>
      <c r="F483"/>
      <c r="G483"/>
    </row>
    <row r="484" spans="3:7" x14ac:dyDescent="0.3">
      <c r="C484"/>
      <c r="D484"/>
      <c r="F484"/>
      <c r="G484"/>
    </row>
    <row r="485" spans="3:7" x14ac:dyDescent="0.3">
      <c r="C485"/>
      <c r="D485"/>
      <c r="F485"/>
      <c r="G485"/>
    </row>
    <row r="486" spans="3:7" x14ac:dyDescent="0.3">
      <c r="C486"/>
      <c r="D486"/>
      <c r="F486"/>
      <c r="G486"/>
    </row>
    <row r="487" spans="3:7" x14ac:dyDescent="0.3">
      <c r="C487"/>
      <c r="D487"/>
      <c r="F487"/>
      <c r="G487"/>
    </row>
    <row r="488" spans="3:7" x14ac:dyDescent="0.3">
      <c r="C488"/>
      <c r="D488"/>
      <c r="F488"/>
      <c r="G488"/>
    </row>
    <row r="489" spans="3:7" x14ac:dyDescent="0.3">
      <c r="C489"/>
      <c r="D489"/>
      <c r="F489"/>
      <c r="G489"/>
    </row>
    <row r="490" spans="3:7" x14ac:dyDescent="0.3">
      <c r="C490"/>
      <c r="D490"/>
      <c r="F490"/>
      <c r="G490"/>
    </row>
    <row r="491" spans="3:7" x14ac:dyDescent="0.3">
      <c r="C491"/>
      <c r="D491"/>
      <c r="F491"/>
      <c r="G491"/>
    </row>
    <row r="492" spans="3:7" x14ac:dyDescent="0.3">
      <c r="C492"/>
      <c r="D492"/>
      <c r="F492"/>
      <c r="G492"/>
    </row>
    <row r="493" spans="3:7" x14ac:dyDescent="0.3">
      <c r="C493"/>
      <c r="D493"/>
      <c r="F493"/>
      <c r="G493"/>
    </row>
    <row r="494" spans="3:7" x14ac:dyDescent="0.3">
      <c r="C494"/>
      <c r="D494"/>
      <c r="F494"/>
      <c r="G494"/>
    </row>
    <row r="495" spans="3:7" x14ac:dyDescent="0.3">
      <c r="C495"/>
      <c r="D495"/>
      <c r="F495"/>
      <c r="G495"/>
    </row>
    <row r="496" spans="3:7" x14ac:dyDescent="0.3">
      <c r="C496"/>
      <c r="D496"/>
      <c r="F496"/>
      <c r="G496"/>
    </row>
    <row r="497" spans="3:7" x14ac:dyDescent="0.3">
      <c r="C497"/>
      <c r="D497"/>
      <c r="F497"/>
      <c r="G497"/>
    </row>
    <row r="498" spans="3:7" x14ac:dyDescent="0.3">
      <c r="C498"/>
      <c r="D498"/>
      <c r="F498"/>
      <c r="G498"/>
    </row>
    <row r="499" spans="3:7" x14ac:dyDescent="0.3">
      <c r="C499"/>
      <c r="D499"/>
      <c r="F499"/>
      <c r="G499"/>
    </row>
    <row r="500" spans="3:7" x14ac:dyDescent="0.3">
      <c r="C500"/>
      <c r="D500"/>
      <c r="F500"/>
      <c r="G500"/>
    </row>
    <row r="501" spans="3:7" x14ac:dyDescent="0.3">
      <c r="C501"/>
      <c r="D501"/>
      <c r="F501"/>
      <c r="G501"/>
    </row>
    <row r="502" spans="3:7" x14ac:dyDescent="0.3">
      <c r="C502"/>
      <c r="D502"/>
      <c r="F502"/>
      <c r="G502"/>
    </row>
    <row r="503" spans="3:7" x14ac:dyDescent="0.3">
      <c r="C503"/>
      <c r="D503"/>
      <c r="F503"/>
      <c r="G503"/>
    </row>
    <row r="504" spans="3:7" x14ac:dyDescent="0.3">
      <c r="C504"/>
      <c r="D504"/>
      <c r="F504"/>
      <c r="G504"/>
    </row>
    <row r="505" spans="3:7" x14ac:dyDescent="0.3">
      <c r="C505"/>
      <c r="D505"/>
      <c r="F505"/>
      <c r="G505"/>
    </row>
    <row r="506" spans="3:7" x14ac:dyDescent="0.3">
      <c r="C506"/>
      <c r="D506"/>
      <c r="F506"/>
      <c r="G506"/>
    </row>
    <row r="507" spans="3:7" x14ac:dyDescent="0.3">
      <c r="C507"/>
      <c r="D507"/>
      <c r="F507"/>
      <c r="G507"/>
    </row>
    <row r="508" spans="3:7" x14ac:dyDescent="0.3">
      <c r="C508"/>
      <c r="D508"/>
      <c r="F508"/>
      <c r="G508"/>
    </row>
    <row r="509" spans="3:7" x14ac:dyDescent="0.3">
      <c r="C509"/>
      <c r="D509"/>
      <c r="F509"/>
      <c r="G509"/>
    </row>
    <row r="510" spans="3:7" x14ac:dyDescent="0.3">
      <c r="C510"/>
      <c r="D510"/>
      <c r="F510"/>
      <c r="G510"/>
    </row>
    <row r="511" spans="3:7" x14ac:dyDescent="0.3">
      <c r="C511"/>
      <c r="D511"/>
      <c r="F511"/>
      <c r="G511"/>
    </row>
    <row r="512" spans="3:7" x14ac:dyDescent="0.3">
      <c r="C512"/>
      <c r="D512"/>
      <c r="F512"/>
      <c r="G512"/>
    </row>
    <row r="513" spans="3:7" x14ac:dyDescent="0.3">
      <c r="C513"/>
      <c r="D513"/>
      <c r="F513"/>
      <c r="G513"/>
    </row>
    <row r="514" spans="3:7" x14ac:dyDescent="0.3">
      <c r="C514"/>
      <c r="D514"/>
      <c r="F514"/>
      <c r="G514"/>
    </row>
    <row r="515" spans="3:7" x14ac:dyDescent="0.3">
      <c r="C515"/>
      <c r="D515"/>
      <c r="F515"/>
      <c r="G515"/>
    </row>
    <row r="516" spans="3:7" x14ac:dyDescent="0.3">
      <c r="C516"/>
      <c r="D516"/>
      <c r="F516"/>
      <c r="G516"/>
    </row>
    <row r="517" spans="3:7" x14ac:dyDescent="0.3">
      <c r="C517"/>
      <c r="D517"/>
      <c r="F517"/>
      <c r="G517"/>
    </row>
    <row r="518" spans="3:7" x14ac:dyDescent="0.3">
      <c r="C518"/>
      <c r="D518"/>
      <c r="F518"/>
      <c r="G518"/>
    </row>
    <row r="519" spans="3:7" x14ac:dyDescent="0.3">
      <c r="C519"/>
      <c r="D519"/>
      <c r="F519"/>
      <c r="G519"/>
    </row>
    <row r="520" spans="3:7" x14ac:dyDescent="0.3">
      <c r="C520"/>
      <c r="D520"/>
      <c r="F520"/>
      <c r="G520"/>
    </row>
    <row r="521" spans="3:7" x14ac:dyDescent="0.3">
      <c r="C521"/>
      <c r="D521"/>
      <c r="F521"/>
      <c r="G521"/>
    </row>
    <row r="522" spans="3:7" x14ac:dyDescent="0.3">
      <c r="C522"/>
      <c r="D522"/>
      <c r="F522"/>
      <c r="G522"/>
    </row>
    <row r="523" spans="3:7" x14ac:dyDescent="0.3">
      <c r="C523"/>
      <c r="D523"/>
      <c r="F523"/>
      <c r="G523"/>
    </row>
    <row r="524" spans="3:7" x14ac:dyDescent="0.3">
      <c r="C524"/>
      <c r="D524"/>
      <c r="F524"/>
      <c r="G524"/>
    </row>
    <row r="525" spans="3:7" x14ac:dyDescent="0.3">
      <c r="C525"/>
      <c r="D525"/>
      <c r="F525"/>
      <c r="G525"/>
    </row>
    <row r="526" spans="3:7" x14ac:dyDescent="0.3">
      <c r="C526"/>
      <c r="D526"/>
      <c r="F526"/>
      <c r="G526"/>
    </row>
    <row r="527" spans="3:7" x14ac:dyDescent="0.3">
      <c r="C527"/>
      <c r="D527"/>
      <c r="F527"/>
      <c r="G527"/>
    </row>
    <row r="528" spans="3:7" x14ac:dyDescent="0.3">
      <c r="C528"/>
      <c r="D528"/>
      <c r="F528"/>
      <c r="G528"/>
    </row>
  </sheetData>
  <pageMargins left="0.7" right="0.7" top="0.75" bottom="0.75" header="0.3" footer="0.3"/>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0D043E-46A6-4679-AAE9-BBEB4FE262F5}">
  <dimension ref="B2:E6"/>
  <sheetViews>
    <sheetView workbookViewId="0">
      <selection activeCell="I8" sqref="I8"/>
    </sheetView>
  </sheetViews>
  <sheetFormatPr baseColWidth="10" defaultRowHeight="14.4" x14ac:dyDescent="0.3"/>
  <cols>
    <col min="2" max="2" width="5.33203125" bestFit="1" customWidth="1"/>
    <col min="3" max="3" width="11.33203125" bestFit="1" customWidth="1"/>
    <col min="4" max="5" width="12.6640625" bestFit="1" customWidth="1"/>
  </cols>
  <sheetData>
    <row r="2" spans="2:5" x14ac:dyDescent="0.3">
      <c r="C2" t="s">
        <v>34</v>
      </c>
      <c r="D2" t="s">
        <v>69</v>
      </c>
      <c r="E2" t="s">
        <v>165</v>
      </c>
    </row>
    <row r="3" spans="2:5" x14ac:dyDescent="0.3">
      <c r="B3" t="s">
        <v>38</v>
      </c>
      <c r="C3" s="12">
        <v>959348.27399999986</v>
      </c>
      <c r="D3" s="12">
        <v>811314.23300000001</v>
      </c>
      <c r="E3" s="12">
        <v>1235341.9319999998</v>
      </c>
    </row>
    <row r="4" spans="2:5" x14ac:dyDescent="0.3">
      <c r="B4" t="s">
        <v>36</v>
      </c>
      <c r="C4" s="12">
        <v>1597990.3180000002</v>
      </c>
      <c r="D4" s="12">
        <v>1816730.4280000001</v>
      </c>
      <c r="E4" s="12">
        <v>2085330.5959999994</v>
      </c>
    </row>
    <row r="5" spans="2:5" x14ac:dyDescent="0.3">
      <c r="B5" t="s">
        <v>37</v>
      </c>
      <c r="C5" s="12">
        <v>865601.56299999938</v>
      </c>
      <c r="D5" s="12">
        <v>794405.00199999986</v>
      </c>
      <c r="E5" s="12">
        <v>989122.61199999996</v>
      </c>
    </row>
    <row r="6" spans="2:5" x14ac:dyDescent="0.3">
      <c r="B6" t="s">
        <v>39</v>
      </c>
      <c r="C6" s="12">
        <v>251974.46299999999</v>
      </c>
      <c r="D6" s="12">
        <v>106891.431</v>
      </c>
      <c r="E6" s="12">
        <v>132325.595</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9DBC117-1920-4A97-883F-59C500337C66}">
  <dimension ref="B1:W13"/>
  <sheetViews>
    <sheetView showGridLines="0" workbookViewId="0">
      <pane xSplit="1" ySplit="1" topLeftCell="B2" activePane="bottomRight" state="frozen"/>
      <selection pane="topRight" activeCell="B1" sqref="B1"/>
      <selection pane="bottomLeft" activeCell="A2" sqref="A2"/>
      <selection pane="bottomRight" activeCell="H12" activeCellId="3" sqref="H3 H6 H9 H12"/>
    </sheetView>
  </sheetViews>
  <sheetFormatPr baseColWidth="10" defaultRowHeight="14.4" x14ac:dyDescent="0.3"/>
  <cols>
    <col min="1" max="1" width="2.44140625" customWidth="1"/>
    <col min="2" max="2" width="10.5546875" bestFit="1" customWidth="1"/>
    <col min="3" max="3" width="10.88671875" bestFit="1" customWidth="1"/>
    <col min="4" max="4" width="17.33203125" style="11" bestFit="1" customWidth="1"/>
    <col min="5" max="5" width="14.44140625" style="11" bestFit="1" customWidth="1"/>
    <col min="6" max="6" width="20.44140625" bestFit="1" customWidth="1"/>
    <col min="7" max="7" width="20.88671875" style="11" bestFit="1" customWidth="1"/>
    <col min="8" max="8" width="9.109375" style="11" bestFit="1" customWidth="1"/>
    <col min="9" max="9" width="10.6640625" style="11" customWidth="1"/>
    <col min="10" max="10" width="95.88671875" bestFit="1" customWidth="1"/>
    <col min="11" max="11" width="8.33203125" customWidth="1"/>
    <col min="12" max="12" width="9" customWidth="1"/>
    <col min="14" max="14" width="8" bestFit="1" customWidth="1"/>
    <col min="16" max="16" width="3" bestFit="1" customWidth="1"/>
    <col min="17" max="17" width="26.6640625" bestFit="1" customWidth="1"/>
    <col min="18" max="18" width="8" bestFit="1" customWidth="1"/>
  </cols>
  <sheetData>
    <row r="1" spans="2:23" s="6" customFormat="1" x14ac:dyDescent="0.3">
      <c r="B1" s="6" t="s">
        <v>50</v>
      </c>
      <c r="C1" s="6" t="s">
        <v>51</v>
      </c>
      <c r="D1" s="49" t="s">
        <v>47</v>
      </c>
      <c r="E1" s="49" t="s">
        <v>46</v>
      </c>
      <c r="F1" s="49" t="s">
        <v>48</v>
      </c>
      <c r="G1" s="49" t="s">
        <v>170</v>
      </c>
      <c r="H1" s="49" t="s">
        <v>45</v>
      </c>
      <c r="I1" s="49" t="s">
        <v>57</v>
      </c>
      <c r="N1" s="22"/>
      <c r="O1" s="50"/>
      <c r="P1" s="50"/>
      <c r="Q1" s="22"/>
      <c r="R1" s="50"/>
      <c r="S1" s="50"/>
      <c r="T1" s="50"/>
      <c r="U1" s="22"/>
      <c r="V1" s="22"/>
      <c r="W1" s="22"/>
    </row>
    <row r="2" spans="2:23" x14ac:dyDescent="0.3">
      <c r="B2">
        <v>2024</v>
      </c>
      <c r="C2" t="s">
        <v>40</v>
      </c>
      <c r="D2" s="14">
        <v>58</v>
      </c>
      <c r="E2" s="14">
        <v>33</v>
      </c>
      <c r="F2" s="14">
        <v>23</v>
      </c>
      <c r="G2" s="14">
        <v>11</v>
      </c>
      <c r="H2" s="14">
        <f>SUM(Tabla2[[#This Row],[MOD-Saitemp]:[GyCompromiso]])</f>
        <v>125</v>
      </c>
      <c r="I2" s="14">
        <f t="shared" ref="I2:I10" si="0">H2-E2</f>
        <v>92</v>
      </c>
      <c r="K2" s="21"/>
      <c r="R2" s="13"/>
    </row>
    <row r="3" spans="2:23" x14ac:dyDescent="0.3">
      <c r="B3">
        <v>2025</v>
      </c>
      <c r="C3" t="s">
        <v>40</v>
      </c>
      <c r="D3" s="14">
        <v>81</v>
      </c>
      <c r="E3" s="14">
        <v>33</v>
      </c>
      <c r="F3" s="14">
        <v>18</v>
      </c>
      <c r="G3" s="14">
        <v>6</v>
      </c>
      <c r="H3" s="14">
        <f>SUM(Tabla2[[#This Row],[MOD-Saitemp]:[GyCompromiso]])</f>
        <v>138</v>
      </c>
      <c r="I3" s="14">
        <f t="shared" si="0"/>
        <v>105</v>
      </c>
      <c r="K3" s="21"/>
      <c r="O3" s="11"/>
      <c r="P3" s="11"/>
      <c r="R3" s="11"/>
      <c r="S3" s="11"/>
      <c r="T3" s="11"/>
    </row>
    <row r="4" spans="2:23" x14ac:dyDescent="0.3">
      <c r="B4">
        <v>2026</v>
      </c>
      <c r="C4" t="s">
        <v>40</v>
      </c>
      <c r="D4" s="14">
        <v>53</v>
      </c>
      <c r="E4" s="14">
        <v>29</v>
      </c>
      <c r="F4" s="14">
        <v>28</v>
      </c>
      <c r="G4" s="14">
        <v>24</v>
      </c>
      <c r="H4" s="14">
        <f>SUM(Tabla2[[#This Row],[MOD-Saitemp]:[GyCompromiso]])</f>
        <v>134</v>
      </c>
      <c r="I4" s="14">
        <f t="shared" si="0"/>
        <v>105</v>
      </c>
    </row>
    <row r="5" spans="2:23" x14ac:dyDescent="0.3">
      <c r="B5">
        <v>2024</v>
      </c>
      <c r="C5" t="s">
        <v>195</v>
      </c>
      <c r="D5" s="14">
        <v>62</v>
      </c>
      <c r="E5" s="14">
        <v>32</v>
      </c>
      <c r="F5" s="14">
        <v>33</v>
      </c>
      <c r="G5" s="14">
        <v>11</v>
      </c>
      <c r="H5" s="14">
        <f>SUM(Tabla2[[#This Row],[MOD-Saitemp]:[GyCompromiso]])</f>
        <v>138</v>
      </c>
      <c r="I5" s="14">
        <f t="shared" si="0"/>
        <v>106</v>
      </c>
    </row>
    <row r="6" spans="2:23" x14ac:dyDescent="0.3">
      <c r="B6">
        <v>2025</v>
      </c>
      <c r="C6" t="s">
        <v>195</v>
      </c>
      <c r="D6" s="14">
        <v>86</v>
      </c>
      <c r="E6" s="14">
        <v>33</v>
      </c>
      <c r="F6" s="14">
        <v>18</v>
      </c>
      <c r="G6" s="14">
        <v>3</v>
      </c>
      <c r="H6" s="14">
        <f>SUM(Tabla2[[#This Row],[MOD-Saitemp]:[GyCompromiso]])</f>
        <v>140</v>
      </c>
      <c r="I6" s="14">
        <f t="shared" si="0"/>
        <v>107</v>
      </c>
    </row>
    <row r="7" spans="2:23" x14ac:dyDescent="0.3">
      <c r="B7">
        <v>2026</v>
      </c>
      <c r="C7" t="s">
        <v>195</v>
      </c>
      <c r="D7" s="14">
        <v>47</v>
      </c>
      <c r="E7" s="14">
        <v>30</v>
      </c>
      <c r="F7" s="14">
        <v>27</v>
      </c>
      <c r="G7" s="14">
        <v>28</v>
      </c>
      <c r="H7" s="14">
        <f>SUM(Tabla2[[#This Row],[MOD-Saitemp]:[GyCompromiso]])</f>
        <v>132</v>
      </c>
      <c r="I7" s="14">
        <f t="shared" si="0"/>
        <v>102</v>
      </c>
    </row>
    <row r="8" spans="2:23" x14ac:dyDescent="0.3">
      <c r="B8">
        <v>2024</v>
      </c>
      <c r="C8" t="s">
        <v>245</v>
      </c>
      <c r="D8" s="14">
        <v>67</v>
      </c>
      <c r="E8" s="14">
        <v>30</v>
      </c>
      <c r="F8" s="14">
        <v>36</v>
      </c>
      <c r="G8" s="14">
        <v>9</v>
      </c>
      <c r="H8" s="14">
        <f>SUM(Tabla2[[#This Row],[MOD-Saitemp]:[GyCompromiso]])</f>
        <v>142</v>
      </c>
      <c r="I8" s="14">
        <f t="shared" si="0"/>
        <v>112</v>
      </c>
    </row>
    <row r="9" spans="2:23" x14ac:dyDescent="0.3">
      <c r="B9">
        <v>2025</v>
      </c>
      <c r="C9" t="s">
        <v>245</v>
      </c>
      <c r="D9" s="14">
        <v>86</v>
      </c>
      <c r="E9" s="14">
        <v>32</v>
      </c>
      <c r="F9" s="14">
        <v>17</v>
      </c>
      <c r="G9" s="14">
        <v>2</v>
      </c>
      <c r="H9" s="14">
        <f>SUM(Tabla2[[#This Row],[MOD-Saitemp]:[GyCompromiso]])</f>
        <v>137</v>
      </c>
      <c r="I9" s="14">
        <f t="shared" si="0"/>
        <v>105</v>
      </c>
    </row>
    <row r="10" spans="2:23" x14ac:dyDescent="0.3">
      <c r="B10">
        <v>2026</v>
      </c>
      <c r="C10" t="s">
        <v>245</v>
      </c>
      <c r="D10" s="14">
        <v>42</v>
      </c>
      <c r="E10" s="14">
        <v>28</v>
      </c>
      <c r="F10" s="14">
        <v>27</v>
      </c>
      <c r="G10" s="14">
        <v>33</v>
      </c>
      <c r="H10" s="14">
        <f>SUM(Tabla2[[#This Row],[MOD-Saitemp]:[GyCompromiso]])</f>
        <v>130</v>
      </c>
      <c r="I10" s="14">
        <f t="shared" si="0"/>
        <v>102</v>
      </c>
    </row>
    <row r="11" spans="2:23" x14ac:dyDescent="0.3">
      <c r="B11">
        <v>2024</v>
      </c>
      <c r="C11" t="s">
        <v>280</v>
      </c>
      <c r="D11" s="14">
        <v>68</v>
      </c>
      <c r="E11" s="14">
        <v>30</v>
      </c>
      <c r="F11" s="14">
        <v>35</v>
      </c>
      <c r="G11" s="14">
        <v>10</v>
      </c>
      <c r="H11" s="14">
        <f>SUM(Tabla2[[#This Row],[MOD-Saitemp]:[GyCompromiso]])</f>
        <v>143</v>
      </c>
      <c r="I11" s="14">
        <f t="shared" ref="I11:I13" si="1">H11-E11</f>
        <v>113</v>
      </c>
    </row>
    <row r="12" spans="2:23" x14ac:dyDescent="0.3">
      <c r="B12">
        <v>2025</v>
      </c>
      <c r="C12" t="s">
        <v>280</v>
      </c>
      <c r="D12" s="14">
        <v>84</v>
      </c>
      <c r="E12" s="14">
        <v>32</v>
      </c>
      <c r="F12" s="14">
        <v>18</v>
      </c>
      <c r="G12" s="14">
        <v>0</v>
      </c>
      <c r="H12" s="14">
        <f>SUM(Tabla2[[#This Row],[MOD-Saitemp]:[GyCompromiso]])</f>
        <v>134</v>
      </c>
      <c r="I12" s="14">
        <f t="shared" si="1"/>
        <v>102</v>
      </c>
    </row>
    <row r="13" spans="2:23" x14ac:dyDescent="0.3">
      <c r="B13">
        <v>2026</v>
      </c>
      <c r="C13" t="s">
        <v>280</v>
      </c>
      <c r="D13" s="14">
        <v>39</v>
      </c>
      <c r="E13" s="14">
        <v>27</v>
      </c>
      <c r="F13" s="14">
        <v>27</v>
      </c>
      <c r="G13" s="14">
        <v>38</v>
      </c>
      <c r="H13" s="14">
        <f>SUM(Tabla2[[#This Row],[MOD-Saitemp]:[GyCompromiso]])</f>
        <v>131</v>
      </c>
      <c r="I13" s="14">
        <f t="shared" si="1"/>
        <v>104</v>
      </c>
    </row>
  </sheetData>
  <phoneticPr fontId="6" type="noConversion"/>
  <pageMargins left="0.7" right="0.7" top="0.75" bottom="0.75" header="0.3" footer="0.3"/>
  <drawing r:id="rId1"/>
  <tableParts count="1">
    <tablePart r:id="rId2"/>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E1AC60-36C3-417A-9F3C-4AE6A7C82BB3}">
  <dimension ref="B1:M13"/>
  <sheetViews>
    <sheetView showGridLines="0" workbookViewId="0">
      <pane xSplit="1" ySplit="1" topLeftCell="B2" activePane="bottomRight" state="frozen"/>
      <selection pane="topRight" activeCell="B1" sqref="B1"/>
      <selection pane="bottomLeft" activeCell="A2" sqref="A2"/>
      <selection pane="bottomRight" activeCell="H13" activeCellId="3" sqref="H4 H7 H10 H13"/>
    </sheetView>
  </sheetViews>
  <sheetFormatPr baseColWidth="10" defaultRowHeight="14.4" x14ac:dyDescent="0.3"/>
  <cols>
    <col min="1" max="1" width="2.6640625" customWidth="1"/>
    <col min="2" max="2" width="6.6640625" customWidth="1"/>
    <col min="3" max="3" width="10.88671875" bestFit="1" customWidth="1"/>
    <col min="4" max="4" width="14.44140625" bestFit="1" customWidth="1"/>
    <col min="5" max="5" width="16.5546875" style="11" bestFit="1" customWidth="1"/>
    <col min="6" max="6" width="19.6640625" style="11" bestFit="1" customWidth="1"/>
    <col min="7" max="7" width="12.88671875" style="11" bestFit="1" customWidth="1"/>
    <col min="8" max="8" width="9.109375" style="11" bestFit="1" customWidth="1"/>
    <col min="9" max="9" width="8.44140625" style="11" customWidth="1"/>
  </cols>
  <sheetData>
    <row r="1" spans="2:13" x14ac:dyDescent="0.3">
      <c r="B1" t="s">
        <v>2</v>
      </c>
      <c r="C1" t="s">
        <v>51</v>
      </c>
      <c r="D1" s="11" t="s">
        <v>46</v>
      </c>
      <c r="E1" s="11" t="s">
        <v>54</v>
      </c>
      <c r="F1" s="11" t="s">
        <v>55</v>
      </c>
      <c r="G1" s="11" t="s">
        <v>171</v>
      </c>
      <c r="H1" s="11" t="s">
        <v>45</v>
      </c>
      <c r="I1" s="11" t="s">
        <v>57</v>
      </c>
    </row>
    <row r="2" spans="2:13" x14ac:dyDescent="0.3">
      <c r="B2">
        <v>2024</v>
      </c>
      <c r="C2" t="s">
        <v>40</v>
      </c>
      <c r="D2" s="18">
        <v>21</v>
      </c>
      <c r="E2" s="18">
        <v>15</v>
      </c>
      <c r="F2" s="18">
        <v>3</v>
      </c>
      <c r="G2" s="18">
        <v>0</v>
      </c>
      <c r="H2" s="18">
        <f t="shared" ref="H2:H7" si="0">SUM(D2:G2)</f>
        <v>39</v>
      </c>
      <c r="I2" s="18">
        <f t="shared" ref="I2:I10" si="1">H2-D2</f>
        <v>18</v>
      </c>
      <c r="J2" s="20"/>
      <c r="M2" s="20"/>
    </row>
    <row r="3" spans="2:13" x14ac:dyDescent="0.3">
      <c r="B3">
        <v>2025</v>
      </c>
      <c r="C3" t="s">
        <v>40</v>
      </c>
      <c r="D3" s="18">
        <v>22</v>
      </c>
      <c r="E3" s="18">
        <v>12</v>
      </c>
      <c r="F3" s="18">
        <v>2</v>
      </c>
      <c r="G3" s="18">
        <v>0</v>
      </c>
      <c r="H3" s="18">
        <f t="shared" si="0"/>
        <v>36</v>
      </c>
      <c r="I3" s="18">
        <f t="shared" si="1"/>
        <v>14</v>
      </c>
      <c r="J3" s="20"/>
      <c r="M3" s="20"/>
    </row>
    <row r="4" spans="2:13" x14ac:dyDescent="0.3">
      <c r="B4">
        <v>2026</v>
      </c>
      <c r="C4" t="s">
        <v>40</v>
      </c>
      <c r="D4" s="18">
        <v>23</v>
      </c>
      <c r="E4" s="18">
        <v>14</v>
      </c>
      <c r="F4" s="18">
        <v>2</v>
      </c>
      <c r="G4" s="18">
        <v>2</v>
      </c>
      <c r="H4" s="18">
        <f t="shared" si="0"/>
        <v>41</v>
      </c>
      <c r="I4" s="18">
        <f t="shared" si="1"/>
        <v>18</v>
      </c>
    </row>
    <row r="5" spans="2:13" x14ac:dyDescent="0.3">
      <c r="B5">
        <v>2024</v>
      </c>
      <c r="C5" t="s">
        <v>195</v>
      </c>
      <c r="D5" s="18">
        <v>22</v>
      </c>
      <c r="E5" s="18">
        <v>14</v>
      </c>
      <c r="F5" s="18">
        <v>3</v>
      </c>
      <c r="G5" s="18">
        <v>0</v>
      </c>
      <c r="H5" s="18">
        <f t="shared" si="0"/>
        <v>39</v>
      </c>
      <c r="I5" s="18">
        <f t="shared" si="1"/>
        <v>17</v>
      </c>
    </row>
    <row r="6" spans="2:13" x14ac:dyDescent="0.3">
      <c r="B6">
        <v>2025</v>
      </c>
      <c r="C6" t="s">
        <v>195</v>
      </c>
      <c r="D6" s="18">
        <v>22</v>
      </c>
      <c r="E6" s="18">
        <v>11</v>
      </c>
      <c r="F6" s="18">
        <v>3</v>
      </c>
      <c r="G6" s="18">
        <v>0</v>
      </c>
      <c r="H6" s="18">
        <f t="shared" si="0"/>
        <v>36</v>
      </c>
      <c r="I6" s="18">
        <f t="shared" si="1"/>
        <v>14</v>
      </c>
    </row>
    <row r="7" spans="2:13" x14ac:dyDescent="0.3">
      <c r="B7">
        <v>2026</v>
      </c>
      <c r="C7" t="s">
        <v>195</v>
      </c>
      <c r="D7" s="18">
        <v>23</v>
      </c>
      <c r="E7" s="18">
        <v>11</v>
      </c>
      <c r="F7" s="18">
        <v>3</v>
      </c>
      <c r="G7" s="18">
        <v>4</v>
      </c>
      <c r="H7" s="18">
        <f t="shared" si="0"/>
        <v>41</v>
      </c>
      <c r="I7" s="18">
        <f t="shared" si="1"/>
        <v>18</v>
      </c>
    </row>
    <row r="8" spans="2:13" x14ac:dyDescent="0.3">
      <c r="B8">
        <v>2024</v>
      </c>
      <c r="C8" t="s">
        <v>245</v>
      </c>
      <c r="D8" s="18">
        <v>21</v>
      </c>
      <c r="E8" s="18">
        <v>15</v>
      </c>
      <c r="F8" s="18">
        <v>2</v>
      </c>
      <c r="G8" s="18">
        <v>0</v>
      </c>
      <c r="H8" s="18">
        <f t="shared" ref="H8:H12" si="2">SUM(D8:G8)</f>
        <v>38</v>
      </c>
      <c r="I8" s="18">
        <f t="shared" si="1"/>
        <v>17</v>
      </c>
    </row>
    <row r="9" spans="2:13" x14ac:dyDescent="0.3">
      <c r="B9">
        <v>2025</v>
      </c>
      <c r="C9" t="s">
        <v>245</v>
      </c>
      <c r="D9" s="18">
        <v>23</v>
      </c>
      <c r="E9" s="18">
        <v>8</v>
      </c>
      <c r="F9" s="18">
        <v>4</v>
      </c>
      <c r="G9" s="18">
        <v>0</v>
      </c>
      <c r="H9" s="18">
        <f t="shared" si="2"/>
        <v>35</v>
      </c>
      <c r="I9" s="18">
        <f t="shared" si="1"/>
        <v>12</v>
      </c>
    </row>
    <row r="10" spans="2:13" x14ac:dyDescent="0.3">
      <c r="B10">
        <v>2026</v>
      </c>
      <c r="C10" t="s">
        <v>245</v>
      </c>
      <c r="D10" s="18">
        <v>22</v>
      </c>
      <c r="E10" s="18">
        <v>10</v>
      </c>
      <c r="F10" s="18">
        <v>3</v>
      </c>
      <c r="G10" s="18">
        <v>7</v>
      </c>
      <c r="H10" s="18">
        <f t="shared" si="2"/>
        <v>42</v>
      </c>
      <c r="I10" s="18">
        <f t="shared" si="1"/>
        <v>20</v>
      </c>
    </row>
    <row r="11" spans="2:13" x14ac:dyDescent="0.3">
      <c r="B11">
        <v>2024</v>
      </c>
      <c r="C11" t="s">
        <v>280</v>
      </c>
      <c r="D11" s="18">
        <v>21</v>
      </c>
      <c r="E11" s="18">
        <v>16</v>
      </c>
      <c r="F11" s="18">
        <v>1</v>
      </c>
      <c r="G11" s="18">
        <v>0</v>
      </c>
      <c r="H11" s="18">
        <f t="shared" si="2"/>
        <v>38</v>
      </c>
      <c r="I11" s="18">
        <f>H11-D11</f>
        <v>17</v>
      </c>
    </row>
    <row r="12" spans="2:13" x14ac:dyDescent="0.3">
      <c r="B12">
        <v>2025</v>
      </c>
      <c r="C12" t="s">
        <v>280</v>
      </c>
      <c r="D12" s="18">
        <v>23</v>
      </c>
      <c r="E12" s="18">
        <v>10</v>
      </c>
      <c r="F12" s="18">
        <v>3</v>
      </c>
      <c r="G12" s="18">
        <v>0</v>
      </c>
      <c r="H12" s="18">
        <f t="shared" si="2"/>
        <v>36</v>
      </c>
      <c r="I12" s="18">
        <f t="shared" ref="I12" si="3">H12-D12</f>
        <v>13</v>
      </c>
    </row>
    <row r="13" spans="2:13" x14ac:dyDescent="0.3">
      <c r="B13">
        <v>2026</v>
      </c>
      <c r="C13" t="s">
        <v>280</v>
      </c>
      <c r="D13" s="18">
        <v>22</v>
      </c>
      <c r="E13" s="18">
        <v>10</v>
      </c>
      <c r="F13" s="18">
        <v>3</v>
      </c>
      <c r="G13" s="18">
        <v>7</v>
      </c>
      <c r="H13" s="18">
        <f t="shared" ref="H13" si="4">SUM(D13:G13)</f>
        <v>42</v>
      </c>
      <c r="I13" s="18">
        <f t="shared" ref="I13" si="5">H13-D13</f>
        <v>20</v>
      </c>
    </row>
  </sheetData>
  <pageMargins left="0.7" right="0.7" top="0.75" bottom="0.75" header="0.3" footer="0.3"/>
  <drawing r:id="rId1"/>
  <tableParts count="1">
    <tablePart r:id="rId2"/>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573D09-E3DB-4FC6-B5C4-4D5E6B76F8F5}">
  <dimension ref="A1:K45"/>
  <sheetViews>
    <sheetView showGridLines="0" workbookViewId="0">
      <selection activeCell="D17" sqref="D17"/>
    </sheetView>
  </sheetViews>
  <sheetFormatPr baseColWidth="10" defaultColWidth="7.88671875" defaultRowHeight="14.4" x14ac:dyDescent="0.3"/>
  <cols>
    <col min="1" max="1" width="48" customWidth="1"/>
    <col min="2" max="2" width="15" bestFit="1" customWidth="1"/>
    <col min="3" max="3" width="21.5546875" bestFit="1" customWidth="1"/>
    <col min="4" max="4" width="131.44140625" style="37" customWidth="1"/>
    <col min="5" max="5" width="17.33203125" customWidth="1"/>
    <col min="6" max="6" width="5" bestFit="1" customWidth="1"/>
    <col min="7" max="7" width="11.5546875" bestFit="1" customWidth="1"/>
    <col min="8" max="8" width="13.33203125" bestFit="1" customWidth="1"/>
    <col min="10" max="10" width="12.33203125" bestFit="1" customWidth="1"/>
    <col min="11" max="11" width="14.109375" bestFit="1" customWidth="1"/>
  </cols>
  <sheetData>
    <row r="1" spans="1:11" x14ac:dyDescent="0.3">
      <c r="B1" s="97" t="s">
        <v>148</v>
      </c>
      <c r="C1" s="97"/>
    </row>
    <row r="2" spans="1:11" s="47" customFormat="1" ht="18" x14ac:dyDescent="0.35">
      <c r="A2" s="46" t="s">
        <v>75</v>
      </c>
      <c r="B2" s="39" t="s">
        <v>149</v>
      </c>
      <c r="C2" s="39" t="s">
        <v>172</v>
      </c>
      <c r="D2" s="40" t="s">
        <v>151</v>
      </c>
      <c r="G2" s="6"/>
      <c r="H2" s="6"/>
      <c r="I2" s="6"/>
      <c r="J2" s="6"/>
      <c r="K2" s="6"/>
    </row>
    <row r="3" spans="1:11" x14ac:dyDescent="0.3">
      <c r="A3" t="s">
        <v>63</v>
      </c>
      <c r="B3" s="51">
        <v>13848.650000000023</v>
      </c>
      <c r="C3" s="12">
        <v>59722.650000000023</v>
      </c>
      <c r="D3" s="37" t="s">
        <v>173</v>
      </c>
      <c r="G3" s="12"/>
      <c r="H3" s="12"/>
      <c r="I3" s="12"/>
    </row>
    <row r="4" spans="1:11" x14ac:dyDescent="0.3">
      <c r="A4" s="53" t="s">
        <v>150</v>
      </c>
      <c r="B4" s="52">
        <v>4.3200000000000002E-2</v>
      </c>
      <c r="C4" s="52">
        <v>0.21779338990653385</v>
      </c>
      <c r="D4" s="37" t="s">
        <v>174</v>
      </c>
      <c r="G4" s="12"/>
      <c r="H4" s="12"/>
      <c r="I4" s="12"/>
    </row>
    <row r="5" spans="1:11" x14ac:dyDescent="0.3">
      <c r="A5" s="53"/>
      <c r="B5" s="52"/>
      <c r="C5" s="52"/>
      <c r="D5" s="37" t="s">
        <v>175</v>
      </c>
      <c r="G5" s="12"/>
      <c r="H5" s="12"/>
      <c r="I5" s="12"/>
    </row>
    <row r="6" spans="1:11" x14ac:dyDescent="0.3">
      <c r="A6" s="53"/>
      <c r="B6" s="52"/>
      <c r="C6" s="52"/>
      <c r="G6" s="12"/>
      <c r="H6" s="12"/>
      <c r="I6" s="12"/>
    </row>
    <row r="7" spans="1:11" x14ac:dyDescent="0.3">
      <c r="A7" t="s">
        <v>176</v>
      </c>
      <c r="B7" s="51">
        <v>-26800</v>
      </c>
      <c r="C7" s="51">
        <v>-55189</v>
      </c>
      <c r="D7" s="37" t="s">
        <v>177</v>
      </c>
      <c r="G7" s="12"/>
      <c r="H7" s="12"/>
      <c r="I7" s="12"/>
    </row>
    <row r="8" spans="1:11" x14ac:dyDescent="0.3">
      <c r="A8" s="53" t="s">
        <v>150</v>
      </c>
      <c r="B8" s="56">
        <v>-0.57450000000000001</v>
      </c>
      <c r="C8" s="56">
        <v>-0.73499999999999999</v>
      </c>
      <c r="D8" s="37" t="s">
        <v>178</v>
      </c>
      <c r="G8" s="54"/>
    </row>
    <row r="9" spans="1:11" x14ac:dyDescent="0.3">
      <c r="D9" s="38"/>
      <c r="G9" s="12"/>
      <c r="H9" s="12"/>
      <c r="I9" s="12"/>
    </row>
    <row r="10" spans="1:11" ht="15" customHeight="1" x14ac:dyDescent="0.3">
      <c r="A10" s="43" t="s">
        <v>76</v>
      </c>
      <c r="B10" s="41"/>
      <c r="C10" s="41"/>
      <c r="D10" s="42"/>
      <c r="E10" s="12"/>
      <c r="G10" s="12"/>
      <c r="H10" s="12"/>
      <c r="I10" s="12"/>
    </row>
    <row r="11" spans="1:11" ht="15.6" x14ac:dyDescent="0.3">
      <c r="A11" s="43" t="s">
        <v>179</v>
      </c>
      <c r="B11" s="41"/>
      <c r="C11" s="41"/>
      <c r="D11" s="42"/>
      <c r="E11" s="12"/>
      <c r="G11" s="12"/>
      <c r="H11" s="12"/>
      <c r="I11" s="12"/>
    </row>
    <row r="12" spans="1:11" ht="15.6" x14ac:dyDescent="0.3">
      <c r="A12" s="43" t="s">
        <v>180</v>
      </c>
      <c r="B12" s="41"/>
      <c r="C12" s="41"/>
      <c r="D12" s="42"/>
      <c r="E12" s="12"/>
      <c r="G12" s="12"/>
      <c r="H12" s="12"/>
      <c r="I12" s="12"/>
    </row>
    <row r="13" spans="1:11" x14ac:dyDescent="0.3">
      <c r="G13" s="54"/>
    </row>
    <row r="14" spans="1:11" s="47" customFormat="1" ht="18" x14ac:dyDescent="0.35">
      <c r="A14" s="46" t="s">
        <v>77</v>
      </c>
      <c r="B14" s="39" t="str">
        <f>B2</f>
        <v>VS mes anterior</v>
      </c>
      <c r="C14" s="39" t="str">
        <f>C2</f>
        <v>Var.VS Ene año anterior</v>
      </c>
      <c r="D14" s="40" t="s">
        <v>145</v>
      </c>
      <c r="G14" s="55"/>
      <c r="H14" s="48"/>
    </row>
    <row r="15" spans="1:11" x14ac:dyDescent="0.3">
      <c r="G15" s="12"/>
      <c r="H15" s="12"/>
      <c r="I15" s="36"/>
    </row>
    <row r="16" spans="1:11" x14ac:dyDescent="0.3">
      <c r="A16" t="s">
        <v>63</v>
      </c>
      <c r="B16" s="51">
        <v>1157</v>
      </c>
      <c r="C16" s="12">
        <v>17022.809999999998</v>
      </c>
      <c r="D16" s="37" t="s">
        <v>181</v>
      </c>
      <c r="G16" s="12"/>
      <c r="H16" s="12"/>
      <c r="I16" s="12"/>
    </row>
    <row r="17" spans="1:9" x14ac:dyDescent="0.3">
      <c r="A17" s="53" t="s">
        <v>150</v>
      </c>
      <c r="B17" s="52">
        <v>1.95E-2</v>
      </c>
      <c r="C17" s="52">
        <v>0.39174322271827666</v>
      </c>
      <c r="D17" s="37" t="s">
        <v>182</v>
      </c>
      <c r="G17" s="12"/>
      <c r="H17" s="12"/>
      <c r="I17" s="12"/>
    </row>
    <row r="18" spans="1:9" x14ac:dyDescent="0.3">
      <c r="A18" s="53"/>
      <c r="B18" s="52"/>
      <c r="C18" s="52"/>
      <c r="G18" s="12"/>
      <c r="H18" s="12"/>
      <c r="I18" s="12"/>
    </row>
    <row r="19" spans="1:9" x14ac:dyDescent="0.3">
      <c r="A19" s="53"/>
      <c r="B19" s="52"/>
      <c r="C19" s="52"/>
      <c r="G19" s="12"/>
      <c r="H19" s="12"/>
      <c r="I19" s="12"/>
    </row>
    <row r="20" spans="1:9" x14ac:dyDescent="0.3">
      <c r="A20" t="s">
        <v>176</v>
      </c>
      <c r="B20" s="51">
        <v>-17417</v>
      </c>
      <c r="C20" s="51">
        <v>-24705.409000000003</v>
      </c>
      <c r="D20" s="37" t="s">
        <v>177</v>
      </c>
      <c r="G20" s="12"/>
      <c r="H20" s="12"/>
      <c r="I20" s="12"/>
    </row>
    <row r="21" spans="1:9" x14ac:dyDescent="0.3">
      <c r="A21" s="53" t="s">
        <v>150</v>
      </c>
      <c r="B21" s="56">
        <v>-0.50570000000000004</v>
      </c>
      <c r="C21" s="56">
        <v>-0.5920242556984836</v>
      </c>
      <c r="D21" s="37" t="s">
        <v>178</v>
      </c>
      <c r="G21" s="54"/>
    </row>
    <row r="22" spans="1:9" x14ac:dyDescent="0.3">
      <c r="D22" s="38"/>
      <c r="G22" s="12"/>
      <c r="H22" s="12"/>
      <c r="I22" s="12"/>
    </row>
    <row r="23" spans="1:9" x14ac:dyDescent="0.3">
      <c r="A23" s="53"/>
      <c r="B23" s="52"/>
      <c r="C23" s="52"/>
      <c r="G23" s="12"/>
      <c r="H23" s="12"/>
      <c r="I23" s="12"/>
    </row>
    <row r="24" spans="1:9" ht="15.6" x14ac:dyDescent="0.3">
      <c r="A24" s="43" t="s">
        <v>78</v>
      </c>
      <c r="B24" s="44"/>
      <c r="C24" s="44"/>
      <c r="D24" s="45"/>
    </row>
    <row r="25" spans="1:9" ht="15.6" x14ac:dyDescent="0.3">
      <c r="A25" s="43" t="s">
        <v>183</v>
      </c>
      <c r="B25" s="44"/>
      <c r="C25" s="44"/>
      <c r="D25" s="45"/>
    </row>
    <row r="26" spans="1:9" ht="15.6" x14ac:dyDescent="0.3">
      <c r="A26" s="43"/>
      <c r="B26" s="44"/>
      <c r="C26" s="44"/>
      <c r="D26" s="45"/>
    </row>
    <row r="27" spans="1:9" ht="14.25" customHeight="1" x14ac:dyDescent="0.3"/>
    <row r="28" spans="1:9" ht="18" x14ac:dyDescent="0.35">
      <c r="A28" s="46" t="s">
        <v>38</v>
      </c>
      <c r="B28" s="39" t="str">
        <f>B2</f>
        <v>VS mes anterior</v>
      </c>
      <c r="C28" s="39" t="str">
        <f>C2</f>
        <v>Var.VS Ene año anterior</v>
      </c>
      <c r="D28" s="40" t="s">
        <v>145</v>
      </c>
    </row>
    <row r="29" spans="1:9" x14ac:dyDescent="0.3">
      <c r="A29" t="s">
        <v>61</v>
      </c>
      <c r="B29" s="51">
        <v>0</v>
      </c>
      <c r="C29" s="51">
        <v>59390.535000000003</v>
      </c>
      <c r="D29" s="37" t="s">
        <v>184</v>
      </c>
    </row>
    <row r="30" spans="1:9" x14ac:dyDescent="0.3">
      <c r="A30" s="53" t="s">
        <v>150</v>
      </c>
      <c r="B30" s="52">
        <v>0</v>
      </c>
      <c r="C30" s="52">
        <v>3.0619257168767611</v>
      </c>
    </row>
    <row r="32" spans="1:9" x14ac:dyDescent="0.3">
      <c r="A32" t="s">
        <v>22</v>
      </c>
      <c r="B32" s="51">
        <v>-383</v>
      </c>
      <c r="C32" s="51">
        <v>5205.8420000000006</v>
      </c>
      <c r="D32" s="37" t="s">
        <v>185</v>
      </c>
    </row>
    <row r="33" spans="1:5" x14ac:dyDescent="0.3">
      <c r="A33" s="53" t="s">
        <v>150</v>
      </c>
      <c r="B33" s="56">
        <v>-4.1099999999999998E-2</v>
      </c>
      <c r="C33" s="52">
        <v>1.4007588974837235</v>
      </c>
      <c r="D33" s="37" t="s">
        <v>186</v>
      </c>
    </row>
    <row r="34" spans="1:5" x14ac:dyDescent="0.3">
      <c r="D34" s="37" t="s">
        <v>187</v>
      </c>
    </row>
    <row r="35" spans="1:5" x14ac:dyDescent="0.3">
      <c r="D35" s="37" t="s">
        <v>188</v>
      </c>
    </row>
    <row r="37" spans="1:5" ht="15.6" x14ac:dyDescent="0.3">
      <c r="A37" s="43" t="s">
        <v>79</v>
      </c>
      <c r="B37" s="44"/>
      <c r="C37" s="44"/>
      <c r="D37" s="45"/>
    </row>
    <row r="38" spans="1:5" ht="15.6" x14ac:dyDescent="0.3">
      <c r="A38" s="43" t="s">
        <v>189</v>
      </c>
      <c r="B38" s="44"/>
      <c r="C38" s="44"/>
      <c r="D38" s="45"/>
    </row>
    <row r="40" spans="1:5" ht="18" x14ac:dyDescent="0.35">
      <c r="A40" s="46" t="s">
        <v>39</v>
      </c>
      <c r="B40" s="39" t="str">
        <f>B14</f>
        <v>VS mes anterior</v>
      </c>
      <c r="C40" s="39" t="str">
        <f>C14</f>
        <v>Var.VS Ene año anterior</v>
      </c>
      <c r="D40" s="40" t="s">
        <v>145</v>
      </c>
    </row>
    <row r="41" spans="1:5" x14ac:dyDescent="0.3">
      <c r="A41" t="s">
        <v>192</v>
      </c>
      <c r="B41" s="51">
        <v>-22234</v>
      </c>
      <c r="C41" s="51">
        <v>-23227.873</v>
      </c>
      <c r="D41" s="37" t="s">
        <v>193</v>
      </c>
    </row>
    <row r="42" spans="1:5" x14ac:dyDescent="0.3">
      <c r="A42" s="53" t="s">
        <v>150</v>
      </c>
      <c r="B42" s="56">
        <v>-0.87329999999999997</v>
      </c>
      <c r="C42" s="56">
        <v>-0.87808082719990821</v>
      </c>
      <c r="D42" s="37" t="s">
        <v>194</v>
      </c>
    </row>
    <row r="44" spans="1:5" ht="15.6" x14ac:dyDescent="0.3">
      <c r="A44" s="43" t="s">
        <v>80</v>
      </c>
      <c r="B44" s="44"/>
      <c r="C44" s="44"/>
      <c r="D44" s="45"/>
    </row>
    <row r="45" spans="1:5" ht="15.6" x14ac:dyDescent="0.3">
      <c r="A45" s="43" t="s">
        <v>191</v>
      </c>
      <c r="B45" s="44"/>
      <c r="C45" s="44"/>
      <c r="D45" s="45"/>
      <c r="E45" s="19"/>
    </row>
  </sheetData>
  <mergeCells count="1">
    <mergeCell ref="B1:C1"/>
  </mergeCells>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6DC665-A4E0-4294-8E92-7925C90558A3}">
  <dimension ref="A1:L57"/>
  <sheetViews>
    <sheetView showGridLines="0" workbookViewId="0">
      <pane ySplit="1" topLeftCell="A5" activePane="bottomLeft" state="frozen"/>
      <selection pane="bottomLeft" activeCell="E19" sqref="E19"/>
    </sheetView>
  </sheetViews>
  <sheetFormatPr baseColWidth="10" defaultColWidth="7.88671875" defaultRowHeight="14.4" x14ac:dyDescent="0.3"/>
  <cols>
    <col min="1" max="1" width="38.77734375" customWidth="1"/>
    <col min="2" max="2" width="14.21875" customWidth="1"/>
    <col min="3" max="3" width="14.109375" customWidth="1"/>
    <col min="4" max="4" width="15.6640625" customWidth="1"/>
    <col min="5" max="5" width="120.33203125" style="37" customWidth="1"/>
    <col min="6" max="6" width="17.33203125" customWidth="1"/>
    <col min="7" max="7" width="5" bestFit="1" customWidth="1"/>
    <col min="8" max="8" width="11.5546875" bestFit="1" customWidth="1"/>
    <col min="9" max="9" width="13.33203125" bestFit="1" customWidth="1"/>
    <col min="11" max="11" width="12.33203125" bestFit="1" customWidth="1"/>
    <col min="12" max="12" width="14.109375" bestFit="1" customWidth="1"/>
  </cols>
  <sheetData>
    <row r="1" spans="1:12" x14ac:dyDescent="0.3">
      <c r="B1" s="97" t="s">
        <v>148</v>
      </c>
      <c r="C1" s="97"/>
      <c r="D1" s="39"/>
    </row>
    <row r="2" spans="1:12" s="47" customFormat="1" ht="29.4" x14ac:dyDescent="0.35">
      <c r="A2" s="46" t="s">
        <v>75</v>
      </c>
      <c r="B2" s="39" t="s">
        <v>149</v>
      </c>
      <c r="C2" s="40" t="s">
        <v>212</v>
      </c>
      <c r="D2" s="40" t="s">
        <v>213</v>
      </c>
      <c r="E2" s="40" t="s">
        <v>151</v>
      </c>
      <c r="H2" s="6"/>
      <c r="I2" s="6"/>
      <c r="J2" s="6"/>
      <c r="K2" s="6"/>
      <c r="L2" s="6"/>
    </row>
    <row r="3" spans="1:12" ht="28.8" x14ac:dyDescent="0.3">
      <c r="A3" t="s">
        <v>63</v>
      </c>
      <c r="B3" s="51">
        <v>-3021.6100000000442</v>
      </c>
      <c r="C3" s="12">
        <v>38861.880000000005</v>
      </c>
      <c r="D3" s="12">
        <v>98584.530000000028</v>
      </c>
      <c r="E3" s="37" t="s">
        <v>215</v>
      </c>
      <c r="H3" s="12"/>
      <c r="I3" s="12"/>
      <c r="J3" s="12"/>
    </row>
    <row r="4" spans="1:12" x14ac:dyDescent="0.3">
      <c r="A4" s="53" t="s">
        <v>150</v>
      </c>
      <c r="B4" s="56">
        <v>-9.0483714647243696E-3</v>
      </c>
      <c r="C4" s="52">
        <v>0.13306303828688293</v>
      </c>
      <c r="D4" s="52">
        <v>0.17409359468847163</v>
      </c>
      <c r="E4" s="37" t="s">
        <v>216</v>
      </c>
      <c r="H4" s="12"/>
      <c r="I4" s="12"/>
      <c r="J4" s="12"/>
    </row>
    <row r="5" spans="1:12" x14ac:dyDescent="0.3">
      <c r="A5" s="53"/>
      <c r="B5" s="52"/>
      <c r="C5" s="52"/>
      <c r="D5" s="52"/>
      <c r="H5" s="12"/>
      <c r="I5" s="12"/>
      <c r="J5" s="12"/>
    </row>
    <row r="6" spans="1:12" ht="28.8" x14ac:dyDescent="0.3">
      <c r="A6" t="s">
        <v>176</v>
      </c>
      <c r="B6" s="51">
        <v>74354.941000000006</v>
      </c>
      <c r="C6" s="51">
        <v>65454.995000000003</v>
      </c>
      <c r="D6" s="51">
        <v>10266.903999999995</v>
      </c>
      <c r="E6" s="37" t="s">
        <v>217</v>
      </c>
      <c r="H6" s="12"/>
      <c r="I6" s="12"/>
      <c r="J6" s="12"/>
    </row>
    <row r="7" spans="1:12" x14ac:dyDescent="0.3">
      <c r="A7" s="53" t="s">
        <v>150</v>
      </c>
      <c r="B7" s="52">
        <v>3.7463298609909232</v>
      </c>
      <c r="C7" s="52">
        <v>2.2769049535165928</v>
      </c>
      <c r="D7" s="52">
        <v>9.8926783234090099E-2</v>
      </c>
      <c r="E7" s="37" t="s">
        <v>223</v>
      </c>
      <c r="H7" s="54"/>
    </row>
    <row r="8" spans="1:12" x14ac:dyDescent="0.3">
      <c r="A8" s="53"/>
      <c r="B8" s="56"/>
      <c r="C8" s="56"/>
      <c r="D8" s="56"/>
      <c r="E8" s="37" t="s">
        <v>218</v>
      </c>
      <c r="H8" s="54"/>
    </row>
    <row r="9" spans="1:12" x14ac:dyDescent="0.3">
      <c r="A9" s="53"/>
      <c r="B9" s="56"/>
      <c r="C9" s="56"/>
      <c r="D9" s="56"/>
      <c r="H9" s="54"/>
    </row>
    <row r="10" spans="1:12" ht="28.8" x14ac:dyDescent="0.3">
      <c r="A10" t="s">
        <v>6</v>
      </c>
      <c r="B10" s="51">
        <v>1179.9880000000003</v>
      </c>
      <c r="C10" s="51">
        <v>2174.0349999999999</v>
      </c>
      <c r="D10" s="51">
        <v>3500.2940000000017</v>
      </c>
      <c r="E10" s="37" t="s">
        <v>219</v>
      </c>
      <c r="H10" s="12"/>
      <c r="I10" s="12"/>
      <c r="J10" s="12"/>
    </row>
    <row r="11" spans="1:12" x14ac:dyDescent="0.3">
      <c r="A11" s="53" t="s">
        <v>150</v>
      </c>
      <c r="B11" s="52">
        <v>0.19246008736798204</v>
      </c>
      <c r="C11" s="52">
        <v>0.42320838180490217</v>
      </c>
      <c r="D11" s="52">
        <v>0.35207665533544485</v>
      </c>
      <c r="H11" s="54"/>
    </row>
    <row r="12" spans="1:12" x14ac:dyDescent="0.3">
      <c r="A12" s="53"/>
      <c r="B12" s="56"/>
      <c r="C12" s="56"/>
      <c r="D12" s="56"/>
      <c r="H12" s="54"/>
    </row>
    <row r="13" spans="1:12" ht="15.6" x14ac:dyDescent="0.3">
      <c r="A13" s="43" t="s">
        <v>76</v>
      </c>
      <c r="B13" s="41"/>
      <c r="C13" s="41"/>
      <c r="D13" s="41"/>
      <c r="E13" s="42"/>
      <c r="F13" s="12"/>
      <c r="H13" s="12"/>
      <c r="I13" s="12"/>
      <c r="J13" s="12"/>
    </row>
    <row r="14" spans="1:12" ht="15.6" x14ac:dyDescent="0.3">
      <c r="A14" s="43" t="s">
        <v>214</v>
      </c>
      <c r="B14" s="41"/>
      <c r="C14" s="41"/>
      <c r="D14" s="41"/>
      <c r="E14" s="42"/>
      <c r="F14" s="12"/>
      <c r="H14" s="12"/>
      <c r="I14" s="12"/>
      <c r="J14" s="12"/>
    </row>
    <row r="15" spans="1:12" ht="15.6" x14ac:dyDescent="0.3">
      <c r="A15" s="43" t="s">
        <v>236</v>
      </c>
      <c r="B15" s="41"/>
      <c r="C15" s="41"/>
      <c r="D15" s="41"/>
      <c r="E15" s="42"/>
      <c r="F15" s="12"/>
      <c r="H15" s="12"/>
      <c r="I15" s="12"/>
      <c r="J15" s="12"/>
    </row>
    <row r="16" spans="1:12" ht="15.6" x14ac:dyDescent="0.3">
      <c r="A16" s="43" t="s">
        <v>237</v>
      </c>
      <c r="B16" s="41"/>
      <c r="C16" s="41"/>
      <c r="D16" s="41"/>
      <c r="E16" s="42"/>
      <c r="F16" s="12"/>
      <c r="H16" s="12"/>
      <c r="I16" s="12"/>
      <c r="J16" s="12"/>
    </row>
    <row r="17" spans="1:10" x14ac:dyDescent="0.3">
      <c r="H17" s="54"/>
    </row>
    <row r="18" spans="1:10" s="47" customFormat="1" ht="29.4" x14ac:dyDescent="0.35">
      <c r="A18" s="46" t="s">
        <v>77</v>
      </c>
      <c r="B18" s="39" t="str">
        <f>B2</f>
        <v>VS mes anterior</v>
      </c>
      <c r="C18" s="40" t="str">
        <f>C2</f>
        <v>Var.VS Feb año anterior</v>
      </c>
      <c r="D18" s="40" t="s">
        <v>213</v>
      </c>
      <c r="E18" s="40" t="s">
        <v>145</v>
      </c>
      <c r="H18" s="55"/>
      <c r="I18" s="48"/>
    </row>
    <row r="19" spans="1:10" x14ac:dyDescent="0.3">
      <c r="A19" s="53"/>
      <c r="B19" s="52"/>
      <c r="C19" s="52"/>
      <c r="D19" s="52"/>
      <c r="H19" s="12"/>
      <c r="I19" s="12"/>
      <c r="J19" s="12"/>
    </row>
    <row r="20" spans="1:10" x14ac:dyDescent="0.3">
      <c r="A20" t="s">
        <v>63</v>
      </c>
      <c r="B20" s="51">
        <v>5278.939000000013</v>
      </c>
      <c r="C20" s="12">
        <v>17211.507999999973</v>
      </c>
      <c r="D20" s="12">
        <v>34234.31799999997</v>
      </c>
      <c r="E20" s="37" t="s">
        <v>220</v>
      </c>
      <c r="H20" s="12"/>
      <c r="I20" s="12"/>
      <c r="J20" s="12"/>
    </row>
    <row r="21" spans="1:10" x14ac:dyDescent="0.3">
      <c r="A21" s="53" t="s">
        <v>150</v>
      </c>
      <c r="B21" s="52">
        <v>8.7288648326524054E-2</v>
      </c>
      <c r="C21" s="52">
        <v>0.35455303544657246</v>
      </c>
      <c r="D21" s="52">
        <v>0.3721192669325053</v>
      </c>
      <c r="E21" s="37" t="s">
        <v>221</v>
      </c>
      <c r="H21" s="12"/>
      <c r="I21" s="12"/>
      <c r="J21" s="12"/>
    </row>
    <row r="22" spans="1:10" x14ac:dyDescent="0.3">
      <c r="A22" s="53"/>
      <c r="B22" s="52"/>
      <c r="C22" s="52"/>
      <c r="D22" s="52"/>
      <c r="H22" s="12"/>
      <c r="I22" s="12"/>
      <c r="J22" s="12"/>
    </row>
    <row r="23" spans="1:10" ht="28.8" x14ac:dyDescent="0.3">
      <c r="A23" t="s">
        <v>176</v>
      </c>
      <c r="B23" s="51">
        <v>38872.973999999987</v>
      </c>
      <c r="C23" s="51">
        <v>31562.983999999993</v>
      </c>
      <c r="D23" s="51">
        <v>6857.5749999999971</v>
      </c>
      <c r="E23" s="37" t="s">
        <v>222</v>
      </c>
      <c r="H23" s="12"/>
      <c r="I23" s="12"/>
      <c r="J23" s="12"/>
    </row>
    <row r="24" spans="1:10" x14ac:dyDescent="0.3">
      <c r="A24" s="53" t="s">
        <v>150</v>
      </c>
      <c r="B24" s="52">
        <v>2.2832889603289654</v>
      </c>
      <c r="C24" s="52">
        <v>1.2970211071872213</v>
      </c>
      <c r="D24" s="52">
        <v>0.10379982520648801</v>
      </c>
      <c r="E24" s="37" t="s">
        <v>224</v>
      </c>
      <c r="H24" s="54"/>
    </row>
    <row r="25" spans="1:10" x14ac:dyDescent="0.3">
      <c r="E25" s="37" t="s">
        <v>225</v>
      </c>
      <c r="H25" s="12"/>
      <c r="I25" s="12"/>
      <c r="J25" s="12"/>
    </row>
    <row r="26" spans="1:10" x14ac:dyDescent="0.3">
      <c r="A26" s="53"/>
      <c r="B26" s="52"/>
      <c r="C26" s="52"/>
      <c r="D26" s="52"/>
      <c r="H26" s="12"/>
      <c r="I26" s="12"/>
      <c r="J26" s="12"/>
    </row>
    <row r="27" spans="1:10" ht="15.6" x14ac:dyDescent="0.3">
      <c r="A27" s="43" t="s">
        <v>78</v>
      </c>
      <c r="B27" s="44"/>
      <c r="C27" s="44"/>
      <c r="D27" s="44"/>
      <c r="E27" s="45"/>
    </row>
    <row r="28" spans="1:10" ht="15.6" x14ac:dyDescent="0.3">
      <c r="A28" s="43" t="s">
        <v>226</v>
      </c>
      <c r="B28" s="44"/>
      <c r="C28" s="44"/>
      <c r="D28" s="44"/>
      <c r="E28" s="45"/>
    </row>
    <row r="29" spans="1:10" ht="15.6" x14ac:dyDescent="0.3">
      <c r="A29" s="43" t="s">
        <v>238</v>
      </c>
      <c r="B29" s="44"/>
      <c r="C29" s="44"/>
      <c r="D29" s="44"/>
      <c r="E29" s="45"/>
    </row>
    <row r="31" spans="1:10" ht="29.4" x14ac:dyDescent="0.35">
      <c r="A31" s="46" t="s">
        <v>38</v>
      </c>
      <c r="B31" s="39" t="s">
        <v>149</v>
      </c>
      <c r="C31" s="40" t="s">
        <v>212</v>
      </c>
      <c r="D31" s="40" t="s">
        <v>213</v>
      </c>
      <c r="E31" s="40" t="s">
        <v>145</v>
      </c>
    </row>
    <row r="32" spans="1:10" x14ac:dyDescent="0.3">
      <c r="A32" s="53"/>
      <c r="B32" s="52"/>
      <c r="C32" s="52"/>
      <c r="D32" s="52"/>
      <c r="H32" s="12"/>
      <c r="I32" s="12"/>
      <c r="J32" s="12"/>
    </row>
    <row r="33" spans="1:10" x14ac:dyDescent="0.3">
      <c r="A33" t="s">
        <v>61</v>
      </c>
      <c r="B33" s="51">
        <v>6574</v>
      </c>
      <c r="C33" s="51">
        <v>64921</v>
      </c>
      <c r="D33" s="51">
        <v>124311.535</v>
      </c>
      <c r="E33" s="37" t="s">
        <v>227</v>
      </c>
    </row>
    <row r="34" spans="1:10" x14ac:dyDescent="0.3">
      <c r="A34" s="53" t="s">
        <v>150</v>
      </c>
      <c r="B34" s="52">
        <v>8.344016144795452E-2</v>
      </c>
      <c r="C34" s="52">
        <v>3.1761741682974556</v>
      </c>
      <c r="D34" s="52">
        <v>3.1205463386372267</v>
      </c>
      <c r="E34" s="37" t="s">
        <v>228</v>
      </c>
    </row>
    <row r="35" spans="1:10" x14ac:dyDescent="0.3">
      <c r="E35" s="37" t="s">
        <v>229</v>
      </c>
    </row>
    <row r="37" spans="1:10" x14ac:dyDescent="0.3">
      <c r="A37" t="s">
        <v>31</v>
      </c>
      <c r="B37" s="51">
        <v>23352.947</v>
      </c>
      <c r="C37" s="51">
        <v>26900.17</v>
      </c>
      <c r="D37" s="51">
        <v>26962.618999999995</v>
      </c>
      <c r="E37" s="37" t="s">
        <v>230</v>
      </c>
    </row>
    <row r="38" spans="1:10" x14ac:dyDescent="0.3">
      <c r="A38" s="53" t="s">
        <v>150</v>
      </c>
      <c r="B38" s="52">
        <v>6.5834448524944724</v>
      </c>
      <c r="C38" s="52">
        <v>0</v>
      </c>
      <c r="D38" s="52">
        <v>7.7372647408411552</v>
      </c>
      <c r="E38" s="37" t="s">
        <v>231</v>
      </c>
    </row>
    <row r="39" spans="1:10" x14ac:dyDescent="0.3">
      <c r="A39" s="53"/>
      <c r="B39" s="56"/>
      <c r="C39" s="52"/>
      <c r="D39" s="52"/>
    </row>
    <row r="40" spans="1:10" x14ac:dyDescent="0.3">
      <c r="A40" t="s">
        <v>22</v>
      </c>
      <c r="B40" s="51">
        <v>10183.699000000001</v>
      </c>
      <c r="C40" s="51">
        <v>14973.82</v>
      </c>
      <c r="D40" s="51">
        <v>20179.662</v>
      </c>
      <c r="E40" s="37" t="s">
        <v>232</v>
      </c>
    </row>
    <row r="41" spans="1:10" x14ac:dyDescent="0.3">
      <c r="A41" s="53" t="s">
        <v>150</v>
      </c>
      <c r="B41" s="52">
        <v>1.1413777814340405</v>
      </c>
      <c r="C41" s="52">
        <v>3.6237226732233587</v>
      </c>
      <c r="D41" s="52">
        <v>2.5711131743217175</v>
      </c>
      <c r="E41" s="37" t="s">
        <v>233</v>
      </c>
    </row>
    <row r="43" spans="1:10" ht="15.6" x14ac:dyDescent="0.3">
      <c r="A43" s="43" t="s">
        <v>79</v>
      </c>
      <c r="B43" s="44"/>
      <c r="C43" s="44"/>
      <c r="D43" s="44"/>
      <c r="E43" s="45"/>
    </row>
    <row r="44" spans="1:10" ht="15.6" x14ac:dyDescent="0.3">
      <c r="A44" s="43" t="s">
        <v>234</v>
      </c>
      <c r="B44" s="44"/>
      <c r="C44" s="44"/>
      <c r="D44" s="44"/>
      <c r="E44" s="45"/>
    </row>
    <row r="45" spans="1:10" ht="15.6" x14ac:dyDescent="0.3">
      <c r="A45" s="43" t="s">
        <v>235</v>
      </c>
      <c r="B45" s="44"/>
      <c r="C45" s="44"/>
      <c r="D45" s="44"/>
      <c r="E45" s="45"/>
    </row>
    <row r="47" spans="1:10" ht="18" x14ac:dyDescent="0.35">
      <c r="A47" s="46" t="s">
        <v>39</v>
      </c>
      <c r="B47" s="39" t="str">
        <f>B18</f>
        <v>VS mes anterior</v>
      </c>
      <c r="C47" s="39" t="str">
        <f>C18</f>
        <v>Var.VS Feb año anterior</v>
      </c>
      <c r="D47" s="39"/>
      <c r="E47" s="40" t="s">
        <v>145</v>
      </c>
    </row>
    <row r="48" spans="1:10" x14ac:dyDescent="0.3">
      <c r="A48" s="53"/>
      <c r="B48" s="52"/>
      <c r="C48" s="52"/>
      <c r="D48" s="52"/>
      <c r="H48" s="12"/>
      <c r="I48" s="12"/>
      <c r="J48" s="12"/>
    </row>
    <row r="49" spans="1:6" x14ac:dyDescent="0.3">
      <c r="A49" t="s">
        <v>192</v>
      </c>
      <c r="B49" s="68">
        <v>33251.046000000002</v>
      </c>
      <c r="C49" s="68">
        <v>4425.9869999999974</v>
      </c>
      <c r="D49" s="51">
        <v>-18801.886000000006</v>
      </c>
      <c r="E49" s="37" t="s">
        <v>239</v>
      </c>
    </row>
    <row r="50" spans="1:6" x14ac:dyDescent="0.3">
      <c r="A50" s="53" t="s">
        <v>150</v>
      </c>
      <c r="B50" s="52">
        <v>10.309992657655757</v>
      </c>
      <c r="C50" s="52">
        <v>0.13809551251604235</v>
      </c>
      <c r="D50" s="56">
        <v>-0.32138224672474269</v>
      </c>
      <c r="E50" s="37" t="s">
        <v>240</v>
      </c>
    </row>
    <row r="52" spans="1:6" ht="15.6" x14ac:dyDescent="0.3">
      <c r="A52" s="43" t="s">
        <v>80</v>
      </c>
      <c r="B52" s="44"/>
      <c r="C52" s="44"/>
      <c r="D52" s="44"/>
      <c r="E52" s="45"/>
    </row>
    <row r="53" spans="1:6" ht="15.6" x14ac:dyDescent="0.3">
      <c r="A53" s="43" t="s">
        <v>241</v>
      </c>
      <c r="B53" s="44"/>
      <c r="C53" s="44"/>
      <c r="D53" s="44"/>
      <c r="E53" s="45"/>
      <c r="F53" s="19"/>
    </row>
    <row r="54" spans="1:6" ht="15.6" x14ac:dyDescent="0.3">
      <c r="A54" s="43" t="s">
        <v>242</v>
      </c>
      <c r="B54" s="44"/>
      <c r="C54" s="44"/>
      <c r="D54" s="44"/>
      <c r="E54" s="45"/>
      <c r="F54" s="19"/>
    </row>
    <row r="55" spans="1:6" ht="15.6" x14ac:dyDescent="0.3">
      <c r="A55" s="43" t="s">
        <v>243</v>
      </c>
      <c r="B55" s="44"/>
      <c r="C55" s="44"/>
      <c r="D55" s="44"/>
      <c r="E55" s="45"/>
      <c r="F55" s="19"/>
    </row>
    <row r="56" spans="1:6" x14ac:dyDescent="0.3">
      <c r="A56" s="5"/>
      <c r="E56" s="5"/>
    </row>
    <row r="57" spans="1:6" x14ac:dyDescent="0.3">
      <c r="A57" s="5" t="s">
        <v>195</v>
      </c>
      <c r="E57" s="5" t="s">
        <v>244</v>
      </c>
    </row>
  </sheetData>
  <mergeCells count="1">
    <mergeCell ref="B1:C1"/>
  </mergeCells>
  <pageMargins left="0.7" right="0.7" top="0.75" bottom="0.75" header="0.3" footer="0.3"/>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33CADA-ED05-46B1-A193-AB4FE9873676}">
  <dimension ref="A1:L54"/>
  <sheetViews>
    <sheetView showGridLines="0" workbookViewId="0">
      <pane ySplit="1" topLeftCell="A40" activePane="bottomLeft" state="frozen"/>
      <selection pane="bottomLeft" activeCell="D56" sqref="D56"/>
    </sheetView>
  </sheetViews>
  <sheetFormatPr baseColWidth="10" defaultColWidth="7.88671875" defaultRowHeight="14.4" x14ac:dyDescent="0.3"/>
  <cols>
    <col min="1" max="1" width="38.77734375" customWidth="1"/>
    <col min="2" max="2" width="14.21875" customWidth="1"/>
    <col min="3" max="3" width="14.109375" customWidth="1"/>
    <col min="4" max="4" width="15.6640625" customWidth="1"/>
    <col min="5" max="5" width="120.33203125" style="37" customWidth="1"/>
    <col min="6" max="6" width="17.33203125" customWidth="1"/>
    <col min="7" max="7" width="5" bestFit="1" customWidth="1"/>
    <col min="8" max="8" width="11.5546875" bestFit="1" customWidth="1"/>
    <col min="9" max="9" width="13.33203125" bestFit="1" customWidth="1"/>
    <col min="11" max="11" width="12.33203125" bestFit="1" customWidth="1"/>
    <col min="12" max="12" width="14.109375" bestFit="1" customWidth="1"/>
  </cols>
  <sheetData>
    <row r="1" spans="1:12" x14ac:dyDescent="0.3">
      <c r="B1" s="97" t="s">
        <v>148</v>
      </c>
      <c r="C1" s="97"/>
      <c r="D1" s="39"/>
    </row>
    <row r="2" spans="1:12" s="47" customFormat="1" ht="29.4" x14ac:dyDescent="0.35">
      <c r="A2" s="46" t="s">
        <v>75</v>
      </c>
      <c r="B2" s="39" t="s">
        <v>149</v>
      </c>
      <c r="C2" s="40" t="s">
        <v>252</v>
      </c>
      <c r="D2" s="40" t="s">
        <v>253</v>
      </c>
      <c r="E2" s="40" t="s">
        <v>151</v>
      </c>
      <c r="H2" s="6"/>
      <c r="I2" s="6"/>
      <c r="J2" s="6"/>
      <c r="K2" s="6"/>
      <c r="L2" s="6"/>
    </row>
    <row r="3" spans="1:12" x14ac:dyDescent="0.3">
      <c r="A3" t="s">
        <v>63</v>
      </c>
      <c r="B3" s="51">
        <v>54616.740000000049</v>
      </c>
      <c r="C3" s="12">
        <v>29665.780000000028</v>
      </c>
      <c r="D3" s="12">
        <v>128250.31000000006</v>
      </c>
      <c r="E3" s="37" t="s">
        <v>254</v>
      </c>
      <c r="H3" s="12"/>
      <c r="I3" s="12"/>
      <c r="J3" s="12"/>
    </row>
    <row r="4" spans="1:12" x14ac:dyDescent="0.3">
      <c r="A4" s="53" t="s">
        <v>150</v>
      </c>
      <c r="B4" s="52">
        <v>0.16504612441195432</v>
      </c>
      <c r="C4" s="52">
        <v>8.3361517861910039E-2</v>
      </c>
      <c r="D4" s="52">
        <v>0.13907867524460671</v>
      </c>
      <c r="E4" s="37" t="s">
        <v>255</v>
      </c>
      <c r="H4" s="12"/>
      <c r="I4" s="12"/>
      <c r="J4" s="12"/>
    </row>
    <row r="5" spans="1:12" x14ac:dyDescent="0.3">
      <c r="A5" s="53"/>
      <c r="B5" s="52"/>
      <c r="C5" s="52"/>
      <c r="D5" s="52"/>
      <c r="E5" s="37" t="s">
        <v>256</v>
      </c>
      <c r="H5" s="12"/>
      <c r="I5" s="12"/>
      <c r="J5" s="12"/>
    </row>
    <row r="6" spans="1:12" x14ac:dyDescent="0.3">
      <c r="A6" s="53"/>
      <c r="B6" s="52"/>
      <c r="C6" s="52"/>
      <c r="D6" s="52"/>
      <c r="E6" s="37" t="s">
        <v>257</v>
      </c>
      <c r="H6" s="12"/>
      <c r="I6" s="12"/>
      <c r="J6" s="12"/>
    </row>
    <row r="7" spans="1:12" x14ac:dyDescent="0.3">
      <c r="A7" s="53"/>
      <c r="B7" s="52"/>
      <c r="C7" s="52"/>
      <c r="D7" s="52"/>
      <c r="H7" s="12"/>
      <c r="I7" s="12"/>
      <c r="J7" s="12"/>
    </row>
    <row r="8" spans="1:12" ht="15.6" x14ac:dyDescent="0.3">
      <c r="A8" s="43" t="s">
        <v>76</v>
      </c>
      <c r="B8" s="41"/>
      <c r="C8" s="41"/>
      <c r="D8" s="41"/>
      <c r="E8" s="42"/>
      <c r="F8" s="12"/>
      <c r="H8" s="12"/>
      <c r="I8" s="12"/>
      <c r="J8" s="12"/>
    </row>
    <row r="9" spans="1:12" ht="15.6" x14ac:dyDescent="0.3">
      <c r="A9" s="43" t="s">
        <v>258</v>
      </c>
      <c r="B9" s="41"/>
      <c r="C9" s="41"/>
      <c r="D9" s="41"/>
      <c r="E9" s="42"/>
      <c r="F9" s="12"/>
      <c r="H9" s="12"/>
      <c r="I9" s="12"/>
      <c r="J9" s="12"/>
    </row>
    <row r="10" spans="1:12" ht="15.6" x14ac:dyDescent="0.3">
      <c r="A10" s="43" t="s">
        <v>259</v>
      </c>
      <c r="B10" s="41"/>
      <c r="C10" s="41"/>
      <c r="D10" s="41"/>
      <c r="E10" s="42"/>
      <c r="F10" s="12"/>
      <c r="H10" s="12"/>
      <c r="I10" s="12"/>
      <c r="J10" s="12"/>
    </row>
    <row r="11" spans="1:12" ht="15.6" x14ac:dyDescent="0.3">
      <c r="A11" s="43" t="s">
        <v>260</v>
      </c>
      <c r="B11" s="41"/>
      <c r="C11" s="41"/>
      <c r="D11" s="41"/>
      <c r="E11" s="42"/>
      <c r="F11" s="12"/>
      <c r="H11" s="12"/>
      <c r="I11" s="12"/>
      <c r="J11" s="12"/>
    </row>
    <row r="12" spans="1:12" x14ac:dyDescent="0.3">
      <c r="H12" s="54"/>
    </row>
    <row r="13" spans="1:12" s="47" customFormat="1" ht="29.4" x14ac:dyDescent="0.35">
      <c r="A13" s="46" t="s">
        <v>77</v>
      </c>
      <c r="B13" s="39" t="str">
        <f>B2</f>
        <v>VS mes anterior</v>
      </c>
      <c r="C13" s="40" t="str">
        <f>C2</f>
        <v>Var.VS Mar año anterior</v>
      </c>
      <c r="D13" s="40" t="str">
        <f>D2</f>
        <v>VS acum a Mar año anterior</v>
      </c>
      <c r="E13" s="40" t="s">
        <v>145</v>
      </c>
      <c r="H13" s="55"/>
      <c r="I13" s="48"/>
    </row>
    <row r="14" spans="1:12" x14ac:dyDescent="0.3">
      <c r="A14" s="53"/>
      <c r="B14" s="52"/>
      <c r="C14" s="52"/>
      <c r="D14" s="52"/>
      <c r="H14" s="12"/>
      <c r="I14" s="12"/>
      <c r="J14" s="12"/>
    </row>
    <row r="15" spans="1:12" x14ac:dyDescent="0.3">
      <c r="A15" t="s">
        <v>63</v>
      </c>
      <c r="B15" s="51">
        <v>16795.13599999994</v>
      </c>
      <c r="C15" s="12">
        <v>41518.857999999949</v>
      </c>
      <c r="D15" s="12">
        <v>75753.175999999919</v>
      </c>
      <c r="E15" s="37" t="s">
        <v>261</v>
      </c>
      <c r="H15" s="12"/>
      <c r="I15" s="12"/>
      <c r="J15" s="12"/>
    </row>
    <row r="16" spans="1:12" x14ac:dyDescent="0.3">
      <c r="A16" s="53" t="s">
        <v>150</v>
      </c>
      <c r="B16" s="52">
        <v>0.25541699783542793</v>
      </c>
      <c r="C16" s="52">
        <v>1.0118646587944569</v>
      </c>
      <c r="D16" s="52">
        <v>0.56944315860507699</v>
      </c>
      <c r="E16" s="37" t="s">
        <v>262</v>
      </c>
      <c r="H16" s="12"/>
      <c r="I16" s="12"/>
      <c r="J16" s="12"/>
    </row>
    <row r="17" spans="1:10" x14ac:dyDescent="0.3">
      <c r="A17" s="53"/>
      <c r="B17" s="52"/>
      <c r="C17" s="52"/>
      <c r="D17" s="52"/>
      <c r="E17" s="37" t="s">
        <v>264</v>
      </c>
      <c r="H17" s="12"/>
      <c r="I17" s="12"/>
      <c r="J17" s="12"/>
    </row>
    <row r="18" spans="1:10" x14ac:dyDescent="0.3">
      <c r="A18" s="53"/>
      <c r="B18" s="52"/>
      <c r="C18" s="52"/>
      <c r="D18" s="52"/>
      <c r="H18" s="12"/>
      <c r="I18" s="12"/>
      <c r="J18" s="12"/>
    </row>
    <row r="19" spans="1:10" ht="15.6" x14ac:dyDescent="0.3">
      <c r="A19" s="43" t="s">
        <v>78</v>
      </c>
      <c r="B19" s="44"/>
      <c r="C19" s="44"/>
      <c r="D19" s="44"/>
      <c r="E19" s="45"/>
    </row>
    <row r="20" spans="1:10" ht="15.6" x14ac:dyDescent="0.3">
      <c r="A20" s="43" t="s">
        <v>263</v>
      </c>
      <c r="B20" s="44"/>
      <c r="C20" s="44"/>
      <c r="D20" s="44"/>
      <c r="E20" s="45"/>
    </row>
    <row r="21" spans="1:10" ht="15.6" x14ac:dyDescent="0.3">
      <c r="A21" s="43" t="s">
        <v>265</v>
      </c>
      <c r="B21" s="44"/>
      <c r="C21" s="44"/>
      <c r="D21" s="44"/>
      <c r="E21" s="45"/>
    </row>
    <row r="23" spans="1:10" ht="29.4" x14ac:dyDescent="0.35">
      <c r="A23" s="46" t="s">
        <v>38</v>
      </c>
      <c r="B23" s="39" t="s">
        <v>149</v>
      </c>
      <c r="C23" s="40" t="str">
        <f>C2</f>
        <v>Var.VS Mar año anterior</v>
      </c>
      <c r="D23" s="40" t="str">
        <f>D2</f>
        <v>VS acum a Mar año anterior</v>
      </c>
      <c r="E23" s="40" t="s">
        <v>145</v>
      </c>
    </row>
    <row r="24" spans="1:10" x14ac:dyDescent="0.3">
      <c r="A24" s="53"/>
      <c r="B24" s="52"/>
      <c r="C24" s="52"/>
      <c r="D24" s="52"/>
      <c r="H24" s="12"/>
      <c r="I24" s="12"/>
      <c r="J24" s="12"/>
    </row>
    <row r="25" spans="1:10" x14ac:dyDescent="0.3">
      <c r="A25" t="s">
        <v>159</v>
      </c>
      <c r="B25" s="51">
        <v>55336.436000000002</v>
      </c>
      <c r="C25" s="51">
        <v>42080.085999999996</v>
      </c>
      <c r="D25" s="51">
        <v>38059.371999999996</v>
      </c>
      <c r="E25" s="37" t="s">
        <v>266</v>
      </c>
    </row>
    <row r="26" spans="1:10" x14ac:dyDescent="0.3">
      <c r="A26" s="53" t="s">
        <v>150</v>
      </c>
      <c r="B26" s="52">
        <v>14.971282721691521</v>
      </c>
      <c r="C26" s="52">
        <v>2.4822316113201328</v>
      </c>
      <c r="D26" s="52">
        <v>1.4998734781067466</v>
      </c>
    </row>
    <row r="27" spans="1:10" x14ac:dyDescent="0.3">
      <c r="A27" s="53"/>
      <c r="B27" s="52"/>
      <c r="C27" s="52"/>
      <c r="D27" s="52"/>
    </row>
    <row r="28" spans="1:10" x14ac:dyDescent="0.3">
      <c r="A28" t="s">
        <v>22</v>
      </c>
      <c r="B28" s="51">
        <v>-12017.685000000001</v>
      </c>
      <c r="C28" s="51">
        <v>-6284.9019999999991</v>
      </c>
      <c r="D28" s="51">
        <v>13894.760000000002</v>
      </c>
      <c r="E28" s="37" t="s">
        <v>267</v>
      </c>
    </row>
    <row r="29" spans="1:10" x14ac:dyDescent="0.3">
      <c r="A29" s="53" t="s">
        <v>150</v>
      </c>
      <c r="B29" s="56">
        <v>-0.62900106956014046</v>
      </c>
      <c r="C29" s="56">
        <v>-0.4699623919536996</v>
      </c>
      <c r="D29" s="52">
        <v>0.65473959785995639</v>
      </c>
      <c r="E29" s="37" t="s">
        <v>268</v>
      </c>
    </row>
    <row r="30" spans="1:10" x14ac:dyDescent="0.3">
      <c r="E30" s="37" t="s">
        <v>269</v>
      </c>
    </row>
    <row r="31" spans="1:10" x14ac:dyDescent="0.3">
      <c r="E31" s="37" t="s">
        <v>270</v>
      </c>
    </row>
    <row r="33" spans="1:10" x14ac:dyDescent="0.3">
      <c r="A33" t="s">
        <v>196</v>
      </c>
      <c r="B33" s="51">
        <v>25477.518</v>
      </c>
      <c r="C33" s="51">
        <v>8483.2829999999994</v>
      </c>
      <c r="D33" s="51">
        <v>8483.2829999999994</v>
      </c>
      <c r="E33" s="37" t="s">
        <v>271</v>
      </c>
    </row>
    <row r="34" spans="1:10" x14ac:dyDescent="0.3">
      <c r="A34" s="53" t="s">
        <v>150</v>
      </c>
      <c r="B34" s="52">
        <v>0</v>
      </c>
      <c r="C34" s="52">
        <v>0.49918592981678778</v>
      </c>
      <c r="D34" s="52">
        <v>0.49918592981678778</v>
      </c>
    </row>
    <row r="36" spans="1:10" x14ac:dyDescent="0.3">
      <c r="A36" t="s">
        <v>202</v>
      </c>
      <c r="B36" s="51">
        <v>14303</v>
      </c>
      <c r="C36" s="51">
        <v>14303</v>
      </c>
      <c r="D36" s="51">
        <v>14303</v>
      </c>
      <c r="E36" s="37" t="s">
        <v>272</v>
      </c>
    </row>
    <row r="37" spans="1:10" x14ac:dyDescent="0.3">
      <c r="A37" s="53" t="s">
        <v>150</v>
      </c>
      <c r="B37" s="52">
        <v>0</v>
      </c>
      <c r="C37" s="52">
        <v>0</v>
      </c>
      <c r="D37" s="52">
        <v>0</v>
      </c>
      <c r="E37" s="37" t="s">
        <v>273</v>
      </c>
    </row>
    <row r="40" spans="1:10" ht="15.6" x14ac:dyDescent="0.3">
      <c r="A40" s="43" t="s">
        <v>79</v>
      </c>
      <c r="B40" s="44"/>
      <c r="C40" s="44"/>
      <c r="D40" s="44"/>
      <c r="E40" s="45"/>
    </row>
    <row r="41" spans="1:10" ht="15.6" x14ac:dyDescent="0.3">
      <c r="A41" s="43" t="s">
        <v>274</v>
      </c>
      <c r="B41" s="44"/>
      <c r="C41" s="44"/>
      <c r="D41" s="44"/>
      <c r="E41" s="45"/>
    </row>
    <row r="42" spans="1:10" ht="15.6" x14ac:dyDescent="0.3">
      <c r="A42" s="43" t="s">
        <v>275</v>
      </c>
      <c r="B42" s="44"/>
      <c r="C42" s="44"/>
      <c r="D42" s="44"/>
      <c r="E42" s="45"/>
    </row>
    <row r="44" spans="1:10" ht="28.8" customHeight="1" x14ac:dyDescent="0.35">
      <c r="A44" s="46" t="s">
        <v>39</v>
      </c>
      <c r="B44" s="39" t="str">
        <f>B13</f>
        <v>VS mes anterior</v>
      </c>
      <c r="C44" s="40" t="str">
        <f>C13</f>
        <v>Var.VS Mar año anterior</v>
      </c>
      <c r="D44" s="40" t="str">
        <f>D2</f>
        <v>VS acum a Mar año anterior</v>
      </c>
      <c r="E44" s="40" t="s">
        <v>145</v>
      </c>
    </row>
    <row r="45" spans="1:10" x14ac:dyDescent="0.3">
      <c r="A45" s="53"/>
      <c r="B45" s="52"/>
      <c r="C45" s="52"/>
      <c r="D45" s="52"/>
      <c r="H45" s="12"/>
      <c r="I45" s="12"/>
      <c r="J45" s="12"/>
    </row>
    <row r="46" spans="1:10" x14ac:dyDescent="0.3">
      <c r="A46" t="s">
        <v>192</v>
      </c>
      <c r="B46" s="68">
        <v>9513.2819999999992</v>
      </c>
      <c r="C46" s="68">
        <v>19258.222999999998</v>
      </c>
      <c r="D46" s="51">
        <v>456.33699999999953</v>
      </c>
      <c r="E46" s="37" t="s">
        <v>276</v>
      </c>
    </row>
    <row r="47" spans="1:10" x14ac:dyDescent="0.3">
      <c r="A47" s="53" t="s">
        <v>150</v>
      </c>
      <c r="B47" s="52">
        <v>0.26080810997337611</v>
      </c>
      <c r="C47" s="52">
        <v>0.72043900855602128</v>
      </c>
      <c r="D47" s="52">
        <v>5.3539050848951941E-3</v>
      </c>
      <c r="E47" s="37" t="s">
        <v>277</v>
      </c>
    </row>
    <row r="49" spans="1:6" ht="15.6" x14ac:dyDescent="0.3">
      <c r="A49" s="43" t="s">
        <v>80</v>
      </c>
      <c r="B49" s="44"/>
      <c r="C49" s="44"/>
      <c r="D49" s="44"/>
      <c r="E49" s="45"/>
    </row>
    <row r="50" spans="1:6" ht="15.6" x14ac:dyDescent="0.3">
      <c r="A50" s="43" t="s">
        <v>278</v>
      </c>
      <c r="B50" s="44"/>
      <c r="C50" s="44"/>
      <c r="D50" s="44"/>
      <c r="E50" s="45"/>
      <c r="F50" s="19"/>
    </row>
    <row r="51" spans="1:6" ht="15.6" x14ac:dyDescent="0.3">
      <c r="A51" s="43" t="s">
        <v>279</v>
      </c>
      <c r="B51" s="44"/>
      <c r="C51" s="44"/>
      <c r="D51" s="44"/>
      <c r="E51" s="45"/>
      <c r="F51" s="19"/>
    </row>
    <row r="52" spans="1:6" ht="15.6" x14ac:dyDescent="0.3">
      <c r="A52" s="43"/>
      <c r="B52" s="44"/>
      <c r="C52" s="44"/>
      <c r="D52" s="44"/>
      <c r="E52" s="45"/>
      <c r="F52" s="19"/>
    </row>
    <row r="53" spans="1:6" x14ac:dyDescent="0.3">
      <c r="A53" s="5"/>
      <c r="E53" s="5"/>
    </row>
    <row r="54" spans="1:6" x14ac:dyDescent="0.3">
      <c r="A54" s="5"/>
      <c r="E54" s="5"/>
    </row>
  </sheetData>
  <mergeCells count="1">
    <mergeCell ref="B1:C1"/>
  </mergeCells>
  <pageMargins left="0.7" right="0.7" top="0.75" bottom="0.75" header="0.3" footer="0.3"/>
  <pageSetup paperSize="9" orientation="portrait" horizontalDpi="0" verticalDpi="0"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EFBB63-8EB7-4650-A50C-CA0B5E4AF302}">
  <sheetPr>
    <tabColor rgb="FF0070C0"/>
  </sheetPr>
  <dimension ref="A1:L57"/>
  <sheetViews>
    <sheetView showGridLines="0" workbookViewId="0">
      <pane ySplit="1" topLeftCell="A2" activePane="bottomLeft" state="frozen"/>
      <selection pane="bottomLeft" activeCell="C7" sqref="C7"/>
    </sheetView>
  </sheetViews>
  <sheetFormatPr baseColWidth="10" defaultColWidth="7.88671875" defaultRowHeight="14.4" x14ac:dyDescent="0.3"/>
  <cols>
    <col min="1" max="1" width="38.77734375" customWidth="1"/>
    <col min="2" max="2" width="14.21875" customWidth="1"/>
    <col min="3" max="3" width="14.109375" customWidth="1"/>
    <col min="4" max="4" width="15.6640625" customWidth="1"/>
    <col min="5" max="5" width="120.33203125" style="37" customWidth="1"/>
    <col min="6" max="6" width="17.33203125" customWidth="1"/>
    <col min="7" max="7" width="5" bestFit="1" customWidth="1"/>
    <col min="8" max="8" width="11.5546875" bestFit="1" customWidth="1"/>
    <col min="9" max="9" width="13.33203125" bestFit="1" customWidth="1"/>
    <col min="11" max="11" width="12.33203125" bestFit="1" customWidth="1"/>
    <col min="12" max="12" width="14.109375" bestFit="1" customWidth="1"/>
  </cols>
  <sheetData>
    <row r="1" spans="1:12" x14ac:dyDescent="0.3">
      <c r="B1" s="97" t="s">
        <v>148</v>
      </c>
      <c r="C1" s="97"/>
      <c r="D1" s="39"/>
    </row>
    <row r="2" spans="1:12" s="47" customFormat="1" ht="29.4" x14ac:dyDescent="0.35">
      <c r="A2" s="46" t="s">
        <v>75</v>
      </c>
      <c r="B2" s="39" t="s">
        <v>149</v>
      </c>
      <c r="C2" s="40" t="s">
        <v>284</v>
      </c>
      <c r="D2" s="40" t="s">
        <v>285</v>
      </c>
      <c r="E2" s="40" t="s">
        <v>151</v>
      </c>
      <c r="H2" s="6"/>
      <c r="I2" s="6"/>
      <c r="J2" s="6"/>
      <c r="K2" s="6"/>
      <c r="L2" s="6"/>
    </row>
    <row r="3" spans="1:12" x14ac:dyDescent="0.3">
      <c r="A3" t="s">
        <v>63</v>
      </c>
      <c r="B3" s="51">
        <v>18860.579999999958</v>
      </c>
      <c r="C3" s="12">
        <v>95884.229999999981</v>
      </c>
      <c r="D3" s="12">
        <v>224134.54000000004</v>
      </c>
      <c r="E3" s="37" t="s">
        <v>286</v>
      </c>
      <c r="H3" s="12"/>
      <c r="I3" s="12"/>
      <c r="J3" s="12"/>
    </row>
    <row r="4" spans="1:12" x14ac:dyDescent="0.3">
      <c r="A4" s="53" t="s">
        <v>150</v>
      </c>
      <c r="B4" s="52">
        <v>4.8920566907089347E-2</v>
      </c>
      <c r="C4" s="52">
        <v>0.31079666396476524</v>
      </c>
      <c r="D4" s="52">
        <v>0.18212647040499941</v>
      </c>
      <c r="E4" s="37" t="s">
        <v>288</v>
      </c>
      <c r="H4" s="12"/>
      <c r="I4" s="12"/>
      <c r="J4" s="12"/>
    </row>
    <row r="5" spans="1:12" x14ac:dyDescent="0.3">
      <c r="A5" s="53"/>
      <c r="B5" s="52"/>
      <c r="C5" s="52"/>
      <c r="D5" s="52"/>
      <c r="E5" s="37" t="s">
        <v>289</v>
      </c>
      <c r="H5" s="12"/>
      <c r="I5" s="12"/>
      <c r="J5" s="12"/>
    </row>
    <row r="6" spans="1:12" x14ac:dyDescent="0.3">
      <c r="A6" s="53"/>
      <c r="B6" s="52"/>
      <c r="C6" s="52"/>
      <c r="D6" s="52"/>
      <c r="E6" s="37" t="s">
        <v>290</v>
      </c>
      <c r="H6" s="12"/>
      <c r="I6" s="12"/>
      <c r="J6" s="12"/>
    </row>
    <row r="7" spans="1:12" x14ac:dyDescent="0.3">
      <c r="A7" s="53"/>
      <c r="B7" s="52"/>
      <c r="C7" s="52"/>
      <c r="D7" s="52"/>
      <c r="H7" s="12"/>
      <c r="I7" s="12"/>
      <c r="J7" s="12"/>
    </row>
    <row r="8" spans="1:12" x14ac:dyDescent="0.3">
      <c r="A8" t="s">
        <v>287</v>
      </c>
      <c r="B8" s="51">
        <v>5132.2010000000009</v>
      </c>
      <c r="C8" s="12">
        <v>5279.0450000000001</v>
      </c>
      <c r="D8" s="12">
        <v>1348.0060000000012</v>
      </c>
      <c r="E8" s="37" t="s">
        <v>291</v>
      </c>
      <c r="H8" s="12"/>
      <c r="I8" s="12"/>
      <c r="J8" s="12"/>
    </row>
    <row r="9" spans="1:12" x14ac:dyDescent="0.3">
      <c r="A9" s="53" t="s">
        <v>150</v>
      </c>
      <c r="B9" s="52">
        <v>0.48945290330431668</v>
      </c>
      <c r="C9" s="52">
        <v>0.51060801105124676</v>
      </c>
      <c r="D9" s="52">
        <v>3.529041090762064E-2</v>
      </c>
      <c r="E9" s="37" t="s">
        <v>292</v>
      </c>
      <c r="H9" s="12"/>
      <c r="I9" s="12"/>
      <c r="J9" s="12"/>
    </row>
    <row r="10" spans="1:12" x14ac:dyDescent="0.3">
      <c r="A10" s="53"/>
      <c r="B10" s="52"/>
      <c r="C10" s="52"/>
      <c r="D10" s="52"/>
      <c r="E10" s="37" t="s">
        <v>293</v>
      </c>
      <c r="H10" s="12"/>
      <c r="I10" s="12"/>
      <c r="J10" s="12"/>
    </row>
    <row r="11" spans="1:12" x14ac:dyDescent="0.3">
      <c r="A11" s="53"/>
      <c r="B11" s="52"/>
      <c r="C11" s="52"/>
      <c r="D11" s="52"/>
      <c r="H11" s="12"/>
      <c r="I11" s="12"/>
      <c r="J11" s="12"/>
    </row>
    <row r="12" spans="1:12" x14ac:dyDescent="0.3">
      <c r="A12" t="s">
        <v>10</v>
      </c>
      <c r="B12" s="51">
        <v>13474.86</v>
      </c>
      <c r="C12" s="12">
        <v>16363.5</v>
      </c>
      <c r="D12" s="12">
        <v>18606.73</v>
      </c>
      <c r="E12" s="37" t="s">
        <v>294</v>
      </c>
      <c r="H12" s="12"/>
      <c r="I12" s="12"/>
      <c r="J12" s="12"/>
    </row>
    <row r="13" spans="1:12" x14ac:dyDescent="0.3">
      <c r="A13" s="53" t="s">
        <v>150</v>
      </c>
      <c r="B13" s="52">
        <v>4.6647765038218676</v>
      </c>
      <c r="C13" s="52">
        <v>0</v>
      </c>
      <c r="D13" s="52">
        <v>9.1312859168960916</v>
      </c>
      <c r="E13" s="37" t="s">
        <v>295</v>
      </c>
      <c r="H13" s="12"/>
      <c r="I13" s="12"/>
      <c r="J13" s="12"/>
    </row>
    <row r="14" spans="1:12" x14ac:dyDescent="0.3">
      <c r="A14" s="53"/>
      <c r="B14" s="52"/>
      <c r="C14" s="52"/>
      <c r="D14" s="52"/>
      <c r="H14" s="12"/>
      <c r="I14" s="12"/>
      <c r="J14" s="12"/>
    </row>
    <row r="15" spans="1:12" x14ac:dyDescent="0.3">
      <c r="A15" s="53"/>
      <c r="B15" s="52"/>
      <c r="C15" s="52"/>
      <c r="D15" s="52"/>
      <c r="H15" s="12"/>
      <c r="I15" s="12"/>
      <c r="J15" s="12"/>
    </row>
    <row r="16" spans="1:12" ht="15.6" x14ac:dyDescent="0.3">
      <c r="A16" s="43" t="s">
        <v>76</v>
      </c>
      <c r="B16" s="41"/>
      <c r="C16" s="41"/>
      <c r="D16" s="41"/>
      <c r="E16" s="42"/>
      <c r="F16" s="12"/>
      <c r="H16" s="12"/>
      <c r="I16" s="12"/>
      <c r="J16" s="12"/>
    </row>
    <row r="17" spans="1:10" ht="15.6" x14ac:dyDescent="0.3">
      <c r="A17" s="43" t="s">
        <v>296</v>
      </c>
      <c r="B17" s="41"/>
      <c r="C17" s="41"/>
      <c r="D17" s="41"/>
      <c r="E17" s="42"/>
      <c r="F17" s="12"/>
      <c r="H17" s="12"/>
      <c r="I17" s="12"/>
      <c r="J17" s="12"/>
    </row>
    <row r="18" spans="1:10" ht="15.6" x14ac:dyDescent="0.3">
      <c r="A18" s="43" t="s">
        <v>297</v>
      </c>
      <c r="B18" s="41"/>
      <c r="C18" s="41"/>
      <c r="D18" s="41"/>
      <c r="E18" s="42"/>
      <c r="F18" s="12"/>
      <c r="H18" s="12"/>
      <c r="I18" s="12"/>
      <c r="J18" s="12"/>
    </row>
    <row r="19" spans="1:10" ht="15.6" x14ac:dyDescent="0.3">
      <c r="A19" s="43" t="s">
        <v>298</v>
      </c>
      <c r="B19" s="41"/>
      <c r="C19" s="41"/>
      <c r="D19" s="41"/>
      <c r="E19" s="42"/>
      <c r="F19" s="12"/>
      <c r="H19" s="12"/>
      <c r="I19" s="12"/>
      <c r="J19" s="12"/>
    </row>
    <row r="20" spans="1:10" x14ac:dyDescent="0.3">
      <c r="H20" s="54"/>
    </row>
    <row r="21" spans="1:10" s="47" customFormat="1" ht="29.4" x14ac:dyDescent="0.35">
      <c r="A21" s="46" t="s">
        <v>77</v>
      </c>
      <c r="B21" s="39" t="str">
        <f>B2</f>
        <v>VS mes anterior</v>
      </c>
      <c r="C21" s="40" t="str">
        <f>C2</f>
        <v>Var.VS Abr año anterior</v>
      </c>
      <c r="D21" s="40" t="str">
        <f>D2</f>
        <v>VS acum a Abr año anterior</v>
      </c>
      <c r="E21" s="40" t="s">
        <v>145</v>
      </c>
      <c r="H21" s="55"/>
      <c r="I21" s="48"/>
    </row>
    <row r="22" spans="1:10" x14ac:dyDescent="0.3">
      <c r="A22" s="53"/>
      <c r="B22" s="52"/>
      <c r="C22" s="52"/>
      <c r="D22" s="52"/>
      <c r="H22" s="12"/>
      <c r="I22" s="12"/>
      <c r="J22" s="12"/>
    </row>
    <row r="23" spans="1:10" x14ac:dyDescent="0.3">
      <c r="A23" t="s">
        <v>63</v>
      </c>
      <c r="B23" s="51">
        <v>1596.6390000000829</v>
      </c>
      <c r="C23" s="12">
        <v>39790.600000000035</v>
      </c>
      <c r="D23" s="12">
        <v>115543.77599999995</v>
      </c>
      <c r="E23" s="37" t="s">
        <v>261</v>
      </c>
      <c r="H23" s="12"/>
      <c r="I23" s="12"/>
      <c r="J23" s="12"/>
    </row>
    <row r="24" spans="1:10" x14ac:dyDescent="0.3">
      <c r="A24" s="53" t="s">
        <v>150</v>
      </c>
      <c r="B24" s="52">
        <v>1.9341270538772326E-2</v>
      </c>
      <c r="C24" s="52">
        <v>0.89705498965618169</v>
      </c>
      <c r="D24" s="52">
        <v>0.6513648178161584</v>
      </c>
      <c r="E24" s="37" t="s">
        <v>262</v>
      </c>
      <c r="H24" s="12"/>
      <c r="I24" s="12"/>
      <c r="J24" s="12"/>
    </row>
    <row r="25" spans="1:10" x14ac:dyDescent="0.3">
      <c r="A25" s="53"/>
      <c r="B25" s="52"/>
      <c r="C25" s="52"/>
      <c r="D25" s="52"/>
      <c r="H25" s="12"/>
      <c r="I25" s="12"/>
      <c r="J25" s="12"/>
    </row>
    <row r="26" spans="1:10" x14ac:dyDescent="0.3">
      <c r="A26" t="s">
        <v>287</v>
      </c>
      <c r="B26" s="51">
        <v>2888.0909999999994</v>
      </c>
      <c r="C26" s="12">
        <v>3681.4059999999999</v>
      </c>
      <c r="D26" s="12">
        <v>5593.8289999999979</v>
      </c>
      <c r="E26" s="37" t="s">
        <v>299</v>
      </c>
      <c r="H26" s="12"/>
      <c r="I26" s="12"/>
      <c r="J26" s="12"/>
    </row>
    <row r="27" spans="1:10" x14ac:dyDescent="0.3">
      <c r="A27" s="53" t="s">
        <v>150</v>
      </c>
      <c r="B27" s="52">
        <v>0.49318064340628176</v>
      </c>
      <c r="C27" s="52">
        <v>0.72715741053849148</v>
      </c>
      <c r="D27" s="52">
        <v>0.31546885129226898</v>
      </c>
      <c r="E27" s="37" t="s">
        <v>300</v>
      </c>
      <c r="H27" s="12"/>
      <c r="I27" s="12"/>
      <c r="J27" s="12"/>
    </row>
    <row r="28" spans="1:10" x14ac:dyDescent="0.3">
      <c r="A28" s="53"/>
      <c r="B28" s="52"/>
      <c r="C28" s="52"/>
      <c r="D28" s="52"/>
      <c r="H28" s="12"/>
      <c r="I28" s="12"/>
      <c r="J28" s="12"/>
    </row>
    <row r="29" spans="1:10" x14ac:dyDescent="0.3">
      <c r="A29" t="s">
        <v>10</v>
      </c>
      <c r="B29" s="51">
        <v>4808.2</v>
      </c>
      <c r="C29" s="12">
        <v>5072.2820000000002</v>
      </c>
      <c r="D29" s="12">
        <v>5786.2150000000001</v>
      </c>
      <c r="E29" s="37" t="s">
        <v>301</v>
      </c>
      <c r="H29" s="12"/>
      <c r="I29" s="12"/>
      <c r="J29" s="12"/>
    </row>
    <row r="30" spans="1:10" x14ac:dyDescent="0.3">
      <c r="A30" s="53" t="s">
        <v>150</v>
      </c>
      <c r="B30" s="52">
        <v>5.6593691148775891</v>
      </c>
      <c r="C30" s="52">
        <v>8.6628967854105259</v>
      </c>
      <c r="D30" s="52">
        <v>7.185889801408063</v>
      </c>
      <c r="E30" s="37" t="s">
        <v>302</v>
      </c>
      <c r="H30" s="12"/>
      <c r="I30" s="12"/>
      <c r="J30" s="12"/>
    </row>
    <row r="31" spans="1:10" x14ac:dyDescent="0.3">
      <c r="A31" s="53"/>
      <c r="B31" s="52"/>
      <c r="C31" s="52"/>
      <c r="D31" s="52"/>
      <c r="H31" s="12"/>
      <c r="I31" s="12"/>
      <c r="J31" s="12"/>
    </row>
    <row r="32" spans="1:10" ht="15.6" x14ac:dyDescent="0.3">
      <c r="A32" s="43" t="s">
        <v>78</v>
      </c>
      <c r="B32" s="44"/>
      <c r="C32" s="44"/>
      <c r="D32" s="44"/>
      <c r="E32" s="45"/>
    </row>
    <row r="33" spans="1:10" ht="15.6" x14ac:dyDescent="0.3">
      <c r="A33" s="43" t="s">
        <v>303</v>
      </c>
      <c r="B33" s="44"/>
      <c r="C33" s="44"/>
      <c r="D33" s="44"/>
      <c r="E33" s="45"/>
    </row>
    <row r="34" spans="1:10" ht="15.6" x14ac:dyDescent="0.3">
      <c r="A34" s="43" t="s">
        <v>304</v>
      </c>
      <c r="B34" s="44"/>
      <c r="C34" s="44"/>
      <c r="D34" s="44"/>
      <c r="E34" s="45"/>
    </row>
    <row r="36" spans="1:10" ht="29.4" x14ac:dyDescent="0.35">
      <c r="A36" s="46" t="s">
        <v>38</v>
      </c>
      <c r="B36" s="39" t="s">
        <v>149</v>
      </c>
      <c r="C36" s="40" t="str">
        <f>C2</f>
        <v>Var.VS Abr año anterior</v>
      </c>
      <c r="D36" s="40" t="str">
        <f>D2</f>
        <v>VS acum a Abr año anterior</v>
      </c>
      <c r="E36" s="40" t="s">
        <v>145</v>
      </c>
    </row>
    <row r="37" spans="1:10" x14ac:dyDescent="0.3">
      <c r="A37" s="53"/>
      <c r="B37" s="52"/>
      <c r="C37" s="52"/>
      <c r="D37" s="52"/>
      <c r="H37" s="12"/>
      <c r="I37" s="12"/>
      <c r="J37" s="12"/>
    </row>
    <row r="38" spans="1:10" x14ac:dyDescent="0.3">
      <c r="A38" t="s">
        <v>158</v>
      </c>
      <c r="B38" s="51">
        <v>40111.689999999995</v>
      </c>
      <c r="C38" s="51">
        <v>49764.358999999997</v>
      </c>
      <c r="D38" s="51">
        <v>49255.51</v>
      </c>
      <c r="E38" s="37" t="s">
        <v>305</v>
      </c>
    </row>
    <row r="39" spans="1:10" x14ac:dyDescent="0.3">
      <c r="A39" s="53" t="s">
        <v>150</v>
      </c>
      <c r="B39" s="52">
        <v>1.7534892134574864</v>
      </c>
      <c r="C39" s="52">
        <v>3.7635587229736283</v>
      </c>
      <c r="D39" s="52">
        <v>0.86570504420744565</v>
      </c>
      <c r="E39" s="37" t="s">
        <v>306</v>
      </c>
    </row>
    <row r="40" spans="1:10" x14ac:dyDescent="0.3">
      <c r="A40" s="53"/>
      <c r="B40" s="52"/>
      <c r="C40" s="52"/>
      <c r="D40" s="52"/>
    </row>
    <row r="41" spans="1:10" x14ac:dyDescent="0.3">
      <c r="A41" t="s">
        <v>31</v>
      </c>
      <c r="B41" s="51">
        <v>39703.228999999999</v>
      </c>
      <c r="C41" s="51">
        <v>25651.734999999997</v>
      </c>
      <c r="D41" s="51">
        <v>51234.150999999998</v>
      </c>
      <c r="E41" s="37" t="s">
        <v>307</v>
      </c>
    </row>
    <row r="42" spans="1:10" x14ac:dyDescent="0.3">
      <c r="A42" s="53" t="s">
        <v>150</v>
      </c>
      <c r="B42" s="52">
        <v>59.418181682131092</v>
      </c>
      <c r="C42" s="52">
        <v>1.7426812676948309</v>
      </c>
      <c r="D42" s="52">
        <v>2.5297228723769583</v>
      </c>
      <c r="E42" s="37" t="s">
        <v>308</v>
      </c>
    </row>
    <row r="43" spans="1:10" x14ac:dyDescent="0.3">
      <c r="A43" s="53"/>
      <c r="B43" s="52"/>
      <c r="C43" s="52"/>
      <c r="D43" s="52"/>
    </row>
    <row r="44" spans="1:10" x14ac:dyDescent="0.3">
      <c r="A44" t="s">
        <v>22</v>
      </c>
      <c r="B44" s="51">
        <v>4280.3360000000002</v>
      </c>
      <c r="C44" s="51">
        <v>6988.8360000000002</v>
      </c>
      <c r="D44" s="51">
        <v>20883.596000000001</v>
      </c>
      <c r="E44" s="37" t="s">
        <v>310</v>
      </c>
    </row>
    <row r="45" spans="1:10" x14ac:dyDescent="0.3">
      <c r="A45" s="53" t="s">
        <v>150</v>
      </c>
      <c r="B45" s="52">
        <v>0.60385931746681143</v>
      </c>
      <c r="C45" s="52">
        <v>1.5956975204347232</v>
      </c>
      <c r="D45" s="52">
        <v>0.81571413611432497</v>
      </c>
      <c r="E45" s="37" t="s">
        <v>309</v>
      </c>
    </row>
    <row r="47" spans="1:10" x14ac:dyDescent="0.3">
      <c r="A47" t="s">
        <v>283</v>
      </c>
      <c r="B47" s="51">
        <v>8657.6239999999998</v>
      </c>
      <c r="C47" s="51">
        <v>8657.6239999999998</v>
      </c>
      <c r="D47" s="51">
        <v>8657.6239999999998</v>
      </c>
      <c r="E47" s="37" t="s">
        <v>311</v>
      </c>
    </row>
    <row r="48" spans="1:10" x14ac:dyDescent="0.3">
      <c r="A48" s="53" t="s">
        <v>150</v>
      </c>
      <c r="B48" s="52">
        <v>0</v>
      </c>
      <c r="C48" s="52">
        <v>0</v>
      </c>
      <c r="D48" s="52">
        <v>0</v>
      </c>
    </row>
    <row r="49" spans="1:10" x14ac:dyDescent="0.3">
      <c r="A49" s="53"/>
      <c r="B49" s="52"/>
      <c r="C49" s="52"/>
      <c r="D49" s="52"/>
    </row>
    <row r="50" spans="1:10" ht="15.6" x14ac:dyDescent="0.3">
      <c r="A50" s="43" t="s">
        <v>79</v>
      </c>
      <c r="B50" s="44"/>
      <c r="C50" s="44"/>
      <c r="D50" s="44"/>
      <c r="E50" s="45"/>
    </row>
    <row r="51" spans="1:10" ht="15.6" x14ac:dyDescent="0.3">
      <c r="A51" s="43" t="s">
        <v>312</v>
      </c>
      <c r="B51" s="44"/>
      <c r="C51" s="44"/>
      <c r="D51" s="44"/>
      <c r="E51" s="45"/>
    </row>
    <row r="52" spans="1:10" ht="15.6" x14ac:dyDescent="0.3">
      <c r="A52" s="43"/>
      <c r="B52" s="44"/>
      <c r="C52" s="44"/>
      <c r="D52" s="44"/>
      <c r="E52" s="45"/>
    </row>
    <row r="54" spans="1:10" ht="28.8" customHeight="1" x14ac:dyDescent="0.35">
      <c r="A54" s="46" t="s">
        <v>39</v>
      </c>
      <c r="B54" s="39" t="str">
        <f>B21</f>
        <v>VS mes anterior</v>
      </c>
      <c r="C54" s="40" t="str">
        <f>C21</f>
        <v>Var.VS Abr año anterior</v>
      </c>
      <c r="D54" s="40" t="str">
        <f>D2</f>
        <v>VS acum a Abr año anterior</v>
      </c>
      <c r="E54" s="40" t="s">
        <v>145</v>
      </c>
    </row>
    <row r="55" spans="1:10" x14ac:dyDescent="0.3">
      <c r="A55" s="53"/>
      <c r="B55" s="52"/>
      <c r="C55" s="52"/>
      <c r="D55" s="52"/>
      <c r="H55" s="12"/>
      <c r="I55" s="12"/>
      <c r="J55" s="12"/>
    </row>
    <row r="56" spans="1:10" x14ac:dyDescent="0.3">
      <c r="A56" t="s">
        <v>192</v>
      </c>
      <c r="B56" s="68">
        <v>645.38100000000122</v>
      </c>
      <c r="C56" s="68">
        <v>24977.827000000001</v>
      </c>
      <c r="D56" s="51">
        <v>25434.164000000004</v>
      </c>
      <c r="E56" s="37" t="s">
        <v>313</v>
      </c>
    </row>
    <row r="57" spans="1:10" x14ac:dyDescent="0.3">
      <c r="A57" s="53" t="s">
        <v>150</v>
      </c>
      <c r="B57" s="52">
        <v>1.4033238401428338E-2</v>
      </c>
      <c r="C57" s="52">
        <v>1.1533368179633294</v>
      </c>
      <c r="D57" s="52">
        <v>0.23794390029262491</v>
      </c>
    </row>
  </sheetData>
  <mergeCells count="1">
    <mergeCell ref="B1:C1"/>
  </mergeCells>
  <pageMargins left="0.7" right="0.7" top="0.75" bottom="0.75" header="0.3" footer="0.3"/>
  <pageSetup paperSize="9" orientation="portrait" horizontalDpi="0" verticalDpi="0"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1048DA-F718-492B-BA51-95C43F77CF1A}">
  <dimension ref="A1:BH26"/>
  <sheetViews>
    <sheetView showGridLines="0" workbookViewId="0">
      <pane ySplit="2" topLeftCell="A15" activePane="bottomLeft" state="frozen"/>
      <selection activeCell="H69" sqref="H69:H70"/>
      <selection pane="bottomLeft" activeCell="F25" sqref="F25:F26"/>
    </sheetView>
  </sheetViews>
  <sheetFormatPr baseColWidth="10" defaultRowHeight="14.4" x14ac:dyDescent="0.3"/>
  <cols>
    <col min="1" max="1" width="12.88671875" bestFit="1" customWidth="1"/>
    <col min="2" max="2" width="13.109375" bestFit="1" customWidth="1"/>
    <col min="3" max="3" width="14" bestFit="1" customWidth="1"/>
    <col min="4" max="4" width="15.33203125" bestFit="1" customWidth="1"/>
    <col min="5" max="5" width="18.109375" bestFit="1" customWidth="1"/>
    <col min="6" max="6" width="21.33203125" bestFit="1" customWidth="1"/>
    <col min="7" max="7" width="9.109375" bestFit="1" customWidth="1"/>
    <col min="8" max="8" width="10" bestFit="1" customWidth="1"/>
    <col min="9" max="9" width="21.33203125" bestFit="1" customWidth="1"/>
    <col min="10" max="12" width="5.44140625" customWidth="1"/>
    <col min="13" max="13" width="6" bestFit="1" customWidth="1"/>
    <col min="14" max="14" width="45.5546875" bestFit="1" customWidth="1"/>
    <col min="15" max="15" width="5" bestFit="1" customWidth="1"/>
    <col min="16" max="16" width="8.109375" bestFit="1" customWidth="1"/>
    <col min="17" max="17" width="8.5546875" bestFit="1" customWidth="1"/>
    <col min="18" max="18" width="9.5546875" bestFit="1" customWidth="1"/>
    <col min="19" max="19" width="8.109375" bestFit="1" customWidth="1"/>
    <col min="20" max="20" width="8.5546875" bestFit="1" customWidth="1"/>
    <col min="21" max="21" width="9.5546875" bestFit="1" customWidth="1"/>
    <col min="22" max="22" width="7.6640625" bestFit="1" customWidth="1"/>
    <col min="23" max="23" width="8.109375" bestFit="1" customWidth="1"/>
    <col min="24" max="24" width="9.109375" bestFit="1" customWidth="1"/>
    <col min="25" max="25" width="9.5546875" bestFit="1" customWidth="1"/>
    <col min="26" max="26" width="8.5546875" bestFit="1" customWidth="1"/>
    <col min="27" max="27" width="9.5546875" bestFit="1" customWidth="1"/>
    <col min="28" max="28" width="8.109375" bestFit="1" customWidth="1"/>
    <col min="29" max="29" width="8.5546875" bestFit="1" customWidth="1"/>
    <col min="30" max="30" width="9.5546875" bestFit="1" customWidth="1"/>
    <col min="31" max="31" width="8.109375" bestFit="1" customWidth="1"/>
    <col min="32" max="32" width="8.5546875" bestFit="1" customWidth="1"/>
    <col min="33" max="33" width="9.5546875" bestFit="1" customWidth="1"/>
    <col min="34" max="34" width="7.6640625" bestFit="1" customWidth="1"/>
    <col min="35" max="35" width="8.109375" bestFit="1" customWidth="1"/>
    <col min="36" max="36" width="9.109375" bestFit="1" customWidth="1"/>
    <col min="37" max="37" width="9.5546875" bestFit="1" customWidth="1"/>
    <col min="38" max="38" width="8.5546875" bestFit="1" customWidth="1"/>
    <col min="39" max="39" width="9.5546875" bestFit="1" customWidth="1"/>
    <col min="40" max="40" width="8.109375" bestFit="1" customWidth="1"/>
    <col min="41" max="41" width="8.5546875" bestFit="1" customWidth="1"/>
    <col min="42" max="42" width="9.5546875" bestFit="1" customWidth="1"/>
    <col min="43" max="43" width="8.109375" bestFit="1" customWidth="1"/>
    <col min="44" max="44" width="29.6640625" bestFit="1" customWidth="1"/>
  </cols>
  <sheetData>
    <row r="1" spans="1:60" s="9" customFormat="1" x14ac:dyDescent="0.3">
      <c r="B1" s="8"/>
      <c r="C1" s="8"/>
      <c r="D1" s="10"/>
      <c r="E1" s="10"/>
      <c r="F1" s="10"/>
      <c r="G1" s="8"/>
      <c r="H1" s="8"/>
      <c r="I1" s="8"/>
      <c r="J1" s="8"/>
      <c r="K1" s="8"/>
      <c r="L1" s="8"/>
      <c r="M1" s="8"/>
      <c r="N1" s="8"/>
      <c r="O1" s="8"/>
      <c r="P1" s="8"/>
      <c r="Q1" s="8"/>
      <c r="R1" s="8"/>
      <c r="S1" s="8"/>
      <c r="T1" s="10"/>
      <c r="U1" s="10"/>
      <c r="V1" s="10"/>
      <c r="W1" s="8"/>
      <c r="X1" s="8"/>
      <c r="Y1" s="8"/>
      <c r="Z1" s="8"/>
      <c r="AA1" s="8"/>
      <c r="AB1" s="8"/>
      <c r="AC1" s="8"/>
      <c r="AD1" s="8"/>
      <c r="AE1" s="8"/>
      <c r="AF1" s="10"/>
      <c r="AG1" s="10"/>
      <c r="AH1" s="10"/>
      <c r="AI1" s="8"/>
      <c r="AJ1" s="8"/>
      <c r="AK1" s="8"/>
      <c r="AL1" s="8"/>
      <c r="AM1" s="8"/>
      <c r="AN1" s="8"/>
      <c r="AO1" s="8"/>
      <c r="AP1" s="8"/>
      <c r="AQ1" s="8"/>
      <c r="AS1" s="8"/>
      <c r="AT1" s="8"/>
      <c r="AU1" s="8"/>
      <c r="AV1" s="8"/>
      <c r="AW1" s="8"/>
      <c r="AX1" s="8"/>
      <c r="AY1" s="8"/>
      <c r="AZ1" s="8"/>
      <c r="BA1" s="8"/>
      <c r="BB1" s="8"/>
      <c r="BC1" s="8"/>
      <c r="BD1" s="8"/>
      <c r="BE1" s="8"/>
      <c r="BF1" s="8"/>
      <c r="BG1" s="8"/>
      <c r="BH1" s="8"/>
    </row>
    <row r="2" spans="1:60" s="6" customFormat="1" x14ac:dyDescent="0.3">
      <c r="A2" s="6" t="s">
        <v>50</v>
      </c>
      <c r="B2" s="6" t="s">
        <v>51</v>
      </c>
      <c r="C2" s="6" t="s">
        <v>49</v>
      </c>
      <c r="D2" s="6" t="s">
        <v>46</v>
      </c>
      <c r="E2" s="6" t="s">
        <v>47</v>
      </c>
      <c r="F2" s="6" t="s">
        <v>48</v>
      </c>
      <c r="G2" s="6" t="s">
        <v>169</v>
      </c>
      <c r="H2" s="6" t="s">
        <v>45</v>
      </c>
    </row>
    <row r="3" spans="1:60" x14ac:dyDescent="0.3">
      <c r="A3">
        <v>2024</v>
      </c>
      <c r="B3" t="s">
        <v>40</v>
      </c>
      <c r="C3">
        <v>1</v>
      </c>
      <c r="D3">
        <v>33</v>
      </c>
      <c r="E3">
        <v>57</v>
      </c>
      <c r="F3">
        <v>22</v>
      </c>
      <c r="G3">
        <v>11</v>
      </c>
      <c r="H3">
        <f t="shared" ref="H3:H4" si="0">SUM(D3:G3)</f>
        <v>123</v>
      </c>
    </row>
    <row r="4" spans="1:60" x14ac:dyDescent="0.3">
      <c r="A4">
        <v>2024</v>
      </c>
      <c r="B4" t="s">
        <v>40</v>
      </c>
      <c r="C4">
        <v>2</v>
      </c>
      <c r="D4">
        <v>32</v>
      </c>
      <c r="E4">
        <v>58</v>
      </c>
      <c r="F4">
        <v>24</v>
      </c>
      <c r="G4">
        <v>11</v>
      </c>
      <c r="H4">
        <f t="shared" si="0"/>
        <v>125</v>
      </c>
    </row>
    <row r="5" spans="1:60" x14ac:dyDescent="0.3">
      <c r="A5">
        <v>2025</v>
      </c>
      <c r="B5" t="s">
        <v>40</v>
      </c>
      <c r="C5">
        <v>1</v>
      </c>
      <c r="D5">
        <v>32</v>
      </c>
      <c r="E5">
        <v>79</v>
      </c>
      <c r="F5">
        <v>17</v>
      </c>
      <c r="G5">
        <v>6</v>
      </c>
      <c r="H5">
        <f t="shared" ref="H5:H6" si="1">SUM(D5:G5)</f>
        <v>134</v>
      </c>
    </row>
    <row r="6" spans="1:60" x14ac:dyDescent="0.3">
      <c r="A6">
        <v>2025</v>
      </c>
      <c r="B6" t="s">
        <v>40</v>
      </c>
      <c r="C6">
        <v>2</v>
      </c>
      <c r="D6">
        <v>33</v>
      </c>
      <c r="E6">
        <v>83</v>
      </c>
      <c r="F6">
        <v>19</v>
      </c>
      <c r="G6">
        <v>6</v>
      </c>
      <c r="H6">
        <f t="shared" si="1"/>
        <v>141</v>
      </c>
    </row>
    <row r="7" spans="1:60" x14ac:dyDescent="0.3">
      <c r="A7">
        <v>2026</v>
      </c>
      <c r="B7" t="s">
        <v>40</v>
      </c>
      <c r="C7">
        <v>1</v>
      </c>
      <c r="D7">
        <v>29</v>
      </c>
      <c r="E7">
        <v>53</v>
      </c>
      <c r="F7">
        <v>30</v>
      </c>
      <c r="G7">
        <v>22</v>
      </c>
      <c r="H7">
        <f t="shared" ref="H7:H12" si="2">SUM(D7:G7)</f>
        <v>134</v>
      </c>
    </row>
    <row r="8" spans="1:60" x14ac:dyDescent="0.3">
      <c r="A8">
        <v>2026</v>
      </c>
      <c r="B8" t="s">
        <v>40</v>
      </c>
      <c r="C8">
        <v>2</v>
      </c>
      <c r="D8">
        <v>28</v>
      </c>
      <c r="E8">
        <v>54</v>
      </c>
      <c r="F8">
        <v>26</v>
      </c>
      <c r="G8">
        <v>26</v>
      </c>
      <c r="H8">
        <f t="shared" si="2"/>
        <v>134</v>
      </c>
    </row>
    <row r="9" spans="1:60" x14ac:dyDescent="0.3">
      <c r="A9">
        <v>2024</v>
      </c>
      <c r="B9" t="s">
        <v>195</v>
      </c>
      <c r="C9">
        <v>1</v>
      </c>
      <c r="D9">
        <v>32</v>
      </c>
      <c r="E9">
        <v>59</v>
      </c>
      <c r="F9">
        <v>33</v>
      </c>
      <c r="G9">
        <v>11</v>
      </c>
      <c r="H9">
        <f t="shared" si="2"/>
        <v>135</v>
      </c>
    </row>
    <row r="10" spans="1:60" x14ac:dyDescent="0.3">
      <c r="A10">
        <v>2024</v>
      </c>
      <c r="B10" t="s">
        <v>195</v>
      </c>
      <c r="C10">
        <v>2</v>
      </c>
      <c r="D10">
        <v>31</v>
      </c>
      <c r="E10">
        <v>65</v>
      </c>
      <c r="F10">
        <v>32</v>
      </c>
      <c r="G10">
        <v>11</v>
      </c>
      <c r="H10">
        <f t="shared" si="2"/>
        <v>139</v>
      </c>
    </row>
    <row r="11" spans="1:60" x14ac:dyDescent="0.3">
      <c r="A11">
        <v>2025</v>
      </c>
      <c r="B11" t="s">
        <v>195</v>
      </c>
      <c r="C11">
        <v>1</v>
      </c>
      <c r="D11">
        <v>33</v>
      </c>
      <c r="E11">
        <v>84</v>
      </c>
      <c r="F11">
        <v>18</v>
      </c>
      <c r="G11">
        <v>3</v>
      </c>
      <c r="H11">
        <f t="shared" si="2"/>
        <v>138</v>
      </c>
    </row>
    <row r="12" spans="1:60" x14ac:dyDescent="0.3">
      <c r="A12">
        <v>2025</v>
      </c>
      <c r="B12" t="s">
        <v>195</v>
      </c>
      <c r="C12">
        <v>2</v>
      </c>
      <c r="D12">
        <v>33</v>
      </c>
      <c r="E12">
        <v>87</v>
      </c>
      <c r="F12">
        <v>18</v>
      </c>
      <c r="G12">
        <v>2</v>
      </c>
      <c r="H12">
        <f t="shared" si="2"/>
        <v>140</v>
      </c>
    </row>
    <row r="13" spans="1:60" x14ac:dyDescent="0.3">
      <c r="A13">
        <v>2026</v>
      </c>
      <c r="B13" t="s">
        <v>195</v>
      </c>
      <c r="C13">
        <v>1</v>
      </c>
      <c r="D13">
        <v>30</v>
      </c>
      <c r="E13">
        <v>49</v>
      </c>
      <c r="F13">
        <v>28</v>
      </c>
      <c r="G13">
        <v>26</v>
      </c>
      <c r="H13">
        <f t="shared" ref="H13:H18" si="3">SUM(D13:G13)</f>
        <v>133</v>
      </c>
    </row>
    <row r="14" spans="1:60" x14ac:dyDescent="0.3">
      <c r="A14">
        <v>2026</v>
      </c>
      <c r="B14" t="s">
        <v>195</v>
      </c>
      <c r="C14">
        <v>2</v>
      </c>
      <c r="D14">
        <v>30</v>
      </c>
      <c r="E14">
        <v>45</v>
      </c>
      <c r="F14">
        <v>26</v>
      </c>
      <c r="G14">
        <v>29</v>
      </c>
      <c r="H14">
        <f t="shared" si="3"/>
        <v>130</v>
      </c>
    </row>
    <row r="15" spans="1:60" x14ac:dyDescent="0.3">
      <c r="A15">
        <v>2024</v>
      </c>
      <c r="B15" t="s">
        <v>245</v>
      </c>
      <c r="C15">
        <v>1</v>
      </c>
      <c r="D15">
        <v>31</v>
      </c>
      <c r="E15">
        <v>67</v>
      </c>
      <c r="F15">
        <v>34</v>
      </c>
      <c r="G15">
        <v>9</v>
      </c>
      <c r="H15">
        <f t="shared" si="3"/>
        <v>141</v>
      </c>
    </row>
    <row r="16" spans="1:60" x14ac:dyDescent="0.3">
      <c r="A16">
        <v>2024</v>
      </c>
      <c r="B16" t="s">
        <v>245</v>
      </c>
      <c r="C16">
        <v>2</v>
      </c>
      <c r="D16">
        <v>29</v>
      </c>
      <c r="E16">
        <v>66</v>
      </c>
      <c r="F16">
        <v>37</v>
      </c>
      <c r="G16">
        <v>9</v>
      </c>
      <c r="H16">
        <f t="shared" si="3"/>
        <v>141</v>
      </c>
    </row>
    <row r="17" spans="1:8" x14ac:dyDescent="0.3">
      <c r="A17">
        <v>2025</v>
      </c>
      <c r="B17" t="s">
        <v>245</v>
      </c>
      <c r="C17">
        <v>1</v>
      </c>
      <c r="D17">
        <v>32</v>
      </c>
      <c r="E17">
        <v>86</v>
      </c>
      <c r="F17">
        <v>17</v>
      </c>
      <c r="G17">
        <v>2</v>
      </c>
      <c r="H17">
        <f t="shared" si="3"/>
        <v>137</v>
      </c>
    </row>
    <row r="18" spans="1:8" x14ac:dyDescent="0.3">
      <c r="A18">
        <v>2025</v>
      </c>
      <c r="B18" t="s">
        <v>245</v>
      </c>
      <c r="C18">
        <v>2</v>
      </c>
      <c r="D18">
        <v>32</v>
      </c>
      <c r="E18">
        <v>86</v>
      </c>
      <c r="F18">
        <v>17</v>
      </c>
      <c r="G18">
        <v>1</v>
      </c>
      <c r="H18">
        <f t="shared" si="3"/>
        <v>136</v>
      </c>
    </row>
    <row r="19" spans="1:8" x14ac:dyDescent="0.3">
      <c r="A19">
        <v>2026</v>
      </c>
      <c r="B19" t="s">
        <v>245</v>
      </c>
      <c r="C19">
        <v>1</v>
      </c>
      <c r="D19">
        <v>28</v>
      </c>
      <c r="E19">
        <v>43</v>
      </c>
      <c r="F19">
        <v>27</v>
      </c>
      <c r="G19">
        <v>31</v>
      </c>
      <c r="H19">
        <f>SUM(D19:G19)</f>
        <v>129</v>
      </c>
    </row>
    <row r="20" spans="1:8" x14ac:dyDescent="0.3">
      <c r="A20">
        <v>2026</v>
      </c>
      <c r="B20" t="s">
        <v>245</v>
      </c>
      <c r="C20">
        <v>2</v>
      </c>
      <c r="D20">
        <v>28</v>
      </c>
      <c r="E20">
        <v>40</v>
      </c>
      <c r="F20">
        <v>26</v>
      </c>
      <c r="G20">
        <v>35</v>
      </c>
      <c r="H20">
        <f>SUM(D20:G20)</f>
        <v>129</v>
      </c>
    </row>
    <row r="21" spans="1:8" x14ac:dyDescent="0.3">
      <c r="A21">
        <v>2024</v>
      </c>
      <c r="B21" t="s">
        <v>280</v>
      </c>
      <c r="C21">
        <v>1</v>
      </c>
      <c r="D21">
        <v>31</v>
      </c>
      <c r="E21">
        <v>69</v>
      </c>
      <c r="F21">
        <v>36</v>
      </c>
      <c r="G21">
        <v>10</v>
      </c>
      <c r="H21">
        <f t="shared" ref="H21:H24" si="4">SUM(D21:G21)</f>
        <v>146</v>
      </c>
    </row>
    <row r="22" spans="1:8" x14ac:dyDescent="0.3">
      <c r="A22">
        <v>2024</v>
      </c>
      <c r="B22" t="s">
        <v>280</v>
      </c>
      <c r="C22">
        <v>2</v>
      </c>
      <c r="D22">
        <v>29</v>
      </c>
      <c r="E22">
        <v>66</v>
      </c>
      <c r="F22">
        <v>34</v>
      </c>
      <c r="G22">
        <v>9</v>
      </c>
      <c r="H22">
        <f t="shared" si="4"/>
        <v>138</v>
      </c>
    </row>
    <row r="23" spans="1:8" x14ac:dyDescent="0.3">
      <c r="A23">
        <v>2025</v>
      </c>
      <c r="B23" t="s">
        <v>280</v>
      </c>
      <c r="C23">
        <v>1</v>
      </c>
      <c r="D23">
        <v>32</v>
      </c>
      <c r="E23">
        <v>82</v>
      </c>
      <c r="F23">
        <v>17</v>
      </c>
      <c r="G23">
        <v>0</v>
      </c>
      <c r="H23">
        <f t="shared" si="4"/>
        <v>131</v>
      </c>
    </row>
    <row r="24" spans="1:8" x14ac:dyDescent="0.3">
      <c r="A24">
        <v>2025</v>
      </c>
      <c r="B24" t="s">
        <v>280</v>
      </c>
      <c r="C24">
        <v>2</v>
      </c>
      <c r="D24">
        <v>31</v>
      </c>
      <c r="E24">
        <v>86</v>
      </c>
      <c r="F24">
        <v>19</v>
      </c>
      <c r="G24">
        <v>0</v>
      </c>
      <c r="H24">
        <f t="shared" si="4"/>
        <v>136</v>
      </c>
    </row>
    <row r="25" spans="1:8" x14ac:dyDescent="0.3">
      <c r="A25">
        <v>2026</v>
      </c>
      <c r="B25" t="s">
        <v>280</v>
      </c>
      <c r="C25">
        <v>1</v>
      </c>
      <c r="D25">
        <v>26</v>
      </c>
      <c r="E25">
        <v>39</v>
      </c>
      <c r="F25">
        <v>26</v>
      </c>
      <c r="G25">
        <v>38</v>
      </c>
      <c r="H25">
        <f t="shared" ref="H25:H26" si="5">SUM(D25:G25)</f>
        <v>129</v>
      </c>
    </row>
    <row r="26" spans="1:8" x14ac:dyDescent="0.3">
      <c r="A26">
        <v>2026</v>
      </c>
      <c r="B26" t="s">
        <v>280</v>
      </c>
      <c r="C26">
        <v>2</v>
      </c>
      <c r="D26">
        <v>27</v>
      </c>
      <c r="E26">
        <v>38</v>
      </c>
      <c r="F26">
        <v>28</v>
      </c>
      <c r="G26">
        <v>38</v>
      </c>
      <c r="H26">
        <f t="shared" si="5"/>
        <v>131</v>
      </c>
    </row>
  </sheetData>
  <autoFilter ref="A2:H6" xr:uid="{3F1048DA-F718-492B-BA51-95C43F77CF1A}"/>
  <phoneticPr fontId="6" type="noConversion"/>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368473-F58A-49C2-839B-E58EF0193A96}">
  <dimension ref="A1:BH26"/>
  <sheetViews>
    <sheetView showGridLines="0" workbookViewId="0">
      <pane ySplit="2" topLeftCell="A15" activePane="bottomLeft" state="frozen"/>
      <selection activeCell="H69" sqref="H69:H70"/>
      <selection pane="bottomLeft" activeCell="N28" sqref="N28"/>
    </sheetView>
  </sheetViews>
  <sheetFormatPr baseColWidth="10" defaultRowHeight="14.4" x14ac:dyDescent="0.3"/>
  <cols>
    <col min="1" max="1" width="8.33203125" bestFit="1" customWidth="1"/>
    <col min="2" max="2" width="11.44140625" bestFit="1" customWidth="1"/>
    <col min="3" max="3" width="9.44140625" bestFit="1" customWidth="1"/>
    <col min="4" max="4" width="10.6640625" bestFit="1" customWidth="1"/>
    <col min="5" max="5" width="13.5546875" bestFit="1" customWidth="1"/>
    <col min="6" max="6" width="16.6640625" bestFit="1" customWidth="1"/>
    <col min="7" max="7" width="13.6640625" bestFit="1" customWidth="1"/>
    <col min="8" max="8" width="5.44140625" bestFit="1" customWidth="1"/>
    <col min="9" max="12" width="5.44140625" customWidth="1"/>
    <col min="13" max="13" width="13" bestFit="1" customWidth="1"/>
    <col min="14" max="14" width="20.5546875" bestFit="1" customWidth="1"/>
    <col min="15" max="15" width="5" bestFit="1" customWidth="1"/>
    <col min="16" max="16" width="8.109375" bestFit="1" customWidth="1"/>
    <col min="17" max="17" width="8.5546875" bestFit="1" customWidth="1"/>
    <col min="18" max="18" width="9.5546875" bestFit="1" customWidth="1"/>
    <col min="19" max="19" width="8.109375" bestFit="1" customWidth="1"/>
    <col min="20" max="20" width="8.5546875" bestFit="1" customWidth="1"/>
    <col min="21" max="21" width="9.5546875" bestFit="1" customWidth="1"/>
    <col min="22" max="22" width="7.6640625" bestFit="1" customWidth="1"/>
    <col min="23" max="23" width="8.109375" bestFit="1" customWidth="1"/>
    <col min="24" max="24" width="9.109375" bestFit="1" customWidth="1"/>
    <col min="25" max="25" width="9.5546875" bestFit="1" customWidth="1"/>
    <col min="26" max="26" width="8.5546875" bestFit="1" customWidth="1"/>
    <col min="27" max="27" width="9.5546875" bestFit="1" customWidth="1"/>
    <col min="28" max="28" width="8.109375" bestFit="1" customWidth="1"/>
    <col min="29" max="29" width="8.5546875" bestFit="1" customWidth="1"/>
    <col min="30" max="30" width="9.5546875" bestFit="1" customWidth="1"/>
    <col min="31" max="31" width="8.109375" bestFit="1" customWidth="1"/>
    <col min="32" max="32" width="8.5546875" bestFit="1" customWidth="1"/>
    <col min="33" max="33" width="9.5546875" bestFit="1" customWidth="1"/>
    <col min="34" max="34" width="7.6640625" bestFit="1" customWidth="1"/>
    <col min="35" max="35" width="8.109375" bestFit="1" customWidth="1"/>
    <col min="36" max="36" width="9.109375" bestFit="1" customWidth="1"/>
    <col min="37" max="37" width="9.5546875" bestFit="1" customWidth="1"/>
    <col min="38" max="38" width="8.5546875" bestFit="1" customWidth="1"/>
    <col min="39" max="39" width="9.5546875" bestFit="1" customWidth="1"/>
    <col min="40" max="40" width="8.109375" bestFit="1" customWidth="1"/>
    <col min="41" max="41" width="8.5546875" bestFit="1" customWidth="1"/>
    <col min="42" max="42" width="9.5546875" bestFit="1" customWidth="1"/>
    <col min="43" max="43" width="8.109375" bestFit="1" customWidth="1"/>
    <col min="44" max="44" width="29.6640625" bestFit="1" customWidth="1"/>
  </cols>
  <sheetData>
    <row r="1" spans="1:60" s="9" customFormat="1" x14ac:dyDescent="0.3">
      <c r="B1" s="8"/>
      <c r="C1" s="8"/>
      <c r="D1" s="10"/>
      <c r="E1" s="10"/>
      <c r="F1" s="10"/>
      <c r="G1" s="8"/>
      <c r="H1" s="8"/>
      <c r="I1" s="8"/>
      <c r="J1" s="8"/>
      <c r="K1" s="8"/>
      <c r="L1" s="8"/>
      <c r="M1" s="8"/>
      <c r="N1" s="8"/>
      <c r="O1" s="8"/>
      <c r="P1" s="8"/>
      <c r="Q1" s="8"/>
      <c r="R1" s="8"/>
      <c r="S1" s="8"/>
      <c r="T1" s="10"/>
      <c r="U1" s="10"/>
      <c r="V1" s="10"/>
      <c r="W1" s="8"/>
      <c r="X1" s="8"/>
      <c r="Y1" s="8"/>
      <c r="Z1" s="8"/>
      <c r="AA1" s="8"/>
      <c r="AB1" s="8"/>
      <c r="AC1" s="8"/>
      <c r="AD1" s="8"/>
      <c r="AE1" s="8"/>
      <c r="AF1" s="10"/>
      <c r="AG1" s="10"/>
      <c r="AH1" s="10"/>
      <c r="AI1" s="8"/>
      <c r="AJ1" s="8"/>
      <c r="AK1" s="8"/>
      <c r="AL1" s="8"/>
      <c r="AM1" s="8"/>
      <c r="AN1" s="8"/>
      <c r="AO1" s="8"/>
      <c r="AP1" s="8"/>
      <c r="AQ1" s="8"/>
      <c r="AS1" s="8"/>
      <c r="AT1" s="8"/>
      <c r="AU1" s="8"/>
      <c r="AV1" s="8"/>
      <c r="AW1" s="8"/>
      <c r="AX1" s="8"/>
      <c r="AY1" s="8"/>
      <c r="AZ1" s="8"/>
      <c r="BA1" s="8"/>
      <c r="BB1" s="8"/>
      <c r="BC1" s="8"/>
      <c r="BD1" s="8"/>
      <c r="BE1" s="8"/>
      <c r="BF1" s="8"/>
      <c r="BG1" s="8"/>
      <c r="BH1" s="8"/>
    </row>
    <row r="2" spans="1:60" s="6" customFormat="1" x14ac:dyDescent="0.3">
      <c r="A2" s="6" t="s">
        <v>50</v>
      </c>
      <c r="B2" s="6" t="s">
        <v>51</v>
      </c>
      <c r="C2" s="6" t="s">
        <v>49</v>
      </c>
      <c r="D2" s="6" t="s">
        <v>46</v>
      </c>
      <c r="E2" s="6" t="s">
        <v>54</v>
      </c>
      <c r="F2" s="6" t="s">
        <v>55</v>
      </c>
      <c r="G2" s="6" t="s">
        <v>171</v>
      </c>
      <c r="H2" s="6" t="s">
        <v>45</v>
      </c>
    </row>
    <row r="3" spans="1:60" x14ac:dyDescent="0.3">
      <c r="A3">
        <v>2024</v>
      </c>
      <c r="B3" t="s">
        <v>40</v>
      </c>
      <c r="C3">
        <v>1</v>
      </c>
      <c r="D3">
        <v>22</v>
      </c>
      <c r="E3">
        <v>15</v>
      </c>
      <c r="F3">
        <v>2</v>
      </c>
      <c r="G3">
        <v>0</v>
      </c>
      <c r="H3">
        <f t="shared" ref="H3:H4" si="0">SUM(D3:G3)</f>
        <v>39</v>
      </c>
    </row>
    <row r="4" spans="1:60" x14ac:dyDescent="0.3">
      <c r="A4">
        <v>2024</v>
      </c>
      <c r="B4" t="s">
        <v>40</v>
      </c>
      <c r="C4">
        <v>2</v>
      </c>
      <c r="D4">
        <v>20</v>
      </c>
      <c r="E4">
        <v>15</v>
      </c>
      <c r="F4">
        <v>3</v>
      </c>
      <c r="G4">
        <v>0</v>
      </c>
      <c r="H4">
        <f t="shared" si="0"/>
        <v>38</v>
      </c>
    </row>
    <row r="5" spans="1:60" x14ac:dyDescent="0.3">
      <c r="A5">
        <v>2025</v>
      </c>
      <c r="B5" t="s">
        <v>40</v>
      </c>
      <c r="C5">
        <v>1</v>
      </c>
      <c r="D5">
        <v>22</v>
      </c>
      <c r="E5">
        <v>12</v>
      </c>
      <c r="F5">
        <v>2</v>
      </c>
      <c r="G5">
        <v>0</v>
      </c>
      <c r="H5">
        <f t="shared" ref="H5:H6" si="1">SUM(D5:G5)</f>
        <v>36</v>
      </c>
    </row>
    <row r="6" spans="1:60" x14ac:dyDescent="0.3">
      <c r="A6">
        <v>2025</v>
      </c>
      <c r="B6" t="s">
        <v>40</v>
      </c>
      <c r="C6">
        <v>2</v>
      </c>
      <c r="D6">
        <v>22</v>
      </c>
      <c r="E6">
        <v>12</v>
      </c>
      <c r="F6">
        <v>2</v>
      </c>
      <c r="G6">
        <v>0</v>
      </c>
      <c r="H6">
        <f t="shared" si="1"/>
        <v>36</v>
      </c>
    </row>
    <row r="7" spans="1:60" x14ac:dyDescent="0.3">
      <c r="A7">
        <v>2026</v>
      </c>
      <c r="B7" t="s">
        <v>40</v>
      </c>
      <c r="C7">
        <v>1</v>
      </c>
      <c r="D7">
        <v>23</v>
      </c>
      <c r="E7">
        <v>14</v>
      </c>
      <c r="F7">
        <v>2</v>
      </c>
      <c r="G7">
        <v>2</v>
      </c>
      <c r="H7">
        <f t="shared" ref="H7:H8" si="2">SUM(D7:G7)</f>
        <v>41</v>
      </c>
    </row>
    <row r="8" spans="1:60" x14ac:dyDescent="0.3">
      <c r="A8">
        <v>2026</v>
      </c>
      <c r="B8" t="s">
        <v>40</v>
      </c>
      <c r="C8">
        <v>2</v>
      </c>
      <c r="D8">
        <v>23</v>
      </c>
      <c r="E8">
        <v>14</v>
      </c>
      <c r="F8">
        <v>2</v>
      </c>
      <c r="G8">
        <v>2</v>
      </c>
      <c r="H8">
        <f t="shared" si="2"/>
        <v>41</v>
      </c>
    </row>
    <row r="9" spans="1:60" x14ac:dyDescent="0.3">
      <c r="A9">
        <v>2024</v>
      </c>
      <c r="B9" t="s">
        <v>195</v>
      </c>
      <c r="C9">
        <v>1</v>
      </c>
      <c r="D9">
        <v>21</v>
      </c>
      <c r="E9">
        <v>15</v>
      </c>
      <c r="F9">
        <v>3</v>
      </c>
      <c r="G9">
        <v>0</v>
      </c>
      <c r="H9">
        <v>39</v>
      </c>
    </row>
    <row r="10" spans="1:60" x14ac:dyDescent="0.3">
      <c r="A10">
        <v>2024</v>
      </c>
      <c r="B10" t="s">
        <v>195</v>
      </c>
      <c r="C10">
        <v>2</v>
      </c>
      <c r="D10">
        <v>22</v>
      </c>
      <c r="E10">
        <v>13</v>
      </c>
      <c r="F10">
        <v>2</v>
      </c>
      <c r="G10">
        <v>0</v>
      </c>
      <c r="H10">
        <v>37</v>
      </c>
    </row>
    <row r="11" spans="1:60" x14ac:dyDescent="0.3">
      <c r="A11">
        <v>2025</v>
      </c>
      <c r="B11" t="s">
        <v>195</v>
      </c>
      <c r="C11">
        <v>1</v>
      </c>
      <c r="D11">
        <v>22</v>
      </c>
      <c r="E11">
        <v>11</v>
      </c>
      <c r="F11">
        <v>3</v>
      </c>
      <c r="G11">
        <v>0</v>
      </c>
      <c r="H11">
        <v>36</v>
      </c>
    </row>
    <row r="12" spans="1:60" x14ac:dyDescent="0.3">
      <c r="A12">
        <v>2025</v>
      </c>
      <c r="B12" t="s">
        <v>195</v>
      </c>
      <c r="C12">
        <v>2</v>
      </c>
      <c r="D12">
        <v>22</v>
      </c>
      <c r="E12">
        <v>10</v>
      </c>
      <c r="F12">
        <v>3</v>
      </c>
      <c r="G12">
        <v>0</v>
      </c>
      <c r="H12">
        <v>35</v>
      </c>
    </row>
    <row r="13" spans="1:60" x14ac:dyDescent="0.3">
      <c r="A13">
        <v>2026</v>
      </c>
      <c r="B13" t="s">
        <v>195</v>
      </c>
      <c r="C13">
        <v>1</v>
      </c>
      <c r="D13">
        <v>23</v>
      </c>
      <c r="E13">
        <v>11</v>
      </c>
      <c r="F13">
        <v>4</v>
      </c>
      <c r="G13">
        <v>4</v>
      </c>
      <c r="H13">
        <f>SUM(D13:G13)</f>
        <v>42</v>
      </c>
    </row>
    <row r="14" spans="1:60" x14ac:dyDescent="0.3">
      <c r="A14">
        <v>2026</v>
      </c>
      <c r="B14" t="s">
        <v>195</v>
      </c>
      <c r="C14">
        <v>2</v>
      </c>
      <c r="D14">
        <v>23</v>
      </c>
      <c r="E14">
        <v>11</v>
      </c>
      <c r="F14">
        <v>2</v>
      </c>
      <c r="G14">
        <v>5</v>
      </c>
      <c r="H14">
        <f t="shared" ref="H14:H18" si="3">SUM(D14:G14)</f>
        <v>41</v>
      </c>
    </row>
    <row r="15" spans="1:60" x14ac:dyDescent="0.3">
      <c r="A15">
        <v>2024</v>
      </c>
      <c r="B15" t="s">
        <v>245</v>
      </c>
      <c r="C15">
        <v>1</v>
      </c>
      <c r="D15">
        <v>20</v>
      </c>
      <c r="E15">
        <v>15</v>
      </c>
      <c r="F15">
        <v>2</v>
      </c>
      <c r="G15">
        <v>1</v>
      </c>
      <c r="H15">
        <f>SUM(D15:G15)</f>
        <v>38</v>
      </c>
    </row>
    <row r="16" spans="1:60" x14ac:dyDescent="0.3">
      <c r="A16">
        <v>2024</v>
      </c>
      <c r="B16" t="s">
        <v>245</v>
      </c>
      <c r="C16">
        <v>2</v>
      </c>
      <c r="D16">
        <v>22</v>
      </c>
      <c r="E16">
        <v>15</v>
      </c>
      <c r="F16">
        <v>2</v>
      </c>
      <c r="G16">
        <v>1</v>
      </c>
      <c r="H16">
        <f t="shared" si="3"/>
        <v>40</v>
      </c>
    </row>
    <row r="17" spans="1:8" x14ac:dyDescent="0.3">
      <c r="A17">
        <v>2025</v>
      </c>
      <c r="B17" t="s">
        <v>245</v>
      </c>
      <c r="C17">
        <v>1</v>
      </c>
      <c r="D17">
        <v>22</v>
      </c>
      <c r="E17">
        <v>7</v>
      </c>
      <c r="F17">
        <v>3</v>
      </c>
      <c r="G17">
        <v>0</v>
      </c>
      <c r="H17">
        <f t="shared" si="3"/>
        <v>32</v>
      </c>
    </row>
    <row r="18" spans="1:8" x14ac:dyDescent="0.3">
      <c r="A18">
        <v>2025</v>
      </c>
      <c r="B18" t="s">
        <v>245</v>
      </c>
      <c r="C18">
        <v>2</v>
      </c>
      <c r="D18">
        <v>23</v>
      </c>
      <c r="E18">
        <v>9</v>
      </c>
      <c r="F18">
        <v>4</v>
      </c>
      <c r="G18">
        <v>0</v>
      </c>
      <c r="H18">
        <f t="shared" si="3"/>
        <v>36</v>
      </c>
    </row>
    <row r="19" spans="1:8" x14ac:dyDescent="0.3">
      <c r="A19">
        <v>2026</v>
      </c>
      <c r="B19" t="s">
        <v>245</v>
      </c>
      <c r="C19">
        <v>1</v>
      </c>
      <c r="D19">
        <v>23</v>
      </c>
      <c r="E19">
        <v>10</v>
      </c>
      <c r="F19">
        <v>3</v>
      </c>
      <c r="G19">
        <v>7</v>
      </c>
      <c r="H19">
        <f>SUM(D19:G19)</f>
        <v>43</v>
      </c>
    </row>
    <row r="20" spans="1:8" x14ac:dyDescent="0.3">
      <c r="A20">
        <v>2026</v>
      </c>
      <c r="B20" t="s">
        <v>245</v>
      </c>
      <c r="C20">
        <v>2</v>
      </c>
      <c r="D20">
        <v>22</v>
      </c>
      <c r="E20">
        <v>10</v>
      </c>
      <c r="F20">
        <v>3</v>
      </c>
      <c r="G20">
        <v>7</v>
      </c>
      <c r="H20">
        <f t="shared" ref="H20:H24" si="4">SUM(D20:G20)</f>
        <v>42</v>
      </c>
    </row>
    <row r="21" spans="1:8" x14ac:dyDescent="0.3">
      <c r="A21">
        <v>2024</v>
      </c>
      <c r="B21" t="s">
        <v>280</v>
      </c>
      <c r="C21">
        <v>1</v>
      </c>
      <c r="D21">
        <v>20</v>
      </c>
      <c r="E21">
        <v>16</v>
      </c>
      <c r="F21">
        <v>1</v>
      </c>
      <c r="G21">
        <v>1</v>
      </c>
      <c r="H21">
        <f t="shared" si="4"/>
        <v>38</v>
      </c>
    </row>
    <row r="22" spans="1:8" x14ac:dyDescent="0.3">
      <c r="A22">
        <v>2024</v>
      </c>
      <c r="B22" t="s">
        <v>280</v>
      </c>
      <c r="C22">
        <v>2</v>
      </c>
      <c r="D22">
        <v>22</v>
      </c>
      <c r="E22">
        <v>15</v>
      </c>
      <c r="F22">
        <v>1</v>
      </c>
      <c r="G22">
        <v>1</v>
      </c>
      <c r="H22">
        <f t="shared" si="4"/>
        <v>39</v>
      </c>
    </row>
    <row r="23" spans="1:8" x14ac:dyDescent="0.3">
      <c r="A23">
        <v>2025</v>
      </c>
      <c r="B23" t="s">
        <v>280</v>
      </c>
      <c r="C23">
        <v>1</v>
      </c>
      <c r="D23">
        <v>22</v>
      </c>
      <c r="E23">
        <v>10</v>
      </c>
      <c r="F23">
        <v>4</v>
      </c>
      <c r="G23">
        <v>0</v>
      </c>
      <c r="H23">
        <f t="shared" si="4"/>
        <v>36</v>
      </c>
    </row>
    <row r="24" spans="1:8" x14ac:dyDescent="0.3">
      <c r="A24">
        <v>2025</v>
      </c>
      <c r="B24" t="s">
        <v>280</v>
      </c>
      <c r="C24">
        <v>2</v>
      </c>
      <c r="D24">
        <v>23</v>
      </c>
      <c r="E24">
        <v>10</v>
      </c>
      <c r="F24">
        <v>3</v>
      </c>
      <c r="G24">
        <v>0</v>
      </c>
      <c r="H24">
        <f t="shared" si="4"/>
        <v>36</v>
      </c>
    </row>
    <row r="25" spans="1:8" x14ac:dyDescent="0.3">
      <c r="A25">
        <v>2026</v>
      </c>
      <c r="B25" t="s">
        <v>280</v>
      </c>
      <c r="C25">
        <v>1</v>
      </c>
      <c r="D25">
        <v>21</v>
      </c>
      <c r="E25">
        <v>10</v>
      </c>
      <c r="F25">
        <v>3</v>
      </c>
      <c r="G25">
        <v>7</v>
      </c>
      <c r="H25">
        <f t="shared" ref="H25:H26" si="5">SUM(D25:G25)</f>
        <v>41</v>
      </c>
    </row>
    <row r="26" spans="1:8" x14ac:dyDescent="0.3">
      <c r="A26">
        <v>2026</v>
      </c>
      <c r="B26" t="s">
        <v>280</v>
      </c>
      <c r="C26">
        <v>2</v>
      </c>
      <c r="D26">
        <v>23</v>
      </c>
      <c r="E26">
        <v>9</v>
      </c>
      <c r="F26">
        <v>4</v>
      </c>
      <c r="G26">
        <v>7</v>
      </c>
      <c r="H26">
        <f t="shared" si="5"/>
        <v>43</v>
      </c>
    </row>
  </sheetData>
  <autoFilter ref="A2:H6" xr:uid="{7C368473-F58A-49C2-839B-E58EF0193A96}"/>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heetPr>
  <dimension ref="A1:J907"/>
  <sheetViews>
    <sheetView zoomScale="90" zoomScaleNormal="90" workbookViewId="0">
      <pane ySplit="1" topLeftCell="A798" activePane="bottomLeft" state="frozen"/>
      <selection activeCell="H69" sqref="H69:H70"/>
      <selection pane="bottomLeft" activeCell="F679" sqref="F679:F835"/>
    </sheetView>
  </sheetViews>
  <sheetFormatPr baseColWidth="10" defaultRowHeight="14.4" x14ac:dyDescent="0.3"/>
  <cols>
    <col min="1" max="1" width="9" bestFit="1" customWidth="1"/>
    <col min="2" max="2" width="6.6640625" bestFit="1" customWidth="1"/>
    <col min="3" max="3" width="37.5546875" bestFit="1" customWidth="1"/>
    <col min="4" max="4" width="6.44140625" bestFit="1" customWidth="1"/>
    <col min="5" max="5" width="8.6640625" bestFit="1" customWidth="1"/>
    <col min="6" max="6" width="12.5546875" style="11" bestFit="1" customWidth="1"/>
    <col min="8" max="8" width="18.5546875" bestFit="1" customWidth="1"/>
  </cols>
  <sheetData>
    <row r="1" spans="1:10" x14ac:dyDescent="0.3">
      <c r="A1" s="4" t="s">
        <v>0</v>
      </c>
      <c r="B1" s="4" t="s">
        <v>35</v>
      </c>
      <c r="C1" s="3" t="s">
        <v>1</v>
      </c>
      <c r="D1" s="3" t="s">
        <v>2</v>
      </c>
      <c r="E1" s="3" t="s">
        <v>3</v>
      </c>
      <c r="F1" s="25" t="s">
        <v>4</v>
      </c>
      <c r="J1" t="s">
        <v>68</v>
      </c>
    </row>
    <row r="2" spans="1:10" hidden="1" x14ac:dyDescent="0.3">
      <c r="A2" s="29">
        <v>720506</v>
      </c>
      <c r="B2" s="29" t="s">
        <v>36</v>
      </c>
      <c r="C2" s="1" t="s">
        <v>5</v>
      </c>
      <c r="D2" s="32">
        <v>2024</v>
      </c>
      <c r="E2" s="2" t="s">
        <v>40</v>
      </c>
      <c r="F2" s="26">
        <v>40413.692000000003</v>
      </c>
      <c r="H2" s="35"/>
      <c r="J2" t="s">
        <v>36</v>
      </c>
    </row>
    <row r="3" spans="1:10" hidden="1" x14ac:dyDescent="0.3">
      <c r="A3" s="29">
        <v>720506</v>
      </c>
      <c r="B3" s="29" t="s">
        <v>36</v>
      </c>
      <c r="C3" s="31" t="s">
        <v>5</v>
      </c>
      <c r="D3" s="32">
        <v>2025</v>
      </c>
      <c r="E3" s="2" t="s">
        <v>40</v>
      </c>
      <c r="F3" s="33">
        <v>47733.381000000001</v>
      </c>
      <c r="H3" s="35"/>
      <c r="J3" t="s">
        <v>37</v>
      </c>
    </row>
    <row r="4" spans="1:10" hidden="1" x14ac:dyDescent="0.3">
      <c r="A4" s="29">
        <v>720515</v>
      </c>
      <c r="B4" s="29" t="s">
        <v>36</v>
      </c>
      <c r="C4" s="31" t="s">
        <v>6</v>
      </c>
      <c r="D4" s="32">
        <v>2024</v>
      </c>
      <c r="E4" s="2" t="s">
        <v>40</v>
      </c>
      <c r="F4" s="33">
        <v>5460.2150000000001</v>
      </c>
      <c r="H4" s="35"/>
      <c r="J4" t="s">
        <v>38</v>
      </c>
    </row>
    <row r="5" spans="1:10" hidden="1" x14ac:dyDescent="0.3">
      <c r="A5" s="29">
        <v>720515</v>
      </c>
      <c r="B5" s="29" t="s">
        <v>36</v>
      </c>
      <c r="C5" s="31" t="s">
        <v>6</v>
      </c>
      <c r="D5" s="32">
        <v>2025</v>
      </c>
      <c r="E5" s="2" t="s">
        <v>40</v>
      </c>
      <c r="F5" s="26">
        <v>4804.82</v>
      </c>
      <c r="H5" s="35"/>
      <c r="J5" t="s">
        <v>39</v>
      </c>
    </row>
    <row r="6" spans="1:10" hidden="1" x14ac:dyDescent="0.3">
      <c r="A6" s="29">
        <v>720524</v>
      </c>
      <c r="B6" s="29" t="s">
        <v>36</v>
      </c>
      <c r="C6" s="31" t="s">
        <v>7</v>
      </c>
      <c r="D6" s="32">
        <v>2024</v>
      </c>
      <c r="E6" s="2" t="s">
        <v>40</v>
      </c>
      <c r="F6" s="33">
        <v>835.98099999999999</v>
      </c>
      <c r="H6" s="35"/>
    </row>
    <row r="7" spans="1:10" hidden="1" x14ac:dyDescent="0.3">
      <c r="A7" s="29">
        <v>720524</v>
      </c>
      <c r="B7" s="29" t="s">
        <v>36</v>
      </c>
      <c r="C7" s="31" t="s">
        <v>7</v>
      </c>
      <c r="D7" s="32">
        <v>2025</v>
      </c>
      <c r="E7" s="2" t="s">
        <v>40</v>
      </c>
      <c r="F7" s="33">
        <v>521.95000000000005</v>
      </c>
      <c r="H7" s="35"/>
    </row>
    <row r="8" spans="1:10" hidden="1" x14ac:dyDescent="0.3">
      <c r="A8" s="29">
        <v>720527</v>
      </c>
      <c r="B8" s="29" t="s">
        <v>36</v>
      </c>
      <c r="C8" s="31" t="s">
        <v>8</v>
      </c>
      <c r="D8" s="32">
        <v>2024</v>
      </c>
      <c r="E8" s="2" t="s">
        <v>40</v>
      </c>
      <c r="F8" s="33">
        <v>4766.7700000000004</v>
      </c>
      <c r="H8" s="35"/>
    </row>
    <row r="9" spans="1:10" hidden="1" x14ac:dyDescent="0.3">
      <c r="A9" s="29">
        <v>720527</v>
      </c>
      <c r="B9" s="29" t="s">
        <v>36</v>
      </c>
      <c r="C9" s="31" t="s">
        <v>8</v>
      </c>
      <c r="D9" s="32">
        <v>2025</v>
      </c>
      <c r="E9" s="2" t="s">
        <v>40</v>
      </c>
      <c r="F9" s="33">
        <v>6280</v>
      </c>
      <c r="H9" s="35"/>
    </row>
    <row r="10" spans="1:10" hidden="1" x14ac:dyDescent="0.3">
      <c r="A10" s="29">
        <v>720530</v>
      </c>
      <c r="B10" s="29" t="s">
        <v>36</v>
      </c>
      <c r="C10" s="24" t="s">
        <v>154</v>
      </c>
      <c r="D10" s="32">
        <v>2024</v>
      </c>
      <c r="E10" s="2" t="s">
        <v>40</v>
      </c>
      <c r="F10" s="33">
        <v>4489.3459999999995</v>
      </c>
      <c r="H10" s="35"/>
    </row>
    <row r="11" spans="1:10" hidden="1" x14ac:dyDescent="0.3">
      <c r="A11" s="29">
        <v>720530</v>
      </c>
      <c r="B11" s="29" t="s">
        <v>36</v>
      </c>
      <c r="C11" s="24" t="s">
        <v>154</v>
      </c>
      <c r="D11" s="32">
        <v>2025</v>
      </c>
      <c r="E11" s="2" t="s">
        <v>40</v>
      </c>
      <c r="F11" s="33">
        <v>4998.1589999999997</v>
      </c>
      <c r="H11" s="35"/>
    </row>
    <row r="12" spans="1:10" hidden="1" x14ac:dyDescent="0.3">
      <c r="A12" s="29">
        <v>720533</v>
      </c>
      <c r="B12" s="29" t="s">
        <v>36</v>
      </c>
      <c r="C12" s="24" t="s">
        <v>154</v>
      </c>
      <c r="D12" s="32">
        <v>2024</v>
      </c>
      <c r="E12" s="2" t="s">
        <v>40</v>
      </c>
      <c r="F12" s="33">
        <v>538.93399999999997</v>
      </c>
      <c r="H12" s="35"/>
    </row>
    <row r="13" spans="1:10" hidden="1" x14ac:dyDescent="0.3">
      <c r="A13" s="29">
        <v>720533</v>
      </c>
      <c r="B13" s="29" t="s">
        <v>36</v>
      </c>
      <c r="C13" s="24" t="s">
        <v>154</v>
      </c>
      <c r="D13" s="32">
        <v>2025</v>
      </c>
      <c r="E13" s="2" t="s">
        <v>40</v>
      </c>
      <c r="F13" s="33">
        <v>600.01599999999996</v>
      </c>
      <c r="H13" s="35"/>
    </row>
    <row r="14" spans="1:10" hidden="1" x14ac:dyDescent="0.3">
      <c r="A14" s="29">
        <v>720536</v>
      </c>
      <c r="B14" s="29" t="s">
        <v>36</v>
      </c>
      <c r="C14" s="24" t="s">
        <v>154</v>
      </c>
      <c r="D14" s="32">
        <v>2024</v>
      </c>
      <c r="E14" s="2" t="s">
        <v>40</v>
      </c>
      <c r="F14" s="33">
        <v>4489.3459999999995</v>
      </c>
      <c r="H14" s="35"/>
    </row>
    <row r="15" spans="1:10" hidden="1" x14ac:dyDescent="0.3">
      <c r="A15" s="29">
        <v>720536</v>
      </c>
      <c r="B15" s="29" t="s">
        <v>36</v>
      </c>
      <c r="C15" s="24" t="s">
        <v>154</v>
      </c>
      <c r="D15" s="32">
        <v>2025</v>
      </c>
      <c r="E15" s="2" t="s">
        <v>40</v>
      </c>
      <c r="F15" s="33">
        <v>4998.1589999999997</v>
      </c>
      <c r="H15" s="35"/>
    </row>
    <row r="16" spans="1:10" hidden="1" x14ac:dyDescent="0.3">
      <c r="A16" s="29">
        <v>720539</v>
      </c>
      <c r="B16" s="29" t="s">
        <v>36</v>
      </c>
      <c r="C16" s="24" t="s">
        <v>154</v>
      </c>
      <c r="D16" s="32">
        <v>2024</v>
      </c>
      <c r="E16" s="2" t="s">
        <v>40</v>
      </c>
      <c r="F16" s="33">
        <v>2048.5859999999998</v>
      </c>
      <c r="H16" s="35"/>
    </row>
    <row r="17" spans="1:8" hidden="1" x14ac:dyDescent="0.3">
      <c r="A17" s="29">
        <v>720539</v>
      </c>
      <c r="B17" s="29" t="s">
        <v>36</v>
      </c>
      <c r="C17" s="24" t="s">
        <v>154</v>
      </c>
      <c r="D17" s="32">
        <v>2025</v>
      </c>
      <c r="E17" s="2" t="s">
        <v>40</v>
      </c>
      <c r="F17" s="33">
        <v>2240.2080000000001</v>
      </c>
      <c r="H17" s="35"/>
    </row>
    <row r="18" spans="1:8" hidden="1" x14ac:dyDescent="0.3">
      <c r="A18" s="29">
        <v>720540</v>
      </c>
      <c r="B18" s="29" t="s">
        <v>36</v>
      </c>
      <c r="C18" s="24" t="s">
        <v>154</v>
      </c>
      <c r="D18" s="32">
        <v>2024</v>
      </c>
      <c r="E18" s="2" t="s">
        <v>40</v>
      </c>
      <c r="F18" s="33">
        <v>677.95299999999997</v>
      </c>
      <c r="H18" s="35"/>
    </row>
    <row r="19" spans="1:8" hidden="1" x14ac:dyDescent="0.3">
      <c r="A19" s="29">
        <v>720540</v>
      </c>
      <c r="B19" s="29" t="s">
        <v>36</v>
      </c>
      <c r="C19" s="24" t="s">
        <v>154</v>
      </c>
      <c r="D19" s="32">
        <v>2025</v>
      </c>
      <c r="E19" s="2" t="s">
        <v>40</v>
      </c>
      <c r="F19" s="33">
        <v>741.36500000000001</v>
      </c>
      <c r="H19" s="35"/>
    </row>
    <row r="20" spans="1:8" hidden="1" x14ac:dyDescent="0.3">
      <c r="A20" s="29">
        <v>720545</v>
      </c>
      <c r="B20" s="29" t="s">
        <v>36</v>
      </c>
      <c r="C20" s="1" t="s">
        <v>155</v>
      </c>
      <c r="D20" s="32">
        <v>2024</v>
      </c>
      <c r="E20" s="2" t="s">
        <v>40</v>
      </c>
      <c r="F20" s="33">
        <v>19288.849999999999</v>
      </c>
      <c r="H20" s="35"/>
    </row>
    <row r="21" spans="1:8" hidden="1" x14ac:dyDescent="0.3">
      <c r="A21" s="29">
        <v>720546</v>
      </c>
      <c r="B21" s="29" t="s">
        <v>36</v>
      </c>
      <c r="C21" s="1" t="s">
        <v>155</v>
      </c>
      <c r="D21" s="32">
        <v>2025</v>
      </c>
      <c r="E21" s="2" t="s">
        <v>40</v>
      </c>
      <c r="F21" s="33">
        <v>21697.5</v>
      </c>
      <c r="H21" s="35"/>
    </row>
    <row r="22" spans="1:8" hidden="1" x14ac:dyDescent="0.3">
      <c r="A22" s="29">
        <v>720547</v>
      </c>
      <c r="B22" s="29" t="s">
        <v>36</v>
      </c>
      <c r="C22" s="24" t="s">
        <v>156</v>
      </c>
      <c r="D22" s="32">
        <v>2024</v>
      </c>
      <c r="E22" s="2" t="s">
        <v>40</v>
      </c>
      <c r="F22" s="33">
        <v>1820.895</v>
      </c>
      <c r="H22" s="35"/>
    </row>
    <row r="23" spans="1:8" hidden="1" x14ac:dyDescent="0.3">
      <c r="A23" s="29">
        <v>720547</v>
      </c>
      <c r="B23" s="29" t="s">
        <v>36</v>
      </c>
      <c r="C23" s="24" t="s">
        <v>156</v>
      </c>
      <c r="D23" s="32">
        <v>2025</v>
      </c>
      <c r="E23" s="2" t="s">
        <v>40</v>
      </c>
      <c r="F23" s="33">
        <v>2039.8430000000001</v>
      </c>
      <c r="H23" s="35"/>
    </row>
    <row r="24" spans="1:8" hidden="1" x14ac:dyDescent="0.3">
      <c r="A24" s="29">
        <v>720548</v>
      </c>
      <c r="B24" s="29" t="s">
        <v>36</v>
      </c>
      <c r="C24" s="31" t="s">
        <v>9</v>
      </c>
      <c r="D24" s="32">
        <v>2025</v>
      </c>
      <c r="E24" s="2" t="s">
        <v>40</v>
      </c>
      <c r="F24" s="33">
        <v>150</v>
      </c>
      <c r="H24" s="35"/>
    </row>
    <row r="25" spans="1:8" hidden="1" x14ac:dyDescent="0.3">
      <c r="A25" s="29">
        <v>720551</v>
      </c>
      <c r="B25" s="29" t="s">
        <v>36</v>
      </c>
      <c r="C25" s="31" t="s">
        <v>10</v>
      </c>
      <c r="D25" s="32">
        <v>2025</v>
      </c>
      <c r="E25" s="2" t="s">
        <v>40</v>
      </c>
      <c r="F25" s="33">
        <v>2037.69</v>
      </c>
      <c r="H25" s="35"/>
    </row>
    <row r="26" spans="1:8" hidden="1" x14ac:dyDescent="0.3">
      <c r="A26" s="29">
        <v>720552</v>
      </c>
      <c r="B26" s="29" t="s">
        <v>36</v>
      </c>
      <c r="C26" s="31" t="s">
        <v>11</v>
      </c>
      <c r="D26" s="32">
        <v>2024</v>
      </c>
      <c r="E26" s="2" t="s">
        <v>40</v>
      </c>
      <c r="F26" s="33">
        <v>447</v>
      </c>
      <c r="H26" s="35"/>
    </row>
    <row r="27" spans="1:8" hidden="1" x14ac:dyDescent="0.3">
      <c r="A27" s="29">
        <v>720552</v>
      </c>
      <c r="B27" s="29" t="s">
        <v>36</v>
      </c>
      <c r="C27" s="31" t="s">
        <v>11</v>
      </c>
      <c r="D27" s="32">
        <v>2025</v>
      </c>
      <c r="E27" s="2" t="s">
        <v>40</v>
      </c>
      <c r="F27" s="33">
        <v>4282.6930000000002</v>
      </c>
      <c r="H27" s="35"/>
    </row>
    <row r="28" spans="1:8" hidden="1" x14ac:dyDescent="0.3">
      <c r="A28" s="29">
        <v>720568</v>
      </c>
      <c r="B28" s="29" t="s">
        <v>36</v>
      </c>
      <c r="C28" s="30" t="s">
        <v>157</v>
      </c>
      <c r="D28" s="32">
        <v>2024</v>
      </c>
      <c r="E28" s="2" t="s">
        <v>40</v>
      </c>
      <c r="F28" s="33">
        <v>1123.8</v>
      </c>
      <c r="H28" s="35"/>
    </row>
    <row r="29" spans="1:8" hidden="1" x14ac:dyDescent="0.3">
      <c r="A29" s="29">
        <v>720568</v>
      </c>
      <c r="B29" s="29" t="s">
        <v>36</v>
      </c>
      <c r="C29" s="30" t="s">
        <v>157</v>
      </c>
      <c r="D29" s="32">
        <v>2025</v>
      </c>
      <c r="E29" s="2" t="s">
        <v>40</v>
      </c>
      <c r="F29" s="33">
        <v>1281.3</v>
      </c>
      <c r="H29" s="35"/>
    </row>
    <row r="30" spans="1:8" hidden="1" x14ac:dyDescent="0.3">
      <c r="A30" s="29">
        <v>720569</v>
      </c>
      <c r="B30" s="29" t="s">
        <v>36</v>
      </c>
      <c r="C30" s="30" t="s">
        <v>157</v>
      </c>
      <c r="D30" s="32">
        <v>2024</v>
      </c>
      <c r="E30" s="2" t="s">
        <v>40</v>
      </c>
      <c r="F30" s="33">
        <v>73.522999999999996</v>
      </c>
      <c r="H30" s="35"/>
    </row>
    <row r="31" spans="1:8" hidden="1" x14ac:dyDescent="0.3">
      <c r="A31" s="29">
        <v>720569</v>
      </c>
      <c r="B31" s="29" t="s">
        <v>36</v>
      </c>
      <c r="C31" s="30" t="s">
        <v>157</v>
      </c>
      <c r="D31" s="32">
        <v>2025</v>
      </c>
      <c r="E31" s="2" t="s">
        <v>40</v>
      </c>
      <c r="F31" s="33">
        <v>46.118000000000002</v>
      </c>
      <c r="H31" s="35"/>
    </row>
    <row r="32" spans="1:8" hidden="1" x14ac:dyDescent="0.3">
      <c r="A32" s="29">
        <v>720570</v>
      </c>
      <c r="B32" s="29" t="s">
        <v>36</v>
      </c>
      <c r="C32" s="30" t="s">
        <v>157</v>
      </c>
      <c r="D32" s="32">
        <v>2024</v>
      </c>
      <c r="E32" s="2" t="s">
        <v>40</v>
      </c>
      <c r="F32" s="33">
        <v>5964.558</v>
      </c>
      <c r="H32" s="35"/>
    </row>
    <row r="33" spans="1:8" hidden="1" x14ac:dyDescent="0.3">
      <c r="A33" s="29">
        <v>720570</v>
      </c>
      <c r="B33" s="29" t="s">
        <v>36</v>
      </c>
      <c r="C33" s="30" t="s">
        <v>157</v>
      </c>
      <c r="D33" s="32">
        <v>2025</v>
      </c>
      <c r="E33" s="2" t="s">
        <v>40</v>
      </c>
      <c r="F33" s="33">
        <v>6476.808</v>
      </c>
      <c r="H33" s="35"/>
    </row>
    <row r="34" spans="1:8" hidden="1" x14ac:dyDescent="0.3">
      <c r="A34" s="29">
        <v>720572</v>
      </c>
      <c r="B34" s="29" t="s">
        <v>36</v>
      </c>
      <c r="C34" s="30" t="s">
        <v>157</v>
      </c>
      <c r="D34" s="32">
        <v>2024</v>
      </c>
      <c r="E34" s="2" t="s">
        <v>40</v>
      </c>
      <c r="F34" s="33">
        <v>2029.4</v>
      </c>
      <c r="H34" s="35"/>
    </row>
    <row r="35" spans="1:8" hidden="1" x14ac:dyDescent="0.3">
      <c r="A35" s="29">
        <v>720572</v>
      </c>
      <c r="B35" s="29" t="s">
        <v>36</v>
      </c>
      <c r="C35" s="30" t="s">
        <v>157</v>
      </c>
      <c r="D35" s="32">
        <v>2025</v>
      </c>
      <c r="E35" s="2" t="s">
        <v>40</v>
      </c>
      <c r="F35" s="33">
        <v>2174.1</v>
      </c>
      <c r="H35" s="35"/>
    </row>
    <row r="36" spans="1:8" hidden="1" x14ac:dyDescent="0.3">
      <c r="A36" s="29">
        <v>720584</v>
      </c>
      <c r="B36" s="29" t="s">
        <v>36</v>
      </c>
      <c r="C36" s="1" t="s">
        <v>12</v>
      </c>
      <c r="D36" s="32">
        <v>2024</v>
      </c>
      <c r="E36" s="2" t="s">
        <v>40</v>
      </c>
      <c r="F36" s="33">
        <v>43.764000000000003</v>
      </c>
      <c r="H36" s="35"/>
    </row>
    <row r="37" spans="1:8" hidden="1" x14ac:dyDescent="0.3">
      <c r="A37" s="29">
        <v>730506</v>
      </c>
      <c r="B37" s="29" t="s">
        <v>37</v>
      </c>
      <c r="C37" s="1" t="s">
        <v>5</v>
      </c>
      <c r="D37" s="32">
        <v>2024</v>
      </c>
      <c r="E37" s="2" t="s">
        <v>40</v>
      </c>
      <c r="F37" s="33">
        <v>61673.5</v>
      </c>
      <c r="H37" s="35"/>
    </row>
    <row r="38" spans="1:8" hidden="1" x14ac:dyDescent="0.3">
      <c r="A38" s="29">
        <v>730506</v>
      </c>
      <c r="B38" s="29" t="s">
        <v>37</v>
      </c>
      <c r="C38" s="1" t="s">
        <v>5</v>
      </c>
      <c r="D38" s="32">
        <v>2025</v>
      </c>
      <c r="E38" s="2" t="s">
        <v>40</v>
      </c>
      <c r="F38" s="26">
        <v>64912.9</v>
      </c>
      <c r="H38" s="35"/>
    </row>
    <row r="39" spans="1:8" hidden="1" x14ac:dyDescent="0.3">
      <c r="A39" s="29">
        <v>730508</v>
      </c>
      <c r="B39" s="29" t="s">
        <v>37</v>
      </c>
      <c r="C39" s="31" t="s">
        <v>13</v>
      </c>
      <c r="D39" s="32">
        <v>2024</v>
      </c>
      <c r="E39" s="2" t="s">
        <v>40</v>
      </c>
      <c r="F39" s="33">
        <v>650</v>
      </c>
      <c r="H39" s="35"/>
    </row>
    <row r="40" spans="1:8" hidden="1" x14ac:dyDescent="0.3">
      <c r="A40" s="29">
        <v>730508</v>
      </c>
      <c r="B40" s="29" t="s">
        <v>37</v>
      </c>
      <c r="C40" s="31" t="s">
        <v>13</v>
      </c>
      <c r="D40" s="32">
        <v>2025</v>
      </c>
      <c r="E40" s="2" t="s">
        <v>40</v>
      </c>
      <c r="F40" s="33">
        <v>711.75</v>
      </c>
      <c r="H40" s="35"/>
    </row>
    <row r="41" spans="1:8" hidden="1" x14ac:dyDescent="0.3">
      <c r="A41" s="29">
        <v>730515</v>
      </c>
      <c r="B41" s="29" t="s">
        <v>37</v>
      </c>
      <c r="C41" s="31" t="s">
        <v>6</v>
      </c>
      <c r="D41" s="32">
        <v>2024</v>
      </c>
      <c r="E41" s="2" t="s">
        <v>40</v>
      </c>
      <c r="F41" s="33">
        <v>2108.8890000000001</v>
      </c>
      <c r="H41" s="35"/>
    </row>
    <row r="42" spans="1:8" hidden="1" x14ac:dyDescent="0.3">
      <c r="A42" s="29">
        <v>730515</v>
      </c>
      <c r="B42" s="29" t="s">
        <v>37</v>
      </c>
      <c r="C42" s="31" t="s">
        <v>6</v>
      </c>
      <c r="D42" s="32">
        <v>2025</v>
      </c>
      <c r="E42" s="2" t="s">
        <v>40</v>
      </c>
      <c r="F42" s="33">
        <v>2943.0680000000002</v>
      </c>
      <c r="H42" s="35"/>
    </row>
    <row r="43" spans="1:8" hidden="1" x14ac:dyDescent="0.3">
      <c r="A43" s="29">
        <v>730524</v>
      </c>
      <c r="B43" s="29" t="s">
        <v>37</v>
      </c>
      <c r="C43" s="31" t="s">
        <v>7</v>
      </c>
      <c r="D43" s="32">
        <v>2025</v>
      </c>
      <c r="E43" s="2" t="s">
        <v>40</v>
      </c>
      <c r="F43" s="33">
        <v>682.16099999999994</v>
      </c>
      <c r="H43" s="35"/>
    </row>
    <row r="44" spans="1:8" hidden="1" x14ac:dyDescent="0.3">
      <c r="A44" s="29">
        <v>730527</v>
      </c>
      <c r="B44" s="29" t="s">
        <v>37</v>
      </c>
      <c r="C44" s="31" t="s">
        <v>14</v>
      </c>
      <c r="D44" s="32">
        <v>2024</v>
      </c>
      <c r="E44" s="2" t="s">
        <v>40</v>
      </c>
      <c r="F44" s="33">
        <v>1776.6</v>
      </c>
      <c r="H44" s="35"/>
    </row>
    <row r="45" spans="1:8" hidden="1" x14ac:dyDescent="0.3">
      <c r="A45" s="29">
        <v>730527</v>
      </c>
      <c r="B45" s="29" t="s">
        <v>37</v>
      </c>
      <c r="C45" s="31" t="s">
        <v>14</v>
      </c>
      <c r="D45" s="32">
        <v>2025</v>
      </c>
      <c r="E45" s="2" t="s">
        <v>40</v>
      </c>
      <c r="F45" s="33">
        <v>2600.0010000000002</v>
      </c>
      <c r="H45" s="35"/>
    </row>
    <row r="46" spans="1:8" hidden="1" x14ac:dyDescent="0.3">
      <c r="A46" s="29">
        <v>730530</v>
      </c>
      <c r="B46" s="29" t="s">
        <v>37</v>
      </c>
      <c r="C46" s="24" t="s">
        <v>154</v>
      </c>
      <c r="D46" s="32">
        <v>2024</v>
      </c>
      <c r="E46" s="2" t="s">
        <v>40</v>
      </c>
      <c r="F46" s="33">
        <v>5706.6689999999999</v>
      </c>
      <c r="H46" s="35"/>
    </row>
    <row r="47" spans="1:8" hidden="1" x14ac:dyDescent="0.3">
      <c r="A47" s="29">
        <v>730530</v>
      </c>
      <c r="B47" s="29" t="s">
        <v>37</v>
      </c>
      <c r="C47" s="24" t="s">
        <v>154</v>
      </c>
      <c r="D47" s="32">
        <v>2025</v>
      </c>
      <c r="E47" s="2" t="s">
        <v>40</v>
      </c>
      <c r="F47" s="33">
        <v>6251.7520000000004</v>
      </c>
      <c r="H47" s="35"/>
    </row>
    <row r="48" spans="1:8" hidden="1" x14ac:dyDescent="0.3">
      <c r="A48" s="29">
        <v>730533</v>
      </c>
      <c r="B48" s="29" t="s">
        <v>37</v>
      </c>
      <c r="C48" s="24" t="s">
        <v>154</v>
      </c>
      <c r="D48" s="32">
        <v>2024</v>
      </c>
      <c r="E48" s="2" t="s">
        <v>40</v>
      </c>
      <c r="F48" s="33">
        <v>685.07299999999998</v>
      </c>
      <c r="H48" s="35"/>
    </row>
    <row r="49" spans="1:8" hidden="1" x14ac:dyDescent="0.3">
      <c r="A49" s="29">
        <v>730533</v>
      </c>
      <c r="B49" s="29" t="s">
        <v>37</v>
      </c>
      <c r="C49" s="24" t="s">
        <v>154</v>
      </c>
      <c r="D49" s="32">
        <v>2025</v>
      </c>
      <c r="E49" s="2" t="s">
        <v>40</v>
      </c>
      <c r="F49" s="33">
        <v>750.51199999999994</v>
      </c>
      <c r="H49" s="35"/>
    </row>
    <row r="50" spans="1:8" hidden="1" x14ac:dyDescent="0.3">
      <c r="A50" s="29">
        <v>730536</v>
      </c>
      <c r="B50" s="29" t="s">
        <v>37</v>
      </c>
      <c r="C50" s="24" t="s">
        <v>154</v>
      </c>
      <c r="D50" s="32">
        <v>2024</v>
      </c>
      <c r="E50" s="2" t="s">
        <v>40</v>
      </c>
      <c r="F50" s="33">
        <v>5706.6689999999999</v>
      </c>
      <c r="H50" s="35"/>
    </row>
    <row r="51" spans="1:8" hidden="1" x14ac:dyDescent="0.3">
      <c r="A51" s="29">
        <v>730536</v>
      </c>
      <c r="B51" s="29" t="s">
        <v>37</v>
      </c>
      <c r="C51" s="24" t="s">
        <v>154</v>
      </c>
      <c r="D51" s="32">
        <v>2025</v>
      </c>
      <c r="E51" s="2" t="s">
        <v>40</v>
      </c>
      <c r="F51" s="26">
        <v>6251.7520000000004</v>
      </c>
      <c r="H51" s="35"/>
    </row>
    <row r="52" spans="1:8" hidden="1" x14ac:dyDescent="0.3">
      <c r="A52" s="29">
        <v>730539</v>
      </c>
      <c r="B52" s="29" t="s">
        <v>37</v>
      </c>
      <c r="C52" s="24" t="s">
        <v>154</v>
      </c>
      <c r="D52" s="32">
        <v>2024</v>
      </c>
      <c r="E52" s="2" t="s">
        <v>40</v>
      </c>
      <c r="F52" s="33">
        <v>2782.6770000000001</v>
      </c>
      <c r="H52" s="35"/>
    </row>
    <row r="53" spans="1:8" hidden="1" x14ac:dyDescent="0.3">
      <c r="A53" s="29">
        <v>730539</v>
      </c>
      <c r="B53" s="29" t="s">
        <v>37</v>
      </c>
      <c r="C53" s="24" t="s">
        <v>154</v>
      </c>
      <c r="D53" s="32">
        <v>2025</v>
      </c>
      <c r="E53" s="2" t="s">
        <v>40</v>
      </c>
      <c r="F53" s="26">
        <v>3021.2109999999998</v>
      </c>
      <c r="H53" s="35"/>
    </row>
    <row r="54" spans="1:8" hidden="1" x14ac:dyDescent="0.3">
      <c r="A54" s="29">
        <v>730540</v>
      </c>
      <c r="B54" s="29" t="s">
        <v>37</v>
      </c>
      <c r="C54" s="24" t="s">
        <v>154</v>
      </c>
      <c r="D54" s="32">
        <v>2024</v>
      </c>
      <c r="E54" s="2" t="s">
        <v>40</v>
      </c>
      <c r="F54" s="33">
        <v>920.88499999999999</v>
      </c>
      <c r="H54" s="35"/>
    </row>
    <row r="55" spans="1:8" hidden="1" x14ac:dyDescent="0.3">
      <c r="A55" s="29">
        <v>730540</v>
      </c>
      <c r="B55" s="29" t="s">
        <v>37</v>
      </c>
      <c r="C55" s="24" t="s">
        <v>154</v>
      </c>
      <c r="D55" s="32">
        <v>2025</v>
      </c>
      <c r="E55" s="2" t="s">
        <v>40</v>
      </c>
      <c r="F55" s="33">
        <v>999.82500000000005</v>
      </c>
      <c r="H55" s="35"/>
    </row>
    <row r="56" spans="1:8" hidden="1" x14ac:dyDescent="0.3">
      <c r="A56" s="29">
        <v>730545</v>
      </c>
      <c r="B56" s="29" t="s">
        <v>37</v>
      </c>
      <c r="C56" s="1" t="s">
        <v>155</v>
      </c>
      <c r="D56" s="32">
        <v>2024</v>
      </c>
      <c r="E56" s="2" t="s">
        <v>40</v>
      </c>
      <c r="F56" s="33">
        <v>31181</v>
      </c>
      <c r="H56" s="35"/>
    </row>
    <row r="57" spans="1:8" hidden="1" x14ac:dyDescent="0.3">
      <c r="A57" s="29">
        <v>730546</v>
      </c>
      <c r="B57" s="29" t="s">
        <v>37</v>
      </c>
      <c r="C57" s="1" t="s">
        <v>155</v>
      </c>
      <c r="D57" s="32">
        <v>2025</v>
      </c>
      <c r="E57" s="2" t="s">
        <v>40</v>
      </c>
      <c r="F57" s="33">
        <f>53045.4-21300</f>
        <v>31745.4</v>
      </c>
      <c r="H57" s="35"/>
    </row>
    <row r="58" spans="1:8" hidden="1" x14ac:dyDescent="0.3">
      <c r="A58" s="29">
        <v>730547</v>
      </c>
      <c r="B58" s="29" t="s">
        <v>37</v>
      </c>
      <c r="C58" s="24" t="s">
        <v>156</v>
      </c>
      <c r="D58" s="32">
        <v>2024</v>
      </c>
      <c r="E58" s="2" t="s">
        <v>40</v>
      </c>
      <c r="F58" s="33">
        <v>2694.7359999999999</v>
      </c>
      <c r="H58" s="35"/>
    </row>
    <row r="59" spans="1:8" hidden="1" x14ac:dyDescent="0.3">
      <c r="A59" s="29">
        <v>730547</v>
      </c>
      <c r="B59" s="29" t="s">
        <v>37</v>
      </c>
      <c r="C59" s="24" t="s">
        <v>156</v>
      </c>
      <c r="D59" s="32">
        <v>2025</v>
      </c>
      <c r="E59" s="2" t="s">
        <v>40</v>
      </c>
      <c r="F59" s="26">
        <v>2898.4839999999999</v>
      </c>
      <c r="H59" s="35"/>
    </row>
    <row r="60" spans="1:8" hidden="1" x14ac:dyDescent="0.3">
      <c r="A60" s="29">
        <v>730548</v>
      </c>
      <c r="B60" s="29" t="s">
        <v>37</v>
      </c>
      <c r="C60" s="31" t="s">
        <v>9</v>
      </c>
      <c r="D60" s="32">
        <v>2025</v>
      </c>
      <c r="E60" s="2" t="s">
        <v>40</v>
      </c>
      <c r="F60" s="33">
        <v>500</v>
      </c>
      <c r="H60" s="35"/>
    </row>
    <row r="61" spans="1:8" hidden="1" x14ac:dyDescent="0.3">
      <c r="A61" s="29">
        <v>730551</v>
      </c>
      <c r="B61" s="29" t="s">
        <v>37</v>
      </c>
      <c r="C61" s="31" t="s">
        <v>10</v>
      </c>
      <c r="D61" s="32">
        <v>2024</v>
      </c>
      <c r="E61" s="2" t="s">
        <v>40</v>
      </c>
      <c r="F61" s="26">
        <v>2376.3679999999999</v>
      </c>
      <c r="H61" s="35"/>
    </row>
    <row r="62" spans="1:8" hidden="1" x14ac:dyDescent="0.3">
      <c r="A62" s="29">
        <v>730551</v>
      </c>
      <c r="B62" s="29" t="s">
        <v>37</v>
      </c>
      <c r="C62" s="31" t="s">
        <v>10</v>
      </c>
      <c r="D62" s="32">
        <v>2025</v>
      </c>
      <c r="E62" s="2" t="s">
        <v>40</v>
      </c>
      <c r="F62" s="26">
        <v>101.214</v>
      </c>
      <c r="H62" s="35"/>
    </row>
    <row r="63" spans="1:8" hidden="1" x14ac:dyDescent="0.3">
      <c r="A63" s="29">
        <v>730552</v>
      </c>
      <c r="B63" s="29" t="s">
        <v>37</v>
      </c>
      <c r="C63" s="31" t="s">
        <v>11</v>
      </c>
      <c r="D63" s="32">
        <v>2025</v>
      </c>
      <c r="E63" s="2" t="s">
        <v>40</v>
      </c>
      <c r="F63" s="26">
        <v>549.92999999999995</v>
      </c>
      <c r="H63" s="35"/>
    </row>
    <row r="64" spans="1:8" hidden="1" x14ac:dyDescent="0.3">
      <c r="A64" s="29">
        <v>730560</v>
      </c>
      <c r="B64" s="29" t="s">
        <v>37</v>
      </c>
      <c r="C64" s="31" t="s">
        <v>15</v>
      </c>
      <c r="D64" s="32">
        <v>2024</v>
      </c>
      <c r="E64" s="2" t="s">
        <v>40</v>
      </c>
      <c r="F64" s="33">
        <v>7744.3509999999997</v>
      </c>
      <c r="H64" s="35"/>
    </row>
    <row r="65" spans="1:8" hidden="1" x14ac:dyDescent="0.3">
      <c r="A65" s="29">
        <v>730568</v>
      </c>
      <c r="B65" s="29" t="s">
        <v>37</v>
      </c>
      <c r="C65" s="30" t="s">
        <v>157</v>
      </c>
      <c r="D65" s="32">
        <v>2024</v>
      </c>
      <c r="E65" s="2" t="s">
        <v>40</v>
      </c>
      <c r="F65" s="33">
        <v>1503.6</v>
      </c>
      <c r="H65" s="35"/>
    </row>
    <row r="66" spans="1:8" hidden="1" x14ac:dyDescent="0.3">
      <c r="A66" s="29">
        <v>730568</v>
      </c>
      <c r="B66" s="29" t="s">
        <v>37</v>
      </c>
      <c r="C66" s="30" t="s">
        <v>157</v>
      </c>
      <c r="D66" s="32">
        <v>2025</v>
      </c>
      <c r="E66" s="2" t="s">
        <v>40</v>
      </c>
      <c r="F66" s="33">
        <v>1651.35</v>
      </c>
      <c r="H66" s="35"/>
    </row>
    <row r="67" spans="1:8" hidden="1" x14ac:dyDescent="0.3">
      <c r="A67" s="29">
        <v>730569</v>
      </c>
      <c r="B67" s="29" t="s">
        <v>37</v>
      </c>
      <c r="C67" s="30" t="s">
        <v>157</v>
      </c>
      <c r="D67" s="32">
        <v>2024</v>
      </c>
      <c r="E67" s="2" t="s">
        <v>40</v>
      </c>
      <c r="F67" s="33">
        <v>-30.532</v>
      </c>
      <c r="H67" s="35"/>
    </row>
    <row r="68" spans="1:8" hidden="1" x14ac:dyDescent="0.3">
      <c r="A68" s="29">
        <v>730569</v>
      </c>
      <c r="B68" s="29" t="s">
        <v>37</v>
      </c>
      <c r="C68" s="30" t="s">
        <v>157</v>
      </c>
      <c r="D68" s="32">
        <v>2025</v>
      </c>
      <c r="E68" s="2" t="s">
        <v>40</v>
      </c>
      <c r="F68" s="33">
        <v>174.65799999999999</v>
      </c>
      <c r="H68" s="35"/>
    </row>
    <row r="69" spans="1:8" hidden="1" x14ac:dyDescent="0.3">
      <c r="A69" s="29">
        <v>730570</v>
      </c>
      <c r="B69" s="29" t="s">
        <v>37</v>
      </c>
      <c r="C69" s="30" t="s">
        <v>157</v>
      </c>
      <c r="D69" s="32">
        <v>2024</v>
      </c>
      <c r="E69" s="2" t="s">
        <v>40</v>
      </c>
      <c r="F69" s="33">
        <v>7504.7179999999998</v>
      </c>
      <c r="H69" s="35"/>
    </row>
    <row r="70" spans="1:8" hidden="1" x14ac:dyDescent="0.3">
      <c r="A70" s="29">
        <v>730570</v>
      </c>
      <c r="B70" s="29" t="s">
        <v>37</v>
      </c>
      <c r="C70" s="30" t="s">
        <v>157</v>
      </c>
      <c r="D70" s="32">
        <v>2025</v>
      </c>
      <c r="E70" s="2" t="s">
        <v>40</v>
      </c>
      <c r="F70" s="33">
        <v>8646.7250000000004</v>
      </c>
      <c r="H70" s="35"/>
    </row>
    <row r="71" spans="1:8" hidden="1" x14ac:dyDescent="0.3">
      <c r="A71" s="29">
        <v>730572</v>
      </c>
      <c r="B71" s="29" t="s">
        <v>37</v>
      </c>
      <c r="C71" s="30" t="s">
        <v>157</v>
      </c>
      <c r="D71" s="32">
        <v>2024</v>
      </c>
      <c r="E71" s="2" t="s">
        <v>40</v>
      </c>
      <c r="F71" s="33">
        <v>2596.3000000000002</v>
      </c>
      <c r="H71" s="35"/>
    </row>
    <row r="72" spans="1:8" hidden="1" x14ac:dyDescent="0.3">
      <c r="A72" s="29">
        <v>730572</v>
      </c>
      <c r="B72" s="29" t="s">
        <v>37</v>
      </c>
      <c r="C72" s="30" t="s">
        <v>157</v>
      </c>
      <c r="D72" s="32">
        <v>2025</v>
      </c>
      <c r="E72" s="2" t="s">
        <v>40</v>
      </c>
      <c r="F72" s="26">
        <v>2867.3</v>
      </c>
      <c r="H72" s="35"/>
    </row>
    <row r="73" spans="1:8" hidden="1" x14ac:dyDescent="0.3">
      <c r="A73" s="29">
        <v>730584</v>
      </c>
      <c r="B73" s="29" t="s">
        <v>37</v>
      </c>
      <c r="C73" s="31" t="s">
        <v>12</v>
      </c>
      <c r="D73" s="32">
        <v>2025</v>
      </c>
      <c r="E73" s="2" t="s">
        <v>40</v>
      </c>
      <c r="F73" s="26">
        <v>61.552999999999997</v>
      </c>
      <c r="H73" s="35"/>
    </row>
    <row r="74" spans="1:8" hidden="1" x14ac:dyDescent="0.3">
      <c r="A74" s="29">
        <v>732010</v>
      </c>
      <c r="B74" s="29" t="s">
        <v>38</v>
      </c>
      <c r="C74" s="30" t="s">
        <v>61</v>
      </c>
      <c r="D74" s="32">
        <v>2024</v>
      </c>
      <c r="E74" s="2" t="s">
        <v>40</v>
      </c>
      <c r="F74" s="26">
        <v>17631.150000000001</v>
      </c>
      <c r="H74" s="35"/>
    </row>
    <row r="75" spans="1:8" hidden="1" x14ac:dyDescent="0.3">
      <c r="A75" s="29">
        <v>732010</v>
      </c>
      <c r="B75" s="29" t="s">
        <v>38</v>
      </c>
      <c r="C75" s="30" t="s">
        <v>61</v>
      </c>
      <c r="D75" s="32">
        <v>2025</v>
      </c>
      <c r="E75" s="2" t="s">
        <v>40</v>
      </c>
      <c r="F75" s="33">
        <v>19396.465</v>
      </c>
      <c r="H75" s="35"/>
    </row>
    <row r="76" spans="1:8" hidden="1" x14ac:dyDescent="0.3">
      <c r="A76" s="29">
        <v>733095</v>
      </c>
      <c r="B76" s="29" t="s">
        <v>38</v>
      </c>
      <c r="C76" s="31" t="s">
        <v>18</v>
      </c>
      <c r="D76" s="32">
        <v>2024</v>
      </c>
      <c r="E76" s="2" t="s">
        <v>40</v>
      </c>
      <c r="F76" s="33">
        <v>4173.97</v>
      </c>
      <c r="H76" s="35"/>
    </row>
    <row r="77" spans="1:8" hidden="1" x14ac:dyDescent="0.3">
      <c r="A77" s="29">
        <v>733095</v>
      </c>
      <c r="B77" s="29" t="s">
        <v>38</v>
      </c>
      <c r="C77" s="31" t="s">
        <v>18</v>
      </c>
      <c r="D77" s="32">
        <v>2025</v>
      </c>
      <c r="E77" s="2" t="s">
        <v>40</v>
      </c>
      <c r="F77" s="26">
        <v>4538.8010000000004</v>
      </c>
      <c r="H77" s="35"/>
    </row>
    <row r="78" spans="1:8" hidden="1" x14ac:dyDescent="0.3">
      <c r="A78" s="29">
        <v>733505</v>
      </c>
      <c r="B78" s="29" t="s">
        <v>38</v>
      </c>
      <c r="C78" s="31" t="s">
        <v>62</v>
      </c>
      <c r="D78" s="32">
        <v>2024</v>
      </c>
      <c r="E78" s="2" t="s">
        <v>40</v>
      </c>
      <c r="F78" s="26">
        <v>1675.6279999999999</v>
      </c>
      <c r="H78" s="35"/>
    </row>
    <row r="79" spans="1:8" hidden="1" x14ac:dyDescent="0.3">
      <c r="A79" s="29">
        <v>733505</v>
      </c>
      <c r="B79" s="29" t="s">
        <v>38</v>
      </c>
      <c r="C79" s="31" t="s">
        <v>62</v>
      </c>
      <c r="D79" s="32">
        <v>2025</v>
      </c>
      <c r="E79" s="2" t="s">
        <v>40</v>
      </c>
      <c r="F79" s="33">
        <v>292.72199999999998</v>
      </c>
      <c r="H79" s="35"/>
    </row>
    <row r="80" spans="1:8" hidden="1" x14ac:dyDescent="0.3">
      <c r="A80" s="29">
        <v>733510</v>
      </c>
      <c r="B80" s="29" t="s">
        <v>37</v>
      </c>
      <c r="C80" s="24" t="s">
        <v>63</v>
      </c>
      <c r="D80" s="32">
        <v>2024</v>
      </c>
      <c r="E80" s="2" t="s">
        <v>40</v>
      </c>
      <c r="F80" s="27">
        <v>50475</v>
      </c>
      <c r="H80" s="35"/>
    </row>
    <row r="81" spans="1:8" hidden="1" x14ac:dyDescent="0.3">
      <c r="A81" s="29">
        <v>733510</v>
      </c>
      <c r="B81" s="29" t="s">
        <v>36</v>
      </c>
      <c r="C81" s="24" t="s">
        <v>63</v>
      </c>
      <c r="D81" s="32">
        <v>2024</v>
      </c>
      <c r="E81" s="2" t="s">
        <v>40</v>
      </c>
      <c r="F81" s="27">
        <v>230176</v>
      </c>
      <c r="H81" s="35"/>
    </row>
    <row r="82" spans="1:8" hidden="1" x14ac:dyDescent="0.3">
      <c r="A82" s="29">
        <v>733510</v>
      </c>
      <c r="B82" s="29" t="s">
        <v>37</v>
      </c>
      <c r="C82" s="24" t="s">
        <v>63</v>
      </c>
      <c r="D82" s="32">
        <v>2025</v>
      </c>
      <c r="E82" s="2" t="s">
        <v>40</v>
      </c>
      <c r="F82" s="26">
        <v>43454</v>
      </c>
      <c r="H82" s="35"/>
    </row>
    <row r="83" spans="1:8" hidden="1" x14ac:dyDescent="0.3">
      <c r="A83" s="29">
        <v>733510</v>
      </c>
      <c r="B83" s="29" t="s">
        <v>36</v>
      </c>
      <c r="C83" s="24" t="s">
        <v>63</v>
      </c>
      <c r="D83" s="32">
        <v>2025</v>
      </c>
      <c r="E83" s="2" t="s">
        <v>40</v>
      </c>
      <c r="F83" s="28">
        <v>274217</v>
      </c>
      <c r="H83" s="35"/>
    </row>
    <row r="84" spans="1:8" hidden="1" x14ac:dyDescent="0.3">
      <c r="A84" s="23">
        <v>733511</v>
      </c>
      <c r="B84" s="23" t="s">
        <v>36</v>
      </c>
      <c r="C84" s="24" t="s">
        <v>58</v>
      </c>
      <c r="D84" s="32">
        <v>2024</v>
      </c>
      <c r="E84" s="2" t="s">
        <v>40</v>
      </c>
      <c r="F84" s="28">
        <v>37369</v>
      </c>
      <c r="H84" s="35"/>
    </row>
    <row r="85" spans="1:8" hidden="1" x14ac:dyDescent="0.3">
      <c r="A85" s="23">
        <v>733511</v>
      </c>
      <c r="B85" s="23" t="s">
        <v>37</v>
      </c>
      <c r="C85" s="24" t="s">
        <v>58</v>
      </c>
      <c r="D85" s="32">
        <v>2024</v>
      </c>
      <c r="E85" s="2" t="s">
        <v>40</v>
      </c>
      <c r="F85" s="28">
        <v>9812</v>
      </c>
      <c r="H85" s="35"/>
    </row>
    <row r="86" spans="1:8" hidden="1" x14ac:dyDescent="0.3">
      <c r="A86" s="29">
        <v>733511</v>
      </c>
      <c r="B86" s="29" t="s">
        <v>37</v>
      </c>
      <c r="C86" s="31" t="s">
        <v>58</v>
      </c>
      <c r="D86" s="32">
        <v>2025</v>
      </c>
      <c r="E86" s="2" t="s">
        <v>40</v>
      </c>
      <c r="F86" s="33">
        <v>9985</v>
      </c>
      <c r="H86" s="35"/>
    </row>
    <row r="87" spans="1:8" hidden="1" x14ac:dyDescent="0.3">
      <c r="A87" s="29">
        <v>733511</v>
      </c>
      <c r="B87" s="29" t="s">
        <v>36</v>
      </c>
      <c r="C87" s="31" t="s">
        <v>58</v>
      </c>
      <c r="D87" s="32">
        <v>2025</v>
      </c>
      <c r="E87" s="2" t="s">
        <v>40</v>
      </c>
      <c r="F87" s="28">
        <v>53338</v>
      </c>
      <c r="H87" s="35"/>
    </row>
    <row r="88" spans="1:8" hidden="1" x14ac:dyDescent="0.3">
      <c r="A88" s="29">
        <v>733512</v>
      </c>
      <c r="B88" s="29" t="s">
        <v>37</v>
      </c>
      <c r="C88" s="31" t="s">
        <v>59</v>
      </c>
      <c r="D88" s="32">
        <v>2024</v>
      </c>
      <c r="E88" s="2" t="s">
        <v>40</v>
      </c>
      <c r="F88" s="33">
        <v>1118</v>
      </c>
      <c r="H88" s="35"/>
    </row>
    <row r="89" spans="1:8" hidden="1" x14ac:dyDescent="0.3">
      <c r="A89" s="29">
        <v>733512</v>
      </c>
      <c r="B89" s="29" t="s">
        <v>36</v>
      </c>
      <c r="C89" s="31" t="s">
        <v>59</v>
      </c>
      <c r="D89" s="32">
        <v>2024</v>
      </c>
      <c r="E89" s="2" t="s">
        <v>40</v>
      </c>
      <c r="F89" s="28">
        <v>4277</v>
      </c>
      <c r="H89" s="35"/>
    </row>
    <row r="90" spans="1:8" hidden="1" x14ac:dyDescent="0.3">
      <c r="A90" s="29">
        <v>733512</v>
      </c>
      <c r="B90" s="29" t="s">
        <v>37</v>
      </c>
      <c r="C90" s="31" t="s">
        <v>59</v>
      </c>
      <c r="D90" s="32">
        <v>2025</v>
      </c>
      <c r="E90" s="2" t="s">
        <v>40</v>
      </c>
      <c r="F90" s="33">
        <v>1038</v>
      </c>
      <c r="H90" s="35"/>
    </row>
    <row r="91" spans="1:8" hidden="1" x14ac:dyDescent="0.3">
      <c r="A91" s="29">
        <v>733512</v>
      </c>
      <c r="B91" s="29" t="s">
        <v>36</v>
      </c>
      <c r="C91" s="31" t="s">
        <v>59</v>
      </c>
      <c r="D91" s="32">
        <v>2025</v>
      </c>
      <c r="E91" s="2" t="s">
        <v>40</v>
      </c>
      <c r="F91" s="28">
        <v>5756</v>
      </c>
      <c r="H91" s="35"/>
    </row>
    <row r="92" spans="1:8" hidden="1" x14ac:dyDescent="0.3">
      <c r="A92" s="29">
        <v>733515</v>
      </c>
      <c r="B92" s="29" t="s">
        <v>38</v>
      </c>
      <c r="C92" s="31" t="s">
        <v>19</v>
      </c>
      <c r="D92" s="32">
        <v>2024</v>
      </c>
      <c r="E92" s="2" t="s">
        <v>40</v>
      </c>
      <c r="F92" s="33">
        <v>10175.066999999999</v>
      </c>
      <c r="H92" s="35"/>
    </row>
    <row r="93" spans="1:8" hidden="1" x14ac:dyDescent="0.3">
      <c r="A93" s="29">
        <v>733515</v>
      </c>
      <c r="B93" s="29" t="s">
        <v>38</v>
      </c>
      <c r="C93" s="31" t="s">
        <v>19</v>
      </c>
      <c r="D93" s="32">
        <v>2025</v>
      </c>
      <c r="E93" s="2" t="s">
        <v>40</v>
      </c>
      <c r="F93" s="33">
        <v>31723.976999999999</v>
      </c>
      <c r="H93" s="35"/>
    </row>
    <row r="94" spans="1:8" hidden="1" x14ac:dyDescent="0.3">
      <c r="A94" s="29">
        <v>733525</v>
      </c>
      <c r="B94" s="29" t="s">
        <v>38</v>
      </c>
      <c r="C94" s="31" t="s">
        <v>20</v>
      </c>
      <c r="D94" s="32">
        <v>2024</v>
      </c>
      <c r="E94" s="2" t="s">
        <v>40</v>
      </c>
      <c r="F94" s="33">
        <v>4871.1480000000001</v>
      </c>
      <c r="H94" s="35"/>
    </row>
    <row r="95" spans="1:8" hidden="1" x14ac:dyDescent="0.3">
      <c r="A95" s="29">
        <v>733525</v>
      </c>
      <c r="B95" s="29" t="s">
        <v>38</v>
      </c>
      <c r="C95" s="31" t="s">
        <v>20</v>
      </c>
      <c r="D95" s="32">
        <v>2025</v>
      </c>
      <c r="E95" s="2" t="s">
        <v>40</v>
      </c>
      <c r="F95" s="33">
        <v>4980.7169999999996</v>
      </c>
      <c r="H95" s="35"/>
    </row>
    <row r="96" spans="1:8" hidden="1" x14ac:dyDescent="0.3">
      <c r="A96" s="29">
        <v>733530</v>
      </c>
      <c r="B96" s="29" t="s">
        <v>38</v>
      </c>
      <c r="C96" s="31" t="s">
        <v>21</v>
      </c>
      <c r="D96" s="32">
        <v>2024</v>
      </c>
      <c r="E96" s="2" t="s">
        <v>40</v>
      </c>
      <c r="F96" s="26">
        <v>50230.464999999997</v>
      </c>
      <c r="H96" s="35"/>
    </row>
    <row r="97" spans="1:8" hidden="1" x14ac:dyDescent="0.3">
      <c r="A97" s="29">
        <v>733530</v>
      </c>
      <c r="B97" s="29" t="s">
        <v>38</v>
      </c>
      <c r="C97" s="31" t="s">
        <v>21</v>
      </c>
      <c r="D97" s="32">
        <v>2025</v>
      </c>
      <c r="E97" s="2" t="s">
        <v>40</v>
      </c>
      <c r="F97" s="26">
        <v>50374.707000000002</v>
      </c>
      <c r="H97" s="35"/>
    </row>
    <row r="98" spans="1:8" hidden="1" x14ac:dyDescent="0.3">
      <c r="A98" s="29">
        <v>733550</v>
      </c>
      <c r="B98" s="29" t="s">
        <v>38</v>
      </c>
      <c r="C98" s="31" t="s">
        <v>22</v>
      </c>
      <c r="D98" s="32">
        <v>2024</v>
      </c>
      <c r="E98" s="2" t="s">
        <v>40</v>
      </c>
      <c r="F98" s="33">
        <v>5535.9080000000004</v>
      </c>
      <c r="H98" s="35"/>
    </row>
    <row r="99" spans="1:8" hidden="1" x14ac:dyDescent="0.3">
      <c r="A99" s="29">
        <v>733550</v>
      </c>
      <c r="B99" s="29" t="s">
        <v>38</v>
      </c>
      <c r="C99" s="31" t="s">
        <v>22</v>
      </c>
      <c r="D99" s="32">
        <v>2025</v>
      </c>
      <c r="E99" s="2" t="s">
        <v>40</v>
      </c>
      <c r="F99" s="33">
        <v>3716.444</v>
      </c>
      <c r="H99" s="35"/>
    </row>
    <row r="100" spans="1:8" hidden="1" x14ac:dyDescent="0.3">
      <c r="A100" s="29">
        <v>733555</v>
      </c>
      <c r="B100" s="29" t="s">
        <v>38</v>
      </c>
      <c r="C100" s="31" t="s">
        <v>23</v>
      </c>
      <c r="D100" s="32">
        <v>2024</v>
      </c>
      <c r="E100" s="2" t="s">
        <v>40</v>
      </c>
      <c r="F100" s="33">
        <v>4773.9840000000004</v>
      </c>
      <c r="H100" s="35"/>
    </row>
    <row r="101" spans="1:8" hidden="1" x14ac:dyDescent="0.3">
      <c r="A101" s="29">
        <v>733555</v>
      </c>
      <c r="B101" s="29" t="s">
        <v>38</v>
      </c>
      <c r="C101" s="31" t="s">
        <v>23</v>
      </c>
      <c r="D101" s="32">
        <v>2025</v>
      </c>
      <c r="E101" s="2" t="s">
        <v>40</v>
      </c>
      <c r="F101" s="33">
        <v>4593.5749999999998</v>
      </c>
      <c r="H101" s="35"/>
    </row>
    <row r="102" spans="1:8" hidden="1" x14ac:dyDescent="0.3">
      <c r="A102" s="29">
        <v>735015</v>
      </c>
      <c r="B102" s="29" t="s">
        <v>38</v>
      </c>
      <c r="C102" s="31" t="s">
        <v>27</v>
      </c>
      <c r="D102" s="32">
        <v>2024</v>
      </c>
      <c r="E102" s="2" t="s">
        <v>40</v>
      </c>
      <c r="F102" s="33">
        <v>8952.3770000000004</v>
      </c>
      <c r="H102" s="35"/>
    </row>
    <row r="103" spans="1:8" hidden="1" x14ac:dyDescent="0.3">
      <c r="A103" s="29">
        <v>735015</v>
      </c>
      <c r="B103" s="29" t="s">
        <v>38</v>
      </c>
      <c r="C103" s="31" t="s">
        <v>27</v>
      </c>
      <c r="D103" s="32">
        <v>2025</v>
      </c>
      <c r="E103" s="2" t="s">
        <v>40</v>
      </c>
      <c r="F103" s="33">
        <v>1595.491</v>
      </c>
      <c r="H103" s="35"/>
    </row>
    <row r="104" spans="1:8" hidden="1" x14ac:dyDescent="0.3">
      <c r="A104" s="29">
        <v>736005</v>
      </c>
      <c r="B104" s="29" t="s">
        <v>38</v>
      </c>
      <c r="C104" s="24" t="s">
        <v>160</v>
      </c>
      <c r="D104" s="32">
        <v>2024</v>
      </c>
      <c r="E104" s="2" t="s">
        <v>40</v>
      </c>
      <c r="F104" s="33">
        <v>1388.8889999999999</v>
      </c>
      <c r="H104" s="35"/>
    </row>
    <row r="105" spans="1:8" hidden="1" x14ac:dyDescent="0.3">
      <c r="A105" s="29">
        <v>736005</v>
      </c>
      <c r="B105" s="29" t="s">
        <v>38</v>
      </c>
      <c r="C105" s="24" t="s">
        <v>160</v>
      </c>
      <c r="D105" s="32">
        <v>2025</v>
      </c>
      <c r="E105" s="2" t="s">
        <v>40</v>
      </c>
      <c r="F105" s="33">
        <v>1388.8889999999999</v>
      </c>
      <c r="H105" s="35"/>
    </row>
    <row r="106" spans="1:8" hidden="1" x14ac:dyDescent="0.3">
      <c r="A106" s="29">
        <v>736010</v>
      </c>
      <c r="B106" s="29" t="s">
        <v>38</v>
      </c>
      <c r="C106" s="24" t="s">
        <v>160</v>
      </c>
      <c r="D106" s="32">
        <v>2024</v>
      </c>
      <c r="E106" s="2" t="s">
        <v>40</v>
      </c>
      <c r="F106" s="33">
        <v>39022.387999999999</v>
      </c>
      <c r="H106" s="35"/>
    </row>
    <row r="107" spans="1:8" hidden="1" x14ac:dyDescent="0.3">
      <c r="A107" s="29">
        <v>736010</v>
      </c>
      <c r="B107" s="29" t="s">
        <v>38</v>
      </c>
      <c r="C107" s="24" t="s">
        <v>160</v>
      </c>
      <c r="D107" s="32">
        <v>2025</v>
      </c>
      <c r="E107" s="2" t="s">
        <v>40</v>
      </c>
      <c r="F107" s="33">
        <v>32453.574000000001</v>
      </c>
      <c r="H107" s="35"/>
    </row>
    <row r="108" spans="1:8" hidden="1" x14ac:dyDescent="0.3">
      <c r="A108" s="29">
        <v>736015</v>
      </c>
      <c r="B108" s="29" t="s">
        <v>38</v>
      </c>
      <c r="C108" s="24" t="s">
        <v>160</v>
      </c>
      <c r="D108" s="32">
        <v>2024</v>
      </c>
      <c r="E108" s="2" t="s">
        <v>40</v>
      </c>
      <c r="F108" s="33">
        <v>800.89499999999998</v>
      </c>
      <c r="H108" s="35"/>
    </row>
    <row r="109" spans="1:8" hidden="1" x14ac:dyDescent="0.3">
      <c r="A109" s="29">
        <v>736015</v>
      </c>
      <c r="B109" s="29" t="s">
        <v>38</v>
      </c>
      <c r="C109" s="24" t="s">
        <v>160</v>
      </c>
      <c r="D109" s="32">
        <v>2025</v>
      </c>
      <c r="E109" s="2" t="s">
        <v>40</v>
      </c>
      <c r="F109" s="33">
        <v>800.89499999999998</v>
      </c>
      <c r="H109" s="35"/>
    </row>
    <row r="110" spans="1:8" hidden="1" x14ac:dyDescent="0.3">
      <c r="A110" s="29">
        <v>736020</v>
      </c>
      <c r="B110" s="29" t="s">
        <v>38</v>
      </c>
      <c r="C110" s="24" t="s">
        <v>160</v>
      </c>
      <c r="D110" s="32">
        <v>2024</v>
      </c>
      <c r="E110" s="2" t="s">
        <v>40</v>
      </c>
      <c r="F110" s="33">
        <v>478.52300000000002</v>
      </c>
      <c r="H110" s="35"/>
    </row>
    <row r="111" spans="1:8" hidden="1" x14ac:dyDescent="0.3">
      <c r="A111" s="29">
        <v>736020</v>
      </c>
      <c r="B111" s="29" t="s">
        <v>38</v>
      </c>
      <c r="C111" s="24" t="s">
        <v>160</v>
      </c>
      <c r="D111" s="32">
        <v>2025</v>
      </c>
      <c r="E111" s="2" t="s">
        <v>40</v>
      </c>
      <c r="F111" s="33">
        <v>4966.3519999999999</v>
      </c>
      <c r="H111" s="35"/>
    </row>
    <row r="112" spans="1:8" hidden="1" x14ac:dyDescent="0.3">
      <c r="A112" s="29">
        <v>739525</v>
      </c>
      <c r="B112" s="29" t="s">
        <v>38</v>
      </c>
      <c r="C112" s="31" t="s">
        <v>28</v>
      </c>
      <c r="D112" s="32">
        <v>2024</v>
      </c>
      <c r="E112" s="2" t="s">
        <v>40</v>
      </c>
      <c r="F112" s="33">
        <v>2476.3510000000001</v>
      </c>
      <c r="H112" s="35"/>
    </row>
    <row r="113" spans="1:8" hidden="1" x14ac:dyDescent="0.3">
      <c r="A113" s="29">
        <v>739525</v>
      </c>
      <c r="B113" s="29" t="s">
        <v>38</v>
      </c>
      <c r="C113" s="31" t="s">
        <v>28</v>
      </c>
      <c r="D113" s="32">
        <v>2025</v>
      </c>
      <c r="E113" s="2" t="s">
        <v>40</v>
      </c>
      <c r="F113" s="33">
        <v>398.15199999999999</v>
      </c>
      <c r="H113" s="35"/>
    </row>
    <row r="114" spans="1:8" hidden="1" x14ac:dyDescent="0.3">
      <c r="A114" s="29">
        <v>739530</v>
      </c>
      <c r="B114" s="29" t="s">
        <v>38</v>
      </c>
      <c r="C114" s="30" t="s">
        <v>65</v>
      </c>
      <c r="D114" s="32">
        <v>2024</v>
      </c>
      <c r="E114" s="2" t="s">
        <v>40</v>
      </c>
      <c r="F114" s="33">
        <v>4964.9489999999996</v>
      </c>
      <c r="H114" s="35"/>
    </row>
    <row r="115" spans="1:8" hidden="1" x14ac:dyDescent="0.3">
      <c r="A115" s="29">
        <v>739530</v>
      </c>
      <c r="B115" s="29" t="s">
        <v>38</v>
      </c>
      <c r="C115" s="30" t="s">
        <v>65</v>
      </c>
      <c r="D115" s="32">
        <v>2025</v>
      </c>
      <c r="E115" s="2" t="s">
        <v>40</v>
      </c>
      <c r="F115" s="33">
        <v>1373.498</v>
      </c>
      <c r="H115" s="35"/>
    </row>
    <row r="116" spans="1:8" hidden="1" x14ac:dyDescent="0.3">
      <c r="A116" s="29">
        <v>739535</v>
      </c>
      <c r="B116" s="29" t="s">
        <v>38</v>
      </c>
      <c r="C116" s="31" t="s">
        <v>29</v>
      </c>
      <c r="D116" s="32">
        <v>2024</v>
      </c>
      <c r="E116" s="2" t="s">
        <v>40</v>
      </c>
      <c r="F116" s="33">
        <v>150</v>
      </c>
      <c r="H116" s="35"/>
    </row>
    <row r="117" spans="1:8" hidden="1" x14ac:dyDescent="0.3">
      <c r="A117" s="29">
        <v>739535</v>
      </c>
      <c r="B117" s="29" t="s">
        <v>38</v>
      </c>
      <c r="C117" s="31" t="s">
        <v>29</v>
      </c>
      <c r="D117" s="32">
        <v>2025</v>
      </c>
      <c r="E117" s="2" t="s">
        <v>40</v>
      </c>
      <c r="F117" s="33">
        <v>150</v>
      </c>
      <c r="H117" s="35"/>
    </row>
    <row r="118" spans="1:8" hidden="1" x14ac:dyDescent="0.3">
      <c r="A118" s="29">
        <v>739560</v>
      </c>
      <c r="B118" s="29" t="s">
        <v>38</v>
      </c>
      <c r="C118" s="31" t="s">
        <v>30</v>
      </c>
      <c r="D118" s="32">
        <v>2024</v>
      </c>
      <c r="E118" s="2" t="s">
        <v>40</v>
      </c>
      <c r="F118" s="33">
        <v>2043.65</v>
      </c>
      <c r="H118" s="35"/>
    </row>
    <row r="119" spans="1:8" hidden="1" x14ac:dyDescent="0.3">
      <c r="A119" s="29">
        <v>739560</v>
      </c>
      <c r="B119" s="29" t="s">
        <v>38</v>
      </c>
      <c r="C119" s="31" t="s">
        <v>30</v>
      </c>
      <c r="D119" s="32">
        <v>2025</v>
      </c>
      <c r="E119" s="2" t="s">
        <v>40</v>
      </c>
      <c r="F119" s="33">
        <v>320.3</v>
      </c>
      <c r="H119" s="35"/>
    </row>
    <row r="120" spans="1:8" hidden="1" x14ac:dyDescent="0.3">
      <c r="A120" s="29">
        <v>740101</v>
      </c>
      <c r="B120" s="29" t="s">
        <v>39</v>
      </c>
      <c r="C120" s="31" t="s">
        <v>33</v>
      </c>
      <c r="D120" s="32">
        <v>2024</v>
      </c>
      <c r="E120" s="2" t="s">
        <v>40</v>
      </c>
      <c r="F120" s="33">
        <v>34078.002999999997</v>
      </c>
      <c r="H120" s="35"/>
    </row>
    <row r="121" spans="1:8" hidden="1" x14ac:dyDescent="0.3">
      <c r="A121" s="29">
        <v>740101</v>
      </c>
      <c r="B121" s="29" t="s">
        <v>39</v>
      </c>
      <c r="C121" s="31" t="s">
        <v>33</v>
      </c>
      <c r="D121" s="32">
        <v>2025</v>
      </c>
      <c r="E121" s="2" t="s">
        <v>40</v>
      </c>
      <c r="F121" s="33">
        <v>26453.001</v>
      </c>
      <c r="H121" s="35"/>
    </row>
    <row r="122" spans="1:8" hidden="1" x14ac:dyDescent="0.3">
      <c r="A122" s="29">
        <v>73109502</v>
      </c>
      <c r="B122" s="29" t="s">
        <v>37</v>
      </c>
      <c r="C122" s="30" t="s">
        <v>60</v>
      </c>
      <c r="D122" s="32">
        <v>2024</v>
      </c>
      <c r="E122" s="2" t="s">
        <v>40</v>
      </c>
      <c r="F122" s="33">
        <f>1041.074-693</f>
        <v>348.07400000000007</v>
      </c>
      <c r="H122" s="35"/>
    </row>
    <row r="123" spans="1:8" hidden="1" x14ac:dyDescent="0.3">
      <c r="A123" s="29">
        <v>73109502</v>
      </c>
      <c r="B123" s="29" t="s">
        <v>36</v>
      </c>
      <c r="C123" s="30" t="s">
        <v>60</v>
      </c>
      <c r="D123" s="32">
        <v>2024</v>
      </c>
      <c r="E123" s="2" t="s">
        <v>40</v>
      </c>
      <c r="F123" s="28">
        <v>693</v>
      </c>
      <c r="H123" s="35"/>
    </row>
    <row r="124" spans="1:8" hidden="1" x14ac:dyDescent="0.3">
      <c r="A124" s="29">
        <v>73109502</v>
      </c>
      <c r="B124" s="29" t="s">
        <v>37</v>
      </c>
      <c r="C124" s="30" t="s">
        <v>60</v>
      </c>
      <c r="D124" s="32">
        <v>2025</v>
      </c>
      <c r="E124" s="2" t="s">
        <v>40</v>
      </c>
      <c r="F124" s="33">
        <f>4564.68-3970</f>
        <v>594.68000000000029</v>
      </c>
      <c r="H124" s="35"/>
    </row>
    <row r="125" spans="1:8" hidden="1" x14ac:dyDescent="0.3">
      <c r="A125" s="29">
        <v>73109502</v>
      </c>
      <c r="B125" s="29" t="s">
        <v>36</v>
      </c>
      <c r="C125" s="30" t="s">
        <v>60</v>
      </c>
      <c r="D125" s="32">
        <v>2025</v>
      </c>
      <c r="E125" s="2" t="s">
        <v>40</v>
      </c>
      <c r="F125" s="28">
        <v>3970</v>
      </c>
      <c r="H125" s="35"/>
    </row>
    <row r="126" spans="1:8" hidden="1" x14ac:dyDescent="0.3">
      <c r="A126" s="29">
        <v>73109504</v>
      </c>
      <c r="B126" s="29" t="s">
        <v>37</v>
      </c>
      <c r="C126" s="31" t="s">
        <v>17</v>
      </c>
      <c r="D126" s="32">
        <v>2025</v>
      </c>
      <c r="E126" s="2" t="s">
        <v>40</v>
      </c>
      <c r="F126" s="33">
        <v>4850</v>
      </c>
      <c r="H126" s="35"/>
    </row>
    <row r="127" spans="1:8" hidden="1" x14ac:dyDescent="0.3">
      <c r="A127" s="29">
        <v>73109505</v>
      </c>
      <c r="B127" s="29" t="s">
        <v>38</v>
      </c>
      <c r="C127" s="31" t="s">
        <v>56</v>
      </c>
      <c r="D127" s="32">
        <v>2025</v>
      </c>
      <c r="E127" s="2" t="s">
        <v>40</v>
      </c>
      <c r="F127" s="33">
        <v>2000</v>
      </c>
      <c r="H127" s="35"/>
    </row>
    <row r="128" spans="1:8" hidden="1" x14ac:dyDescent="0.3">
      <c r="A128" s="29">
        <v>73359501</v>
      </c>
      <c r="B128" s="29" t="s">
        <v>38</v>
      </c>
      <c r="C128" s="31" t="s">
        <v>24</v>
      </c>
      <c r="D128" s="32">
        <v>2024</v>
      </c>
      <c r="E128" s="2" t="s">
        <v>40</v>
      </c>
      <c r="F128" s="33">
        <v>2960.4</v>
      </c>
      <c r="H128" s="35"/>
    </row>
    <row r="129" spans="1:8" hidden="1" x14ac:dyDescent="0.3">
      <c r="A129" s="29">
        <v>73359506</v>
      </c>
      <c r="B129" s="29" t="s">
        <v>37</v>
      </c>
      <c r="C129" s="31" t="s">
        <v>25</v>
      </c>
      <c r="D129" s="32">
        <v>2025</v>
      </c>
      <c r="E129" s="2" t="s">
        <v>40</v>
      </c>
      <c r="F129" s="33">
        <v>446</v>
      </c>
      <c r="H129" s="35"/>
    </row>
    <row r="130" spans="1:8" hidden="1" x14ac:dyDescent="0.3">
      <c r="A130" s="29">
        <v>73359506</v>
      </c>
      <c r="B130" s="29" t="s">
        <v>36</v>
      </c>
      <c r="C130" s="31" t="s">
        <v>25</v>
      </c>
      <c r="D130" s="32">
        <v>2025</v>
      </c>
      <c r="E130" s="2" t="s">
        <v>40</v>
      </c>
      <c r="F130" s="28">
        <v>533</v>
      </c>
      <c r="H130" s="35"/>
    </row>
    <row r="131" spans="1:8" hidden="1" x14ac:dyDescent="0.3">
      <c r="A131" s="29">
        <v>73451501</v>
      </c>
      <c r="B131" s="29" t="s">
        <v>38</v>
      </c>
      <c r="C131" s="24" t="s">
        <v>158</v>
      </c>
      <c r="D131" s="32">
        <v>2024</v>
      </c>
      <c r="E131" s="2" t="s">
        <v>40</v>
      </c>
      <c r="F131" s="33">
        <v>3673.683</v>
      </c>
      <c r="H131" s="35"/>
    </row>
    <row r="132" spans="1:8" hidden="1" x14ac:dyDescent="0.3">
      <c r="A132" s="29">
        <v>73451501</v>
      </c>
      <c r="B132" s="29" t="s">
        <v>38</v>
      </c>
      <c r="C132" s="24" t="s">
        <v>158</v>
      </c>
      <c r="D132" s="32">
        <v>2025</v>
      </c>
      <c r="E132" s="2" t="s">
        <v>40</v>
      </c>
      <c r="F132" s="33">
        <v>2838.5169999999998</v>
      </c>
      <c r="H132" s="35"/>
    </row>
    <row r="133" spans="1:8" hidden="1" x14ac:dyDescent="0.3">
      <c r="A133" s="29">
        <v>73451502</v>
      </c>
      <c r="B133" s="29" t="s">
        <v>38</v>
      </c>
      <c r="C133" s="24" t="s">
        <v>158</v>
      </c>
      <c r="D133" s="32">
        <v>2024</v>
      </c>
      <c r="E133" s="2" t="s">
        <v>40</v>
      </c>
      <c r="F133" s="33">
        <v>11445.017</v>
      </c>
      <c r="H133" s="35"/>
    </row>
    <row r="134" spans="1:8" hidden="1" x14ac:dyDescent="0.3">
      <c r="A134" s="29">
        <v>73451502</v>
      </c>
      <c r="B134" s="29" t="s">
        <v>38</v>
      </c>
      <c r="C134" s="24" t="s">
        <v>158</v>
      </c>
      <c r="D134" s="32">
        <v>2025</v>
      </c>
      <c r="E134" s="2" t="s">
        <v>40</v>
      </c>
      <c r="F134" s="33">
        <v>7302.0259999999998</v>
      </c>
      <c r="H134" s="35"/>
    </row>
    <row r="135" spans="1:8" hidden="1" x14ac:dyDescent="0.3">
      <c r="A135" s="29">
        <v>73451503</v>
      </c>
      <c r="B135" s="29" t="s">
        <v>38</v>
      </c>
      <c r="C135" s="24" t="s">
        <v>159</v>
      </c>
      <c r="D135" s="32">
        <v>2024</v>
      </c>
      <c r="E135" s="2" t="s">
        <v>40</v>
      </c>
      <c r="F135" s="26">
        <v>976.50900000000001</v>
      </c>
      <c r="H135" s="35"/>
    </row>
    <row r="136" spans="1:8" hidden="1" x14ac:dyDescent="0.3">
      <c r="A136" s="29">
        <v>73451503</v>
      </c>
      <c r="B136" s="29" t="s">
        <v>38</v>
      </c>
      <c r="C136" s="24" t="s">
        <v>159</v>
      </c>
      <c r="D136" s="32">
        <v>2025</v>
      </c>
      <c r="E136" s="2" t="s">
        <v>40</v>
      </c>
      <c r="F136" s="33">
        <v>155.9</v>
      </c>
      <c r="H136" s="35"/>
    </row>
    <row r="137" spans="1:8" hidden="1" x14ac:dyDescent="0.3">
      <c r="A137" s="29">
        <v>73451504</v>
      </c>
      <c r="B137" s="29" t="s">
        <v>38</v>
      </c>
      <c r="C137" s="24" t="s">
        <v>159</v>
      </c>
      <c r="D137" s="32">
        <v>2024</v>
      </c>
      <c r="E137" s="2" t="s">
        <v>40</v>
      </c>
      <c r="F137" s="33">
        <v>161.90799999999999</v>
      </c>
      <c r="H137" s="35"/>
    </row>
    <row r="138" spans="1:8" hidden="1" x14ac:dyDescent="0.3">
      <c r="A138" s="29">
        <v>73451504</v>
      </c>
      <c r="B138" s="29" t="s">
        <v>38</v>
      </c>
      <c r="C138" s="24" t="s">
        <v>159</v>
      </c>
      <c r="D138" s="32">
        <v>2025</v>
      </c>
      <c r="E138" s="2" t="s">
        <v>40</v>
      </c>
      <c r="F138" s="33">
        <v>635.08600000000001</v>
      </c>
      <c r="H138" s="35"/>
    </row>
    <row r="139" spans="1:8" hidden="1" x14ac:dyDescent="0.3">
      <c r="A139" s="29">
        <v>73451507</v>
      </c>
      <c r="B139" s="29" t="s">
        <v>38</v>
      </c>
      <c r="C139" s="31" t="s">
        <v>26</v>
      </c>
      <c r="D139" s="32">
        <v>2024</v>
      </c>
      <c r="E139" s="2" t="s">
        <v>40</v>
      </c>
      <c r="F139" s="33">
        <v>250.018</v>
      </c>
      <c r="H139" s="35"/>
    </row>
    <row r="140" spans="1:8" hidden="1" x14ac:dyDescent="0.3">
      <c r="A140" s="29">
        <v>73451507</v>
      </c>
      <c r="B140" s="29" t="s">
        <v>38</v>
      </c>
      <c r="C140" s="31" t="s">
        <v>26</v>
      </c>
      <c r="D140" s="32">
        <v>2025</v>
      </c>
      <c r="E140" s="2" t="s">
        <v>40</v>
      </c>
      <c r="F140" s="33">
        <v>50</v>
      </c>
      <c r="H140" s="35"/>
    </row>
    <row r="141" spans="1:8" hidden="1" x14ac:dyDescent="0.3">
      <c r="A141" s="29">
        <v>73452501</v>
      </c>
      <c r="B141" s="29" t="s">
        <v>38</v>
      </c>
      <c r="C141" s="24" t="s">
        <v>74</v>
      </c>
      <c r="D141" s="32">
        <v>2024</v>
      </c>
      <c r="E141" s="2" t="s">
        <v>40</v>
      </c>
      <c r="F141" s="33">
        <v>654.04499999999996</v>
      </c>
      <c r="H141" s="35"/>
    </row>
    <row r="142" spans="1:8" hidden="1" x14ac:dyDescent="0.3">
      <c r="A142" s="29">
        <v>73452501</v>
      </c>
      <c r="B142" s="29" t="s">
        <v>38</v>
      </c>
      <c r="C142" s="24" t="s">
        <v>74</v>
      </c>
      <c r="D142" s="32">
        <v>2025</v>
      </c>
      <c r="E142" s="2" t="s">
        <v>40</v>
      </c>
      <c r="F142" s="33">
        <v>825.798</v>
      </c>
      <c r="H142" s="35"/>
    </row>
    <row r="143" spans="1:8" hidden="1" x14ac:dyDescent="0.3">
      <c r="A143" s="29">
        <v>73452502</v>
      </c>
      <c r="B143" s="29" t="s">
        <v>38</v>
      </c>
      <c r="C143" s="31" t="s">
        <v>64</v>
      </c>
      <c r="D143" s="32">
        <v>2024</v>
      </c>
      <c r="E143" s="2" t="s">
        <v>40</v>
      </c>
      <c r="F143" s="33">
        <v>619.98</v>
      </c>
      <c r="H143" s="35"/>
    </row>
    <row r="144" spans="1:8" hidden="1" x14ac:dyDescent="0.3">
      <c r="A144" s="29">
        <v>73959501</v>
      </c>
      <c r="B144" s="29" t="s">
        <v>38</v>
      </c>
      <c r="C144" s="31" t="s">
        <v>31</v>
      </c>
      <c r="D144" s="32">
        <v>2024</v>
      </c>
      <c r="E144" s="2" t="s">
        <v>40</v>
      </c>
      <c r="F144" s="33">
        <v>9665.8259999999991</v>
      </c>
      <c r="H144" s="35"/>
    </row>
    <row r="145" spans="1:8" hidden="1" x14ac:dyDescent="0.3">
      <c r="A145" s="29">
        <v>73959501</v>
      </c>
      <c r="B145" s="29" t="s">
        <v>38</v>
      </c>
      <c r="C145" s="31" t="s">
        <v>31</v>
      </c>
      <c r="D145" s="32">
        <v>2025</v>
      </c>
      <c r="E145" s="2" t="s">
        <v>40</v>
      </c>
      <c r="F145" s="33">
        <v>3484.7739999999999</v>
      </c>
      <c r="H145" s="35"/>
    </row>
    <row r="146" spans="1:8" hidden="1" x14ac:dyDescent="0.3">
      <c r="A146" s="29">
        <v>73959504</v>
      </c>
      <c r="B146" s="29" t="s">
        <v>37</v>
      </c>
      <c r="C146" s="31" t="s">
        <v>32</v>
      </c>
      <c r="D146" s="32">
        <v>2024</v>
      </c>
      <c r="E146" s="2" t="s">
        <v>40</v>
      </c>
      <c r="F146" s="33">
        <f>1805.035-1702</f>
        <v>103.03500000000008</v>
      </c>
      <c r="H146" s="35"/>
    </row>
    <row r="147" spans="1:8" hidden="1" x14ac:dyDescent="0.3">
      <c r="A147" s="29">
        <v>73959504</v>
      </c>
      <c r="B147" s="29" t="s">
        <v>36</v>
      </c>
      <c r="C147" s="31" t="s">
        <v>32</v>
      </c>
      <c r="D147" s="32">
        <v>2024</v>
      </c>
      <c r="E147" s="2" t="s">
        <v>40</v>
      </c>
      <c r="F147" s="28">
        <v>1702</v>
      </c>
      <c r="H147" s="35"/>
    </row>
    <row r="148" spans="1:8" hidden="1" x14ac:dyDescent="0.3">
      <c r="A148" s="29">
        <v>73959504</v>
      </c>
      <c r="B148" s="29" t="s">
        <v>37</v>
      </c>
      <c r="C148" s="31" t="s">
        <v>32</v>
      </c>
      <c r="D148" s="32">
        <v>2025</v>
      </c>
      <c r="E148" s="2" t="s">
        <v>40</v>
      </c>
      <c r="F148" s="33">
        <f>513.205-352</f>
        <v>161.20500000000004</v>
      </c>
      <c r="H148" s="35"/>
    </row>
    <row r="149" spans="1:8" hidden="1" x14ac:dyDescent="0.3">
      <c r="A149" s="29">
        <v>73959504</v>
      </c>
      <c r="B149" s="29" t="s">
        <v>36</v>
      </c>
      <c r="C149" s="31" t="s">
        <v>32</v>
      </c>
      <c r="D149" s="32">
        <v>2025</v>
      </c>
      <c r="E149" s="2" t="s">
        <v>40</v>
      </c>
      <c r="F149" s="28">
        <v>352</v>
      </c>
      <c r="H149" s="35"/>
    </row>
    <row r="150" spans="1:8" hidden="1" x14ac:dyDescent="0.3">
      <c r="A150" s="29">
        <v>73959506</v>
      </c>
      <c r="B150" s="29" t="s">
        <v>38</v>
      </c>
      <c r="C150" s="31" t="s">
        <v>66</v>
      </c>
      <c r="D150" s="32">
        <v>2024</v>
      </c>
      <c r="E150" s="2" t="s">
        <v>40</v>
      </c>
      <c r="F150" s="33">
        <v>33.526000000000003</v>
      </c>
      <c r="H150" s="35"/>
    </row>
    <row r="151" spans="1:8" hidden="1" x14ac:dyDescent="0.3">
      <c r="A151" s="29">
        <v>73959510</v>
      </c>
      <c r="B151" s="29" t="s">
        <v>38</v>
      </c>
      <c r="C151" s="24" t="s">
        <v>67</v>
      </c>
      <c r="D151" s="32">
        <v>2024</v>
      </c>
      <c r="E151" s="2" t="s">
        <v>40</v>
      </c>
      <c r="F151" s="33">
        <v>2610.2869999999998</v>
      </c>
      <c r="H151" s="35"/>
    </row>
    <row r="152" spans="1:8" hidden="1" x14ac:dyDescent="0.3">
      <c r="A152" s="29">
        <v>73959510</v>
      </c>
      <c r="B152" s="29" t="s">
        <v>38</v>
      </c>
      <c r="C152" s="24" t="s">
        <v>67</v>
      </c>
      <c r="D152" s="32">
        <v>2025</v>
      </c>
      <c r="E152" s="2" t="s">
        <v>40</v>
      </c>
      <c r="F152" s="33">
        <v>632.91</v>
      </c>
      <c r="H152" s="35"/>
    </row>
    <row r="153" spans="1:8" hidden="1" x14ac:dyDescent="0.3">
      <c r="A153" s="23" t="s">
        <v>81</v>
      </c>
      <c r="B153" s="23" t="s">
        <v>36</v>
      </c>
      <c r="C153" s="24" t="s">
        <v>5</v>
      </c>
      <c r="D153" s="24">
        <v>2026</v>
      </c>
      <c r="E153" s="2" t="s">
        <v>40</v>
      </c>
      <c r="F153" s="28">
        <v>45519.35</v>
      </c>
    </row>
    <row r="154" spans="1:8" hidden="1" x14ac:dyDescent="0.3">
      <c r="A154" s="23" t="s">
        <v>82</v>
      </c>
      <c r="B154" s="23" t="s">
        <v>36</v>
      </c>
      <c r="C154" s="24" t="s">
        <v>6</v>
      </c>
      <c r="D154" s="24">
        <v>2026</v>
      </c>
      <c r="E154" s="2" t="s">
        <v>40</v>
      </c>
      <c r="F154" s="28">
        <v>6131.0789999999997</v>
      </c>
    </row>
    <row r="155" spans="1:8" hidden="1" x14ac:dyDescent="0.3">
      <c r="A155" s="23" t="s">
        <v>83</v>
      </c>
      <c r="B155" s="23" t="s">
        <v>36</v>
      </c>
      <c r="C155" s="24" t="s">
        <v>7</v>
      </c>
      <c r="D155" s="24">
        <v>2026</v>
      </c>
      <c r="E155" s="2" t="s">
        <v>40</v>
      </c>
      <c r="F155" s="28">
        <v>700.36300000000006</v>
      </c>
    </row>
    <row r="156" spans="1:8" hidden="1" x14ac:dyDescent="0.3">
      <c r="A156" s="23" t="s">
        <v>84</v>
      </c>
      <c r="B156" s="23" t="s">
        <v>36</v>
      </c>
      <c r="C156" s="24" t="s">
        <v>8</v>
      </c>
      <c r="D156" s="24">
        <v>2026</v>
      </c>
      <c r="E156" s="2" t="s">
        <v>40</v>
      </c>
      <c r="F156" s="28">
        <v>6443.2569999999996</v>
      </c>
    </row>
    <row r="157" spans="1:8" hidden="1" x14ac:dyDescent="0.3">
      <c r="A157" s="23" t="s">
        <v>85</v>
      </c>
      <c r="B157" s="23" t="s">
        <v>36</v>
      </c>
      <c r="C157" s="24" t="s">
        <v>154</v>
      </c>
      <c r="D157" s="24">
        <v>2026</v>
      </c>
      <c r="E157" s="2" t="s">
        <v>40</v>
      </c>
      <c r="F157" s="28">
        <v>5483.3159999999998</v>
      </c>
    </row>
    <row r="158" spans="1:8" hidden="1" x14ac:dyDescent="0.3">
      <c r="A158" s="23" t="s">
        <v>86</v>
      </c>
      <c r="B158" s="23" t="s">
        <v>36</v>
      </c>
      <c r="C158" s="24" t="s">
        <v>154</v>
      </c>
      <c r="D158" s="24">
        <v>2026</v>
      </c>
      <c r="E158" s="2" t="s">
        <v>40</v>
      </c>
      <c r="F158" s="28">
        <v>658.26700000000005</v>
      </c>
    </row>
    <row r="159" spans="1:8" hidden="1" x14ac:dyDescent="0.3">
      <c r="A159" s="23" t="s">
        <v>87</v>
      </c>
      <c r="B159" s="23" t="s">
        <v>36</v>
      </c>
      <c r="C159" s="24" t="s">
        <v>154</v>
      </c>
      <c r="D159" s="24">
        <v>2026</v>
      </c>
      <c r="E159" s="2" t="s">
        <v>40</v>
      </c>
      <c r="F159" s="28">
        <v>5483.3159999999998</v>
      </c>
    </row>
    <row r="160" spans="1:8" hidden="1" x14ac:dyDescent="0.3">
      <c r="A160" s="23" t="s">
        <v>88</v>
      </c>
      <c r="B160" s="23" t="s">
        <v>36</v>
      </c>
      <c r="C160" s="24" t="s">
        <v>154</v>
      </c>
      <c r="D160" s="24">
        <v>2026</v>
      </c>
      <c r="E160" s="2" t="s">
        <v>40</v>
      </c>
      <c r="F160" s="28">
        <v>2476.27</v>
      </c>
    </row>
    <row r="161" spans="1:6" hidden="1" x14ac:dyDescent="0.3">
      <c r="A161" s="23" t="s">
        <v>89</v>
      </c>
      <c r="B161" s="23" t="s">
        <v>36</v>
      </c>
      <c r="C161" s="24" t="s">
        <v>154</v>
      </c>
      <c r="D161" s="24">
        <v>2026</v>
      </c>
      <c r="E161" s="2" t="s">
        <v>40</v>
      </c>
      <c r="F161" s="28">
        <v>819.49300000000005</v>
      </c>
    </row>
    <row r="162" spans="1:6" hidden="1" x14ac:dyDescent="0.3">
      <c r="A162" s="23" t="s">
        <v>90</v>
      </c>
      <c r="B162" s="23" t="s">
        <v>36</v>
      </c>
      <c r="C162" s="1" t="s">
        <v>155</v>
      </c>
      <c r="D162" s="24">
        <v>2026</v>
      </c>
      <c r="E162" s="2" t="s">
        <v>40</v>
      </c>
      <c r="F162" s="28">
        <v>7263.549</v>
      </c>
    </row>
    <row r="163" spans="1:6" hidden="1" x14ac:dyDescent="0.3">
      <c r="A163" s="23" t="s">
        <v>91</v>
      </c>
      <c r="B163" s="23" t="s">
        <v>36</v>
      </c>
      <c r="C163" s="24" t="s">
        <v>156</v>
      </c>
      <c r="D163" s="24">
        <v>2026</v>
      </c>
      <c r="E163" s="2" t="s">
        <v>40</v>
      </c>
      <c r="F163" s="28">
        <v>2220.6019999999999</v>
      </c>
    </row>
    <row r="164" spans="1:6" hidden="1" x14ac:dyDescent="0.3">
      <c r="A164" s="23" t="s">
        <v>92</v>
      </c>
      <c r="B164" s="23" t="s">
        <v>36</v>
      </c>
      <c r="C164" s="24" t="s">
        <v>10</v>
      </c>
      <c r="D164" s="24">
        <v>2026</v>
      </c>
      <c r="E164" s="2" t="s">
        <v>40</v>
      </c>
      <c r="F164" s="28">
        <v>1392.28</v>
      </c>
    </row>
    <row r="165" spans="1:6" hidden="1" x14ac:dyDescent="0.3">
      <c r="A165" s="23" t="s">
        <v>93</v>
      </c>
      <c r="B165" s="23" t="s">
        <v>36</v>
      </c>
      <c r="C165" s="24" t="s">
        <v>11</v>
      </c>
      <c r="D165" s="24">
        <v>2026</v>
      </c>
      <c r="E165" s="2" t="s">
        <v>40</v>
      </c>
      <c r="F165" s="28">
        <v>3234.694</v>
      </c>
    </row>
    <row r="166" spans="1:6" hidden="1" x14ac:dyDescent="0.3">
      <c r="A166" s="23" t="s">
        <v>94</v>
      </c>
      <c r="B166" s="23" t="s">
        <v>36</v>
      </c>
      <c r="C166" s="30" t="s">
        <v>157</v>
      </c>
      <c r="D166" s="24">
        <v>2026</v>
      </c>
      <c r="E166" s="2" t="s">
        <v>40</v>
      </c>
      <c r="F166" s="28">
        <v>1261.5</v>
      </c>
    </row>
    <row r="167" spans="1:6" hidden="1" x14ac:dyDescent="0.3">
      <c r="A167" s="23" t="s">
        <v>95</v>
      </c>
      <c r="B167" s="23" t="s">
        <v>36</v>
      </c>
      <c r="C167" s="30" t="s">
        <v>157</v>
      </c>
      <c r="D167" s="24">
        <v>2026</v>
      </c>
      <c r="E167" s="2" t="s">
        <v>40</v>
      </c>
      <c r="F167" s="28">
        <v>-9.6</v>
      </c>
    </row>
    <row r="168" spans="1:6" hidden="1" x14ac:dyDescent="0.3">
      <c r="A168" s="23" t="s">
        <v>96</v>
      </c>
      <c r="B168" s="23" t="s">
        <v>36</v>
      </c>
      <c r="C168" s="30" t="s">
        <v>157</v>
      </c>
      <c r="D168" s="24">
        <v>2026</v>
      </c>
      <c r="E168" s="2" t="s">
        <v>40</v>
      </c>
      <c r="F168" s="28">
        <v>7026</v>
      </c>
    </row>
    <row r="169" spans="1:6" hidden="1" x14ac:dyDescent="0.3">
      <c r="A169" s="23" t="s">
        <v>97</v>
      </c>
      <c r="B169" s="23" t="s">
        <v>36</v>
      </c>
      <c r="C169" s="30" t="s">
        <v>157</v>
      </c>
      <c r="D169" s="24">
        <v>2026</v>
      </c>
      <c r="E169" s="2" t="s">
        <v>40</v>
      </c>
      <c r="F169" s="28">
        <v>2349.1</v>
      </c>
    </row>
    <row r="170" spans="1:6" hidden="1" x14ac:dyDescent="0.3">
      <c r="A170" s="23" t="s">
        <v>98</v>
      </c>
      <c r="B170" s="23" t="s">
        <v>37</v>
      </c>
      <c r="C170" s="24" t="s">
        <v>5</v>
      </c>
      <c r="D170" s="24">
        <v>2026</v>
      </c>
      <c r="E170" s="2" t="s">
        <v>40</v>
      </c>
      <c r="F170" s="28">
        <v>71018.971000000005</v>
      </c>
    </row>
    <row r="171" spans="1:6" hidden="1" x14ac:dyDescent="0.3">
      <c r="A171" s="23" t="s">
        <v>99</v>
      </c>
      <c r="B171" s="23" t="s">
        <v>37</v>
      </c>
      <c r="C171" s="24" t="s">
        <v>13</v>
      </c>
      <c r="D171" s="24">
        <v>2026</v>
      </c>
      <c r="E171" s="2" t="s">
        <v>40</v>
      </c>
      <c r="F171" s="28">
        <v>1050.5440000000001</v>
      </c>
    </row>
    <row r="172" spans="1:6" hidden="1" x14ac:dyDescent="0.3">
      <c r="A172" s="23" t="s">
        <v>100</v>
      </c>
      <c r="B172" s="23" t="s">
        <v>37</v>
      </c>
      <c r="C172" s="24" t="s">
        <v>6</v>
      </c>
      <c r="D172" s="24">
        <v>2026</v>
      </c>
      <c r="E172" s="2" t="s">
        <v>40</v>
      </c>
      <c r="F172" s="28">
        <v>3032.3910000000001</v>
      </c>
    </row>
    <row r="173" spans="1:6" hidden="1" x14ac:dyDescent="0.3">
      <c r="A173" s="23" t="s">
        <v>101</v>
      </c>
      <c r="B173" s="23" t="s">
        <v>37</v>
      </c>
      <c r="C173" s="24" t="s">
        <v>7</v>
      </c>
      <c r="D173" s="24">
        <v>2026</v>
      </c>
      <c r="E173" s="2" t="s">
        <v>40</v>
      </c>
      <c r="F173" s="28">
        <v>291.81799999999998</v>
      </c>
    </row>
    <row r="174" spans="1:6" hidden="1" x14ac:dyDescent="0.3">
      <c r="A174" s="23" t="s">
        <v>102</v>
      </c>
      <c r="B174" s="23" t="s">
        <v>37</v>
      </c>
      <c r="C174" s="24" t="s">
        <v>14</v>
      </c>
      <c r="D174" s="24">
        <v>2026</v>
      </c>
      <c r="E174" s="2" t="s">
        <v>40</v>
      </c>
      <c r="F174" s="28">
        <v>3653.395</v>
      </c>
    </row>
    <row r="175" spans="1:6" hidden="1" x14ac:dyDescent="0.3">
      <c r="A175" s="23" t="s">
        <v>103</v>
      </c>
      <c r="B175" s="23" t="s">
        <v>37</v>
      </c>
      <c r="C175" s="24" t="s">
        <v>154</v>
      </c>
      <c r="D175" s="24">
        <v>2026</v>
      </c>
      <c r="E175" s="2" t="s">
        <v>40</v>
      </c>
      <c r="F175" s="28">
        <v>7402.54</v>
      </c>
    </row>
    <row r="176" spans="1:6" hidden="1" x14ac:dyDescent="0.3">
      <c r="A176" s="23" t="s">
        <v>104</v>
      </c>
      <c r="B176" s="23" t="s">
        <v>37</v>
      </c>
      <c r="C176" s="24" t="s">
        <v>154</v>
      </c>
      <c r="D176" s="24">
        <v>2026</v>
      </c>
      <c r="E176" s="2" t="s">
        <v>40</v>
      </c>
      <c r="F176" s="28">
        <v>888.66</v>
      </c>
    </row>
    <row r="177" spans="1:6" hidden="1" x14ac:dyDescent="0.3">
      <c r="A177" s="23" t="s">
        <v>105</v>
      </c>
      <c r="B177" s="23" t="s">
        <v>37</v>
      </c>
      <c r="C177" s="24" t="s">
        <v>154</v>
      </c>
      <c r="D177" s="24">
        <v>2026</v>
      </c>
      <c r="E177" s="2" t="s">
        <v>40</v>
      </c>
      <c r="F177" s="28">
        <v>7402.54</v>
      </c>
    </row>
    <row r="178" spans="1:6" hidden="1" x14ac:dyDescent="0.3">
      <c r="A178" s="23" t="s">
        <v>106</v>
      </c>
      <c r="B178" s="23" t="s">
        <v>37</v>
      </c>
      <c r="C178" s="24" t="s">
        <v>154</v>
      </c>
      <c r="D178" s="24">
        <v>2026</v>
      </c>
      <c r="E178" s="2" t="s">
        <v>40</v>
      </c>
      <c r="F178" s="28">
        <v>3553.3649999999998</v>
      </c>
    </row>
    <row r="179" spans="1:6" hidden="1" x14ac:dyDescent="0.3">
      <c r="A179" s="23" t="s">
        <v>107</v>
      </c>
      <c r="B179" s="23" t="s">
        <v>37</v>
      </c>
      <c r="C179" s="24" t="s">
        <v>154</v>
      </c>
      <c r="D179" s="24">
        <v>2026</v>
      </c>
      <c r="E179" s="2" t="s">
        <v>40</v>
      </c>
      <c r="F179" s="28">
        <v>1175.934</v>
      </c>
    </row>
    <row r="180" spans="1:6" hidden="1" x14ac:dyDescent="0.3">
      <c r="A180" s="23" t="s">
        <v>108</v>
      </c>
      <c r="B180" s="23" t="s">
        <v>37</v>
      </c>
      <c r="C180" s="1" t="s">
        <v>155</v>
      </c>
      <c r="D180" s="24">
        <v>2026</v>
      </c>
      <c r="E180" s="2" t="s">
        <v>40</v>
      </c>
      <c r="F180" s="28">
        <v>11209.373</v>
      </c>
    </row>
    <row r="181" spans="1:6" hidden="1" x14ac:dyDescent="0.3">
      <c r="A181" s="23" t="s">
        <v>109</v>
      </c>
      <c r="B181" s="23" t="s">
        <v>37</v>
      </c>
      <c r="C181" s="24" t="s">
        <v>156</v>
      </c>
      <c r="D181" s="24">
        <v>2026</v>
      </c>
      <c r="E181" s="2" t="s">
        <v>40</v>
      </c>
      <c r="F181" s="28">
        <v>3426.9140000000002</v>
      </c>
    </row>
    <row r="182" spans="1:6" hidden="1" x14ac:dyDescent="0.3">
      <c r="A182" s="23" t="s">
        <v>110</v>
      </c>
      <c r="B182" s="23" t="s">
        <v>37</v>
      </c>
      <c r="C182" s="24" t="s">
        <v>10</v>
      </c>
      <c r="D182" s="24">
        <v>2026</v>
      </c>
      <c r="E182" s="2" t="s">
        <v>40</v>
      </c>
      <c r="F182" s="28">
        <v>84.034000000000006</v>
      </c>
    </row>
    <row r="183" spans="1:6" hidden="1" x14ac:dyDescent="0.3">
      <c r="A183" s="23" t="s">
        <v>111</v>
      </c>
      <c r="B183" s="23" t="s">
        <v>37</v>
      </c>
      <c r="C183" s="24" t="s">
        <v>11</v>
      </c>
      <c r="D183" s="24">
        <v>2026</v>
      </c>
      <c r="E183" s="2" t="s">
        <v>40</v>
      </c>
      <c r="F183" s="28">
        <v>314.988</v>
      </c>
    </row>
    <row r="184" spans="1:6" hidden="1" x14ac:dyDescent="0.3">
      <c r="A184" s="23" t="s">
        <v>112</v>
      </c>
      <c r="B184" s="23" t="s">
        <v>37</v>
      </c>
      <c r="C184" s="24" t="s">
        <v>16</v>
      </c>
      <c r="D184" s="24">
        <v>2026</v>
      </c>
      <c r="E184" s="2" t="s">
        <v>40</v>
      </c>
      <c r="F184" s="28">
        <v>5504.12</v>
      </c>
    </row>
    <row r="185" spans="1:6" hidden="1" x14ac:dyDescent="0.3">
      <c r="A185" s="23" t="s">
        <v>113</v>
      </c>
      <c r="B185" s="23" t="s">
        <v>37</v>
      </c>
      <c r="C185" s="30" t="s">
        <v>157</v>
      </c>
      <c r="D185" s="24">
        <v>2026</v>
      </c>
      <c r="E185" s="2" t="s">
        <v>40</v>
      </c>
      <c r="F185" s="28">
        <v>1891.6</v>
      </c>
    </row>
    <row r="186" spans="1:6" hidden="1" x14ac:dyDescent="0.3">
      <c r="A186" s="23" t="s">
        <v>114</v>
      </c>
      <c r="B186" s="23" t="s">
        <v>37</v>
      </c>
      <c r="C186" s="30" t="s">
        <v>157</v>
      </c>
      <c r="D186" s="24">
        <v>2026</v>
      </c>
      <c r="E186" s="2" t="s">
        <v>40</v>
      </c>
      <c r="F186" s="28">
        <v>-0.4</v>
      </c>
    </row>
    <row r="187" spans="1:6" hidden="1" x14ac:dyDescent="0.3">
      <c r="A187" s="23" t="s">
        <v>115</v>
      </c>
      <c r="B187" s="23" t="s">
        <v>37</v>
      </c>
      <c r="C187" s="30" t="s">
        <v>157</v>
      </c>
      <c r="D187" s="24">
        <v>2026</v>
      </c>
      <c r="E187" s="2" t="s">
        <v>40</v>
      </c>
      <c r="F187" s="28">
        <v>10236.1</v>
      </c>
    </row>
    <row r="188" spans="1:6" hidden="1" x14ac:dyDescent="0.3">
      <c r="A188" s="23" t="s">
        <v>116</v>
      </c>
      <c r="B188" s="23" t="s">
        <v>37</v>
      </c>
      <c r="C188" s="30" t="s">
        <v>157</v>
      </c>
      <c r="D188" s="24">
        <v>2026</v>
      </c>
      <c r="E188" s="2" t="s">
        <v>40</v>
      </c>
      <c r="F188" s="27">
        <v>3406.9</v>
      </c>
    </row>
    <row r="189" spans="1:6" hidden="1" x14ac:dyDescent="0.3">
      <c r="A189" s="23" t="s">
        <v>117</v>
      </c>
      <c r="B189" s="23" t="s">
        <v>37</v>
      </c>
      <c r="C189" s="24" t="s">
        <v>60</v>
      </c>
      <c r="D189" s="24">
        <v>2026</v>
      </c>
      <c r="E189" s="2" t="s">
        <v>40</v>
      </c>
      <c r="F189" s="28">
        <f>6618.751-4265.92</f>
        <v>2352.8310000000001</v>
      </c>
    </row>
    <row r="190" spans="1:6" hidden="1" x14ac:dyDescent="0.3">
      <c r="A190" s="23" t="s">
        <v>117</v>
      </c>
      <c r="B190" s="23" t="s">
        <v>36</v>
      </c>
      <c r="C190" s="24" t="s">
        <v>60</v>
      </c>
      <c r="D190" s="24">
        <v>2026</v>
      </c>
      <c r="E190" s="2" t="s">
        <v>40</v>
      </c>
      <c r="F190" s="27">
        <v>4265.92</v>
      </c>
    </row>
    <row r="191" spans="1:6" hidden="1" x14ac:dyDescent="0.3">
      <c r="A191" s="23" t="s">
        <v>146</v>
      </c>
      <c r="B191" s="23" t="s">
        <v>38</v>
      </c>
      <c r="C191" s="24" t="s">
        <v>147</v>
      </c>
      <c r="D191" s="24">
        <v>2026</v>
      </c>
      <c r="E191" s="2" t="s">
        <v>40</v>
      </c>
      <c r="F191" s="27">
        <v>300</v>
      </c>
    </row>
    <row r="192" spans="1:6" hidden="1" x14ac:dyDescent="0.3">
      <c r="A192" s="23" t="s">
        <v>118</v>
      </c>
      <c r="B192" s="23" t="s">
        <v>38</v>
      </c>
      <c r="C192" s="24" t="s">
        <v>61</v>
      </c>
      <c r="D192" s="24">
        <v>2026</v>
      </c>
      <c r="E192" s="2" t="s">
        <v>40</v>
      </c>
      <c r="F192" s="28">
        <v>78787</v>
      </c>
    </row>
    <row r="193" spans="1:6" hidden="1" x14ac:dyDescent="0.3">
      <c r="A193" s="23" t="s">
        <v>119</v>
      </c>
      <c r="B193" s="23" t="s">
        <v>38</v>
      </c>
      <c r="C193" s="24" t="s">
        <v>18</v>
      </c>
      <c r="D193" s="24">
        <v>2026</v>
      </c>
      <c r="E193" s="2" t="s">
        <v>40</v>
      </c>
      <c r="F193" s="28">
        <v>7213.9309999999996</v>
      </c>
    </row>
    <row r="194" spans="1:6" hidden="1" x14ac:dyDescent="0.3">
      <c r="A194" s="23" t="s">
        <v>120</v>
      </c>
      <c r="B194" s="23" t="s">
        <v>38</v>
      </c>
      <c r="C194" s="24" t="s">
        <v>62</v>
      </c>
      <c r="D194" s="24">
        <v>2026</v>
      </c>
      <c r="E194" s="2" t="s">
        <v>40</v>
      </c>
      <c r="F194" s="28">
        <v>999.779</v>
      </c>
    </row>
    <row r="195" spans="1:6" hidden="1" x14ac:dyDescent="0.3">
      <c r="A195" s="23" t="s">
        <v>121</v>
      </c>
      <c r="B195" s="23" t="s">
        <v>37</v>
      </c>
      <c r="C195" s="24" t="s">
        <v>63</v>
      </c>
      <c r="D195" s="24">
        <v>2026</v>
      </c>
      <c r="E195" s="2" t="s">
        <v>40</v>
      </c>
      <c r="F195" s="28">
        <v>60476.81</v>
      </c>
    </row>
    <row r="196" spans="1:6" hidden="1" x14ac:dyDescent="0.3">
      <c r="A196" s="23" t="s">
        <v>121</v>
      </c>
      <c r="B196" s="23" t="s">
        <v>36</v>
      </c>
      <c r="C196" s="24" t="s">
        <v>63</v>
      </c>
      <c r="D196" s="24">
        <v>2026</v>
      </c>
      <c r="E196" s="2" t="s">
        <v>40</v>
      </c>
      <c r="F196" s="27">
        <v>333939.65000000002</v>
      </c>
    </row>
    <row r="197" spans="1:6" hidden="1" x14ac:dyDescent="0.3">
      <c r="A197" s="23" t="s">
        <v>122</v>
      </c>
      <c r="B197" s="23" t="s">
        <v>37</v>
      </c>
      <c r="C197" s="24" t="s">
        <v>58</v>
      </c>
      <c r="D197" s="24">
        <v>2026</v>
      </c>
      <c r="E197" s="2" t="s">
        <v>40</v>
      </c>
      <c r="F197" s="28">
        <f>18399.478-12583.86</f>
        <v>5815.6179999999986</v>
      </c>
    </row>
    <row r="198" spans="1:6" hidden="1" x14ac:dyDescent="0.3">
      <c r="A198" s="23" t="s">
        <v>122</v>
      </c>
      <c r="B198" s="23" t="s">
        <v>36</v>
      </c>
      <c r="C198" s="24" t="s">
        <v>58</v>
      </c>
      <c r="D198" s="24">
        <v>2026</v>
      </c>
      <c r="E198" s="2" t="s">
        <v>40</v>
      </c>
      <c r="F198" s="27">
        <v>12583.86</v>
      </c>
    </row>
    <row r="199" spans="1:6" hidden="1" x14ac:dyDescent="0.3">
      <c r="A199" s="23" t="s">
        <v>123</v>
      </c>
      <c r="B199" s="29" t="s">
        <v>37</v>
      </c>
      <c r="C199" s="31" t="s">
        <v>59</v>
      </c>
      <c r="D199" s="24">
        <v>2026</v>
      </c>
      <c r="E199" s="2" t="s">
        <v>40</v>
      </c>
      <c r="F199" s="28">
        <f>10996.127-9211.11</f>
        <v>1785.0169999999998</v>
      </c>
    </row>
    <row r="200" spans="1:6" hidden="1" x14ac:dyDescent="0.3">
      <c r="A200" s="23" t="s">
        <v>123</v>
      </c>
      <c r="B200" s="29" t="s">
        <v>36</v>
      </c>
      <c r="C200" s="31" t="s">
        <v>59</v>
      </c>
      <c r="D200" s="24">
        <v>2026</v>
      </c>
      <c r="E200" s="2" t="s">
        <v>40</v>
      </c>
      <c r="F200" s="27">
        <v>9211.11</v>
      </c>
    </row>
    <row r="201" spans="1:6" hidden="1" x14ac:dyDescent="0.3">
      <c r="A201" s="23" t="s">
        <v>124</v>
      </c>
      <c r="B201" s="23" t="s">
        <v>38</v>
      </c>
      <c r="C201" s="24" t="s">
        <v>19</v>
      </c>
      <c r="D201" s="24">
        <v>2026</v>
      </c>
      <c r="E201" s="2" t="s">
        <v>40</v>
      </c>
      <c r="F201" s="28">
        <v>3616.51</v>
      </c>
    </row>
    <row r="202" spans="1:6" hidden="1" x14ac:dyDescent="0.3">
      <c r="A202" s="23" t="s">
        <v>125</v>
      </c>
      <c r="B202" s="23" t="s">
        <v>38</v>
      </c>
      <c r="C202" s="24" t="s">
        <v>20</v>
      </c>
      <c r="D202" s="24">
        <v>2026</v>
      </c>
      <c r="E202" s="2" t="s">
        <v>40</v>
      </c>
      <c r="F202" s="28">
        <v>4810.5889999999999</v>
      </c>
    </row>
    <row r="203" spans="1:6" hidden="1" x14ac:dyDescent="0.3">
      <c r="A203" s="23" t="s">
        <v>126</v>
      </c>
      <c r="B203" s="23" t="s">
        <v>38</v>
      </c>
      <c r="C203" s="24" t="s">
        <v>21</v>
      </c>
      <c r="D203" s="24">
        <v>2026</v>
      </c>
      <c r="E203" s="2" t="s">
        <v>40</v>
      </c>
      <c r="F203" s="28">
        <v>42194.154999999999</v>
      </c>
    </row>
    <row r="204" spans="1:6" hidden="1" x14ac:dyDescent="0.3">
      <c r="A204" s="23" t="s">
        <v>127</v>
      </c>
      <c r="B204" s="23" t="s">
        <v>38</v>
      </c>
      <c r="C204" s="24" t="s">
        <v>22</v>
      </c>
      <c r="D204" s="24">
        <v>2026</v>
      </c>
      <c r="E204" s="2" t="s">
        <v>40</v>
      </c>
      <c r="F204" s="28">
        <v>8922.2860000000001</v>
      </c>
    </row>
    <row r="205" spans="1:6" hidden="1" x14ac:dyDescent="0.3">
      <c r="A205" s="23" t="s">
        <v>128</v>
      </c>
      <c r="B205" s="23" t="s">
        <v>38</v>
      </c>
      <c r="C205" s="24" t="s">
        <v>23</v>
      </c>
      <c r="D205" s="24">
        <v>2026</v>
      </c>
      <c r="E205" s="2" t="s">
        <v>40</v>
      </c>
      <c r="F205" s="28">
        <v>3896.8139999999999</v>
      </c>
    </row>
    <row r="206" spans="1:6" hidden="1" x14ac:dyDescent="0.3">
      <c r="A206" s="23" t="s">
        <v>129</v>
      </c>
      <c r="B206" s="23" t="s">
        <v>38</v>
      </c>
      <c r="C206" s="24" t="s">
        <v>158</v>
      </c>
      <c r="D206" s="24">
        <v>2026</v>
      </c>
      <c r="E206" s="2" t="s">
        <v>40</v>
      </c>
      <c r="F206" s="28">
        <v>5741.0460000000003</v>
      </c>
    </row>
    <row r="207" spans="1:6" hidden="1" x14ac:dyDescent="0.3">
      <c r="A207" s="23" t="s">
        <v>130</v>
      </c>
      <c r="B207" s="23" t="s">
        <v>38</v>
      </c>
      <c r="C207" s="24" t="s">
        <v>158</v>
      </c>
      <c r="D207" s="24">
        <v>2026</v>
      </c>
      <c r="E207" s="2" t="s">
        <v>40</v>
      </c>
      <c r="F207" s="28">
        <v>1443.5830000000001</v>
      </c>
    </row>
    <row r="208" spans="1:6" hidden="1" x14ac:dyDescent="0.3">
      <c r="A208" s="23" t="s">
        <v>131</v>
      </c>
      <c r="B208" s="23" t="s">
        <v>38</v>
      </c>
      <c r="C208" s="24" t="s">
        <v>159</v>
      </c>
      <c r="D208" s="24">
        <v>2026</v>
      </c>
      <c r="E208" s="2" t="s">
        <v>40</v>
      </c>
      <c r="F208" s="28">
        <v>319</v>
      </c>
    </row>
    <row r="209" spans="1:6" hidden="1" x14ac:dyDescent="0.3">
      <c r="A209" s="23" t="s">
        <v>132</v>
      </c>
      <c r="B209" s="23" t="s">
        <v>38</v>
      </c>
      <c r="C209" s="24" t="s">
        <v>159</v>
      </c>
      <c r="D209" s="24">
        <v>2026</v>
      </c>
      <c r="E209" s="2" t="s">
        <v>40</v>
      </c>
      <c r="F209" s="28">
        <v>386.64699999999999</v>
      </c>
    </row>
    <row r="210" spans="1:6" hidden="1" x14ac:dyDescent="0.3">
      <c r="A210" s="23" t="s">
        <v>133</v>
      </c>
      <c r="B210" s="23" t="s">
        <v>38</v>
      </c>
      <c r="C210" s="24" t="s">
        <v>74</v>
      </c>
      <c r="D210" s="24">
        <v>2026</v>
      </c>
      <c r="E210" s="2" t="s">
        <v>40</v>
      </c>
      <c r="F210" s="28">
        <v>1561.837</v>
      </c>
    </row>
    <row r="211" spans="1:6" hidden="1" x14ac:dyDescent="0.3">
      <c r="A211" s="23" t="s">
        <v>134</v>
      </c>
      <c r="B211" s="23" t="s">
        <v>38</v>
      </c>
      <c r="C211" s="24" t="s">
        <v>27</v>
      </c>
      <c r="D211" s="24">
        <v>2026</v>
      </c>
      <c r="E211" s="2" t="s">
        <v>40</v>
      </c>
      <c r="F211" s="28">
        <v>611.1</v>
      </c>
    </row>
    <row r="212" spans="1:6" hidden="1" x14ac:dyDescent="0.3">
      <c r="A212" s="23" t="s">
        <v>135</v>
      </c>
      <c r="B212" s="23" t="s">
        <v>38</v>
      </c>
      <c r="C212" s="24" t="s">
        <v>160</v>
      </c>
      <c r="D212" s="24">
        <v>2026</v>
      </c>
      <c r="E212" s="2" t="s">
        <v>40</v>
      </c>
      <c r="F212" s="28">
        <v>1388.8889999999999</v>
      </c>
    </row>
    <row r="213" spans="1:6" hidden="1" x14ac:dyDescent="0.3">
      <c r="A213" s="23" t="s">
        <v>136</v>
      </c>
      <c r="B213" s="23" t="s">
        <v>38</v>
      </c>
      <c r="C213" s="24" t="s">
        <v>160</v>
      </c>
      <c r="D213" s="24">
        <v>2026</v>
      </c>
      <c r="E213" s="2" t="s">
        <v>40</v>
      </c>
      <c r="F213" s="28">
        <v>34611.298999999999</v>
      </c>
    </row>
    <row r="214" spans="1:6" hidden="1" x14ac:dyDescent="0.3">
      <c r="A214" s="23" t="s">
        <v>137</v>
      </c>
      <c r="B214" s="23" t="s">
        <v>38</v>
      </c>
      <c r="C214" s="24" t="s">
        <v>160</v>
      </c>
      <c r="D214" s="24">
        <v>2026</v>
      </c>
      <c r="E214" s="2" t="s">
        <v>40</v>
      </c>
      <c r="F214" s="28">
        <v>851.678</v>
      </c>
    </row>
    <row r="215" spans="1:6" hidden="1" x14ac:dyDescent="0.3">
      <c r="A215" s="23" t="s">
        <v>138</v>
      </c>
      <c r="B215" s="23" t="s">
        <v>38</v>
      </c>
      <c r="C215" s="24" t="s">
        <v>160</v>
      </c>
      <c r="D215" s="24">
        <v>2026</v>
      </c>
      <c r="E215" s="2" t="s">
        <v>40</v>
      </c>
      <c r="F215" s="27">
        <v>543.06100000000004</v>
      </c>
    </row>
    <row r="216" spans="1:6" hidden="1" x14ac:dyDescent="0.3">
      <c r="A216" s="23" t="s">
        <v>152</v>
      </c>
      <c r="B216" s="23" t="s">
        <v>38</v>
      </c>
      <c r="C216" s="24" t="s">
        <v>153</v>
      </c>
      <c r="D216" s="24">
        <v>2026</v>
      </c>
      <c r="E216" s="2" t="s">
        <v>40</v>
      </c>
      <c r="F216" s="28">
        <v>71.900000000000006</v>
      </c>
    </row>
    <row r="217" spans="1:6" hidden="1" x14ac:dyDescent="0.3">
      <c r="A217" s="23" t="s">
        <v>139</v>
      </c>
      <c r="B217" s="23" t="s">
        <v>38</v>
      </c>
      <c r="C217" s="24" t="s">
        <v>28</v>
      </c>
      <c r="D217" s="24">
        <v>2026</v>
      </c>
      <c r="E217" s="2" t="s">
        <v>40</v>
      </c>
      <c r="F217" s="28">
        <v>46.55</v>
      </c>
    </row>
    <row r="218" spans="1:6" hidden="1" x14ac:dyDescent="0.3">
      <c r="A218" s="23" t="s">
        <v>140</v>
      </c>
      <c r="B218" s="23" t="s">
        <v>38</v>
      </c>
      <c r="C218" s="24" t="s">
        <v>65</v>
      </c>
      <c r="D218" s="24">
        <v>2026</v>
      </c>
      <c r="E218" s="2" t="s">
        <v>40</v>
      </c>
      <c r="F218" s="28">
        <v>4228.5709999999999</v>
      </c>
    </row>
    <row r="219" spans="1:6" hidden="1" x14ac:dyDescent="0.3">
      <c r="A219" s="23" t="s">
        <v>141</v>
      </c>
      <c r="B219" s="23" t="s">
        <v>38</v>
      </c>
      <c r="C219" s="24" t="s">
        <v>30</v>
      </c>
      <c r="D219" s="24">
        <v>2026</v>
      </c>
      <c r="E219" s="2" t="s">
        <v>40</v>
      </c>
      <c r="F219" s="28">
        <v>705.5</v>
      </c>
    </row>
    <row r="220" spans="1:6" hidden="1" x14ac:dyDescent="0.3">
      <c r="A220" s="23" t="s">
        <v>142</v>
      </c>
      <c r="B220" s="23" t="s">
        <v>38</v>
      </c>
      <c r="C220" s="24" t="s">
        <v>31</v>
      </c>
      <c r="D220" s="24">
        <v>2026</v>
      </c>
      <c r="E220" s="2" t="s">
        <v>40</v>
      </c>
      <c r="F220" s="28">
        <v>3547.223</v>
      </c>
    </row>
    <row r="221" spans="1:6" hidden="1" x14ac:dyDescent="0.3">
      <c r="A221" s="23" t="s">
        <v>143</v>
      </c>
      <c r="B221" s="23" t="s">
        <v>38</v>
      </c>
      <c r="C221" s="24" t="s">
        <v>67</v>
      </c>
      <c r="D221" s="24">
        <v>2026</v>
      </c>
      <c r="E221" s="2" t="s">
        <v>40</v>
      </c>
      <c r="F221" s="28">
        <v>1088.0630000000001</v>
      </c>
    </row>
    <row r="222" spans="1:6" hidden="1" x14ac:dyDescent="0.3">
      <c r="A222" s="23" t="s">
        <v>144</v>
      </c>
      <c r="B222" s="23" t="s">
        <v>39</v>
      </c>
      <c r="C222" s="24" t="s">
        <v>33</v>
      </c>
      <c r="D222" s="24">
        <v>2026</v>
      </c>
      <c r="E222" s="2" t="s">
        <v>40</v>
      </c>
      <c r="F222" s="28">
        <v>3225.1280000000002</v>
      </c>
    </row>
    <row r="223" spans="1:6" hidden="1" x14ac:dyDescent="0.3">
      <c r="A223" s="23">
        <v>720506</v>
      </c>
      <c r="B223" s="23" t="s">
        <v>36</v>
      </c>
      <c r="C223" s="24" t="s">
        <v>5</v>
      </c>
      <c r="D223" s="24">
        <v>2024</v>
      </c>
      <c r="E223" s="66" t="s">
        <v>195</v>
      </c>
      <c r="F223" s="27">
        <v>46641.792999999998</v>
      </c>
    </row>
    <row r="224" spans="1:6" hidden="1" x14ac:dyDescent="0.3">
      <c r="A224" s="23">
        <v>720506</v>
      </c>
      <c r="B224" s="23" t="s">
        <v>36</v>
      </c>
      <c r="C224" s="24" t="s">
        <v>5</v>
      </c>
      <c r="D224" s="24">
        <v>2025</v>
      </c>
      <c r="E224" s="67" t="s">
        <v>195</v>
      </c>
      <c r="F224" s="28">
        <v>52342.631999999998</v>
      </c>
    </row>
    <row r="225" spans="1:6" hidden="1" x14ac:dyDescent="0.3">
      <c r="A225" s="23">
        <v>720515</v>
      </c>
      <c r="B225" s="23" t="s">
        <v>36</v>
      </c>
      <c r="C225" s="24" t="s">
        <v>6</v>
      </c>
      <c r="D225" s="24">
        <v>2024</v>
      </c>
      <c r="E225" s="66" t="s">
        <v>195</v>
      </c>
      <c r="F225" s="27">
        <v>10874.111000000001</v>
      </c>
    </row>
    <row r="226" spans="1:6" hidden="1" x14ac:dyDescent="0.3">
      <c r="A226" s="23">
        <v>720515</v>
      </c>
      <c r="B226" s="23" t="s">
        <v>36</v>
      </c>
      <c r="C226" s="24" t="s">
        <v>6</v>
      </c>
      <c r="D226" s="24">
        <v>2025</v>
      </c>
      <c r="E226" s="67" t="s">
        <v>195</v>
      </c>
      <c r="F226" s="28">
        <v>5137.0320000000002</v>
      </c>
    </row>
    <row r="227" spans="1:6" hidden="1" x14ac:dyDescent="0.3">
      <c r="A227" s="23">
        <v>720524</v>
      </c>
      <c r="B227" s="23" t="s">
        <v>36</v>
      </c>
      <c r="C227" s="24" t="s">
        <v>7</v>
      </c>
      <c r="D227" s="24">
        <v>2024</v>
      </c>
      <c r="E227" s="66" t="s">
        <v>195</v>
      </c>
      <c r="F227" s="27">
        <v>129.999</v>
      </c>
    </row>
    <row r="228" spans="1:6" hidden="1" x14ac:dyDescent="0.3">
      <c r="A228" s="23">
        <v>720524</v>
      </c>
      <c r="B228" s="23" t="s">
        <v>36</v>
      </c>
      <c r="C228" s="24" t="s">
        <v>7</v>
      </c>
      <c r="D228" s="24">
        <v>2025</v>
      </c>
      <c r="E228" s="67" t="s">
        <v>195</v>
      </c>
      <c r="F228" s="28">
        <v>1608.0170000000001</v>
      </c>
    </row>
    <row r="229" spans="1:6" hidden="1" x14ac:dyDescent="0.3">
      <c r="A229" s="23">
        <v>720527</v>
      </c>
      <c r="B229" s="23" t="s">
        <v>36</v>
      </c>
      <c r="C229" s="24" t="s">
        <v>8</v>
      </c>
      <c r="D229" s="24">
        <v>2024</v>
      </c>
      <c r="E229" s="66" t="s">
        <v>195</v>
      </c>
      <c r="F229" s="27">
        <v>4914</v>
      </c>
    </row>
    <row r="230" spans="1:6" hidden="1" x14ac:dyDescent="0.3">
      <c r="A230" s="23">
        <v>720527</v>
      </c>
      <c r="B230" s="23" t="s">
        <v>36</v>
      </c>
      <c r="C230" s="24" t="s">
        <v>8</v>
      </c>
      <c r="D230" s="24">
        <v>2025</v>
      </c>
      <c r="E230" s="67" t="s">
        <v>195</v>
      </c>
      <c r="F230" s="28">
        <v>6301.2730000000001</v>
      </c>
    </row>
    <row r="231" spans="1:6" hidden="1" x14ac:dyDescent="0.3">
      <c r="A231" s="23">
        <v>720530</v>
      </c>
      <c r="B231" s="23" t="s">
        <v>36</v>
      </c>
      <c r="C231" s="24" t="s">
        <v>154</v>
      </c>
      <c r="D231" s="24">
        <v>2024</v>
      </c>
      <c r="E231" s="66" t="s">
        <v>195</v>
      </c>
      <c r="F231" s="27">
        <v>5409.7039999999997</v>
      </c>
    </row>
    <row r="232" spans="1:6" hidden="1" x14ac:dyDescent="0.3">
      <c r="A232" s="23">
        <v>720530</v>
      </c>
      <c r="B232" s="23" t="s">
        <v>36</v>
      </c>
      <c r="C232" s="24" t="s">
        <v>154</v>
      </c>
      <c r="D232" s="24">
        <v>2025</v>
      </c>
      <c r="E232" s="67" t="s">
        <v>195</v>
      </c>
      <c r="F232" s="28">
        <v>5697.8069999999998</v>
      </c>
    </row>
    <row r="233" spans="1:6" hidden="1" x14ac:dyDescent="0.3">
      <c r="A233" s="23">
        <v>720533</v>
      </c>
      <c r="B233" s="23" t="s">
        <v>36</v>
      </c>
      <c r="C233" s="24" t="s">
        <v>154</v>
      </c>
      <c r="D233" s="24">
        <v>2024</v>
      </c>
      <c r="E233" s="66" t="s">
        <v>195</v>
      </c>
      <c r="F233" s="27">
        <v>649.41899999999998</v>
      </c>
    </row>
    <row r="234" spans="1:6" hidden="1" x14ac:dyDescent="0.3">
      <c r="A234" s="23">
        <v>720533</v>
      </c>
      <c r="B234" s="23" t="s">
        <v>36</v>
      </c>
      <c r="C234" s="24" t="s">
        <v>154</v>
      </c>
      <c r="D234" s="24">
        <v>2025</v>
      </c>
      <c r="E234" s="67" t="s">
        <v>195</v>
      </c>
      <c r="F234" s="28">
        <v>684.00699999999995</v>
      </c>
    </row>
    <row r="235" spans="1:6" hidden="1" x14ac:dyDescent="0.3">
      <c r="A235" s="23">
        <v>720536</v>
      </c>
      <c r="B235" s="23" t="s">
        <v>36</v>
      </c>
      <c r="C235" s="24" t="s">
        <v>154</v>
      </c>
      <c r="D235" s="24">
        <v>2024</v>
      </c>
      <c r="E235" s="66" t="s">
        <v>195</v>
      </c>
      <c r="F235" s="27">
        <v>5409.7039999999997</v>
      </c>
    </row>
    <row r="236" spans="1:6" hidden="1" x14ac:dyDescent="0.3">
      <c r="A236" s="23">
        <v>720536</v>
      </c>
      <c r="B236" s="23" t="s">
        <v>36</v>
      </c>
      <c r="C236" s="24" t="s">
        <v>154</v>
      </c>
      <c r="D236" s="24">
        <v>2025</v>
      </c>
      <c r="E236" s="67" t="s">
        <v>195</v>
      </c>
      <c r="F236" s="28">
        <v>5697.8069999999998</v>
      </c>
    </row>
    <row r="237" spans="1:6" hidden="1" x14ac:dyDescent="0.3">
      <c r="A237" s="23">
        <v>720539</v>
      </c>
      <c r="B237" s="23" t="s">
        <v>36</v>
      </c>
      <c r="C237" s="24" t="s">
        <v>154</v>
      </c>
      <c r="D237" s="24">
        <v>2024</v>
      </c>
      <c r="E237" s="66" t="s">
        <v>195</v>
      </c>
      <c r="F237" s="27">
        <v>2503.1779999999999</v>
      </c>
    </row>
    <row r="238" spans="1:6" hidden="1" x14ac:dyDescent="0.3">
      <c r="A238" s="23">
        <v>720539</v>
      </c>
      <c r="B238" s="23" t="s">
        <v>36</v>
      </c>
      <c r="C238" s="24" t="s">
        <v>154</v>
      </c>
      <c r="D238" s="24">
        <v>2025</v>
      </c>
      <c r="E238" s="66" t="s">
        <v>195</v>
      </c>
      <c r="F238" s="27">
        <v>2589.5610000000001</v>
      </c>
    </row>
    <row r="239" spans="1:6" hidden="1" x14ac:dyDescent="0.3">
      <c r="A239" s="23">
        <v>720540</v>
      </c>
      <c r="B239" s="23" t="s">
        <v>36</v>
      </c>
      <c r="C239" s="24" t="s">
        <v>154</v>
      </c>
      <c r="D239" s="24">
        <v>2024</v>
      </c>
      <c r="E239" s="66" t="s">
        <v>195</v>
      </c>
      <c r="F239" s="27">
        <v>828.39499999999998</v>
      </c>
    </row>
    <row r="240" spans="1:6" hidden="1" x14ac:dyDescent="0.3">
      <c r="A240" s="23">
        <v>720540</v>
      </c>
      <c r="B240" s="23" t="s">
        <v>36</v>
      </c>
      <c r="C240" s="24" t="s">
        <v>154</v>
      </c>
      <c r="D240" s="24">
        <v>2025</v>
      </c>
      <c r="E240" s="66" t="s">
        <v>195</v>
      </c>
      <c r="F240" s="27">
        <v>856.97799999999995</v>
      </c>
    </row>
    <row r="241" spans="1:6" hidden="1" x14ac:dyDescent="0.3">
      <c r="A241" s="23">
        <v>720545</v>
      </c>
      <c r="B241" s="23" t="s">
        <v>36</v>
      </c>
      <c r="C241" s="24" t="s">
        <v>155</v>
      </c>
      <c r="D241" s="24">
        <v>2024</v>
      </c>
      <c r="E241" s="67" t="s">
        <v>195</v>
      </c>
      <c r="F241" s="28">
        <v>663</v>
      </c>
    </row>
    <row r="242" spans="1:6" hidden="1" x14ac:dyDescent="0.3">
      <c r="A242" s="23">
        <v>720546</v>
      </c>
      <c r="B242" s="23" t="s">
        <v>36</v>
      </c>
      <c r="C242" s="24" t="s">
        <v>155</v>
      </c>
      <c r="D242" s="24">
        <v>2024</v>
      </c>
      <c r="E242" s="66" t="s">
        <v>195</v>
      </c>
      <c r="F242" s="27">
        <v>6704.6229999999996</v>
      </c>
    </row>
    <row r="243" spans="1:6" hidden="1" x14ac:dyDescent="0.3">
      <c r="A243" s="23">
        <v>720546</v>
      </c>
      <c r="B243" s="23" t="s">
        <v>36</v>
      </c>
      <c r="C243" s="24" t="s">
        <v>155</v>
      </c>
      <c r="D243" s="24">
        <v>2025</v>
      </c>
      <c r="E243" s="66" t="s">
        <v>195</v>
      </c>
      <c r="F243" s="27">
        <v>7769.7049999999999</v>
      </c>
    </row>
    <row r="244" spans="1:6" hidden="1" x14ac:dyDescent="0.3">
      <c r="A244" s="23">
        <v>720547</v>
      </c>
      <c r="B244" s="23" t="s">
        <v>36</v>
      </c>
      <c r="C244" s="24" t="s">
        <v>156</v>
      </c>
      <c r="D244" s="24">
        <v>2024</v>
      </c>
      <c r="E244" s="66" t="s">
        <v>195</v>
      </c>
      <c r="F244" s="27">
        <v>2049.7260000000001</v>
      </c>
    </row>
    <row r="245" spans="1:6" hidden="1" x14ac:dyDescent="0.3">
      <c r="A245" s="23">
        <v>720547</v>
      </c>
      <c r="B245" s="23" t="s">
        <v>36</v>
      </c>
      <c r="C245" s="24" t="s">
        <v>156</v>
      </c>
      <c r="D245" s="24">
        <v>2025</v>
      </c>
      <c r="E245" s="67" t="s">
        <v>195</v>
      </c>
      <c r="F245" s="28">
        <v>2375.348</v>
      </c>
    </row>
    <row r="246" spans="1:6" hidden="1" x14ac:dyDescent="0.3">
      <c r="A246" s="23">
        <v>720552</v>
      </c>
      <c r="B246" s="23" t="s">
        <v>36</v>
      </c>
      <c r="C246" s="24" t="s">
        <v>11</v>
      </c>
      <c r="D246" s="24">
        <v>2024</v>
      </c>
      <c r="E246" s="66" t="s">
        <v>195</v>
      </c>
      <c r="F246" s="27">
        <v>5402.3639999999996</v>
      </c>
    </row>
    <row r="247" spans="1:6" hidden="1" x14ac:dyDescent="0.3">
      <c r="A247" s="23">
        <v>720552</v>
      </c>
      <c r="B247" s="23" t="s">
        <v>36</v>
      </c>
      <c r="C247" s="24" t="s">
        <v>11</v>
      </c>
      <c r="D247" s="24">
        <v>2025</v>
      </c>
      <c r="E247" s="67" t="s">
        <v>195</v>
      </c>
      <c r="F247" s="28">
        <v>3577.2689999999998</v>
      </c>
    </row>
    <row r="248" spans="1:6" hidden="1" x14ac:dyDescent="0.3">
      <c r="A248" s="23">
        <v>720568</v>
      </c>
      <c r="B248" s="23" t="s">
        <v>36</v>
      </c>
      <c r="C248" s="30" t="s">
        <v>157</v>
      </c>
      <c r="D248" s="24">
        <v>2024</v>
      </c>
      <c r="E248" s="66" t="s">
        <v>195</v>
      </c>
      <c r="F248" s="27">
        <v>1404.1</v>
      </c>
    </row>
    <row r="249" spans="1:6" hidden="1" x14ac:dyDescent="0.3">
      <c r="A249" s="23">
        <v>720568</v>
      </c>
      <c r="B249" s="23" t="s">
        <v>36</v>
      </c>
      <c r="C249" s="30" t="s">
        <v>157</v>
      </c>
      <c r="D249" s="24">
        <v>2025</v>
      </c>
      <c r="E249" s="67" t="s">
        <v>195</v>
      </c>
      <c r="F249" s="28">
        <v>1414.6</v>
      </c>
    </row>
    <row r="250" spans="1:6" hidden="1" x14ac:dyDescent="0.3">
      <c r="A250" s="23">
        <v>720569</v>
      </c>
      <c r="B250" s="23" t="s">
        <v>36</v>
      </c>
      <c r="C250" s="30" t="s">
        <v>157</v>
      </c>
      <c r="D250" s="24">
        <v>2024</v>
      </c>
      <c r="E250" s="66" t="s">
        <v>195</v>
      </c>
      <c r="F250" s="27">
        <v>1.37</v>
      </c>
    </row>
    <row r="251" spans="1:6" hidden="1" x14ac:dyDescent="0.3">
      <c r="A251" s="23">
        <v>720569</v>
      </c>
      <c r="B251" s="23" t="s">
        <v>36</v>
      </c>
      <c r="C251" s="30" t="s">
        <v>157</v>
      </c>
      <c r="D251" s="24">
        <v>2025</v>
      </c>
      <c r="E251" s="67" t="s">
        <v>195</v>
      </c>
      <c r="F251" s="28">
        <v>-9.8879999999999999</v>
      </c>
    </row>
    <row r="252" spans="1:6" hidden="1" x14ac:dyDescent="0.3">
      <c r="A252" s="23">
        <v>720570</v>
      </c>
      <c r="B252" s="23" t="s">
        <v>36</v>
      </c>
      <c r="C252" s="30" t="s">
        <v>157</v>
      </c>
      <c r="D252" s="24">
        <v>2024</v>
      </c>
      <c r="E252" s="66" t="s">
        <v>195</v>
      </c>
      <c r="F252" s="27">
        <v>7016.52</v>
      </c>
    </row>
    <row r="253" spans="1:6" hidden="1" x14ac:dyDescent="0.3">
      <c r="A253" s="23">
        <v>720570</v>
      </c>
      <c r="B253" s="23" t="s">
        <v>36</v>
      </c>
      <c r="C253" s="30" t="s">
        <v>157</v>
      </c>
      <c r="D253" s="24">
        <v>2025</v>
      </c>
      <c r="E253" s="67" t="s">
        <v>195</v>
      </c>
      <c r="F253" s="28">
        <v>7191.3990000000003</v>
      </c>
    </row>
    <row r="254" spans="1:6" hidden="1" x14ac:dyDescent="0.3">
      <c r="A254" s="23">
        <v>720572</v>
      </c>
      <c r="B254" s="23" t="s">
        <v>36</v>
      </c>
      <c r="C254" s="30" t="s">
        <v>157</v>
      </c>
      <c r="D254" s="24">
        <v>2024</v>
      </c>
      <c r="E254" s="66" t="s">
        <v>195</v>
      </c>
      <c r="F254" s="27">
        <v>2397.1</v>
      </c>
    </row>
    <row r="255" spans="1:6" hidden="1" x14ac:dyDescent="0.3">
      <c r="A255" s="23">
        <v>720572</v>
      </c>
      <c r="B255" s="23" t="s">
        <v>36</v>
      </c>
      <c r="C255" s="30" t="s">
        <v>157</v>
      </c>
      <c r="D255" s="24">
        <v>2025</v>
      </c>
      <c r="E255" s="67" t="s">
        <v>195</v>
      </c>
      <c r="F255" s="28">
        <v>2430.4</v>
      </c>
    </row>
    <row r="256" spans="1:6" hidden="1" x14ac:dyDescent="0.3">
      <c r="A256" s="23">
        <v>730506</v>
      </c>
      <c r="B256" s="23" t="s">
        <v>37</v>
      </c>
      <c r="C256" s="24" t="s">
        <v>5</v>
      </c>
      <c r="D256" s="24">
        <v>2024</v>
      </c>
      <c r="E256" s="66" t="s">
        <v>195</v>
      </c>
      <c r="F256" s="27">
        <v>67606.968999999997</v>
      </c>
    </row>
    <row r="257" spans="1:6" hidden="1" x14ac:dyDescent="0.3">
      <c r="A257" s="23">
        <v>730506</v>
      </c>
      <c r="B257" s="23" t="s">
        <v>37</v>
      </c>
      <c r="C257" s="24" t="s">
        <v>5</v>
      </c>
      <c r="D257" s="24">
        <v>2025</v>
      </c>
      <c r="E257" s="67" t="s">
        <v>195</v>
      </c>
      <c r="F257" s="28">
        <v>75526.232999999993</v>
      </c>
    </row>
    <row r="258" spans="1:6" hidden="1" x14ac:dyDescent="0.3">
      <c r="A258" s="23">
        <v>730508</v>
      </c>
      <c r="B258" s="23" t="s">
        <v>37</v>
      </c>
      <c r="C258" s="24" t="s">
        <v>13</v>
      </c>
      <c r="D258" s="24">
        <v>2024</v>
      </c>
      <c r="E258" s="66" t="s">
        <v>195</v>
      </c>
      <c r="F258" s="27">
        <v>1300</v>
      </c>
    </row>
    <row r="259" spans="1:6" hidden="1" x14ac:dyDescent="0.3">
      <c r="A259" s="23">
        <v>730508</v>
      </c>
      <c r="B259" s="23" t="s">
        <v>37</v>
      </c>
      <c r="C259" s="24" t="s">
        <v>13</v>
      </c>
      <c r="D259" s="24">
        <v>2025</v>
      </c>
      <c r="E259" s="67" t="s">
        <v>195</v>
      </c>
      <c r="F259" s="28">
        <v>711.75</v>
      </c>
    </row>
    <row r="260" spans="1:6" hidden="1" x14ac:dyDescent="0.3">
      <c r="A260" s="23">
        <v>730515</v>
      </c>
      <c r="B260" s="23" t="s">
        <v>37</v>
      </c>
      <c r="C260" s="24" t="s">
        <v>6</v>
      </c>
      <c r="D260" s="24">
        <v>2024</v>
      </c>
      <c r="E260" s="66" t="s">
        <v>195</v>
      </c>
      <c r="F260" s="27">
        <v>3958.0070000000001</v>
      </c>
    </row>
    <row r="261" spans="1:6" hidden="1" x14ac:dyDescent="0.3">
      <c r="A261" s="23">
        <v>730515</v>
      </c>
      <c r="B261" s="23" t="s">
        <v>37</v>
      </c>
      <c r="C261" s="24" t="s">
        <v>6</v>
      </c>
      <c r="D261" s="24">
        <v>2025</v>
      </c>
      <c r="E261" s="67" t="s">
        <v>195</v>
      </c>
      <c r="F261" s="28">
        <v>2692.078</v>
      </c>
    </row>
    <row r="262" spans="1:6" hidden="1" x14ac:dyDescent="0.3">
      <c r="A262" s="23">
        <v>730524</v>
      </c>
      <c r="B262" s="23" t="s">
        <v>37</v>
      </c>
      <c r="C262" s="24" t="s">
        <v>7</v>
      </c>
      <c r="D262" s="24">
        <v>2024</v>
      </c>
      <c r="E262" s="67" t="s">
        <v>195</v>
      </c>
      <c r="F262" s="28">
        <v>1320.069</v>
      </c>
    </row>
    <row r="263" spans="1:6" hidden="1" x14ac:dyDescent="0.3">
      <c r="A263" s="23">
        <v>730527</v>
      </c>
      <c r="B263" s="23" t="s">
        <v>37</v>
      </c>
      <c r="C263" s="24" t="s">
        <v>14</v>
      </c>
      <c r="D263" s="24">
        <v>2024</v>
      </c>
      <c r="E263" s="66" t="s">
        <v>195</v>
      </c>
      <c r="F263" s="27">
        <v>1755</v>
      </c>
    </row>
    <row r="264" spans="1:6" hidden="1" x14ac:dyDescent="0.3">
      <c r="A264" s="23">
        <v>730527</v>
      </c>
      <c r="B264" s="23" t="s">
        <v>37</v>
      </c>
      <c r="C264" s="24" t="s">
        <v>14</v>
      </c>
      <c r="D264" s="24">
        <v>2025</v>
      </c>
      <c r="E264" s="67" t="s">
        <v>195</v>
      </c>
      <c r="F264" s="28">
        <v>2587.6</v>
      </c>
    </row>
    <row r="265" spans="1:6" hidden="1" x14ac:dyDescent="0.3">
      <c r="A265" s="23">
        <v>730530</v>
      </c>
      <c r="B265" s="23" t="s">
        <v>37</v>
      </c>
      <c r="C265" s="24" t="s">
        <v>154</v>
      </c>
      <c r="D265" s="24">
        <v>2024</v>
      </c>
      <c r="E265" s="66" t="s">
        <v>195</v>
      </c>
      <c r="F265" s="27">
        <v>6408.4139999999998</v>
      </c>
    </row>
    <row r="266" spans="1:6" hidden="1" x14ac:dyDescent="0.3">
      <c r="A266" s="23">
        <v>730530</v>
      </c>
      <c r="B266" s="23" t="s">
        <v>37</v>
      </c>
      <c r="C266" s="24" t="s">
        <v>154</v>
      </c>
      <c r="D266" s="24">
        <v>2025</v>
      </c>
      <c r="E266" s="67" t="s">
        <v>195</v>
      </c>
      <c r="F266" s="28">
        <v>6774.6589999999997</v>
      </c>
    </row>
    <row r="267" spans="1:6" hidden="1" x14ac:dyDescent="0.3">
      <c r="A267" s="23">
        <v>730533</v>
      </c>
      <c r="B267" s="23" t="s">
        <v>37</v>
      </c>
      <c r="C267" s="24" t="s">
        <v>154</v>
      </c>
      <c r="D267" s="24">
        <v>2024</v>
      </c>
      <c r="E267" s="66" t="s">
        <v>195</v>
      </c>
      <c r="F267" s="27">
        <v>769.31899999999996</v>
      </c>
    </row>
    <row r="268" spans="1:6" hidden="1" x14ac:dyDescent="0.3">
      <c r="A268" s="23">
        <v>730533</v>
      </c>
      <c r="B268" s="23" t="s">
        <v>37</v>
      </c>
      <c r="C268" s="24" t="s">
        <v>154</v>
      </c>
      <c r="D268" s="24">
        <v>2025</v>
      </c>
      <c r="E268" s="67" t="s">
        <v>195</v>
      </c>
      <c r="F268" s="28">
        <v>813.28300000000002</v>
      </c>
    </row>
    <row r="269" spans="1:6" hidden="1" x14ac:dyDescent="0.3">
      <c r="A269" s="23">
        <v>730536</v>
      </c>
      <c r="B269" s="23" t="s">
        <v>37</v>
      </c>
      <c r="C269" s="24" t="s">
        <v>154</v>
      </c>
      <c r="D269" s="24">
        <v>2024</v>
      </c>
      <c r="E269" s="66" t="s">
        <v>195</v>
      </c>
      <c r="F269" s="27">
        <v>6408.4139999999998</v>
      </c>
    </row>
    <row r="270" spans="1:6" hidden="1" x14ac:dyDescent="0.3">
      <c r="A270" s="23">
        <v>730536</v>
      </c>
      <c r="B270" s="23" t="s">
        <v>37</v>
      </c>
      <c r="C270" s="24" t="s">
        <v>154</v>
      </c>
      <c r="D270" s="24">
        <v>2025</v>
      </c>
      <c r="E270" s="67" t="s">
        <v>195</v>
      </c>
      <c r="F270" s="28">
        <v>6774.6589999999997</v>
      </c>
    </row>
    <row r="271" spans="1:6" hidden="1" x14ac:dyDescent="0.3">
      <c r="A271" s="23">
        <v>730539</v>
      </c>
      <c r="B271" s="23" t="s">
        <v>37</v>
      </c>
      <c r="C271" s="24" t="s">
        <v>154</v>
      </c>
      <c r="D271" s="24">
        <v>2024</v>
      </c>
      <c r="E271" s="66" t="s">
        <v>195</v>
      </c>
      <c r="F271" s="27">
        <v>3134.8719999999998</v>
      </c>
    </row>
    <row r="272" spans="1:6" hidden="1" x14ac:dyDescent="0.3">
      <c r="A272" s="23">
        <v>730539</v>
      </c>
      <c r="B272" s="23" t="s">
        <v>37</v>
      </c>
      <c r="C272" s="24" t="s">
        <v>154</v>
      </c>
      <c r="D272" s="24">
        <v>2025</v>
      </c>
      <c r="E272" s="66" t="s">
        <v>195</v>
      </c>
      <c r="F272" s="27">
        <v>3283.4940000000001</v>
      </c>
    </row>
    <row r="273" spans="1:6" hidden="1" x14ac:dyDescent="0.3">
      <c r="A273" s="23">
        <v>730540</v>
      </c>
      <c r="B273" s="23" t="s">
        <v>37</v>
      </c>
      <c r="C273" s="24" t="s">
        <v>154</v>
      </c>
      <c r="D273" s="24">
        <v>2024</v>
      </c>
      <c r="E273" s="66" t="s">
        <v>195</v>
      </c>
      <c r="F273" s="27">
        <v>1037.4380000000001</v>
      </c>
    </row>
    <row r="274" spans="1:6" hidden="1" x14ac:dyDescent="0.3">
      <c r="A274" s="23">
        <v>730540</v>
      </c>
      <c r="B274" s="23" t="s">
        <v>37</v>
      </c>
      <c r="C274" s="24" t="s">
        <v>154</v>
      </c>
      <c r="D274" s="24">
        <v>2025</v>
      </c>
      <c r="E274" s="66" t="s">
        <v>195</v>
      </c>
      <c r="F274" s="27">
        <v>1086.624</v>
      </c>
    </row>
    <row r="275" spans="1:6" hidden="1" x14ac:dyDescent="0.3">
      <c r="A275" s="23">
        <v>730545</v>
      </c>
      <c r="B275" s="23" t="s">
        <v>37</v>
      </c>
      <c r="C275" s="24" t="s">
        <v>155</v>
      </c>
      <c r="D275" s="24">
        <v>2025</v>
      </c>
      <c r="E275" s="67" t="s">
        <v>195</v>
      </c>
      <c r="F275" s="28">
        <v>500</v>
      </c>
    </row>
    <row r="276" spans="1:6" hidden="1" x14ac:dyDescent="0.3">
      <c r="A276" s="23">
        <v>730546</v>
      </c>
      <c r="B276" s="23" t="s">
        <v>37</v>
      </c>
      <c r="C276" s="24" t="s">
        <v>155</v>
      </c>
      <c r="D276" s="24">
        <v>2024</v>
      </c>
      <c r="E276" s="66" t="s">
        <v>195</v>
      </c>
      <c r="F276" s="27">
        <v>9714.23</v>
      </c>
    </row>
    <row r="277" spans="1:6" hidden="1" x14ac:dyDescent="0.3">
      <c r="A277" s="23">
        <v>730546</v>
      </c>
      <c r="B277" s="23" t="s">
        <v>37</v>
      </c>
      <c r="C277" s="24" t="s">
        <v>155</v>
      </c>
      <c r="D277" s="24">
        <v>2025</v>
      </c>
      <c r="E277" s="66" t="s">
        <v>195</v>
      </c>
      <c r="F277" s="27">
        <v>20051.545999999998</v>
      </c>
    </row>
    <row r="278" spans="1:6" hidden="1" x14ac:dyDescent="0.3">
      <c r="A278" s="23">
        <v>730547</v>
      </c>
      <c r="B278" s="23" t="s">
        <v>37</v>
      </c>
      <c r="C278" s="24" t="s">
        <v>156</v>
      </c>
      <c r="D278" s="24">
        <v>2024</v>
      </c>
      <c r="E278" s="66" t="s">
        <v>195</v>
      </c>
      <c r="F278" s="27">
        <v>2969.8220000000001</v>
      </c>
    </row>
    <row r="279" spans="1:6" hidden="1" x14ac:dyDescent="0.3">
      <c r="A279" s="23">
        <v>730547</v>
      </c>
      <c r="B279" s="23" t="s">
        <v>37</v>
      </c>
      <c r="C279" s="24" t="s">
        <v>156</v>
      </c>
      <c r="D279" s="24">
        <v>2025</v>
      </c>
      <c r="E279" s="66" t="s">
        <v>195</v>
      </c>
      <c r="F279" s="27">
        <v>3171.2350000000001</v>
      </c>
    </row>
    <row r="280" spans="1:6" hidden="1" x14ac:dyDescent="0.3">
      <c r="A280" s="23">
        <v>730548</v>
      </c>
      <c r="B280" s="23" t="s">
        <v>37</v>
      </c>
      <c r="C280" s="24" t="s">
        <v>9</v>
      </c>
      <c r="D280" s="24">
        <v>2025</v>
      </c>
      <c r="E280" s="67" t="s">
        <v>195</v>
      </c>
      <c r="F280" s="28">
        <v>200</v>
      </c>
    </row>
    <row r="281" spans="1:6" hidden="1" x14ac:dyDescent="0.3">
      <c r="A281" s="23">
        <v>730551</v>
      </c>
      <c r="B281" s="23" t="s">
        <v>37</v>
      </c>
      <c r="C281" s="24" t="s">
        <v>10</v>
      </c>
      <c r="D281" s="24">
        <v>2025</v>
      </c>
      <c r="E281" s="66" t="s">
        <v>195</v>
      </c>
      <c r="F281" s="27">
        <v>118.48699999999999</v>
      </c>
    </row>
    <row r="282" spans="1:6" hidden="1" x14ac:dyDescent="0.3">
      <c r="A282" s="23">
        <v>730552</v>
      </c>
      <c r="B282" s="23" t="s">
        <v>37</v>
      </c>
      <c r="C282" s="24" t="s">
        <v>11</v>
      </c>
      <c r="D282" s="24">
        <v>2024</v>
      </c>
      <c r="E282" s="66" t="s">
        <v>195</v>
      </c>
      <c r="F282" s="27">
        <v>511.31299999999999</v>
      </c>
    </row>
    <row r="283" spans="1:6" hidden="1" x14ac:dyDescent="0.3">
      <c r="A283" s="23">
        <v>730552</v>
      </c>
      <c r="B283" s="23" t="s">
        <v>37</v>
      </c>
      <c r="C283" s="24" t="s">
        <v>11</v>
      </c>
      <c r="D283" s="24">
        <v>2025</v>
      </c>
      <c r="E283" s="67" t="s">
        <v>195</v>
      </c>
      <c r="F283" s="28">
        <v>465.74799999999999</v>
      </c>
    </row>
    <row r="284" spans="1:6" hidden="1" x14ac:dyDescent="0.3">
      <c r="A284" s="23">
        <v>730563</v>
      </c>
      <c r="B284" s="23" t="s">
        <v>37</v>
      </c>
      <c r="C284" s="24" t="s">
        <v>16</v>
      </c>
      <c r="D284" s="24">
        <v>2025</v>
      </c>
      <c r="E284" s="67" t="s">
        <v>195</v>
      </c>
      <c r="F284" s="28">
        <v>14191.418</v>
      </c>
    </row>
    <row r="285" spans="1:6" hidden="1" x14ac:dyDescent="0.3">
      <c r="A285" s="23">
        <v>730568</v>
      </c>
      <c r="B285" s="23" t="s">
        <v>37</v>
      </c>
      <c r="C285" s="30" t="s">
        <v>157</v>
      </c>
      <c r="D285" s="24">
        <v>2024</v>
      </c>
      <c r="E285" s="66" t="s">
        <v>195</v>
      </c>
      <c r="F285" s="27">
        <v>1773.1</v>
      </c>
    </row>
    <row r="286" spans="1:6" hidden="1" x14ac:dyDescent="0.3">
      <c r="A286" s="23">
        <v>730568</v>
      </c>
      <c r="B286" s="23" t="s">
        <v>37</v>
      </c>
      <c r="C286" s="30" t="s">
        <v>157</v>
      </c>
      <c r="D286" s="24">
        <v>2025</v>
      </c>
      <c r="E286" s="67" t="s">
        <v>195</v>
      </c>
      <c r="F286" s="28">
        <v>1906.4</v>
      </c>
    </row>
    <row r="287" spans="1:6" hidden="1" x14ac:dyDescent="0.3">
      <c r="A287" s="23">
        <v>730569</v>
      </c>
      <c r="B287" s="23" t="s">
        <v>37</v>
      </c>
      <c r="C287" s="30" t="s">
        <v>157</v>
      </c>
      <c r="D287" s="24">
        <v>2024</v>
      </c>
      <c r="E287" s="66" t="s">
        <v>195</v>
      </c>
      <c r="F287" s="27">
        <v>1331.8309999999999</v>
      </c>
    </row>
    <row r="288" spans="1:6" hidden="1" x14ac:dyDescent="0.3">
      <c r="A288" s="23">
        <v>730569</v>
      </c>
      <c r="B288" s="23" t="s">
        <v>37</v>
      </c>
      <c r="C288" s="30" t="s">
        <v>157</v>
      </c>
      <c r="D288" s="24">
        <v>2025</v>
      </c>
      <c r="E288" s="67" t="s">
        <v>195</v>
      </c>
      <c r="F288" s="28">
        <v>1468.566</v>
      </c>
    </row>
    <row r="289" spans="1:6" hidden="1" x14ac:dyDescent="0.3">
      <c r="A289" s="23">
        <v>730570</v>
      </c>
      <c r="B289" s="23" t="s">
        <v>37</v>
      </c>
      <c r="C289" s="30" t="s">
        <v>157</v>
      </c>
      <c r="D289" s="24">
        <v>2024</v>
      </c>
      <c r="E289" s="66" t="s">
        <v>195</v>
      </c>
      <c r="F289" s="27">
        <v>8582.1610000000001</v>
      </c>
    </row>
    <row r="290" spans="1:6" hidden="1" x14ac:dyDescent="0.3">
      <c r="A290" s="23">
        <v>730570</v>
      </c>
      <c r="B290" s="23" t="s">
        <v>37</v>
      </c>
      <c r="C290" s="30" t="s">
        <v>157</v>
      </c>
      <c r="D290" s="24">
        <v>2025</v>
      </c>
      <c r="E290" s="67" t="s">
        <v>195</v>
      </c>
      <c r="F290" s="28">
        <v>9449.866</v>
      </c>
    </row>
    <row r="291" spans="1:6" hidden="1" x14ac:dyDescent="0.3">
      <c r="A291" s="23">
        <v>730572</v>
      </c>
      <c r="B291" s="23" t="s">
        <v>37</v>
      </c>
      <c r="C291" s="30" t="s">
        <v>157</v>
      </c>
      <c r="D291" s="24">
        <v>2024</v>
      </c>
      <c r="E291" s="66" t="s">
        <v>195</v>
      </c>
      <c r="F291" s="27">
        <v>2949.9</v>
      </c>
    </row>
    <row r="292" spans="1:6" hidden="1" x14ac:dyDescent="0.3">
      <c r="A292" s="23">
        <v>730572</v>
      </c>
      <c r="B292" s="23" t="s">
        <v>37</v>
      </c>
      <c r="C292" s="30" t="s">
        <v>157</v>
      </c>
      <c r="D292" s="24">
        <v>2025</v>
      </c>
      <c r="E292" s="66" t="s">
        <v>195</v>
      </c>
      <c r="F292" s="27">
        <v>3150.7</v>
      </c>
    </row>
    <row r="293" spans="1:6" hidden="1" x14ac:dyDescent="0.3">
      <c r="A293" s="23">
        <v>730575</v>
      </c>
      <c r="B293" s="23" t="s">
        <v>37</v>
      </c>
      <c r="C293" s="30" t="s">
        <v>157</v>
      </c>
      <c r="D293" s="24">
        <v>2024</v>
      </c>
      <c r="E293" s="66" t="s">
        <v>195</v>
      </c>
      <c r="F293" s="27">
        <v>412.6</v>
      </c>
    </row>
    <row r="294" spans="1:6" hidden="1" x14ac:dyDescent="0.3">
      <c r="A294" s="23">
        <v>730575</v>
      </c>
      <c r="B294" s="23" t="s">
        <v>37</v>
      </c>
      <c r="C294" s="30" t="s">
        <v>157</v>
      </c>
      <c r="D294" s="24">
        <v>2025</v>
      </c>
      <c r="E294" s="66" t="s">
        <v>195</v>
      </c>
      <c r="F294" s="27">
        <v>455.1</v>
      </c>
    </row>
    <row r="295" spans="1:6" hidden="1" x14ac:dyDescent="0.3">
      <c r="A295" s="23">
        <v>730578</v>
      </c>
      <c r="B295" s="23" t="s">
        <v>37</v>
      </c>
      <c r="C295" s="30" t="s">
        <v>157</v>
      </c>
      <c r="D295" s="24">
        <v>2024</v>
      </c>
      <c r="E295" s="66" t="s">
        <v>195</v>
      </c>
      <c r="F295" s="27">
        <v>275.10000000000002</v>
      </c>
    </row>
    <row r="296" spans="1:6" hidden="1" x14ac:dyDescent="0.3">
      <c r="A296" s="23">
        <v>730578</v>
      </c>
      <c r="B296" s="23" t="s">
        <v>37</v>
      </c>
      <c r="C296" s="30" t="s">
        <v>157</v>
      </c>
      <c r="D296" s="24">
        <v>2025</v>
      </c>
      <c r="E296" s="66" t="s">
        <v>195</v>
      </c>
      <c r="F296" s="27">
        <v>303.39999999999998</v>
      </c>
    </row>
    <row r="297" spans="1:6" hidden="1" x14ac:dyDescent="0.3">
      <c r="A297" s="23">
        <v>730584</v>
      </c>
      <c r="B297" s="23" t="s">
        <v>37</v>
      </c>
      <c r="C297" s="24" t="s">
        <v>12</v>
      </c>
      <c r="D297" s="24">
        <v>2024</v>
      </c>
      <c r="E297" s="67" t="s">
        <v>195</v>
      </c>
      <c r="F297" s="28">
        <v>70.903000000000006</v>
      </c>
    </row>
    <row r="298" spans="1:6" hidden="1" x14ac:dyDescent="0.3">
      <c r="A298" s="23">
        <v>731515</v>
      </c>
      <c r="B298" s="23" t="s">
        <v>38</v>
      </c>
      <c r="C298" s="24" t="s">
        <v>196</v>
      </c>
      <c r="D298" s="24">
        <v>2024</v>
      </c>
      <c r="E298" s="67" t="s">
        <v>195</v>
      </c>
      <c r="F298" s="28">
        <v>14984.771000000001</v>
      </c>
    </row>
    <row r="299" spans="1:6" hidden="1" x14ac:dyDescent="0.3">
      <c r="A299" s="23">
        <v>732010</v>
      </c>
      <c r="B299" s="23" t="s">
        <v>38</v>
      </c>
      <c r="C299" s="24" t="s">
        <v>61</v>
      </c>
      <c r="D299" s="24">
        <v>2024</v>
      </c>
      <c r="E299" s="66" t="s">
        <v>195</v>
      </c>
      <c r="F299" s="27">
        <v>19396.465</v>
      </c>
    </row>
    <row r="300" spans="1:6" hidden="1" x14ac:dyDescent="0.3">
      <c r="A300" s="23">
        <v>732010</v>
      </c>
      <c r="B300" s="23" t="s">
        <v>38</v>
      </c>
      <c r="C300" s="24" t="s">
        <v>61</v>
      </c>
      <c r="D300" s="24">
        <v>2025</v>
      </c>
      <c r="E300" s="67" t="s">
        <v>195</v>
      </c>
      <c r="F300" s="28">
        <v>20440</v>
      </c>
    </row>
    <row r="301" spans="1:6" hidden="1" x14ac:dyDescent="0.3">
      <c r="A301" s="23">
        <v>733095</v>
      </c>
      <c r="B301" s="23" t="s">
        <v>38</v>
      </c>
      <c r="C301" s="24" t="s">
        <v>18</v>
      </c>
      <c r="D301" s="24">
        <v>2024</v>
      </c>
      <c r="E301" s="66" t="s">
        <v>195</v>
      </c>
      <c r="F301" s="27">
        <v>4173.97</v>
      </c>
    </row>
    <row r="302" spans="1:6" hidden="1" x14ac:dyDescent="0.3">
      <c r="A302" s="23">
        <v>733095</v>
      </c>
      <c r="B302" s="23" t="s">
        <v>38</v>
      </c>
      <c r="C302" s="24" t="s">
        <v>18</v>
      </c>
      <c r="D302" s="24">
        <v>2025</v>
      </c>
      <c r="E302" s="67" t="s">
        <v>195</v>
      </c>
      <c r="F302" s="28">
        <v>4538.8010000000004</v>
      </c>
    </row>
    <row r="303" spans="1:6" hidden="1" x14ac:dyDescent="0.3">
      <c r="A303" s="23">
        <v>733505</v>
      </c>
      <c r="B303" s="23" t="s">
        <v>38</v>
      </c>
      <c r="C303" s="24" t="s">
        <v>62</v>
      </c>
      <c r="D303" s="24">
        <v>2024</v>
      </c>
      <c r="E303" s="66" t="s">
        <v>195</v>
      </c>
      <c r="F303" s="27">
        <v>3763.64</v>
      </c>
    </row>
    <row r="304" spans="1:6" hidden="1" x14ac:dyDescent="0.3">
      <c r="A304" s="23">
        <v>733505</v>
      </c>
      <c r="B304" s="23" t="s">
        <v>38</v>
      </c>
      <c r="C304" s="24" t="s">
        <v>62</v>
      </c>
      <c r="D304" s="24">
        <v>2025</v>
      </c>
      <c r="E304" s="67" t="s">
        <v>195</v>
      </c>
      <c r="F304" s="28">
        <v>3906.5369999999998</v>
      </c>
    </row>
    <row r="305" spans="1:6" hidden="1" x14ac:dyDescent="0.3">
      <c r="A305" s="23">
        <v>733510</v>
      </c>
      <c r="B305" s="23" t="s">
        <v>37</v>
      </c>
      <c r="C305" s="24" t="s">
        <v>63</v>
      </c>
      <c r="D305" s="24">
        <v>2024</v>
      </c>
      <c r="E305" s="66" t="s">
        <v>195</v>
      </c>
      <c r="F305" s="27">
        <v>53601.087999999989</v>
      </c>
    </row>
    <row r="306" spans="1:6" hidden="1" x14ac:dyDescent="0.3">
      <c r="A306" s="23">
        <v>733510</v>
      </c>
      <c r="B306" s="23" t="s">
        <v>36</v>
      </c>
      <c r="C306" s="24" t="s">
        <v>63</v>
      </c>
      <c r="D306" s="24">
        <v>2024</v>
      </c>
      <c r="E306" s="66" t="s">
        <v>195</v>
      </c>
      <c r="F306" s="27">
        <v>275486.5</v>
      </c>
    </row>
    <row r="307" spans="1:6" hidden="1" x14ac:dyDescent="0.3">
      <c r="A307" s="23">
        <v>733510</v>
      </c>
      <c r="B307" s="23" t="s">
        <v>37</v>
      </c>
      <c r="C307" s="24" t="s">
        <v>63</v>
      </c>
      <c r="D307" s="24">
        <v>2025</v>
      </c>
      <c r="E307" s="66" t="s">
        <v>195</v>
      </c>
      <c r="F307" s="27">
        <v>48544.241000000038</v>
      </c>
    </row>
    <row r="308" spans="1:6" hidden="1" x14ac:dyDescent="0.3">
      <c r="A308" s="23">
        <v>733510</v>
      </c>
      <c r="B308" s="23" t="s">
        <v>36</v>
      </c>
      <c r="C308" s="24" t="s">
        <v>63</v>
      </c>
      <c r="D308" s="24">
        <v>2025</v>
      </c>
      <c r="E308" s="67" t="s">
        <v>195</v>
      </c>
      <c r="F308" s="28">
        <v>292056.15999999997</v>
      </c>
    </row>
    <row r="309" spans="1:6" hidden="1" x14ac:dyDescent="0.3">
      <c r="A309" s="23">
        <v>733511</v>
      </c>
      <c r="B309" s="23" t="s">
        <v>37</v>
      </c>
      <c r="C309" s="24" t="s">
        <v>58</v>
      </c>
      <c r="D309" s="24">
        <v>2024</v>
      </c>
      <c r="E309" s="66" t="s">
        <v>195</v>
      </c>
      <c r="F309" s="27">
        <v>3793.0459999999985</v>
      </c>
    </row>
    <row r="310" spans="1:6" hidden="1" x14ac:dyDescent="0.3">
      <c r="A310" s="23">
        <v>733511</v>
      </c>
      <c r="B310" s="23" t="s">
        <v>36</v>
      </c>
      <c r="C310" s="24" t="s">
        <v>58</v>
      </c>
      <c r="D310" s="24">
        <v>2024</v>
      </c>
      <c r="E310" s="66" t="s">
        <v>195</v>
      </c>
      <c r="F310" s="27">
        <v>17260.990000000002</v>
      </c>
    </row>
    <row r="311" spans="1:6" hidden="1" x14ac:dyDescent="0.3">
      <c r="A311" s="23">
        <v>733511</v>
      </c>
      <c r="B311" s="23" t="s">
        <v>37</v>
      </c>
      <c r="C311" s="24" t="s">
        <v>58</v>
      </c>
      <c r="D311" s="24">
        <v>2025</v>
      </c>
      <c r="E311" s="66" t="s">
        <v>195</v>
      </c>
      <c r="F311" s="27">
        <v>3783.4349999999977</v>
      </c>
    </row>
    <row r="312" spans="1:6" hidden="1" x14ac:dyDescent="0.3">
      <c r="A312" s="23">
        <v>733511</v>
      </c>
      <c r="B312" s="23" t="s">
        <v>36</v>
      </c>
      <c r="C312" s="24" t="s">
        <v>58</v>
      </c>
      <c r="D312" s="24">
        <v>2025</v>
      </c>
      <c r="E312" s="66" t="s">
        <v>195</v>
      </c>
      <c r="F312" s="27">
        <v>20977.65</v>
      </c>
    </row>
    <row r="313" spans="1:6" hidden="1" x14ac:dyDescent="0.3">
      <c r="A313" s="23">
        <v>733512</v>
      </c>
      <c r="B313" s="23" t="s">
        <v>37</v>
      </c>
      <c r="C313" s="24" t="s">
        <v>59</v>
      </c>
      <c r="D313" s="24">
        <v>2024</v>
      </c>
      <c r="E313" s="66" t="s">
        <v>195</v>
      </c>
      <c r="F313" s="27">
        <v>1159.6090000000004</v>
      </c>
    </row>
    <row r="314" spans="1:6" hidden="1" x14ac:dyDescent="0.3">
      <c r="A314" s="23">
        <v>733512</v>
      </c>
      <c r="B314" s="23" t="s">
        <v>36</v>
      </c>
      <c r="C314" s="24" t="s">
        <v>59</v>
      </c>
      <c r="D314" s="24">
        <v>2024</v>
      </c>
      <c r="E314" s="66" t="s">
        <v>195</v>
      </c>
      <c r="F314" s="27">
        <v>5277</v>
      </c>
    </row>
    <row r="315" spans="1:6" hidden="1" x14ac:dyDescent="0.3">
      <c r="A315" s="23">
        <v>733512</v>
      </c>
      <c r="B315" s="23" t="s">
        <v>37</v>
      </c>
      <c r="C315" s="24" t="s">
        <v>59</v>
      </c>
      <c r="D315" s="24">
        <v>2025</v>
      </c>
      <c r="E315" s="66" t="s">
        <v>195</v>
      </c>
      <c r="F315" s="27">
        <v>1156.6710000000003</v>
      </c>
    </row>
    <row r="316" spans="1:6" hidden="1" x14ac:dyDescent="0.3">
      <c r="A316" s="23">
        <v>733512</v>
      </c>
      <c r="B316" s="23" t="s">
        <v>36</v>
      </c>
      <c r="C316" s="24" t="s">
        <v>59</v>
      </c>
      <c r="D316" s="24">
        <v>2025</v>
      </c>
      <c r="E316" s="66" t="s">
        <v>195</v>
      </c>
      <c r="F316" s="27">
        <v>6413.25</v>
      </c>
    </row>
    <row r="317" spans="1:6" hidden="1" x14ac:dyDescent="0.3">
      <c r="A317" s="23">
        <v>733515</v>
      </c>
      <c r="B317" s="23" t="s">
        <v>38</v>
      </c>
      <c r="C317" s="24" t="s">
        <v>19</v>
      </c>
      <c r="D317" s="24">
        <v>2024</v>
      </c>
      <c r="E317" s="66" t="s">
        <v>195</v>
      </c>
      <c r="F317" s="27">
        <v>930</v>
      </c>
    </row>
    <row r="318" spans="1:6" hidden="1" x14ac:dyDescent="0.3">
      <c r="A318" s="23">
        <v>733515</v>
      </c>
      <c r="B318" s="23" t="s">
        <v>38</v>
      </c>
      <c r="C318" s="24" t="s">
        <v>19</v>
      </c>
      <c r="D318" s="24">
        <v>2025</v>
      </c>
      <c r="E318" s="67" t="s">
        <v>195</v>
      </c>
      <c r="F318" s="28">
        <v>1140.48</v>
      </c>
    </row>
    <row r="319" spans="1:6" hidden="1" x14ac:dyDescent="0.3">
      <c r="A319" s="23">
        <v>733525</v>
      </c>
      <c r="B319" s="23" t="s">
        <v>38</v>
      </c>
      <c r="C319" s="24" t="s">
        <v>20</v>
      </c>
      <c r="D319" s="24">
        <v>2024</v>
      </c>
      <c r="E319" s="66" t="s">
        <v>195</v>
      </c>
      <c r="F319" s="27">
        <v>5463.9210000000003</v>
      </c>
    </row>
    <row r="320" spans="1:6" hidden="1" x14ac:dyDescent="0.3">
      <c r="A320" s="23">
        <v>733525</v>
      </c>
      <c r="B320" s="23" t="s">
        <v>38</v>
      </c>
      <c r="C320" s="24" t="s">
        <v>20</v>
      </c>
      <c r="D320" s="24">
        <v>2025</v>
      </c>
      <c r="E320" s="67" t="s">
        <v>195</v>
      </c>
      <c r="F320" s="28">
        <v>7027.0060000000003</v>
      </c>
    </row>
    <row r="321" spans="1:6" hidden="1" x14ac:dyDescent="0.3">
      <c r="A321" s="23">
        <v>733530</v>
      </c>
      <c r="B321" s="23" t="s">
        <v>38</v>
      </c>
      <c r="C321" s="24" t="s">
        <v>21</v>
      </c>
      <c r="D321" s="24">
        <v>2024</v>
      </c>
      <c r="E321" s="66" t="s">
        <v>195</v>
      </c>
      <c r="F321" s="27">
        <v>58759.828999999998</v>
      </c>
    </row>
    <row r="322" spans="1:6" hidden="1" x14ac:dyDescent="0.3">
      <c r="A322" s="23">
        <v>733530</v>
      </c>
      <c r="B322" s="23" t="s">
        <v>38</v>
      </c>
      <c r="C322" s="24" t="s">
        <v>21</v>
      </c>
      <c r="D322" s="24">
        <v>2025</v>
      </c>
      <c r="E322" s="67" t="s">
        <v>195</v>
      </c>
      <c r="F322" s="28">
        <v>58105.957999999999</v>
      </c>
    </row>
    <row r="323" spans="1:6" hidden="1" x14ac:dyDescent="0.3">
      <c r="A323" s="23">
        <v>733550</v>
      </c>
      <c r="B323" s="23" t="s">
        <v>38</v>
      </c>
      <c r="C323" s="24" t="s">
        <v>22</v>
      </c>
      <c r="D323" s="24">
        <v>2024</v>
      </c>
      <c r="E323" s="66" t="s">
        <v>195</v>
      </c>
      <c r="F323" s="27">
        <v>5258.9740000000002</v>
      </c>
    </row>
    <row r="324" spans="1:6" hidden="1" x14ac:dyDescent="0.3">
      <c r="A324" s="23">
        <v>733550</v>
      </c>
      <c r="B324" s="23" t="s">
        <v>38</v>
      </c>
      <c r="C324" s="24" t="s">
        <v>22</v>
      </c>
      <c r="D324" s="24">
        <v>2025</v>
      </c>
      <c r="E324" s="67" t="s">
        <v>195</v>
      </c>
      <c r="F324" s="28">
        <v>4132.165</v>
      </c>
    </row>
    <row r="325" spans="1:6" hidden="1" x14ac:dyDescent="0.3">
      <c r="A325" s="23">
        <v>733555</v>
      </c>
      <c r="B325" s="23" t="s">
        <v>38</v>
      </c>
      <c r="C325" s="24" t="s">
        <v>23</v>
      </c>
      <c r="D325" s="24">
        <v>2024</v>
      </c>
      <c r="E325" s="66" t="s">
        <v>195</v>
      </c>
      <c r="F325" s="27">
        <v>7400.1890000000003</v>
      </c>
    </row>
    <row r="326" spans="1:6" hidden="1" x14ac:dyDescent="0.3">
      <c r="A326" s="23">
        <v>733555</v>
      </c>
      <c r="B326" s="23" t="s">
        <v>38</v>
      </c>
      <c r="C326" s="24" t="s">
        <v>23</v>
      </c>
      <c r="D326" s="24">
        <v>2025</v>
      </c>
      <c r="E326" s="67" t="s">
        <v>195</v>
      </c>
      <c r="F326" s="28">
        <v>7830.0309999999999</v>
      </c>
    </row>
    <row r="327" spans="1:6" hidden="1" x14ac:dyDescent="0.3">
      <c r="A327" s="23">
        <v>735015</v>
      </c>
      <c r="B327" s="23" t="s">
        <v>38</v>
      </c>
      <c r="C327" s="24" t="s">
        <v>27</v>
      </c>
      <c r="D327" s="24">
        <v>2024</v>
      </c>
      <c r="E327" s="66" t="s">
        <v>195</v>
      </c>
      <c r="F327" s="27">
        <v>1843.0309999999999</v>
      </c>
    </row>
    <row r="328" spans="1:6" hidden="1" x14ac:dyDescent="0.3">
      <c r="A328" s="23">
        <v>735015</v>
      </c>
      <c r="B328" s="23" t="s">
        <v>38</v>
      </c>
      <c r="C328" s="24" t="s">
        <v>27</v>
      </c>
      <c r="D328" s="24">
        <v>2025</v>
      </c>
      <c r="E328" s="67" t="s">
        <v>195</v>
      </c>
      <c r="F328" s="28">
        <v>2578.8040000000001</v>
      </c>
    </row>
    <row r="329" spans="1:6" hidden="1" x14ac:dyDescent="0.3">
      <c r="A329" s="23">
        <v>736005</v>
      </c>
      <c r="B329" s="23" t="s">
        <v>38</v>
      </c>
      <c r="C329" s="24" t="s">
        <v>160</v>
      </c>
      <c r="D329" s="24">
        <v>2024</v>
      </c>
      <c r="E329" s="66" t="s">
        <v>195</v>
      </c>
      <c r="F329" s="27">
        <v>1388.8889999999999</v>
      </c>
    </row>
    <row r="330" spans="1:6" hidden="1" x14ac:dyDescent="0.3">
      <c r="A330" s="23">
        <v>736005</v>
      </c>
      <c r="B330" s="23" t="s">
        <v>38</v>
      </c>
      <c r="C330" s="24" t="s">
        <v>160</v>
      </c>
      <c r="D330" s="24">
        <v>2025</v>
      </c>
      <c r="E330" s="67" t="s">
        <v>195</v>
      </c>
      <c r="F330" s="28">
        <v>1388.8889999999999</v>
      </c>
    </row>
    <row r="331" spans="1:6" hidden="1" x14ac:dyDescent="0.3">
      <c r="A331" s="23">
        <v>736010</v>
      </c>
      <c r="B331" s="23" t="s">
        <v>38</v>
      </c>
      <c r="C331" s="24" t="s">
        <v>160</v>
      </c>
      <c r="D331" s="24">
        <v>2024</v>
      </c>
      <c r="E331" s="66" t="s">
        <v>195</v>
      </c>
      <c r="F331" s="27">
        <v>39022.387999999999</v>
      </c>
    </row>
    <row r="332" spans="1:6" hidden="1" x14ac:dyDescent="0.3">
      <c r="A332" s="23">
        <v>736010</v>
      </c>
      <c r="B332" s="23" t="s">
        <v>38</v>
      </c>
      <c r="C332" s="24" t="s">
        <v>160</v>
      </c>
      <c r="D332" s="24">
        <v>2025</v>
      </c>
      <c r="E332" s="67" t="s">
        <v>195</v>
      </c>
      <c r="F332" s="28">
        <v>37612.053999999996</v>
      </c>
    </row>
    <row r="333" spans="1:6" hidden="1" x14ac:dyDescent="0.3">
      <c r="A333" s="23">
        <v>736015</v>
      </c>
      <c r="B333" s="23" t="s">
        <v>38</v>
      </c>
      <c r="C333" s="24" t="s">
        <v>160</v>
      </c>
      <c r="D333" s="24">
        <v>2024</v>
      </c>
      <c r="E333" s="66" t="s">
        <v>195</v>
      </c>
      <c r="F333" s="27">
        <v>800.89499999999998</v>
      </c>
    </row>
    <row r="334" spans="1:6" hidden="1" x14ac:dyDescent="0.3">
      <c r="A334" s="23">
        <v>736015</v>
      </c>
      <c r="B334" s="23" t="s">
        <v>38</v>
      </c>
      <c r="C334" s="24" t="s">
        <v>160</v>
      </c>
      <c r="D334" s="24">
        <v>2025</v>
      </c>
      <c r="E334" s="67" t="s">
        <v>195</v>
      </c>
      <c r="F334" s="28">
        <v>800.89499999999998</v>
      </c>
    </row>
    <row r="335" spans="1:6" hidden="1" x14ac:dyDescent="0.3">
      <c r="A335" s="23">
        <v>736020</v>
      </c>
      <c r="B335" s="23" t="s">
        <v>38</v>
      </c>
      <c r="C335" s="24" t="s">
        <v>160</v>
      </c>
      <c r="D335" s="24">
        <v>2024</v>
      </c>
      <c r="E335" s="66" t="s">
        <v>195</v>
      </c>
      <c r="F335" s="27">
        <v>478.52300000000002</v>
      </c>
    </row>
    <row r="336" spans="1:6" hidden="1" x14ac:dyDescent="0.3">
      <c r="A336" s="23">
        <v>736020</v>
      </c>
      <c r="B336" s="23" t="s">
        <v>38</v>
      </c>
      <c r="C336" s="24" t="s">
        <v>160</v>
      </c>
      <c r="D336" s="24">
        <v>2025</v>
      </c>
      <c r="E336" s="67" t="s">
        <v>195</v>
      </c>
      <c r="F336" s="28">
        <v>594.327</v>
      </c>
    </row>
    <row r="337" spans="1:6" hidden="1" x14ac:dyDescent="0.3">
      <c r="A337" s="23">
        <v>739525</v>
      </c>
      <c r="B337" s="23" t="s">
        <v>38</v>
      </c>
      <c r="C337" s="24" t="s">
        <v>28</v>
      </c>
      <c r="D337" s="24">
        <v>2024</v>
      </c>
      <c r="E337" s="66" t="s">
        <v>195</v>
      </c>
      <c r="F337" s="27">
        <v>2688.8440000000001</v>
      </c>
    </row>
    <row r="338" spans="1:6" hidden="1" x14ac:dyDescent="0.3">
      <c r="A338" s="23">
        <v>739525</v>
      </c>
      <c r="B338" s="23" t="s">
        <v>38</v>
      </c>
      <c r="C338" s="24" t="s">
        <v>28</v>
      </c>
      <c r="D338" s="24">
        <v>2025</v>
      </c>
      <c r="E338" s="67" t="s">
        <v>195</v>
      </c>
      <c r="F338" s="28">
        <v>2846.15</v>
      </c>
    </row>
    <row r="339" spans="1:6" hidden="1" x14ac:dyDescent="0.3">
      <c r="A339" s="23">
        <v>739530</v>
      </c>
      <c r="B339" s="23" t="s">
        <v>38</v>
      </c>
      <c r="C339" s="24" t="s">
        <v>65</v>
      </c>
      <c r="D339" s="24">
        <v>2024</v>
      </c>
      <c r="E339" s="66" t="s">
        <v>195</v>
      </c>
      <c r="F339" s="27">
        <v>1879.5530000000001</v>
      </c>
    </row>
    <row r="340" spans="1:6" hidden="1" x14ac:dyDescent="0.3">
      <c r="A340" s="23">
        <v>739530</v>
      </c>
      <c r="B340" s="23" t="s">
        <v>38</v>
      </c>
      <c r="C340" s="24" t="s">
        <v>65</v>
      </c>
      <c r="D340" s="24">
        <v>2025</v>
      </c>
      <c r="E340" s="67" t="s">
        <v>195</v>
      </c>
      <c r="F340" s="28">
        <v>4317.4290000000001</v>
      </c>
    </row>
    <row r="341" spans="1:6" hidden="1" x14ac:dyDescent="0.3">
      <c r="A341" s="23">
        <v>739535</v>
      </c>
      <c r="B341" s="23" t="s">
        <v>38</v>
      </c>
      <c r="C341" s="24" t="s">
        <v>29</v>
      </c>
      <c r="D341" s="24">
        <v>2024</v>
      </c>
      <c r="E341" s="66" t="s">
        <v>195</v>
      </c>
      <c r="F341" s="27">
        <v>713.1</v>
      </c>
    </row>
    <row r="342" spans="1:6" hidden="1" x14ac:dyDescent="0.3">
      <c r="A342" s="23">
        <v>739535</v>
      </c>
      <c r="B342" s="23" t="s">
        <v>38</v>
      </c>
      <c r="C342" s="24" t="s">
        <v>29</v>
      </c>
      <c r="D342" s="24">
        <v>2025</v>
      </c>
      <c r="E342" s="67" t="s">
        <v>195</v>
      </c>
      <c r="F342" s="28">
        <v>1049.4110000000001</v>
      </c>
    </row>
    <row r="343" spans="1:6" hidden="1" x14ac:dyDescent="0.3">
      <c r="A343" s="23">
        <v>739560</v>
      </c>
      <c r="B343" s="23" t="s">
        <v>38</v>
      </c>
      <c r="C343" s="24" t="s">
        <v>30</v>
      </c>
      <c r="D343" s="24">
        <v>2024</v>
      </c>
      <c r="E343" s="66" t="s">
        <v>195</v>
      </c>
      <c r="F343" s="27">
        <v>3502.6590000000001</v>
      </c>
    </row>
    <row r="344" spans="1:6" hidden="1" x14ac:dyDescent="0.3">
      <c r="A344" s="23">
        <v>739560</v>
      </c>
      <c r="B344" s="23" t="s">
        <v>38</v>
      </c>
      <c r="C344" s="24" t="s">
        <v>30</v>
      </c>
      <c r="D344" s="24">
        <v>2025</v>
      </c>
      <c r="E344" s="67" t="s">
        <v>195</v>
      </c>
      <c r="F344" s="28">
        <v>488.84699999999998</v>
      </c>
    </row>
    <row r="345" spans="1:6" hidden="1" x14ac:dyDescent="0.3">
      <c r="A345" s="23">
        <v>740101</v>
      </c>
      <c r="B345" s="23" t="s">
        <v>39</v>
      </c>
      <c r="C345" s="24" t="s">
        <v>33</v>
      </c>
      <c r="D345" s="24">
        <v>2024</v>
      </c>
      <c r="E345" s="66" t="s">
        <v>195</v>
      </c>
      <c r="F345" s="27">
        <v>73246.270999999993</v>
      </c>
    </row>
    <row r="346" spans="1:6" hidden="1" x14ac:dyDescent="0.3">
      <c r="A346" s="23">
        <v>740101</v>
      </c>
      <c r="B346" s="23" t="s">
        <v>39</v>
      </c>
      <c r="C346" s="24" t="s">
        <v>33</v>
      </c>
      <c r="D346" s="24">
        <v>2025</v>
      </c>
      <c r="E346" s="67" t="s">
        <v>195</v>
      </c>
      <c r="F346" s="28">
        <v>32050.187000000002</v>
      </c>
    </row>
    <row r="347" spans="1:6" hidden="1" x14ac:dyDescent="0.3">
      <c r="A347" s="23">
        <v>73109502</v>
      </c>
      <c r="B347" s="23" t="s">
        <v>37</v>
      </c>
      <c r="C347" s="24" t="s">
        <v>60</v>
      </c>
      <c r="D347" s="24">
        <v>2024</v>
      </c>
      <c r="E347" s="66" t="s">
        <v>195</v>
      </c>
      <c r="F347" s="27">
        <v>172.53400000000011</v>
      </c>
    </row>
    <row r="348" spans="1:6" hidden="1" x14ac:dyDescent="0.3">
      <c r="A348" s="23">
        <v>73109502</v>
      </c>
      <c r="B348" s="23" t="s">
        <v>36</v>
      </c>
      <c r="C348" s="24" t="s">
        <v>60</v>
      </c>
      <c r="D348" s="24">
        <v>2024</v>
      </c>
      <c r="E348" s="66" t="s">
        <v>195</v>
      </c>
      <c r="F348" s="27">
        <v>2046</v>
      </c>
    </row>
    <row r="349" spans="1:6" hidden="1" x14ac:dyDescent="0.3">
      <c r="A349" s="23">
        <v>73109502</v>
      </c>
      <c r="B349" s="23" t="s">
        <v>37</v>
      </c>
      <c r="C349" s="24" t="s">
        <v>60</v>
      </c>
      <c r="D349" s="24">
        <v>2025</v>
      </c>
      <c r="E349" s="66" t="s">
        <v>195</v>
      </c>
      <c r="F349" s="27">
        <v>128.59599999999989</v>
      </c>
    </row>
    <row r="350" spans="1:6" hidden="1" x14ac:dyDescent="0.3">
      <c r="A350" s="23">
        <v>73109502</v>
      </c>
      <c r="B350" s="23" t="s">
        <v>36</v>
      </c>
      <c r="C350" s="24" t="s">
        <v>60</v>
      </c>
      <c r="D350" s="24">
        <v>2025</v>
      </c>
      <c r="E350" s="66" t="s">
        <v>195</v>
      </c>
      <c r="F350" s="27">
        <v>902.87</v>
      </c>
    </row>
    <row r="351" spans="1:6" hidden="1" x14ac:dyDescent="0.3">
      <c r="A351" s="23">
        <v>73159503</v>
      </c>
      <c r="B351" s="23" t="s">
        <v>38</v>
      </c>
      <c r="C351" s="24" t="s">
        <v>197</v>
      </c>
      <c r="D351" s="24">
        <v>2024</v>
      </c>
      <c r="E351" s="66" t="s">
        <v>195</v>
      </c>
      <c r="F351" s="27">
        <v>4946.5320000000002</v>
      </c>
    </row>
    <row r="352" spans="1:6" hidden="1" x14ac:dyDescent="0.3">
      <c r="A352" s="23">
        <v>73159503</v>
      </c>
      <c r="B352" s="23" t="s">
        <v>38</v>
      </c>
      <c r="C352" s="24" t="s">
        <v>197</v>
      </c>
      <c r="D352" s="24">
        <v>2025</v>
      </c>
      <c r="E352" s="67" t="s">
        <v>195</v>
      </c>
      <c r="F352" s="28">
        <v>231.37</v>
      </c>
    </row>
    <row r="353" spans="1:6" hidden="1" x14ac:dyDescent="0.3">
      <c r="A353" s="23">
        <v>73359501</v>
      </c>
      <c r="B353" s="23" t="s">
        <v>38</v>
      </c>
      <c r="C353" s="24" t="s">
        <v>24</v>
      </c>
      <c r="D353" s="24">
        <v>2024</v>
      </c>
      <c r="E353" s="66" t="s">
        <v>195</v>
      </c>
      <c r="F353" s="27">
        <v>2511</v>
      </c>
    </row>
    <row r="354" spans="1:6" hidden="1" x14ac:dyDescent="0.3">
      <c r="A354" s="23">
        <v>73359501</v>
      </c>
      <c r="B354" s="23" t="s">
        <v>38</v>
      </c>
      <c r="C354" s="24" t="s">
        <v>24</v>
      </c>
      <c r="D354" s="24">
        <v>2025</v>
      </c>
      <c r="E354" s="67" t="s">
        <v>195</v>
      </c>
      <c r="F354" s="28">
        <v>427.5</v>
      </c>
    </row>
    <row r="355" spans="1:6" hidden="1" x14ac:dyDescent="0.3">
      <c r="A355" s="23">
        <v>73359506</v>
      </c>
      <c r="B355" s="23" t="s">
        <v>37</v>
      </c>
      <c r="C355" s="24" t="s">
        <v>25</v>
      </c>
      <c r="D355" s="24">
        <v>2025</v>
      </c>
      <c r="E355" s="67" t="s">
        <v>195</v>
      </c>
      <c r="F355" s="28">
        <v>1400.56</v>
      </c>
    </row>
    <row r="356" spans="1:6" hidden="1" x14ac:dyDescent="0.3">
      <c r="A356" s="23">
        <v>73451501</v>
      </c>
      <c r="B356" s="23" t="s">
        <v>38</v>
      </c>
      <c r="C356" s="24" t="s">
        <v>158</v>
      </c>
      <c r="D356" s="24">
        <v>2024</v>
      </c>
      <c r="E356" s="66" t="s">
        <v>195</v>
      </c>
      <c r="F356" s="27">
        <v>13937.257</v>
      </c>
    </row>
    <row r="357" spans="1:6" hidden="1" x14ac:dyDescent="0.3">
      <c r="A357" s="23">
        <v>73451501</v>
      </c>
      <c r="B357" s="23" t="s">
        <v>38</v>
      </c>
      <c r="C357" s="24" t="s">
        <v>158</v>
      </c>
      <c r="D357" s="24">
        <v>2025</v>
      </c>
      <c r="E357" s="67" t="s">
        <v>195</v>
      </c>
      <c r="F357" s="28">
        <v>40</v>
      </c>
    </row>
    <row r="358" spans="1:6" hidden="1" x14ac:dyDescent="0.3">
      <c r="A358" s="23">
        <v>73451502</v>
      </c>
      <c r="B358" s="23" t="s">
        <v>38</v>
      </c>
      <c r="C358" s="24" t="s">
        <v>158</v>
      </c>
      <c r="D358" s="24">
        <v>2024</v>
      </c>
      <c r="E358" s="66" t="s">
        <v>195</v>
      </c>
      <c r="F358" s="27">
        <v>11190.339</v>
      </c>
    </row>
    <row r="359" spans="1:6" hidden="1" x14ac:dyDescent="0.3">
      <c r="A359" s="23">
        <v>73451502</v>
      </c>
      <c r="B359" s="23" t="s">
        <v>38</v>
      </c>
      <c r="C359" s="24" t="s">
        <v>158</v>
      </c>
      <c r="D359" s="24">
        <v>2025</v>
      </c>
      <c r="E359" s="67" t="s">
        <v>195</v>
      </c>
      <c r="F359" s="28">
        <v>5515.232</v>
      </c>
    </row>
    <row r="360" spans="1:6" hidden="1" x14ac:dyDescent="0.3">
      <c r="A360" s="23">
        <v>73451503</v>
      </c>
      <c r="B360" s="23" t="s">
        <v>38</v>
      </c>
      <c r="C360" s="24" t="s">
        <v>159</v>
      </c>
      <c r="D360" s="24">
        <v>2024</v>
      </c>
      <c r="E360" s="66" t="s">
        <v>195</v>
      </c>
      <c r="F360" s="27">
        <v>13671.29</v>
      </c>
    </row>
    <row r="361" spans="1:6" hidden="1" x14ac:dyDescent="0.3">
      <c r="A361" s="23">
        <v>73451503</v>
      </c>
      <c r="B361" s="23" t="s">
        <v>38</v>
      </c>
      <c r="C361" s="24" t="s">
        <v>159</v>
      </c>
      <c r="D361" s="24">
        <v>2025</v>
      </c>
      <c r="E361" s="67" t="s">
        <v>195</v>
      </c>
      <c r="F361" s="28">
        <v>6144.8</v>
      </c>
    </row>
    <row r="362" spans="1:6" hidden="1" x14ac:dyDescent="0.3">
      <c r="A362" s="23">
        <v>73451504</v>
      </c>
      <c r="B362" s="23" t="s">
        <v>38</v>
      </c>
      <c r="C362" s="24" t="s">
        <v>159</v>
      </c>
      <c r="D362" s="24">
        <v>2024</v>
      </c>
      <c r="E362" s="66" t="s">
        <v>195</v>
      </c>
      <c r="F362" s="27">
        <v>2754.0309999999999</v>
      </c>
    </row>
    <row r="363" spans="1:6" hidden="1" x14ac:dyDescent="0.3">
      <c r="A363" s="23">
        <v>73451504</v>
      </c>
      <c r="B363" s="23" t="s">
        <v>38</v>
      </c>
      <c r="C363" s="24" t="s">
        <v>159</v>
      </c>
      <c r="D363" s="24">
        <v>2025</v>
      </c>
      <c r="E363" s="67" t="s">
        <v>195</v>
      </c>
      <c r="F363" s="28">
        <v>1486.7470000000001</v>
      </c>
    </row>
    <row r="364" spans="1:6" hidden="1" x14ac:dyDescent="0.3">
      <c r="A364" s="23">
        <v>73451507</v>
      </c>
      <c r="B364" s="23" t="s">
        <v>38</v>
      </c>
      <c r="C364" s="24" t="s">
        <v>26</v>
      </c>
      <c r="D364" s="24">
        <v>2025</v>
      </c>
      <c r="E364" s="66" t="s">
        <v>195</v>
      </c>
      <c r="F364" s="27">
        <v>90</v>
      </c>
    </row>
    <row r="365" spans="1:6" hidden="1" x14ac:dyDescent="0.3">
      <c r="A365" s="23">
        <v>73452501</v>
      </c>
      <c r="B365" s="23" t="s">
        <v>38</v>
      </c>
      <c r="C365" s="24" t="s">
        <v>74</v>
      </c>
      <c r="D365" s="24">
        <v>2024</v>
      </c>
      <c r="E365" s="66" t="s">
        <v>195</v>
      </c>
      <c r="F365" s="27">
        <v>597.51700000000005</v>
      </c>
    </row>
    <row r="366" spans="1:6" hidden="1" x14ac:dyDescent="0.3">
      <c r="A366" s="23">
        <v>73452501</v>
      </c>
      <c r="B366" s="23" t="s">
        <v>38</v>
      </c>
      <c r="C366" s="24" t="s">
        <v>74</v>
      </c>
      <c r="D366" s="24">
        <v>2025</v>
      </c>
      <c r="E366" s="66" t="s">
        <v>195</v>
      </c>
      <c r="F366" s="27">
        <v>787.01</v>
      </c>
    </row>
    <row r="367" spans="1:6" hidden="1" x14ac:dyDescent="0.3">
      <c r="A367" s="23">
        <v>73452502</v>
      </c>
      <c r="B367" s="23" t="s">
        <v>38</v>
      </c>
      <c r="C367" s="24" t="s">
        <v>64</v>
      </c>
      <c r="D367" s="24">
        <v>2024</v>
      </c>
      <c r="E367" s="67" t="s">
        <v>195</v>
      </c>
      <c r="F367" s="28">
        <v>126.05</v>
      </c>
    </row>
    <row r="368" spans="1:6" hidden="1" x14ac:dyDescent="0.3">
      <c r="A368" s="23">
        <v>73959501</v>
      </c>
      <c r="B368" s="23" t="s">
        <v>38</v>
      </c>
      <c r="C368" s="24" t="s">
        <v>31</v>
      </c>
      <c r="D368" s="24">
        <v>2024</v>
      </c>
      <c r="E368" s="66" t="s">
        <v>195</v>
      </c>
      <c r="F368" s="27">
        <v>49629.004999999997</v>
      </c>
    </row>
    <row r="369" spans="1:6" hidden="1" x14ac:dyDescent="0.3">
      <c r="A369" s="23">
        <v>73959503</v>
      </c>
      <c r="B369" s="23" t="s">
        <v>38</v>
      </c>
      <c r="C369" s="24" t="s">
        <v>198</v>
      </c>
      <c r="D369" s="24">
        <v>2025</v>
      </c>
      <c r="E369" s="67" t="s">
        <v>195</v>
      </c>
      <c r="F369" s="28">
        <v>2089.7939999999999</v>
      </c>
    </row>
    <row r="370" spans="1:6" hidden="1" x14ac:dyDescent="0.3">
      <c r="A370" s="23">
        <v>73959504</v>
      </c>
      <c r="B370" s="23" t="s">
        <v>37</v>
      </c>
      <c r="C370" s="24" t="s">
        <v>32</v>
      </c>
      <c r="D370" s="24">
        <v>2024</v>
      </c>
      <c r="E370" s="66" t="s">
        <v>195</v>
      </c>
      <c r="F370" s="27">
        <v>119.40000000000009</v>
      </c>
    </row>
    <row r="371" spans="1:6" hidden="1" x14ac:dyDescent="0.3">
      <c r="A371" s="23">
        <v>73959504</v>
      </c>
      <c r="B371" s="23" t="s">
        <v>36</v>
      </c>
      <c r="C371" s="24" t="s">
        <v>32</v>
      </c>
      <c r="D371" s="24">
        <v>2024</v>
      </c>
      <c r="E371" s="66" t="s">
        <v>195</v>
      </c>
      <c r="F371" s="27">
        <v>2040.4</v>
      </c>
    </row>
    <row r="372" spans="1:6" hidden="1" x14ac:dyDescent="0.3">
      <c r="A372" s="23">
        <v>73959504</v>
      </c>
      <c r="B372" s="23" t="s">
        <v>37</v>
      </c>
      <c r="C372" s="24" t="s">
        <v>32</v>
      </c>
      <c r="D372" s="24">
        <v>2025</v>
      </c>
      <c r="E372" s="66" t="s">
        <v>195</v>
      </c>
      <c r="F372" s="27">
        <v>607.25</v>
      </c>
    </row>
    <row r="373" spans="1:6" hidden="1" x14ac:dyDescent="0.3">
      <c r="A373" s="23">
        <v>73959504</v>
      </c>
      <c r="B373" s="23" t="s">
        <v>36</v>
      </c>
      <c r="C373" s="24" t="s">
        <v>32</v>
      </c>
      <c r="D373" s="24">
        <v>2025</v>
      </c>
      <c r="E373" s="67" t="s">
        <v>195</v>
      </c>
      <c r="F373" s="28">
        <v>1298.6500000000001</v>
      </c>
    </row>
    <row r="374" spans="1:6" hidden="1" x14ac:dyDescent="0.3">
      <c r="A374" s="23">
        <v>73959510</v>
      </c>
      <c r="B374" s="23" t="s">
        <v>38</v>
      </c>
      <c r="C374" s="24" t="s">
        <v>67</v>
      </c>
      <c r="D374" s="24">
        <v>2024</v>
      </c>
      <c r="E374" s="66" t="s">
        <v>195</v>
      </c>
      <c r="F374" s="27">
        <v>2270.41</v>
      </c>
    </row>
    <row r="375" spans="1:6" hidden="1" x14ac:dyDescent="0.3">
      <c r="A375" s="23">
        <v>73959510</v>
      </c>
      <c r="B375" s="23" t="s">
        <v>38</v>
      </c>
      <c r="C375" s="24" t="s">
        <v>67</v>
      </c>
      <c r="D375" s="24">
        <v>2025</v>
      </c>
      <c r="E375" s="67" t="s">
        <v>195</v>
      </c>
      <c r="F375" s="28">
        <v>739.15</v>
      </c>
    </row>
    <row r="376" spans="1:6" hidden="1" x14ac:dyDescent="0.3">
      <c r="A376" s="23" t="s">
        <v>81</v>
      </c>
      <c r="B376" s="23" t="s">
        <v>36</v>
      </c>
      <c r="C376" s="24" t="s">
        <v>5</v>
      </c>
      <c r="D376" s="24">
        <v>2026</v>
      </c>
      <c r="E376" s="67" t="s">
        <v>195</v>
      </c>
      <c r="F376" s="27">
        <v>50166.385000000002</v>
      </c>
    </row>
    <row r="377" spans="1:6" hidden="1" x14ac:dyDescent="0.3">
      <c r="A377" s="23" t="s">
        <v>82</v>
      </c>
      <c r="B377" s="23" t="s">
        <v>36</v>
      </c>
      <c r="C377" s="24" t="s">
        <v>6</v>
      </c>
      <c r="D377" s="24">
        <v>2026</v>
      </c>
      <c r="E377" s="67" t="s">
        <v>195</v>
      </c>
      <c r="F377" s="27">
        <v>7311.067</v>
      </c>
    </row>
    <row r="378" spans="1:6" hidden="1" x14ac:dyDescent="0.3">
      <c r="A378" s="23" t="s">
        <v>83</v>
      </c>
      <c r="B378" s="23" t="s">
        <v>36</v>
      </c>
      <c r="C378" s="24" t="s">
        <v>7</v>
      </c>
      <c r="D378" s="24">
        <v>2026</v>
      </c>
      <c r="E378" s="67" t="s">
        <v>195</v>
      </c>
      <c r="F378" s="27">
        <v>2217.817</v>
      </c>
    </row>
    <row r="379" spans="1:6" hidden="1" x14ac:dyDescent="0.3">
      <c r="A379" s="23" t="s">
        <v>84</v>
      </c>
      <c r="B379" s="23" t="s">
        <v>36</v>
      </c>
      <c r="C379" s="24" t="s">
        <v>8</v>
      </c>
      <c r="D379" s="24">
        <v>2026</v>
      </c>
      <c r="E379" s="67" t="s">
        <v>195</v>
      </c>
      <c r="F379" s="27">
        <v>7099.21</v>
      </c>
    </row>
    <row r="380" spans="1:6" hidden="1" x14ac:dyDescent="0.3">
      <c r="A380" s="23" t="s">
        <v>85</v>
      </c>
      <c r="B380" s="23" t="s">
        <v>36</v>
      </c>
      <c r="C380" s="24" t="s">
        <v>154</v>
      </c>
      <c r="D380" s="24">
        <v>2026</v>
      </c>
      <c r="E380" s="67" t="s">
        <v>195</v>
      </c>
      <c r="F380" s="27">
        <v>5701.4120000000003</v>
      </c>
    </row>
    <row r="381" spans="1:6" hidden="1" x14ac:dyDescent="0.3">
      <c r="A381" s="23" t="s">
        <v>86</v>
      </c>
      <c r="B381" s="23" t="s">
        <v>36</v>
      </c>
      <c r="C381" s="24" t="s">
        <v>154</v>
      </c>
      <c r="D381" s="24">
        <v>2026</v>
      </c>
      <c r="E381" s="67" t="s">
        <v>195</v>
      </c>
      <c r="F381" s="27">
        <v>684.44200000000001</v>
      </c>
    </row>
    <row r="382" spans="1:6" hidden="1" x14ac:dyDescent="0.3">
      <c r="A382" s="23" t="s">
        <v>87</v>
      </c>
      <c r="B382" s="23" t="s">
        <v>36</v>
      </c>
      <c r="C382" s="24" t="s">
        <v>154</v>
      </c>
      <c r="D382" s="24">
        <v>2026</v>
      </c>
      <c r="E382" s="67" t="s">
        <v>195</v>
      </c>
      <c r="F382" s="27">
        <v>5701.4120000000003</v>
      </c>
    </row>
    <row r="383" spans="1:6" hidden="1" x14ac:dyDescent="0.3">
      <c r="A383" s="23" t="s">
        <v>88</v>
      </c>
      <c r="B383" s="23" t="s">
        <v>36</v>
      </c>
      <c r="C383" s="24" t="s">
        <v>154</v>
      </c>
      <c r="D383" s="24">
        <v>2026</v>
      </c>
      <c r="E383" s="67" t="s">
        <v>195</v>
      </c>
      <c r="F383" s="27">
        <v>2558.096</v>
      </c>
    </row>
    <row r="384" spans="1:6" hidden="1" x14ac:dyDescent="0.3">
      <c r="A384" s="23" t="s">
        <v>89</v>
      </c>
      <c r="B384" s="23" t="s">
        <v>36</v>
      </c>
      <c r="C384" s="24" t="s">
        <v>154</v>
      </c>
      <c r="D384" s="24">
        <v>2026</v>
      </c>
      <c r="E384" s="67" t="s">
        <v>195</v>
      </c>
      <c r="F384" s="27">
        <v>846.57399999999996</v>
      </c>
    </row>
    <row r="385" spans="1:6" hidden="1" x14ac:dyDescent="0.3">
      <c r="A385" s="23" t="s">
        <v>90</v>
      </c>
      <c r="B385" s="23" t="s">
        <v>36</v>
      </c>
      <c r="C385" s="24" t="s">
        <v>155</v>
      </c>
      <c r="D385" s="24">
        <v>2026</v>
      </c>
      <c r="E385" s="67" t="s">
        <v>195</v>
      </c>
      <c r="F385" s="27">
        <v>24915.5</v>
      </c>
    </row>
    <row r="386" spans="1:6" hidden="1" x14ac:dyDescent="0.3">
      <c r="A386" s="23" t="s">
        <v>91</v>
      </c>
      <c r="B386" s="23" t="s">
        <v>36</v>
      </c>
      <c r="C386" s="24" t="s">
        <v>156</v>
      </c>
      <c r="D386" s="24">
        <v>2026</v>
      </c>
      <c r="E386" s="67" t="s">
        <v>195</v>
      </c>
      <c r="F386" s="27">
        <v>2241.3629999999998</v>
      </c>
    </row>
    <row r="387" spans="1:6" hidden="1" x14ac:dyDescent="0.3">
      <c r="A387" s="23" t="s">
        <v>93</v>
      </c>
      <c r="B387" s="23" t="s">
        <v>36</v>
      </c>
      <c r="C387" s="24" t="s">
        <v>11</v>
      </c>
      <c r="D387" s="24">
        <v>2026</v>
      </c>
      <c r="E387" s="67" t="s">
        <v>195</v>
      </c>
      <c r="F387" s="27">
        <v>6067.1419999999998</v>
      </c>
    </row>
    <row r="388" spans="1:6" hidden="1" x14ac:dyDescent="0.3">
      <c r="A388" s="23" t="s">
        <v>94</v>
      </c>
      <c r="B388" s="23" t="s">
        <v>36</v>
      </c>
      <c r="C388" s="30" t="s">
        <v>157</v>
      </c>
      <c r="D388" s="24">
        <v>2026</v>
      </c>
      <c r="E388" s="67" t="s">
        <v>195</v>
      </c>
      <c r="F388" s="27">
        <v>1406.7</v>
      </c>
    </row>
    <row r="389" spans="1:6" hidden="1" x14ac:dyDescent="0.3">
      <c r="A389" s="23" t="s">
        <v>96</v>
      </c>
      <c r="B389" s="23" t="s">
        <v>36</v>
      </c>
      <c r="C389" s="30" t="s">
        <v>157</v>
      </c>
      <c r="D389" s="24">
        <v>2026</v>
      </c>
      <c r="E389" s="67" t="s">
        <v>195</v>
      </c>
      <c r="F389" s="27">
        <v>7102.4</v>
      </c>
    </row>
    <row r="390" spans="1:6" hidden="1" x14ac:dyDescent="0.3">
      <c r="A390" s="23" t="s">
        <v>97</v>
      </c>
      <c r="B390" s="23" t="s">
        <v>36</v>
      </c>
      <c r="C390" s="30" t="s">
        <v>157</v>
      </c>
      <c r="D390" s="24">
        <v>2026</v>
      </c>
      <c r="E390" s="67" t="s">
        <v>195</v>
      </c>
      <c r="F390" s="27">
        <v>2389.5</v>
      </c>
    </row>
    <row r="391" spans="1:6" hidden="1" x14ac:dyDescent="0.3">
      <c r="A391" s="23" t="s">
        <v>98</v>
      </c>
      <c r="B391" s="23" t="s">
        <v>37</v>
      </c>
      <c r="C391" s="24" t="s">
        <v>5</v>
      </c>
      <c r="D391" s="24">
        <v>2026</v>
      </c>
      <c r="E391" s="67" t="s">
        <v>195</v>
      </c>
      <c r="F391" s="27">
        <v>75219.213000000003</v>
      </c>
    </row>
    <row r="392" spans="1:6" hidden="1" x14ac:dyDescent="0.3">
      <c r="A392" s="23" t="s">
        <v>99</v>
      </c>
      <c r="B392" s="23" t="s">
        <v>37</v>
      </c>
      <c r="C392" s="24" t="s">
        <v>13</v>
      </c>
      <c r="D392" s="24">
        <v>2026</v>
      </c>
      <c r="E392" s="67" t="s">
        <v>195</v>
      </c>
      <c r="F392" s="27">
        <v>1750.9059999999999</v>
      </c>
    </row>
    <row r="393" spans="1:6" hidden="1" x14ac:dyDescent="0.3">
      <c r="A393" s="23" t="s">
        <v>100</v>
      </c>
      <c r="B393" s="23" t="s">
        <v>37</v>
      </c>
      <c r="C393" s="24" t="s">
        <v>6</v>
      </c>
      <c r="D393" s="24">
        <v>2026</v>
      </c>
      <c r="E393" s="67" t="s">
        <v>195</v>
      </c>
      <c r="F393" s="27">
        <v>5693.04</v>
      </c>
    </row>
    <row r="394" spans="1:6" hidden="1" x14ac:dyDescent="0.3">
      <c r="A394" s="23" t="s">
        <v>101</v>
      </c>
      <c r="B394" s="23" t="s">
        <v>37</v>
      </c>
      <c r="C394" s="24" t="s">
        <v>7</v>
      </c>
      <c r="D394" s="24">
        <v>2026</v>
      </c>
      <c r="E394" s="67" t="s">
        <v>195</v>
      </c>
      <c r="F394" s="27">
        <v>246.55600000000001</v>
      </c>
    </row>
    <row r="395" spans="1:6" hidden="1" x14ac:dyDescent="0.3">
      <c r="A395" s="23" t="s">
        <v>102</v>
      </c>
      <c r="B395" s="23" t="s">
        <v>37</v>
      </c>
      <c r="C395" s="24" t="s">
        <v>14</v>
      </c>
      <c r="D395" s="24">
        <v>2026</v>
      </c>
      <c r="E395" s="67" t="s">
        <v>195</v>
      </c>
      <c r="F395" s="27">
        <v>3968.915</v>
      </c>
    </row>
    <row r="396" spans="1:6" hidden="1" x14ac:dyDescent="0.3">
      <c r="A396" s="23" t="s">
        <v>103</v>
      </c>
      <c r="B396" s="23" t="s">
        <v>37</v>
      </c>
      <c r="C396" s="24" t="s">
        <v>154</v>
      </c>
      <c r="D396" s="24">
        <v>2026</v>
      </c>
      <c r="E396" s="67" t="s">
        <v>195</v>
      </c>
      <c r="F396" s="27">
        <v>7623.8590000000004</v>
      </c>
    </row>
    <row r="397" spans="1:6" hidden="1" x14ac:dyDescent="0.3">
      <c r="A397" s="23" t="s">
        <v>104</v>
      </c>
      <c r="B397" s="23" t="s">
        <v>37</v>
      </c>
      <c r="C397" s="24" t="s">
        <v>154</v>
      </c>
      <c r="D397" s="24">
        <v>2026</v>
      </c>
      <c r="E397" s="67" t="s">
        <v>195</v>
      </c>
      <c r="F397" s="27">
        <v>915.22799999999995</v>
      </c>
    </row>
    <row r="398" spans="1:6" hidden="1" x14ac:dyDescent="0.3">
      <c r="A398" s="23" t="s">
        <v>105</v>
      </c>
      <c r="B398" s="23" t="s">
        <v>37</v>
      </c>
      <c r="C398" s="24" t="s">
        <v>154</v>
      </c>
      <c r="D398" s="24">
        <v>2026</v>
      </c>
      <c r="E398" s="67" t="s">
        <v>195</v>
      </c>
      <c r="F398" s="27">
        <v>7623.8590000000004</v>
      </c>
    </row>
    <row r="399" spans="1:6" hidden="1" x14ac:dyDescent="0.3">
      <c r="A399" s="23" t="s">
        <v>106</v>
      </c>
      <c r="B399" s="23" t="s">
        <v>37</v>
      </c>
      <c r="C399" s="24" t="s">
        <v>154</v>
      </c>
      <c r="D399" s="24">
        <v>2026</v>
      </c>
      <c r="E399" s="67" t="s">
        <v>195</v>
      </c>
      <c r="F399" s="27">
        <v>3651.0010000000002</v>
      </c>
    </row>
    <row r="400" spans="1:6" hidden="1" x14ac:dyDescent="0.3">
      <c r="A400" s="23" t="s">
        <v>107</v>
      </c>
      <c r="B400" s="23" t="s">
        <v>37</v>
      </c>
      <c r="C400" s="24" t="s">
        <v>154</v>
      </c>
      <c r="D400" s="24">
        <v>2026</v>
      </c>
      <c r="E400" s="67" t="s">
        <v>195</v>
      </c>
      <c r="F400" s="27">
        <v>1208.25</v>
      </c>
    </row>
    <row r="401" spans="1:6" hidden="1" x14ac:dyDescent="0.3">
      <c r="A401" s="23" t="s">
        <v>199</v>
      </c>
      <c r="B401" s="23" t="s">
        <v>37</v>
      </c>
      <c r="C401" s="24" t="s">
        <v>155</v>
      </c>
      <c r="D401" s="24">
        <v>2026</v>
      </c>
      <c r="E401" s="67" t="s">
        <v>195</v>
      </c>
      <c r="F401" s="27">
        <v>3049.096</v>
      </c>
    </row>
    <row r="402" spans="1:6" hidden="1" x14ac:dyDescent="0.3">
      <c r="A402" s="23" t="s">
        <v>108</v>
      </c>
      <c r="B402" s="23" t="s">
        <v>37</v>
      </c>
      <c r="C402" s="24" t="s">
        <v>155</v>
      </c>
      <c r="D402" s="24">
        <v>2026</v>
      </c>
      <c r="E402" s="67" t="s">
        <v>195</v>
      </c>
      <c r="F402" s="27">
        <v>37857.160000000003</v>
      </c>
    </row>
    <row r="403" spans="1:6" hidden="1" x14ac:dyDescent="0.3">
      <c r="A403" s="23" t="s">
        <v>109</v>
      </c>
      <c r="B403" s="23" t="s">
        <v>37</v>
      </c>
      <c r="C403" s="24" t="s">
        <v>156</v>
      </c>
      <c r="D403" s="24">
        <v>2026</v>
      </c>
      <c r="E403" s="67" t="s">
        <v>195</v>
      </c>
      <c r="F403" s="27">
        <v>3413.6010000000001</v>
      </c>
    </row>
    <row r="404" spans="1:6" hidden="1" x14ac:dyDescent="0.3">
      <c r="A404" s="23" t="s">
        <v>111</v>
      </c>
      <c r="B404" s="23" t="s">
        <v>37</v>
      </c>
      <c r="C404" s="24" t="s">
        <v>11</v>
      </c>
      <c r="D404" s="24">
        <v>2026</v>
      </c>
      <c r="E404" s="67" t="s">
        <v>195</v>
      </c>
      <c r="F404" s="27">
        <v>679.43100000000004</v>
      </c>
    </row>
    <row r="405" spans="1:6" hidden="1" x14ac:dyDescent="0.3">
      <c r="A405" s="23" t="s">
        <v>113</v>
      </c>
      <c r="B405" s="23" t="s">
        <v>37</v>
      </c>
      <c r="C405" s="30" t="s">
        <v>157</v>
      </c>
      <c r="D405" s="24">
        <v>2026</v>
      </c>
      <c r="E405" s="67" t="s">
        <v>195</v>
      </c>
      <c r="F405" s="27">
        <v>2028.65</v>
      </c>
    </row>
    <row r="406" spans="1:6" hidden="1" x14ac:dyDescent="0.3">
      <c r="A406" s="23" t="s">
        <v>115</v>
      </c>
      <c r="B406" s="23" t="s">
        <v>37</v>
      </c>
      <c r="C406" s="30" t="s">
        <v>157</v>
      </c>
      <c r="D406" s="24">
        <v>2026</v>
      </c>
      <c r="E406" s="67" t="s">
        <v>195</v>
      </c>
      <c r="F406" s="27">
        <v>10474.299999999999</v>
      </c>
    </row>
    <row r="407" spans="1:6" hidden="1" x14ac:dyDescent="0.3">
      <c r="A407" s="23" t="s">
        <v>116</v>
      </c>
      <c r="B407" s="23" t="s">
        <v>37</v>
      </c>
      <c r="C407" s="30" t="s">
        <v>157</v>
      </c>
      <c r="D407" s="24">
        <v>2026</v>
      </c>
      <c r="E407" s="67" t="s">
        <v>195</v>
      </c>
      <c r="F407" s="27">
        <v>3492.25</v>
      </c>
    </row>
    <row r="408" spans="1:6" hidden="1" x14ac:dyDescent="0.3">
      <c r="A408" s="23" t="s">
        <v>200</v>
      </c>
      <c r="B408" s="23" t="s">
        <v>37</v>
      </c>
      <c r="C408" s="24" t="s">
        <v>12</v>
      </c>
      <c r="D408" s="24">
        <v>2026</v>
      </c>
      <c r="E408" s="67" t="s">
        <v>195</v>
      </c>
      <c r="F408" s="27">
        <v>229.31</v>
      </c>
    </row>
    <row r="409" spans="1:6" hidden="1" x14ac:dyDescent="0.3">
      <c r="A409" s="23" t="s">
        <v>117</v>
      </c>
      <c r="B409" s="23" t="s">
        <v>37</v>
      </c>
      <c r="C409" s="24" t="s">
        <v>60</v>
      </c>
      <c r="D409" s="24">
        <v>2026</v>
      </c>
      <c r="E409" s="67" t="s">
        <v>195</v>
      </c>
      <c r="F409" s="27">
        <f>1970.284-1333.26</f>
        <v>637.02400000000011</v>
      </c>
    </row>
    <row r="410" spans="1:6" hidden="1" x14ac:dyDescent="0.3">
      <c r="A410" s="23" t="s">
        <v>117</v>
      </c>
      <c r="B410" s="23" t="s">
        <v>36</v>
      </c>
      <c r="C410" s="24" t="s">
        <v>60</v>
      </c>
      <c r="D410" s="24">
        <v>2026</v>
      </c>
      <c r="E410" s="67" t="s">
        <v>195</v>
      </c>
      <c r="F410" s="27">
        <v>1333.26</v>
      </c>
    </row>
    <row r="411" spans="1:6" hidden="1" x14ac:dyDescent="0.3">
      <c r="A411" s="23" t="s">
        <v>201</v>
      </c>
      <c r="B411" s="23" t="s">
        <v>38</v>
      </c>
      <c r="C411" s="24" t="s">
        <v>202</v>
      </c>
      <c r="D411" s="24">
        <v>2026</v>
      </c>
      <c r="E411" s="67" t="s">
        <v>195</v>
      </c>
      <c r="F411" s="27">
        <v>14303</v>
      </c>
    </row>
    <row r="412" spans="1:6" hidden="1" x14ac:dyDescent="0.3">
      <c r="A412" s="23" t="s">
        <v>203</v>
      </c>
      <c r="B412" s="23" t="s">
        <v>38</v>
      </c>
      <c r="C412" s="24" t="s">
        <v>204</v>
      </c>
      <c r="D412" s="24">
        <v>2026</v>
      </c>
      <c r="E412" s="67" t="s">
        <v>195</v>
      </c>
      <c r="F412" s="27">
        <v>564</v>
      </c>
    </row>
    <row r="413" spans="1:6" hidden="1" x14ac:dyDescent="0.3">
      <c r="A413" s="23" t="s">
        <v>118</v>
      </c>
      <c r="B413" s="23" t="s">
        <v>38</v>
      </c>
      <c r="C413" s="24" t="s">
        <v>61</v>
      </c>
      <c r="D413" s="24">
        <v>2026</v>
      </c>
      <c r="E413" s="67" t="s">
        <v>195</v>
      </c>
      <c r="F413" s="27">
        <v>85361</v>
      </c>
    </row>
    <row r="414" spans="1:6" hidden="1" x14ac:dyDescent="0.3">
      <c r="A414" s="23" t="s">
        <v>119</v>
      </c>
      <c r="B414" s="23" t="s">
        <v>38</v>
      </c>
      <c r="C414" s="24" t="s">
        <v>18</v>
      </c>
      <c r="D414" s="24">
        <v>2026</v>
      </c>
      <c r="E414" s="67" t="s">
        <v>195</v>
      </c>
      <c r="F414" s="27">
        <v>7213.9309999999996</v>
      </c>
    </row>
    <row r="415" spans="1:6" hidden="1" x14ac:dyDescent="0.3">
      <c r="A415" s="23" t="s">
        <v>120</v>
      </c>
      <c r="B415" s="23" t="s">
        <v>38</v>
      </c>
      <c r="C415" s="24" t="s">
        <v>62</v>
      </c>
      <c r="D415" s="24">
        <v>2026</v>
      </c>
      <c r="E415" s="67" t="s">
        <v>195</v>
      </c>
      <c r="F415" s="27">
        <v>4125.0039999999999</v>
      </c>
    </row>
    <row r="416" spans="1:6" hidden="1" x14ac:dyDescent="0.3">
      <c r="A416" s="23" t="s">
        <v>121</v>
      </c>
      <c r="B416" s="23" t="s">
        <v>37</v>
      </c>
      <c r="C416" s="24" t="s">
        <v>63</v>
      </c>
      <c r="D416" s="24">
        <v>2026</v>
      </c>
      <c r="E416" s="67" t="s">
        <v>195</v>
      </c>
      <c r="F416" s="27">
        <f>396673.789-330918.04</f>
        <v>65755.749000000011</v>
      </c>
    </row>
    <row r="417" spans="1:6" hidden="1" x14ac:dyDescent="0.3">
      <c r="A417" s="23" t="s">
        <v>121</v>
      </c>
      <c r="B417" s="23" t="s">
        <v>36</v>
      </c>
      <c r="C417" s="24" t="s">
        <v>63</v>
      </c>
      <c r="D417" s="24">
        <v>2026</v>
      </c>
      <c r="E417" s="67" t="s">
        <v>195</v>
      </c>
      <c r="F417" s="27">
        <v>330918.03999999998</v>
      </c>
    </row>
    <row r="418" spans="1:6" hidden="1" x14ac:dyDescent="0.3">
      <c r="A418" s="23" t="s">
        <v>122</v>
      </c>
      <c r="B418" s="23" t="s">
        <v>37</v>
      </c>
      <c r="C418" s="24" t="s">
        <v>58</v>
      </c>
      <c r="D418" s="24">
        <v>2026</v>
      </c>
      <c r="E418" s="67" t="s">
        <v>195</v>
      </c>
      <c r="F418" s="27">
        <f>84278.559-69286.85</f>
        <v>14991.708999999988</v>
      </c>
    </row>
    <row r="419" spans="1:6" hidden="1" x14ac:dyDescent="0.3">
      <c r="A419" s="23" t="s">
        <v>122</v>
      </c>
      <c r="B419" s="23" t="s">
        <v>36</v>
      </c>
      <c r="C419" s="24" t="s">
        <v>58</v>
      </c>
      <c r="D419" s="24">
        <v>2026</v>
      </c>
      <c r="E419" s="67" t="s">
        <v>195</v>
      </c>
      <c r="F419" s="27">
        <v>69286.850000000006</v>
      </c>
    </row>
    <row r="420" spans="1:6" hidden="1" x14ac:dyDescent="0.3">
      <c r="A420" s="23" t="s">
        <v>124</v>
      </c>
      <c r="B420" s="23" t="s">
        <v>38</v>
      </c>
      <c r="C420" s="24" t="s">
        <v>19</v>
      </c>
      <c r="D420" s="24">
        <v>2026</v>
      </c>
      <c r="E420" s="67" t="s">
        <v>195</v>
      </c>
      <c r="F420" s="27">
        <v>14950</v>
      </c>
    </row>
    <row r="421" spans="1:6" hidden="1" x14ac:dyDescent="0.3">
      <c r="A421" s="23" t="s">
        <v>125</v>
      </c>
      <c r="B421" s="23" t="s">
        <v>38</v>
      </c>
      <c r="C421" s="24" t="s">
        <v>20</v>
      </c>
      <c r="D421" s="24">
        <v>2026</v>
      </c>
      <c r="E421" s="67" t="s">
        <v>195</v>
      </c>
      <c r="F421" s="27">
        <v>9769.3330000000005</v>
      </c>
    </row>
    <row r="422" spans="1:6" hidden="1" x14ac:dyDescent="0.3">
      <c r="A422" s="23" t="s">
        <v>126</v>
      </c>
      <c r="B422" s="23" t="s">
        <v>38</v>
      </c>
      <c r="C422" s="24" t="s">
        <v>21</v>
      </c>
      <c r="D422" s="24">
        <v>2026</v>
      </c>
      <c r="E422" s="67" t="s">
        <v>195</v>
      </c>
      <c r="F422" s="27">
        <v>55514.32</v>
      </c>
    </row>
    <row r="423" spans="1:6" hidden="1" x14ac:dyDescent="0.3">
      <c r="A423" s="23" t="s">
        <v>127</v>
      </c>
      <c r="B423" s="23" t="s">
        <v>38</v>
      </c>
      <c r="C423" s="24" t="s">
        <v>22</v>
      </c>
      <c r="D423" s="24">
        <v>2026</v>
      </c>
      <c r="E423" s="67" t="s">
        <v>195</v>
      </c>
      <c r="F423" s="27">
        <v>19105.985000000001</v>
      </c>
    </row>
    <row r="424" spans="1:6" hidden="1" x14ac:dyDescent="0.3">
      <c r="A424" s="23" t="s">
        <v>128</v>
      </c>
      <c r="B424" s="23" t="s">
        <v>38</v>
      </c>
      <c r="C424" s="24" t="s">
        <v>23</v>
      </c>
      <c r="D424" s="24">
        <v>2026</v>
      </c>
      <c r="E424" s="67" t="s">
        <v>195</v>
      </c>
      <c r="F424" s="27">
        <v>7661.3710000000001</v>
      </c>
    </row>
    <row r="425" spans="1:6" hidden="1" x14ac:dyDescent="0.3">
      <c r="A425" s="23" t="s">
        <v>205</v>
      </c>
      <c r="B425" s="23" t="s">
        <v>38</v>
      </c>
      <c r="C425" s="24" t="s">
        <v>24</v>
      </c>
      <c r="D425" s="24">
        <v>2026</v>
      </c>
      <c r="E425" s="67" t="s">
        <v>195</v>
      </c>
      <c r="F425" s="27">
        <v>56.25</v>
      </c>
    </row>
    <row r="426" spans="1:6" hidden="1" x14ac:dyDescent="0.3">
      <c r="A426" s="23" t="s">
        <v>206</v>
      </c>
      <c r="B426" s="23" t="s">
        <v>36</v>
      </c>
      <c r="C426" s="24" t="s">
        <v>25</v>
      </c>
      <c r="D426" s="24">
        <v>2026</v>
      </c>
      <c r="E426" s="67" t="s">
        <v>195</v>
      </c>
      <c r="F426" s="27">
        <v>405.10599999999999</v>
      </c>
    </row>
    <row r="427" spans="1:6" hidden="1" x14ac:dyDescent="0.3">
      <c r="A427" s="23" t="s">
        <v>129</v>
      </c>
      <c r="B427" s="23" t="s">
        <v>38</v>
      </c>
      <c r="C427" s="24" t="s">
        <v>158</v>
      </c>
      <c r="D427" s="24">
        <v>2026</v>
      </c>
      <c r="E427" s="67" t="s">
        <v>195</v>
      </c>
      <c r="F427" s="27">
        <v>4226</v>
      </c>
    </row>
    <row r="428" spans="1:6" hidden="1" x14ac:dyDescent="0.3">
      <c r="A428" s="23" t="s">
        <v>130</v>
      </c>
      <c r="B428" s="23" t="s">
        <v>38</v>
      </c>
      <c r="C428" s="24" t="s">
        <v>158</v>
      </c>
      <c r="D428" s="24">
        <v>2026</v>
      </c>
      <c r="E428" s="67" t="s">
        <v>195</v>
      </c>
      <c r="F428" s="27">
        <v>8878.89</v>
      </c>
    </row>
    <row r="429" spans="1:6" hidden="1" x14ac:dyDescent="0.3">
      <c r="A429" s="23" t="s">
        <v>131</v>
      </c>
      <c r="B429" s="23" t="s">
        <v>38</v>
      </c>
      <c r="C429" s="24" t="s">
        <v>159</v>
      </c>
      <c r="D429" s="24">
        <v>2026</v>
      </c>
      <c r="E429" s="67" t="s">
        <v>195</v>
      </c>
      <c r="F429" s="27">
        <v>2459.8000000000002</v>
      </c>
    </row>
    <row r="430" spans="1:6" hidden="1" x14ac:dyDescent="0.3">
      <c r="A430" s="23" t="s">
        <v>132</v>
      </c>
      <c r="B430" s="23" t="s">
        <v>38</v>
      </c>
      <c r="C430" s="24" t="s">
        <v>159</v>
      </c>
      <c r="D430" s="24">
        <v>2026</v>
      </c>
      <c r="E430" s="67" t="s">
        <v>195</v>
      </c>
      <c r="F430" s="27">
        <v>1236.3720000000001</v>
      </c>
    </row>
    <row r="431" spans="1:6" hidden="1" x14ac:dyDescent="0.3">
      <c r="A431" s="23" t="s">
        <v>207</v>
      </c>
      <c r="B431" s="23" t="s">
        <v>38</v>
      </c>
      <c r="C431" s="24" t="s">
        <v>26</v>
      </c>
      <c r="D431" s="24">
        <v>2026</v>
      </c>
      <c r="E431" s="67" t="s">
        <v>195</v>
      </c>
      <c r="F431" s="27">
        <v>583</v>
      </c>
    </row>
    <row r="432" spans="1:6" hidden="1" x14ac:dyDescent="0.3">
      <c r="A432" s="23" t="s">
        <v>133</v>
      </c>
      <c r="B432" s="23" t="s">
        <v>38</v>
      </c>
      <c r="C432" s="24" t="s">
        <v>74</v>
      </c>
      <c r="D432" s="24">
        <v>2026</v>
      </c>
      <c r="E432" s="67" t="s">
        <v>195</v>
      </c>
      <c r="F432" s="27">
        <v>1472.2059999999999</v>
      </c>
    </row>
    <row r="433" spans="1:6" hidden="1" x14ac:dyDescent="0.3">
      <c r="A433" s="23" t="s">
        <v>134</v>
      </c>
      <c r="B433" s="23" t="s">
        <v>38</v>
      </c>
      <c r="C433" s="24" t="s">
        <v>27</v>
      </c>
      <c r="D433" s="24">
        <v>2026</v>
      </c>
      <c r="E433" s="67" t="s">
        <v>195</v>
      </c>
      <c r="F433" s="27">
        <v>6302.5879999999997</v>
      </c>
    </row>
    <row r="434" spans="1:6" hidden="1" x14ac:dyDescent="0.3">
      <c r="A434" s="23" t="s">
        <v>208</v>
      </c>
      <c r="B434" s="23" t="s">
        <v>38</v>
      </c>
      <c r="C434" s="24" t="s">
        <v>209</v>
      </c>
      <c r="D434" s="24">
        <v>2026</v>
      </c>
      <c r="E434" s="67" t="s">
        <v>195</v>
      </c>
      <c r="F434" s="27">
        <v>2325.9</v>
      </c>
    </row>
    <row r="435" spans="1:6" hidden="1" x14ac:dyDescent="0.3">
      <c r="A435" s="23" t="s">
        <v>135</v>
      </c>
      <c r="B435" s="23" t="s">
        <v>38</v>
      </c>
      <c r="C435" s="24" t="s">
        <v>160</v>
      </c>
      <c r="D435" s="24">
        <v>2026</v>
      </c>
      <c r="E435" s="67" t="s">
        <v>195</v>
      </c>
      <c r="F435" s="27">
        <v>1388.8889999999999</v>
      </c>
    </row>
    <row r="436" spans="1:6" hidden="1" x14ac:dyDescent="0.3">
      <c r="A436" s="23" t="s">
        <v>136</v>
      </c>
      <c r="B436" s="23" t="s">
        <v>38</v>
      </c>
      <c r="C436" s="24" t="s">
        <v>160</v>
      </c>
      <c r="D436" s="24">
        <v>2026</v>
      </c>
      <c r="E436" s="67" t="s">
        <v>195</v>
      </c>
      <c r="F436" s="27">
        <v>34767.608999999997</v>
      </c>
    </row>
    <row r="437" spans="1:6" hidden="1" x14ac:dyDescent="0.3">
      <c r="A437" s="23" t="s">
        <v>137</v>
      </c>
      <c r="B437" s="23" t="s">
        <v>38</v>
      </c>
      <c r="C437" s="24" t="s">
        <v>160</v>
      </c>
      <c r="D437" s="24">
        <v>2026</v>
      </c>
      <c r="E437" s="67" t="s">
        <v>195</v>
      </c>
      <c r="F437" s="27">
        <v>851.678</v>
      </c>
    </row>
    <row r="438" spans="1:6" hidden="1" x14ac:dyDescent="0.3">
      <c r="A438" s="23" t="s">
        <v>138</v>
      </c>
      <c r="B438" s="23" t="s">
        <v>38</v>
      </c>
      <c r="C438" s="24" t="s">
        <v>160</v>
      </c>
      <c r="D438" s="24">
        <v>2026</v>
      </c>
      <c r="E438" s="67" t="s">
        <v>195</v>
      </c>
      <c r="F438" s="27">
        <v>543.06100000000004</v>
      </c>
    </row>
    <row r="439" spans="1:6" hidden="1" x14ac:dyDescent="0.3">
      <c r="A439" s="23" t="s">
        <v>152</v>
      </c>
      <c r="B439" s="23" t="s">
        <v>38</v>
      </c>
      <c r="C439" s="24" t="s">
        <v>153</v>
      </c>
      <c r="D439" s="24">
        <v>2026</v>
      </c>
      <c r="E439" s="67" t="s">
        <v>195</v>
      </c>
      <c r="F439" s="27">
        <v>155</v>
      </c>
    </row>
    <row r="440" spans="1:6" hidden="1" x14ac:dyDescent="0.3">
      <c r="A440" s="23" t="s">
        <v>139</v>
      </c>
      <c r="B440" s="23" t="s">
        <v>38</v>
      </c>
      <c r="C440" s="24" t="s">
        <v>28</v>
      </c>
      <c r="D440" s="24">
        <v>2026</v>
      </c>
      <c r="E440" s="67" t="s">
        <v>195</v>
      </c>
      <c r="F440" s="27">
        <v>1930.548</v>
      </c>
    </row>
    <row r="441" spans="1:6" hidden="1" x14ac:dyDescent="0.3">
      <c r="A441" s="23" t="s">
        <v>140</v>
      </c>
      <c r="B441" s="23" t="s">
        <v>38</v>
      </c>
      <c r="C441" s="24" t="s">
        <v>65</v>
      </c>
      <c r="D441" s="24">
        <v>2026</v>
      </c>
      <c r="E441" s="67" t="s">
        <v>195</v>
      </c>
      <c r="F441" s="27">
        <v>3116.8420000000001</v>
      </c>
    </row>
    <row r="442" spans="1:6" hidden="1" x14ac:dyDescent="0.3">
      <c r="A442" s="23" t="s">
        <v>210</v>
      </c>
      <c r="B442" s="23" t="s">
        <v>38</v>
      </c>
      <c r="C442" s="24" t="s">
        <v>29</v>
      </c>
      <c r="D442" s="24">
        <v>2026</v>
      </c>
      <c r="E442" s="67" t="s">
        <v>195</v>
      </c>
      <c r="F442" s="27">
        <v>4015</v>
      </c>
    </row>
    <row r="443" spans="1:6" hidden="1" x14ac:dyDescent="0.3">
      <c r="A443" s="23" t="s">
        <v>141</v>
      </c>
      <c r="B443" s="23" t="s">
        <v>38</v>
      </c>
      <c r="C443" s="24" t="s">
        <v>30</v>
      </c>
      <c r="D443" s="24">
        <v>2026</v>
      </c>
      <c r="E443" s="67" t="s">
        <v>195</v>
      </c>
      <c r="F443" s="27">
        <v>3369.6469999999999</v>
      </c>
    </row>
    <row r="444" spans="1:6" hidden="1" x14ac:dyDescent="0.3">
      <c r="A444" s="23" t="s">
        <v>142</v>
      </c>
      <c r="B444" s="23" t="s">
        <v>38</v>
      </c>
      <c r="C444" s="24" t="s">
        <v>31</v>
      </c>
      <c r="D444" s="24">
        <v>2026</v>
      </c>
      <c r="E444" s="67" t="s">
        <v>195</v>
      </c>
      <c r="F444" s="27">
        <v>26900.17</v>
      </c>
    </row>
    <row r="445" spans="1:6" hidden="1" x14ac:dyDescent="0.3">
      <c r="A445" s="23" t="s">
        <v>211</v>
      </c>
      <c r="B445" s="23" t="s">
        <v>37</v>
      </c>
      <c r="C445" s="24" t="s">
        <v>32</v>
      </c>
      <c r="D445" s="24">
        <v>2026</v>
      </c>
      <c r="E445" s="67" t="s">
        <v>195</v>
      </c>
      <c r="F445" s="27">
        <f>1742.219-1040.06</f>
        <v>702.15900000000011</v>
      </c>
    </row>
    <row r="446" spans="1:6" hidden="1" x14ac:dyDescent="0.3">
      <c r="A446" s="23" t="s">
        <v>211</v>
      </c>
      <c r="B446" s="23" t="s">
        <v>36</v>
      </c>
      <c r="C446" s="24" t="s">
        <v>32</v>
      </c>
      <c r="D446" s="24">
        <v>2026</v>
      </c>
      <c r="E446" s="67" t="s">
        <v>195</v>
      </c>
      <c r="F446" s="27">
        <v>1040.06</v>
      </c>
    </row>
    <row r="447" spans="1:6" hidden="1" x14ac:dyDescent="0.3">
      <c r="A447" s="23" t="s">
        <v>143</v>
      </c>
      <c r="B447" s="23" t="s">
        <v>38</v>
      </c>
      <c r="C447" s="24" t="s">
        <v>67</v>
      </c>
      <c r="D447" s="24">
        <v>2026</v>
      </c>
      <c r="E447" s="67" t="s">
        <v>195</v>
      </c>
      <c r="F447" s="27">
        <v>4188.3559999999998</v>
      </c>
    </row>
    <row r="448" spans="1:6" hidden="1" x14ac:dyDescent="0.3">
      <c r="A448" s="23" t="s">
        <v>144</v>
      </c>
      <c r="B448" s="23" t="s">
        <v>39</v>
      </c>
      <c r="C448" s="24" t="s">
        <v>33</v>
      </c>
      <c r="D448" s="24">
        <v>2026</v>
      </c>
      <c r="E448" s="67" t="s">
        <v>195</v>
      </c>
      <c r="F448" s="28">
        <v>36476.173999999999</v>
      </c>
    </row>
    <row r="449" spans="1:6" hidden="1" x14ac:dyDescent="0.3">
      <c r="A449" s="23">
        <v>720506</v>
      </c>
      <c r="B449" s="23" t="s">
        <v>36</v>
      </c>
      <c r="C449" s="24" t="s">
        <v>5</v>
      </c>
      <c r="D449" s="24">
        <v>2024</v>
      </c>
      <c r="E449" s="66" t="s">
        <v>245</v>
      </c>
      <c r="F449" s="27">
        <v>44124.947999999997</v>
      </c>
    </row>
    <row r="450" spans="1:6" hidden="1" x14ac:dyDescent="0.3">
      <c r="A450" s="23">
        <v>720506</v>
      </c>
      <c r="B450" s="23" t="s">
        <v>36</v>
      </c>
      <c r="C450" s="24" t="s">
        <v>5</v>
      </c>
      <c r="D450" s="24">
        <v>2025</v>
      </c>
      <c r="E450" s="67" t="s">
        <v>245</v>
      </c>
      <c r="F450" s="28">
        <v>50534.004999999997</v>
      </c>
    </row>
    <row r="451" spans="1:6" hidden="1" x14ac:dyDescent="0.3">
      <c r="A451" s="23">
        <v>720515</v>
      </c>
      <c r="B451" s="23" t="s">
        <v>36</v>
      </c>
      <c r="C451" s="24" t="s">
        <v>6</v>
      </c>
      <c r="D451" s="24">
        <v>2024</v>
      </c>
      <c r="E451" s="66" t="s">
        <v>245</v>
      </c>
      <c r="F451" s="27">
        <v>8673.652</v>
      </c>
    </row>
    <row r="452" spans="1:6" hidden="1" x14ac:dyDescent="0.3">
      <c r="A452" s="23">
        <v>720515</v>
      </c>
      <c r="B452" s="23" t="s">
        <v>36</v>
      </c>
      <c r="C452" s="24" t="s">
        <v>6</v>
      </c>
      <c r="D452" s="24">
        <v>2025</v>
      </c>
      <c r="E452" s="67" t="s">
        <v>245</v>
      </c>
      <c r="F452" s="28">
        <v>17916.919999999998</v>
      </c>
    </row>
    <row r="453" spans="1:6" hidden="1" x14ac:dyDescent="0.3">
      <c r="A453" s="23">
        <v>720524</v>
      </c>
      <c r="B453" s="23" t="s">
        <v>36</v>
      </c>
      <c r="C453" s="24" t="s">
        <v>7</v>
      </c>
      <c r="D453" s="24">
        <v>2024</v>
      </c>
      <c r="E453" s="66" t="s">
        <v>245</v>
      </c>
      <c r="F453" s="27">
        <v>756.66700000000003</v>
      </c>
    </row>
    <row r="454" spans="1:6" hidden="1" x14ac:dyDescent="0.3">
      <c r="A454" s="23">
        <v>720524</v>
      </c>
      <c r="B454" s="23" t="s">
        <v>36</v>
      </c>
      <c r="C454" s="24" t="s">
        <v>7</v>
      </c>
      <c r="D454" s="24">
        <v>2025</v>
      </c>
      <c r="E454" s="67" t="s">
        <v>245</v>
      </c>
      <c r="F454" s="28">
        <v>1663.7829999999999</v>
      </c>
    </row>
    <row r="455" spans="1:6" hidden="1" x14ac:dyDescent="0.3">
      <c r="A455" s="23">
        <v>720527</v>
      </c>
      <c r="B455" s="23" t="s">
        <v>36</v>
      </c>
      <c r="C455" s="24" t="s">
        <v>8</v>
      </c>
      <c r="D455" s="24">
        <v>2024</v>
      </c>
      <c r="E455" s="66" t="s">
        <v>245</v>
      </c>
      <c r="F455" s="27">
        <v>4645.6080000000002</v>
      </c>
    </row>
    <row r="456" spans="1:6" hidden="1" x14ac:dyDescent="0.3">
      <c r="A456" s="23">
        <v>720527</v>
      </c>
      <c r="B456" s="23" t="s">
        <v>36</v>
      </c>
      <c r="C456" s="24" t="s">
        <v>8</v>
      </c>
      <c r="D456" s="24">
        <v>2025</v>
      </c>
      <c r="E456" s="67" t="s">
        <v>245</v>
      </c>
      <c r="F456" s="28">
        <v>6033.3339999999998</v>
      </c>
    </row>
    <row r="457" spans="1:6" hidden="1" x14ac:dyDescent="0.3">
      <c r="A457" s="23">
        <v>720530</v>
      </c>
      <c r="B457" s="23" t="s">
        <v>36</v>
      </c>
      <c r="C457" s="24" t="s">
        <v>154</v>
      </c>
      <c r="D457" s="24">
        <v>2024</v>
      </c>
      <c r="E457" s="66" t="s">
        <v>245</v>
      </c>
      <c r="F457" s="27">
        <v>5237.4690000000001</v>
      </c>
    </row>
    <row r="458" spans="1:6" hidden="1" x14ac:dyDescent="0.3">
      <c r="A458" s="23">
        <v>720530</v>
      </c>
      <c r="B458" s="23" t="s">
        <v>36</v>
      </c>
      <c r="C458" s="24" t="s">
        <v>154</v>
      </c>
      <c r="D458" s="24">
        <v>2025</v>
      </c>
      <c r="E458" s="67" t="s">
        <v>245</v>
      </c>
      <c r="F458" s="28">
        <v>6531.0829999999996</v>
      </c>
    </row>
    <row r="459" spans="1:6" hidden="1" x14ac:dyDescent="0.3">
      <c r="A459" s="23">
        <v>720533</v>
      </c>
      <c r="B459" s="23" t="s">
        <v>36</v>
      </c>
      <c r="C459" s="24" t="s">
        <v>154</v>
      </c>
      <c r="D459" s="24">
        <v>2024</v>
      </c>
      <c r="E459" s="66" t="s">
        <v>245</v>
      </c>
      <c r="F459" s="27">
        <v>628.74699999999996</v>
      </c>
    </row>
    <row r="460" spans="1:6" hidden="1" x14ac:dyDescent="0.3">
      <c r="A460" s="23">
        <v>720533</v>
      </c>
      <c r="B460" s="23" t="s">
        <v>36</v>
      </c>
      <c r="C460" s="24" t="s">
        <v>154</v>
      </c>
      <c r="D460" s="24">
        <v>2025</v>
      </c>
      <c r="E460" s="67" t="s">
        <v>245</v>
      </c>
      <c r="F460" s="28">
        <v>784.04200000000003</v>
      </c>
    </row>
    <row r="461" spans="1:6" hidden="1" x14ac:dyDescent="0.3">
      <c r="A461" s="23">
        <v>720536</v>
      </c>
      <c r="B461" s="23" t="s">
        <v>36</v>
      </c>
      <c r="C461" s="24" t="s">
        <v>154</v>
      </c>
      <c r="D461" s="24">
        <v>2024</v>
      </c>
      <c r="E461" s="66" t="s">
        <v>245</v>
      </c>
      <c r="F461" s="27">
        <v>5237.4690000000001</v>
      </c>
    </row>
    <row r="462" spans="1:6" hidden="1" x14ac:dyDescent="0.3">
      <c r="A462" s="23">
        <v>720536</v>
      </c>
      <c r="B462" s="23" t="s">
        <v>36</v>
      </c>
      <c r="C462" s="24" t="s">
        <v>154</v>
      </c>
      <c r="D462" s="24">
        <v>2025</v>
      </c>
      <c r="E462" s="67" t="s">
        <v>245</v>
      </c>
      <c r="F462" s="28">
        <v>6531.0829999999996</v>
      </c>
    </row>
    <row r="463" spans="1:6" hidden="1" x14ac:dyDescent="0.3">
      <c r="A463" s="23">
        <v>720539</v>
      </c>
      <c r="B463" s="23" t="s">
        <v>36</v>
      </c>
      <c r="C463" s="24" t="s">
        <v>154</v>
      </c>
      <c r="D463" s="24">
        <v>2024</v>
      </c>
      <c r="E463" s="66" t="s">
        <v>245</v>
      </c>
      <c r="F463" s="27">
        <v>2428.1559999999999</v>
      </c>
    </row>
    <row r="464" spans="1:6" hidden="1" x14ac:dyDescent="0.3">
      <c r="A464" s="23">
        <v>720539</v>
      </c>
      <c r="B464" s="23" t="s">
        <v>36</v>
      </c>
      <c r="C464" s="24" t="s">
        <v>154</v>
      </c>
      <c r="D464" s="24">
        <v>2025</v>
      </c>
      <c r="E464" s="66" t="s">
        <v>245</v>
      </c>
      <c r="F464" s="27">
        <v>3017.8739999999998</v>
      </c>
    </row>
    <row r="465" spans="1:6" hidden="1" x14ac:dyDescent="0.3">
      <c r="A465" s="23">
        <v>720540</v>
      </c>
      <c r="B465" s="23" t="s">
        <v>36</v>
      </c>
      <c r="C465" s="24" t="s">
        <v>154</v>
      </c>
      <c r="D465" s="24">
        <v>2024</v>
      </c>
      <c r="E465" s="66" t="s">
        <v>245</v>
      </c>
      <c r="F465" s="27">
        <v>803.55899999999997</v>
      </c>
    </row>
    <row r="466" spans="1:6" hidden="1" x14ac:dyDescent="0.3">
      <c r="A466" s="23">
        <v>720540</v>
      </c>
      <c r="B466" s="23" t="s">
        <v>36</v>
      </c>
      <c r="C466" s="24" t="s">
        <v>154</v>
      </c>
      <c r="D466" s="24">
        <v>2025</v>
      </c>
      <c r="E466" s="67" t="s">
        <v>245</v>
      </c>
      <c r="F466" s="28">
        <v>998.71600000000001</v>
      </c>
    </row>
    <row r="467" spans="1:6" hidden="1" x14ac:dyDescent="0.3">
      <c r="A467" s="23">
        <v>720546</v>
      </c>
      <c r="B467" s="23" t="s">
        <v>36</v>
      </c>
      <c r="C467" s="24" t="s">
        <v>155</v>
      </c>
      <c r="D467" s="24">
        <v>2024</v>
      </c>
      <c r="E467" s="66" t="s">
        <v>245</v>
      </c>
      <c r="F467" s="27">
        <v>6759.3590000000004</v>
      </c>
    </row>
    <row r="468" spans="1:6" hidden="1" x14ac:dyDescent="0.3">
      <c r="A468" s="23">
        <v>720546</v>
      </c>
      <c r="B468" s="23" t="s">
        <v>36</v>
      </c>
      <c r="C468" s="24" t="s">
        <v>155</v>
      </c>
      <c r="D468" s="24">
        <v>2025</v>
      </c>
      <c r="E468" s="67" t="s">
        <v>245</v>
      </c>
      <c r="F468" s="28">
        <v>7427.5240000000003</v>
      </c>
    </row>
    <row r="469" spans="1:6" hidden="1" x14ac:dyDescent="0.3">
      <c r="A469" s="23">
        <v>720547</v>
      </c>
      <c r="B469" s="23" t="s">
        <v>36</v>
      </c>
      <c r="C469" s="24" t="s">
        <v>156</v>
      </c>
      <c r="D469" s="24">
        <v>2024</v>
      </c>
      <c r="E469" s="66" t="s">
        <v>245</v>
      </c>
      <c r="F469" s="27">
        <v>2066.4630000000002</v>
      </c>
    </row>
    <row r="470" spans="1:6" hidden="1" x14ac:dyDescent="0.3">
      <c r="A470" s="23">
        <v>720547</v>
      </c>
      <c r="B470" s="23" t="s">
        <v>36</v>
      </c>
      <c r="C470" s="24" t="s">
        <v>156</v>
      </c>
      <c r="D470" s="24">
        <v>2025</v>
      </c>
      <c r="E470" s="67" t="s">
        <v>245</v>
      </c>
      <c r="F470" s="28">
        <v>2270.7370000000001</v>
      </c>
    </row>
    <row r="471" spans="1:6" hidden="1" x14ac:dyDescent="0.3">
      <c r="A471" s="23">
        <v>720551</v>
      </c>
      <c r="B471" s="23" t="s">
        <v>36</v>
      </c>
      <c r="C471" s="24" t="s">
        <v>10</v>
      </c>
      <c r="D471" s="24">
        <v>2024</v>
      </c>
      <c r="E471" s="66" t="s">
        <v>245</v>
      </c>
      <c r="F471" s="27">
        <v>13992.212</v>
      </c>
    </row>
    <row r="472" spans="1:6" hidden="1" x14ac:dyDescent="0.3">
      <c r="A472" s="23">
        <v>720552</v>
      </c>
      <c r="B472" s="23" t="s">
        <v>36</v>
      </c>
      <c r="C472" s="24" t="s">
        <v>11</v>
      </c>
      <c r="D472" s="24">
        <v>2024</v>
      </c>
      <c r="E472" s="66" t="s">
        <v>245</v>
      </c>
      <c r="F472" s="27">
        <v>3589.674</v>
      </c>
    </row>
    <row r="473" spans="1:6" hidden="1" x14ac:dyDescent="0.3">
      <c r="A473" s="23">
        <v>720552</v>
      </c>
      <c r="B473" s="23" t="s">
        <v>36</v>
      </c>
      <c r="C473" s="24" t="s">
        <v>11</v>
      </c>
      <c r="D473" s="24">
        <v>2025</v>
      </c>
      <c r="E473" s="67" t="s">
        <v>245</v>
      </c>
      <c r="F473" s="28">
        <v>6302.625</v>
      </c>
    </row>
    <row r="474" spans="1:6" hidden="1" x14ac:dyDescent="0.3">
      <c r="A474" s="23">
        <v>720568</v>
      </c>
      <c r="B474" s="23" t="s">
        <v>36</v>
      </c>
      <c r="C474" s="30" t="s">
        <v>157</v>
      </c>
      <c r="D474" s="24">
        <v>2024</v>
      </c>
      <c r="E474" s="66" t="s">
        <v>245</v>
      </c>
      <c r="F474" s="27">
        <v>1299.8</v>
      </c>
    </row>
    <row r="475" spans="1:6" hidden="1" x14ac:dyDescent="0.3">
      <c r="A475" s="23">
        <v>720568</v>
      </c>
      <c r="B475" s="23" t="s">
        <v>36</v>
      </c>
      <c r="C475" s="30" t="s">
        <v>157</v>
      </c>
      <c r="D475" s="24">
        <v>2025</v>
      </c>
      <c r="E475" s="67" t="s">
        <v>245</v>
      </c>
      <c r="F475" s="28">
        <v>1747.2</v>
      </c>
    </row>
    <row r="476" spans="1:6" hidden="1" x14ac:dyDescent="0.3">
      <c r="A476" s="23">
        <v>720569</v>
      </c>
      <c r="B476" s="23" t="s">
        <v>36</v>
      </c>
      <c r="C476" s="30" t="s">
        <v>157</v>
      </c>
      <c r="D476" s="24">
        <v>2024</v>
      </c>
      <c r="E476" s="66" t="s">
        <v>245</v>
      </c>
      <c r="F476" s="27">
        <v>-12.003</v>
      </c>
    </row>
    <row r="477" spans="1:6" hidden="1" x14ac:dyDescent="0.3">
      <c r="A477" s="23">
        <v>720569</v>
      </c>
      <c r="B477" s="23" t="s">
        <v>36</v>
      </c>
      <c r="C477" s="30" t="s">
        <v>157</v>
      </c>
      <c r="D477" s="24">
        <v>2025</v>
      </c>
      <c r="E477" s="67" t="s">
        <v>245</v>
      </c>
      <c r="F477" s="28">
        <v>78.813999999999993</v>
      </c>
    </row>
    <row r="478" spans="1:6" hidden="1" x14ac:dyDescent="0.3">
      <c r="A478" s="23">
        <v>720570</v>
      </c>
      <c r="B478" s="23" t="s">
        <v>36</v>
      </c>
      <c r="C478" s="30" t="s">
        <v>157</v>
      </c>
      <c r="D478" s="24">
        <v>2024</v>
      </c>
      <c r="E478" s="66" t="s">
        <v>245</v>
      </c>
      <c r="F478" s="27">
        <v>6642.8220000000001</v>
      </c>
    </row>
    <row r="479" spans="1:6" hidden="1" x14ac:dyDescent="0.3">
      <c r="A479" s="23">
        <v>720570</v>
      </c>
      <c r="B479" s="23" t="s">
        <v>36</v>
      </c>
      <c r="C479" s="30" t="s">
        <v>157</v>
      </c>
      <c r="D479" s="24">
        <v>2025</v>
      </c>
      <c r="E479" s="67" t="s">
        <v>245</v>
      </c>
      <c r="F479" s="28">
        <v>8717.0679999999993</v>
      </c>
    </row>
    <row r="480" spans="1:6" hidden="1" x14ac:dyDescent="0.3">
      <c r="A480" s="23">
        <v>720572</v>
      </c>
      <c r="B480" s="23" t="s">
        <v>36</v>
      </c>
      <c r="C480" s="30" t="s">
        <v>157</v>
      </c>
      <c r="D480" s="24">
        <v>2024</v>
      </c>
      <c r="E480" s="66" t="s">
        <v>245</v>
      </c>
      <c r="F480" s="27">
        <v>2306.6</v>
      </c>
    </row>
    <row r="481" spans="1:6" hidden="1" x14ac:dyDescent="0.3">
      <c r="A481" s="23">
        <v>720572</v>
      </c>
      <c r="B481" s="23" t="s">
        <v>36</v>
      </c>
      <c r="C481" s="30" t="s">
        <v>157</v>
      </c>
      <c r="D481" s="24">
        <v>2025</v>
      </c>
      <c r="E481" s="66" t="s">
        <v>245</v>
      </c>
      <c r="F481" s="27">
        <v>2912.9</v>
      </c>
    </row>
    <row r="482" spans="1:6" hidden="1" x14ac:dyDescent="0.3">
      <c r="A482" s="23">
        <v>720584</v>
      </c>
      <c r="B482" s="23" t="s">
        <v>36</v>
      </c>
      <c r="C482" s="24" t="s">
        <v>12</v>
      </c>
      <c r="D482" s="24">
        <v>2024</v>
      </c>
      <c r="E482" s="67" t="s">
        <v>245</v>
      </c>
      <c r="F482" s="28">
        <v>108.815</v>
      </c>
    </row>
    <row r="483" spans="1:6" hidden="1" x14ac:dyDescent="0.3">
      <c r="A483" s="23">
        <v>730506</v>
      </c>
      <c r="B483" s="23" t="s">
        <v>37</v>
      </c>
      <c r="C483" s="24" t="s">
        <v>5</v>
      </c>
      <c r="D483" s="24">
        <v>2024</v>
      </c>
      <c r="E483" s="66" t="s">
        <v>245</v>
      </c>
      <c r="F483" s="27">
        <v>72932.332999999999</v>
      </c>
    </row>
    <row r="484" spans="1:6" hidden="1" x14ac:dyDescent="0.3">
      <c r="A484" s="23">
        <v>730506</v>
      </c>
      <c r="B484" s="23" t="s">
        <v>37</v>
      </c>
      <c r="C484" s="24" t="s">
        <v>5</v>
      </c>
      <c r="D484" s="24">
        <v>2025</v>
      </c>
      <c r="E484" s="67" t="s">
        <v>245</v>
      </c>
      <c r="F484" s="28">
        <v>83693.645999999993</v>
      </c>
    </row>
    <row r="485" spans="1:6" hidden="1" x14ac:dyDescent="0.3">
      <c r="A485" s="23">
        <v>730508</v>
      </c>
      <c r="B485" s="23" t="s">
        <v>37</v>
      </c>
      <c r="C485" s="24" t="s">
        <v>13</v>
      </c>
      <c r="D485" s="24">
        <v>2024</v>
      </c>
      <c r="E485" s="67" t="s">
        <v>245</v>
      </c>
      <c r="F485" s="28">
        <v>1300</v>
      </c>
    </row>
    <row r="486" spans="1:6" hidden="1" x14ac:dyDescent="0.3">
      <c r="A486" s="23">
        <v>730515</v>
      </c>
      <c r="B486" s="23" t="s">
        <v>37</v>
      </c>
      <c r="C486" s="24" t="s">
        <v>6</v>
      </c>
      <c r="D486" s="24">
        <v>2024</v>
      </c>
      <c r="E486" s="66" t="s">
        <v>245</v>
      </c>
      <c r="F486" s="27">
        <v>5275.69</v>
      </c>
    </row>
    <row r="487" spans="1:6" hidden="1" x14ac:dyDescent="0.3">
      <c r="A487" s="23">
        <v>730515</v>
      </c>
      <c r="B487" s="23" t="s">
        <v>37</v>
      </c>
      <c r="C487" s="24" t="s">
        <v>6</v>
      </c>
      <c r="D487" s="24">
        <v>2025</v>
      </c>
      <c r="E487" s="66" t="s">
        <v>245</v>
      </c>
      <c r="F487" s="27">
        <v>7033.9129999999996</v>
      </c>
    </row>
    <row r="488" spans="1:6" hidden="1" x14ac:dyDescent="0.3">
      <c r="A488" s="23">
        <v>730524</v>
      </c>
      <c r="B488" s="23" t="s">
        <v>37</v>
      </c>
      <c r="C488" s="24" t="s">
        <v>7</v>
      </c>
      <c r="D488" s="24">
        <v>2024</v>
      </c>
      <c r="E488" s="67" t="s">
        <v>245</v>
      </c>
      <c r="F488" s="28">
        <v>672.34299999999996</v>
      </c>
    </row>
    <row r="489" spans="1:6" hidden="1" x14ac:dyDescent="0.3">
      <c r="A489" s="23">
        <v>730527</v>
      </c>
      <c r="B489" s="23" t="s">
        <v>37</v>
      </c>
      <c r="C489" s="24" t="s">
        <v>14</v>
      </c>
      <c r="D489" s="24">
        <v>2024</v>
      </c>
      <c r="E489" s="66" t="s">
        <v>245</v>
      </c>
      <c r="F489" s="27">
        <v>1641.6</v>
      </c>
    </row>
    <row r="490" spans="1:6" hidden="1" x14ac:dyDescent="0.3">
      <c r="A490" s="23">
        <v>730527</v>
      </c>
      <c r="B490" s="23" t="s">
        <v>37</v>
      </c>
      <c r="C490" s="24" t="s">
        <v>14</v>
      </c>
      <c r="D490" s="24">
        <v>2025</v>
      </c>
      <c r="E490" s="67" t="s">
        <v>245</v>
      </c>
      <c r="F490" s="28">
        <v>2400</v>
      </c>
    </row>
    <row r="491" spans="1:6" hidden="1" x14ac:dyDescent="0.3">
      <c r="A491" s="23">
        <v>730530</v>
      </c>
      <c r="B491" s="23" t="s">
        <v>37</v>
      </c>
      <c r="C491" s="24" t="s">
        <v>154</v>
      </c>
      <c r="D491" s="24">
        <v>2024</v>
      </c>
      <c r="E491" s="66" t="s">
        <v>245</v>
      </c>
      <c r="F491" s="27">
        <v>6969.0950000000003</v>
      </c>
    </row>
    <row r="492" spans="1:6" hidden="1" x14ac:dyDescent="0.3">
      <c r="A492" s="23">
        <v>730530</v>
      </c>
      <c r="B492" s="23" t="s">
        <v>37</v>
      </c>
      <c r="C492" s="24" t="s">
        <v>154</v>
      </c>
      <c r="D492" s="24">
        <v>2025</v>
      </c>
      <c r="E492" s="67" t="s">
        <v>245</v>
      </c>
      <c r="F492" s="28">
        <v>7757.53</v>
      </c>
    </row>
    <row r="493" spans="1:6" hidden="1" x14ac:dyDescent="0.3">
      <c r="A493" s="23">
        <v>730533</v>
      </c>
      <c r="B493" s="23" t="s">
        <v>37</v>
      </c>
      <c r="C493" s="24" t="s">
        <v>154</v>
      </c>
      <c r="D493" s="24">
        <v>2024</v>
      </c>
      <c r="E493" s="66" t="s">
        <v>245</v>
      </c>
      <c r="F493" s="27">
        <v>836.62599999999998</v>
      </c>
    </row>
    <row r="494" spans="1:6" hidden="1" x14ac:dyDescent="0.3">
      <c r="A494" s="23">
        <v>730533</v>
      </c>
      <c r="B494" s="23" t="s">
        <v>37</v>
      </c>
      <c r="C494" s="24" t="s">
        <v>154</v>
      </c>
      <c r="D494" s="24">
        <v>2025</v>
      </c>
      <c r="E494" s="67" t="s">
        <v>245</v>
      </c>
      <c r="F494" s="28">
        <v>931.27499999999998</v>
      </c>
    </row>
    <row r="495" spans="1:6" hidden="1" x14ac:dyDescent="0.3">
      <c r="A495" s="23">
        <v>730536</v>
      </c>
      <c r="B495" s="23" t="s">
        <v>37</v>
      </c>
      <c r="C495" s="24" t="s">
        <v>154</v>
      </c>
      <c r="D495" s="24">
        <v>2024</v>
      </c>
      <c r="E495" s="66" t="s">
        <v>245</v>
      </c>
      <c r="F495" s="27">
        <v>6969.0950000000003</v>
      </c>
    </row>
    <row r="496" spans="1:6" hidden="1" x14ac:dyDescent="0.3">
      <c r="A496" s="23">
        <v>730536</v>
      </c>
      <c r="B496" s="23" t="s">
        <v>37</v>
      </c>
      <c r="C496" s="24" t="s">
        <v>154</v>
      </c>
      <c r="D496" s="24">
        <v>2025</v>
      </c>
      <c r="E496" s="67" t="s">
        <v>245</v>
      </c>
      <c r="F496" s="28">
        <v>7757.53</v>
      </c>
    </row>
    <row r="497" spans="1:6" hidden="1" x14ac:dyDescent="0.3">
      <c r="A497" s="23">
        <v>730539</v>
      </c>
      <c r="B497" s="23" t="s">
        <v>37</v>
      </c>
      <c r="C497" s="24" t="s">
        <v>154</v>
      </c>
      <c r="D497" s="24">
        <v>2024</v>
      </c>
      <c r="E497" s="66" t="s">
        <v>245</v>
      </c>
      <c r="F497" s="27">
        <v>3420.2759999999998</v>
      </c>
    </row>
    <row r="498" spans="1:6" hidden="1" x14ac:dyDescent="0.3">
      <c r="A498" s="23">
        <v>730539</v>
      </c>
      <c r="B498" s="23" t="s">
        <v>37</v>
      </c>
      <c r="C498" s="24" t="s">
        <v>154</v>
      </c>
      <c r="D498" s="24">
        <v>2025</v>
      </c>
      <c r="E498" s="66" t="s">
        <v>245</v>
      </c>
      <c r="F498" s="27">
        <v>3783.3420000000001</v>
      </c>
    </row>
    <row r="499" spans="1:6" hidden="1" x14ac:dyDescent="0.3">
      <c r="A499" s="23">
        <v>730540</v>
      </c>
      <c r="B499" s="23" t="s">
        <v>37</v>
      </c>
      <c r="C499" s="24" t="s">
        <v>154</v>
      </c>
      <c r="D499" s="24">
        <v>2024</v>
      </c>
      <c r="E499" s="66" t="s">
        <v>245</v>
      </c>
      <c r="F499" s="27">
        <v>1131.8900000000001</v>
      </c>
    </row>
    <row r="500" spans="1:6" hidden="1" x14ac:dyDescent="0.3">
      <c r="A500" s="23">
        <v>730540</v>
      </c>
      <c r="B500" s="23" t="s">
        <v>37</v>
      </c>
      <c r="C500" s="24" t="s">
        <v>154</v>
      </c>
      <c r="D500" s="24">
        <v>2025</v>
      </c>
      <c r="E500" s="66" t="s">
        <v>245</v>
      </c>
      <c r="F500" s="27">
        <v>1252.0419999999999</v>
      </c>
    </row>
    <row r="501" spans="1:6" hidden="1" x14ac:dyDescent="0.3">
      <c r="A501" s="23">
        <v>730545</v>
      </c>
      <c r="B501" s="23" t="s">
        <v>37</v>
      </c>
      <c r="C501" s="24" t="s">
        <v>155</v>
      </c>
      <c r="D501" s="24">
        <v>2025</v>
      </c>
      <c r="E501" s="67" t="s">
        <v>245</v>
      </c>
      <c r="F501" s="28">
        <v>500</v>
      </c>
    </row>
    <row r="502" spans="1:6" hidden="1" x14ac:dyDescent="0.3">
      <c r="A502" s="23">
        <v>730546</v>
      </c>
      <c r="B502" s="23" t="s">
        <v>37</v>
      </c>
      <c r="C502" s="24" t="s">
        <v>155</v>
      </c>
      <c r="D502" s="24">
        <v>2024</v>
      </c>
      <c r="E502" s="66" t="s">
        <v>245</v>
      </c>
      <c r="F502" s="27">
        <v>10468.050999999999</v>
      </c>
    </row>
    <row r="503" spans="1:6" hidden="1" x14ac:dyDescent="0.3">
      <c r="A503" s="23">
        <v>730546</v>
      </c>
      <c r="B503" s="23" t="s">
        <v>37</v>
      </c>
      <c r="C503" s="24" t="s">
        <v>155</v>
      </c>
      <c r="D503" s="24">
        <v>2025</v>
      </c>
      <c r="E503" s="67" t="s">
        <v>245</v>
      </c>
      <c r="F503" s="28">
        <v>11415.815000000001</v>
      </c>
    </row>
    <row r="504" spans="1:6" hidden="1" x14ac:dyDescent="0.3">
      <c r="A504" s="23">
        <v>730547</v>
      </c>
      <c r="B504" s="23" t="s">
        <v>37</v>
      </c>
      <c r="C504" s="24" t="s">
        <v>156</v>
      </c>
      <c r="D504" s="24">
        <v>2024</v>
      </c>
      <c r="E504" s="66" t="s">
        <v>245</v>
      </c>
      <c r="F504" s="27">
        <v>3200.277</v>
      </c>
    </row>
    <row r="505" spans="1:6" hidden="1" x14ac:dyDescent="0.3">
      <c r="A505" s="23">
        <v>730547</v>
      </c>
      <c r="B505" s="23" t="s">
        <v>37</v>
      </c>
      <c r="C505" s="24" t="s">
        <v>156</v>
      </c>
      <c r="D505" s="24">
        <v>2025</v>
      </c>
      <c r="E505" s="67" t="s">
        <v>245</v>
      </c>
      <c r="F505" s="28">
        <v>3490.0279999999998</v>
      </c>
    </row>
    <row r="506" spans="1:6" hidden="1" x14ac:dyDescent="0.3">
      <c r="A506" s="23">
        <v>730551</v>
      </c>
      <c r="B506" s="23" t="s">
        <v>37</v>
      </c>
      <c r="C506" s="24" t="s">
        <v>10</v>
      </c>
      <c r="D506" s="24">
        <v>2024</v>
      </c>
      <c r="E506" s="66" t="s">
        <v>245</v>
      </c>
      <c r="F506" s="27">
        <v>2993.8380000000002</v>
      </c>
    </row>
    <row r="507" spans="1:6" hidden="1" x14ac:dyDescent="0.3">
      <c r="A507" s="23">
        <v>730552</v>
      </c>
      <c r="B507" s="23" t="s">
        <v>37</v>
      </c>
      <c r="C507" s="24" t="s">
        <v>11</v>
      </c>
      <c r="D507" s="24">
        <v>2024</v>
      </c>
      <c r="E507" s="66" t="s">
        <v>245</v>
      </c>
      <c r="F507" s="27">
        <v>1261.4749999999999</v>
      </c>
    </row>
    <row r="508" spans="1:6" hidden="1" x14ac:dyDescent="0.3">
      <c r="A508" s="23">
        <v>730552</v>
      </c>
      <c r="B508" s="23" t="s">
        <v>37</v>
      </c>
      <c r="C508" s="24" t="s">
        <v>11</v>
      </c>
      <c r="D508" s="24">
        <v>2025</v>
      </c>
      <c r="E508" s="67" t="s">
        <v>245</v>
      </c>
      <c r="F508" s="28">
        <v>536.40599999999995</v>
      </c>
    </row>
    <row r="509" spans="1:6" hidden="1" x14ac:dyDescent="0.3">
      <c r="A509" s="23">
        <v>730568</v>
      </c>
      <c r="B509" s="23" t="s">
        <v>37</v>
      </c>
      <c r="C509" s="30" t="s">
        <v>157</v>
      </c>
      <c r="D509" s="24">
        <v>2024</v>
      </c>
      <c r="E509" s="66" t="s">
        <v>245</v>
      </c>
      <c r="F509" s="27">
        <v>1938.2</v>
      </c>
    </row>
    <row r="510" spans="1:6" hidden="1" x14ac:dyDescent="0.3">
      <c r="A510" s="23">
        <v>730568</v>
      </c>
      <c r="B510" s="23" t="s">
        <v>37</v>
      </c>
      <c r="C510" s="30" t="s">
        <v>157</v>
      </c>
      <c r="D510" s="24">
        <v>2025</v>
      </c>
      <c r="E510" s="67" t="s">
        <v>245</v>
      </c>
      <c r="F510" s="28">
        <v>2211.1999999999998</v>
      </c>
    </row>
    <row r="511" spans="1:6" hidden="1" x14ac:dyDescent="0.3">
      <c r="A511" s="23">
        <v>730569</v>
      </c>
      <c r="B511" s="23" t="s">
        <v>37</v>
      </c>
      <c r="C511" s="30" t="s">
        <v>157</v>
      </c>
      <c r="D511" s="24">
        <v>2024</v>
      </c>
      <c r="E511" s="66" t="s">
        <v>245</v>
      </c>
      <c r="F511" s="27">
        <v>1312.3630000000001</v>
      </c>
    </row>
    <row r="512" spans="1:6" hidden="1" x14ac:dyDescent="0.3">
      <c r="A512" s="23">
        <v>730569</v>
      </c>
      <c r="B512" s="23" t="s">
        <v>37</v>
      </c>
      <c r="C512" s="30" t="s">
        <v>157</v>
      </c>
      <c r="D512" s="24">
        <v>2025</v>
      </c>
      <c r="E512" s="67" t="s">
        <v>245</v>
      </c>
      <c r="F512" s="28">
        <v>1286.3969999999999</v>
      </c>
    </row>
    <row r="513" spans="1:6" hidden="1" x14ac:dyDescent="0.3">
      <c r="A513" s="23">
        <v>730570</v>
      </c>
      <c r="B513" s="23" t="s">
        <v>37</v>
      </c>
      <c r="C513" s="30" t="s">
        <v>157</v>
      </c>
      <c r="D513" s="24">
        <v>2024</v>
      </c>
      <c r="E513" s="66" t="s">
        <v>245</v>
      </c>
      <c r="F513" s="27">
        <v>9763.393</v>
      </c>
    </row>
    <row r="514" spans="1:6" hidden="1" x14ac:dyDescent="0.3">
      <c r="A514" s="23">
        <v>730570</v>
      </c>
      <c r="B514" s="23" t="s">
        <v>37</v>
      </c>
      <c r="C514" s="30" t="s">
        <v>157</v>
      </c>
      <c r="D514" s="24">
        <v>2025</v>
      </c>
      <c r="E514" s="67" t="s">
        <v>245</v>
      </c>
      <c r="F514" s="28">
        <v>10888.047</v>
      </c>
    </row>
    <row r="515" spans="1:6" hidden="1" x14ac:dyDescent="0.3">
      <c r="A515" s="23">
        <v>730572</v>
      </c>
      <c r="B515" s="23" t="s">
        <v>37</v>
      </c>
      <c r="C515" s="30" t="s">
        <v>157</v>
      </c>
      <c r="D515" s="24">
        <v>2024</v>
      </c>
      <c r="E515" s="66" t="s">
        <v>245</v>
      </c>
      <c r="F515" s="27">
        <v>3234.9</v>
      </c>
    </row>
    <row r="516" spans="1:6" hidden="1" x14ac:dyDescent="0.3">
      <c r="A516" s="23">
        <v>730572</v>
      </c>
      <c r="B516" s="23" t="s">
        <v>37</v>
      </c>
      <c r="C516" s="30" t="s">
        <v>157</v>
      </c>
      <c r="D516" s="24">
        <v>2025</v>
      </c>
      <c r="E516" s="67" t="s">
        <v>245</v>
      </c>
      <c r="F516" s="28">
        <v>3629.8</v>
      </c>
    </row>
    <row r="517" spans="1:6" hidden="1" x14ac:dyDescent="0.3">
      <c r="A517" s="23">
        <v>730575</v>
      </c>
      <c r="B517" s="23" t="s">
        <v>37</v>
      </c>
      <c r="C517" s="30" t="s">
        <v>157</v>
      </c>
      <c r="D517" s="24">
        <v>2024</v>
      </c>
      <c r="E517" s="66" t="s">
        <v>245</v>
      </c>
      <c r="F517" s="27">
        <v>412.5</v>
      </c>
    </row>
    <row r="518" spans="1:6" hidden="1" x14ac:dyDescent="0.3">
      <c r="A518" s="23">
        <v>730575</v>
      </c>
      <c r="B518" s="23" t="s">
        <v>37</v>
      </c>
      <c r="C518" s="30" t="s">
        <v>157</v>
      </c>
      <c r="D518" s="24">
        <v>2025</v>
      </c>
      <c r="E518" s="67" t="s">
        <v>245</v>
      </c>
      <c r="F518" s="28">
        <v>453.8</v>
      </c>
    </row>
    <row r="519" spans="1:6" hidden="1" x14ac:dyDescent="0.3">
      <c r="A519" s="23">
        <v>730578</v>
      </c>
      <c r="B519" s="23" t="s">
        <v>37</v>
      </c>
      <c r="C519" s="30" t="s">
        <v>157</v>
      </c>
      <c r="D519" s="24">
        <v>2024</v>
      </c>
      <c r="E519" s="66" t="s">
        <v>245</v>
      </c>
      <c r="F519" s="27">
        <v>275</v>
      </c>
    </row>
    <row r="520" spans="1:6" hidden="1" x14ac:dyDescent="0.3">
      <c r="A520" s="23">
        <v>730578</v>
      </c>
      <c r="B520" s="23" t="s">
        <v>37</v>
      </c>
      <c r="C520" s="30" t="s">
        <v>157</v>
      </c>
      <c r="D520" s="24">
        <v>2025</v>
      </c>
      <c r="E520" s="67" t="s">
        <v>245</v>
      </c>
      <c r="F520" s="28">
        <v>302.5</v>
      </c>
    </row>
    <row r="521" spans="1:6" hidden="1" x14ac:dyDescent="0.3">
      <c r="A521" s="23">
        <v>730584</v>
      </c>
      <c r="B521" s="23" t="s">
        <v>37</v>
      </c>
      <c r="C521" s="24" t="s">
        <v>12</v>
      </c>
      <c r="D521" s="24">
        <v>2025</v>
      </c>
      <c r="E521" s="66" t="s">
        <v>245</v>
      </c>
      <c r="F521" s="27">
        <v>81.468999999999994</v>
      </c>
    </row>
    <row r="522" spans="1:6" hidden="1" x14ac:dyDescent="0.3">
      <c r="A522" s="23">
        <v>731515</v>
      </c>
      <c r="B522" s="23" t="s">
        <v>38</v>
      </c>
      <c r="C522" s="24" t="s">
        <v>196</v>
      </c>
      <c r="D522" s="24">
        <v>2025</v>
      </c>
      <c r="E522" s="67" t="s">
        <v>245</v>
      </c>
      <c r="F522" s="28">
        <v>16994.235000000001</v>
      </c>
    </row>
    <row r="523" spans="1:6" hidden="1" x14ac:dyDescent="0.3">
      <c r="A523" s="23">
        <v>732010</v>
      </c>
      <c r="B523" s="23" t="s">
        <v>38</v>
      </c>
      <c r="C523" s="24" t="s">
        <v>61</v>
      </c>
      <c r="D523" s="24">
        <v>2024</v>
      </c>
      <c r="E523" s="66" t="s">
        <v>245</v>
      </c>
      <c r="F523" s="27">
        <v>19396.465</v>
      </c>
    </row>
    <row r="524" spans="1:6" hidden="1" x14ac:dyDescent="0.3">
      <c r="A524" s="23">
        <v>732010</v>
      </c>
      <c r="B524" s="23" t="s">
        <v>38</v>
      </c>
      <c r="C524" s="24" t="s">
        <v>61</v>
      </c>
      <c r="D524" s="24">
        <v>2025</v>
      </c>
      <c r="E524" s="67" t="s">
        <v>245</v>
      </c>
      <c r="F524" s="28">
        <v>20440</v>
      </c>
    </row>
    <row r="525" spans="1:6" hidden="1" x14ac:dyDescent="0.3">
      <c r="A525" s="23">
        <v>733095</v>
      </c>
      <c r="B525" s="23" t="s">
        <v>38</v>
      </c>
      <c r="C525" s="24" t="s">
        <v>18</v>
      </c>
      <c r="D525" s="24">
        <v>2024</v>
      </c>
      <c r="E525" s="66" t="s">
        <v>245</v>
      </c>
      <c r="F525" s="27">
        <v>4176.6989999999996</v>
      </c>
    </row>
    <row r="526" spans="1:6" hidden="1" x14ac:dyDescent="0.3">
      <c r="A526" s="23">
        <v>733095</v>
      </c>
      <c r="B526" s="23" t="s">
        <v>38</v>
      </c>
      <c r="C526" s="24" t="s">
        <v>18</v>
      </c>
      <c r="D526" s="24">
        <v>2025</v>
      </c>
      <c r="E526" s="67" t="s">
        <v>245</v>
      </c>
      <c r="F526" s="28">
        <v>4538.8010000000004</v>
      </c>
    </row>
    <row r="527" spans="1:6" hidden="1" x14ac:dyDescent="0.3">
      <c r="A527" s="23">
        <v>733505</v>
      </c>
      <c r="B527" s="23" t="s">
        <v>38</v>
      </c>
      <c r="C527" s="24" t="s">
        <v>62</v>
      </c>
      <c r="D527" s="24">
        <v>2024</v>
      </c>
      <c r="E527" s="66" t="s">
        <v>245</v>
      </c>
      <c r="F527" s="27">
        <v>1758.42</v>
      </c>
    </row>
    <row r="528" spans="1:6" hidden="1" x14ac:dyDescent="0.3">
      <c r="A528" s="23">
        <v>733505</v>
      </c>
      <c r="B528" s="23" t="s">
        <v>38</v>
      </c>
      <c r="C528" s="24" t="s">
        <v>62</v>
      </c>
      <c r="D528" s="24">
        <v>2025</v>
      </c>
      <c r="E528" s="67" t="s">
        <v>245</v>
      </c>
      <c r="F528" s="28">
        <v>1730.462</v>
      </c>
    </row>
    <row r="529" spans="1:6" hidden="1" x14ac:dyDescent="0.3">
      <c r="A529" s="23">
        <v>733510</v>
      </c>
      <c r="B529" s="23" t="s">
        <v>37</v>
      </c>
      <c r="C529" s="24" t="s">
        <v>63</v>
      </c>
      <c r="D529" s="24">
        <v>2024</v>
      </c>
      <c r="E529" s="66" t="s">
        <v>245</v>
      </c>
      <c r="F529" s="27">
        <v>57137.67300000001</v>
      </c>
    </row>
    <row r="530" spans="1:6" hidden="1" x14ac:dyDescent="0.3">
      <c r="A530" s="23">
        <v>733510</v>
      </c>
      <c r="B530" s="23" t="s">
        <v>36</v>
      </c>
      <c r="C530" s="24" t="s">
        <v>63</v>
      </c>
      <c r="D530" s="24">
        <v>2024</v>
      </c>
      <c r="E530" s="66" t="s">
        <v>245</v>
      </c>
      <c r="F530" s="27">
        <v>283536</v>
      </c>
    </row>
    <row r="531" spans="1:6" hidden="1" x14ac:dyDescent="0.3">
      <c r="A531" s="23">
        <v>733510</v>
      </c>
      <c r="B531" s="23" t="s">
        <v>37</v>
      </c>
      <c r="C531" s="24" t="s">
        <v>63</v>
      </c>
      <c r="D531" s="24">
        <v>2025</v>
      </c>
      <c r="E531" s="66" t="s">
        <v>245</v>
      </c>
      <c r="F531" s="27">
        <v>41032.027000000002</v>
      </c>
    </row>
    <row r="532" spans="1:6" hidden="1" x14ac:dyDescent="0.3">
      <c r="A532" s="23">
        <v>733510</v>
      </c>
      <c r="B532" s="23" t="s">
        <v>36</v>
      </c>
      <c r="C532" s="24" t="s">
        <v>63</v>
      </c>
      <c r="D532" s="24">
        <v>2025</v>
      </c>
      <c r="E532" s="67" t="s">
        <v>245</v>
      </c>
      <c r="F532" s="28">
        <v>355869</v>
      </c>
    </row>
    <row r="533" spans="1:6" hidden="1" x14ac:dyDescent="0.3">
      <c r="A533" s="23">
        <v>733511</v>
      </c>
      <c r="B533" s="23" t="s">
        <v>37</v>
      </c>
      <c r="C533" s="24" t="s">
        <v>58</v>
      </c>
      <c r="D533" s="24">
        <v>2024</v>
      </c>
      <c r="E533" s="66" t="s">
        <v>245</v>
      </c>
      <c r="F533" s="27">
        <v>3898.107</v>
      </c>
    </row>
    <row r="534" spans="1:6" hidden="1" x14ac:dyDescent="0.3">
      <c r="A534" s="23">
        <v>733511</v>
      </c>
      <c r="B534" s="23" t="s">
        <v>36</v>
      </c>
      <c r="C534" s="24" t="s">
        <v>58</v>
      </c>
      <c r="D534" s="24">
        <v>2024</v>
      </c>
      <c r="E534" s="66" t="s">
        <v>245</v>
      </c>
      <c r="F534" s="27">
        <v>18595</v>
      </c>
    </row>
    <row r="535" spans="1:6" hidden="1" x14ac:dyDescent="0.3">
      <c r="A535" s="23">
        <v>733511</v>
      </c>
      <c r="B535" s="23" t="s">
        <v>37</v>
      </c>
      <c r="C535" s="24" t="s">
        <v>58</v>
      </c>
      <c r="D535" s="24">
        <v>2025</v>
      </c>
      <c r="E535" s="66" t="s">
        <v>245</v>
      </c>
      <c r="F535" s="27">
        <v>1449.4069999999992</v>
      </c>
    </row>
    <row r="536" spans="1:6" hidden="1" x14ac:dyDescent="0.3">
      <c r="A536" s="23">
        <v>733511</v>
      </c>
      <c r="B536" s="23" t="s">
        <v>36</v>
      </c>
      <c r="C536" s="24" t="s">
        <v>58</v>
      </c>
      <c r="D536" s="24">
        <v>2025</v>
      </c>
      <c r="E536" s="67" t="s">
        <v>245</v>
      </c>
      <c r="F536" s="28">
        <v>11399</v>
      </c>
    </row>
    <row r="537" spans="1:6" hidden="1" x14ac:dyDescent="0.3">
      <c r="A537" s="23">
        <v>733512</v>
      </c>
      <c r="B537" s="23" t="s">
        <v>37</v>
      </c>
      <c r="C537" s="24" t="s">
        <v>59</v>
      </c>
      <c r="D537" s="24">
        <v>2024</v>
      </c>
      <c r="E537" s="66" t="s">
        <v>245</v>
      </c>
      <c r="F537" s="27">
        <v>1191.558</v>
      </c>
    </row>
    <row r="538" spans="1:6" hidden="1" x14ac:dyDescent="0.3">
      <c r="A538" s="23">
        <v>733512</v>
      </c>
      <c r="B538" s="23" t="s">
        <v>36</v>
      </c>
      <c r="C538" s="24" t="s">
        <v>59</v>
      </c>
      <c r="D538" s="24">
        <v>2024</v>
      </c>
      <c r="E538" s="66" t="s">
        <v>245</v>
      </c>
      <c r="F538" s="27">
        <v>5685</v>
      </c>
    </row>
    <row r="539" spans="1:6" hidden="1" x14ac:dyDescent="0.3">
      <c r="A539" s="23">
        <v>733512</v>
      </c>
      <c r="B539" s="23" t="s">
        <v>37</v>
      </c>
      <c r="C539" s="24" t="s">
        <v>59</v>
      </c>
      <c r="D539" s="24">
        <v>2025</v>
      </c>
      <c r="E539" s="66" t="s">
        <v>245</v>
      </c>
      <c r="F539" s="27">
        <v>828.94599999999991</v>
      </c>
    </row>
    <row r="540" spans="1:6" hidden="1" x14ac:dyDescent="0.3">
      <c r="A540" s="23">
        <v>733512</v>
      </c>
      <c r="B540" s="23" t="s">
        <v>36</v>
      </c>
      <c r="C540" s="24" t="s">
        <v>59</v>
      </c>
      <c r="D540" s="24">
        <v>2025</v>
      </c>
      <c r="E540" s="67" t="s">
        <v>245</v>
      </c>
      <c r="F540" s="28">
        <v>6513</v>
      </c>
    </row>
    <row r="541" spans="1:6" hidden="1" x14ac:dyDescent="0.3">
      <c r="A541" s="23">
        <v>733515</v>
      </c>
      <c r="B541" s="23" t="s">
        <v>38</v>
      </c>
      <c r="C541" s="24" t="s">
        <v>19</v>
      </c>
      <c r="D541" s="24">
        <v>2024</v>
      </c>
      <c r="E541" s="66" t="s">
        <v>245</v>
      </c>
      <c r="F541" s="27">
        <v>2700</v>
      </c>
    </row>
    <row r="542" spans="1:6" hidden="1" x14ac:dyDescent="0.3">
      <c r="A542" s="23">
        <v>733515</v>
      </c>
      <c r="B542" s="23" t="s">
        <v>38</v>
      </c>
      <c r="C542" s="24" t="s">
        <v>19</v>
      </c>
      <c r="D542" s="24">
        <v>2025</v>
      </c>
      <c r="E542" s="67" t="s">
        <v>245</v>
      </c>
      <c r="F542" s="28">
        <v>4855.6000000000004</v>
      </c>
    </row>
    <row r="543" spans="1:6" hidden="1" x14ac:dyDescent="0.3">
      <c r="A543" s="23">
        <v>733525</v>
      </c>
      <c r="B543" s="23" t="s">
        <v>38</v>
      </c>
      <c r="C543" s="24" t="s">
        <v>20</v>
      </c>
      <c r="D543" s="24">
        <v>2024</v>
      </c>
      <c r="E543" s="66" t="s">
        <v>245</v>
      </c>
      <c r="F543" s="27">
        <v>4916.768</v>
      </c>
    </row>
    <row r="544" spans="1:6" hidden="1" x14ac:dyDescent="0.3">
      <c r="A544" s="23">
        <v>733525</v>
      </c>
      <c r="B544" s="23" t="s">
        <v>38</v>
      </c>
      <c r="C544" s="24" t="s">
        <v>20</v>
      </c>
      <c r="D544" s="24">
        <v>2025</v>
      </c>
      <c r="E544" s="67" t="s">
        <v>245</v>
      </c>
      <c r="F544" s="28">
        <v>5561.1120000000001</v>
      </c>
    </row>
    <row r="545" spans="1:6" hidden="1" x14ac:dyDescent="0.3">
      <c r="A545" s="23">
        <v>733530</v>
      </c>
      <c r="B545" s="23" t="s">
        <v>38</v>
      </c>
      <c r="C545" s="24" t="s">
        <v>21</v>
      </c>
      <c r="D545" s="24">
        <v>2024</v>
      </c>
      <c r="E545" s="66" t="s">
        <v>245</v>
      </c>
      <c r="F545" s="27">
        <v>63318.495000000003</v>
      </c>
    </row>
    <row r="546" spans="1:6" hidden="1" x14ac:dyDescent="0.3">
      <c r="A546" s="23">
        <v>733530</v>
      </c>
      <c r="B546" s="23" t="s">
        <v>38</v>
      </c>
      <c r="C546" s="24" t="s">
        <v>21</v>
      </c>
      <c r="D546" s="24">
        <v>2025</v>
      </c>
      <c r="E546" s="67" t="s">
        <v>245</v>
      </c>
      <c r="F546" s="28">
        <v>62117.451999999997</v>
      </c>
    </row>
    <row r="547" spans="1:6" hidden="1" x14ac:dyDescent="0.3">
      <c r="A547" s="23">
        <v>733550</v>
      </c>
      <c r="B547" s="23" t="s">
        <v>38</v>
      </c>
      <c r="C547" s="24" t="s">
        <v>22</v>
      </c>
      <c r="D547" s="24">
        <v>2024</v>
      </c>
      <c r="E547" s="66" t="s">
        <v>245</v>
      </c>
      <c r="F547" s="27">
        <v>6779.12</v>
      </c>
    </row>
    <row r="548" spans="1:6" hidden="1" x14ac:dyDescent="0.3">
      <c r="A548" s="23">
        <v>733550</v>
      </c>
      <c r="B548" s="23" t="s">
        <v>38</v>
      </c>
      <c r="C548" s="24" t="s">
        <v>22</v>
      </c>
      <c r="D548" s="24">
        <v>2025</v>
      </c>
      <c r="E548" s="67" t="s">
        <v>245</v>
      </c>
      <c r="F548" s="28">
        <v>13373.201999999999</v>
      </c>
    </row>
    <row r="549" spans="1:6" hidden="1" x14ac:dyDescent="0.3">
      <c r="A549" s="23">
        <v>733555</v>
      </c>
      <c r="B549" s="23" t="s">
        <v>38</v>
      </c>
      <c r="C549" s="24" t="s">
        <v>23</v>
      </c>
      <c r="D549" s="24">
        <v>2024</v>
      </c>
      <c r="E549" s="66" t="s">
        <v>245</v>
      </c>
      <c r="F549" s="27">
        <v>7147.8959999999997</v>
      </c>
    </row>
    <row r="550" spans="1:6" hidden="1" x14ac:dyDescent="0.3">
      <c r="A550" s="23">
        <v>733555</v>
      </c>
      <c r="B550" s="23" t="s">
        <v>38</v>
      </c>
      <c r="C550" s="24" t="s">
        <v>23</v>
      </c>
      <c r="D550" s="24">
        <v>2025</v>
      </c>
      <c r="E550" s="67" t="s">
        <v>245</v>
      </c>
      <c r="F550" s="28">
        <v>8420.7199999999993</v>
      </c>
    </row>
    <row r="551" spans="1:6" hidden="1" x14ac:dyDescent="0.3">
      <c r="A551" s="23">
        <v>735015</v>
      </c>
      <c r="B551" s="23" t="s">
        <v>38</v>
      </c>
      <c r="C551" s="24" t="s">
        <v>27</v>
      </c>
      <c r="D551" s="24">
        <v>2024</v>
      </c>
      <c r="E551" s="66" t="s">
        <v>245</v>
      </c>
      <c r="F551" s="27">
        <v>1535.6320000000001</v>
      </c>
    </row>
    <row r="552" spans="1:6" hidden="1" x14ac:dyDescent="0.3">
      <c r="A552" s="23">
        <v>735015</v>
      </c>
      <c r="B552" s="23" t="s">
        <v>38</v>
      </c>
      <c r="C552" s="24" t="s">
        <v>27</v>
      </c>
      <c r="D552" s="24">
        <v>2025</v>
      </c>
      <c r="E552" s="67" t="s">
        <v>245</v>
      </c>
      <c r="F552" s="28">
        <v>2091.9499999999998</v>
      </c>
    </row>
    <row r="553" spans="1:6" hidden="1" x14ac:dyDescent="0.3">
      <c r="A553" s="23">
        <v>736005</v>
      </c>
      <c r="B553" s="23" t="s">
        <v>38</v>
      </c>
      <c r="C553" s="24" t="s">
        <v>160</v>
      </c>
      <c r="D553" s="24">
        <v>2024</v>
      </c>
      <c r="E553" s="66" t="s">
        <v>245</v>
      </c>
      <c r="F553" s="27">
        <v>1388.8889999999999</v>
      </c>
    </row>
    <row r="554" spans="1:6" hidden="1" x14ac:dyDescent="0.3">
      <c r="A554" s="23">
        <v>736005</v>
      </c>
      <c r="B554" s="23" t="s">
        <v>38</v>
      </c>
      <c r="C554" s="24" t="s">
        <v>160</v>
      </c>
      <c r="D554" s="24">
        <v>2025</v>
      </c>
      <c r="E554" s="67" t="s">
        <v>245</v>
      </c>
      <c r="F554" s="28">
        <v>1388.8889999999999</v>
      </c>
    </row>
    <row r="555" spans="1:6" hidden="1" x14ac:dyDescent="0.3">
      <c r="A555" s="23">
        <v>736010</v>
      </c>
      <c r="B555" s="23" t="s">
        <v>38</v>
      </c>
      <c r="C555" s="24" t="s">
        <v>160</v>
      </c>
      <c r="D555" s="24">
        <v>2024</v>
      </c>
      <c r="E555" s="66" t="s">
        <v>245</v>
      </c>
      <c r="F555" s="27">
        <v>39428.970999999998</v>
      </c>
    </row>
    <row r="556" spans="1:6" hidden="1" x14ac:dyDescent="0.3">
      <c r="A556" s="23">
        <v>736010</v>
      </c>
      <c r="B556" s="23" t="s">
        <v>38</v>
      </c>
      <c r="C556" s="24" t="s">
        <v>160</v>
      </c>
      <c r="D556" s="24">
        <v>2025</v>
      </c>
      <c r="E556" s="67" t="s">
        <v>245</v>
      </c>
      <c r="F556" s="28">
        <v>34077.976999999999</v>
      </c>
    </row>
    <row r="557" spans="1:6" hidden="1" x14ac:dyDescent="0.3">
      <c r="A557" s="23">
        <v>736015</v>
      </c>
      <c r="B557" s="23" t="s">
        <v>38</v>
      </c>
      <c r="C557" s="24" t="s">
        <v>160</v>
      </c>
      <c r="D557" s="24">
        <v>2024</v>
      </c>
      <c r="E557" s="66" t="s">
        <v>245</v>
      </c>
      <c r="F557" s="27">
        <v>800.89499999999998</v>
      </c>
    </row>
    <row r="558" spans="1:6" hidden="1" x14ac:dyDescent="0.3">
      <c r="A558" s="23">
        <v>736015</v>
      </c>
      <c r="B558" s="23" t="s">
        <v>38</v>
      </c>
      <c r="C558" s="24" t="s">
        <v>160</v>
      </c>
      <c r="D558" s="24">
        <v>2025</v>
      </c>
      <c r="E558" s="67" t="s">
        <v>245</v>
      </c>
      <c r="F558" s="28">
        <v>2476.415</v>
      </c>
    </row>
    <row r="559" spans="1:6" hidden="1" x14ac:dyDescent="0.3">
      <c r="A559" s="23">
        <v>736020</v>
      </c>
      <c r="B559" s="23" t="s">
        <v>38</v>
      </c>
      <c r="C559" s="24" t="s">
        <v>160</v>
      </c>
      <c r="D559" s="24">
        <v>2024</v>
      </c>
      <c r="E559" s="66" t="s">
        <v>245</v>
      </c>
      <c r="F559" s="27">
        <v>478.52300000000002</v>
      </c>
    </row>
    <row r="560" spans="1:6" hidden="1" x14ac:dyDescent="0.3">
      <c r="A560" s="23">
        <v>736020</v>
      </c>
      <c r="B560" s="23" t="s">
        <v>38</v>
      </c>
      <c r="C560" s="24" t="s">
        <v>160</v>
      </c>
      <c r="D560" s="24">
        <v>2025</v>
      </c>
      <c r="E560" s="67" t="s">
        <v>245</v>
      </c>
      <c r="F560" s="28">
        <v>594.31899999999996</v>
      </c>
    </row>
    <row r="561" spans="1:6" hidden="1" x14ac:dyDescent="0.3">
      <c r="A561" s="23">
        <v>739525</v>
      </c>
      <c r="B561" s="23" t="s">
        <v>38</v>
      </c>
      <c r="C561" s="24" t="s">
        <v>28</v>
      </c>
      <c r="D561" s="24">
        <v>2024</v>
      </c>
      <c r="E561" s="66" t="s">
        <v>245</v>
      </c>
      <c r="F561" s="27">
        <v>2609.2820000000002</v>
      </c>
    </row>
    <row r="562" spans="1:6" hidden="1" x14ac:dyDescent="0.3">
      <c r="A562" s="23">
        <v>739525</v>
      </c>
      <c r="B562" s="23" t="s">
        <v>38</v>
      </c>
      <c r="C562" s="24" t="s">
        <v>28</v>
      </c>
      <c r="D562" s="24">
        <v>2025</v>
      </c>
      <c r="E562" s="67" t="s">
        <v>245</v>
      </c>
      <c r="F562" s="28">
        <v>2386.6880000000001</v>
      </c>
    </row>
    <row r="563" spans="1:6" hidden="1" x14ac:dyDescent="0.3">
      <c r="A563" s="23">
        <v>739530</v>
      </c>
      <c r="B563" s="23" t="s">
        <v>38</v>
      </c>
      <c r="C563" s="24" t="s">
        <v>65</v>
      </c>
      <c r="D563" s="24">
        <v>2024</v>
      </c>
      <c r="E563" s="66" t="s">
        <v>245</v>
      </c>
      <c r="F563" s="27">
        <v>5023.5439999999999</v>
      </c>
    </row>
    <row r="564" spans="1:6" hidden="1" x14ac:dyDescent="0.3">
      <c r="A564" s="23">
        <v>739530</v>
      </c>
      <c r="B564" s="23" t="s">
        <v>38</v>
      </c>
      <c r="C564" s="24" t="s">
        <v>65</v>
      </c>
      <c r="D564" s="24">
        <v>2025</v>
      </c>
      <c r="E564" s="67" t="s">
        <v>245</v>
      </c>
      <c r="F564" s="28">
        <v>3866.52</v>
      </c>
    </row>
    <row r="565" spans="1:6" hidden="1" x14ac:dyDescent="0.3">
      <c r="A565" s="23">
        <v>739535</v>
      </c>
      <c r="B565" s="23" t="s">
        <v>38</v>
      </c>
      <c r="C565" s="24" t="s">
        <v>29</v>
      </c>
      <c r="D565" s="24">
        <v>2024</v>
      </c>
      <c r="E565" s="66" t="s">
        <v>245</v>
      </c>
      <c r="F565" s="27">
        <v>150</v>
      </c>
    </row>
    <row r="566" spans="1:6" hidden="1" x14ac:dyDescent="0.3">
      <c r="A566" s="23">
        <v>739535</v>
      </c>
      <c r="B566" s="23" t="s">
        <v>38</v>
      </c>
      <c r="C566" s="24" t="s">
        <v>29</v>
      </c>
      <c r="D566" s="24">
        <v>2025</v>
      </c>
      <c r="E566" s="67" t="s">
        <v>245</v>
      </c>
      <c r="F566" s="28">
        <v>1150</v>
      </c>
    </row>
    <row r="567" spans="1:6" hidden="1" x14ac:dyDescent="0.3">
      <c r="A567" s="23">
        <v>739560</v>
      </c>
      <c r="B567" s="23" t="s">
        <v>38</v>
      </c>
      <c r="C567" s="24" t="s">
        <v>30</v>
      </c>
      <c r="D567" s="24">
        <v>2024</v>
      </c>
      <c r="E567" s="66" t="s">
        <v>245</v>
      </c>
      <c r="F567" s="27">
        <v>1324.0609999999999</v>
      </c>
    </row>
    <row r="568" spans="1:6" hidden="1" x14ac:dyDescent="0.3">
      <c r="A568" s="23">
        <v>739560</v>
      </c>
      <c r="B568" s="23" t="s">
        <v>38</v>
      </c>
      <c r="C568" s="24" t="s">
        <v>30</v>
      </c>
      <c r="D568" s="24">
        <v>2025</v>
      </c>
      <c r="E568" s="67" t="s">
        <v>245</v>
      </c>
      <c r="F568" s="28">
        <v>9592.2209999999995</v>
      </c>
    </row>
    <row r="569" spans="1:6" hidden="1" x14ac:dyDescent="0.3">
      <c r="A569" s="23">
        <v>740101</v>
      </c>
      <c r="B569" s="23" t="s">
        <v>39</v>
      </c>
      <c r="C569" s="24" t="s">
        <v>33</v>
      </c>
      <c r="D569" s="24">
        <v>2024</v>
      </c>
      <c r="E569" s="66" t="s">
        <v>245</v>
      </c>
      <c r="F569" s="27">
        <v>42080.120999999999</v>
      </c>
    </row>
    <row r="570" spans="1:6" hidden="1" x14ac:dyDescent="0.3">
      <c r="A570" s="23">
        <v>740101</v>
      </c>
      <c r="B570" s="23" t="s">
        <v>39</v>
      </c>
      <c r="C570" s="24" t="s">
        <v>33</v>
      </c>
      <c r="D570" s="24">
        <v>2025</v>
      </c>
      <c r="E570" s="67" t="s">
        <v>245</v>
      </c>
      <c r="F570" s="28">
        <v>26731.233</v>
      </c>
    </row>
    <row r="571" spans="1:6" hidden="1" x14ac:dyDescent="0.3">
      <c r="A571" s="23">
        <v>73109502</v>
      </c>
      <c r="B571" s="23" t="s">
        <v>37</v>
      </c>
      <c r="C571" s="24" t="s">
        <v>60</v>
      </c>
      <c r="D571" s="24">
        <v>2024</v>
      </c>
      <c r="E571" s="66" t="s">
        <v>245</v>
      </c>
      <c r="F571" s="27">
        <v>241.25399999999991</v>
      </c>
    </row>
    <row r="572" spans="1:6" hidden="1" x14ac:dyDescent="0.3">
      <c r="A572" s="23">
        <v>73109502</v>
      </c>
      <c r="B572" s="23" t="s">
        <v>36</v>
      </c>
      <c r="C572" s="24" t="s">
        <v>60</v>
      </c>
      <c r="D572" s="24">
        <v>2024</v>
      </c>
      <c r="E572" s="66" t="s">
        <v>245</v>
      </c>
      <c r="F572" s="27">
        <v>1525</v>
      </c>
    </row>
    <row r="573" spans="1:6" hidden="1" x14ac:dyDescent="0.3">
      <c r="A573" s="23">
        <v>73109502</v>
      </c>
      <c r="B573" s="23" t="s">
        <v>37</v>
      </c>
      <c r="C573" s="24" t="s">
        <v>60</v>
      </c>
      <c r="D573" s="24">
        <v>2025</v>
      </c>
      <c r="E573" s="66" t="s">
        <v>245</v>
      </c>
      <c r="F573" s="27">
        <v>521.30600000000004</v>
      </c>
    </row>
    <row r="574" spans="1:6" hidden="1" x14ac:dyDescent="0.3">
      <c r="A574" s="23">
        <v>73109502</v>
      </c>
      <c r="B574" s="23" t="s">
        <v>36</v>
      </c>
      <c r="C574" s="24" t="s">
        <v>60</v>
      </c>
      <c r="D574" s="24">
        <v>2025</v>
      </c>
      <c r="E574" s="66" t="s">
        <v>245</v>
      </c>
      <c r="F574" s="27">
        <v>912</v>
      </c>
    </row>
    <row r="575" spans="1:6" hidden="1" x14ac:dyDescent="0.3">
      <c r="A575" s="23">
        <v>73109503</v>
      </c>
      <c r="B575" s="23" t="s">
        <v>37</v>
      </c>
      <c r="C575" s="24" t="s">
        <v>16</v>
      </c>
      <c r="D575" s="24">
        <v>2025</v>
      </c>
      <c r="E575" s="66" t="s">
        <v>245</v>
      </c>
      <c r="F575" s="27">
        <v>608.78800000000001</v>
      </c>
    </row>
    <row r="576" spans="1:6" hidden="1" x14ac:dyDescent="0.3">
      <c r="A576" s="23">
        <v>73109504</v>
      </c>
      <c r="B576" s="23" t="s">
        <v>37</v>
      </c>
      <c r="C576" s="24" t="s">
        <v>17</v>
      </c>
      <c r="D576" s="24">
        <v>2024</v>
      </c>
      <c r="E576" s="66" t="s">
        <v>245</v>
      </c>
      <c r="F576" s="27">
        <v>3500</v>
      </c>
    </row>
    <row r="577" spans="1:6" hidden="1" x14ac:dyDescent="0.3">
      <c r="A577" s="23">
        <v>73109505</v>
      </c>
      <c r="B577" s="23" t="s">
        <v>38</v>
      </c>
      <c r="C577" s="24" t="s">
        <v>56</v>
      </c>
      <c r="D577" s="24">
        <v>2025</v>
      </c>
      <c r="E577" s="67" t="s">
        <v>245</v>
      </c>
      <c r="F577" s="28">
        <v>1400</v>
      </c>
    </row>
    <row r="578" spans="1:6" hidden="1" x14ac:dyDescent="0.3">
      <c r="A578" s="23">
        <v>73359506</v>
      </c>
      <c r="B578" s="23" t="s">
        <v>37</v>
      </c>
      <c r="C578" s="24" t="s">
        <v>25</v>
      </c>
      <c r="D578" s="24">
        <v>2024</v>
      </c>
      <c r="E578" s="66" t="s">
        <v>245</v>
      </c>
      <c r="F578" s="27">
        <v>6883.2659999999996</v>
      </c>
    </row>
    <row r="579" spans="1:6" hidden="1" x14ac:dyDescent="0.3">
      <c r="A579" s="23">
        <v>73359506</v>
      </c>
      <c r="B579" s="23" t="s">
        <v>36</v>
      </c>
      <c r="C579" s="24" t="s">
        <v>25</v>
      </c>
      <c r="D579" s="24">
        <v>2024</v>
      </c>
      <c r="E579" s="66" t="s">
        <v>245</v>
      </c>
      <c r="F579" s="27">
        <v>2427</v>
      </c>
    </row>
    <row r="580" spans="1:6" hidden="1" x14ac:dyDescent="0.3">
      <c r="A580" s="23">
        <v>73359506</v>
      </c>
      <c r="B580" s="23" t="s">
        <v>37</v>
      </c>
      <c r="C580" s="24" t="s">
        <v>25</v>
      </c>
      <c r="D580" s="24">
        <v>2025</v>
      </c>
      <c r="E580" s="66" t="s">
        <v>245</v>
      </c>
      <c r="F580" s="27">
        <v>632.71799999999996</v>
      </c>
    </row>
    <row r="581" spans="1:6" hidden="1" x14ac:dyDescent="0.3">
      <c r="A581" s="23">
        <v>73359506</v>
      </c>
      <c r="B581" s="23" t="s">
        <v>36</v>
      </c>
      <c r="C581" s="24" t="s">
        <v>25</v>
      </c>
      <c r="D581" s="24">
        <v>2025</v>
      </c>
      <c r="E581" s="67" t="s">
        <v>245</v>
      </c>
      <c r="F581" s="28">
        <v>234</v>
      </c>
    </row>
    <row r="582" spans="1:6" hidden="1" x14ac:dyDescent="0.3">
      <c r="A582" s="23">
        <v>73451501</v>
      </c>
      <c r="B582" s="23" t="s">
        <v>38</v>
      </c>
      <c r="C582" s="24" t="s">
        <v>158</v>
      </c>
      <c r="D582" s="24">
        <v>2024</v>
      </c>
      <c r="E582" s="66" t="s">
        <v>245</v>
      </c>
      <c r="F582" s="27">
        <v>4318.2430000000004</v>
      </c>
    </row>
    <row r="583" spans="1:6" hidden="1" x14ac:dyDescent="0.3">
      <c r="A583" s="23">
        <v>73451501</v>
      </c>
      <c r="B583" s="23" t="s">
        <v>38</v>
      </c>
      <c r="C583" s="24" t="s">
        <v>158</v>
      </c>
      <c r="D583" s="24">
        <v>2025</v>
      </c>
      <c r="E583" s="67" t="s">
        <v>245</v>
      </c>
      <c r="F583" s="28">
        <v>473.51499999999999</v>
      </c>
    </row>
    <row r="584" spans="1:6" hidden="1" x14ac:dyDescent="0.3">
      <c r="A584" s="23">
        <v>73451502</v>
      </c>
      <c r="B584" s="23" t="s">
        <v>38</v>
      </c>
      <c r="C584" s="24" t="s">
        <v>158</v>
      </c>
      <c r="D584" s="24">
        <v>2024</v>
      </c>
      <c r="E584" s="66" t="s">
        <v>245</v>
      </c>
      <c r="F584" s="27">
        <v>18988.615000000002</v>
      </c>
    </row>
    <row r="585" spans="1:6" hidden="1" x14ac:dyDescent="0.3">
      <c r="A585" s="23">
        <v>73451502</v>
      </c>
      <c r="B585" s="23" t="s">
        <v>38</v>
      </c>
      <c r="C585" s="24" t="s">
        <v>158</v>
      </c>
      <c r="D585" s="24">
        <v>2025</v>
      </c>
      <c r="E585" s="67" t="s">
        <v>245</v>
      </c>
      <c r="F585" s="28">
        <v>27504.434000000001</v>
      </c>
    </row>
    <row r="586" spans="1:6" hidden="1" x14ac:dyDescent="0.3">
      <c r="A586" s="23">
        <v>73451503</v>
      </c>
      <c r="B586" s="23" t="s">
        <v>38</v>
      </c>
      <c r="C586" s="24" t="s">
        <v>159</v>
      </c>
      <c r="D586" s="24">
        <v>2024</v>
      </c>
      <c r="E586" s="66" t="s">
        <v>245</v>
      </c>
      <c r="F586" s="27">
        <v>16640.96</v>
      </c>
    </row>
    <row r="587" spans="1:6" hidden="1" x14ac:dyDescent="0.3">
      <c r="A587" s="23">
        <v>73451503</v>
      </c>
      <c r="B587" s="23" t="s">
        <v>38</v>
      </c>
      <c r="C587" s="24" t="s">
        <v>159</v>
      </c>
      <c r="D587" s="24">
        <v>2025</v>
      </c>
      <c r="E587" s="67" t="s">
        <v>245</v>
      </c>
      <c r="F587" s="28">
        <v>1006.205</v>
      </c>
    </row>
    <row r="588" spans="1:6" hidden="1" x14ac:dyDescent="0.3">
      <c r="A588" s="23">
        <v>73451504</v>
      </c>
      <c r="B588" s="23" t="s">
        <v>38</v>
      </c>
      <c r="C588" s="24" t="s">
        <v>159</v>
      </c>
      <c r="D588" s="24">
        <v>2024</v>
      </c>
      <c r="E588" s="66" t="s">
        <v>245</v>
      </c>
      <c r="F588" s="27">
        <v>57088.800000000003</v>
      </c>
    </row>
    <row r="589" spans="1:6" hidden="1" x14ac:dyDescent="0.3">
      <c r="A589" s="23">
        <v>73451504</v>
      </c>
      <c r="B589" s="23" t="s">
        <v>38</v>
      </c>
      <c r="C589" s="24" t="s">
        <v>159</v>
      </c>
      <c r="D589" s="24">
        <v>2025</v>
      </c>
      <c r="E589" s="66" t="s">
        <v>245</v>
      </c>
      <c r="F589" s="27">
        <v>15946.316999999999</v>
      </c>
    </row>
    <row r="590" spans="1:6" hidden="1" x14ac:dyDescent="0.3">
      <c r="A590" s="23">
        <v>73451507</v>
      </c>
      <c r="B590" s="23" t="s">
        <v>38</v>
      </c>
      <c r="C590" s="24" t="s">
        <v>26</v>
      </c>
      <c r="D590" s="24">
        <v>2024</v>
      </c>
      <c r="E590" s="66" t="s">
        <v>245</v>
      </c>
      <c r="F590" s="27">
        <v>78</v>
      </c>
    </row>
    <row r="591" spans="1:6" hidden="1" x14ac:dyDescent="0.3">
      <c r="A591" s="23">
        <v>73451507</v>
      </c>
      <c r="B591" s="23" t="s">
        <v>38</v>
      </c>
      <c r="C591" s="24" t="s">
        <v>26</v>
      </c>
      <c r="D591" s="24">
        <v>2025</v>
      </c>
      <c r="E591" s="66" t="s">
        <v>245</v>
      </c>
      <c r="F591" s="27">
        <v>352.94099999999997</v>
      </c>
    </row>
    <row r="592" spans="1:6" hidden="1" x14ac:dyDescent="0.3">
      <c r="A592" s="23">
        <v>73452501</v>
      </c>
      <c r="B592" s="23" t="s">
        <v>38</v>
      </c>
      <c r="C592" s="24" t="s">
        <v>74</v>
      </c>
      <c r="D592" s="24">
        <v>2024</v>
      </c>
      <c r="E592" s="66" t="s">
        <v>245</v>
      </c>
      <c r="F592" s="27">
        <v>597.72799999999995</v>
      </c>
    </row>
    <row r="593" spans="1:6" hidden="1" x14ac:dyDescent="0.3">
      <c r="A593" s="23">
        <v>73452501</v>
      </c>
      <c r="B593" s="23" t="s">
        <v>38</v>
      </c>
      <c r="C593" s="24" t="s">
        <v>74</v>
      </c>
      <c r="D593" s="24">
        <v>2025</v>
      </c>
      <c r="E593" s="67" t="s">
        <v>245</v>
      </c>
      <c r="F593" s="28">
        <v>862.14</v>
      </c>
    </row>
    <row r="594" spans="1:6" hidden="1" x14ac:dyDescent="0.3">
      <c r="A594" s="23">
        <v>73959501</v>
      </c>
      <c r="B594" s="23" t="s">
        <v>38</v>
      </c>
      <c r="C594" s="24" t="s">
        <v>31</v>
      </c>
      <c r="D594" s="24">
        <v>2024</v>
      </c>
      <c r="E594" s="66" t="s">
        <v>245</v>
      </c>
      <c r="F594" s="27">
        <v>-275</v>
      </c>
    </row>
    <row r="595" spans="1:6" hidden="1" x14ac:dyDescent="0.3">
      <c r="A595" s="23">
        <v>73959501</v>
      </c>
      <c r="B595" s="23" t="s">
        <v>38</v>
      </c>
      <c r="C595" s="24" t="s">
        <v>31</v>
      </c>
      <c r="D595" s="24">
        <v>2025</v>
      </c>
      <c r="E595" s="66" t="s">
        <v>245</v>
      </c>
      <c r="F595" s="27">
        <v>2048.4029999999998</v>
      </c>
    </row>
    <row r="596" spans="1:6" hidden="1" x14ac:dyDescent="0.3">
      <c r="A596" s="23">
        <v>73959503</v>
      </c>
      <c r="B596" s="23" t="s">
        <v>38</v>
      </c>
      <c r="C596" s="24" t="s">
        <v>198</v>
      </c>
      <c r="D596" s="24">
        <v>2025</v>
      </c>
      <c r="E596" s="67" t="s">
        <v>245</v>
      </c>
      <c r="F596" s="28">
        <v>3888.3560000000002</v>
      </c>
    </row>
    <row r="597" spans="1:6" hidden="1" x14ac:dyDescent="0.3">
      <c r="A597" s="23">
        <v>73959504</v>
      </c>
      <c r="B597" s="23" t="s">
        <v>38</v>
      </c>
      <c r="C597" s="24" t="s">
        <v>32</v>
      </c>
      <c r="D597" s="24">
        <v>2024</v>
      </c>
      <c r="E597" s="66" t="s">
        <v>245</v>
      </c>
      <c r="F597" s="27">
        <v>2132.2640000000001</v>
      </c>
    </row>
    <row r="598" spans="1:6" hidden="1" x14ac:dyDescent="0.3">
      <c r="A598" s="23">
        <v>73959504</v>
      </c>
      <c r="B598" s="23" t="s">
        <v>38</v>
      </c>
      <c r="C598" s="24" t="s">
        <v>32</v>
      </c>
      <c r="D598" s="24">
        <v>2025</v>
      </c>
      <c r="E598" s="67" t="s">
        <v>245</v>
      </c>
      <c r="F598" s="28">
        <v>742.33299999999997</v>
      </c>
    </row>
    <row r="599" spans="1:6" hidden="1" x14ac:dyDescent="0.3">
      <c r="A599" s="23">
        <v>73959510</v>
      </c>
      <c r="B599" s="23" t="s">
        <v>38</v>
      </c>
      <c r="C599" s="24" t="s">
        <v>67</v>
      </c>
      <c r="D599" s="24">
        <v>2024</v>
      </c>
      <c r="E599" s="66" t="s">
        <v>245</v>
      </c>
      <c r="F599" s="27">
        <v>1724.2080000000001</v>
      </c>
    </row>
    <row r="600" spans="1:6" hidden="1" x14ac:dyDescent="0.3">
      <c r="A600" s="23">
        <v>73959510</v>
      </c>
      <c r="B600" s="23" t="s">
        <v>38</v>
      </c>
      <c r="C600" s="24" t="s">
        <v>67</v>
      </c>
      <c r="D600" s="24">
        <v>2025</v>
      </c>
      <c r="E600" s="66" t="s">
        <v>245</v>
      </c>
      <c r="F600" s="27">
        <v>4250.95</v>
      </c>
    </row>
    <row r="601" spans="1:6" hidden="1" x14ac:dyDescent="0.3">
      <c r="A601" s="23">
        <v>73959511</v>
      </c>
      <c r="B601" s="23" t="s">
        <v>38</v>
      </c>
      <c r="C601" s="24" t="s">
        <v>246</v>
      </c>
      <c r="D601" s="24">
        <v>2025</v>
      </c>
      <c r="E601" s="67" t="s">
        <v>245</v>
      </c>
      <c r="F601" s="28">
        <v>134.874</v>
      </c>
    </row>
    <row r="602" spans="1:6" hidden="1" x14ac:dyDescent="0.3">
      <c r="A602" s="23" t="s">
        <v>81</v>
      </c>
      <c r="B602" s="23" t="s">
        <v>36</v>
      </c>
      <c r="C602" s="24" t="s">
        <v>5</v>
      </c>
      <c r="D602" s="24">
        <v>2026</v>
      </c>
      <c r="E602" s="66" t="s">
        <v>245</v>
      </c>
      <c r="F602" s="27">
        <v>53674.421000000002</v>
      </c>
    </row>
    <row r="603" spans="1:6" hidden="1" x14ac:dyDescent="0.3">
      <c r="A603" s="23" t="s">
        <v>82</v>
      </c>
      <c r="B603" s="23" t="s">
        <v>36</v>
      </c>
      <c r="C603" s="24" t="s">
        <v>6</v>
      </c>
      <c r="D603" s="24">
        <v>2026</v>
      </c>
      <c r="E603" s="66" t="s">
        <v>245</v>
      </c>
      <c r="F603" s="27">
        <v>10485.587</v>
      </c>
    </row>
    <row r="604" spans="1:6" hidden="1" x14ac:dyDescent="0.3">
      <c r="A604" s="23" t="s">
        <v>83</v>
      </c>
      <c r="B604" s="23" t="s">
        <v>36</v>
      </c>
      <c r="C604" s="24" t="s">
        <v>7</v>
      </c>
      <c r="D604" s="24">
        <v>2026</v>
      </c>
      <c r="E604" s="66" t="s">
        <v>245</v>
      </c>
      <c r="F604" s="27">
        <v>1925.999</v>
      </c>
    </row>
    <row r="605" spans="1:6" hidden="1" x14ac:dyDescent="0.3">
      <c r="A605" s="23" t="s">
        <v>84</v>
      </c>
      <c r="B605" s="23" t="s">
        <v>36</v>
      </c>
      <c r="C605" s="24" t="s">
        <v>8</v>
      </c>
      <c r="D605" s="24">
        <v>2026</v>
      </c>
      <c r="E605" s="66" t="s">
        <v>245</v>
      </c>
      <c r="F605" s="27">
        <v>6061.3130000000001</v>
      </c>
    </row>
    <row r="606" spans="1:6" hidden="1" x14ac:dyDescent="0.3">
      <c r="A606" s="23" t="s">
        <v>85</v>
      </c>
      <c r="B606" s="23" t="s">
        <v>36</v>
      </c>
      <c r="C606" s="24" t="s">
        <v>154</v>
      </c>
      <c r="D606" s="24">
        <v>2026</v>
      </c>
      <c r="E606" s="66" t="s">
        <v>245</v>
      </c>
      <c r="F606" s="27">
        <v>6615.4340000000002</v>
      </c>
    </row>
    <row r="607" spans="1:6" hidden="1" x14ac:dyDescent="0.3">
      <c r="A607" s="23" t="s">
        <v>86</v>
      </c>
      <c r="B607" s="23" t="s">
        <v>36</v>
      </c>
      <c r="C607" s="24" t="s">
        <v>154</v>
      </c>
      <c r="D607" s="24">
        <v>2026</v>
      </c>
      <c r="E607" s="66" t="s">
        <v>245</v>
      </c>
      <c r="F607" s="27">
        <v>794.16800000000001</v>
      </c>
    </row>
    <row r="608" spans="1:6" hidden="1" x14ac:dyDescent="0.3">
      <c r="A608" s="23" t="s">
        <v>87</v>
      </c>
      <c r="B608" s="23" t="s">
        <v>36</v>
      </c>
      <c r="C608" s="24" t="s">
        <v>154</v>
      </c>
      <c r="D608" s="24">
        <v>2026</v>
      </c>
      <c r="E608" s="66" t="s">
        <v>245</v>
      </c>
      <c r="F608" s="27">
        <v>6615.4340000000002</v>
      </c>
    </row>
    <row r="609" spans="1:6" hidden="1" x14ac:dyDescent="0.3">
      <c r="A609" s="23" t="s">
        <v>88</v>
      </c>
      <c r="B609" s="23" t="s">
        <v>36</v>
      </c>
      <c r="C609" s="24" t="s">
        <v>154</v>
      </c>
      <c r="D609" s="24">
        <v>2026</v>
      </c>
      <c r="E609" s="66" t="s">
        <v>245</v>
      </c>
      <c r="F609" s="27">
        <v>3058.9369999999999</v>
      </c>
    </row>
    <row r="610" spans="1:6" hidden="1" x14ac:dyDescent="0.3">
      <c r="A610" s="23" t="s">
        <v>89</v>
      </c>
      <c r="B610" s="23" t="s">
        <v>36</v>
      </c>
      <c r="C610" s="24" t="s">
        <v>154</v>
      </c>
      <c r="D610" s="24">
        <v>2026</v>
      </c>
      <c r="E610" s="66" t="s">
        <v>245</v>
      </c>
      <c r="F610" s="27">
        <v>1012.304</v>
      </c>
    </row>
    <row r="611" spans="1:6" hidden="1" x14ac:dyDescent="0.3">
      <c r="A611" s="23" t="s">
        <v>90</v>
      </c>
      <c r="B611" s="23" t="s">
        <v>36</v>
      </c>
      <c r="C611" s="24" t="s">
        <v>155</v>
      </c>
      <c r="D611" s="24">
        <v>2026</v>
      </c>
      <c r="E611" s="66" t="s">
        <v>245</v>
      </c>
      <c r="F611" s="27">
        <v>8575.4709999999995</v>
      </c>
    </row>
    <row r="612" spans="1:6" hidden="1" x14ac:dyDescent="0.3">
      <c r="A612" s="23" t="s">
        <v>91</v>
      </c>
      <c r="B612" s="23" t="s">
        <v>36</v>
      </c>
      <c r="C612" s="24" t="s">
        <v>156</v>
      </c>
      <c r="D612" s="24">
        <v>2026</v>
      </c>
      <c r="E612" s="66" t="s">
        <v>245</v>
      </c>
      <c r="F612" s="27">
        <v>2621.6860000000001</v>
      </c>
    </row>
    <row r="613" spans="1:6" hidden="1" x14ac:dyDescent="0.3">
      <c r="A613" s="23" t="s">
        <v>92</v>
      </c>
      <c r="B613" s="23" t="s">
        <v>36</v>
      </c>
      <c r="C613" s="24" t="s">
        <v>10</v>
      </c>
      <c r="D613" s="24">
        <v>2026</v>
      </c>
      <c r="E613" s="66" t="s">
        <v>245</v>
      </c>
      <c r="F613" s="27">
        <v>2888.64</v>
      </c>
    </row>
    <row r="614" spans="1:6" hidden="1" x14ac:dyDescent="0.3">
      <c r="A614" s="23" t="s">
        <v>93</v>
      </c>
      <c r="B614" s="23" t="s">
        <v>36</v>
      </c>
      <c r="C614" s="24" t="s">
        <v>11</v>
      </c>
      <c r="D614" s="24">
        <v>2026</v>
      </c>
      <c r="E614" s="66" t="s">
        <v>245</v>
      </c>
      <c r="F614" s="27">
        <v>4679.8559999999998</v>
      </c>
    </row>
    <row r="615" spans="1:6" hidden="1" x14ac:dyDescent="0.3">
      <c r="A615" s="23" t="s">
        <v>247</v>
      </c>
      <c r="B615" s="23" t="s">
        <v>36</v>
      </c>
      <c r="C615" s="24" t="s">
        <v>15</v>
      </c>
      <c r="D615" s="24">
        <v>2026</v>
      </c>
      <c r="E615" s="66" t="s">
        <v>245</v>
      </c>
      <c r="F615" s="27">
        <v>6096.9719999999998</v>
      </c>
    </row>
    <row r="616" spans="1:6" hidden="1" x14ac:dyDescent="0.3">
      <c r="A616" s="23" t="s">
        <v>94</v>
      </c>
      <c r="B616" s="23" t="s">
        <v>36</v>
      </c>
      <c r="C616" s="30" t="s">
        <v>157</v>
      </c>
      <c r="D616" s="24">
        <v>2026</v>
      </c>
      <c r="E616" s="66" t="s">
        <v>245</v>
      </c>
      <c r="F616" s="27">
        <v>1569.9</v>
      </c>
    </row>
    <row r="617" spans="1:6" hidden="1" x14ac:dyDescent="0.3">
      <c r="A617" s="23" t="s">
        <v>96</v>
      </c>
      <c r="B617" s="23" t="s">
        <v>36</v>
      </c>
      <c r="C617" s="30" t="s">
        <v>157</v>
      </c>
      <c r="D617" s="24">
        <v>2026</v>
      </c>
      <c r="E617" s="66" t="s">
        <v>245</v>
      </c>
      <c r="F617" s="27">
        <v>8620</v>
      </c>
    </row>
    <row r="618" spans="1:6" hidden="1" x14ac:dyDescent="0.3">
      <c r="A618" s="23" t="s">
        <v>97</v>
      </c>
      <c r="B618" s="23" t="s">
        <v>36</v>
      </c>
      <c r="C618" s="30" t="s">
        <v>157</v>
      </c>
      <c r="D618" s="24">
        <v>2026</v>
      </c>
      <c r="E618" s="66" t="s">
        <v>245</v>
      </c>
      <c r="F618" s="27">
        <v>2861.2</v>
      </c>
    </row>
    <row r="619" spans="1:6" hidden="1" x14ac:dyDescent="0.3">
      <c r="A619" s="23" t="s">
        <v>98</v>
      </c>
      <c r="B619" s="23" t="s">
        <v>37</v>
      </c>
      <c r="C619" s="24" t="s">
        <v>5</v>
      </c>
      <c r="D619" s="24">
        <v>2026</v>
      </c>
      <c r="E619" s="66" t="s">
        <v>245</v>
      </c>
      <c r="F619" s="27">
        <v>97262.471000000005</v>
      </c>
    </row>
    <row r="620" spans="1:6" hidden="1" x14ac:dyDescent="0.3">
      <c r="A620" s="23" t="s">
        <v>99</v>
      </c>
      <c r="B620" s="23" t="s">
        <v>37</v>
      </c>
      <c r="C620" s="24" t="s">
        <v>13</v>
      </c>
      <c r="D620" s="24">
        <v>2026</v>
      </c>
      <c r="E620" s="66" t="s">
        <v>245</v>
      </c>
      <c r="F620" s="27">
        <v>1750.9059999999999</v>
      </c>
    </row>
    <row r="621" spans="1:6" hidden="1" x14ac:dyDescent="0.3">
      <c r="A621" s="23" t="s">
        <v>100</v>
      </c>
      <c r="B621" s="23" t="s">
        <v>37</v>
      </c>
      <c r="C621" s="24" t="s">
        <v>6</v>
      </c>
      <c r="D621" s="24">
        <v>2026</v>
      </c>
      <c r="E621" s="66" t="s">
        <v>245</v>
      </c>
      <c r="F621" s="27">
        <v>5856.0510000000004</v>
      </c>
    </row>
    <row r="622" spans="1:6" hidden="1" x14ac:dyDescent="0.3">
      <c r="A622" s="23" t="s">
        <v>101</v>
      </c>
      <c r="B622" s="23" t="s">
        <v>37</v>
      </c>
      <c r="C622" s="24" t="s">
        <v>7</v>
      </c>
      <c r="D622" s="24">
        <v>2026</v>
      </c>
      <c r="E622" s="66" t="s">
        <v>245</v>
      </c>
      <c r="F622" s="27">
        <v>1183.3440000000001</v>
      </c>
    </row>
    <row r="623" spans="1:6" hidden="1" x14ac:dyDescent="0.3">
      <c r="A623" s="23" t="s">
        <v>102</v>
      </c>
      <c r="B623" s="23" t="s">
        <v>37</v>
      </c>
      <c r="C623" s="24" t="s">
        <v>14</v>
      </c>
      <c r="D623" s="24">
        <v>2026</v>
      </c>
      <c r="E623" s="66" t="s">
        <v>245</v>
      </c>
      <c r="F623" s="27">
        <v>3628.4839999999999</v>
      </c>
    </row>
    <row r="624" spans="1:6" hidden="1" x14ac:dyDescent="0.3">
      <c r="A624" s="23" t="s">
        <v>103</v>
      </c>
      <c r="B624" s="23" t="s">
        <v>37</v>
      </c>
      <c r="C624" s="24" t="s">
        <v>154</v>
      </c>
      <c r="D624" s="24">
        <v>2026</v>
      </c>
      <c r="E624" s="66" t="s">
        <v>245</v>
      </c>
      <c r="F624" s="27">
        <v>9164.2739999999994</v>
      </c>
    </row>
    <row r="625" spans="1:6" hidden="1" x14ac:dyDescent="0.3">
      <c r="A625" s="23" t="s">
        <v>104</v>
      </c>
      <c r="B625" s="23" t="s">
        <v>37</v>
      </c>
      <c r="C625" s="24" t="s">
        <v>154</v>
      </c>
      <c r="D625" s="24">
        <v>2026</v>
      </c>
      <c r="E625" s="66" t="s">
        <v>245</v>
      </c>
      <c r="F625" s="27">
        <v>1100.1500000000001</v>
      </c>
    </row>
    <row r="626" spans="1:6" hidden="1" x14ac:dyDescent="0.3">
      <c r="A626" s="23" t="s">
        <v>105</v>
      </c>
      <c r="B626" s="23" t="s">
        <v>37</v>
      </c>
      <c r="C626" s="24" t="s">
        <v>154</v>
      </c>
      <c r="D626" s="24">
        <v>2026</v>
      </c>
      <c r="E626" s="66" t="s">
        <v>245</v>
      </c>
      <c r="F626" s="27">
        <v>9164.2739999999994</v>
      </c>
    </row>
    <row r="627" spans="1:6" hidden="1" x14ac:dyDescent="0.3">
      <c r="A627" s="23" t="s">
        <v>106</v>
      </c>
      <c r="B627" s="23" t="s">
        <v>37</v>
      </c>
      <c r="C627" s="24" t="s">
        <v>154</v>
      </c>
      <c r="D627" s="24">
        <v>2026</v>
      </c>
      <c r="E627" s="66" t="s">
        <v>245</v>
      </c>
      <c r="F627" s="27">
        <v>4436.326</v>
      </c>
    </row>
    <row r="628" spans="1:6" hidden="1" x14ac:dyDescent="0.3">
      <c r="A628" s="23" t="s">
        <v>107</v>
      </c>
      <c r="B628" s="23" t="s">
        <v>37</v>
      </c>
      <c r="C628" s="24" t="s">
        <v>154</v>
      </c>
      <c r="D628" s="24">
        <v>2026</v>
      </c>
      <c r="E628" s="66" t="s">
        <v>245</v>
      </c>
      <c r="F628" s="27">
        <v>1468.135</v>
      </c>
    </row>
    <row r="629" spans="1:6" hidden="1" x14ac:dyDescent="0.3">
      <c r="A629" s="23" t="s">
        <v>199</v>
      </c>
      <c r="B629" s="23" t="s">
        <v>37</v>
      </c>
      <c r="C629" s="24" t="s">
        <v>155</v>
      </c>
      <c r="D629" s="24">
        <v>2026</v>
      </c>
      <c r="E629" s="66" t="s">
        <v>245</v>
      </c>
      <c r="F629" s="27">
        <v>800</v>
      </c>
    </row>
    <row r="630" spans="1:6" hidden="1" x14ac:dyDescent="0.3">
      <c r="A630" s="23" t="s">
        <v>108</v>
      </c>
      <c r="B630" s="23" t="s">
        <v>37</v>
      </c>
      <c r="C630" s="24" t="s">
        <v>155</v>
      </c>
      <c r="D630" s="24">
        <v>2026</v>
      </c>
      <c r="E630" s="66" t="s">
        <v>245</v>
      </c>
      <c r="F630" s="27">
        <v>13712.39</v>
      </c>
    </row>
    <row r="631" spans="1:6" hidden="1" x14ac:dyDescent="0.3">
      <c r="A631" s="23" t="s">
        <v>109</v>
      </c>
      <c r="B631" s="23" t="s">
        <v>37</v>
      </c>
      <c r="C631" s="24" t="s">
        <v>156</v>
      </c>
      <c r="D631" s="24">
        <v>2026</v>
      </c>
      <c r="E631" s="66" t="s">
        <v>245</v>
      </c>
      <c r="F631" s="27">
        <v>4192.13</v>
      </c>
    </row>
    <row r="632" spans="1:6" hidden="1" x14ac:dyDescent="0.3">
      <c r="A632" s="23" t="s">
        <v>110</v>
      </c>
      <c r="B632" s="23" t="s">
        <v>37</v>
      </c>
      <c r="C632" s="24" t="s">
        <v>10</v>
      </c>
      <c r="D632" s="24">
        <v>2026</v>
      </c>
      <c r="E632" s="66" t="s">
        <v>245</v>
      </c>
      <c r="F632" s="27">
        <v>849.6</v>
      </c>
    </row>
    <row r="633" spans="1:6" hidden="1" x14ac:dyDescent="0.3">
      <c r="A633" s="23" t="s">
        <v>111</v>
      </c>
      <c r="B633" s="23" t="s">
        <v>37</v>
      </c>
      <c r="C633" s="24" t="s">
        <v>11</v>
      </c>
      <c r="D633" s="24">
        <v>2026</v>
      </c>
      <c r="E633" s="66" t="s">
        <v>245</v>
      </c>
      <c r="F633" s="27">
        <v>761.76599999999996</v>
      </c>
    </row>
    <row r="634" spans="1:6" hidden="1" x14ac:dyDescent="0.3">
      <c r="A634" s="23" t="s">
        <v>248</v>
      </c>
      <c r="B634" s="23" t="s">
        <v>37</v>
      </c>
      <c r="C634" s="24" t="s">
        <v>15</v>
      </c>
      <c r="D634" s="24">
        <v>2026</v>
      </c>
      <c r="E634" s="66" t="s">
        <v>245</v>
      </c>
      <c r="F634" s="27">
        <v>2877.5830000000001</v>
      </c>
    </row>
    <row r="635" spans="1:6" hidden="1" x14ac:dyDescent="0.3">
      <c r="A635" s="23" t="s">
        <v>112</v>
      </c>
      <c r="B635" s="23" t="s">
        <v>37</v>
      </c>
      <c r="C635" s="24" t="s">
        <v>16</v>
      </c>
      <c r="D635" s="24">
        <v>2026</v>
      </c>
      <c r="E635" s="66" t="s">
        <v>245</v>
      </c>
      <c r="F635" s="27">
        <v>2000</v>
      </c>
    </row>
    <row r="636" spans="1:6" hidden="1" x14ac:dyDescent="0.3">
      <c r="A636" s="23" t="s">
        <v>113</v>
      </c>
      <c r="B636" s="23" t="s">
        <v>37</v>
      </c>
      <c r="C636" s="30" t="s">
        <v>157</v>
      </c>
      <c r="D636" s="24">
        <v>2026</v>
      </c>
      <c r="E636" s="66" t="s">
        <v>245</v>
      </c>
      <c r="F636" s="27">
        <v>2549.9</v>
      </c>
    </row>
    <row r="637" spans="1:6" hidden="1" x14ac:dyDescent="0.3">
      <c r="A637" s="23" t="s">
        <v>115</v>
      </c>
      <c r="B637" s="23" t="s">
        <v>37</v>
      </c>
      <c r="C637" s="30" t="s">
        <v>157</v>
      </c>
      <c r="D637" s="24">
        <v>2026</v>
      </c>
      <c r="E637" s="66" t="s">
        <v>245</v>
      </c>
      <c r="F637" s="27">
        <v>12451.4</v>
      </c>
    </row>
    <row r="638" spans="1:6" hidden="1" x14ac:dyDescent="0.3">
      <c r="A638" s="23" t="s">
        <v>116</v>
      </c>
      <c r="B638" s="23" t="s">
        <v>37</v>
      </c>
      <c r="C638" s="30" t="s">
        <v>157</v>
      </c>
      <c r="D638" s="24">
        <v>2026</v>
      </c>
      <c r="E638" s="66" t="s">
        <v>245</v>
      </c>
      <c r="F638" s="27">
        <v>4209</v>
      </c>
    </row>
    <row r="639" spans="1:6" hidden="1" x14ac:dyDescent="0.3">
      <c r="A639" s="23" t="s">
        <v>117</v>
      </c>
      <c r="B639" s="23" t="s">
        <v>37</v>
      </c>
      <c r="C639" s="24" t="s">
        <v>60</v>
      </c>
      <c r="D639" s="24">
        <v>2026</v>
      </c>
      <c r="E639" s="66" t="s">
        <v>245</v>
      </c>
      <c r="F639" s="27">
        <v>260.06400000000031</v>
      </c>
    </row>
    <row r="640" spans="1:6" hidden="1" x14ac:dyDescent="0.3">
      <c r="A640" s="23" t="s">
        <v>117</v>
      </c>
      <c r="B640" s="23" t="s">
        <v>36</v>
      </c>
      <c r="C640" s="24" t="s">
        <v>60</v>
      </c>
      <c r="D640" s="24">
        <v>2026</v>
      </c>
      <c r="E640" s="66" t="s">
        <v>245</v>
      </c>
      <c r="F640" s="27">
        <v>2120.6799999999998</v>
      </c>
    </row>
    <row r="641" spans="1:6" hidden="1" x14ac:dyDescent="0.3">
      <c r="A641" s="23" t="s">
        <v>249</v>
      </c>
      <c r="B641" s="23" t="s">
        <v>38</v>
      </c>
      <c r="C641" s="24" t="s">
        <v>196</v>
      </c>
      <c r="D641" s="24">
        <v>2026</v>
      </c>
      <c r="E641" s="66" t="s">
        <v>245</v>
      </c>
      <c r="F641" s="27">
        <v>25477.518</v>
      </c>
    </row>
    <row r="642" spans="1:6" hidden="1" x14ac:dyDescent="0.3">
      <c r="A642" s="23" t="s">
        <v>250</v>
      </c>
      <c r="B642" s="23" t="s">
        <v>38</v>
      </c>
      <c r="C642" s="24" t="s">
        <v>197</v>
      </c>
      <c r="D642" s="24">
        <v>2026</v>
      </c>
      <c r="E642" s="66" t="s">
        <v>245</v>
      </c>
      <c r="F642" s="27">
        <v>2460.576</v>
      </c>
    </row>
    <row r="643" spans="1:6" hidden="1" x14ac:dyDescent="0.3">
      <c r="A643" s="23" t="s">
        <v>118</v>
      </c>
      <c r="B643" s="23" t="s">
        <v>38</v>
      </c>
      <c r="C643" s="24" t="s">
        <v>61</v>
      </c>
      <c r="D643" s="24">
        <v>2026</v>
      </c>
      <c r="E643" s="66" t="s">
        <v>245</v>
      </c>
      <c r="F643" s="27">
        <v>85361</v>
      </c>
    </row>
    <row r="644" spans="1:6" hidden="1" x14ac:dyDescent="0.3">
      <c r="A644" s="23" t="s">
        <v>119</v>
      </c>
      <c r="B644" s="23" t="s">
        <v>38</v>
      </c>
      <c r="C644" s="24" t="s">
        <v>18</v>
      </c>
      <c r="D644" s="24">
        <v>2026</v>
      </c>
      <c r="E644" s="66" t="s">
        <v>245</v>
      </c>
      <c r="F644" s="27">
        <v>7213.9309999999996</v>
      </c>
    </row>
    <row r="645" spans="1:6" hidden="1" x14ac:dyDescent="0.3">
      <c r="A645" s="23" t="s">
        <v>120</v>
      </c>
      <c r="B645" s="23" t="s">
        <v>38</v>
      </c>
      <c r="C645" s="24" t="s">
        <v>62</v>
      </c>
      <c r="D645" s="24">
        <v>2026</v>
      </c>
      <c r="E645" s="66" t="s">
        <v>245</v>
      </c>
      <c r="F645" s="27">
        <v>899.91600000000005</v>
      </c>
    </row>
    <row r="646" spans="1:6" hidden="1" x14ac:dyDescent="0.3">
      <c r="A646" s="23" t="s">
        <v>121</v>
      </c>
      <c r="B646" s="23" t="s">
        <v>37</v>
      </c>
      <c r="C646" s="24" t="s">
        <v>63</v>
      </c>
      <c r="D646" s="24">
        <v>2026</v>
      </c>
      <c r="E646" s="66" t="s">
        <v>245</v>
      </c>
      <c r="F646" s="27">
        <v>82550.884999999951</v>
      </c>
    </row>
    <row r="647" spans="1:6" hidden="1" x14ac:dyDescent="0.3">
      <c r="A647" s="23" t="s">
        <v>121</v>
      </c>
      <c r="B647" s="23" t="s">
        <v>36</v>
      </c>
      <c r="C647" s="24" t="s">
        <v>63</v>
      </c>
      <c r="D647" s="24">
        <v>2026</v>
      </c>
      <c r="E647" s="66" t="s">
        <v>245</v>
      </c>
      <c r="F647" s="27">
        <v>385534.78</v>
      </c>
    </row>
    <row r="648" spans="1:6" hidden="1" x14ac:dyDescent="0.3">
      <c r="A648" s="23" t="s">
        <v>122</v>
      </c>
      <c r="B648" s="23" t="s">
        <v>37</v>
      </c>
      <c r="C648" s="24" t="s">
        <v>58</v>
      </c>
      <c r="D648" s="24">
        <v>2026</v>
      </c>
      <c r="E648" s="66" t="s">
        <v>245</v>
      </c>
      <c r="F648" s="27">
        <v>6075.6620000000003</v>
      </c>
    </row>
    <row r="649" spans="1:6" hidden="1" x14ac:dyDescent="0.3">
      <c r="A649" s="23" t="s">
        <v>122</v>
      </c>
      <c r="B649" s="23" t="s">
        <v>36</v>
      </c>
      <c r="C649" s="24" t="s">
        <v>58</v>
      </c>
      <c r="D649" s="24">
        <v>2026</v>
      </c>
      <c r="E649" s="66" t="s">
        <v>245</v>
      </c>
      <c r="F649" s="27">
        <v>13800.5</v>
      </c>
    </row>
    <row r="650" spans="1:6" hidden="1" x14ac:dyDescent="0.3">
      <c r="A650" s="23" t="s">
        <v>123</v>
      </c>
      <c r="B650" s="23" t="s">
        <v>37</v>
      </c>
      <c r="C650" s="24" t="s">
        <v>59</v>
      </c>
      <c r="D650" s="24">
        <v>2026</v>
      </c>
      <c r="E650" s="66" t="s">
        <v>245</v>
      </c>
      <c r="F650" s="27">
        <f>10078.599-8221.16</f>
        <v>1857.4390000000003</v>
      </c>
    </row>
    <row r="651" spans="1:6" hidden="1" x14ac:dyDescent="0.3">
      <c r="A651" s="23" t="s">
        <v>123</v>
      </c>
      <c r="B651" s="23" t="s">
        <v>36</v>
      </c>
      <c r="C651" s="24" t="s">
        <v>59</v>
      </c>
      <c r="D651" s="24">
        <v>2026</v>
      </c>
      <c r="E651" s="66" t="s">
        <v>245</v>
      </c>
      <c r="F651" s="27">
        <v>8221.16</v>
      </c>
    </row>
    <row r="652" spans="1:6" hidden="1" x14ac:dyDescent="0.3">
      <c r="A652" s="23" t="s">
        <v>124</v>
      </c>
      <c r="B652" s="23" t="s">
        <v>38</v>
      </c>
      <c r="C652" s="24" t="s">
        <v>19</v>
      </c>
      <c r="D652" s="24">
        <v>2026</v>
      </c>
      <c r="E652" s="66" t="s">
        <v>245</v>
      </c>
      <c r="F652" s="27">
        <v>1028.9860000000001</v>
      </c>
    </row>
    <row r="653" spans="1:6" hidden="1" x14ac:dyDescent="0.3">
      <c r="A653" s="23" t="s">
        <v>125</v>
      </c>
      <c r="B653" s="23" t="s">
        <v>38</v>
      </c>
      <c r="C653" s="24" t="s">
        <v>20</v>
      </c>
      <c r="D653" s="24">
        <v>2026</v>
      </c>
      <c r="E653" s="66" t="s">
        <v>245</v>
      </c>
      <c r="F653" s="27">
        <v>6151.4470000000001</v>
      </c>
    </row>
    <row r="654" spans="1:6" hidden="1" x14ac:dyDescent="0.3">
      <c r="A654" s="23" t="s">
        <v>126</v>
      </c>
      <c r="B654" s="23" t="s">
        <v>38</v>
      </c>
      <c r="C654" s="24" t="s">
        <v>21</v>
      </c>
      <c r="D654" s="24">
        <v>2026</v>
      </c>
      <c r="E654" s="66" t="s">
        <v>245</v>
      </c>
      <c r="F654" s="27">
        <v>54106.792000000001</v>
      </c>
    </row>
    <row r="655" spans="1:6" hidden="1" x14ac:dyDescent="0.3">
      <c r="A655" s="23" t="s">
        <v>127</v>
      </c>
      <c r="B655" s="23" t="s">
        <v>38</v>
      </c>
      <c r="C655" s="24" t="s">
        <v>22</v>
      </c>
      <c r="D655" s="24">
        <v>2026</v>
      </c>
      <c r="E655" s="66" t="s">
        <v>245</v>
      </c>
      <c r="F655" s="27">
        <v>7088.3</v>
      </c>
    </row>
    <row r="656" spans="1:6" hidden="1" x14ac:dyDescent="0.3">
      <c r="A656" s="23" t="s">
        <v>128</v>
      </c>
      <c r="B656" s="23" t="s">
        <v>38</v>
      </c>
      <c r="C656" s="24" t="s">
        <v>23</v>
      </c>
      <c r="D656" s="24">
        <v>2026</v>
      </c>
      <c r="E656" s="66" t="s">
        <v>245</v>
      </c>
      <c r="F656" s="27">
        <v>8227.1859999999997</v>
      </c>
    </row>
    <row r="657" spans="1:6" hidden="1" x14ac:dyDescent="0.3">
      <c r="A657" s="23" t="s">
        <v>129</v>
      </c>
      <c r="B657" s="23" t="s">
        <v>38</v>
      </c>
      <c r="C657" s="24" t="s">
        <v>158</v>
      </c>
      <c r="D657" s="24">
        <v>2026</v>
      </c>
      <c r="E657" s="66" t="s">
        <v>245</v>
      </c>
      <c r="F657" s="27">
        <v>1423.06</v>
      </c>
    </row>
    <row r="658" spans="1:6" hidden="1" x14ac:dyDescent="0.3">
      <c r="A658" s="23" t="s">
        <v>130</v>
      </c>
      <c r="B658" s="23" t="s">
        <v>38</v>
      </c>
      <c r="C658" s="24" t="s">
        <v>158</v>
      </c>
      <c r="D658" s="24">
        <v>2026</v>
      </c>
      <c r="E658" s="66" t="s">
        <v>245</v>
      </c>
      <c r="F658" s="27">
        <v>21452.295999999998</v>
      </c>
    </row>
    <row r="659" spans="1:6" hidden="1" x14ac:dyDescent="0.3">
      <c r="A659" s="23" t="s">
        <v>131</v>
      </c>
      <c r="B659" s="23" t="s">
        <v>38</v>
      </c>
      <c r="C659" s="24" t="s">
        <v>159</v>
      </c>
      <c r="D659" s="24">
        <v>2026</v>
      </c>
      <c r="E659" s="66" t="s">
        <v>245</v>
      </c>
      <c r="F659" s="27">
        <v>4463.7330000000002</v>
      </c>
    </row>
    <row r="660" spans="1:6" hidden="1" x14ac:dyDescent="0.3">
      <c r="A660" s="23" t="s">
        <v>132</v>
      </c>
      <c r="B660" s="23" t="s">
        <v>38</v>
      </c>
      <c r="C660" s="24" t="s">
        <v>159</v>
      </c>
      <c r="D660" s="24">
        <v>2026</v>
      </c>
      <c r="E660" s="66" t="s">
        <v>245</v>
      </c>
      <c r="F660" s="27">
        <v>54568.875</v>
      </c>
    </row>
    <row r="661" spans="1:6" hidden="1" x14ac:dyDescent="0.3">
      <c r="A661" s="23" t="s">
        <v>207</v>
      </c>
      <c r="B661" s="23" t="s">
        <v>38</v>
      </c>
      <c r="C661" s="24" t="s">
        <v>26</v>
      </c>
      <c r="D661" s="24">
        <v>2026</v>
      </c>
      <c r="E661" s="66" t="s">
        <v>245</v>
      </c>
      <c r="F661" s="27">
        <v>480.084</v>
      </c>
    </row>
    <row r="662" spans="1:6" hidden="1" x14ac:dyDescent="0.3">
      <c r="A662" s="23" t="s">
        <v>133</v>
      </c>
      <c r="B662" s="23" t="s">
        <v>38</v>
      </c>
      <c r="C662" s="24" t="s">
        <v>74</v>
      </c>
      <c r="D662" s="24">
        <v>2026</v>
      </c>
      <c r="E662" s="66" t="s">
        <v>245</v>
      </c>
      <c r="F662" s="27">
        <v>1758.8530000000001</v>
      </c>
    </row>
    <row r="663" spans="1:6" hidden="1" x14ac:dyDescent="0.3">
      <c r="A663" s="23" t="s">
        <v>134</v>
      </c>
      <c r="B663" s="23" t="s">
        <v>38</v>
      </c>
      <c r="C663" s="24" t="s">
        <v>27</v>
      </c>
      <c r="D663" s="24">
        <v>2026</v>
      </c>
      <c r="E663" s="66" t="s">
        <v>245</v>
      </c>
      <c r="F663" s="27">
        <v>2606.4929999999999</v>
      </c>
    </row>
    <row r="664" spans="1:6" hidden="1" x14ac:dyDescent="0.3">
      <c r="A664" s="23" t="s">
        <v>135</v>
      </c>
      <c r="B664" s="23" t="s">
        <v>38</v>
      </c>
      <c r="C664" s="24" t="s">
        <v>160</v>
      </c>
      <c r="D664" s="24">
        <v>2026</v>
      </c>
      <c r="E664" s="66" t="s">
        <v>245</v>
      </c>
      <c r="F664" s="27">
        <v>1388.8889999999999</v>
      </c>
    </row>
    <row r="665" spans="1:6" hidden="1" x14ac:dyDescent="0.3">
      <c r="A665" s="23" t="s">
        <v>136</v>
      </c>
      <c r="B665" s="23" t="s">
        <v>38</v>
      </c>
      <c r="C665" s="24" t="s">
        <v>160</v>
      </c>
      <c r="D665" s="24">
        <v>2026</v>
      </c>
      <c r="E665" s="66" t="s">
        <v>245</v>
      </c>
      <c r="F665" s="27">
        <v>34767.608999999997</v>
      </c>
    </row>
    <row r="666" spans="1:6" hidden="1" x14ac:dyDescent="0.3">
      <c r="A666" s="23" t="s">
        <v>137</v>
      </c>
      <c r="B666" s="23" t="s">
        <v>38</v>
      </c>
      <c r="C666" s="24" t="s">
        <v>160</v>
      </c>
      <c r="D666" s="24">
        <v>2026</v>
      </c>
      <c r="E666" s="66" t="s">
        <v>245</v>
      </c>
      <c r="F666" s="27">
        <v>2646.4839999999999</v>
      </c>
    </row>
    <row r="667" spans="1:6" hidden="1" x14ac:dyDescent="0.3">
      <c r="A667" s="23" t="s">
        <v>138</v>
      </c>
      <c r="B667" s="23" t="s">
        <v>38</v>
      </c>
      <c r="C667" s="24" t="s">
        <v>160</v>
      </c>
      <c r="D667" s="24">
        <v>2026</v>
      </c>
      <c r="E667" s="66" t="s">
        <v>245</v>
      </c>
      <c r="F667" s="27">
        <v>2153.067</v>
      </c>
    </row>
    <row r="668" spans="1:6" hidden="1" x14ac:dyDescent="0.3">
      <c r="A668" s="23" t="s">
        <v>152</v>
      </c>
      <c r="B668" s="23" t="s">
        <v>38</v>
      </c>
      <c r="C668" s="24" t="s">
        <v>153</v>
      </c>
      <c r="D668" s="24">
        <v>2026</v>
      </c>
      <c r="E668" s="66" t="s">
        <v>245</v>
      </c>
      <c r="F668" s="27">
        <v>19.5</v>
      </c>
    </row>
    <row r="669" spans="1:6" hidden="1" x14ac:dyDescent="0.3">
      <c r="A669" s="23" t="s">
        <v>139</v>
      </c>
      <c r="B669" s="23" t="s">
        <v>38</v>
      </c>
      <c r="C669" s="24" t="s">
        <v>28</v>
      </c>
      <c r="D669" s="24">
        <v>2026</v>
      </c>
      <c r="E669" s="66" t="s">
        <v>245</v>
      </c>
      <c r="F669" s="27">
        <v>2686.5079999999998</v>
      </c>
    </row>
    <row r="670" spans="1:6" hidden="1" x14ac:dyDescent="0.3">
      <c r="A670" s="23" t="s">
        <v>140</v>
      </c>
      <c r="B670" s="23" t="s">
        <v>38</v>
      </c>
      <c r="C670" s="24" t="s">
        <v>65</v>
      </c>
      <c r="D670" s="24">
        <v>2026</v>
      </c>
      <c r="E670" s="66" t="s">
        <v>245</v>
      </c>
      <c r="F670" s="27">
        <v>3864.297</v>
      </c>
    </row>
    <row r="671" spans="1:6" hidden="1" x14ac:dyDescent="0.3">
      <c r="A671" s="23" t="s">
        <v>210</v>
      </c>
      <c r="B671" s="23" t="s">
        <v>38</v>
      </c>
      <c r="C671" s="24" t="s">
        <v>29</v>
      </c>
      <c r="D671" s="24">
        <v>2026</v>
      </c>
      <c r="E671" s="66" t="s">
        <v>245</v>
      </c>
      <c r="F671" s="27">
        <v>4685</v>
      </c>
    </row>
    <row r="672" spans="1:6" hidden="1" x14ac:dyDescent="0.3">
      <c r="A672" s="23" t="s">
        <v>141</v>
      </c>
      <c r="B672" s="23" t="s">
        <v>38</v>
      </c>
      <c r="C672" s="24" t="s">
        <v>30</v>
      </c>
      <c r="D672" s="24">
        <v>2026</v>
      </c>
      <c r="E672" s="66" t="s">
        <v>245</v>
      </c>
      <c r="F672" s="27">
        <v>6298.4750000000004</v>
      </c>
    </row>
    <row r="673" spans="1:6" hidden="1" x14ac:dyDescent="0.3">
      <c r="A673" s="23" t="s">
        <v>142</v>
      </c>
      <c r="B673" s="23" t="s">
        <v>38</v>
      </c>
      <c r="C673" s="24" t="s">
        <v>31</v>
      </c>
      <c r="D673" s="24">
        <v>2026</v>
      </c>
      <c r="E673" s="66" t="s">
        <v>245</v>
      </c>
      <c r="F673" s="27">
        <v>668.2</v>
      </c>
    </row>
    <row r="674" spans="1:6" hidden="1" x14ac:dyDescent="0.3">
      <c r="A674" s="23" t="s">
        <v>211</v>
      </c>
      <c r="B674" s="23" t="s">
        <v>36</v>
      </c>
      <c r="C674" s="24" t="s">
        <v>32</v>
      </c>
      <c r="D674" s="24">
        <v>2026</v>
      </c>
      <c r="E674" s="66" t="s">
        <v>245</v>
      </c>
      <c r="F674" s="27">
        <v>1655.866</v>
      </c>
    </row>
    <row r="675" spans="1:6" hidden="1" x14ac:dyDescent="0.3">
      <c r="A675" s="23" t="s">
        <v>143</v>
      </c>
      <c r="B675" s="23" t="s">
        <v>38</v>
      </c>
      <c r="C675" s="24" t="s">
        <v>67</v>
      </c>
      <c r="D675" s="24">
        <v>2026</v>
      </c>
      <c r="E675" s="66" t="s">
        <v>245</v>
      </c>
      <c r="F675" s="27">
        <v>873.36699999999996</v>
      </c>
    </row>
    <row r="676" spans="1:6" hidden="1" x14ac:dyDescent="0.3">
      <c r="A676" s="23" t="s">
        <v>251</v>
      </c>
      <c r="B676" s="23" t="s">
        <v>38</v>
      </c>
      <c r="C676" s="24" t="s">
        <v>246</v>
      </c>
      <c r="D676" s="24">
        <v>2026</v>
      </c>
      <c r="E676" s="66" t="s">
        <v>245</v>
      </c>
      <c r="F676" s="27">
        <v>151.85</v>
      </c>
    </row>
    <row r="677" spans="1:6" hidden="1" x14ac:dyDescent="0.3">
      <c r="A677" s="23" t="s">
        <v>144</v>
      </c>
      <c r="B677" s="23" t="s">
        <v>39</v>
      </c>
      <c r="C677" s="24" t="s">
        <v>33</v>
      </c>
      <c r="D677" s="24">
        <v>2026</v>
      </c>
      <c r="E677" s="67" t="s">
        <v>245</v>
      </c>
      <c r="F677" s="28">
        <v>45989.455999999998</v>
      </c>
    </row>
    <row r="678" spans="1:6" hidden="1" x14ac:dyDescent="0.3">
      <c r="A678" s="23">
        <v>720506</v>
      </c>
      <c r="B678" s="23" t="s">
        <v>36</v>
      </c>
      <c r="C678" s="24" t="s">
        <v>5</v>
      </c>
      <c r="D678" s="24">
        <v>2024</v>
      </c>
      <c r="E678" s="66" t="s">
        <v>280</v>
      </c>
      <c r="F678" s="27">
        <v>42426.767</v>
      </c>
    </row>
    <row r="679" spans="1:6" x14ac:dyDescent="0.3">
      <c r="A679" s="23">
        <v>720506</v>
      </c>
      <c r="B679" s="23" t="s">
        <v>36</v>
      </c>
      <c r="C679" s="24" t="s">
        <v>5</v>
      </c>
      <c r="D679" s="24">
        <v>2025</v>
      </c>
      <c r="E679" s="67" t="s">
        <v>280</v>
      </c>
      <c r="F679" s="28">
        <v>50482.387999999999</v>
      </c>
    </row>
    <row r="680" spans="1:6" hidden="1" x14ac:dyDescent="0.3">
      <c r="A680" s="23">
        <v>720515</v>
      </c>
      <c r="B680" s="23" t="s">
        <v>36</v>
      </c>
      <c r="C680" s="24" t="s">
        <v>6</v>
      </c>
      <c r="D680" s="24">
        <v>2024</v>
      </c>
      <c r="E680" s="66" t="s">
        <v>280</v>
      </c>
      <c r="F680" s="27">
        <v>5043.5519999999997</v>
      </c>
    </row>
    <row r="681" spans="1:6" x14ac:dyDescent="0.3">
      <c r="A681" s="23">
        <v>720515</v>
      </c>
      <c r="B681" s="23" t="s">
        <v>36</v>
      </c>
      <c r="C681" s="24" t="s">
        <v>6</v>
      </c>
      <c r="D681" s="24">
        <v>2025</v>
      </c>
      <c r="E681" s="67" t="s">
        <v>280</v>
      </c>
      <c r="F681" s="28">
        <v>10338.743</v>
      </c>
    </row>
    <row r="682" spans="1:6" hidden="1" x14ac:dyDescent="0.3">
      <c r="A682" s="23">
        <v>720524</v>
      </c>
      <c r="B682" s="23" t="s">
        <v>36</v>
      </c>
      <c r="C682" s="24" t="s">
        <v>7</v>
      </c>
      <c r="D682" s="24">
        <v>2024</v>
      </c>
      <c r="E682" s="66" t="s">
        <v>280</v>
      </c>
      <c r="F682" s="27">
        <v>1430.002</v>
      </c>
    </row>
    <row r="683" spans="1:6" x14ac:dyDescent="0.3">
      <c r="A683" s="23">
        <v>720524</v>
      </c>
      <c r="B683" s="23" t="s">
        <v>36</v>
      </c>
      <c r="C683" s="24" t="s">
        <v>7</v>
      </c>
      <c r="D683" s="24">
        <v>2025</v>
      </c>
      <c r="E683" s="67" t="s">
        <v>280</v>
      </c>
      <c r="F683" s="28">
        <v>521.95000000000005</v>
      </c>
    </row>
    <row r="684" spans="1:6" hidden="1" x14ac:dyDescent="0.3">
      <c r="A684" s="23">
        <v>720527</v>
      </c>
      <c r="B684" s="23" t="s">
        <v>36</v>
      </c>
      <c r="C684" s="24" t="s">
        <v>8</v>
      </c>
      <c r="D684" s="24">
        <v>2024</v>
      </c>
      <c r="E684" s="66" t="s">
        <v>280</v>
      </c>
      <c r="F684" s="27">
        <v>4482</v>
      </c>
    </row>
    <row r="685" spans="1:6" x14ac:dyDescent="0.3">
      <c r="A685" s="23">
        <v>720527</v>
      </c>
      <c r="B685" s="23" t="s">
        <v>36</v>
      </c>
      <c r="C685" s="24" t="s">
        <v>8</v>
      </c>
      <c r="D685" s="24">
        <v>2025</v>
      </c>
      <c r="E685" s="67" t="s">
        <v>280</v>
      </c>
      <c r="F685" s="28">
        <v>6088.9849999999997</v>
      </c>
    </row>
    <row r="686" spans="1:6" hidden="1" x14ac:dyDescent="0.3">
      <c r="A686" s="23">
        <v>720530</v>
      </c>
      <c r="B686" s="23" t="s">
        <v>36</v>
      </c>
      <c r="C686" s="24" t="s">
        <v>154</v>
      </c>
      <c r="D686" s="24">
        <v>2024</v>
      </c>
      <c r="E686" s="66" t="s">
        <v>280</v>
      </c>
      <c r="F686" s="27">
        <v>4770.3739999999998</v>
      </c>
    </row>
    <row r="687" spans="1:6" x14ac:dyDescent="0.3">
      <c r="A687" s="23">
        <v>720530</v>
      </c>
      <c r="B687" s="23" t="s">
        <v>36</v>
      </c>
      <c r="C687" s="24" t="s">
        <v>154</v>
      </c>
      <c r="D687" s="24">
        <v>2025</v>
      </c>
      <c r="E687" s="67" t="s">
        <v>280</v>
      </c>
      <c r="F687" s="28">
        <v>6168.8069999999998</v>
      </c>
    </row>
    <row r="688" spans="1:6" hidden="1" x14ac:dyDescent="0.3">
      <c r="A688" s="23">
        <v>720533</v>
      </c>
      <c r="B688" s="23" t="s">
        <v>36</v>
      </c>
      <c r="C688" s="24" t="s">
        <v>154</v>
      </c>
      <c r="D688" s="24">
        <v>2024</v>
      </c>
      <c r="E688" s="66" t="s">
        <v>280</v>
      </c>
      <c r="F688" s="27">
        <v>572.66999999999996</v>
      </c>
    </row>
    <row r="689" spans="1:6" x14ac:dyDescent="0.3">
      <c r="A689" s="23">
        <v>720533</v>
      </c>
      <c r="B689" s="23" t="s">
        <v>36</v>
      </c>
      <c r="C689" s="24" t="s">
        <v>154</v>
      </c>
      <c r="D689" s="24">
        <v>2025</v>
      </c>
      <c r="E689" s="67" t="s">
        <v>280</v>
      </c>
      <c r="F689" s="28">
        <v>740.553</v>
      </c>
    </row>
    <row r="690" spans="1:6" hidden="1" x14ac:dyDescent="0.3">
      <c r="A690" s="23">
        <v>720536</v>
      </c>
      <c r="B690" s="23" t="s">
        <v>36</v>
      </c>
      <c r="C690" s="24" t="s">
        <v>154</v>
      </c>
      <c r="D690" s="24">
        <v>2024</v>
      </c>
      <c r="E690" s="66" t="s">
        <v>280</v>
      </c>
      <c r="F690" s="27">
        <v>4770.3739999999998</v>
      </c>
    </row>
    <row r="691" spans="1:6" x14ac:dyDescent="0.3">
      <c r="A691" s="23">
        <v>720536</v>
      </c>
      <c r="B691" s="23" t="s">
        <v>36</v>
      </c>
      <c r="C691" s="24" t="s">
        <v>154</v>
      </c>
      <c r="D691" s="24">
        <v>2025</v>
      </c>
      <c r="E691" s="67" t="s">
        <v>280</v>
      </c>
      <c r="F691" s="28">
        <v>6168.8069999999998</v>
      </c>
    </row>
    <row r="692" spans="1:6" hidden="1" x14ac:dyDescent="0.3">
      <c r="A692" s="23">
        <v>720539</v>
      </c>
      <c r="B692" s="23" t="s">
        <v>36</v>
      </c>
      <c r="C692" s="24" t="s">
        <v>154</v>
      </c>
      <c r="D692" s="24">
        <v>2024</v>
      </c>
      <c r="E692" s="66" t="s">
        <v>280</v>
      </c>
      <c r="F692" s="27">
        <v>2201.145</v>
      </c>
    </row>
    <row r="693" spans="1:6" x14ac:dyDescent="0.3">
      <c r="A693" s="23">
        <v>720539</v>
      </c>
      <c r="B693" s="23" t="s">
        <v>36</v>
      </c>
      <c r="C693" s="24" t="s">
        <v>154</v>
      </c>
      <c r="D693" s="24">
        <v>2025</v>
      </c>
      <c r="E693" s="66" t="s">
        <v>280</v>
      </c>
      <c r="F693" s="27">
        <v>2834.1930000000002</v>
      </c>
    </row>
    <row r="694" spans="1:6" hidden="1" x14ac:dyDescent="0.3">
      <c r="A694" s="23">
        <v>720540</v>
      </c>
      <c r="B694" s="23" t="s">
        <v>36</v>
      </c>
      <c r="C694" s="24" t="s">
        <v>154</v>
      </c>
      <c r="D694" s="24">
        <v>2024</v>
      </c>
      <c r="E694" s="66" t="s">
        <v>280</v>
      </c>
      <c r="F694" s="27">
        <v>728.43899999999996</v>
      </c>
    </row>
    <row r="695" spans="1:6" x14ac:dyDescent="0.3">
      <c r="A695" s="23">
        <v>720540</v>
      </c>
      <c r="B695" s="23" t="s">
        <v>36</v>
      </c>
      <c r="C695" s="24" t="s">
        <v>154</v>
      </c>
      <c r="D695" s="24">
        <v>2025</v>
      </c>
      <c r="E695" s="67" t="s">
        <v>280</v>
      </c>
      <c r="F695" s="28">
        <v>937.93499999999995</v>
      </c>
    </row>
    <row r="696" spans="1:6" hidden="1" x14ac:dyDescent="0.3">
      <c r="A696" s="23">
        <v>720546</v>
      </c>
      <c r="B696" s="23" t="s">
        <v>36</v>
      </c>
      <c r="C696" s="24" t="s">
        <v>155</v>
      </c>
      <c r="D696" s="24">
        <v>2024</v>
      </c>
      <c r="E696" s="66" t="s">
        <v>280</v>
      </c>
      <c r="F696" s="27">
        <v>6511.9690000000001</v>
      </c>
    </row>
    <row r="697" spans="1:6" x14ac:dyDescent="0.3">
      <c r="A697" s="23">
        <v>720546</v>
      </c>
      <c r="B697" s="23" t="s">
        <v>36</v>
      </c>
      <c r="C697" s="24" t="s">
        <v>155</v>
      </c>
      <c r="D697" s="24">
        <v>2025</v>
      </c>
      <c r="E697" s="67" t="s">
        <v>280</v>
      </c>
      <c r="F697" s="28">
        <v>7860.3890000000001</v>
      </c>
    </row>
    <row r="698" spans="1:6" hidden="1" x14ac:dyDescent="0.3">
      <c r="A698" s="23">
        <v>720547</v>
      </c>
      <c r="B698" s="23" t="s">
        <v>36</v>
      </c>
      <c r="C698" s="24" t="s">
        <v>156</v>
      </c>
      <c r="D698" s="24">
        <v>2024</v>
      </c>
      <c r="E698" s="66" t="s">
        <v>280</v>
      </c>
      <c r="F698" s="27">
        <v>1990.8309999999999</v>
      </c>
    </row>
    <row r="699" spans="1:6" x14ac:dyDescent="0.3">
      <c r="A699" s="23">
        <v>720547</v>
      </c>
      <c r="B699" s="23" t="s">
        <v>36</v>
      </c>
      <c r="C699" s="24" t="s">
        <v>156</v>
      </c>
      <c r="D699" s="24">
        <v>2025</v>
      </c>
      <c r="E699" s="66" t="s">
        <v>280</v>
      </c>
      <c r="F699" s="27">
        <v>2403.0680000000002</v>
      </c>
    </row>
    <row r="700" spans="1:6" hidden="1" x14ac:dyDescent="0.3">
      <c r="A700" s="23">
        <v>720548</v>
      </c>
      <c r="B700" s="23" t="s">
        <v>36</v>
      </c>
      <c r="C700" s="24" t="s">
        <v>9</v>
      </c>
      <c r="D700" s="24">
        <v>2024</v>
      </c>
      <c r="E700" s="67" t="s">
        <v>280</v>
      </c>
      <c r="F700" s="28">
        <v>365</v>
      </c>
    </row>
    <row r="701" spans="1:6" hidden="1" x14ac:dyDescent="0.3">
      <c r="A701" s="23">
        <v>720551</v>
      </c>
      <c r="B701" s="23" t="s">
        <v>36</v>
      </c>
      <c r="C701" s="24" t="s">
        <v>10</v>
      </c>
      <c r="D701" s="24">
        <v>2024</v>
      </c>
      <c r="E701" s="66" t="s">
        <v>280</v>
      </c>
      <c r="F701" s="27">
        <v>328.64100000000002</v>
      </c>
    </row>
    <row r="702" spans="1:6" hidden="1" x14ac:dyDescent="0.3">
      <c r="A702" s="23">
        <v>720552</v>
      </c>
      <c r="B702" s="23" t="s">
        <v>36</v>
      </c>
      <c r="C702" s="24" t="s">
        <v>11</v>
      </c>
      <c r="D702" s="24">
        <v>2024</v>
      </c>
      <c r="E702" s="66" t="s">
        <v>280</v>
      </c>
      <c r="F702" s="27">
        <v>8641.9699999999993</v>
      </c>
    </row>
    <row r="703" spans="1:6" x14ac:dyDescent="0.3">
      <c r="A703" s="23">
        <v>720552</v>
      </c>
      <c r="B703" s="23" t="s">
        <v>36</v>
      </c>
      <c r="C703" s="24" t="s">
        <v>11</v>
      </c>
      <c r="D703" s="24">
        <v>2025</v>
      </c>
      <c r="E703" s="67" t="s">
        <v>280</v>
      </c>
      <c r="F703" s="28">
        <v>4482.8019999999997</v>
      </c>
    </row>
    <row r="704" spans="1:6" hidden="1" x14ac:dyDescent="0.3">
      <c r="A704" s="23">
        <v>720568</v>
      </c>
      <c r="B704" s="23" t="s">
        <v>36</v>
      </c>
      <c r="C704" s="24" t="s">
        <v>157</v>
      </c>
      <c r="D704" s="24">
        <v>2024</v>
      </c>
      <c r="E704" s="66" t="s">
        <v>280</v>
      </c>
      <c r="F704" s="27">
        <v>1157.9000000000001</v>
      </c>
    </row>
    <row r="705" spans="1:6" x14ac:dyDescent="0.3">
      <c r="A705" s="23">
        <v>720568</v>
      </c>
      <c r="B705" s="23" t="s">
        <v>36</v>
      </c>
      <c r="C705" s="24" t="s">
        <v>157</v>
      </c>
      <c r="D705" s="24">
        <v>2025</v>
      </c>
      <c r="E705" s="67" t="s">
        <v>280</v>
      </c>
      <c r="F705" s="28">
        <v>1482</v>
      </c>
    </row>
    <row r="706" spans="1:6" hidden="1" x14ac:dyDescent="0.3">
      <c r="A706" s="23">
        <v>720569</v>
      </c>
      <c r="B706" s="23" t="s">
        <v>36</v>
      </c>
      <c r="C706" s="24" t="s">
        <v>157</v>
      </c>
      <c r="D706" s="24">
        <v>2024</v>
      </c>
      <c r="E706" s="66" t="s">
        <v>280</v>
      </c>
      <c r="F706" s="27">
        <v>-65.563999999999993</v>
      </c>
    </row>
    <row r="707" spans="1:6" x14ac:dyDescent="0.3">
      <c r="A707" s="23">
        <v>720569</v>
      </c>
      <c r="B707" s="23" t="s">
        <v>36</v>
      </c>
      <c r="C707" s="24" t="s">
        <v>157</v>
      </c>
      <c r="D707" s="24">
        <v>2025</v>
      </c>
      <c r="E707" s="67" t="s">
        <v>280</v>
      </c>
      <c r="F707" s="28">
        <v>-103.535</v>
      </c>
    </row>
    <row r="708" spans="1:6" hidden="1" x14ac:dyDescent="0.3">
      <c r="A708" s="23">
        <v>720570</v>
      </c>
      <c r="B708" s="23" t="s">
        <v>36</v>
      </c>
      <c r="C708" s="24" t="s">
        <v>157</v>
      </c>
      <c r="D708" s="24">
        <v>2024</v>
      </c>
      <c r="E708" s="66" t="s">
        <v>280</v>
      </c>
      <c r="F708" s="27">
        <v>6038.5820000000003</v>
      </c>
    </row>
    <row r="709" spans="1:6" x14ac:dyDescent="0.3">
      <c r="A709" s="23">
        <v>720570</v>
      </c>
      <c r="B709" s="23" t="s">
        <v>36</v>
      </c>
      <c r="C709" s="24" t="s">
        <v>157</v>
      </c>
      <c r="D709" s="24">
        <v>2025</v>
      </c>
      <c r="E709" s="67" t="s">
        <v>280</v>
      </c>
      <c r="F709" s="28">
        <v>7542.348</v>
      </c>
    </row>
    <row r="710" spans="1:6" hidden="1" x14ac:dyDescent="0.3">
      <c r="A710" s="23">
        <v>720572</v>
      </c>
      <c r="B710" s="23" t="s">
        <v>36</v>
      </c>
      <c r="C710" s="24" t="s">
        <v>157</v>
      </c>
      <c r="D710" s="24">
        <v>2024</v>
      </c>
      <c r="E710" s="66" t="s">
        <v>280</v>
      </c>
      <c r="F710" s="27">
        <v>2045.3</v>
      </c>
    </row>
    <row r="711" spans="1:6" x14ac:dyDescent="0.3">
      <c r="A711" s="23">
        <v>720572</v>
      </c>
      <c r="B711" s="23" t="s">
        <v>36</v>
      </c>
      <c r="C711" s="24" t="s">
        <v>157</v>
      </c>
      <c r="D711" s="24">
        <v>2025</v>
      </c>
      <c r="E711" s="67" t="s">
        <v>280</v>
      </c>
      <c r="F711" s="28">
        <v>2593.6999999999998</v>
      </c>
    </row>
    <row r="712" spans="1:6" hidden="1" x14ac:dyDescent="0.3">
      <c r="A712" s="23">
        <v>730506</v>
      </c>
      <c r="B712" s="23" t="s">
        <v>37</v>
      </c>
      <c r="C712" s="24" t="s">
        <v>5</v>
      </c>
      <c r="D712" s="24">
        <v>2024</v>
      </c>
      <c r="E712" s="66" t="s">
        <v>280</v>
      </c>
      <c r="F712" s="27">
        <v>67712.232999999993</v>
      </c>
    </row>
    <row r="713" spans="1:6" x14ac:dyDescent="0.3">
      <c r="A713" s="23">
        <v>730506</v>
      </c>
      <c r="B713" s="23" t="s">
        <v>37</v>
      </c>
      <c r="C713" s="24" t="s">
        <v>5</v>
      </c>
      <c r="D713" s="24">
        <v>2025</v>
      </c>
      <c r="E713" s="67" t="s">
        <v>280</v>
      </c>
      <c r="F713" s="28">
        <v>75666.53</v>
      </c>
    </row>
    <row r="714" spans="1:6" hidden="1" x14ac:dyDescent="0.3">
      <c r="A714" s="23">
        <v>730508</v>
      </c>
      <c r="B714" s="23" t="s">
        <v>37</v>
      </c>
      <c r="C714" s="24" t="s">
        <v>13</v>
      </c>
      <c r="D714" s="24">
        <v>2024</v>
      </c>
      <c r="E714" s="66" t="s">
        <v>280</v>
      </c>
      <c r="F714" s="27">
        <v>1300</v>
      </c>
    </row>
    <row r="715" spans="1:6" x14ac:dyDescent="0.3">
      <c r="A715" s="23">
        <v>730508</v>
      </c>
      <c r="B715" s="23" t="s">
        <v>37</v>
      </c>
      <c r="C715" s="24" t="s">
        <v>13</v>
      </c>
      <c r="D715" s="24">
        <v>2025</v>
      </c>
      <c r="E715" s="67" t="s">
        <v>280</v>
      </c>
      <c r="F715" s="28">
        <v>142.35</v>
      </c>
    </row>
    <row r="716" spans="1:6" hidden="1" x14ac:dyDescent="0.3">
      <c r="A716" s="23">
        <v>730515</v>
      </c>
      <c r="B716" s="23" t="s">
        <v>37</v>
      </c>
      <c r="C716" s="24" t="s">
        <v>6</v>
      </c>
      <c r="D716" s="24">
        <v>2024</v>
      </c>
      <c r="E716" s="66" t="s">
        <v>280</v>
      </c>
      <c r="F716" s="27">
        <v>2743.34</v>
      </c>
    </row>
    <row r="717" spans="1:6" x14ac:dyDescent="0.3">
      <c r="A717" s="23">
        <v>730515</v>
      </c>
      <c r="B717" s="23" t="s">
        <v>37</v>
      </c>
      <c r="C717" s="24" t="s">
        <v>6</v>
      </c>
      <c r="D717" s="24">
        <v>2025</v>
      </c>
      <c r="E717" s="67" t="s">
        <v>280</v>
      </c>
      <c r="F717" s="28">
        <v>5062.7359999999999</v>
      </c>
    </row>
    <row r="718" spans="1:6" hidden="1" x14ac:dyDescent="0.3">
      <c r="A718" s="23">
        <v>730524</v>
      </c>
      <c r="B718" s="23" t="s">
        <v>37</v>
      </c>
      <c r="C718" s="24" t="s">
        <v>7</v>
      </c>
      <c r="D718" s="24">
        <v>2024</v>
      </c>
      <c r="E718" s="66" t="s">
        <v>280</v>
      </c>
      <c r="F718" s="27">
        <v>189.34299999999999</v>
      </c>
    </row>
    <row r="719" spans="1:6" x14ac:dyDescent="0.3">
      <c r="A719" s="23">
        <v>730524</v>
      </c>
      <c r="B719" s="23" t="s">
        <v>37</v>
      </c>
      <c r="C719" s="24" t="s">
        <v>7</v>
      </c>
      <c r="D719" s="24">
        <v>2025</v>
      </c>
      <c r="E719" s="67" t="s">
        <v>280</v>
      </c>
      <c r="F719" s="28">
        <v>996.78800000000001</v>
      </c>
    </row>
    <row r="720" spans="1:6" hidden="1" x14ac:dyDescent="0.3">
      <c r="A720" s="23">
        <v>730527</v>
      </c>
      <c r="B720" s="23" t="s">
        <v>37</v>
      </c>
      <c r="C720" s="24" t="s">
        <v>14</v>
      </c>
      <c r="D720" s="24">
        <v>2024</v>
      </c>
      <c r="E720" s="66" t="s">
        <v>280</v>
      </c>
      <c r="F720" s="27">
        <v>1722.6</v>
      </c>
    </row>
    <row r="721" spans="1:6" x14ac:dyDescent="0.3">
      <c r="A721" s="23">
        <v>730527</v>
      </c>
      <c r="B721" s="23" t="s">
        <v>37</v>
      </c>
      <c r="C721" s="24" t="s">
        <v>14</v>
      </c>
      <c r="D721" s="24">
        <v>2025</v>
      </c>
      <c r="E721" s="67" t="s">
        <v>280</v>
      </c>
      <c r="F721" s="28">
        <v>2246.6669999999999</v>
      </c>
    </row>
    <row r="722" spans="1:6" hidden="1" x14ac:dyDescent="0.3">
      <c r="A722" s="23">
        <v>730530</v>
      </c>
      <c r="B722" s="23" t="s">
        <v>37</v>
      </c>
      <c r="C722" s="24" t="s">
        <v>154</v>
      </c>
      <c r="D722" s="24">
        <v>2024</v>
      </c>
      <c r="E722" s="66" t="s">
        <v>280</v>
      </c>
      <c r="F722" s="27">
        <v>6342.2520000000004</v>
      </c>
    </row>
    <row r="723" spans="1:6" x14ac:dyDescent="0.3">
      <c r="A723" s="23">
        <v>730530</v>
      </c>
      <c r="B723" s="23" t="s">
        <v>37</v>
      </c>
      <c r="C723" s="24" t="s">
        <v>154</v>
      </c>
      <c r="D723" s="24">
        <v>2025</v>
      </c>
      <c r="E723" s="67" t="s">
        <v>280</v>
      </c>
      <c r="F723" s="28">
        <v>7496.1679999999997</v>
      </c>
    </row>
    <row r="724" spans="1:6" hidden="1" x14ac:dyDescent="0.3">
      <c r="A724" s="23">
        <v>730533</v>
      </c>
      <c r="B724" s="23" t="s">
        <v>37</v>
      </c>
      <c r="C724" s="24" t="s">
        <v>154</v>
      </c>
      <c r="D724" s="24">
        <v>2024</v>
      </c>
      <c r="E724" s="66" t="s">
        <v>280</v>
      </c>
      <c r="F724" s="27">
        <v>761.37400000000002</v>
      </c>
    </row>
    <row r="725" spans="1:6" x14ac:dyDescent="0.3">
      <c r="A725" s="23">
        <v>730533</v>
      </c>
      <c r="B725" s="23" t="s">
        <v>37</v>
      </c>
      <c r="C725" s="24" t="s">
        <v>154</v>
      </c>
      <c r="D725" s="24">
        <v>2025</v>
      </c>
      <c r="E725" s="67" t="s">
        <v>280</v>
      </c>
      <c r="F725" s="28">
        <v>899.89800000000002</v>
      </c>
    </row>
    <row r="726" spans="1:6" hidden="1" x14ac:dyDescent="0.3">
      <c r="A726" s="23">
        <v>730536</v>
      </c>
      <c r="B726" s="23" t="s">
        <v>37</v>
      </c>
      <c r="C726" s="24" t="s">
        <v>154</v>
      </c>
      <c r="D726" s="24">
        <v>2024</v>
      </c>
      <c r="E726" s="66" t="s">
        <v>280</v>
      </c>
      <c r="F726" s="27">
        <v>6342.2520000000004</v>
      </c>
    </row>
    <row r="727" spans="1:6" x14ac:dyDescent="0.3">
      <c r="A727" s="23">
        <v>730536</v>
      </c>
      <c r="B727" s="23" t="s">
        <v>37</v>
      </c>
      <c r="C727" s="24" t="s">
        <v>154</v>
      </c>
      <c r="D727" s="24">
        <v>2025</v>
      </c>
      <c r="E727" s="67" t="s">
        <v>280</v>
      </c>
      <c r="F727" s="28">
        <v>7496.1679999999997</v>
      </c>
    </row>
    <row r="728" spans="1:6" hidden="1" x14ac:dyDescent="0.3">
      <c r="A728" s="23">
        <v>730539</v>
      </c>
      <c r="B728" s="23" t="s">
        <v>37</v>
      </c>
      <c r="C728" s="24" t="s">
        <v>154</v>
      </c>
      <c r="D728" s="24">
        <v>2024</v>
      </c>
      <c r="E728" s="66" t="s">
        <v>280</v>
      </c>
      <c r="F728" s="27">
        <v>3103.098</v>
      </c>
    </row>
    <row r="729" spans="1:6" x14ac:dyDescent="0.3">
      <c r="A729" s="23">
        <v>730539</v>
      </c>
      <c r="B729" s="23" t="s">
        <v>37</v>
      </c>
      <c r="C729" s="24" t="s">
        <v>154</v>
      </c>
      <c r="D729" s="24">
        <v>2025</v>
      </c>
      <c r="E729" s="66" t="s">
        <v>280</v>
      </c>
      <c r="F729" s="27">
        <v>3658.8989999999999</v>
      </c>
    </row>
    <row r="730" spans="1:6" hidden="1" x14ac:dyDescent="0.3">
      <c r="A730" s="23">
        <v>730540</v>
      </c>
      <c r="B730" s="23" t="s">
        <v>37</v>
      </c>
      <c r="C730" s="24" t="s">
        <v>154</v>
      </c>
      <c r="D730" s="24">
        <v>2024</v>
      </c>
      <c r="E730" s="66" t="s">
        <v>280</v>
      </c>
      <c r="F730" s="27">
        <v>1026.923</v>
      </c>
    </row>
    <row r="731" spans="1:6" x14ac:dyDescent="0.3">
      <c r="A731" s="23">
        <v>730540</v>
      </c>
      <c r="B731" s="23" t="s">
        <v>37</v>
      </c>
      <c r="C731" s="24" t="s">
        <v>154</v>
      </c>
      <c r="D731" s="24">
        <v>2025</v>
      </c>
      <c r="E731" s="66" t="s">
        <v>280</v>
      </c>
      <c r="F731" s="27">
        <v>1210.8579999999999</v>
      </c>
    </row>
    <row r="732" spans="1:6" x14ac:dyDescent="0.3">
      <c r="A732" s="23">
        <v>730545</v>
      </c>
      <c r="B732" s="23" t="s">
        <v>37</v>
      </c>
      <c r="C732" s="24" t="s">
        <v>155</v>
      </c>
      <c r="D732" s="24">
        <v>2025</v>
      </c>
      <c r="E732" s="67" t="s">
        <v>280</v>
      </c>
      <c r="F732" s="28">
        <v>500</v>
      </c>
    </row>
    <row r="733" spans="1:6" hidden="1" x14ac:dyDescent="0.3">
      <c r="A733" s="23">
        <v>730546</v>
      </c>
      <c r="B733" s="23" t="s">
        <v>37</v>
      </c>
      <c r="C733" s="24" t="s">
        <v>155</v>
      </c>
      <c r="D733" s="24">
        <v>2024</v>
      </c>
      <c r="E733" s="66" t="s">
        <v>280</v>
      </c>
      <c r="F733" s="27">
        <v>9593.9310000000005</v>
      </c>
    </row>
    <row r="734" spans="1:6" x14ac:dyDescent="0.3">
      <c r="A734" s="23">
        <v>730546</v>
      </c>
      <c r="B734" s="23" t="s">
        <v>37</v>
      </c>
      <c r="C734" s="24" t="s">
        <v>155</v>
      </c>
      <c r="D734" s="24">
        <v>2025</v>
      </c>
      <c r="E734" s="67" t="s">
        <v>280</v>
      </c>
      <c r="F734" s="28">
        <v>11277.632</v>
      </c>
    </row>
    <row r="735" spans="1:6" hidden="1" x14ac:dyDescent="0.3">
      <c r="A735" s="23">
        <v>730547</v>
      </c>
      <c r="B735" s="23" t="s">
        <v>37</v>
      </c>
      <c r="C735" s="24" t="s">
        <v>156</v>
      </c>
      <c r="D735" s="24">
        <v>2024</v>
      </c>
      <c r="E735" s="66" t="s">
        <v>280</v>
      </c>
      <c r="F735" s="27">
        <v>2988.7</v>
      </c>
    </row>
    <row r="736" spans="1:6" x14ac:dyDescent="0.3">
      <c r="A736" s="23">
        <v>730547</v>
      </c>
      <c r="B736" s="23" t="s">
        <v>37</v>
      </c>
      <c r="C736" s="24" t="s">
        <v>156</v>
      </c>
      <c r="D736" s="24">
        <v>2025</v>
      </c>
      <c r="E736" s="66" t="s">
        <v>280</v>
      </c>
      <c r="F736" s="27">
        <v>3447.7829999999999</v>
      </c>
    </row>
    <row r="737" spans="1:6" hidden="1" x14ac:dyDescent="0.3">
      <c r="A737" s="23">
        <v>730548</v>
      </c>
      <c r="B737" s="23" t="s">
        <v>37</v>
      </c>
      <c r="C737" s="24" t="s">
        <v>9</v>
      </c>
      <c r="D737" s="24">
        <v>2024</v>
      </c>
      <c r="E737" s="67" t="s">
        <v>280</v>
      </c>
      <c r="F737" s="28">
        <v>500</v>
      </c>
    </row>
    <row r="738" spans="1:6" hidden="1" x14ac:dyDescent="0.3">
      <c r="A738" s="23">
        <v>730551</v>
      </c>
      <c r="B738" s="23" t="s">
        <v>37</v>
      </c>
      <c r="C738" s="24" t="s">
        <v>10</v>
      </c>
      <c r="D738" s="24">
        <v>2024</v>
      </c>
      <c r="E738" s="66" t="s">
        <v>280</v>
      </c>
      <c r="F738" s="27">
        <v>535.38499999999999</v>
      </c>
    </row>
    <row r="739" spans="1:6" x14ac:dyDescent="0.3">
      <c r="A739" s="23">
        <v>730551</v>
      </c>
      <c r="B739" s="23" t="s">
        <v>37</v>
      </c>
      <c r="C739" s="24" t="s">
        <v>10</v>
      </c>
      <c r="D739" s="24">
        <v>2025</v>
      </c>
      <c r="E739" s="66" t="s">
        <v>280</v>
      </c>
      <c r="F739" s="27">
        <v>585.51800000000003</v>
      </c>
    </row>
    <row r="740" spans="1:6" hidden="1" x14ac:dyDescent="0.3">
      <c r="A740" s="23">
        <v>730552</v>
      </c>
      <c r="B740" s="23" t="s">
        <v>37</v>
      </c>
      <c r="C740" s="24" t="s">
        <v>11</v>
      </c>
      <c r="D740" s="24">
        <v>2024</v>
      </c>
      <c r="E740" s="66" t="s">
        <v>280</v>
      </c>
      <c r="F740" s="27">
        <v>1169.027</v>
      </c>
    </row>
    <row r="741" spans="1:6" x14ac:dyDescent="0.3">
      <c r="A741" s="23">
        <v>730552</v>
      </c>
      <c r="B741" s="23" t="s">
        <v>37</v>
      </c>
      <c r="C741" s="24" t="s">
        <v>11</v>
      </c>
      <c r="D741" s="24">
        <v>2025</v>
      </c>
      <c r="E741" s="67" t="s">
        <v>280</v>
      </c>
      <c r="F741" s="28">
        <v>436.60500000000002</v>
      </c>
    </row>
    <row r="742" spans="1:6" hidden="1" x14ac:dyDescent="0.3">
      <c r="A742" s="23">
        <v>730560</v>
      </c>
      <c r="B742" s="23" t="s">
        <v>37</v>
      </c>
      <c r="C742" s="24" t="s">
        <v>15</v>
      </c>
      <c r="D742" s="24">
        <v>2024</v>
      </c>
      <c r="E742" s="67" t="s">
        <v>280</v>
      </c>
      <c r="F742" s="28">
        <v>99066</v>
      </c>
    </row>
    <row r="743" spans="1:6" hidden="1" x14ac:dyDescent="0.3">
      <c r="A743" s="23">
        <v>730563</v>
      </c>
      <c r="B743" s="23" t="s">
        <v>37</v>
      </c>
      <c r="C743" s="24" t="s">
        <v>16</v>
      </c>
      <c r="D743" s="24">
        <v>2024</v>
      </c>
      <c r="E743" s="66" t="s">
        <v>280</v>
      </c>
      <c r="F743" s="27">
        <v>110</v>
      </c>
    </row>
    <row r="744" spans="1:6" x14ac:dyDescent="0.3">
      <c r="A744" s="23">
        <v>730563</v>
      </c>
      <c r="B744" s="23" t="s">
        <v>37</v>
      </c>
      <c r="C744" s="24" t="s">
        <v>16</v>
      </c>
      <c r="D744" s="24">
        <v>2025</v>
      </c>
      <c r="E744" s="67" t="s">
        <v>280</v>
      </c>
      <c r="F744" s="28">
        <v>150</v>
      </c>
    </row>
    <row r="745" spans="1:6" hidden="1" x14ac:dyDescent="0.3">
      <c r="A745" s="23">
        <v>730568</v>
      </c>
      <c r="B745" s="23" t="s">
        <v>37</v>
      </c>
      <c r="C745" s="24" t="s">
        <v>157</v>
      </c>
      <c r="D745" s="24">
        <v>2024</v>
      </c>
      <c r="E745" s="66" t="s">
        <v>280</v>
      </c>
      <c r="F745" s="27">
        <v>1749</v>
      </c>
    </row>
    <row r="746" spans="1:6" x14ac:dyDescent="0.3">
      <c r="A746" s="23">
        <v>730568</v>
      </c>
      <c r="B746" s="23" t="s">
        <v>37</v>
      </c>
      <c r="C746" s="24" t="s">
        <v>157</v>
      </c>
      <c r="D746" s="24">
        <v>2025</v>
      </c>
      <c r="E746" s="67" t="s">
        <v>280</v>
      </c>
      <c r="F746" s="28">
        <v>1978.7</v>
      </c>
    </row>
    <row r="747" spans="1:6" hidden="1" x14ac:dyDescent="0.3">
      <c r="A747" s="23">
        <v>730569</v>
      </c>
      <c r="B747" s="23" t="s">
        <v>37</v>
      </c>
      <c r="C747" s="24" t="s">
        <v>157</v>
      </c>
      <c r="D747" s="24">
        <v>2024</v>
      </c>
      <c r="E747" s="66" t="s">
        <v>280</v>
      </c>
      <c r="F747" s="27">
        <v>1248.2950000000001</v>
      </c>
    </row>
    <row r="748" spans="1:6" x14ac:dyDescent="0.3">
      <c r="A748" s="23">
        <v>730569</v>
      </c>
      <c r="B748" s="23" t="s">
        <v>37</v>
      </c>
      <c r="C748" s="24" t="s">
        <v>157</v>
      </c>
      <c r="D748" s="24">
        <v>2025</v>
      </c>
      <c r="E748" s="67" t="s">
        <v>280</v>
      </c>
      <c r="F748" s="28">
        <v>1293.518</v>
      </c>
    </row>
    <row r="749" spans="1:6" hidden="1" x14ac:dyDescent="0.3">
      <c r="A749" s="23">
        <v>730570</v>
      </c>
      <c r="B749" s="23" t="s">
        <v>37</v>
      </c>
      <c r="C749" s="24" t="s">
        <v>157</v>
      </c>
      <c r="D749" s="24">
        <v>2024</v>
      </c>
      <c r="E749" s="66" t="s">
        <v>280</v>
      </c>
      <c r="F749" s="27">
        <v>9159.4590000000007</v>
      </c>
    </row>
    <row r="750" spans="1:6" x14ac:dyDescent="0.3">
      <c r="A750" s="23">
        <v>730570</v>
      </c>
      <c r="B750" s="23" t="s">
        <v>37</v>
      </c>
      <c r="C750" s="24" t="s">
        <v>157</v>
      </c>
      <c r="D750" s="24">
        <v>2025</v>
      </c>
      <c r="E750" s="67" t="s">
        <v>280</v>
      </c>
      <c r="F750" s="28">
        <v>10453.168</v>
      </c>
    </row>
    <row r="751" spans="1:6" hidden="1" x14ac:dyDescent="0.3">
      <c r="A751" s="23">
        <v>730572</v>
      </c>
      <c r="B751" s="23" t="s">
        <v>37</v>
      </c>
      <c r="C751" s="24" t="s">
        <v>157</v>
      </c>
      <c r="D751" s="24">
        <v>2024</v>
      </c>
      <c r="E751" s="66" t="s">
        <v>280</v>
      </c>
      <c r="F751" s="27">
        <v>3107.7</v>
      </c>
    </row>
    <row r="752" spans="1:6" x14ac:dyDescent="0.3">
      <c r="A752" s="23">
        <v>730572</v>
      </c>
      <c r="B752" s="23" t="s">
        <v>37</v>
      </c>
      <c r="C752" s="24" t="s">
        <v>157</v>
      </c>
      <c r="D752" s="24">
        <v>2025</v>
      </c>
      <c r="E752" s="67" t="s">
        <v>280</v>
      </c>
      <c r="F752" s="28">
        <v>3447.85</v>
      </c>
    </row>
    <row r="753" spans="1:6" hidden="1" x14ac:dyDescent="0.3">
      <c r="A753" s="23">
        <v>730575</v>
      </c>
      <c r="B753" s="23" t="s">
        <v>37</v>
      </c>
      <c r="C753" s="24" t="s">
        <v>157</v>
      </c>
      <c r="D753" s="24">
        <v>2024</v>
      </c>
      <c r="E753" s="66" t="s">
        <v>280</v>
      </c>
      <c r="F753" s="27">
        <v>412.5</v>
      </c>
    </row>
    <row r="754" spans="1:6" x14ac:dyDescent="0.3">
      <c r="A754" s="23">
        <v>730575</v>
      </c>
      <c r="B754" s="23" t="s">
        <v>37</v>
      </c>
      <c r="C754" s="24" t="s">
        <v>157</v>
      </c>
      <c r="D754" s="24">
        <v>2025</v>
      </c>
      <c r="E754" s="67" t="s">
        <v>280</v>
      </c>
      <c r="F754" s="28">
        <v>453.9</v>
      </c>
    </row>
    <row r="755" spans="1:6" hidden="1" x14ac:dyDescent="0.3">
      <c r="A755" s="23">
        <v>730578</v>
      </c>
      <c r="B755" s="23" t="s">
        <v>37</v>
      </c>
      <c r="C755" s="24" t="s">
        <v>157</v>
      </c>
      <c r="D755" s="24">
        <v>2024</v>
      </c>
      <c r="E755" s="66" t="s">
        <v>280</v>
      </c>
      <c r="F755" s="27">
        <v>275</v>
      </c>
    </row>
    <row r="756" spans="1:6" x14ac:dyDescent="0.3">
      <c r="A756" s="23">
        <v>730578</v>
      </c>
      <c r="B756" s="23" t="s">
        <v>37</v>
      </c>
      <c r="C756" s="24" t="s">
        <v>157</v>
      </c>
      <c r="D756" s="24">
        <v>2025</v>
      </c>
      <c r="E756" s="67" t="s">
        <v>280</v>
      </c>
      <c r="F756" s="28">
        <v>302.60000000000002</v>
      </c>
    </row>
    <row r="757" spans="1:6" x14ac:dyDescent="0.3">
      <c r="A757" s="23">
        <v>730584</v>
      </c>
      <c r="B757" s="23" t="s">
        <v>37</v>
      </c>
      <c r="C757" s="24" t="s">
        <v>12</v>
      </c>
      <c r="D757" s="24">
        <v>2025</v>
      </c>
      <c r="E757" s="67" t="s">
        <v>280</v>
      </c>
      <c r="F757" s="28">
        <v>156.70500000000001</v>
      </c>
    </row>
    <row r="758" spans="1:6" hidden="1" x14ac:dyDescent="0.3">
      <c r="A758" s="23">
        <v>732010</v>
      </c>
      <c r="B758" s="23" t="s">
        <v>38</v>
      </c>
      <c r="C758" s="24" t="s">
        <v>61</v>
      </c>
      <c r="D758" s="24">
        <v>2024</v>
      </c>
      <c r="E758" s="66" t="s">
        <v>280</v>
      </c>
      <c r="F758" s="27">
        <v>19396.465</v>
      </c>
    </row>
    <row r="759" spans="1:6" x14ac:dyDescent="0.3">
      <c r="A759" s="23">
        <v>732010</v>
      </c>
      <c r="B759" s="23" t="s">
        <v>38</v>
      </c>
      <c r="C759" s="24" t="s">
        <v>61</v>
      </c>
      <c r="D759" s="24">
        <v>2025</v>
      </c>
      <c r="E759" s="67" t="s">
        <v>280</v>
      </c>
      <c r="F759" s="28">
        <v>20440</v>
      </c>
    </row>
    <row r="760" spans="1:6" hidden="1" x14ac:dyDescent="0.3">
      <c r="A760" s="23">
        <v>733095</v>
      </c>
      <c r="B760" s="23" t="s">
        <v>38</v>
      </c>
      <c r="C760" s="24" t="s">
        <v>18</v>
      </c>
      <c r="D760" s="24">
        <v>2024</v>
      </c>
      <c r="E760" s="66" t="s">
        <v>280</v>
      </c>
      <c r="F760" s="27">
        <v>4176.6989999999996</v>
      </c>
    </row>
    <row r="761" spans="1:6" x14ac:dyDescent="0.3">
      <c r="A761" s="23">
        <v>733095</v>
      </c>
      <c r="B761" s="23" t="s">
        <v>38</v>
      </c>
      <c r="C761" s="24" t="s">
        <v>18</v>
      </c>
      <c r="D761" s="24">
        <v>2025</v>
      </c>
      <c r="E761" s="67" t="s">
        <v>280</v>
      </c>
      <c r="F761" s="28">
        <v>4538.8010000000004</v>
      </c>
    </row>
    <row r="762" spans="1:6" hidden="1" x14ac:dyDescent="0.3">
      <c r="A762" s="23">
        <v>733505</v>
      </c>
      <c r="B762" s="23" t="s">
        <v>38</v>
      </c>
      <c r="C762" s="24" t="s">
        <v>62</v>
      </c>
      <c r="D762" s="24">
        <v>2024</v>
      </c>
      <c r="E762" s="66" t="s">
        <v>280</v>
      </c>
      <c r="F762" s="27">
        <v>316.12799999999999</v>
      </c>
    </row>
    <row r="763" spans="1:6" x14ac:dyDescent="0.3">
      <c r="A763" s="23">
        <v>733505</v>
      </c>
      <c r="B763" s="23" t="s">
        <v>38</v>
      </c>
      <c r="C763" s="24" t="s">
        <v>62</v>
      </c>
      <c r="D763" s="24">
        <v>2025</v>
      </c>
      <c r="E763" s="67" t="s">
        <v>280</v>
      </c>
      <c r="F763" s="28">
        <v>358.322</v>
      </c>
    </row>
    <row r="764" spans="1:6" hidden="1" x14ac:dyDescent="0.3">
      <c r="A764" s="23">
        <v>733510</v>
      </c>
      <c r="B764" s="23" t="s">
        <v>37</v>
      </c>
      <c r="C764" s="24" t="s">
        <v>63</v>
      </c>
      <c r="D764" s="24">
        <v>2024</v>
      </c>
      <c r="E764" s="66" t="s">
        <v>280</v>
      </c>
      <c r="F764" s="27">
        <v>50050.434999999998</v>
      </c>
    </row>
    <row r="765" spans="1:6" hidden="1" x14ac:dyDescent="0.3">
      <c r="A765" s="23">
        <v>733510</v>
      </c>
      <c r="B765" s="23" t="s">
        <v>36</v>
      </c>
      <c r="C765" s="24" t="s">
        <v>63</v>
      </c>
      <c r="D765" s="24">
        <v>2024</v>
      </c>
      <c r="E765" s="66" t="s">
        <v>280</v>
      </c>
      <c r="F765" s="27">
        <v>281924.15999999997</v>
      </c>
    </row>
    <row r="766" spans="1:6" x14ac:dyDescent="0.3">
      <c r="A766" s="23">
        <v>733510</v>
      </c>
      <c r="B766" s="23" t="s">
        <v>37</v>
      </c>
      <c r="C766" s="24" t="s">
        <v>63</v>
      </c>
      <c r="D766" s="24">
        <v>2025</v>
      </c>
      <c r="E766" s="66" t="s">
        <v>280</v>
      </c>
      <c r="F766" s="27">
        <v>44356.923999999999</v>
      </c>
    </row>
    <row r="767" spans="1:6" x14ac:dyDescent="0.3">
      <c r="A767" s="23">
        <v>733510</v>
      </c>
      <c r="B767" s="23" t="s">
        <v>36</v>
      </c>
      <c r="C767" s="24" t="s">
        <v>63</v>
      </c>
      <c r="D767" s="24">
        <v>2025</v>
      </c>
      <c r="E767" s="67" t="s">
        <v>280</v>
      </c>
      <c r="F767" s="28">
        <v>308511.13</v>
      </c>
    </row>
    <row r="768" spans="1:6" hidden="1" x14ac:dyDescent="0.3">
      <c r="A768" s="23">
        <v>733511</v>
      </c>
      <c r="B768" s="23" t="s">
        <v>37</v>
      </c>
      <c r="C768" s="24" t="s">
        <v>58</v>
      </c>
      <c r="D768" s="24">
        <v>2024</v>
      </c>
      <c r="E768" s="66" t="s">
        <v>280</v>
      </c>
      <c r="F768" s="27">
        <v>3525.5109999999986</v>
      </c>
    </row>
    <row r="769" spans="1:6" hidden="1" x14ac:dyDescent="0.3">
      <c r="A769" s="23">
        <v>733511</v>
      </c>
      <c r="B769" s="23" t="s">
        <v>36</v>
      </c>
      <c r="C769" s="24" t="s">
        <v>58</v>
      </c>
      <c r="D769" s="24">
        <v>2024</v>
      </c>
      <c r="E769" s="66" t="s">
        <v>280</v>
      </c>
      <c r="F769" s="27">
        <v>19506.57</v>
      </c>
    </row>
    <row r="770" spans="1:6" x14ac:dyDescent="0.3">
      <c r="A770" s="23">
        <v>733511</v>
      </c>
      <c r="B770" s="23" t="s">
        <v>37</v>
      </c>
      <c r="C770" s="24" t="s">
        <v>58</v>
      </c>
      <c r="D770" s="24">
        <v>2025</v>
      </c>
      <c r="E770" s="66" t="s">
        <v>280</v>
      </c>
      <c r="F770" s="27">
        <v>3200.7610000000004</v>
      </c>
    </row>
    <row r="771" spans="1:6" x14ac:dyDescent="0.3">
      <c r="A771" s="23">
        <v>733511</v>
      </c>
      <c r="B771" s="23" t="s">
        <v>36</v>
      </c>
      <c r="C771" s="24" t="s">
        <v>58</v>
      </c>
      <c r="D771" s="24">
        <v>2025</v>
      </c>
      <c r="E771" s="67" t="s">
        <v>280</v>
      </c>
      <c r="F771" s="28">
        <v>11249.35</v>
      </c>
    </row>
    <row r="772" spans="1:6" hidden="1" x14ac:dyDescent="0.3">
      <c r="A772" s="23">
        <v>733512</v>
      </c>
      <c r="B772" s="23" t="s">
        <v>37</v>
      </c>
      <c r="C772" s="24" t="s">
        <v>59</v>
      </c>
      <c r="D772" s="24">
        <v>2024</v>
      </c>
      <c r="E772" s="66" t="s">
        <v>280</v>
      </c>
      <c r="F772" s="27">
        <v>1077.8139999999994</v>
      </c>
    </row>
    <row r="773" spans="1:6" hidden="1" x14ac:dyDescent="0.3">
      <c r="A773" s="23">
        <v>733512</v>
      </c>
      <c r="B773" s="23" t="s">
        <v>36</v>
      </c>
      <c r="C773" s="24" t="s">
        <v>59</v>
      </c>
      <c r="D773" s="24">
        <v>2024</v>
      </c>
      <c r="E773" s="66" t="s">
        <v>280</v>
      </c>
      <c r="F773" s="27">
        <v>5963.52</v>
      </c>
    </row>
    <row r="774" spans="1:6" x14ac:dyDescent="0.3">
      <c r="A774" s="23">
        <v>733512</v>
      </c>
      <c r="B774" s="23" t="s">
        <v>37</v>
      </c>
      <c r="C774" s="24" t="s">
        <v>59</v>
      </c>
      <c r="D774" s="24">
        <v>2025</v>
      </c>
      <c r="E774" s="66" t="s">
        <v>280</v>
      </c>
      <c r="F774" s="27">
        <v>978.53099999999995</v>
      </c>
    </row>
    <row r="775" spans="1:6" x14ac:dyDescent="0.3">
      <c r="A775" s="23">
        <v>733512</v>
      </c>
      <c r="B775" s="23" t="s">
        <v>36</v>
      </c>
      <c r="C775" s="24" t="s">
        <v>59</v>
      </c>
      <c r="D775" s="24">
        <v>2025</v>
      </c>
      <c r="E775" s="67" t="s">
        <v>280</v>
      </c>
      <c r="F775" s="28">
        <v>6701.4</v>
      </c>
    </row>
    <row r="776" spans="1:6" x14ac:dyDescent="0.3">
      <c r="A776" s="23">
        <v>733515</v>
      </c>
      <c r="B776" s="23" t="s">
        <v>38</v>
      </c>
      <c r="C776" s="24" t="s">
        <v>19</v>
      </c>
      <c r="D776" s="24">
        <v>2025</v>
      </c>
      <c r="E776" s="67" t="s">
        <v>280</v>
      </c>
      <c r="F776" s="28">
        <v>-1580</v>
      </c>
    </row>
    <row r="777" spans="1:6" hidden="1" x14ac:dyDescent="0.3">
      <c r="A777" s="23">
        <v>733525</v>
      </c>
      <c r="B777" s="23" t="s">
        <v>38</v>
      </c>
      <c r="C777" s="24" t="s">
        <v>20</v>
      </c>
      <c r="D777" s="24">
        <v>2024</v>
      </c>
      <c r="E777" s="66" t="s">
        <v>280</v>
      </c>
      <c r="F777" s="27">
        <v>3967.7240000000002</v>
      </c>
    </row>
    <row r="778" spans="1:6" x14ac:dyDescent="0.3">
      <c r="A778" s="23">
        <v>733525</v>
      </c>
      <c r="B778" s="23" t="s">
        <v>38</v>
      </c>
      <c r="C778" s="24" t="s">
        <v>20</v>
      </c>
      <c r="D778" s="24">
        <v>2025</v>
      </c>
      <c r="E778" s="67" t="s">
        <v>280</v>
      </c>
      <c r="F778" s="28">
        <v>5884.3130000000001</v>
      </c>
    </row>
    <row r="779" spans="1:6" hidden="1" x14ac:dyDescent="0.3">
      <c r="A779" s="23">
        <v>733530</v>
      </c>
      <c r="B779" s="23" t="s">
        <v>38</v>
      </c>
      <c r="C779" s="24" t="s">
        <v>21</v>
      </c>
      <c r="D779" s="24">
        <v>2024</v>
      </c>
      <c r="E779" s="66" t="s">
        <v>280</v>
      </c>
      <c r="F779" s="27">
        <v>50783.542999999998</v>
      </c>
    </row>
    <row r="780" spans="1:6" x14ac:dyDescent="0.3">
      <c r="A780" s="23">
        <v>733530</v>
      </c>
      <c r="B780" s="23" t="s">
        <v>38</v>
      </c>
      <c r="C780" s="24" t="s">
        <v>21</v>
      </c>
      <c r="D780" s="24">
        <v>2025</v>
      </c>
      <c r="E780" s="67" t="s">
        <v>280</v>
      </c>
      <c r="F780" s="28">
        <v>60408.402000000002</v>
      </c>
    </row>
    <row r="781" spans="1:6" hidden="1" x14ac:dyDescent="0.3">
      <c r="A781" s="23">
        <v>733550</v>
      </c>
      <c r="B781" s="23" t="s">
        <v>38</v>
      </c>
      <c r="C781" s="24" t="s">
        <v>22</v>
      </c>
      <c r="D781" s="24">
        <v>2024</v>
      </c>
      <c r="E781" s="66" t="s">
        <v>280</v>
      </c>
      <c r="F781" s="27">
        <v>8714.5190000000002</v>
      </c>
    </row>
    <row r="782" spans="1:6" x14ac:dyDescent="0.3">
      <c r="A782" s="23">
        <v>733550</v>
      </c>
      <c r="B782" s="23" t="s">
        <v>38</v>
      </c>
      <c r="C782" s="24" t="s">
        <v>22</v>
      </c>
      <c r="D782" s="24">
        <v>2025</v>
      </c>
      <c r="E782" s="67" t="s">
        <v>280</v>
      </c>
      <c r="F782" s="28">
        <v>4379.8</v>
      </c>
    </row>
    <row r="783" spans="1:6" hidden="1" x14ac:dyDescent="0.3">
      <c r="A783" s="23">
        <v>733555</v>
      </c>
      <c r="B783" s="23" t="s">
        <v>38</v>
      </c>
      <c r="C783" s="24" t="s">
        <v>23</v>
      </c>
      <c r="D783" s="24">
        <v>2024</v>
      </c>
      <c r="E783" s="66" t="s">
        <v>280</v>
      </c>
      <c r="F783" s="27">
        <v>5467.7969999999996</v>
      </c>
    </row>
    <row r="784" spans="1:6" x14ac:dyDescent="0.3">
      <c r="A784" s="23">
        <v>733555</v>
      </c>
      <c r="B784" s="23" t="s">
        <v>38</v>
      </c>
      <c r="C784" s="24" t="s">
        <v>23</v>
      </c>
      <c r="D784" s="24">
        <v>2025</v>
      </c>
      <c r="E784" s="67" t="s">
        <v>280</v>
      </c>
      <c r="F784" s="28">
        <v>8349.9860000000008</v>
      </c>
    </row>
    <row r="785" spans="1:6" hidden="1" x14ac:dyDescent="0.3">
      <c r="A785" s="23">
        <v>735015</v>
      </c>
      <c r="B785" s="23" t="s">
        <v>38</v>
      </c>
      <c r="C785" s="24" t="s">
        <v>27</v>
      </c>
      <c r="D785" s="24">
        <v>2024</v>
      </c>
      <c r="E785" s="66" t="s">
        <v>280</v>
      </c>
      <c r="F785" s="27">
        <v>3136.1060000000002</v>
      </c>
    </row>
    <row r="786" spans="1:6" x14ac:dyDescent="0.3">
      <c r="A786" s="23">
        <v>735015</v>
      </c>
      <c r="B786" s="23" t="s">
        <v>38</v>
      </c>
      <c r="C786" s="24" t="s">
        <v>27</v>
      </c>
      <c r="D786" s="24">
        <v>2025</v>
      </c>
      <c r="E786" s="67" t="s">
        <v>280</v>
      </c>
      <c r="F786" s="28">
        <v>1198.587</v>
      </c>
    </row>
    <row r="787" spans="1:6" hidden="1" x14ac:dyDescent="0.3">
      <c r="A787" s="23">
        <v>736005</v>
      </c>
      <c r="B787" s="23" t="s">
        <v>38</v>
      </c>
      <c r="C787" s="24" t="s">
        <v>160</v>
      </c>
      <c r="D787" s="24">
        <v>2024</v>
      </c>
      <c r="E787" s="66" t="s">
        <v>280</v>
      </c>
      <c r="F787" s="27">
        <v>1388.8889999999999</v>
      </c>
    </row>
    <row r="788" spans="1:6" x14ac:dyDescent="0.3">
      <c r="A788" s="23">
        <v>736005</v>
      </c>
      <c r="B788" s="23" t="s">
        <v>38</v>
      </c>
      <c r="C788" s="24" t="s">
        <v>160</v>
      </c>
      <c r="D788" s="24">
        <v>2025</v>
      </c>
      <c r="E788" s="67" t="s">
        <v>280</v>
      </c>
      <c r="F788" s="28">
        <v>1388.8889999999999</v>
      </c>
    </row>
    <row r="789" spans="1:6" hidden="1" x14ac:dyDescent="0.3">
      <c r="A789" s="23">
        <v>736010</v>
      </c>
      <c r="B789" s="23" t="s">
        <v>38</v>
      </c>
      <c r="C789" s="24" t="s">
        <v>160</v>
      </c>
      <c r="D789" s="24">
        <v>2024</v>
      </c>
      <c r="E789" s="66" t="s">
        <v>280</v>
      </c>
      <c r="F789" s="27">
        <v>39428.970999999998</v>
      </c>
    </row>
    <row r="790" spans="1:6" x14ac:dyDescent="0.3">
      <c r="A790" s="23">
        <v>736010</v>
      </c>
      <c r="B790" s="23" t="s">
        <v>38</v>
      </c>
      <c r="C790" s="24" t="s">
        <v>160</v>
      </c>
      <c r="D790" s="24">
        <v>2025</v>
      </c>
      <c r="E790" s="67" t="s">
        <v>280</v>
      </c>
      <c r="F790" s="28">
        <v>34077.976999999999</v>
      </c>
    </row>
    <row r="791" spans="1:6" hidden="1" x14ac:dyDescent="0.3">
      <c r="A791" s="23">
        <v>736015</v>
      </c>
      <c r="B791" s="23" t="s">
        <v>38</v>
      </c>
      <c r="C791" s="24" t="s">
        <v>160</v>
      </c>
      <c r="D791" s="24">
        <v>2024</v>
      </c>
      <c r="E791" s="66" t="s">
        <v>280</v>
      </c>
      <c r="F791" s="27">
        <v>800.89499999999998</v>
      </c>
    </row>
    <row r="792" spans="1:6" x14ac:dyDescent="0.3">
      <c r="A792" s="23">
        <v>736015</v>
      </c>
      <c r="B792" s="23" t="s">
        <v>38</v>
      </c>
      <c r="C792" s="24" t="s">
        <v>160</v>
      </c>
      <c r="D792" s="24">
        <v>2025</v>
      </c>
      <c r="E792" s="67" t="s">
        <v>280</v>
      </c>
      <c r="F792" s="28">
        <v>800.89499999999998</v>
      </c>
    </row>
    <row r="793" spans="1:6" hidden="1" x14ac:dyDescent="0.3">
      <c r="A793" s="23">
        <v>736020</v>
      </c>
      <c r="B793" s="23" t="s">
        <v>38</v>
      </c>
      <c r="C793" s="24" t="s">
        <v>160</v>
      </c>
      <c r="D793" s="24">
        <v>2024</v>
      </c>
      <c r="E793" s="66" t="s">
        <v>280</v>
      </c>
      <c r="F793" s="27">
        <v>478.52300000000002</v>
      </c>
    </row>
    <row r="794" spans="1:6" x14ac:dyDescent="0.3">
      <c r="A794" s="23">
        <v>736020</v>
      </c>
      <c r="B794" s="23" t="s">
        <v>38</v>
      </c>
      <c r="C794" s="24" t="s">
        <v>160</v>
      </c>
      <c r="D794" s="24">
        <v>2025</v>
      </c>
      <c r="E794" s="67" t="s">
        <v>280</v>
      </c>
      <c r="F794" s="28">
        <v>538.49</v>
      </c>
    </row>
    <row r="795" spans="1:6" hidden="1" x14ac:dyDescent="0.3">
      <c r="A795" s="23">
        <v>739525</v>
      </c>
      <c r="B795" s="23" t="s">
        <v>38</v>
      </c>
      <c r="C795" s="24" t="s">
        <v>28</v>
      </c>
      <c r="D795" s="24">
        <v>2024</v>
      </c>
      <c r="E795" s="66" t="s">
        <v>280</v>
      </c>
      <c r="F795" s="27">
        <v>3110.7159999999999</v>
      </c>
    </row>
    <row r="796" spans="1:6" x14ac:dyDescent="0.3">
      <c r="A796" s="23">
        <v>739525</v>
      </c>
      <c r="B796" s="23" t="s">
        <v>38</v>
      </c>
      <c r="C796" s="24" t="s">
        <v>28</v>
      </c>
      <c r="D796" s="24">
        <v>2025</v>
      </c>
      <c r="E796" s="67" t="s">
        <v>280</v>
      </c>
      <c r="F796" s="28">
        <v>3493.2379999999998</v>
      </c>
    </row>
    <row r="797" spans="1:6" hidden="1" x14ac:dyDescent="0.3">
      <c r="A797" s="23">
        <v>739530</v>
      </c>
      <c r="B797" s="23" t="s">
        <v>38</v>
      </c>
      <c r="C797" s="24" t="s">
        <v>65</v>
      </c>
      <c r="D797" s="24">
        <v>2024</v>
      </c>
      <c r="E797" s="66" t="s">
        <v>280</v>
      </c>
      <c r="F797" s="27">
        <v>2413.2759999999998</v>
      </c>
    </row>
    <row r="798" spans="1:6" x14ac:dyDescent="0.3">
      <c r="A798" s="23">
        <v>739530</v>
      </c>
      <c r="B798" s="23" t="s">
        <v>38</v>
      </c>
      <c r="C798" s="24" t="s">
        <v>65</v>
      </c>
      <c r="D798" s="24">
        <v>2025</v>
      </c>
      <c r="E798" s="67" t="s">
        <v>280</v>
      </c>
      <c r="F798" s="28">
        <v>3930.6239999999998</v>
      </c>
    </row>
    <row r="799" spans="1:6" hidden="1" x14ac:dyDescent="0.3">
      <c r="A799" s="23">
        <v>739535</v>
      </c>
      <c r="B799" s="23" t="s">
        <v>38</v>
      </c>
      <c r="C799" s="24" t="s">
        <v>29</v>
      </c>
      <c r="D799" s="24">
        <v>2024</v>
      </c>
      <c r="E799" s="66" t="s">
        <v>280</v>
      </c>
      <c r="F799" s="27">
        <v>11642.031999999999</v>
      </c>
    </row>
    <row r="800" spans="1:6" x14ac:dyDescent="0.3">
      <c r="A800" s="23">
        <v>739535</v>
      </c>
      <c r="B800" s="23" t="s">
        <v>38</v>
      </c>
      <c r="C800" s="24" t="s">
        <v>29</v>
      </c>
      <c r="D800" s="24">
        <v>2025</v>
      </c>
      <c r="E800" s="67" t="s">
        <v>280</v>
      </c>
      <c r="F800" s="28">
        <v>685</v>
      </c>
    </row>
    <row r="801" spans="1:6" hidden="1" x14ac:dyDescent="0.3">
      <c r="A801" s="23">
        <v>739560</v>
      </c>
      <c r="B801" s="23" t="s">
        <v>38</v>
      </c>
      <c r="C801" s="24" t="s">
        <v>30</v>
      </c>
      <c r="D801" s="24">
        <v>2024</v>
      </c>
      <c r="E801" s="66" t="s">
        <v>280</v>
      </c>
      <c r="F801" s="27">
        <v>4657.4049999999997</v>
      </c>
    </row>
    <row r="802" spans="1:6" x14ac:dyDescent="0.3">
      <c r="A802" s="23">
        <v>739560</v>
      </c>
      <c r="B802" s="23" t="s">
        <v>38</v>
      </c>
      <c r="C802" s="24" t="s">
        <v>30</v>
      </c>
      <c r="D802" s="24">
        <v>2025</v>
      </c>
      <c r="E802" s="67" t="s">
        <v>280</v>
      </c>
      <c r="F802" s="28">
        <v>44.075000000000003</v>
      </c>
    </row>
    <row r="803" spans="1:6" hidden="1" x14ac:dyDescent="0.3">
      <c r="A803" s="23">
        <v>740101</v>
      </c>
      <c r="B803" s="23" t="s">
        <v>39</v>
      </c>
      <c r="C803" s="24" t="s">
        <v>33</v>
      </c>
      <c r="D803" s="24">
        <v>2024</v>
      </c>
      <c r="E803" s="66" t="s">
        <v>280</v>
      </c>
      <c r="F803" s="27">
        <v>102570.068</v>
      </c>
    </row>
    <row r="804" spans="1:6" x14ac:dyDescent="0.3">
      <c r="A804" s="23">
        <v>740101</v>
      </c>
      <c r="B804" s="23" t="s">
        <v>39</v>
      </c>
      <c r="C804" s="24" t="s">
        <v>33</v>
      </c>
      <c r="D804" s="24">
        <v>2025</v>
      </c>
      <c r="E804" s="67" t="s">
        <v>280</v>
      </c>
      <c r="F804" s="28">
        <v>21657.01</v>
      </c>
    </row>
    <row r="805" spans="1:6" hidden="1" x14ac:dyDescent="0.3">
      <c r="A805" s="23">
        <v>73109502</v>
      </c>
      <c r="B805" s="23" t="s">
        <v>37</v>
      </c>
      <c r="C805" s="24" t="s">
        <v>60</v>
      </c>
      <c r="D805" s="24">
        <v>2024</v>
      </c>
      <c r="E805" s="66" t="s">
        <v>280</v>
      </c>
      <c r="F805" s="27">
        <v>55.799999999999955</v>
      </c>
    </row>
    <row r="806" spans="1:6" hidden="1" x14ac:dyDescent="0.3">
      <c r="A806" s="23">
        <v>73109502</v>
      </c>
      <c r="B806" s="23" t="s">
        <v>36</v>
      </c>
      <c r="C806" s="24" t="s">
        <v>60</v>
      </c>
      <c r="D806" s="24">
        <v>2024</v>
      </c>
      <c r="E806" s="66" t="s">
        <v>280</v>
      </c>
      <c r="F806" s="27">
        <v>1901.27</v>
      </c>
    </row>
    <row r="807" spans="1:6" x14ac:dyDescent="0.3">
      <c r="A807" s="23">
        <v>73109502</v>
      </c>
      <c r="B807" s="23" t="s">
        <v>37</v>
      </c>
      <c r="C807" s="24" t="s">
        <v>60</v>
      </c>
      <c r="D807" s="24">
        <v>2025</v>
      </c>
      <c r="E807" s="66" t="s">
        <v>280</v>
      </c>
      <c r="F807" s="27">
        <v>636.61000000000013</v>
      </c>
    </row>
    <row r="808" spans="1:6" x14ac:dyDescent="0.3">
      <c r="A808" s="23">
        <v>73109502</v>
      </c>
      <c r="B808" s="23" t="s">
        <v>36</v>
      </c>
      <c r="C808" s="24" t="s">
        <v>60</v>
      </c>
      <c r="D808" s="24">
        <v>2025</v>
      </c>
      <c r="E808" s="66" t="s">
        <v>280</v>
      </c>
      <c r="F808" s="27">
        <v>2581.12</v>
      </c>
    </row>
    <row r="809" spans="1:6" x14ac:dyDescent="0.3">
      <c r="A809" s="23">
        <v>73109503</v>
      </c>
      <c r="B809" s="23" t="s">
        <v>37</v>
      </c>
      <c r="C809" s="24" t="s">
        <v>16</v>
      </c>
      <c r="D809" s="24">
        <v>2025</v>
      </c>
      <c r="E809" s="66" t="s">
        <v>280</v>
      </c>
      <c r="F809" s="27">
        <v>405.48</v>
      </c>
    </row>
    <row r="810" spans="1:6" hidden="1" x14ac:dyDescent="0.3">
      <c r="A810" s="23">
        <v>73159503</v>
      </c>
      <c r="B810" s="23" t="s">
        <v>38</v>
      </c>
      <c r="C810" s="24" t="s">
        <v>197</v>
      </c>
      <c r="D810" s="24">
        <v>2024</v>
      </c>
      <c r="E810" s="66" t="s">
        <v>280</v>
      </c>
      <c r="F810" s="27">
        <v>9584.2790000000005</v>
      </c>
    </row>
    <row r="811" spans="1:6" x14ac:dyDescent="0.3">
      <c r="A811" s="23">
        <v>73159503</v>
      </c>
      <c r="B811" s="23" t="s">
        <v>38</v>
      </c>
      <c r="C811" s="24" t="s">
        <v>197</v>
      </c>
      <c r="D811" s="24">
        <v>2025</v>
      </c>
      <c r="E811" s="67" t="s">
        <v>280</v>
      </c>
      <c r="F811" s="28">
        <v>8240.277</v>
      </c>
    </row>
    <row r="812" spans="1:6" hidden="1" x14ac:dyDescent="0.3">
      <c r="A812" s="23">
        <v>73359501</v>
      </c>
      <c r="B812" s="23" t="s">
        <v>38</v>
      </c>
      <c r="C812" s="24" t="s">
        <v>24</v>
      </c>
      <c r="D812" s="24">
        <v>2024</v>
      </c>
      <c r="E812" s="67" t="s">
        <v>280</v>
      </c>
      <c r="F812" s="28">
        <v>1864.32</v>
      </c>
    </row>
    <row r="813" spans="1:6" hidden="1" x14ac:dyDescent="0.3">
      <c r="A813" s="23">
        <v>73359504</v>
      </c>
      <c r="B813" s="23" t="s">
        <v>38</v>
      </c>
      <c r="C813" s="24" t="s">
        <v>281</v>
      </c>
      <c r="D813" s="24">
        <v>2024</v>
      </c>
      <c r="E813" s="66" t="s">
        <v>280</v>
      </c>
      <c r="F813" s="27">
        <v>378.15100000000001</v>
      </c>
    </row>
    <row r="814" spans="1:6" x14ac:dyDescent="0.3">
      <c r="A814" s="23">
        <v>73359506</v>
      </c>
      <c r="B814" s="23" t="s">
        <v>37</v>
      </c>
      <c r="C814" s="24" t="s">
        <v>25</v>
      </c>
      <c r="D814" s="24">
        <v>2025</v>
      </c>
      <c r="E814" s="67" t="s">
        <v>280</v>
      </c>
      <c r="F814" s="28">
        <v>632.30999999999995</v>
      </c>
    </row>
    <row r="815" spans="1:6" hidden="1" x14ac:dyDescent="0.3">
      <c r="A815" s="23">
        <v>73451501</v>
      </c>
      <c r="B815" s="23" t="s">
        <v>38</v>
      </c>
      <c r="C815" s="24" t="s">
        <v>158</v>
      </c>
      <c r="D815" s="24">
        <v>2024</v>
      </c>
      <c r="E815" s="66" t="s">
        <v>280</v>
      </c>
      <c r="F815" s="27">
        <v>5173.7240000000002</v>
      </c>
    </row>
    <row r="816" spans="1:6" x14ac:dyDescent="0.3">
      <c r="A816" s="23">
        <v>73451501</v>
      </c>
      <c r="B816" s="23" t="s">
        <v>38</v>
      </c>
      <c r="C816" s="24" t="s">
        <v>158</v>
      </c>
      <c r="D816" s="24">
        <v>2025</v>
      </c>
      <c r="E816" s="67" t="s">
        <v>280</v>
      </c>
      <c r="F816" s="28">
        <v>1123.32</v>
      </c>
    </row>
    <row r="817" spans="1:6" hidden="1" x14ac:dyDescent="0.3">
      <c r="A817" s="23">
        <v>73451502</v>
      </c>
      <c r="B817" s="23" t="s">
        <v>38</v>
      </c>
      <c r="C817" s="24" t="s">
        <v>158</v>
      </c>
      <c r="D817" s="24">
        <v>2024</v>
      </c>
      <c r="E817" s="66" t="s">
        <v>280</v>
      </c>
      <c r="F817" s="27">
        <v>43481.273999999998</v>
      </c>
    </row>
    <row r="818" spans="1:6" x14ac:dyDescent="0.3">
      <c r="A818" s="23">
        <v>73451502</v>
      </c>
      <c r="B818" s="23" t="s">
        <v>38</v>
      </c>
      <c r="C818" s="24" t="s">
        <v>158</v>
      </c>
      <c r="D818" s="24">
        <v>2025</v>
      </c>
      <c r="E818" s="67" t="s">
        <v>280</v>
      </c>
      <c r="F818" s="28">
        <v>12099.367</v>
      </c>
    </row>
    <row r="819" spans="1:6" hidden="1" x14ac:dyDescent="0.3">
      <c r="A819" s="23">
        <v>73451503</v>
      </c>
      <c r="B819" s="23" t="s">
        <v>38</v>
      </c>
      <c r="C819" s="24" t="s">
        <v>159</v>
      </c>
      <c r="D819" s="24">
        <v>2024</v>
      </c>
      <c r="E819" s="66" t="s">
        <v>280</v>
      </c>
      <c r="F819" s="27">
        <v>1534.807</v>
      </c>
    </row>
    <row r="820" spans="1:6" x14ac:dyDescent="0.3">
      <c r="A820" s="23">
        <v>73451503</v>
      </c>
      <c r="B820" s="23" t="s">
        <v>38</v>
      </c>
      <c r="C820" s="24" t="s">
        <v>159</v>
      </c>
      <c r="D820" s="24">
        <v>2025</v>
      </c>
      <c r="E820" s="67" t="s">
        <v>280</v>
      </c>
      <c r="F820" s="28">
        <v>888.47299999999996</v>
      </c>
    </row>
    <row r="821" spans="1:6" x14ac:dyDescent="0.3">
      <c r="A821" s="23">
        <v>73451504</v>
      </c>
      <c r="B821" s="23" t="s">
        <v>38</v>
      </c>
      <c r="C821" s="24" t="s">
        <v>159</v>
      </c>
      <c r="D821" s="24">
        <v>2025</v>
      </c>
      <c r="E821" s="67" t="s">
        <v>280</v>
      </c>
      <c r="F821" s="28">
        <v>9911.6849999999995</v>
      </c>
    </row>
    <row r="822" spans="1:6" hidden="1" x14ac:dyDescent="0.3">
      <c r="A822" s="23">
        <v>73451507</v>
      </c>
      <c r="B822" s="23" t="s">
        <v>38</v>
      </c>
      <c r="C822" s="24" t="s">
        <v>26</v>
      </c>
      <c r="D822" s="24">
        <v>2024</v>
      </c>
      <c r="E822" s="66" t="s">
        <v>280</v>
      </c>
      <c r="F822" s="27">
        <v>630</v>
      </c>
    </row>
    <row r="823" spans="1:6" hidden="1" x14ac:dyDescent="0.3">
      <c r="A823" s="23">
        <v>73452501</v>
      </c>
      <c r="B823" s="23" t="s">
        <v>38</v>
      </c>
      <c r="C823" s="24" t="s">
        <v>74</v>
      </c>
      <c r="D823" s="24">
        <v>2024</v>
      </c>
      <c r="E823" s="66" t="s">
        <v>280</v>
      </c>
      <c r="F823" s="27">
        <v>596.23500000000001</v>
      </c>
    </row>
    <row r="824" spans="1:6" x14ac:dyDescent="0.3">
      <c r="A824" s="23">
        <v>73452501</v>
      </c>
      <c r="B824" s="23" t="s">
        <v>38</v>
      </c>
      <c r="C824" s="24" t="s">
        <v>74</v>
      </c>
      <c r="D824" s="24">
        <v>2025</v>
      </c>
      <c r="E824" s="67" t="s">
        <v>280</v>
      </c>
      <c r="F824" s="28">
        <v>1816.23</v>
      </c>
    </row>
    <row r="825" spans="1:6" hidden="1" x14ac:dyDescent="0.3">
      <c r="A825" s="23">
        <v>73959501</v>
      </c>
      <c r="B825" s="23" t="s">
        <v>38</v>
      </c>
      <c r="C825" s="24" t="s">
        <v>31</v>
      </c>
      <c r="D825" s="24">
        <v>2024</v>
      </c>
      <c r="E825" s="66" t="s">
        <v>280</v>
      </c>
      <c r="F825" s="27">
        <v>2979.53</v>
      </c>
    </row>
    <row r="826" spans="1:6" x14ac:dyDescent="0.3">
      <c r="A826" s="23">
        <v>73959501</v>
      </c>
      <c r="B826" s="23" t="s">
        <v>38</v>
      </c>
      <c r="C826" s="24" t="s">
        <v>31</v>
      </c>
      <c r="D826" s="24">
        <v>2025</v>
      </c>
      <c r="E826" s="66" t="s">
        <v>280</v>
      </c>
      <c r="F826" s="27">
        <v>14719.694</v>
      </c>
    </row>
    <row r="827" spans="1:6" hidden="1" x14ac:dyDescent="0.3">
      <c r="A827" s="23">
        <v>73959503</v>
      </c>
      <c r="B827" s="23" t="s">
        <v>38</v>
      </c>
      <c r="C827" s="24" t="s">
        <v>198</v>
      </c>
      <c r="D827" s="24">
        <v>2024</v>
      </c>
      <c r="E827" s="66" t="s">
        <v>280</v>
      </c>
      <c r="F827" s="27">
        <v>454.387</v>
      </c>
    </row>
    <row r="828" spans="1:6" x14ac:dyDescent="0.3">
      <c r="A828" s="23">
        <v>73959503</v>
      </c>
      <c r="B828" s="23" t="s">
        <v>38</v>
      </c>
      <c r="C828" s="24" t="s">
        <v>198</v>
      </c>
      <c r="D828" s="24">
        <v>2025</v>
      </c>
      <c r="E828" s="67" t="s">
        <v>280</v>
      </c>
      <c r="F828" s="28">
        <v>1444.9480000000001</v>
      </c>
    </row>
    <row r="829" spans="1:6" hidden="1" x14ac:dyDescent="0.3">
      <c r="A829" s="23">
        <v>73959504</v>
      </c>
      <c r="B829" s="23" t="s">
        <v>37</v>
      </c>
      <c r="C829" s="24" t="s">
        <v>32</v>
      </c>
      <c r="D829" s="24">
        <v>2024</v>
      </c>
      <c r="E829" s="66" t="s">
        <v>280</v>
      </c>
      <c r="F829" s="27">
        <v>300.03699999999992</v>
      </c>
    </row>
    <row r="830" spans="1:6" hidden="1" x14ac:dyDescent="0.3">
      <c r="A830" s="23">
        <v>73959504</v>
      </c>
      <c r="B830" s="23" t="s">
        <v>36</v>
      </c>
      <c r="C830" s="24" t="s">
        <v>32</v>
      </c>
      <c r="D830" s="24">
        <v>2024</v>
      </c>
      <c r="E830" s="66" t="s">
        <v>280</v>
      </c>
      <c r="F830" s="27">
        <v>357.22</v>
      </c>
    </row>
    <row r="831" spans="1:6" x14ac:dyDescent="0.3">
      <c r="A831" s="23">
        <v>73959504</v>
      </c>
      <c r="B831" s="23" t="s">
        <v>37</v>
      </c>
      <c r="C831" s="24" t="s">
        <v>32</v>
      </c>
      <c r="D831" s="24">
        <v>2025</v>
      </c>
      <c r="E831" s="66" t="s">
        <v>280</v>
      </c>
      <c r="F831" s="27">
        <v>201.38300000000004</v>
      </c>
    </row>
    <row r="832" spans="1:6" x14ac:dyDescent="0.3">
      <c r="A832" s="23">
        <v>73959504</v>
      </c>
      <c r="B832" s="23" t="s">
        <v>36</v>
      </c>
      <c r="C832" s="24" t="s">
        <v>32</v>
      </c>
      <c r="D832" s="24">
        <v>2025</v>
      </c>
      <c r="E832" s="66" t="s">
        <v>280</v>
      </c>
      <c r="F832" s="27">
        <v>166.95</v>
      </c>
    </row>
    <row r="833" spans="1:6" hidden="1" x14ac:dyDescent="0.3">
      <c r="A833" s="23">
        <v>73959506</v>
      </c>
      <c r="B833" s="23" t="s">
        <v>38</v>
      </c>
      <c r="C833" s="24" t="s">
        <v>66</v>
      </c>
      <c r="D833" s="24">
        <v>2024</v>
      </c>
      <c r="E833" s="67" t="s">
        <v>280</v>
      </c>
      <c r="F833" s="28">
        <v>97.299000000000007</v>
      </c>
    </row>
    <row r="834" spans="1:6" hidden="1" x14ac:dyDescent="0.3">
      <c r="A834" s="23">
        <v>73959510</v>
      </c>
      <c r="B834" s="23" t="s">
        <v>38</v>
      </c>
      <c r="C834" s="24" t="s">
        <v>67</v>
      </c>
      <c r="D834" s="24">
        <v>2024</v>
      </c>
      <c r="E834" s="66" t="s">
        <v>280</v>
      </c>
      <c r="F834" s="27">
        <v>1987.489</v>
      </c>
    </row>
    <row r="835" spans="1:6" x14ac:dyDescent="0.3">
      <c r="A835" s="23">
        <v>73959510</v>
      </c>
      <c r="B835" s="23" t="s">
        <v>38</v>
      </c>
      <c r="C835" s="24" t="s">
        <v>67</v>
      </c>
      <c r="D835" s="24">
        <v>2025</v>
      </c>
      <c r="E835" s="67" t="s">
        <v>280</v>
      </c>
      <c r="F835" s="28">
        <v>526.85199999999998</v>
      </c>
    </row>
    <row r="836" spans="1:6" hidden="1" x14ac:dyDescent="0.3">
      <c r="A836" s="23" t="s">
        <v>81</v>
      </c>
      <c r="B836" s="23" t="s">
        <v>36</v>
      </c>
      <c r="C836" s="24" t="s">
        <v>5</v>
      </c>
      <c r="D836" s="24">
        <v>2026</v>
      </c>
      <c r="E836" s="67" t="s">
        <v>280</v>
      </c>
      <c r="F836" s="27">
        <v>45137.095999999998</v>
      </c>
    </row>
    <row r="837" spans="1:6" hidden="1" x14ac:dyDescent="0.3">
      <c r="A837" s="23" t="s">
        <v>82</v>
      </c>
      <c r="B837" s="23" t="s">
        <v>36</v>
      </c>
      <c r="C837" s="24" t="s">
        <v>6</v>
      </c>
      <c r="D837" s="24">
        <v>2026</v>
      </c>
      <c r="E837" s="67" t="s">
        <v>280</v>
      </c>
      <c r="F837" s="27">
        <v>15617.788</v>
      </c>
    </row>
    <row r="838" spans="1:6" hidden="1" x14ac:dyDescent="0.3">
      <c r="A838" s="23" t="s">
        <v>83</v>
      </c>
      <c r="B838" s="23" t="s">
        <v>36</v>
      </c>
      <c r="C838" s="24" t="s">
        <v>7</v>
      </c>
      <c r="D838" s="24">
        <v>2026</v>
      </c>
      <c r="E838" s="67" t="s">
        <v>280</v>
      </c>
      <c r="F838" s="27">
        <v>3015.4560000000001</v>
      </c>
    </row>
    <row r="839" spans="1:6" hidden="1" x14ac:dyDescent="0.3">
      <c r="A839" s="23" t="s">
        <v>84</v>
      </c>
      <c r="B839" s="23" t="s">
        <v>36</v>
      </c>
      <c r="C839" s="24" t="s">
        <v>8</v>
      </c>
      <c r="D839" s="24">
        <v>2026</v>
      </c>
      <c r="E839" s="67" t="s">
        <v>280</v>
      </c>
      <c r="F839" s="27">
        <v>5513.308</v>
      </c>
    </row>
    <row r="840" spans="1:6" hidden="1" x14ac:dyDescent="0.3">
      <c r="A840" s="23" t="s">
        <v>85</v>
      </c>
      <c r="B840" s="23" t="s">
        <v>36</v>
      </c>
      <c r="C840" s="24" t="s">
        <v>154</v>
      </c>
      <c r="D840" s="24">
        <v>2026</v>
      </c>
      <c r="E840" s="67" t="s">
        <v>280</v>
      </c>
      <c r="F840" s="27">
        <v>6130.009</v>
      </c>
    </row>
    <row r="841" spans="1:6" hidden="1" x14ac:dyDescent="0.3">
      <c r="A841" s="23" t="s">
        <v>86</v>
      </c>
      <c r="B841" s="23" t="s">
        <v>36</v>
      </c>
      <c r="C841" s="24" t="s">
        <v>154</v>
      </c>
      <c r="D841" s="24">
        <v>2026</v>
      </c>
      <c r="E841" s="67" t="s">
        <v>280</v>
      </c>
      <c r="F841" s="27">
        <v>735.89700000000005</v>
      </c>
    </row>
    <row r="842" spans="1:6" hidden="1" x14ac:dyDescent="0.3">
      <c r="A842" s="23" t="s">
        <v>87</v>
      </c>
      <c r="B842" s="23" t="s">
        <v>36</v>
      </c>
      <c r="C842" s="24" t="s">
        <v>154</v>
      </c>
      <c r="D842" s="24">
        <v>2026</v>
      </c>
      <c r="E842" s="67" t="s">
        <v>280</v>
      </c>
      <c r="F842" s="27">
        <v>6130.009</v>
      </c>
    </row>
    <row r="843" spans="1:6" hidden="1" x14ac:dyDescent="0.3">
      <c r="A843" s="23" t="s">
        <v>88</v>
      </c>
      <c r="B843" s="23" t="s">
        <v>36</v>
      </c>
      <c r="C843" s="24" t="s">
        <v>154</v>
      </c>
      <c r="D843" s="24">
        <v>2026</v>
      </c>
      <c r="E843" s="67" t="s">
        <v>280</v>
      </c>
      <c r="F843" s="27">
        <v>2838.78</v>
      </c>
    </row>
    <row r="844" spans="1:6" hidden="1" x14ac:dyDescent="0.3">
      <c r="A844" s="23" t="s">
        <v>89</v>
      </c>
      <c r="B844" s="23" t="s">
        <v>36</v>
      </c>
      <c r="C844" s="24" t="s">
        <v>154</v>
      </c>
      <c r="D844" s="24">
        <v>2026</v>
      </c>
      <c r="E844" s="67" t="s">
        <v>280</v>
      </c>
      <c r="F844" s="27">
        <v>939.452</v>
      </c>
    </row>
    <row r="845" spans="1:6" hidden="1" x14ac:dyDescent="0.3">
      <c r="A845" s="23" t="s">
        <v>90</v>
      </c>
      <c r="B845" s="23" t="s">
        <v>36</v>
      </c>
      <c r="C845" s="24" t="s">
        <v>155</v>
      </c>
      <c r="D845" s="24">
        <v>2026</v>
      </c>
      <c r="E845" s="67" t="s">
        <v>280</v>
      </c>
      <c r="F845" s="27">
        <v>7155.3220000000001</v>
      </c>
    </row>
    <row r="846" spans="1:6" hidden="1" x14ac:dyDescent="0.3">
      <c r="A846" s="23" t="s">
        <v>91</v>
      </c>
      <c r="B846" s="23" t="s">
        <v>36</v>
      </c>
      <c r="C846" s="24" t="s">
        <v>156</v>
      </c>
      <c r="D846" s="24">
        <v>2026</v>
      </c>
      <c r="E846" s="67" t="s">
        <v>280</v>
      </c>
      <c r="F846" s="27">
        <v>2187.518</v>
      </c>
    </row>
    <row r="847" spans="1:6" hidden="1" x14ac:dyDescent="0.3">
      <c r="A847" s="23" t="s">
        <v>92</v>
      </c>
      <c r="B847" s="23" t="s">
        <v>36</v>
      </c>
      <c r="C847" s="24" t="s">
        <v>10</v>
      </c>
      <c r="D847" s="24">
        <v>2026</v>
      </c>
      <c r="E847" s="67" t="s">
        <v>280</v>
      </c>
      <c r="F847" s="27">
        <v>16363.5</v>
      </c>
    </row>
    <row r="848" spans="1:6" hidden="1" x14ac:dyDescent="0.3">
      <c r="A848" s="23" t="s">
        <v>93</v>
      </c>
      <c r="B848" s="23" t="s">
        <v>36</v>
      </c>
      <c r="C848" s="24" t="s">
        <v>11</v>
      </c>
      <c r="D848" s="24">
        <v>2026</v>
      </c>
      <c r="E848" s="67" t="s">
        <v>280</v>
      </c>
      <c r="F848" s="27">
        <v>6039.951</v>
      </c>
    </row>
    <row r="849" spans="1:6" hidden="1" x14ac:dyDescent="0.3">
      <c r="A849" s="23" t="s">
        <v>94</v>
      </c>
      <c r="B849" s="23" t="s">
        <v>36</v>
      </c>
      <c r="C849" s="24" t="s">
        <v>157</v>
      </c>
      <c r="D849" s="24">
        <v>2026</v>
      </c>
      <c r="E849" s="67" t="s">
        <v>280</v>
      </c>
      <c r="F849" s="27">
        <v>1486.6</v>
      </c>
    </row>
    <row r="850" spans="1:6" hidden="1" x14ac:dyDescent="0.3">
      <c r="A850" s="23" t="s">
        <v>96</v>
      </c>
      <c r="B850" s="23" t="s">
        <v>36</v>
      </c>
      <c r="C850" s="24" t="s">
        <v>157</v>
      </c>
      <c r="D850" s="24">
        <v>2026</v>
      </c>
      <c r="E850" s="67" t="s">
        <v>280</v>
      </c>
      <c r="F850" s="27">
        <v>7873.3</v>
      </c>
    </row>
    <row r="851" spans="1:6" hidden="1" x14ac:dyDescent="0.3">
      <c r="A851" s="23" t="s">
        <v>97</v>
      </c>
      <c r="B851" s="23" t="s">
        <v>36</v>
      </c>
      <c r="C851" s="24" t="s">
        <v>157</v>
      </c>
      <c r="D851" s="24">
        <v>2026</v>
      </c>
      <c r="E851" s="67" t="s">
        <v>280</v>
      </c>
      <c r="F851" s="27">
        <v>2604.9</v>
      </c>
    </row>
    <row r="852" spans="1:6" hidden="1" x14ac:dyDescent="0.3">
      <c r="A852" s="23" t="s">
        <v>98</v>
      </c>
      <c r="B852" s="23" t="s">
        <v>37</v>
      </c>
      <c r="C852" s="24" t="s">
        <v>5</v>
      </c>
      <c r="D852" s="24">
        <v>2026</v>
      </c>
      <c r="E852" s="67" t="s">
        <v>280</v>
      </c>
      <c r="F852" s="27">
        <v>87772.767000000007</v>
      </c>
    </row>
    <row r="853" spans="1:6" hidden="1" x14ac:dyDescent="0.3">
      <c r="A853" s="23" t="s">
        <v>99</v>
      </c>
      <c r="B853" s="23" t="s">
        <v>37</v>
      </c>
      <c r="C853" s="24" t="s">
        <v>13</v>
      </c>
      <c r="D853" s="24">
        <v>2026</v>
      </c>
      <c r="E853" s="67" t="s">
        <v>280</v>
      </c>
      <c r="F853" s="27">
        <v>1692.5419999999999</v>
      </c>
    </row>
    <row r="854" spans="1:6" hidden="1" x14ac:dyDescent="0.3">
      <c r="A854" s="23" t="s">
        <v>100</v>
      </c>
      <c r="B854" s="23" t="s">
        <v>37</v>
      </c>
      <c r="C854" s="24" t="s">
        <v>6</v>
      </c>
      <c r="D854" s="24">
        <v>2026</v>
      </c>
      <c r="E854" s="67" t="s">
        <v>280</v>
      </c>
      <c r="F854" s="27">
        <v>8744.1419999999998</v>
      </c>
    </row>
    <row r="855" spans="1:6" hidden="1" x14ac:dyDescent="0.3">
      <c r="A855" s="23" t="s">
        <v>101</v>
      </c>
      <c r="B855" s="23" t="s">
        <v>37</v>
      </c>
      <c r="C855" s="24" t="s">
        <v>7</v>
      </c>
      <c r="D855" s="24">
        <v>2026</v>
      </c>
      <c r="E855" s="67" t="s">
        <v>280</v>
      </c>
      <c r="F855" s="27">
        <v>409.44299999999998</v>
      </c>
    </row>
    <row r="856" spans="1:6" hidden="1" x14ac:dyDescent="0.3">
      <c r="A856" s="23" t="s">
        <v>102</v>
      </c>
      <c r="B856" s="23" t="s">
        <v>37</v>
      </c>
      <c r="C856" s="24" t="s">
        <v>14</v>
      </c>
      <c r="D856" s="24">
        <v>2026</v>
      </c>
      <c r="E856" s="67" t="s">
        <v>280</v>
      </c>
      <c r="F856" s="27">
        <v>3512.241</v>
      </c>
    </row>
    <row r="857" spans="1:6" hidden="1" x14ac:dyDescent="0.3">
      <c r="A857" s="23" t="s">
        <v>103</v>
      </c>
      <c r="B857" s="23" t="s">
        <v>37</v>
      </c>
      <c r="C857" s="24" t="s">
        <v>154</v>
      </c>
      <c r="D857" s="24">
        <v>2026</v>
      </c>
      <c r="E857" s="67" t="s">
        <v>280</v>
      </c>
      <c r="F857" s="27">
        <v>8905.2980000000007</v>
      </c>
    </row>
    <row r="858" spans="1:6" hidden="1" x14ac:dyDescent="0.3">
      <c r="A858" s="23" t="s">
        <v>104</v>
      </c>
      <c r="B858" s="23" t="s">
        <v>37</v>
      </c>
      <c r="C858" s="24" t="s">
        <v>154</v>
      </c>
      <c r="D858" s="24">
        <v>2026</v>
      </c>
      <c r="E858" s="67" t="s">
        <v>280</v>
      </c>
      <c r="F858" s="27">
        <v>1069.066</v>
      </c>
    </row>
    <row r="859" spans="1:6" hidden="1" x14ac:dyDescent="0.3">
      <c r="A859" s="23" t="s">
        <v>105</v>
      </c>
      <c r="B859" s="23" t="s">
        <v>37</v>
      </c>
      <c r="C859" s="24" t="s">
        <v>154</v>
      </c>
      <c r="D859" s="24">
        <v>2026</v>
      </c>
      <c r="E859" s="67" t="s">
        <v>280</v>
      </c>
      <c r="F859" s="27">
        <v>8905.2980000000007</v>
      </c>
    </row>
    <row r="860" spans="1:6" hidden="1" x14ac:dyDescent="0.3">
      <c r="A860" s="23" t="s">
        <v>106</v>
      </c>
      <c r="B860" s="23" t="s">
        <v>37</v>
      </c>
      <c r="C860" s="24" t="s">
        <v>154</v>
      </c>
      <c r="D860" s="24">
        <v>2026</v>
      </c>
      <c r="E860" s="67" t="s">
        <v>280</v>
      </c>
      <c r="F860" s="27">
        <v>4311.5349999999999</v>
      </c>
    </row>
    <row r="861" spans="1:6" hidden="1" x14ac:dyDescent="0.3">
      <c r="A861" s="23" t="s">
        <v>107</v>
      </c>
      <c r="B861" s="23" t="s">
        <v>37</v>
      </c>
      <c r="C861" s="24" t="s">
        <v>154</v>
      </c>
      <c r="D861" s="24">
        <v>2026</v>
      </c>
      <c r="E861" s="67" t="s">
        <v>280</v>
      </c>
      <c r="F861" s="27">
        <v>1426.837</v>
      </c>
    </row>
    <row r="862" spans="1:6" hidden="1" x14ac:dyDescent="0.3">
      <c r="A862" s="23" t="s">
        <v>199</v>
      </c>
      <c r="B862" s="23" t="s">
        <v>37</v>
      </c>
      <c r="C862" s="24" t="s">
        <v>155</v>
      </c>
      <c r="D862" s="24">
        <v>2026</v>
      </c>
      <c r="E862" s="67" t="s">
        <v>280</v>
      </c>
      <c r="F862" s="27">
        <v>800</v>
      </c>
    </row>
    <row r="863" spans="1:6" hidden="1" x14ac:dyDescent="0.3">
      <c r="A863" s="23" t="s">
        <v>108</v>
      </c>
      <c r="B863" s="23" t="s">
        <v>37</v>
      </c>
      <c r="C863" s="24" t="s">
        <v>155</v>
      </c>
      <c r="D863" s="24">
        <v>2026</v>
      </c>
      <c r="E863" s="67" t="s">
        <v>280</v>
      </c>
      <c r="F863" s="27">
        <v>12910.243</v>
      </c>
    </row>
    <row r="864" spans="1:6" hidden="1" x14ac:dyDescent="0.3">
      <c r="A864" s="23" t="s">
        <v>109</v>
      </c>
      <c r="B864" s="23" t="s">
        <v>37</v>
      </c>
      <c r="C864" s="24" t="s">
        <v>156</v>
      </c>
      <c r="D864" s="24">
        <v>2026</v>
      </c>
      <c r="E864" s="67" t="s">
        <v>280</v>
      </c>
      <c r="F864" s="27">
        <v>3946.902</v>
      </c>
    </row>
    <row r="865" spans="1:6" hidden="1" x14ac:dyDescent="0.3">
      <c r="A865" s="23" t="s">
        <v>110</v>
      </c>
      <c r="B865" s="23" t="s">
        <v>37</v>
      </c>
      <c r="C865" s="24" t="s">
        <v>10</v>
      </c>
      <c r="D865" s="24">
        <v>2026</v>
      </c>
      <c r="E865" s="67" t="s">
        <v>280</v>
      </c>
      <c r="F865" s="27">
        <v>5657.8</v>
      </c>
    </row>
    <row r="866" spans="1:6" hidden="1" x14ac:dyDescent="0.3">
      <c r="A866" s="23" t="s">
        <v>111</v>
      </c>
      <c r="B866" s="23" t="s">
        <v>37</v>
      </c>
      <c r="C866" s="24" t="s">
        <v>11</v>
      </c>
      <c r="D866" s="24">
        <v>2026</v>
      </c>
      <c r="E866" s="67" t="s">
        <v>280</v>
      </c>
      <c r="F866" s="27">
        <v>753.51700000000005</v>
      </c>
    </row>
    <row r="867" spans="1:6" hidden="1" x14ac:dyDescent="0.3">
      <c r="A867" s="23" t="s">
        <v>112</v>
      </c>
      <c r="B867" s="23" t="s">
        <v>37</v>
      </c>
      <c r="C867" s="24" t="s">
        <v>16</v>
      </c>
      <c r="D867" s="24">
        <v>2026</v>
      </c>
      <c r="E867" s="67" t="s">
        <v>280</v>
      </c>
      <c r="F867" s="27">
        <v>171.4</v>
      </c>
    </row>
    <row r="868" spans="1:6" hidden="1" x14ac:dyDescent="0.3">
      <c r="A868" s="23" t="s">
        <v>113</v>
      </c>
      <c r="B868" s="23" t="s">
        <v>37</v>
      </c>
      <c r="C868" s="24" t="s">
        <v>157</v>
      </c>
      <c r="D868" s="24">
        <v>2026</v>
      </c>
      <c r="E868" s="67" t="s">
        <v>280</v>
      </c>
      <c r="F868" s="27">
        <v>2347.85</v>
      </c>
    </row>
    <row r="869" spans="1:6" hidden="1" x14ac:dyDescent="0.3">
      <c r="A869" s="23" t="s">
        <v>114</v>
      </c>
      <c r="B869" s="23" t="s">
        <v>37</v>
      </c>
      <c r="C869" s="24" t="s">
        <v>157</v>
      </c>
      <c r="D869" s="24">
        <v>2026</v>
      </c>
      <c r="E869" s="67" t="s">
        <v>280</v>
      </c>
      <c r="F869" s="27">
        <v>-0.4</v>
      </c>
    </row>
    <row r="870" spans="1:6" hidden="1" x14ac:dyDescent="0.3">
      <c r="A870" s="23" t="s">
        <v>115</v>
      </c>
      <c r="B870" s="23" t="s">
        <v>37</v>
      </c>
      <c r="C870" s="24" t="s">
        <v>157</v>
      </c>
      <c r="D870" s="24">
        <v>2026</v>
      </c>
      <c r="E870" s="67" t="s">
        <v>280</v>
      </c>
      <c r="F870" s="27">
        <v>12510.05</v>
      </c>
    </row>
    <row r="871" spans="1:6" hidden="1" x14ac:dyDescent="0.3">
      <c r="A871" s="23" t="s">
        <v>116</v>
      </c>
      <c r="B871" s="23" t="s">
        <v>37</v>
      </c>
      <c r="C871" s="24" t="s">
        <v>157</v>
      </c>
      <c r="D871" s="24">
        <v>2026</v>
      </c>
      <c r="E871" s="67" t="s">
        <v>280</v>
      </c>
      <c r="F871" s="27">
        <v>4120.8500000000004</v>
      </c>
    </row>
    <row r="872" spans="1:6" hidden="1" x14ac:dyDescent="0.3">
      <c r="A872" s="23" t="s">
        <v>117</v>
      </c>
      <c r="B872" s="23" t="s">
        <v>37</v>
      </c>
      <c r="C872" s="24" t="s">
        <v>60</v>
      </c>
      <c r="D872" s="24">
        <v>2026</v>
      </c>
      <c r="E872" s="67" t="s">
        <v>280</v>
      </c>
      <c r="F872" s="27">
        <f>1874.548-1718.84</f>
        <v>155.70800000000008</v>
      </c>
    </row>
    <row r="873" spans="1:6" hidden="1" x14ac:dyDescent="0.3">
      <c r="A873" s="23" t="s">
        <v>117</v>
      </c>
      <c r="B873" s="23" t="s">
        <v>36</v>
      </c>
      <c r="C873" s="24" t="s">
        <v>60</v>
      </c>
      <c r="D873" s="24">
        <v>2026</v>
      </c>
      <c r="E873" s="67" t="s">
        <v>280</v>
      </c>
      <c r="F873" s="27">
        <f>1718.84</f>
        <v>1718.84</v>
      </c>
    </row>
    <row r="874" spans="1:6" hidden="1" x14ac:dyDescent="0.3">
      <c r="A874" s="23" t="s">
        <v>282</v>
      </c>
      <c r="B874" s="23" t="s">
        <v>38</v>
      </c>
      <c r="C874" s="24" t="s">
        <v>283</v>
      </c>
      <c r="D874" s="24">
        <v>2026</v>
      </c>
      <c r="E874" s="67" t="s">
        <v>280</v>
      </c>
      <c r="F874" s="27">
        <v>8657.6239999999998</v>
      </c>
    </row>
    <row r="875" spans="1:6" hidden="1" x14ac:dyDescent="0.3">
      <c r="A875" s="23" t="s">
        <v>250</v>
      </c>
      <c r="B875" s="23" t="s">
        <v>38</v>
      </c>
      <c r="C875" s="24" t="s">
        <v>197</v>
      </c>
      <c r="D875" s="24">
        <v>2026</v>
      </c>
      <c r="E875" s="67" t="s">
        <v>280</v>
      </c>
      <c r="F875" s="27">
        <v>6140.335</v>
      </c>
    </row>
    <row r="876" spans="1:6" hidden="1" x14ac:dyDescent="0.3">
      <c r="A876" s="23" t="s">
        <v>118</v>
      </c>
      <c r="B876" s="23" t="s">
        <v>38</v>
      </c>
      <c r="C876" s="24" t="s">
        <v>61</v>
      </c>
      <c r="D876" s="24">
        <v>2026</v>
      </c>
      <c r="E876" s="67" t="s">
        <v>280</v>
      </c>
      <c r="F876" s="27">
        <v>85361</v>
      </c>
    </row>
    <row r="877" spans="1:6" hidden="1" x14ac:dyDescent="0.3">
      <c r="A877" s="23" t="s">
        <v>119</v>
      </c>
      <c r="B877" s="23" t="s">
        <v>38</v>
      </c>
      <c r="C877" s="24" t="s">
        <v>18</v>
      </c>
      <c r="D877" s="24">
        <v>2026</v>
      </c>
      <c r="E877" s="67" t="s">
        <v>280</v>
      </c>
      <c r="F877" s="27">
        <v>7213.9309999999996</v>
      </c>
    </row>
    <row r="878" spans="1:6" hidden="1" x14ac:dyDescent="0.3">
      <c r="A878" s="23" t="s">
        <v>120</v>
      </c>
      <c r="B878" s="23" t="s">
        <v>38</v>
      </c>
      <c r="C878" s="24" t="s">
        <v>62</v>
      </c>
      <c r="D878" s="24">
        <v>2026</v>
      </c>
      <c r="E878" s="67" t="s">
        <v>280</v>
      </c>
      <c r="F878" s="27">
        <v>1307.047</v>
      </c>
    </row>
    <row r="879" spans="1:6" hidden="1" x14ac:dyDescent="0.3">
      <c r="A879" s="23" t="s">
        <v>121</v>
      </c>
      <c r="B879" s="23" t="s">
        <v>37</v>
      </c>
      <c r="C879" s="24" t="s">
        <v>63</v>
      </c>
      <c r="D879" s="24">
        <v>2026</v>
      </c>
      <c r="E879" s="67" t="s">
        <v>280</v>
      </c>
      <c r="F879" s="27">
        <f>488542.884-404395.36</f>
        <v>84147.524000000034</v>
      </c>
    </row>
    <row r="880" spans="1:6" hidden="1" x14ac:dyDescent="0.3">
      <c r="A880" s="23" t="s">
        <v>121</v>
      </c>
      <c r="B880" s="23" t="s">
        <v>36</v>
      </c>
      <c r="C880" s="24" t="s">
        <v>63</v>
      </c>
      <c r="D880" s="24">
        <v>2026</v>
      </c>
      <c r="E880" s="67" t="s">
        <v>280</v>
      </c>
      <c r="F880" s="27">
        <v>404395.36</v>
      </c>
    </row>
    <row r="881" spans="1:6" hidden="1" x14ac:dyDescent="0.3">
      <c r="A881" s="23" t="s">
        <v>122</v>
      </c>
      <c r="B881" s="23" t="s">
        <v>37</v>
      </c>
      <c r="C881" s="24" t="s">
        <v>58</v>
      </c>
      <c r="D881" s="24">
        <v>2026</v>
      </c>
      <c r="E881" s="67" t="s">
        <v>280</v>
      </c>
      <c r="F881" s="27">
        <f>18979.924-13465.12</f>
        <v>5514.8039999999983</v>
      </c>
    </row>
    <row r="882" spans="1:6" hidden="1" x14ac:dyDescent="0.3">
      <c r="A882" s="23" t="s">
        <v>122</v>
      </c>
      <c r="B882" s="23" t="s">
        <v>36</v>
      </c>
      <c r="C882" s="24" t="s">
        <v>58</v>
      </c>
      <c r="D882" s="24">
        <v>2026</v>
      </c>
      <c r="E882" s="67" t="s">
        <v>280</v>
      </c>
      <c r="F882" s="27">
        <v>13465.12</v>
      </c>
    </row>
    <row r="883" spans="1:6" hidden="1" x14ac:dyDescent="0.3">
      <c r="A883" s="23" t="s">
        <v>123</v>
      </c>
      <c r="B883" s="23" t="s">
        <v>37</v>
      </c>
      <c r="C883" s="24" t="s">
        <v>59</v>
      </c>
      <c r="D883" s="24">
        <v>2026</v>
      </c>
      <c r="E883" s="67" t="s">
        <v>280</v>
      </c>
      <c r="F883" s="27">
        <f>10011.002-8021.37</f>
        <v>1989.6320000000005</v>
      </c>
    </row>
    <row r="884" spans="1:6" hidden="1" x14ac:dyDescent="0.3">
      <c r="A884" s="23" t="s">
        <v>123</v>
      </c>
      <c r="B884" s="23" t="s">
        <v>36</v>
      </c>
      <c r="C884" s="24" t="s">
        <v>59</v>
      </c>
      <c r="D884" s="24">
        <v>2026</v>
      </c>
      <c r="E884" s="67" t="s">
        <v>280</v>
      </c>
      <c r="F884" s="27">
        <v>8021.37</v>
      </c>
    </row>
    <row r="885" spans="1:6" hidden="1" x14ac:dyDescent="0.3">
      <c r="A885" s="23" t="s">
        <v>125</v>
      </c>
      <c r="B885" s="23" t="s">
        <v>38</v>
      </c>
      <c r="C885" s="24" t="s">
        <v>20</v>
      </c>
      <c r="D885" s="24">
        <v>2026</v>
      </c>
      <c r="E885" s="67" t="s">
        <v>280</v>
      </c>
      <c r="F885" s="27">
        <v>6576.6440000000002</v>
      </c>
    </row>
    <row r="886" spans="1:6" hidden="1" x14ac:dyDescent="0.3">
      <c r="A886" s="23" t="s">
        <v>126</v>
      </c>
      <c r="B886" s="23" t="s">
        <v>38</v>
      </c>
      <c r="C886" s="24" t="s">
        <v>21</v>
      </c>
      <c r="D886" s="24">
        <v>2026</v>
      </c>
      <c r="E886" s="67" t="s">
        <v>280</v>
      </c>
      <c r="F886" s="27">
        <v>60822.375999999997</v>
      </c>
    </row>
    <row r="887" spans="1:6" hidden="1" x14ac:dyDescent="0.3">
      <c r="A887" s="23" t="s">
        <v>127</v>
      </c>
      <c r="B887" s="23" t="s">
        <v>38</v>
      </c>
      <c r="C887" s="24" t="s">
        <v>22</v>
      </c>
      <c r="D887" s="24">
        <v>2026</v>
      </c>
      <c r="E887" s="67" t="s">
        <v>280</v>
      </c>
      <c r="F887" s="27">
        <v>11368.636</v>
      </c>
    </row>
    <row r="888" spans="1:6" hidden="1" x14ac:dyDescent="0.3">
      <c r="A888" s="23" t="s">
        <v>128</v>
      </c>
      <c r="B888" s="23" t="s">
        <v>38</v>
      </c>
      <c r="C888" s="24" t="s">
        <v>23</v>
      </c>
      <c r="D888" s="24">
        <v>2026</v>
      </c>
      <c r="E888" s="67" t="s">
        <v>280</v>
      </c>
      <c r="F888" s="27">
        <v>7566.82</v>
      </c>
    </row>
    <row r="889" spans="1:6" hidden="1" x14ac:dyDescent="0.3">
      <c r="A889" s="23" t="s">
        <v>129</v>
      </c>
      <c r="B889" s="23" t="s">
        <v>38</v>
      </c>
      <c r="C889" s="24" t="s">
        <v>158</v>
      </c>
      <c r="D889" s="24">
        <v>2026</v>
      </c>
      <c r="E889" s="67" t="s">
        <v>280</v>
      </c>
      <c r="F889" s="27">
        <v>1747.2</v>
      </c>
    </row>
    <row r="890" spans="1:6" hidden="1" x14ac:dyDescent="0.3">
      <c r="A890" s="23" t="s">
        <v>130</v>
      </c>
      <c r="B890" s="23" t="s">
        <v>38</v>
      </c>
      <c r="C890" s="24" t="s">
        <v>158</v>
      </c>
      <c r="D890" s="24">
        <v>2026</v>
      </c>
      <c r="E890" s="67" t="s">
        <v>280</v>
      </c>
      <c r="F890" s="27">
        <v>61239.845999999998</v>
      </c>
    </row>
    <row r="891" spans="1:6" hidden="1" x14ac:dyDescent="0.3">
      <c r="A891" s="23" t="s">
        <v>131</v>
      </c>
      <c r="B891" s="23" t="s">
        <v>38</v>
      </c>
      <c r="C891" s="24" t="s">
        <v>159</v>
      </c>
      <c r="D891" s="24">
        <v>2026</v>
      </c>
      <c r="E891" s="67" t="s">
        <v>280</v>
      </c>
      <c r="F891" s="27">
        <v>45.054000000000002</v>
      </c>
    </row>
    <row r="892" spans="1:6" hidden="1" x14ac:dyDescent="0.3">
      <c r="A892" s="23" t="s">
        <v>132</v>
      </c>
      <c r="B892" s="23" t="s">
        <v>38</v>
      </c>
      <c r="C892" s="24" t="s">
        <v>159</v>
      </c>
      <c r="D892" s="24">
        <v>2026</v>
      </c>
      <c r="E892" s="67" t="s">
        <v>280</v>
      </c>
      <c r="F892" s="27">
        <v>747.04499999999996</v>
      </c>
    </row>
    <row r="893" spans="1:6" hidden="1" x14ac:dyDescent="0.3">
      <c r="A893" s="23" t="s">
        <v>207</v>
      </c>
      <c r="B893" s="23" t="s">
        <v>38</v>
      </c>
      <c r="C893" s="24" t="s">
        <v>26</v>
      </c>
      <c r="D893" s="24">
        <v>2026</v>
      </c>
      <c r="E893" s="67" t="s">
        <v>280</v>
      </c>
      <c r="F893" s="27">
        <v>437</v>
      </c>
    </row>
    <row r="894" spans="1:6" hidden="1" x14ac:dyDescent="0.3">
      <c r="A894" s="23" t="s">
        <v>133</v>
      </c>
      <c r="B894" s="23" t="s">
        <v>38</v>
      </c>
      <c r="C894" s="24" t="s">
        <v>74</v>
      </c>
      <c r="D894" s="24">
        <v>2026</v>
      </c>
      <c r="E894" s="67" t="s">
        <v>280</v>
      </c>
      <c r="F894" s="27">
        <v>2892.636</v>
      </c>
    </row>
    <row r="895" spans="1:6" hidden="1" x14ac:dyDescent="0.3">
      <c r="A895" s="23" t="s">
        <v>134</v>
      </c>
      <c r="B895" s="23" t="s">
        <v>38</v>
      </c>
      <c r="C895" s="24" t="s">
        <v>27</v>
      </c>
      <c r="D895" s="24">
        <v>2026</v>
      </c>
      <c r="E895" s="67" t="s">
        <v>280</v>
      </c>
      <c r="F895" s="27">
        <v>796.21</v>
      </c>
    </row>
    <row r="896" spans="1:6" hidden="1" x14ac:dyDescent="0.3">
      <c r="A896" s="23" t="s">
        <v>135</v>
      </c>
      <c r="B896" s="23" t="s">
        <v>38</v>
      </c>
      <c r="C896" s="24" t="s">
        <v>160</v>
      </c>
      <c r="D896" s="24">
        <v>2026</v>
      </c>
      <c r="E896" s="67" t="s">
        <v>280</v>
      </c>
      <c r="F896" s="27">
        <v>1388.8889999999999</v>
      </c>
    </row>
    <row r="897" spans="1:6" hidden="1" x14ac:dyDescent="0.3">
      <c r="A897" s="23" t="s">
        <v>136</v>
      </c>
      <c r="B897" s="23" t="s">
        <v>38</v>
      </c>
      <c r="C897" s="24" t="s">
        <v>160</v>
      </c>
      <c r="D897" s="24">
        <v>2026</v>
      </c>
      <c r="E897" s="67" t="s">
        <v>280</v>
      </c>
      <c r="F897" s="27">
        <v>35109.275999999998</v>
      </c>
    </row>
    <row r="898" spans="1:6" hidden="1" x14ac:dyDescent="0.3">
      <c r="A898" s="23" t="s">
        <v>137</v>
      </c>
      <c r="B898" s="23" t="s">
        <v>38</v>
      </c>
      <c r="C898" s="24" t="s">
        <v>160</v>
      </c>
      <c r="D898" s="24">
        <v>2026</v>
      </c>
      <c r="E898" s="67" t="s">
        <v>280</v>
      </c>
      <c r="F898" s="27">
        <v>2220.1779999999999</v>
      </c>
    </row>
    <row r="899" spans="1:6" hidden="1" x14ac:dyDescent="0.3">
      <c r="A899" s="23" t="s">
        <v>138</v>
      </c>
      <c r="B899" s="23" t="s">
        <v>38</v>
      </c>
      <c r="C899" s="24" t="s">
        <v>160</v>
      </c>
      <c r="D899" s="24">
        <v>2026</v>
      </c>
      <c r="E899" s="67" t="s">
        <v>280</v>
      </c>
      <c r="F899" s="27">
        <v>543.06100000000004</v>
      </c>
    </row>
    <row r="900" spans="1:6" hidden="1" x14ac:dyDescent="0.3">
      <c r="A900" s="23" t="s">
        <v>139</v>
      </c>
      <c r="B900" s="23" t="s">
        <v>38</v>
      </c>
      <c r="C900" s="24" t="s">
        <v>28</v>
      </c>
      <c r="D900" s="24">
        <v>2026</v>
      </c>
      <c r="E900" s="67" t="s">
        <v>280</v>
      </c>
      <c r="F900" s="27">
        <v>3291.2240000000002</v>
      </c>
    </row>
    <row r="901" spans="1:6" hidden="1" x14ac:dyDescent="0.3">
      <c r="A901" s="23" t="s">
        <v>140</v>
      </c>
      <c r="B901" s="23" t="s">
        <v>38</v>
      </c>
      <c r="C901" s="24" t="s">
        <v>65</v>
      </c>
      <c r="D901" s="24">
        <v>2026</v>
      </c>
      <c r="E901" s="67" t="s">
        <v>280</v>
      </c>
      <c r="F901" s="27">
        <v>1341.9480000000001</v>
      </c>
    </row>
    <row r="902" spans="1:6" hidden="1" x14ac:dyDescent="0.3">
      <c r="A902" s="23" t="s">
        <v>141</v>
      </c>
      <c r="B902" s="23" t="s">
        <v>38</v>
      </c>
      <c r="C902" s="24" t="s">
        <v>30</v>
      </c>
      <c r="D902" s="24">
        <v>2026</v>
      </c>
      <c r="E902" s="67" t="s">
        <v>280</v>
      </c>
      <c r="F902" s="27">
        <v>781.42700000000002</v>
      </c>
    </row>
    <row r="903" spans="1:6" hidden="1" x14ac:dyDescent="0.3">
      <c r="A903" s="23" t="s">
        <v>142</v>
      </c>
      <c r="B903" s="23" t="s">
        <v>38</v>
      </c>
      <c r="C903" s="24" t="s">
        <v>31</v>
      </c>
      <c r="D903" s="24">
        <v>2026</v>
      </c>
      <c r="E903" s="67" t="s">
        <v>280</v>
      </c>
      <c r="F903" s="27">
        <v>40371.428999999996</v>
      </c>
    </row>
    <row r="904" spans="1:6" hidden="1" x14ac:dyDescent="0.3">
      <c r="A904" s="23" t="s">
        <v>211</v>
      </c>
      <c r="B904" s="23" t="s">
        <v>36</v>
      </c>
      <c r="C904" s="24" t="s">
        <v>32</v>
      </c>
      <c r="D904" s="24">
        <v>2026</v>
      </c>
      <c r="E904" s="67" t="s">
        <v>280</v>
      </c>
      <c r="F904" s="27">
        <v>625</v>
      </c>
    </row>
    <row r="905" spans="1:6" hidden="1" x14ac:dyDescent="0.3">
      <c r="A905" s="23" t="s">
        <v>143</v>
      </c>
      <c r="B905" s="23" t="s">
        <v>38</v>
      </c>
      <c r="C905" s="24" t="s">
        <v>67</v>
      </c>
      <c r="D905" s="24">
        <v>2026</v>
      </c>
      <c r="E905" s="67" t="s">
        <v>280</v>
      </c>
      <c r="F905" s="27">
        <v>1680.0429999999999</v>
      </c>
    </row>
    <row r="906" spans="1:6" hidden="1" x14ac:dyDescent="0.3">
      <c r="A906" s="23" t="s">
        <v>251</v>
      </c>
      <c r="B906" s="23" t="s">
        <v>38</v>
      </c>
      <c r="C906" s="24" t="s">
        <v>246</v>
      </c>
      <c r="D906" s="24">
        <v>2026</v>
      </c>
      <c r="E906" s="67" t="s">
        <v>280</v>
      </c>
      <c r="F906" s="27">
        <v>5500</v>
      </c>
    </row>
    <row r="907" spans="1:6" hidden="1" x14ac:dyDescent="0.3">
      <c r="A907" s="23" t="s">
        <v>144</v>
      </c>
      <c r="B907" s="23" t="s">
        <v>39</v>
      </c>
      <c r="C907" s="24" t="s">
        <v>33</v>
      </c>
      <c r="D907" s="24">
        <v>2026</v>
      </c>
      <c r="E907" s="67" t="s">
        <v>280</v>
      </c>
      <c r="F907" s="28">
        <v>46634.837</v>
      </c>
    </row>
  </sheetData>
  <phoneticPr fontId="6" type="noConversion"/>
  <dataValidations count="1">
    <dataValidation type="list" allowBlank="1" showInputMessage="1" showErrorMessage="1" sqref="B1:B1048576" xr:uid="{D543521F-B2BA-4E15-AC0B-541EB6261587}">
      <formula1>$J:$J</formula1>
    </dataValidation>
  </dataValidations>
  <pageMargins left="1" right="1" top="1" bottom="1" header="0.3" footer="0.3"/>
  <pageSetup orientation="portrait" r:id="rId1"/>
  <tableParts count="1">
    <tablePart r:id="rId2"/>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DFA2B23C-57C5-47DF-9344-FB5392AD2D9B}">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12</vt:i4>
      </vt:variant>
    </vt:vector>
  </HeadingPairs>
  <TitlesOfParts>
    <vt:vector size="12" baseType="lpstr">
      <vt:lpstr>Costos de producción</vt:lpstr>
      <vt:lpstr>Con % Variación</vt:lpstr>
      <vt:lpstr>Hoja3</vt:lpstr>
      <vt:lpstr>Personal-MOD</vt:lpstr>
      <vt:lpstr>Personal-MOI</vt:lpstr>
      <vt:lpstr>Análisis Ene</vt:lpstr>
      <vt:lpstr>Análisis Feb</vt:lpstr>
      <vt:lpstr>Análisis Marzo</vt:lpstr>
      <vt:lpstr>Análisis Abril</vt:lpstr>
      <vt:lpstr>Personal MOD</vt:lpstr>
      <vt:lpstr>Personal MOI</vt:lpstr>
      <vt:lpstr>Datos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Contador</dc:creator>
  <cp:lastModifiedBy>Cesar Cuartas</cp:lastModifiedBy>
  <dcterms:created xsi:type="dcterms:W3CDTF">2024-06-04T19:56:19Z</dcterms:created>
  <dcterms:modified xsi:type="dcterms:W3CDTF">2026-05-21T16:53:01Z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DXVersion">
    <vt:lpwstr>18.2.6.0</vt:lpwstr>
  </property>
</Properties>
</file>